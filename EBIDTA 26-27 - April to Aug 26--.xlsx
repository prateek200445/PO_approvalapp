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D:\Krishna Ma'am\EBITDA\EBITDA - Actual Data - With Correction\E mail sent\"/>
    </mc:Choice>
  </mc:AlternateContent>
  <xr:revisionPtr revIDLastSave="0" documentId="13_ncr:1_{63118318-355A-46FF-B1A3-040FDA8A0874}" xr6:coauthVersionLast="47" xr6:coauthVersionMax="47" xr10:uidLastSave="{00000000-0000-0000-0000-000000000000}"/>
  <bookViews>
    <workbookView xWindow="-110" yWindow="-110" windowWidth="19420" windowHeight="10300" tabRatio="870" xr2:uid="{00000000-000D-0000-FFFF-FFFF00000000}"/>
  </bookViews>
  <sheets>
    <sheet name="EBIDTA" sheetId="3" r:id="rId1"/>
    <sheet name="Stock Sheet - KPW" sheetId="2" r:id="rId2"/>
    <sheet name="APRIL - TB -" sheetId="60" r:id="rId3"/>
    <sheet name="MAY- TB - " sheetId="59" r:id="rId4"/>
    <sheet name="JUNE - TB -" sheetId="61" r:id="rId5"/>
    <sheet name="JULY-TB" sheetId="64" r:id="rId6"/>
    <sheet name="AUGUST - TB" sheetId="67" r:id="rId7"/>
  </sheets>
  <externalReferences>
    <externalReference r:id="rId8"/>
  </externalReferences>
  <definedNames>
    <definedName name="_xlnm._FilterDatabase" localSheetId="2" hidden="1">'APRIL - TB -'!$A$2:$I$1234</definedName>
    <definedName name="_xlnm._FilterDatabase" localSheetId="6" hidden="1">'AUGUST - TB'!$A$2:$M$1474</definedName>
    <definedName name="_xlnm._FilterDatabase" localSheetId="5" hidden="1">'JULY-TB'!$A$1:$I$1</definedName>
    <definedName name="_xlnm._FilterDatabase" localSheetId="4" hidden="1">'JUNE - TB -'!$A$1:$L$1</definedName>
    <definedName name="_xlnm._FilterDatabase" localSheetId="3" hidden="1">'MAY- TB - '!$A$1:$J$1317</definedName>
    <definedName name="_xlnm.Print_Area" localSheetId="0">EBIDTA!$B$3:$U$65</definedName>
  </definedNames>
  <calcPr calcId="191029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96" i="59" l="1"/>
  <c r="Y13" i="3"/>
  <c r="Z13" i="3"/>
  <c r="AA13" i="3"/>
  <c r="AB13" i="3"/>
  <c r="AC13" i="3"/>
  <c r="F466" i="64"/>
  <c r="G411" i="61"/>
  <c r="J1468" i="67" l="1"/>
  <c r="J1408" i="67"/>
  <c r="J1373" i="67"/>
  <c r="J1351" i="67"/>
  <c r="J1291" i="67"/>
  <c r="J1280" i="67"/>
  <c r="J1204" i="67"/>
  <c r="J1191" i="67"/>
  <c r="J1145" i="67"/>
  <c r="J1136" i="67"/>
  <c r="J1128" i="67"/>
  <c r="J1123" i="67"/>
  <c r="J1115" i="67"/>
  <c r="J1110" i="67"/>
  <c r="J1086" i="67"/>
  <c r="J1079" i="67"/>
  <c r="J1015" i="67"/>
  <c r="J984" i="67"/>
  <c r="J878" i="67"/>
  <c r="J876" i="67"/>
  <c r="J870" i="67"/>
  <c r="J869" i="67"/>
  <c r="J850" i="67"/>
  <c r="J834" i="67"/>
  <c r="J785" i="67"/>
  <c r="J778" i="67"/>
  <c r="J749" i="67"/>
  <c r="J712" i="67"/>
  <c r="J707" i="67"/>
  <c r="J680" i="67"/>
  <c r="J666" i="67"/>
  <c r="J660" i="67"/>
  <c r="J652" i="67"/>
  <c r="J581" i="67"/>
  <c r="J579" i="67"/>
  <c r="J539" i="67"/>
  <c r="J522" i="67"/>
  <c r="J419" i="67"/>
  <c r="J417" i="67"/>
  <c r="J399" i="67"/>
  <c r="J388" i="67"/>
  <c r="J200" i="67"/>
  <c r="J167" i="67"/>
  <c r="J133" i="67"/>
  <c r="J107" i="67"/>
  <c r="J35" i="67"/>
  <c r="J34" i="67"/>
  <c r="G515" i="67" l="1"/>
  <c r="G490" i="67"/>
  <c r="F449" i="67"/>
  <c r="F411" i="67"/>
  <c r="F404" i="67"/>
  <c r="M59" i="3" l="1"/>
  <c r="C59" i="3" s="1"/>
  <c r="M52" i="3"/>
  <c r="M40" i="3"/>
  <c r="C33" i="3"/>
  <c r="M27" i="3"/>
  <c r="M25" i="3"/>
  <c r="M23" i="3"/>
  <c r="M21" i="3"/>
  <c r="M20" i="3"/>
  <c r="M19" i="3"/>
  <c r="M15" i="3"/>
  <c r="M14" i="3"/>
  <c r="F1476" i="67"/>
  <c r="E1476" i="67"/>
  <c r="D1476" i="67"/>
  <c r="C1476" i="67"/>
  <c r="B1476" i="67"/>
  <c r="G1474" i="67"/>
  <c r="G1473" i="67"/>
  <c r="G1472" i="67"/>
  <c r="G1471" i="67"/>
  <c r="G1470" i="67"/>
  <c r="G1469" i="67"/>
  <c r="G1468" i="67"/>
  <c r="G1467" i="67"/>
  <c r="G1466" i="67"/>
  <c r="G1465" i="67"/>
  <c r="G1464" i="67"/>
  <c r="G1463" i="67"/>
  <c r="G1462" i="67"/>
  <c r="G1461" i="67"/>
  <c r="G1460" i="67"/>
  <c r="G1459" i="67"/>
  <c r="G1458" i="67"/>
  <c r="G1457" i="67"/>
  <c r="G1456" i="67"/>
  <c r="G1455" i="67"/>
  <c r="G1454" i="67"/>
  <c r="G1453" i="67"/>
  <c r="G1452" i="67"/>
  <c r="G1451" i="67"/>
  <c r="G1450" i="67"/>
  <c r="G1449" i="67"/>
  <c r="G1448" i="67"/>
  <c r="G1447" i="67"/>
  <c r="G1446" i="67"/>
  <c r="G1445" i="67"/>
  <c r="G1444" i="67"/>
  <c r="G1443" i="67"/>
  <c r="G1442" i="67"/>
  <c r="G1441" i="67"/>
  <c r="G1440" i="67"/>
  <c r="G1439" i="67"/>
  <c r="G1438" i="67"/>
  <c r="G1437" i="67"/>
  <c r="G1436" i="67"/>
  <c r="G1435" i="67"/>
  <c r="G1434" i="67"/>
  <c r="G1433" i="67"/>
  <c r="G1432" i="67"/>
  <c r="G1431" i="67"/>
  <c r="G1430" i="67"/>
  <c r="G1429" i="67"/>
  <c r="G1428" i="67"/>
  <c r="G1427" i="67"/>
  <c r="G1426" i="67"/>
  <c r="G1425" i="67"/>
  <c r="G1424" i="67"/>
  <c r="G1423" i="67"/>
  <c r="G1422" i="67"/>
  <c r="G1421" i="67"/>
  <c r="G1420" i="67"/>
  <c r="G1419" i="67"/>
  <c r="G1418" i="67"/>
  <c r="G1417" i="67"/>
  <c r="G1416" i="67"/>
  <c r="G1415" i="67"/>
  <c r="G1414" i="67"/>
  <c r="G1413" i="67"/>
  <c r="G1412" i="67"/>
  <c r="G1411" i="67"/>
  <c r="G1410" i="67"/>
  <c r="G1409" i="67"/>
  <c r="G1408" i="67"/>
  <c r="G1407" i="67"/>
  <c r="G1406" i="67"/>
  <c r="G1405" i="67"/>
  <c r="G1404" i="67"/>
  <c r="G1403" i="67"/>
  <c r="G1402" i="67"/>
  <c r="G1401" i="67"/>
  <c r="G1400" i="67"/>
  <c r="G1399" i="67"/>
  <c r="G1398" i="67"/>
  <c r="G1397" i="67"/>
  <c r="G1396" i="67"/>
  <c r="G1395" i="67"/>
  <c r="G1394" i="67"/>
  <c r="G1393" i="67"/>
  <c r="G1392" i="67"/>
  <c r="G1391" i="67"/>
  <c r="G1390" i="67"/>
  <c r="G1389" i="67"/>
  <c r="G1388" i="67"/>
  <c r="G1387" i="67"/>
  <c r="G1386" i="67"/>
  <c r="G1385" i="67"/>
  <c r="G1384" i="67"/>
  <c r="G1383" i="67"/>
  <c r="G1382" i="67"/>
  <c r="G1381" i="67"/>
  <c r="G1380" i="67"/>
  <c r="G1379" i="67"/>
  <c r="G1378" i="67"/>
  <c r="G1377" i="67"/>
  <c r="G1376" i="67"/>
  <c r="G1375" i="67"/>
  <c r="G1374" i="67"/>
  <c r="G1373" i="67"/>
  <c r="G1372" i="67"/>
  <c r="G1371" i="67"/>
  <c r="G1370" i="67"/>
  <c r="G1369" i="67"/>
  <c r="G1368" i="67"/>
  <c r="G1367" i="67"/>
  <c r="G1366" i="67"/>
  <c r="G1365" i="67"/>
  <c r="G1364" i="67"/>
  <c r="G1363" i="67"/>
  <c r="G1362" i="67"/>
  <c r="G1361" i="67"/>
  <c r="G1360" i="67"/>
  <c r="G1359" i="67"/>
  <c r="G1358" i="67"/>
  <c r="G1357" i="67"/>
  <c r="G1356" i="67"/>
  <c r="G1355" i="67"/>
  <c r="G1354" i="67"/>
  <c r="G1353" i="67"/>
  <c r="G1352" i="67"/>
  <c r="G1351" i="67"/>
  <c r="G1350" i="67"/>
  <c r="G1349" i="67"/>
  <c r="G1348" i="67"/>
  <c r="G1347" i="67"/>
  <c r="G1346" i="67"/>
  <c r="G1345" i="67"/>
  <c r="G1344" i="67"/>
  <c r="G1343" i="67"/>
  <c r="G1342" i="67"/>
  <c r="G1341" i="67"/>
  <c r="G1340" i="67"/>
  <c r="G1339" i="67"/>
  <c r="G1338" i="67"/>
  <c r="G1337" i="67"/>
  <c r="G1336" i="67"/>
  <c r="G1335" i="67"/>
  <c r="G1334" i="67"/>
  <c r="G1333" i="67"/>
  <c r="G1332" i="67"/>
  <c r="G1331" i="67"/>
  <c r="G1330" i="67"/>
  <c r="G1329" i="67"/>
  <c r="G1328" i="67"/>
  <c r="G1327" i="67"/>
  <c r="G1326" i="67"/>
  <c r="G1325" i="67"/>
  <c r="G1324" i="67"/>
  <c r="G1323" i="67"/>
  <c r="G1322" i="67"/>
  <c r="G1321" i="67"/>
  <c r="G1320" i="67"/>
  <c r="G1319" i="67"/>
  <c r="G1318" i="67"/>
  <c r="G1317" i="67"/>
  <c r="G1316" i="67"/>
  <c r="G1315" i="67"/>
  <c r="G1314" i="67"/>
  <c r="G1313" i="67"/>
  <c r="G1312" i="67"/>
  <c r="G1311" i="67"/>
  <c r="G1310" i="67"/>
  <c r="G1309" i="67"/>
  <c r="G1308" i="67"/>
  <c r="G1307" i="67"/>
  <c r="G1306" i="67"/>
  <c r="G1305" i="67"/>
  <c r="G1304" i="67"/>
  <c r="G1303" i="67"/>
  <c r="G1302" i="67"/>
  <c r="G1301" i="67"/>
  <c r="G1300" i="67"/>
  <c r="G1299" i="67"/>
  <c r="G1298" i="67"/>
  <c r="G1297" i="67"/>
  <c r="G1296" i="67"/>
  <c r="G1295" i="67"/>
  <c r="G1294" i="67"/>
  <c r="G1293" i="67"/>
  <c r="G1292" i="67"/>
  <c r="G1291" i="67"/>
  <c r="G1290" i="67"/>
  <c r="G1289" i="67"/>
  <c r="G1288" i="67"/>
  <c r="G1287" i="67"/>
  <c r="G1286" i="67"/>
  <c r="G1285" i="67"/>
  <c r="G1284" i="67"/>
  <c r="G1283" i="67"/>
  <c r="G1282" i="67"/>
  <c r="G1281" i="67"/>
  <c r="G1280" i="67"/>
  <c r="G1279" i="67"/>
  <c r="G1278" i="67"/>
  <c r="G1277" i="67"/>
  <c r="G1276" i="67"/>
  <c r="G1275" i="67"/>
  <c r="G1274" i="67"/>
  <c r="G1273" i="67"/>
  <c r="G1272" i="67"/>
  <c r="G1271" i="67"/>
  <c r="G1270" i="67"/>
  <c r="G1269" i="67"/>
  <c r="G1268" i="67"/>
  <c r="G1267" i="67"/>
  <c r="G1266" i="67"/>
  <c r="G1265" i="67"/>
  <c r="G1264" i="67"/>
  <c r="G1263" i="67"/>
  <c r="G1262" i="67"/>
  <c r="G1261" i="67"/>
  <c r="G1260" i="67"/>
  <c r="G1259" i="67"/>
  <c r="G1258" i="67"/>
  <c r="G1257" i="67"/>
  <c r="G1256" i="67"/>
  <c r="G1255" i="67"/>
  <c r="G1254" i="67"/>
  <c r="G1253" i="67"/>
  <c r="G1252" i="67"/>
  <c r="G1251" i="67"/>
  <c r="G1250" i="67"/>
  <c r="G1249" i="67"/>
  <c r="G1248" i="67"/>
  <c r="G1247" i="67"/>
  <c r="G1246" i="67"/>
  <c r="G1245" i="67"/>
  <c r="G1244" i="67"/>
  <c r="G1243" i="67"/>
  <c r="G1242" i="67"/>
  <c r="G1241" i="67"/>
  <c r="G1240" i="67"/>
  <c r="G1239" i="67"/>
  <c r="G1238" i="67"/>
  <c r="G1237" i="67"/>
  <c r="G1236" i="67"/>
  <c r="G1235" i="67"/>
  <c r="G1234" i="67"/>
  <c r="G1233" i="67"/>
  <c r="G1232" i="67"/>
  <c r="G1231" i="67"/>
  <c r="G1230" i="67"/>
  <c r="G1229" i="67"/>
  <c r="G1228" i="67"/>
  <c r="G1227" i="67"/>
  <c r="G1226" i="67"/>
  <c r="G1225" i="67"/>
  <c r="G1224" i="67"/>
  <c r="G1223" i="67"/>
  <c r="G1222" i="67"/>
  <c r="G1221" i="67"/>
  <c r="G1220" i="67"/>
  <c r="G1219" i="67"/>
  <c r="G1218" i="67"/>
  <c r="G1217" i="67"/>
  <c r="G1216" i="67"/>
  <c r="G1215" i="67"/>
  <c r="G1214" i="67"/>
  <c r="G1213" i="67"/>
  <c r="G1212" i="67"/>
  <c r="G1211" i="67"/>
  <c r="G1210" i="67"/>
  <c r="G1209" i="67"/>
  <c r="G1208" i="67"/>
  <c r="G1207" i="67"/>
  <c r="G1206" i="67"/>
  <c r="G1205" i="67"/>
  <c r="G1204" i="67"/>
  <c r="G1203" i="67"/>
  <c r="G1202" i="67"/>
  <c r="G1201" i="67"/>
  <c r="G1200" i="67"/>
  <c r="G1199" i="67"/>
  <c r="G1198" i="67"/>
  <c r="G1197" i="67"/>
  <c r="G1196" i="67"/>
  <c r="G1195" i="67"/>
  <c r="G1194" i="67"/>
  <c r="G1193" i="67"/>
  <c r="G1192" i="67"/>
  <c r="G1191" i="67"/>
  <c r="G1190" i="67"/>
  <c r="G1189" i="67"/>
  <c r="G1188" i="67"/>
  <c r="G1187" i="67"/>
  <c r="G1186" i="67"/>
  <c r="G1185" i="67"/>
  <c r="G1184" i="67"/>
  <c r="G1183" i="67"/>
  <c r="G1182" i="67"/>
  <c r="G1181" i="67"/>
  <c r="G1180" i="67"/>
  <c r="G1179" i="67"/>
  <c r="G1178" i="67"/>
  <c r="G1177" i="67"/>
  <c r="G1176" i="67"/>
  <c r="G1175" i="67"/>
  <c r="G1174" i="67"/>
  <c r="G1173" i="67"/>
  <c r="G1172" i="67"/>
  <c r="G1171" i="67"/>
  <c r="G1170" i="67"/>
  <c r="G1169" i="67"/>
  <c r="G1168" i="67"/>
  <c r="G1167" i="67"/>
  <c r="G1166" i="67"/>
  <c r="G1165" i="67"/>
  <c r="G1164" i="67"/>
  <c r="G1163" i="67"/>
  <c r="G1162" i="67"/>
  <c r="G1161" i="67"/>
  <c r="G1160" i="67"/>
  <c r="G1159" i="67"/>
  <c r="G1158" i="67"/>
  <c r="G1157" i="67"/>
  <c r="G1156" i="67"/>
  <c r="G1155" i="67"/>
  <c r="G1154" i="67"/>
  <c r="G1153" i="67"/>
  <c r="G1152" i="67"/>
  <c r="G1151" i="67"/>
  <c r="G1150" i="67"/>
  <c r="G1149" i="67"/>
  <c r="G1148" i="67"/>
  <c r="G1147" i="67"/>
  <c r="G1146" i="67"/>
  <c r="G1145" i="67"/>
  <c r="G1144" i="67"/>
  <c r="G1143" i="67"/>
  <c r="G1142" i="67"/>
  <c r="G1141" i="67"/>
  <c r="G1140" i="67"/>
  <c r="G1139" i="67"/>
  <c r="G1138" i="67"/>
  <c r="G1137" i="67"/>
  <c r="G1136" i="67"/>
  <c r="G1135" i="67"/>
  <c r="G1134" i="67"/>
  <c r="G1133" i="67"/>
  <c r="G1132" i="67"/>
  <c r="G1131" i="67"/>
  <c r="G1130" i="67"/>
  <c r="G1129" i="67"/>
  <c r="G1128" i="67"/>
  <c r="G1127" i="67"/>
  <c r="G1126" i="67"/>
  <c r="G1125" i="67"/>
  <c r="G1124" i="67"/>
  <c r="G1123" i="67"/>
  <c r="G1122" i="67"/>
  <c r="G1121" i="67"/>
  <c r="G1120" i="67"/>
  <c r="G1119" i="67"/>
  <c r="G1118" i="67"/>
  <c r="G1117" i="67"/>
  <c r="G1116" i="67"/>
  <c r="G1115" i="67"/>
  <c r="G1114" i="67"/>
  <c r="G1113" i="67"/>
  <c r="G1112" i="67"/>
  <c r="G1111" i="67"/>
  <c r="G1110" i="67"/>
  <c r="G1109" i="67"/>
  <c r="G1108" i="67"/>
  <c r="G1107" i="67"/>
  <c r="G1106" i="67"/>
  <c r="G1105" i="67"/>
  <c r="G1104" i="67"/>
  <c r="G1103" i="67"/>
  <c r="G1102" i="67"/>
  <c r="G1101" i="67"/>
  <c r="G1100" i="67"/>
  <c r="G1099" i="67"/>
  <c r="G1098" i="67"/>
  <c r="G1097" i="67"/>
  <c r="G1096" i="67"/>
  <c r="G1095" i="67"/>
  <c r="G1094" i="67"/>
  <c r="G1093" i="67"/>
  <c r="G1092" i="67"/>
  <c r="G1091" i="67"/>
  <c r="G1090" i="67"/>
  <c r="G1089" i="67"/>
  <c r="G1088" i="67"/>
  <c r="G1087" i="67"/>
  <c r="G1086" i="67"/>
  <c r="G1085" i="67"/>
  <c r="G1084" i="67"/>
  <c r="G1083" i="67"/>
  <c r="G1082" i="67"/>
  <c r="G1081" i="67"/>
  <c r="G1080" i="67"/>
  <c r="G1079" i="67"/>
  <c r="G1078" i="67"/>
  <c r="G1077" i="67"/>
  <c r="G1076" i="67"/>
  <c r="G1075" i="67"/>
  <c r="G1074" i="67"/>
  <c r="G1073" i="67"/>
  <c r="G1072" i="67"/>
  <c r="G1071" i="67"/>
  <c r="G1070" i="67"/>
  <c r="G1069" i="67"/>
  <c r="G1068" i="67"/>
  <c r="G1067" i="67"/>
  <c r="G1066" i="67"/>
  <c r="G1065" i="67"/>
  <c r="G1064" i="67"/>
  <c r="G1063" i="67"/>
  <c r="G1062" i="67"/>
  <c r="G1061" i="67"/>
  <c r="G1060" i="67"/>
  <c r="G1059" i="67"/>
  <c r="G1058" i="67"/>
  <c r="G1057" i="67"/>
  <c r="G1056" i="67"/>
  <c r="G1055" i="67"/>
  <c r="G1054" i="67"/>
  <c r="G1053" i="67"/>
  <c r="G1052" i="67"/>
  <c r="G1051" i="67"/>
  <c r="G1050" i="67"/>
  <c r="G1049" i="67"/>
  <c r="G1048" i="67"/>
  <c r="G1047" i="67"/>
  <c r="G1046" i="67"/>
  <c r="G1045" i="67"/>
  <c r="G1044" i="67"/>
  <c r="G1043" i="67"/>
  <c r="G1042" i="67"/>
  <c r="G1041" i="67"/>
  <c r="G1040" i="67"/>
  <c r="G1039" i="67"/>
  <c r="G1038" i="67"/>
  <c r="G1037" i="67"/>
  <c r="G1036" i="67"/>
  <c r="G1035" i="67"/>
  <c r="G1034" i="67"/>
  <c r="G1033" i="67"/>
  <c r="G1032" i="67"/>
  <c r="G1031" i="67"/>
  <c r="G1030" i="67"/>
  <c r="G1029" i="67"/>
  <c r="G1028" i="67"/>
  <c r="G1027" i="67"/>
  <c r="G1026" i="67"/>
  <c r="G1025" i="67"/>
  <c r="G1024" i="67"/>
  <c r="G1023" i="67"/>
  <c r="G1022" i="67"/>
  <c r="G1021" i="67"/>
  <c r="G1020" i="67"/>
  <c r="G1019" i="67"/>
  <c r="G1018" i="67"/>
  <c r="G1017" i="67"/>
  <c r="G1016" i="67"/>
  <c r="G1015" i="67"/>
  <c r="G1014" i="67"/>
  <c r="G1013" i="67"/>
  <c r="G1012" i="67"/>
  <c r="G1011" i="67"/>
  <c r="G1010" i="67"/>
  <c r="G1009" i="67"/>
  <c r="G1008" i="67"/>
  <c r="G1007" i="67"/>
  <c r="G1006" i="67"/>
  <c r="G1005" i="67"/>
  <c r="G1004" i="67"/>
  <c r="G1003" i="67"/>
  <c r="G1002" i="67"/>
  <c r="G1001" i="67"/>
  <c r="G1000" i="67"/>
  <c r="G999" i="67"/>
  <c r="G998" i="67"/>
  <c r="G997" i="67"/>
  <c r="G996" i="67"/>
  <c r="G995" i="67"/>
  <c r="G994" i="67"/>
  <c r="G993" i="67"/>
  <c r="G992" i="67"/>
  <c r="G991" i="67"/>
  <c r="G990" i="67"/>
  <c r="G989" i="67"/>
  <c r="G988" i="67"/>
  <c r="G987" i="67"/>
  <c r="G986" i="67"/>
  <c r="G985" i="67"/>
  <c r="G984" i="67"/>
  <c r="G983" i="67"/>
  <c r="G982" i="67"/>
  <c r="G981" i="67"/>
  <c r="G980" i="67"/>
  <c r="G979" i="67"/>
  <c r="G978" i="67"/>
  <c r="G977" i="67"/>
  <c r="G976" i="67"/>
  <c r="G975" i="67"/>
  <c r="G974" i="67"/>
  <c r="G973" i="67"/>
  <c r="G972" i="67"/>
  <c r="G971" i="67"/>
  <c r="G970" i="67"/>
  <c r="G969" i="67"/>
  <c r="G968" i="67"/>
  <c r="G967" i="67"/>
  <c r="G966" i="67"/>
  <c r="G965" i="67"/>
  <c r="G964" i="67"/>
  <c r="G963" i="67"/>
  <c r="G962" i="67"/>
  <c r="G961" i="67"/>
  <c r="G960" i="67"/>
  <c r="G959" i="67"/>
  <c r="G958" i="67"/>
  <c r="G957" i="67"/>
  <c r="G956" i="67"/>
  <c r="G955" i="67"/>
  <c r="G954" i="67"/>
  <c r="G953" i="67"/>
  <c r="G952" i="67"/>
  <c r="G951" i="67"/>
  <c r="G950" i="67"/>
  <c r="G949" i="67"/>
  <c r="G948" i="67"/>
  <c r="G947" i="67"/>
  <c r="G946" i="67"/>
  <c r="G945" i="67"/>
  <c r="G944" i="67"/>
  <c r="G943" i="67"/>
  <c r="G942" i="67"/>
  <c r="G941" i="67"/>
  <c r="G940" i="67"/>
  <c r="G939" i="67"/>
  <c r="G938" i="67"/>
  <c r="G937" i="67"/>
  <c r="G936" i="67"/>
  <c r="G935" i="67"/>
  <c r="G934" i="67"/>
  <c r="G933" i="67"/>
  <c r="G932" i="67"/>
  <c r="G931" i="67"/>
  <c r="G930" i="67"/>
  <c r="G929" i="67"/>
  <c r="G928" i="67"/>
  <c r="G927" i="67"/>
  <c r="G926" i="67"/>
  <c r="G925" i="67"/>
  <c r="G924" i="67"/>
  <c r="G923" i="67"/>
  <c r="G922" i="67"/>
  <c r="G921" i="67"/>
  <c r="G920" i="67"/>
  <c r="G919" i="67"/>
  <c r="G918" i="67"/>
  <c r="G917" i="67"/>
  <c r="G916" i="67"/>
  <c r="G915" i="67"/>
  <c r="G914" i="67"/>
  <c r="G913" i="67"/>
  <c r="G912" i="67"/>
  <c r="G911" i="67"/>
  <c r="G910" i="67"/>
  <c r="G909" i="67"/>
  <c r="G908" i="67"/>
  <c r="G907" i="67"/>
  <c r="G906" i="67"/>
  <c r="G905" i="67"/>
  <c r="G904" i="67"/>
  <c r="G903" i="67"/>
  <c r="G902" i="67"/>
  <c r="G901" i="67"/>
  <c r="G900" i="67"/>
  <c r="G899" i="67"/>
  <c r="G898" i="67"/>
  <c r="G897" i="67"/>
  <c r="G896" i="67"/>
  <c r="G895" i="67"/>
  <c r="G894" i="67"/>
  <c r="G893" i="67"/>
  <c r="G892" i="67"/>
  <c r="G891" i="67"/>
  <c r="G890" i="67"/>
  <c r="G889" i="67"/>
  <c r="G888" i="67"/>
  <c r="G887" i="67"/>
  <c r="G886" i="67"/>
  <c r="G885" i="67"/>
  <c r="G884" i="67"/>
  <c r="G883" i="67"/>
  <c r="G882" i="67"/>
  <c r="G881" i="67"/>
  <c r="G880" i="67"/>
  <c r="G879" i="67"/>
  <c r="G878" i="67"/>
  <c r="G877" i="67"/>
  <c r="G876" i="67"/>
  <c r="G875" i="67"/>
  <c r="G874" i="67"/>
  <c r="G873" i="67"/>
  <c r="G872" i="67"/>
  <c r="G871" i="67"/>
  <c r="G870" i="67"/>
  <c r="G869" i="67"/>
  <c r="G868" i="67"/>
  <c r="G867" i="67"/>
  <c r="G866" i="67"/>
  <c r="G865" i="67"/>
  <c r="G864" i="67"/>
  <c r="G863" i="67"/>
  <c r="G862" i="67"/>
  <c r="G861" i="67"/>
  <c r="G860" i="67"/>
  <c r="G859" i="67"/>
  <c r="G858" i="67"/>
  <c r="G857" i="67"/>
  <c r="G856" i="67"/>
  <c r="G855" i="67"/>
  <c r="G854" i="67"/>
  <c r="G853" i="67"/>
  <c r="G852" i="67"/>
  <c r="G851" i="67"/>
  <c r="G850" i="67"/>
  <c r="G849" i="67"/>
  <c r="G848" i="67"/>
  <c r="G847" i="67"/>
  <c r="G846" i="67"/>
  <c r="G845" i="67"/>
  <c r="G844" i="67"/>
  <c r="G843" i="67"/>
  <c r="G842" i="67"/>
  <c r="G841" i="67"/>
  <c r="G840" i="67"/>
  <c r="G839" i="67"/>
  <c r="G838" i="67"/>
  <c r="G837" i="67"/>
  <c r="G836" i="67"/>
  <c r="G835" i="67"/>
  <c r="G834" i="67"/>
  <c r="G833" i="67"/>
  <c r="G832" i="67"/>
  <c r="G831" i="67"/>
  <c r="G830" i="67"/>
  <c r="G829" i="67"/>
  <c r="G828" i="67"/>
  <c r="G827" i="67"/>
  <c r="G826" i="67"/>
  <c r="G825" i="67"/>
  <c r="G824" i="67"/>
  <c r="G823" i="67"/>
  <c r="G822" i="67"/>
  <c r="G821" i="67"/>
  <c r="G820" i="67"/>
  <c r="G819" i="67"/>
  <c r="G818" i="67"/>
  <c r="G817" i="67"/>
  <c r="G816" i="67"/>
  <c r="G815" i="67"/>
  <c r="G814" i="67"/>
  <c r="G813" i="67"/>
  <c r="G812" i="67"/>
  <c r="G811" i="67"/>
  <c r="G810" i="67"/>
  <c r="G809" i="67"/>
  <c r="G808" i="67"/>
  <c r="G807" i="67"/>
  <c r="G806" i="67"/>
  <c r="G805" i="67"/>
  <c r="G804" i="67"/>
  <c r="G803" i="67"/>
  <c r="G802" i="67"/>
  <c r="G801" i="67"/>
  <c r="G800" i="67"/>
  <c r="G799" i="67"/>
  <c r="G798" i="67"/>
  <c r="G797" i="67"/>
  <c r="G796" i="67"/>
  <c r="G795" i="67"/>
  <c r="G794" i="67"/>
  <c r="G793" i="67"/>
  <c r="G792" i="67"/>
  <c r="G791" i="67"/>
  <c r="G790" i="67"/>
  <c r="G789" i="67"/>
  <c r="G788" i="67"/>
  <c r="G787" i="67"/>
  <c r="G786" i="67"/>
  <c r="G785" i="67"/>
  <c r="G784" i="67"/>
  <c r="G783" i="67"/>
  <c r="G782" i="67"/>
  <c r="G781" i="67"/>
  <c r="G780" i="67"/>
  <c r="G779" i="67"/>
  <c r="G778" i="67"/>
  <c r="G777" i="67"/>
  <c r="G776" i="67"/>
  <c r="G775" i="67"/>
  <c r="G774" i="67"/>
  <c r="G773" i="67"/>
  <c r="G772" i="67"/>
  <c r="G771" i="67"/>
  <c r="G770" i="67"/>
  <c r="G769" i="67"/>
  <c r="G768" i="67"/>
  <c r="G767" i="67"/>
  <c r="G766" i="67"/>
  <c r="G765" i="67"/>
  <c r="G764" i="67"/>
  <c r="G763" i="67"/>
  <c r="G762" i="67"/>
  <c r="G761" i="67"/>
  <c r="G760" i="67"/>
  <c r="G759" i="67"/>
  <c r="G758" i="67"/>
  <c r="G757" i="67"/>
  <c r="G756" i="67"/>
  <c r="G755" i="67"/>
  <c r="G754" i="67"/>
  <c r="G753" i="67"/>
  <c r="G752" i="67"/>
  <c r="G751" i="67"/>
  <c r="G750" i="67"/>
  <c r="G749" i="67"/>
  <c r="G748" i="67"/>
  <c r="G747" i="67"/>
  <c r="G746" i="67"/>
  <c r="G745" i="67"/>
  <c r="G744" i="67"/>
  <c r="G743" i="67"/>
  <c r="G742" i="67"/>
  <c r="G741" i="67"/>
  <c r="G740" i="67"/>
  <c r="G739" i="67"/>
  <c r="G738" i="67"/>
  <c r="G737" i="67"/>
  <c r="G736" i="67"/>
  <c r="G735" i="67"/>
  <c r="G734" i="67"/>
  <c r="G733" i="67"/>
  <c r="G732" i="67"/>
  <c r="G731" i="67"/>
  <c r="G730" i="67"/>
  <c r="G729" i="67"/>
  <c r="G728" i="67"/>
  <c r="G727" i="67"/>
  <c r="G726" i="67"/>
  <c r="G725" i="67"/>
  <c r="G724" i="67"/>
  <c r="G723" i="67"/>
  <c r="G722" i="67"/>
  <c r="G721" i="67"/>
  <c r="G720" i="67"/>
  <c r="G719" i="67"/>
  <c r="G718" i="67"/>
  <c r="G717" i="67"/>
  <c r="G716" i="67"/>
  <c r="G715" i="67"/>
  <c r="G714" i="67"/>
  <c r="G713" i="67"/>
  <c r="G712" i="67"/>
  <c r="G711" i="67"/>
  <c r="G710" i="67"/>
  <c r="G709" i="67"/>
  <c r="G708" i="67"/>
  <c r="G707" i="67"/>
  <c r="G706" i="67"/>
  <c r="G705" i="67"/>
  <c r="G704" i="67"/>
  <c r="G703" i="67"/>
  <c r="G702" i="67"/>
  <c r="G701" i="67"/>
  <c r="G700" i="67"/>
  <c r="G699" i="67"/>
  <c r="G698" i="67"/>
  <c r="G697" i="67"/>
  <c r="G696" i="67"/>
  <c r="G695" i="67"/>
  <c r="G694" i="67"/>
  <c r="G693" i="67"/>
  <c r="G692" i="67"/>
  <c r="G691" i="67"/>
  <c r="G690" i="67"/>
  <c r="G689" i="67"/>
  <c r="G688" i="67"/>
  <c r="G687" i="67"/>
  <c r="G686" i="67"/>
  <c r="G685" i="67"/>
  <c r="G684" i="67"/>
  <c r="G683" i="67"/>
  <c r="G682" i="67"/>
  <c r="G681" i="67"/>
  <c r="G680" i="67"/>
  <c r="G679" i="67"/>
  <c r="G678" i="67"/>
  <c r="G677" i="67"/>
  <c r="G676" i="67"/>
  <c r="G675" i="67"/>
  <c r="G674" i="67"/>
  <c r="G673" i="67"/>
  <c r="G672" i="67"/>
  <c r="G671" i="67"/>
  <c r="G670" i="67"/>
  <c r="G669" i="67"/>
  <c r="G668" i="67"/>
  <c r="G667" i="67"/>
  <c r="G666" i="67"/>
  <c r="G665" i="67"/>
  <c r="G664" i="67"/>
  <c r="G663" i="67"/>
  <c r="G662" i="67"/>
  <c r="G661" i="67"/>
  <c r="G660" i="67"/>
  <c r="G659" i="67"/>
  <c r="G658" i="67"/>
  <c r="G657" i="67"/>
  <c r="G656" i="67"/>
  <c r="G655" i="67"/>
  <c r="G654" i="67"/>
  <c r="G653" i="67"/>
  <c r="G652" i="67"/>
  <c r="G651" i="67"/>
  <c r="G650" i="67"/>
  <c r="G649" i="67"/>
  <c r="G648" i="67"/>
  <c r="G647" i="67"/>
  <c r="G646" i="67"/>
  <c r="G645" i="67"/>
  <c r="G644" i="67"/>
  <c r="G643" i="67"/>
  <c r="G642" i="67"/>
  <c r="G641" i="67"/>
  <c r="G640" i="67"/>
  <c r="G639" i="67"/>
  <c r="G638" i="67"/>
  <c r="G637" i="67"/>
  <c r="G636" i="67"/>
  <c r="G635" i="67"/>
  <c r="G634" i="67"/>
  <c r="G633" i="67"/>
  <c r="G632" i="67"/>
  <c r="G631" i="67"/>
  <c r="G630" i="67"/>
  <c r="G629" i="67"/>
  <c r="G628" i="67"/>
  <c r="G627" i="67"/>
  <c r="G626" i="67"/>
  <c r="G625" i="67"/>
  <c r="G624" i="67"/>
  <c r="G623" i="67"/>
  <c r="G622" i="67"/>
  <c r="G621" i="67"/>
  <c r="G620" i="67"/>
  <c r="G619" i="67"/>
  <c r="G618" i="67"/>
  <c r="G617" i="67"/>
  <c r="G616" i="67"/>
  <c r="G615" i="67"/>
  <c r="G614" i="67"/>
  <c r="G613" i="67"/>
  <c r="G612" i="67"/>
  <c r="G611" i="67"/>
  <c r="G610" i="67"/>
  <c r="G609" i="67"/>
  <c r="G608" i="67"/>
  <c r="G607" i="67"/>
  <c r="G606" i="67"/>
  <c r="G605" i="67"/>
  <c r="G604" i="67"/>
  <c r="G603" i="67"/>
  <c r="G602" i="67"/>
  <c r="G601" i="67"/>
  <c r="G600" i="67"/>
  <c r="G599" i="67"/>
  <c r="G598" i="67"/>
  <c r="G597" i="67"/>
  <c r="G596" i="67"/>
  <c r="G595" i="67"/>
  <c r="G594" i="67"/>
  <c r="G593" i="67"/>
  <c r="G592" i="67"/>
  <c r="G591" i="67"/>
  <c r="G590" i="67"/>
  <c r="G589" i="67"/>
  <c r="G588" i="67"/>
  <c r="G587" i="67"/>
  <c r="G586" i="67"/>
  <c r="G585" i="67"/>
  <c r="G584" i="67"/>
  <c r="G583" i="67"/>
  <c r="G582" i="67"/>
  <c r="G581" i="67"/>
  <c r="G580" i="67"/>
  <c r="G579" i="67"/>
  <c r="G578" i="67"/>
  <c r="G577" i="67"/>
  <c r="G576" i="67"/>
  <c r="G575" i="67"/>
  <c r="G574" i="67"/>
  <c r="G573" i="67"/>
  <c r="G572" i="67"/>
  <c r="G571" i="67"/>
  <c r="G570" i="67"/>
  <c r="G569" i="67"/>
  <c r="G568" i="67"/>
  <c r="G567" i="67"/>
  <c r="G566" i="67"/>
  <c r="G565" i="67"/>
  <c r="G564" i="67"/>
  <c r="G563" i="67"/>
  <c r="G562" i="67"/>
  <c r="G561" i="67"/>
  <c r="G560" i="67"/>
  <c r="G559" i="67"/>
  <c r="G558" i="67"/>
  <c r="G557" i="67"/>
  <c r="G556" i="67"/>
  <c r="G555" i="67"/>
  <c r="G554" i="67"/>
  <c r="G553" i="67"/>
  <c r="G552" i="67"/>
  <c r="G551" i="67"/>
  <c r="G550" i="67"/>
  <c r="G549" i="67"/>
  <c r="G548" i="67"/>
  <c r="G547" i="67"/>
  <c r="G546" i="67"/>
  <c r="G545" i="67"/>
  <c r="G544" i="67"/>
  <c r="G543" i="67"/>
  <c r="G542" i="67"/>
  <c r="G541" i="67"/>
  <c r="G540" i="67"/>
  <c r="G539" i="67"/>
  <c r="G538" i="67"/>
  <c r="G537" i="67"/>
  <c r="G536" i="67"/>
  <c r="G535" i="67"/>
  <c r="G534" i="67"/>
  <c r="G533" i="67"/>
  <c r="G532" i="67"/>
  <c r="G531" i="67"/>
  <c r="G530" i="67"/>
  <c r="M11" i="3" s="1"/>
  <c r="M12" i="3" s="1"/>
  <c r="G529" i="67"/>
  <c r="G528" i="67"/>
  <c r="G527" i="67"/>
  <c r="G526" i="67"/>
  <c r="G525" i="67"/>
  <c r="G524" i="67"/>
  <c r="G523" i="67"/>
  <c r="M50" i="3" s="1"/>
  <c r="G522" i="67"/>
  <c r="G521" i="67"/>
  <c r="G520" i="67"/>
  <c r="G519" i="67"/>
  <c r="G518" i="67"/>
  <c r="G517" i="67"/>
  <c r="G516" i="67"/>
  <c r="G514" i="67"/>
  <c r="G513" i="67"/>
  <c r="G512" i="67"/>
  <c r="G511" i="67"/>
  <c r="G510" i="67"/>
  <c r="G509" i="67"/>
  <c r="G508" i="67"/>
  <c r="G507" i="67"/>
  <c r="G506" i="67"/>
  <c r="M57" i="3" s="1"/>
  <c r="G505" i="67"/>
  <c r="G504" i="67"/>
  <c r="G503" i="67"/>
  <c r="G502" i="67"/>
  <c r="G501" i="67"/>
  <c r="G500" i="67"/>
  <c r="G499" i="67"/>
  <c r="G498" i="67"/>
  <c r="G497" i="67"/>
  <c r="G496" i="67"/>
  <c r="G495" i="67"/>
  <c r="G494" i="67"/>
  <c r="G493" i="67"/>
  <c r="G492" i="67"/>
  <c r="G491" i="67"/>
  <c r="G489" i="67"/>
  <c r="G488" i="67"/>
  <c r="G487" i="67"/>
  <c r="G486" i="67"/>
  <c r="G485" i="67"/>
  <c r="G484" i="67"/>
  <c r="G483" i="67"/>
  <c r="G482" i="67"/>
  <c r="G481" i="67"/>
  <c r="G480" i="67"/>
  <c r="G479" i="67"/>
  <c r="G478" i="67"/>
  <c r="G477" i="67"/>
  <c r="G476" i="67"/>
  <c r="G475" i="67"/>
  <c r="G474" i="67"/>
  <c r="G473" i="67"/>
  <c r="G472" i="67"/>
  <c r="G471" i="67"/>
  <c r="G470" i="67"/>
  <c r="G469" i="67"/>
  <c r="G468" i="67"/>
  <c r="G467" i="67"/>
  <c r="G466" i="67"/>
  <c r="G465" i="67"/>
  <c r="G464" i="67"/>
  <c r="G463" i="67"/>
  <c r="G462" i="67"/>
  <c r="G461" i="67"/>
  <c r="G460" i="67"/>
  <c r="G459" i="67"/>
  <c r="G458" i="67"/>
  <c r="G457" i="67"/>
  <c r="G456" i="67"/>
  <c r="G455" i="67"/>
  <c r="G454" i="67"/>
  <c r="G453" i="67"/>
  <c r="G452" i="67"/>
  <c r="G451" i="67"/>
  <c r="G450" i="67"/>
  <c r="G449" i="67"/>
  <c r="G448" i="67"/>
  <c r="G447" i="67"/>
  <c r="G446" i="67"/>
  <c r="G445" i="67"/>
  <c r="G444" i="67"/>
  <c r="G443" i="67"/>
  <c r="G442" i="67"/>
  <c r="M51" i="3" s="1"/>
  <c r="G441" i="67"/>
  <c r="G440" i="67"/>
  <c r="G439" i="67"/>
  <c r="G438" i="67"/>
  <c r="G437" i="67"/>
  <c r="G436" i="67"/>
  <c r="G435" i="67"/>
  <c r="G434" i="67"/>
  <c r="G433" i="67"/>
  <c r="G432" i="67"/>
  <c r="G431" i="67"/>
  <c r="G430" i="67"/>
  <c r="G429" i="67"/>
  <c r="G428" i="67"/>
  <c r="G427" i="67"/>
  <c r="G426" i="67"/>
  <c r="G425" i="67"/>
  <c r="G424" i="67"/>
  <c r="G423" i="67"/>
  <c r="G422" i="67"/>
  <c r="G421" i="67"/>
  <c r="G420" i="67"/>
  <c r="G419" i="67"/>
  <c r="G418" i="67"/>
  <c r="G417" i="67"/>
  <c r="G416" i="67"/>
  <c r="G415" i="67"/>
  <c r="G414" i="67"/>
  <c r="Y11" i="3" s="1"/>
  <c r="G413" i="67"/>
  <c r="G412" i="67"/>
  <c r="G411" i="67"/>
  <c r="G410" i="67"/>
  <c r="G409" i="67"/>
  <c r="G408" i="67"/>
  <c r="M46" i="3" s="1"/>
  <c r="G407" i="67"/>
  <c r="G406" i="67"/>
  <c r="G405" i="67"/>
  <c r="G404" i="67"/>
  <c r="M45" i="3" s="1"/>
  <c r="G403" i="67"/>
  <c r="M42" i="3" s="1"/>
  <c r="G402" i="67"/>
  <c r="G401" i="67"/>
  <c r="G400" i="67"/>
  <c r="G399" i="67"/>
  <c r="G398" i="67"/>
  <c r="G397" i="67"/>
  <c r="G396" i="67"/>
  <c r="G395" i="67"/>
  <c r="G394" i="67"/>
  <c r="G393" i="67"/>
  <c r="G392" i="67"/>
  <c r="G391" i="67"/>
  <c r="G390" i="67"/>
  <c r="G389" i="67"/>
  <c r="G388" i="67"/>
  <c r="G387" i="67"/>
  <c r="G386" i="67"/>
  <c r="G385" i="67"/>
  <c r="G384" i="67"/>
  <c r="G383" i="67"/>
  <c r="G382" i="67"/>
  <c r="G381" i="67"/>
  <c r="G380" i="67"/>
  <c r="G379" i="67"/>
  <c r="G378" i="67"/>
  <c r="G377" i="67"/>
  <c r="G376" i="67"/>
  <c r="G375" i="67"/>
  <c r="G374" i="67"/>
  <c r="G373" i="67"/>
  <c r="G372" i="67"/>
  <c r="G371" i="67"/>
  <c r="G370" i="67"/>
  <c r="G369" i="67"/>
  <c r="G368" i="67"/>
  <c r="G367" i="67"/>
  <c r="G366" i="67"/>
  <c r="G365" i="67"/>
  <c r="G364" i="67"/>
  <c r="G363" i="67"/>
  <c r="G362" i="67"/>
  <c r="G361" i="67"/>
  <c r="G360" i="67"/>
  <c r="G359" i="67"/>
  <c r="G358" i="67"/>
  <c r="G357" i="67"/>
  <c r="G356" i="67"/>
  <c r="G355" i="67"/>
  <c r="G354" i="67"/>
  <c r="G353" i="67"/>
  <c r="G352" i="67"/>
  <c r="G351" i="67"/>
  <c r="G350" i="67"/>
  <c r="G349" i="67"/>
  <c r="G348" i="67"/>
  <c r="G347" i="67"/>
  <c r="G346" i="67"/>
  <c r="G345" i="67"/>
  <c r="G344" i="67"/>
  <c r="G343" i="67"/>
  <c r="G342" i="67"/>
  <c r="G341" i="67"/>
  <c r="G340" i="67"/>
  <c r="G339" i="67"/>
  <c r="G338" i="67"/>
  <c r="G337" i="67"/>
  <c r="G336" i="67"/>
  <c r="G335" i="67"/>
  <c r="G334" i="67"/>
  <c r="G333" i="67"/>
  <c r="G332" i="67"/>
  <c r="G331" i="67"/>
  <c r="G330" i="67"/>
  <c r="G329" i="67"/>
  <c r="G328" i="67"/>
  <c r="G327" i="67"/>
  <c r="G326" i="67"/>
  <c r="G325" i="67"/>
  <c r="G324" i="67"/>
  <c r="G323" i="67"/>
  <c r="G322" i="67"/>
  <c r="G321" i="67"/>
  <c r="G320" i="67"/>
  <c r="G319" i="67"/>
  <c r="G318" i="67"/>
  <c r="G317" i="67"/>
  <c r="G316" i="67"/>
  <c r="G315" i="67"/>
  <c r="G314" i="67"/>
  <c r="G313" i="67"/>
  <c r="G312" i="67"/>
  <c r="G311" i="67"/>
  <c r="G310" i="67"/>
  <c r="G309" i="67"/>
  <c r="G308" i="67"/>
  <c r="G307" i="67"/>
  <c r="G306" i="67"/>
  <c r="G305" i="67"/>
  <c r="G304" i="67"/>
  <c r="G303" i="67"/>
  <c r="G302" i="67"/>
  <c r="G301" i="67"/>
  <c r="G300" i="67"/>
  <c r="G299" i="67"/>
  <c r="G298" i="67"/>
  <c r="G297" i="67"/>
  <c r="G296" i="67"/>
  <c r="G295" i="67"/>
  <c r="G294" i="67"/>
  <c r="G293" i="67"/>
  <c r="G292" i="67"/>
  <c r="G291" i="67"/>
  <c r="G290" i="67"/>
  <c r="G289" i="67"/>
  <c r="G288" i="67"/>
  <c r="G287" i="67"/>
  <c r="G286" i="67"/>
  <c r="G285" i="67"/>
  <c r="G284" i="67"/>
  <c r="G283" i="67"/>
  <c r="G282" i="67"/>
  <c r="G281" i="67"/>
  <c r="G280" i="67"/>
  <c r="G279" i="67"/>
  <c r="G278" i="67"/>
  <c r="G277" i="67"/>
  <c r="G276" i="67"/>
  <c r="G275" i="67"/>
  <c r="G274" i="67"/>
  <c r="G273" i="67"/>
  <c r="G272" i="67"/>
  <c r="G271" i="67"/>
  <c r="G270" i="67"/>
  <c r="G269" i="67"/>
  <c r="G268" i="67"/>
  <c r="G267" i="67"/>
  <c r="G266" i="67"/>
  <c r="G265" i="67"/>
  <c r="G264" i="67"/>
  <c r="G263" i="67"/>
  <c r="G262" i="67"/>
  <c r="G261" i="67"/>
  <c r="G260" i="67"/>
  <c r="G259" i="67"/>
  <c r="G258" i="67"/>
  <c r="G257" i="67"/>
  <c r="G256" i="67"/>
  <c r="G255" i="67"/>
  <c r="G254" i="67"/>
  <c r="G253" i="67"/>
  <c r="G252" i="67"/>
  <c r="G251" i="67"/>
  <c r="G250" i="67"/>
  <c r="G249" i="67"/>
  <c r="G248" i="67"/>
  <c r="G247" i="67"/>
  <c r="G246" i="67"/>
  <c r="G245" i="67"/>
  <c r="G244" i="67"/>
  <c r="G243" i="67"/>
  <c r="G242" i="67"/>
  <c r="G241" i="67"/>
  <c r="G240" i="67"/>
  <c r="G239" i="67"/>
  <c r="G238" i="67"/>
  <c r="G237" i="67"/>
  <c r="G236" i="67"/>
  <c r="G235" i="67"/>
  <c r="G234" i="67"/>
  <c r="G233" i="67"/>
  <c r="G232" i="67"/>
  <c r="G231" i="67"/>
  <c r="G230" i="67"/>
  <c r="G229" i="67"/>
  <c r="G228" i="67"/>
  <c r="G227" i="67"/>
  <c r="G226" i="67"/>
  <c r="G225" i="67"/>
  <c r="G224" i="67"/>
  <c r="G223" i="67"/>
  <c r="G222" i="67"/>
  <c r="G221" i="67"/>
  <c r="G220" i="67"/>
  <c r="G219" i="67"/>
  <c r="G218" i="67"/>
  <c r="G217" i="67"/>
  <c r="G216" i="67"/>
  <c r="G215" i="67"/>
  <c r="G214" i="67"/>
  <c r="G213" i="67"/>
  <c r="G212" i="67"/>
  <c r="G211" i="67"/>
  <c r="G210" i="67"/>
  <c r="G209" i="67"/>
  <c r="G208" i="67"/>
  <c r="G207" i="67"/>
  <c r="G206" i="67"/>
  <c r="G205" i="67"/>
  <c r="G204" i="67"/>
  <c r="G203" i="67"/>
  <c r="G202" i="67"/>
  <c r="G201" i="67"/>
  <c r="G200" i="67"/>
  <c r="G199" i="67"/>
  <c r="G198" i="67"/>
  <c r="G197" i="67"/>
  <c r="G196" i="67"/>
  <c r="G195" i="67"/>
  <c r="G194" i="67"/>
  <c r="G193" i="67"/>
  <c r="G192" i="67"/>
  <c r="G191" i="67"/>
  <c r="G190" i="67"/>
  <c r="G189" i="67"/>
  <c r="G188" i="67"/>
  <c r="G187" i="67"/>
  <c r="G186" i="67"/>
  <c r="G185" i="67"/>
  <c r="G184" i="67"/>
  <c r="G183" i="67"/>
  <c r="G182" i="67"/>
  <c r="G181" i="67"/>
  <c r="G180" i="67"/>
  <c r="G179" i="67"/>
  <c r="G178" i="67"/>
  <c r="G177" i="67"/>
  <c r="G176" i="67"/>
  <c r="G175" i="67"/>
  <c r="G174" i="67"/>
  <c r="G173" i="67"/>
  <c r="G172" i="67"/>
  <c r="G171" i="67"/>
  <c r="G170" i="67"/>
  <c r="G169" i="67"/>
  <c r="G168" i="67"/>
  <c r="G167" i="67"/>
  <c r="G166" i="67"/>
  <c r="G165" i="67"/>
  <c r="G164" i="67"/>
  <c r="G163" i="67"/>
  <c r="G162" i="67"/>
  <c r="G161" i="67"/>
  <c r="G160" i="67"/>
  <c r="G159" i="67"/>
  <c r="G158" i="67"/>
  <c r="G157" i="67"/>
  <c r="G156" i="67"/>
  <c r="G155" i="67"/>
  <c r="G154" i="67"/>
  <c r="G153" i="67"/>
  <c r="G152" i="67"/>
  <c r="G151" i="67"/>
  <c r="G150" i="67"/>
  <c r="G149" i="67"/>
  <c r="G148" i="67"/>
  <c r="G147" i="67"/>
  <c r="G146" i="67"/>
  <c r="G145" i="67"/>
  <c r="G144" i="67"/>
  <c r="G143" i="67"/>
  <c r="G142" i="67"/>
  <c r="G141" i="67"/>
  <c r="G140" i="67"/>
  <c r="G139" i="67"/>
  <c r="G138" i="67"/>
  <c r="G137" i="67"/>
  <c r="G136" i="67"/>
  <c r="G135" i="67"/>
  <c r="G134" i="67"/>
  <c r="G133" i="67"/>
  <c r="G132" i="67"/>
  <c r="G131" i="67"/>
  <c r="G130" i="67"/>
  <c r="G129" i="67"/>
  <c r="G128" i="67"/>
  <c r="G127" i="67"/>
  <c r="G126" i="67"/>
  <c r="G125" i="67"/>
  <c r="G124" i="67"/>
  <c r="G123" i="67"/>
  <c r="G122" i="67"/>
  <c r="G121" i="67"/>
  <c r="G120" i="67"/>
  <c r="G119" i="67"/>
  <c r="G118" i="67"/>
  <c r="G117" i="67"/>
  <c r="G116" i="67"/>
  <c r="G115" i="67"/>
  <c r="G114" i="67"/>
  <c r="G113" i="67"/>
  <c r="G112" i="67"/>
  <c r="G111" i="67"/>
  <c r="G110" i="67"/>
  <c r="G109" i="67"/>
  <c r="G108" i="67"/>
  <c r="G107" i="67"/>
  <c r="G106" i="67"/>
  <c r="G105" i="67"/>
  <c r="G104" i="67"/>
  <c r="G103" i="67"/>
  <c r="G102" i="67"/>
  <c r="G101" i="67"/>
  <c r="G100" i="67"/>
  <c r="G99" i="67"/>
  <c r="G98" i="67"/>
  <c r="G97" i="67"/>
  <c r="G96" i="67"/>
  <c r="G95" i="67"/>
  <c r="G94" i="67"/>
  <c r="G93" i="67"/>
  <c r="G92" i="67"/>
  <c r="G91" i="67"/>
  <c r="G90" i="67"/>
  <c r="G89" i="67"/>
  <c r="G88" i="67"/>
  <c r="G87" i="67"/>
  <c r="G86" i="67"/>
  <c r="G85" i="67"/>
  <c r="G84" i="67"/>
  <c r="G83" i="67"/>
  <c r="G82" i="67"/>
  <c r="G81" i="67"/>
  <c r="G80" i="67"/>
  <c r="G79" i="67"/>
  <c r="G78" i="67"/>
  <c r="G77" i="67"/>
  <c r="G76" i="67"/>
  <c r="G75" i="67"/>
  <c r="G74" i="67"/>
  <c r="G73" i="67"/>
  <c r="G72" i="67"/>
  <c r="G71" i="67"/>
  <c r="G70" i="67"/>
  <c r="G69" i="67"/>
  <c r="G68" i="67"/>
  <c r="G67" i="67"/>
  <c r="G66" i="67"/>
  <c r="G65" i="67"/>
  <c r="G64" i="67"/>
  <c r="G63" i="67"/>
  <c r="G62" i="67"/>
  <c r="G61" i="67"/>
  <c r="G60" i="67"/>
  <c r="G59" i="67"/>
  <c r="G58" i="67"/>
  <c r="G57" i="67"/>
  <c r="G56" i="67"/>
  <c r="G55" i="67"/>
  <c r="G54" i="67"/>
  <c r="G53" i="67"/>
  <c r="G52" i="67"/>
  <c r="G51" i="67"/>
  <c r="G50" i="67"/>
  <c r="G49" i="67"/>
  <c r="G48" i="67"/>
  <c r="G47" i="67"/>
  <c r="G46" i="67"/>
  <c r="G45" i="67"/>
  <c r="G44" i="67"/>
  <c r="G43" i="67"/>
  <c r="G42" i="67"/>
  <c r="G41" i="67"/>
  <c r="G40" i="67"/>
  <c r="G39" i="67"/>
  <c r="G38" i="67"/>
  <c r="G37" i="67"/>
  <c r="G36" i="67"/>
  <c r="G35" i="67"/>
  <c r="G34" i="67"/>
  <c r="G33" i="67"/>
  <c r="G32" i="67"/>
  <c r="G31" i="67"/>
  <c r="G30" i="67"/>
  <c r="G29" i="67"/>
  <c r="G28" i="67"/>
  <c r="G27" i="67"/>
  <c r="G26" i="67"/>
  <c r="G25" i="67"/>
  <c r="G24" i="67"/>
  <c r="G23" i="67"/>
  <c r="G22" i="67"/>
  <c r="G21" i="67"/>
  <c r="G20" i="67"/>
  <c r="G19" i="67"/>
  <c r="G18" i="67"/>
  <c r="G17" i="67"/>
  <c r="G16" i="67"/>
  <c r="G15" i="67"/>
  <c r="G14" i="67"/>
  <c r="G13" i="67"/>
  <c r="G12" i="67"/>
  <c r="G11" i="67"/>
  <c r="G10" i="67"/>
  <c r="G9" i="67"/>
  <c r="G8" i="67"/>
  <c r="G7" i="67"/>
  <c r="G6" i="67"/>
  <c r="G5" i="67"/>
  <c r="G4" i="67"/>
  <c r="G3" i="67"/>
  <c r="Y35" i="3"/>
  <c r="Y23" i="3"/>
  <c r="Y12" i="3" l="1"/>
  <c r="Y10" i="3"/>
  <c r="M16" i="3"/>
  <c r="M17" i="3" s="1"/>
  <c r="M26" i="3"/>
  <c r="M24" i="3"/>
  <c r="M22" i="3"/>
  <c r="Y32" i="3"/>
  <c r="M39" i="3"/>
  <c r="M8" i="3"/>
  <c r="K533" i="67"/>
  <c r="M7" i="3"/>
  <c r="K524" i="67"/>
  <c r="M41" i="3"/>
  <c r="M54" i="3"/>
  <c r="M60" i="3"/>
  <c r="M47" i="3"/>
  <c r="M48" i="3" s="1"/>
  <c r="M38" i="3"/>
  <c r="M58" i="3"/>
  <c r="M53" i="3"/>
  <c r="G1476" i="67"/>
  <c r="M55" i="3" l="1"/>
  <c r="M43" i="3"/>
  <c r="M28" i="3"/>
  <c r="M61" i="3"/>
  <c r="M9" i="3"/>
  <c r="M30" i="3" s="1"/>
  <c r="N43" i="3" s="1"/>
  <c r="N33" i="3" l="1"/>
  <c r="N8" i="3"/>
  <c r="N7" i="3"/>
  <c r="N12" i="3"/>
  <c r="N9" i="3"/>
  <c r="N61" i="3"/>
  <c r="N55" i="3"/>
  <c r="N30" i="3"/>
  <c r="N28" i="3"/>
  <c r="N48" i="3"/>
  <c r="N17" i="3"/>
  <c r="F1319" i="59"/>
  <c r="G36" i="60" l="1"/>
  <c r="G477" i="59"/>
  <c r="S52" i="3" l="1"/>
  <c r="S50" i="3"/>
  <c r="S40" i="3"/>
  <c r="S27" i="3" l="1"/>
  <c r="S26" i="3"/>
  <c r="S25" i="3"/>
  <c r="S24" i="3"/>
  <c r="S23" i="3"/>
  <c r="S22" i="3"/>
  <c r="S21" i="3"/>
  <c r="S20" i="3"/>
  <c r="S19" i="3"/>
  <c r="S16" i="3"/>
  <c r="S15" i="3"/>
  <c r="S14" i="3"/>
  <c r="S11" i="3"/>
  <c r="S8" i="3"/>
  <c r="S17" i="3" l="1"/>
  <c r="S28" i="3"/>
  <c r="G482" i="64"/>
  <c r="J490" i="67" s="1"/>
  <c r="G507" i="64" l="1"/>
  <c r="J515" i="67" s="1"/>
  <c r="F1432" i="64" l="1"/>
  <c r="E1432" i="64"/>
  <c r="D1432" i="64"/>
  <c r="C1432" i="64"/>
  <c r="B1432" i="64"/>
  <c r="Z35" i="3"/>
  <c r="E59" i="3" l="1"/>
  <c r="E33" i="3"/>
  <c r="G1429" i="64"/>
  <c r="J1474" i="67" s="1"/>
  <c r="G1428" i="64"/>
  <c r="J1473" i="67" s="1"/>
  <c r="G1427" i="64"/>
  <c r="J1472" i="67" s="1"/>
  <c r="G1426" i="64"/>
  <c r="J1471" i="67" s="1"/>
  <c r="G1425" i="64"/>
  <c r="J1470" i="67" s="1"/>
  <c r="G1424" i="64"/>
  <c r="J1469" i="67" s="1"/>
  <c r="G1423" i="64"/>
  <c r="J1467" i="67" s="1"/>
  <c r="G1422" i="64"/>
  <c r="J1466" i="67" s="1"/>
  <c r="G1421" i="64"/>
  <c r="G1420" i="64"/>
  <c r="J1465" i="67" s="1"/>
  <c r="G1419" i="64"/>
  <c r="J1464" i="67" s="1"/>
  <c r="G1418" i="64"/>
  <c r="J1463" i="67" s="1"/>
  <c r="G1417" i="64"/>
  <c r="J1462" i="67" s="1"/>
  <c r="G1416" i="64"/>
  <c r="J1461" i="67" s="1"/>
  <c r="G1415" i="64"/>
  <c r="J1460" i="67" s="1"/>
  <c r="G1414" i="64"/>
  <c r="J1459" i="67" s="1"/>
  <c r="G1413" i="64"/>
  <c r="J1458" i="67" s="1"/>
  <c r="G1412" i="64"/>
  <c r="J1457" i="67" s="1"/>
  <c r="G1411" i="64"/>
  <c r="J1456" i="67" s="1"/>
  <c r="G1410" i="64"/>
  <c r="J1455" i="67" s="1"/>
  <c r="G1409" i="64"/>
  <c r="J1454" i="67" s="1"/>
  <c r="G1408" i="64"/>
  <c r="J1453" i="67" s="1"/>
  <c r="G1407" i="64"/>
  <c r="J1452" i="67" s="1"/>
  <c r="G1406" i="64"/>
  <c r="J1451" i="67" s="1"/>
  <c r="G1405" i="64"/>
  <c r="J1450" i="67" s="1"/>
  <c r="G1404" i="64"/>
  <c r="J1449" i="67" s="1"/>
  <c r="G1403" i="64"/>
  <c r="J1448" i="67" s="1"/>
  <c r="G1402" i="64"/>
  <c r="J1447" i="67" s="1"/>
  <c r="G1401" i="64"/>
  <c r="J1446" i="67" s="1"/>
  <c r="G1400" i="64"/>
  <c r="J1445" i="67" s="1"/>
  <c r="G1399" i="64"/>
  <c r="J1444" i="67" s="1"/>
  <c r="G1398" i="64"/>
  <c r="J1443" i="67" s="1"/>
  <c r="G1397" i="64"/>
  <c r="J1442" i="67" s="1"/>
  <c r="G1396" i="64"/>
  <c r="J1441" i="67" s="1"/>
  <c r="G1395" i="64"/>
  <c r="J1440" i="67" s="1"/>
  <c r="G1394" i="64"/>
  <c r="J1439" i="67" s="1"/>
  <c r="G1393" i="64"/>
  <c r="J1438" i="67" s="1"/>
  <c r="G1392" i="64"/>
  <c r="J1437" i="67" s="1"/>
  <c r="G1391" i="64"/>
  <c r="J1436" i="67" s="1"/>
  <c r="G1390" i="64"/>
  <c r="J1435" i="67" s="1"/>
  <c r="G1389" i="64"/>
  <c r="J1434" i="67" s="1"/>
  <c r="G1388" i="64"/>
  <c r="J1433" i="67" s="1"/>
  <c r="G1387" i="64"/>
  <c r="J1432" i="67" s="1"/>
  <c r="G1386" i="64"/>
  <c r="J1431" i="67" s="1"/>
  <c r="G1385" i="64"/>
  <c r="J1430" i="67" s="1"/>
  <c r="G1384" i="64"/>
  <c r="J1429" i="67" s="1"/>
  <c r="G1383" i="64"/>
  <c r="J1428" i="67" s="1"/>
  <c r="G1382" i="64"/>
  <c r="J1427" i="67" s="1"/>
  <c r="G1381" i="64"/>
  <c r="J1426" i="67" s="1"/>
  <c r="G1380" i="64"/>
  <c r="J1425" i="67" s="1"/>
  <c r="G1379" i="64"/>
  <c r="J1424" i="67" s="1"/>
  <c r="G1378" i="64"/>
  <c r="J1423" i="67" s="1"/>
  <c r="G1377" i="64"/>
  <c r="J1422" i="67" s="1"/>
  <c r="G1376" i="64"/>
  <c r="J1421" i="67" s="1"/>
  <c r="G1375" i="64"/>
  <c r="J1420" i="67" s="1"/>
  <c r="G1374" i="64"/>
  <c r="J1419" i="67" s="1"/>
  <c r="G1373" i="64"/>
  <c r="J1418" i="67" s="1"/>
  <c r="G1372" i="64"/>
  <c r="J1417" i="67" s="1"/>
  <c r="G1371" i="64"/>
  <c r="J1416" i="67" s="1"/>
  <c r="G1370" i="64"/>
  <c r="J1415" i="67" s="1"/>
  <c r="G1369" i="64"/>
  <c r="J1414" i="67" s="1"/>
  <c r="G1368" i="64"/>
  <c r="J1413" i="67" s="1"/>
  <c r="G1367" i="64"/>
  <c r="J1412" i="67" s="1"/>
  <c r="G1366" i="64"/>
  <c r="J1411" i="67" s="1"/>
  <c r="G1365" i="64"/>
  <c r="J1410" i="67" s="1"/>
  <c r="G1364" i="64"/>
  <c r="J1409" i="67" s="1"/>
  <c r="G1363" i="64"/>
  <c r="J1407" i="67" s="1"/>
  <c r="G1362" i="64"/>
  <c r="J1406" i="67" s="1"/>
  <c r="G1361" i="64"/>
  <c r="J1405" i="67" s="1"/>
  <c r="G1360" i="64"/>
  <c r="J1404" i="67" s="1"/>
  <c r="G1359" i="64"/>
  <c r="J1403" i="67" s="1"/>
  <c r="G1358" i="64"/>
  <c r="J1402" i="67" s="1"/>
  <c r="G1357" i="64"/>
  <c r="J1401" i="67" s="1"/>
  <c r="G1356" i="64"/>
  <c r="J1400" i="67" s="1"/>
  <c r="G1355" i="64"/>
  <c r="J1399" i="67" s="1"/>
  <c r="G1354" i="64"/>
  <c r="J1398" i="67" s="1"/>
  <c r="G1353" i="64"/>
  <c r="J1397" i="67" s="1"/>
  <c r="G1352" i="64"/>
  <c r="J1396" i="67" s="1"/>
  <c r="G1351" i="64"/>
  <c r="J1395" i="67" s="1"/>
  <c r="G1350" i="64"/>
  <c r="J1394" i="67" s="1"/>
  <c r="G1349" i="64"/>
  <c r="J1393" i="67" s="1"/>
  <c r="G1348" i="64"/>
  <c r="J1392" i="67" s="1"/>
  <c r="G1347" i="64"/>
  <c r="J1391" i="67" s="1"/>
  <c r="G1346" i="64"/>
  <c r="J1390" i="67" s="1"/>
  <c r="G1345" i="64"/>
  <c r="J1389" i="67" s="1"/>
  <c r="G1344" i="64"/>
  <c r="J1388" i="67" s="1"/>
  <c r="G1343" i="64"/>
  <c r="J1387" i="67" s="1"/>
  <c r="G1342" i="64"/>
  <c r="J1386" i="67" s="1"/>
  <c r="G1341" i="64"/>
  <c r="J1385" i="67" s="1"/>
  <c r="G1340" i="64"/>
  <c r="J1384" i="67" s="1"/>
  <c r="G1339" i="64"/>
  <c r="J1383" i="67" s="1"/>
  <c r="G1338" i="64"/>
  <c r="J1382" i="67" s="1"/>
  <c r="G1337" i="64"/>
  <c r="J1381" i="67" s="1"/>
  <c r="G1336" i="64"/>
  <c r="J1380" i="67" s="1"/>
  <c r="G1335" i="64"/>
  <c r="J1379" i="67" s="1"/>
  <c r="G1334" i="64"/>
  <c r="J1378" i="67" s="1"/>
  <c r="G1333" i="64"/>
  <c r="J1377" i="67" s="1"/>
  <c r="G1332" i="64"/>
  <c r="J1376" i="67" s="1"/>
  <c r="G1331" i="64"/>
  <c r="J1375" i="67" s="1"/>
  <c r="G1330" i="64"/>
  <c r="J1374" i="67" s="1"/>
  <c r="G1329" i="64"/>
  <c r="J1372" i="67" s="1"/>
  <c r="G1328" i="64"/>
  <c r="J1371" i="67" s="1"/>
  <c r="G1327" i="64"/>
  <c r="J1370" i="67" s="1"/>
  <c r="G1326" i="64"/>
  <c r="J1369" i="67" s="1"/>
  <c r="G1325" i="64"/>
  <c r="J1368" i="67" s="1"/>
  <c r="G1324" i="64"/>
  <c r="J1367" i="67" s="1"/>
  <c r="G1323" i="64"/>
  <c r="J1366" i="67" s="1"/>
  <c r="G1322" i="64"/>
  <c r="J1365" i="67" s="1"/>
  <c r="G1321" i="64"/>
  <c r="J1364" i="67" s="1"/>
  <c r="G1320" i="64"/>
  <c r="J1363" i="67" s="1"/>
  <c r="G1319" i="64"/>
  <c r="J1362" i="67" s="1"/>
  <c r="G1318" i="64"/>
  <c r="J1361" i="67" s="1"/>
  <c r="G1317" i="64"/>
  <c r="J1360" i="67" s="1"/>
  <c r="G1316" i="64"/>
  <c r="J1359" i="67" s="1"/>
  <c r="G1315" i="64"/>
  <c r="J1358" i="67" s="1"/>
  <c r="G1314" i="64"/>
  <c r="J1357" i="67" s="1"/>
  <c r="G1313" i="64"/>
  <c r="J1356" i="67" s="1"/>
  <c r="G1312" i="64"/>
  <c r="J1355" i="67" s="1"/>
  <c r="G1311" i="64"/>
  <c r="J1354" i="67" s="1"/>
  <c r="G1310" i="64"/>
  <c r="J1353" i="67" s="1"/>
  <c r="G1309" i="64"/>
  <c r="J1352" i="67" s="1"/>
  <c r="G1308" i="64"/>
  <c r="J1350" i="67" s="1"/>
  <c r="G1307" i="64"/>
  <c r="J1349" i="67" s="1"/>
  <c r="G1306" i="64"/>
  <c r="J1348" i="67" s="1"/>
  <c r="G1305" i="64"/>
  <c r="J1347" i="67" s="1"/>
  <c r="G1304" i="64"/>
  <c r="J1346" i="67" s="1"/>
  <c r="G1303" i="64"/>
  <c r="J1345" i="67" s="1"/>
  <c r="G1302" i="64"/>
  <c r="J1344" i="67" s="1"/>
  <c r="G1301" i="64"/>
  <c r="J1343" i="67" s="1"/>
  <c r="G1300" i="64"/>
  <c r="J1228" i="67" s="1"/>
  <c r="G1299" i="64"/>
  <c r="J1342" i="67" s="1"/>
  <c r="G1298" i="64"/>
  <c r="J1341" i="67" s="1"/>
  <c r="G1297" i="64"/>
  <c r="J1340" i="67" s="1"/>
  <c r="G1296" i="64"/>
  <c r="J1339" i="67" s="1"/>
  <c r="G1295" i="64"/>
  <c r="J1338" i="67" s="1"/>
  <c r="G1294" i="64"/>
  <c r="J1337" i="67" s="1"/>
  <c r="G1293" i="64"/>
  <c r="J1336" i="67" s="1"/>
  <c r="G1292" i="64"/>
  <c r="J1335" i="67" s="1"/>
  <c r="G1291" i="64"/>
  <c r="J1334" i="67" s="1"/>
  <c r="G1290" i="64"/>
  <c r="J1333" i="67" s="1"/>
  <c r="G1289" i="64"/>
  <c r="J1332" i="67" s="1"/>
  <c r="G1288" i="64"/>
  <c r="J1227" i="67" s="1"/>
  <c r="G1287" i="64"/>
  <c r="J1331" i="67" s="1"/>
  <c r="G1286" i="64"/>
  <c r="J1330" i="67" s="1"/>
  <c r="G1285" i="64"/>
  <c r="J1329" i="67" s="1"/>
  <c r="G1284" i="64"/>
  <c r="J1328" i="67" s="1"/>
  <c r="G1283" i="64"/>
  <c r="J1327" i="67" s="1"/>
  <c r="G1282" i="64"/>
  <c r="J1326" i="67" s="1"/>
  <c r="G1281" i="64"/>
  <c r="J1325" i="67" s="1"/>
  <c r="G1280" i="64"/>
  <c r="J1324" i="67" s="1"/>
  <c r="G1279" i="64"/>
  <c r="J1323" i="67" s="1"/>
  <c r="G1278" i="64"/>
  <c r="J1322" i="67" s="1"/>
  <c r="G1277" i="64"/>
  <c r="J1321" i="67" s="1"/>
  <c r="G1276" i="64"/>
  <c r="J1320" i="67" s="1"/>
  <c r="G1275" i="64"/>
  <c r="J1319" i="67" s="1"/>
  <c r="G1274" i="64"/>
  <c r="J1318" i="67" s="1"/>
  <c r="G1273" i="64"/>
  <c r="J1317" i="67" s="1"/>
  <c r="G1272" i="64"/>
  <c r="J1316" i="67" s="1"/>
  <c r="G1271" i="64"/>
  <c r="J1315" i="67" s="1"/>
  <c r="G1270" i="64"/>
  <c r="J1314" i="67" s="1"/>
  <c r="G1269" i="64"/>
  <c r="J1313" i="67" s="1"/>
  <c r="G1268" i="64"/>
  <c r="J1312" i="67" s="1"/>
  <c r="G1267" i="64"/>
  <c r="J1311" i="67" s="1"/>
  <c r="G1266" i="64"/>
  <c r="J1310" i="67" s="1"/>
  <c r="G1265" i="64"/>
  <c r="J1309" i="67" s="1"/>
  <c r="G1264" i="64"/>
  <c r="J1308" i="67" s="1"/>
  <c r="G1263" i="64"/>
  <c r="J1307" i="67" s="1"/>
  <c r="G1262" i="64"/>
  <c r="J1306" i="67" s="1"/>
  <c r="G1261" i="64"/>
  <c r="J1305" i="67" s="1"/>
  <c r="G1260" i="64"/>
  <c r="J1304" i="67" s="1"/>
  <c r="G1259" i="64"/>
  <c r="J1303" i="67" s="1"/>
  <c r="G1258" i="64"/>
  <c r="J1302" i="67" s="1"/>
  <c r="G1257" i="64"/>
  <c r="J1301" i="67" s="1"/>
  <c r="G1256" i="64"/>
  <c r="J1300" i="67" s="1"/>
  <c r="G1255" i="64"/>
  <c r="J1299" i="67" s="1"/>
  <c r="G1254" i="64"/>
  <c r="J1298" i="67" s="1"/>
  <c r="G1253" i="64"/>
  <c r="J1297" i="67" s="1"/>
  <c r="G1252" i="64"/>
  <c r="J1296" i="67" s="1"/>
  <c r="G1251" i="64"/>
  <c r="J1295" i="67" s="1"/>
  <c r="G1250" i="64"/>
  <c r="J1294" i="67" s="1"/>
  <c r="G1249" i="64"/>
  <c r="J1293" i="67" s="1"/>
  <c r="G1248" i="64"/>
  <c r="J1292" i="67" s="1"/>
  <c r="G1247" i="64"/>
  <c r="J1290" i="67" s="1"/>
  <c r="G1246" i="64"/>
  <c r="J1289" i="67" s="1"/>
  <c r="G1245" i="64"/>
  <c r="J1288" i="67" s="1"/>
  <c r="G1244" i="64"/>
  <c r="J1287" i="67" s="1"/>
  <c r="G1243" i="64"/>
  <c r="J1286" i="67" s="1"/>
  <c r="G1242" i="64"/>
  <c r="J1285" i="67" s="1"/>
  <c r="G1241" i="64"/>
  <c r="J1284" i="67" s="1"/>
  <c r="G1240" i="64"/>
  <c r="J1283" i="67" s="1"/>
  <c r="G1239" i="64"/>
  <c r="J1282" i="67" s="1"/>
  <c r="G1238" i="64"/>
  <c r="J1281" i="67" s="1"/>
  <c r="G1237" i="64"/>
  <c r="J1279" i="67" s="1"/>
  <c r="G1236" i="64"/>
  <c r="J1278" i="67" s="1"/>
  <c r="G1235" i="64"/>
  <c r="J1277" i="67" s="1"/>
  <c r="G1234" i="64"/>
  <c r="J1276" i="67" s="1"/>
  <c r="G1233" i="64"/>
  <c r="J1275" i="67" s="1"/>
  <c r="G1232" i="64"/>
  <c r="J1274" i="67" s="1"/>
  <c r="G1231" i="64"/>
  <c r="J1273" i="67" s="1"/>
  <c r="G1230" i="64"/>
  <c r="J1272" i="67" s="1"/>
  <c r="G1229" i="64"/>
  <c r="J1271" i="67" s="1"/>
  <c r="G1228" i="64"/>
  <c r="J1270" i="67" s="1"/>
  <c r="G1227" i="64"/>
  <c r="J1269" i="67" s="1"/>
  <c r="G1226" i="64"/>
  <c r="J1268" i="67" s="1"/>
  <c r="G1225" i="64"/>
  <c r="J1267" i="67" s="1"/>
  <c r="G1224" i="64"/>
  <c r="J1266" i="67" s="1"/>
  <c r="G1223" i="64"/>
  <c r="J1265" i="67" s="1"/>
  <c r="G1222" i="64"/>
  <c r="J1264" i="67" s="1"/>
  <c r="G1221" i="64"/>
  <c r="J1263" i="67" s="1"/>
  <c r="G1220" i="64"/>
  <c r="J1262" i="67" s="1"/>
  <c r="G1219" i="64"/>
  <c r="J1261" i="67" s="1"/>
  <c r="G1218" i="64"/>
  <c r="J1260" i="67" s="1"/>
  <c r="G1217" i="64"/>
  <c r="J1258" i="67" s="1"/>
  <c r="G1216" i="64"/>
  <c r="J1257" i="67" s="1"/>
  <c r="G1215" i="64"/>
  <c r="J1256" i="67" s="1"/>
  <c r="G1214" i="64"/>
  <c r="J1255" i="67" s="1"/>
  <c r="G1213" i="64"/>
  <c r="J1254" i="67" s="1"/>
  <c r="G1212" i="64"/>
  <c r="J1253" i="67" s="1"/>
  <c r="G1211" i="64"/>
  <c r="J1252" i="67" s="1"/>
  <c r="G1210" i="64"/>
  <c r="J1251" i="67" s="1"/>
  <c r="G1209" i="64"/>
  <c r="J1250" i="67" s="1"/>
  <c r="G1208" i="64"/>
  <c r="J1249" i="67" s="1"/>
  <c r="G1207" i="64"/>
  <c r="J1248" i="67" s="1"/>
  <c r="G1206" i="64"/>
  <c r="J1247" i="67" s="1"/>
  <c r="G1205" i="64"/>
  <c r="J1246" i="67" s="1"/>
  <c r="G1204" i="64"/>
  <c r="J1245" i="67" s="1"/>
  <c r="G1203" i="64"/>
  <c r="J1244" i="67" s="1"/>
  <c r="G1202" i="64"/>
  <c r="J1243" i="67" s="1"/>
  <c r="G1201" i="64"/>
  <c r="J1242" i="67" s="1"/>
  <c r="G1200" i="64"/>
  <c r="J1241" i="67" s="1"/>
  <c r="G1199" i="64"/>
  <c r="J1240" i="67" s="1"/>
  <c r="G1198" i="64"/>
  <c r="J1239" i="67" s="1"/>
  <c r="G1197" i="64"/>
  <c r="J1238" i="67" s="1"/>
  <c r="G1196" i="64"/>
  <c r="J1237" i="67" s="1"/>
  <c r="G1195" i="64"/>
  <c r="J1236" i="67" s="1"/>
  <c r="G1194" i="64"/>
  <c r="J1235" i="67" s="1"/>
  <c r="G1193" i="64"/>
  <c r="J1234" i="67" s="1"/>
  <c r="G1192" i="64"/>
  <c r="J1233" i="67" s="1"/>
  <c r="G1191" i="64"/>
  <c r="J1231" i="67" s="1"/>
  <c r="G1190" i="64"/>
  <c r="J1230" i="67" s="1"/>
  <c r="G1189" i="64"/>
  <c r="G1188" i="64"/>
  <c r="J1229" i="67" s="1"/>
  <c r="G1187" i="64"/>
  <c r="J1226" i="67" s="1"/>
  <c r="G1186" i="64"/>
  <c r="J1225" i="67" s="1"/>
  <c r="G1185" i="64"/>
  <c r="J1224" i="67" s="1"/>
  <c r="G1184" i="64"/>
  <c r="J1223" i="67" s="1"/>
  <c r="G1183" i="64"/>
  <c r="J1222" i="67" s="1"/>
  <c r="G1182" i="64"/>
  <c r="J1221" i="67" s="1"/>
  <c r="G1181" i="64"/>
  <c r="J1220" i="67" s="1"/>
  <c r="G1180" i="64"/>
  <c r="J1219" i="67" s="1"/>
  <c r="G1179" i="64"/>
  <c r="J1218" i="67" s="1"/>
  <c r="G1178" i="64"/>
  <c r="J1217" i="67" s="1"/>
  <c r="G1177" i="64"/>
  <c r="J1216" i="67" s="1"/>
  <c r="G1176" i="64"/>
  <c r="J1213" i="67" s="1"/>
  <c r="G1175" i="64"/>
  <c r="J1212" i="67" s="1"/>
  <c r="G1174" i="64"/>
  <c r="J1211" i="67" s="1"/>
  <c r="G1173" i="64"/>
  <c r="J1210" i="67" s="1"/>
  <c r="G1172" i="64"/>
  <c r="J1209" i="67" s="1"/>
  <c r="G1171" i="64"/>
  <c r="J1207" i="67" s="1"/>
  <c r="G1170" i="64"/>
  <c r="J1205" i="67" s="1"/>
  <c r="G1169" i="64"/>
  <c r="J1203" i="67" s="1"/>
  <c r="G1168" i="64"/>
  <c r="J1202" i="67" s="1"/>
  <c r="G1167" i="64"/>
  <c r="J1201" i="67" s="1"/>
  <c r="G1166" i="64"/>
  <c r="J1200" i="67" s="1"/>
  <c r="G1165" i="64"/>
  <c r="J1199" i="67" s="1"/>
  <c r="G1164" i="64"/>
  <c r="J1198" i="67" s="1"/>
  <c r="G1163" i="64"/>
  <c r="J1197" i="67" s="1"/>
  <c r="G1162" i="64"/>
  <c r="J1196" i="67" s="1"/>
  <c r="G1161" i="64"/>
  <c r="J1195" i="67" s="1"/>
  <c r="G1160" i="64"/>
  <c r="J1194" i="67" s="1"/>
  <c r="G1159" i="64"/>
  <c r="J1193" i="67" s="1"/>
  <c r="G1158" i="64"/>
  <c r="J1192" i="67" s="1"/>
  <c r="G1157" i="64"/>
  <c r="J1190" i="67" s="1"/>
  <c r="G1156" i="64"/>
  <c r="J1189" i="67" s="1"/>
  <c r="G1155" i="64"/>
  <c r="J1188" i="67" s="1"/>
  <c r="G1154" i="64"/>
  <c r="J1187" i="67" s="1"/>
  <c r="G1153" i="64"/>
  <c r="J1186" i="67" s="1"/>
  <c r="G1152" i="64"/>
  <c r="J1185" i="67" s="1"/>
  <c r="G1151" i="64"/>
  <c r="J1184" i="67" s="1"/>
  <c r="G1150" i="64"/>
  <c r="J1183" i="67" s="1"/>
  <c r="G1149" i="64"/>
  <c r="J1182" i="67" s="1"/>
  <c r="G1148" i="64"/>
  <c r="J1181" i="67" s="1"/>
  <c r="G1147" i="64"/>
  <c r="J1180" i="67" s="1"/>
  <c r="G1146" i="64"/>
  <c r="J1179" i="67" s="1"/>
  <c r="G1145" i="64"/>
  <c r="J1178" i="67" s="1"/>
  <c r="G1144" i="64"/>
  <c r="J1177" i="67" s="1"/>
  <c r="G1143" i="64"/>
  <c r="J1176" i="67" s="1"/>
  <c r="G1142" i="64"/>
  <c r="J1175" i="67" s="1"/>
  <c r="G1141" i="64"/>
  <c r="J1174" i="67" s="1"/>
  <c r="G1140" i="64"/>
  <c r="J1173" i="67" s="1"/>
  <c r="G1139" i="64"/>
  <c r="J1172" i="67" s="1"/>
  <c r="G1138" i="64"/>
  <c r="J1171" i="67" s="1"/>
  <c r="G1137" i="64"/>
  <c r="J1170" i="67" s="1"/>
  <c r="G1136" i="64"/>
  <c r="J1169" i="67" s="1"/>
  <c r="G1135" i="64"/>
  <c r="J1168" i="67" s="1"/>
  <c r="G1134" i="64"/>
  <c r="J1167" i="67" s="1"/>
  <c r="G1133" i="64"/>
  <c r="J1166" i="67" s="1"/>
  <c r="G1132" i="64"/>
  <c r="J1165" i="67" s="1"/>
  <c r="G1131" i="64"/>
  <c r="J1164" i="67" s="1"/>
  <c r="G1130" i="64"/>
  <c r="J1163" i="67" s="1"/>
  <c r="G1129" i="64"/>
  <c r="J1162" i="67" s="1"/>
  <c r="G1128" i="64"/>
  <c r="J1161" i="67" s="1"/>
  <c r="G1127" i="64"/>
  <c r="J1160" i="67" s="1"/>
  <c r="G1126" i="64"/>
  <c r="J1159" i="67" s="1"/>
  <c r="G1125" i="64"/>
  <c r="J1158" i="67" s="1"/>
  <c r="G1124" i="64"/>
  <c r="J1157" i="67" s="1"/>
  <c r="G1123" i="64"/>
  <c r="J1156" i="67" s="1"/>
  <c r="G1122" i="64"/>
  <c r="J1155" i="67" s="1"/>
  <c r="G1121" i="64"/>
  <c r="J1154" i="67" s="1"/>
  <c r="G1120" i="64"/>
  <c r="J1153" i="67" s="1"/>
  <c r="G1119" i="64"/>
  <c r="J1152" i="67" s="1"/>
  <c r="G1118" i="64"/>
  <c r="J1151" i="67" s="1"/>
  <c r="G1117" i="64"/>
  <c r="J1150" i="67" s="1"/>
  <c r="G1116" i="64"/>
  <c r="J1149" i="67" s="1"/>
  <c r="G1115" i="64"/>
  <c r="J1148" i="67" s="1"/>
  <c r="G1114" i="64"/>
  <c r="J1147" i="67" s="1"/>
  <c r="G1113" i="64"/>
  <c r="J1146" i="67" s="1"/>
  <c r="G1112" i="64"/>
  <c r="J1144" i="67" s="1"/>
  <c r="G1111" i="64"/>
  <c r="J1143" i="67" s="1"/>
  <c r="G1110" i="64"/>
  <c r="J1142" i="67" s="1"/>
  <c r="G1109" i="64"/>
  <c r="J1141" i="67" s="1"/>
  <c r="G1108" i="64"/>
  <c r="J1140" i="67" s="1"/>
  <c r="G1107" i="64"/>
  <c r="J1139" i="67" s="1"/>
  <c r="G1106" i="64"/>
  <c r="J1138" i="67" s="1"/>
  <c r="G1105" i="64"/>
  <c r="J1137" i="67" s="1"/>
  <c r="G1104" i="64"/>
  <c r="J1135" i="67" s="1"/>
  <c r="G1103" i="64"/>
  <c r="J1134" i="67" s="1"/>
  <c r="G1102" i="64"/>
  <c r="J1133" i="67" s="1"/>
  <c r="G1101" i="64"/>
  <c r="J1132" i="67" s="1"/>
  <c r="G1100" i="64"/>
  <c r="J1131" i="67" s="1"/>
  <c r="G1099" i="64"/>
  <c r="J1130" i="67" s="1"/>
  <c r="G1098" i="64"/>
  <c r="J1129" i="67" s="1"/>
  <c r="G1097" i="64"/>
  <c r="J1127" i="67" s="1"/>
  <c r="G1096" i="64"/>
  <c r="J1126" i="67" s="1"/>
  <c r="G1095" i="64"/>
  <c r="J1125" i="67" s="1"/>
  <c r="G1094" i="64"/>
  <c r="J1124" i="67" s="1"/>
  <c r="G1093" i="64"/>
  <c r="J1122" i="67" s="1"/>
  <c r="G1092" i="64"/>
  <c r="J1121" i="67" s="1"/>
  <c r="G1091" i="64"/>
  <c r="J1120" i="67" s="1"/>
  <c r="G1090" i="64"/>
  <c r="J1119" i="67" s="1"/>
  <c r="G1089" i="64"/>
  <c r="J1118" i="67" s="1"/>
  <c r="G1088" i="64"/>
  <c r="J1117" i="67" s="1"/>
  <c r="G1087" i="64"/>
  <c r="J1116" i="67" s="1"/>
  <c r="G1086" i="64"/>
  <c r="J1114" i="67" s="1"/>
  <c r="G1085" i="64"/>
  <c r="J1113" i="67" s="1"/>
  <c r="G1084" i="64"/>
  <c r="J1112" i="67" s="1"/>
  <c r="G1083" i="64"/>
  <c r="J1111" i="67" s="1"/>
  <c r="G1082" i="64"/>
  <c r="J1109" i="67" s="1"/>
  <c r="G1081" i="64"/>
  <c r="J1108" i="67" s="1"/>
  <c r="G1080" i="64"/>
  <c r="J1107" i="67" s="1"/>
  <c r="G1079" i="64"/>
  <c r="J1106" i="67" s="1"/>
  <c r="G1078" i="64"/>
  <c r="J1105" i="67" s="1"/>
  <c r="G1077" i="64"/>
  <c r="J1104" i="67" s="1"/>
  <c r="G1076" i="64"/>
  <c r="J1103" i="67" s="1"/>
  <c r="G1075" i="64"/>
  <c r="J1102" i="67" s="1"/>
  <c r="G1074" i="64"/>
  <c r="J1101" i="67" s="1"/>
  <c r="G1073" i="64"/>
  <c r="J1100" i="67" s="1"/>
  <c r="G1072" i="64"/>
  <c r="J1099" i="67" s="1"/>
  <c r="G1071" i="64"/>
  <c r="J1098" i="67" s="1"/>
  <c r="G1070" i="64"/>
  <c r="J1097" i="67" s="1"/>
  <c r="G1069" i="64"/>
  <c r="J1096" i="67" s="1"/>
  <c r="G1068" i="64"/>
  <c r="J1095" i="67" s="1"/>
  <c r="G1067" i="64"/>
  <c r="J1094" i="67" s="1"/>
  <c r="G1066" i="64"/>
  <c r="J1093" i="67" s="1"/>
  <c r="G1065" i="64"/>
  <c r="J1092" i="67" s="1"/>
  <c r="G1064" i="64"/>
  <c r="J1091" i="67" s="1"/>
  <c r="G1063" i="64"/>
  <c r="J1090" i="67" s="1"/>
  <c r="G1062" i="64"/>
  <c r="J1089" i="67" s="1"/>
  <c r="G1061" i="64"/>
  <c r="J1088" i="67" s="1"/>
  <c r="G1060" i="64"/>
  <c r="J1087" i="67" s="1"/>
  <c r="G1059" i="64"/>
  <c r="J1085" i="67" s="1"/>
  <c r="G1058" i="64"/>
  <c r="J1084" i="67" s="1"/>
  <c r="G1057" i="64"/>
  <c r="J1083" i="67" s="1"/>
  <c r="G1056" i="64"/>
  <c r="J1082" i="67" s="1"/>
  <c r="G1055" i="64"/>
  <c r="J1081" i="67" s="1"/>
  <c r="G1054" i="64"/>
  <c r="J1080" i="67" s="1"/>
  <c r="G1053" i="64"/>
  <c r="J1078" i="67" s="1"/>
  <c r="G1052" i="64"/>
  <c r="J1077" i="67" s="1"/>
  <c r="G1051" i="64"/>
  <c r="J1076" i="67" s="1"/>
  <c r="G1050" i="64"/>
  <c r="J1075" i="67" s="1"/>
  <c r="G1049" i="64"/>
  <c r="J1074" i="67" s="1"/>
  <c r="G1048" i="64"/>
  <c r="J1073" i="67" s="1"/>
  <c r="G1047" i="64"/>
  <c r="J1072" i="67" s="1"/>
  <c r="G1046" i="64"/>
  <c r="J1071" i="67" s="1"/>
  <c r="G1045" i="64"/>
  <c r="J1070" i="67" s="1"/>
  <c r="G1044" i="64"/>
  <c r="J1069" i="67" s="1"/>
  <c r="G1043" i="64"/>
  <c r="J1068" i="67" s="1"/>
  <c r="G1042" i="64"/>
  <c r="J1067" i="67" s="1"/>
  <c r="G1041" i="64"/>
  <c r="J1066" i="67" s="1"/>
  <c r="G1040" i="64"/>
  <c r="J1065" i="67" s="1"/>
  <c r="G1039" i="64"/>
  <c r="J1064" i="67" s="1"/>
  <c r="G1038" i="64"/>
  <c r="J1063" i="67" s="1"/>
  <c r="G1037" i="64"/>
  <c r="J1062" i="67" s="1"/>
  <c r="G1036" i="64"/>
  <c r="J1061" i="67" s="1"/>
  <c r="G1035" i="64"/>
  <c r="J1060" i="67" s="1"/>
  <c r="G1034" i="64"/>
  <c r="J1059" i="67" s="1"/>
  <c r="G1033" i="64"/>
  <c r="J1058" i="67" s="1"/>
  <c r="G1032" i="64"/>
  <c r="J1057" i="67" s="1"/>
  <c r="G1031" i="64"/>
  <c r="J1056" i="67" s="1"/>
  <c r="G1030" i="64"/>
  <c r="J1055" i="67" s="1"/>
  <c r="G1029" i="64"/>
  <c r="J1054" i="67" s="1"/>
  <c r="G1028" i="64"/>
  <c r="J1053" i="67" s="1"/>
  <c r="G1027" i="64"/>
  <c r="J1052" i="67" s="1"/>
  <c r="G1026" i="64"/>
  <c r="J1051" i="67" s="1"/>
  <c r="G1025" i="64"/>
  <c r="J1050" i="67" s="1"/>
  <c r="G1024" i="64"/>
  <c r="J1049" i="67" s="1"/>
  <c r="G1023" i="64"/>
  <c r="J1048" i="67" s="1"/>
  <c r="G1022" i="64"/>
  <c r="J1047" i="67" s="1"/>
  <c r="G1021" i="64"/>
  <c r="J1046" i="67" s="1"/>
  <c r="G1020" i="64"/>
  <c r="J1045" i="67" s="1"/>
  <c r="G1019" i="64"/>
  <c r="J1044" i="67" s="1"/>
  <c r="G1018" i="64"/>
  <c r="J1043" i="67" s="1"/>
  <c r="G1017" i="64"/>
  <c r="J1042" i="67" s="1"/>
  <c r="G1016" i="64"/>
  <c r="J1041" i="67" s="1"/>
  <c r="G1015" i="64"/>
  <c r="J1040" i="67" s="1"/>
  <c r="G1014" i="64"/>
  <c r="J1039" i="67" s="1"/>
  <c r="G1013" i="64"/>
  <c r="J1038" i="67" s="1"/>
  <c r="G1012" i="64"/>
  <c r="J1037" i="67" s="1"/>
  <c r="G1011" i="64"/>
  <c r="J1036" i="67" s="1"/>
  <c r="G1010" i="64"/>
  <c r="J1035" i="67" s="1"/>
  <c r="G1009" i="64"/>
  <c r="J1034" i="67" s="1"/>
  <c r="G1008" i="64"/>
  <c r="J1033" i="67" s="1"/>
  <c r="G1007" i="64"/>
  <c r="J1032" i="67" s="1"/>
  <c r="G1006" i="64"/>
  <c r="J1031" i="67" s="1"/>
  <c r="G1005" i="64"/>
  <c r="J1030" i="67" s="1"/>
  <c r="G1004" i="64"/>
  <c r="J1029" i="67" s="1"/>
  <c r="G1003" i="64"/>
  <c r="J1028" i="67" s="1"/>
  <c r="G1002" i="64"/>
  <c r="J1027" i="67" s="1"/>
  <c r="G1001" i="64"/>
  <c r="J1026" i="67" s="1"/>
  <c r="G1000" i="64"/>
  <c r="J1025" i="67" s="1"/>
  <c r="G999" i="64"/>
  <c r="J1024" i="67" s="1"/>
  <c r="G998" i="64"/>
  <c r="J1023" i="67" s="1"/>
  <c r="G997" i="64"/>
  <c r="J1022" i="67" s="1"/>
  <c r="G996" i="64"/>
  <c r="J1021" i="67" s="1"/>
  <c r="G995" i="64"/>
  <c r="J1020" i="67" s="1"/>
  <c r="G994" i="64"/>
  <c r="J1019" i="67" s="1"/>
  <c r="G993" i="64"/>
  <c r="J1018" i="67" s="1"/>
  <c r="G992" i="64"/>
  <c r="J1017" i="67" s="1"/>
  <c r="G991" i="64"/>
  <c r="J1016" i="67" s="1"/>
  <c r="G990" i="64"/>
  <c r="J1014" i="67" s="1"/>
  <c r="G989" i="64"/>
  <c r="J1013" i="67" s="1"/>
  <c r="G988" i="64"/>
  <c r="J1012" i="67" s="1"/>
  <c r="G987" i="64"/>
  <c r="J1011" i="67" s="1"/>
  <c r="G986" i="64"/>
  <c r="J1010" i="67" s="1"/>
  <c r="G985" i="64"/>
  <c r="J1009" i="67" s="1"/>
  <c r="G984" i="64"/>
  <c r="J1008" i="67" s="1"/>
  <c r="G983" i="64"/>
  <c r="J1007" i="67" s="1"/>
  <c r="G982" i="64"/>
  <c r="J1006" i="67" s="1"/>
  <c r="G981" i="64"/>
  <c r="J1232" i="67" s="1"/>
  <c r="G980" i="64"/>
  <c r="J1005" i="67" s="1"/>
  <c r="G979" i="64"/>
  <c r="J1004" i="67" s="1"/>
  <c r="G978" i="64"/>
  <c r="J1003" i="67" s="1"/>
  <c r="G977" i="64"/>
  <c r="J1002" i="67" s="1"/>
  <c r="G976" i="64"/>
  <c r="J1001" i="67" s="1"/>
  <c r="G975" i="64"/>
  <c r="J1000" i="67" s="1"/>
  <c r="G974" i="64"/>
  <c r="J999" i="67" s="1"/>
  <c r="G973" i="64"/>
  <c r="J998" i="67" s="1"/>
  <c r="G972" i="64"/>
  <c r="J997" i="67" s="1"/>
  <c r="G971" i="64"/>
  <c r="J996" i="67" s="1"/>
  <c r="G970" i="64"/>
  <c r="J995" i="67" s="1"/>
  <c r="G969" i="64"/>
  <c r="J994" i="67" s="1"/>
  <c r="G968" i="64"/>
  <c r="J993" i="67" s="1"/>
  <c r="G967" i="64"/>
  <c r="J992" i="67" s="1"/>
  <c r="G966" i="64"/>
  <c r="J991" i="67" s="1"/>
  <c r="G965" i="64"/>
  <c r="J990" i="67" s="1"/>
  <c r="G964" i="64"/>
  <c r="J989" i="67" s="1"/>
  <c r="G963" i="64"/>
  <c r="J988" i="67" s="1"/>
  <c r="G962" i="64"/>
  <c r="J987" i="67" s="1"/>
  <c r="G961" i="64"/>
  <c r="J986" i="67" s="1"/>
  <c r="G960" i="64"/>
  <c r="J985" i="67" s="1"/>
  <c r="G959" i="64"/>
  <c r="J983" i="67" s="1"/>
  <c r="G958" i="64"/>
  <c r="J982" i="67" s="1"/>
  <c r="G957" i="64"/>
  <c r="J981" i="67" s="1"/>
  <c r="G956" i="64"/>
  <c r="J980" i="67" s="1"/>
  <c r="G955" i="64"/>
  <c r="J979" i="67" s="1"/>
  <c r="G954" i="64"/>
  <c r="J978" i="67" s="1"/>
  <c r="G953" i="64"/>
  <c r="J977" i="67" s="1"/>
  <c r="G952" i="64"/>
  <c r="J976" i="67" s="1"/>
  <c r="G951" i="64"/>
  <c r="J975" i="67" s="1"/>
  <c r="G950" i="64"/>
  <c r="J974" i="67" s="1"/>
  <c r="G949" i="64"/>
  <c r="J973" i="67" s="1"/>
  <c r="G948" i="64"/>
  <c r="J972" i="67" s="1"/>
  <c r="G947" i="64"/>
  <c r="J971" i="67" s="1"/>
  <c r="G946" i="64"/>
  <c r="J970" i="67" s="1"/>
  <c r="G945" i="64"/>
  <c r="J969" i="67" s="1"/>
  <c r="G944" i="64"/>
  <c r="J968" i="67" s="1"/>
  <c r="G943" i="64"/>
  <c r="J967" i="67" s="1"/>
  <c r="G942" i="64"/>
  <c r="J966" i="67" s="1"/>
  <c r="G941" i="64"/>
  <c r="J965" i="67" s="1"/>
  <c r="G940" i="64"/>
  <c r="J964" i="67" s="1"/>
  <c r="G939" i="64"/>
  <c r="J963" i="67" s="1"/>
  <c r="G938" i="64"/>
  <c r="J962" i="67" s="1"/>
  <c r="G937" i="64"/>
  <c r="J961" i="67" s="1"/>
  <c r="G936" i="64"/>
  <c r="J960" i="67" s="1"/>
  <c r="G935" i="64"/>
  <c r="J959" i="67" s="1"/>
  <c r="G934" i="64"/>
  <c r="J958" i="67" s="1"/>
  <c r="G933" i="64"/>
  <c r="J957" i="67" s="1"/>
  <c r="G932" i="64"/>
  <c r="J956" i="67" s="1"/>
  <c r="G931" i="64"/>
  <c r="J955" i="67" s="1"/>
  <c r="G930" i="64"/>
  <c r="J954" i="67" s="1"/>
  <c r="G929" i="64"/>
  <c r="J953" i="67" s="1"/>
  <c r="G928" i="64"/>
  <c r="J952" i="67" s="1"/>
  <c r="G927" i="64"/>
  <c r="J951" i="67" s="1"/>
  <c r="G926" i="64"/>
  <c r="J950" i="67" s="1"/>
  <c r="G925" i="64"/>
  <c r="J949" i="67" s="1"/>
  <c r="G924" i="64"/>
  <c r="J948" i="67" s="1"/>
  <c r="G923" i="64"/>
  <c r="J947" i="67" s="1"/>
  <c r="G922" i="64"/>
  <c r="J946" i="67" s="1"/>
  <c r="G921" i="64"/>
  <c r="J945" i="67" s="1"/>
  <c r="G920" i="64"/>
  <c r="J944" i="67" s="1"/>
  <c r="G919" i="64"/>
  <c r="J943" i="67" s="1"/>
  <c r="G918" i="64"/>
  <c r="J942" i="67" s="1"/>
  <c r="G917" i="64"/>
  <c r="J941" i="67" s="1"/>
  <c r="G916" i="64"/>
  <c r="J940" i="67" s="1"/>
  <c r="G915" i="64"/>
  <c r="J939" i="67" s="1"/>
  <c r="G914" i="64"/>
  <c r="J938" i="67" s="1"/>
  <c r="G913" i="64"/>
  <c r="J937" i="67" s="1"/>
  <c r="G912" i="64"/>
  <c r="J936" i="67" s="1"/>
  <c r="G911" i="64"/>
  <c r="J935" i="67" s="1"/>
  <c r="G910" i="64"/>
  <c r="J934" i="67" s="1"/>
  <c r="G909" i="64"/>
  <c r="J933" i="67" s="1"/>
  <c r="G908" i="64"/>
  <c r="J932" i="67" s="1"/>
  <c r="G907" i="64"/>
  <c r="J931" i="67" s="1"/>
  <c r="G906" i="64"/>
  <c r="J930" i="67" s="1"/>
  <c r="G905" i="64"/>
  <c r="J929" i="67" s="1"/>
  <c r="G904" i="64"/>
  <c r="J928" i="67" s="1"/>
  <c r="G903" i="64"/>
  <c r="J927" i="67" s="1"/>
  <c r="G902" i="64"/>
  <c r="J926" i="67" s="1"/>
  <c r="G901" i="64"/>
  <c r="J925" i="67" s="1"/>
  <c r="G900" i="64"/>
  <c r="J924" i="67" s="1"/>
  <c r="G899" i="64"/>
  <c r="J923" i="67" s="1"/>
  <c r="G898" i="64"/>
  <c r="J922" i="67" s="1"/>
  <c r="G897" i="64"/>
  <c r="J921" i="67" s="1"/>
  <c r="G896" i="64"/>
  <c r="J920" i="67" s="1"/>
  <c r="G895" i="64"/>
  <c r="J919" i="67" s="1"/>
  <c r="G894" i="64"/>
  <c r="J918" i="67" s="1"/>
  <c r="G893" i="64"/>
  <c r="J917" i="67" s="1"/>
  <c r="G892" i="64"/>
  <c r="J916" i="67" s="1"/>
  <c r="G891" i="64"/>
  <c r="J915" i="67" s="1"/>
  <c r="G890" i="64"/>
  <c r="J914" i="67" s="1"/>
  <c r="G889" i="64"/>
  <c r="J913" i="67" s="1"/>
  <c r="G888" i="64"/>
  <c r="J912" i="67" s="1"/>
  <c r="G887" i="64"/>
  <c r="J911" i="67" s="1"/>
  <c r="G886" i="64"/>
  <c r="J910" i="67" s="1"/>
  <c r="G885" i="64"/>
  <c r="J909" i="67" s="1"/>
  <c r="G884" i="64"/>
  <c r="J908" i="67" s="1"/>
  <c r="G883" i="64"/>
  <c r="J907" i="67" s="1"/>
  <c r="G882" i="64"/>
  <c r="J906" i="67" s="1"/>
  <c r="G881" i="64"/>
  <c r="J905" i="67" s="1"/>
  <c r="G880" i="64"/>
  <c r="J904" i="67" s="1"/>
  <c r="G879" i="64"/>
  <c r="J903" i="67" s="1"/>
  <c r="G878" i="64"/>
  <c r="J902" i="67" s="1"/>
  <c r="G877" i="64"/>
  <c r="J901" i="67" s="1"/>
  <c r="G876" i="64"/>
  <c r="J900" i="67" s="1"/>
  <c r="G875" i="64"/>
  <c r="J899" i="67" s="1"/>
  <c r="G874" i="64"/>
  <c r="J898" i="67" s="1"/>
  <c r="G873" i="64"/>
  <c r="J897" i="67" s="1"/>
  <c r="G872" i="64"/>
  <c r="J896" i="67" s="1"/>
  <c r="G871" i="64"/>
  <c r="J895" i="67" s="1"/>
  <c r="G870" i="64"/>
  <c r="J894" i="67" s="1"/>
  <c r="G869" i="64"/>
  <c r="J893" i="67" s="1"/>
  <c r="G868" i="64"/>
  <c r="J892" i="67" s="1"/>
  <c r="G867" i="64"/>
  <c r="J891" i="67" s="1"/>
  <c r="G866" i="64"/>
  <c r="J890" i="67" s="1"/>
  <c r="G865" i="64"/>
  <c r="J889" i="67" s="1"/>
  <c r="G864" i="64"/>
  <c r="J888" i="67" s="1"/>
  <c r="G863" i="64"/>
  <c r="J887" i="67" s="1"/>
  <c r="G862" i="64"/>
  <c r="J886" i="67" s="1"/>
  <c r="G861" i="64"/>
  <c r="J885" i="67" s="1"/>
  <c r="G860" i="64"/>
  <c r="J884" i="67" s="1"/>
  <c r="G859" i="64"/>
  <c r="J883" i="67" s="1"/>
  <c r="G858" i="64"/>
  <c r="J882" i="67" s="1"/>
  <c r="G857" i="64"/>
  <c r="J881" i="67" s="1"/>
  <c r="G856" i="64"/>
  <c r="J880" i="67" s="1"/>
  <c r="G855" i="64"/>
  <c r="J879" i="67" s="1"/>
  <c r="G854" i="64"/>
  <c r="J877" i="67" s="1"/>
  <c r="G853" i="64"/>
  <c r="J875" i="67" s="1"/>
  <c r="G852" i="64"/>
  <c r="J874" i="67" s="1"/>
  <c r="G851" i="64"/>
  <c r="J873" i="67" s="1"/>
  <c r="G850" i="64"/>
  <c r="J872" i="67" s="1"/>
  <c r="G849" i="64"/>
  <c r="J871" i="67" s="1"/>
  <c r="G848" i="64"/>
  <c r="J1259" i="67" s="1"/>
  <c r="G847" i="64"/>
  <c r="J868" i="67" s="1"/>
  <c r="G846" i="64"/>
  <c r="J867" i="67" s="1"/>
  <c r="G845" i="64"/>
  <c r="J866" i="67" s="1"/>
  <c r="G844" i="64"/>
  <c r="J865" i="67" s="1"/>
  <c r="G843" i="64"/>
  <c r="J864" i="67" s="1"/>
  <c r="G842" i="64"/>
  <c r="J863" i="67" s="1"/>
  <c r="G841" i="64"/>
  <c r="J862" i="67" s="1"/>
  <c r="G840" i="64"/>
  <c r="J861" i="67" s="1"/>
  <c r="G839" i="64"/>
  <c r="J860" i="67" s="1"/>
  <c r="G838" i="64"/>
  <c r="J859" i="67" s="1"/>
  <c r="G837" i="64"/>
  <c r="J858" i="67" s="1"/>
  <c r="G836" i="64"/>
  <c r="J857" i="67" s="1"/>
  <c r="G835" i="64"/>
  <c r="J856" i="67" s="1"/>
  <c r="G834" i="64"/>
  <c r="J855" i="67" s="1"/>
  <c r="G833" i="64"/>
  <c r="J854" i="67" s="1"/>
  <c r="G832" i="64"/>
  <c r="J853" i="67" s="1"/>
  <c r="G831" i="64"/>
  <c r="J852" i="67" s="1"/>
  <c r="G830" i="64"/>
  <c r="J851" i="67" s="1"/>
  <c r="G829" i="64"/>
  <c r="J849" i="67" s="1"/>
  <c r="G828" i="64"/>
  <c r="J848" i="67" s="1"/>
  <c r="G827" i="64"/>
  <c r="J847" i="67" s="1"/>
  <c r="G826" i="64"/>
  <c r="J846" i="67" s="1"/>
  <c r="G825" i="64"/>
  <c r="J845" i="67" s="1"/>
  <c r="G824" i="64"/>
  <c r="J844" i="67" s="1"/>
  <c r="G823" i="64"/>
  <c r="J843" i="67" s="1"/>
  <c r="G822" i="64"/>
  <c r="J842" i="67" s="1"/>
  <c r="G821" i="64"/>
  <c r="J841" i="67" s="1"/>
  <c r="G820" i="64"/>
  <c r="J840" i="67" s="1"/>
  <c r="G819" i="64"/>
  <c r="J839" i="67" s="1"/>
  <c r="G818" i="64"/>
  <c r="J838" i="67" s="1"/>
  <c r="G817" i="64"/>
  <c r="J837" i="67" s="1"/>
  <c r="G816" i="64"/>
  <c r="J836" i="67" s="1"/>
  <c r="G815" i="64"/>
  <c r="J835" i="67" s="1"/>
  <c r="G814" i="64"/>
  <c r="J833" i="67" s="1"/>
  <c r="G813" i="64"/>
  <c r="J832" i="67" s="1"/>
  <c r="G812" i="64"/>
  <c r="J831" i="67" s="1"/>
  <c r="G811" i="64"/>
  <c r="J830" i="67" s="1"/>
  <c r="G810" i="64"/>
  <c r="J829" i="67" s="1"/>
  <c r="G809" i="64"/>
  <c r="J828" i="67" s="1"/>
  <c r="G808" i="64"/>
  <c r="J827" i="67" s="1"/>
  <c r="G807" i="64"/>
  <c r="J826" i="67" s="1"/>
  <c r="G806" i="64"/>
  <c r="J825" i="67" s="1"/>
  <c r="G805" i="64"/>
  <c r="J824" i="67" s="1"/>
  <c r="G804" i="64"/>
  <c r="J823" i="67" s="1"/>
  <c r="G803" i="64"/>
  <c r="J822" i="67" s="1"/>
  <c r="G802" i="64"/>
  <c r="J821" i="67" s="1"/>
  <c r="G801" i="64"/>
  <c r="J820" i="67" s="1"/>
  <c r="G800" i="64"/>
  <c r="J819" i="67" s="1"/>
  <c r="G799" i="64"/>
  <c r="J818" i="67" s="1"/>
  <c r="G798" i="64"/>
  <c r="J817" i="67" s="1"/>
  <c r="G797" i="64"/>
  <c r="J816" i="67" s="1"/>
  <c r="G796" i="64"/>
  <c r="J815" i="67" s="1"/>
  <c r="G795" i="64"/>
  <c r="J814" i="67" s="1"/>
  <c r="G794" i="64"/>
  <c r="J813" i="67" s="1"/>
  <c r="G793" i="64"/>
  <c r="J812" i="67" s="1"/>
  <c r="G792" i="64"/>
  <c r="J811" i="67" s="1"/>
  <c r="G791" i="64"/>
  <c r="J810" i="67" s="1"/>
  <c r="G790" i="64"/>
  <c r="J809" i="67" s="1"/>
  <c r="G789" i="64"/>
  <c r="J808" i="67" s="1"/>
  <c r="G788" i="64"/>
  <c r="J807" i="67" s="1"/>
  <c r="G787" i="64"/>
  <c r="J806" i="67" s="1"/>
  <c r="G786" i="64"/>
  <c r="J805" i="67" s="1"/>
  <c r="G785" i="64"/>
  <c r="J804" i="67" s="1"/>
  <c r="G784" i="64"/>
  <c r="J803" i="67" s="1"/>
  <c r="G783" i="64"/>
  <c r="J802" i="67" s="1"/>
  <c r="G782" i="64"/>
  <c r="J801" i="67" s="1"/>
  <c r="G781" i="64"/>
  <c r="J800" i="67" s="1"/>
  <c r="G780" i="64"/>
  <c r="G779" i="64"/>
  <c r="J799" i="67" s="1"/>
  <c r="G778" i="64"/>
  <c r="J798" i="67" s="1"/>
  <c r="G777" i="64"/>
  <c r="J797" i="67" s="1"/>
  <c r="G776" i="64"/>
  <c r="J796" i="67" s="1"/>
  <c r="G775" i="64"/>
  <c r="J795" i="67" s="1"/>
  <c r="G774" i="64"/>
  <c r="J794" i="67" s="1"/>
  <c r="G773" i="64"/>
  <c r="J793" i="67" s="1"/>
  <c r="G772" i="64"/>
  <c r="J792" i="67" s="1"/>
  <c r="G771" i="64"/>
  <c r="J791" i="67" s="1"/>
  <c r="G770" i="64"/>
  <c r="J790" i="67" s="1"/>
  <c r="G769" i="64"/>
  <c r="J789" i="67" s="1"/>
  <c r="G768" i="64"/>
  <c r="J788" i="67" s="1"/>
  <c r="G767" i="64"/>
  <c r="J787" i="67" s="1"/>
  <c r="G766" i="64"/>
  <c r="J786" i="67" s="1"/>
  <c r="G765" i="64"/>
  <c r="J784" i="67" s="1"/>
  <c r="G764" i="64"/>
  <c r="J783" i="67" s="1"/>
  <c r="G763" i="64"/>
  <c r="J782" i="67" s="1"/>
  <c r="G762" i="64"/>
  <c r="J781" i="67" s="1"/>
  <c r="G761" i="64"/>
  <c r="J780" i="67" s="1"/>
  <c r="G760" i="64"/>
  <c r="J779" i="67" s="1"/>
  <c r="G759" i="64"/>
  <c r="J777" i="67" s="1"/>
  <c r="G758" i="64"/>
  <c r="J776" i="67" s="1"/>
  <c r="G757" i="64"/>
  <c r="J775" i="67" s="1"/>
  <c r="G756" i="64"/>
  <c r="J774" i="67" s="1"/>
  <c r="G755" i="64"/>
  <c r="J773" i="67" s="1"/>
  <c r="G754" i="64"/>
  <c r="J772" i="67" s="1"/>
  <c r="G753" i="64"/>
  <c r="J771" i="67" s="1"/>
  <c r="G752" i="64"/>
  <c r="J770" i="67" s="1"/>
  <c r="G751" i="64"/>
  <c r="J769" i="67" s="1"/>
  <c r="G750" i="64"/>
  <c r="J768" i="67" s="1"/>
  <c r="G749" i="64"/>
  <c r="J767" i="67" s="1"/>
  <c r="G748" i="64"/>
  <c r="J766" i="67" s="1"/>
  <c r="G747" i="64"/>
  <c r="J765" i="67" s="1"/>
  <c r="G746" i="64"/>
  <c r="J764" i="67" s="1"/>
  <c r="G745" i="64"/>
  <c r="J763" i="67" s="1"/>
  <c r="G744" i="64"/>
  <c r="J762" i="67" s="1"/>
  <c r="G743" i="64"/>
  <c r="J761" i="67" s="1"/>
  <c r="G742" i="64"/>
  <c r="J760" i="67" s="1"/>
  <c r="G741" i="64"/>
  <c r="J759" i="67" s="1"/>
  <c r="G740" i="64"/>
  <c r="J758" i="67" s="1"/>
  <c r="G739" i="64"/>
  <c r="J757" i="67" s="1"/>
  <c r="G738" i="64"/>
  <c r="J756" i="67" s="1"/>
  <c r="G737" i="64"/>
  <c r="J755" i="67" s="1"/>
  <c r="G736" i="64"/>
  <c r="J754" i="67" s="1"/>
  <c r="G735" i="64"/>
  <c r="J753" i="67" s="1"/>
  <c r="G734" i="64"/>
  <c r="J752" i="67" s="1"/>
  <c r="G733" i="64"/>
  <c r="J751" i="67" s="1"/>
  <c r="G732" i="64"/>
  <c r="J750" i="67" s="1"/>
  <c r="G731" i="64"/>
  <c r="J748" i="67" s="1"/>
  <c r="G730" i="64"/>
  <c r="J747" i="67" s="1"/>
  <c r="G729" i="64"/>
  <c r="J746" i="67" s="1"/>
  <c r="G728" i="64"/>
  <c r="J745" i="67" s="1"/>
  <c r="G727" i="64"/>
  <c r="J744" i="67" s="1"/>
  <c r="G726" i="64"/>
  <c r="J743" i="67" s="1"/>
  <c r="G725" i="64"/>
  <c r="J742" i="67" s="1"/>
  <c r="G724" i="64"/>
  <c r="J741" i="67" s="1"/>
  <c r="G723" i="64"/>
  <c r="J740" i="67" s="1"/>
  <c r="G722" i="64"/>
  <c r="J739" i="67" s="1"/>
  <c r="G721" i="64"/>
  <c r="J738" i="67" s="1"/>
  <c r="G720" i="64"/>
  <c r="J737" i="67" s="1"/>
  <c r="G719" i="64"/>
  <c r="J736" i="67" s="1"/>
  <c r="G718" i="64"/>
  <c r="J735" i="67" s="1"/>
  <c r="G717" i="64"/>
  <c r="J734" i="67" s="1"/>
  <c r="G716" i="64"/>
  <c r="J733" i="67" s="1"/>
  <c r="G715" i="64"/>
  <c r="J732" i="67" s="1"/>
  <c r="G714" i="64"/>
  <c r="J731" i="67" s="1"/>
  <c r="G713" i="64"/>
  <c r="J730" i="67" s="1"/>
  <c r="G712" i="64"/>
  <c r="J729" i="67" s="1"/>
  <c r="G711" i="64"/>
  <c r="J728" i="67" s="1"/>
  <c r="G710" i="64"/>
  <c r="J727" i="67" s="1"/>
  <c r="G709" i="64"/>
  <c r="J726" i="67" s="1"/>
  <c r="G708" i="64"/>
  <c r="J725" i="67" s="1"/>
  <c r="G707" i="64"/>
  <c r="J724" i="67" s="1"/>
  <c r="G706" i="64"/>
  <c r="J723" i="67" s="1"/>
  <c r="G705" i="64"/>
  <c r="J722" i="67" s="1"/>
  <c r="G704" i="64"/>
  <c r="J721" i="67" s="1"/>
  <c r="G703" i="64"/>
  <c r="J720" i="67" s="1"/>
  <c r="G702" i="64"/>
  <c r="J719" i="67" s="1"/>
  <c r="G701" i="64"/>
  <c r="J718" i="67" s="1"/>
  <c r="G700" i="64"/>
  <c r="J717" i="67" s="1"/>
  <c r="G699" i="64"/>
  <c r="J716" i="67" s="1"/>
  <c r="G698" i="64"/>
  <c r="J715" i="67" s="1"/>
  <c r="G697" i="64"/>
  <c r="J714" i="67" s="1"/>
  <c r="G696" i="64"/>
  <c r="J713" i="67" s="1"/>
  <c r="G695" i="64"/>
  <c r="J711" i="67" s="1"/>
  <c r="G694" i="64"/>
  <c r="J710" i="67" s="1"/>
  <c r="G693" i="64"/>
  <c r="J709" i="67" s="1"/>
  <c r="G692" i="64"/>
  <c r="J708" i="67" s="1"/>
  <c r="G691" i="64"/>
  <c r="J706" i="67" s="1"/>
  <c r="G690" i="64"/>
  <c r="J705" i="67" s="1"/>
  <c r="G689" i="64"/>
  <c r="J704" i="67" s="1"/>
  <c r="G688" i="64"/>
  <c r="J703" i="67" s="1"/>
  <c r="G687" i="64"/>
  <c r="J702" i="67" s="1"/>
  <c r="G686" i="64"/>
  <c r="J701" i="67" s="1"/>
  <c r="G685" i="64"/>
  <c r="J700" i="67" s="1"/>
  <c r="G684" i="64"/>
  <c r="J699" i="67" s="1"/>
  <c r="G683" i="64"/>
  <c r="J698" i="67" s="1"/>
  <c r="G682" i="64"/>
  <c r="J697" i="67" s="1"/>
  <c r="G681" i="64"/>
  <c r="J696" i="67" s="1"/>
  <c r="G680" i="64"/>
  <c r="J695" i="67" s="1"/>
  <c r="G679" i="64"/>
  <c r="J694" i="67" s="1"/>
  <c r="G678" i="64"/>
  <c r="J693" i="67" s="1"/>
  <c r="G677" i="64"/>
  <c r="J692" i="67" s="1"/>
  <c r="G676" i="64"/>
  <c r="J691" i="67" s="1"/>
  <c r="G675" i="64"/>
  <c r="J690" i="67" s="1"/>
  <c r="G674" i="64"/>
  <c r="J689" i="67" s="1"/>
  <c r="G673" i="64"/>
  <c r="J688" i="67" s="1"/>
  <c r="G672" i="64"/>
  <c r="J687" i="67" s="1"/>
  <c r="G671" i="64"/>
  <c r="J686" i="67" s="1"/>
  <c r="G670" i="64"/>
  <c r="J685" i="67" s="1"/>
  <c r="G669" i="64"/>
  <c r="J684" i="67" s="1"/>
  <c r="G668" i="64"/>
  <c r="J683" i="67" s="1"/>
  <c r="G667" i="64"/>
  <c r="J682" i="67" s="1"/>
  <c r="G666" i="64"/>
  <c r="J681" i="67" s="1"/>
  <c r="G665" i="64"/>
  <c r="J679" i="67" s="1"/>
  <c r="G664" i="64"/>
  <c r="J678" i="67" s="1"/>
  <c r="G663" i="64"/>
  <c r="J677" i="67" s="1"/>
  <c r="G662" i="64"/>
  <c r="J676" i="67" s="1"/>
  <c r="G661" i="64"/>
  <c r="J675" i="67" s="1"/>
  <c r="G660" i="64"/>
  <c r="J674" i="67" s="1"/>
  <c r="G659" i="64"/>
  <c r="J673" i="67" s="1"/>
  <c r="G658" i="64"/>
  <c r="J672" i="67" s="1"/>
  <c r="G657" i="64"/>
  <c r="J671" i="67" s="1"/>
  <c r="G656" i="64"/>
  <c r="J670" i="67" s="1"/>
  <c r="G655" i="64"/>
  <c r="J669" i="67" s="1"/>
  <c r="G654" i="64"/>
  <c r="J668" i="67" s="1"/>
  <c r="G653" i="64"/>
  <c r="J667" i="67" s="1"/>
  <c r="G652" i="64"/>
  <c r="J665" i="67" s="1"/>
  <c r="G651" i="64"/>
  <c r="J664" i="67" s="1"/>
  <c r="G650" i="64"/>
  <c r="J663" i="67" s="1"/>
  <c r="G649" i="64"/>
  <c r="J662" i="67" s="1"/>
  <c r="G648" i="64"/>
  <c r="J661" i="67" s="1"/>
  <c r="G647" i="64"/>
  <c r="J659" i="67" s="1"/>
  <c r="G646" i="64"/>
  <c r="J658" i="67" s="1"/>
  <c r="G645" i="64"/>
  <c r="J657" i="67" s="1"/>
  <c r="G644" i="64"/>
  <c r="J656" i="67" s="1"/>
  <c r="G643" i="64"/>
  <c r="J655" i="67" s="1"/>
  <c r="G642" i="64"/>
  <c r="J654" i="67" s="1"/>
  <c r="G641" i="64"/>
  <c r="J653" i="67" s="1"/>
  <c r="G640" i="64"/>
  <c r="J651" i="67" s="1"/>
  <c r="G639" i="64"/>
  <c r="J650" i="67" s="1"/>
  <c r="G638" i="64"/>
  <c r="J649" i="67" s="1"/>
  <c r="G637" i="64"/>
  <c r="J648" i="67" s="1"/>
  <c r="G636" i="64"/>
  <c r="J647" i="67" s="1"/>
  <c r="G635" i="64"/>
  <c r="J646" i="67" s="1"/>
  <c r="G634" i="64"/>
  <c r="J645" i="67" s="1"/>
  <c r="G633" i="64"/>
  <c r="J644" i="67" s="1"/>
  <c r="G632" i="64"/>
  <c r="J643" i="67" s="1"/>
  <c r="G631" i="64"/>
  <c r="J1215" i="67" s="1"/>
  <c r="G630" i="64"/>
  <c r="J1214" i="67" s="1"/>
  <c r="G629" i="64"/>
  <c r="J642" i="67" s="1"/>
  <c r="G628" i="64"/>
  <c r="J641" i="67" s="1"/>
  <c r="G627" i="64"/>
  <c r="J640" i="67" s="1"/>
  <c r="G626" i="64"/>
  <c r="J639" i="67" s="1"/>
  <c r="G625" i="64"/>
  <c r="J638" i="67" s="1"/>
  <c r="G624" i="64"/>
  <c r="J637" i="67" s="1"/>
  <c r="G623" i="64"/>
  <c r="J636" i="67" s="1"/>
  <c r="G622" i="64"/>
  <c r="J635" i="67" s="1"/>
  <c r="G621" i="64"/>
  <c r="J634" i="67" s="1"/>
  <c r="G620" i="64"/>
  <c r="J633" i="67" s="1"/>
  <c r="G619" i="64"/>
  <c r="J632" i="67" s="1"/>
  <c r="G618" i="64"/>
  <c r="J631" i="67" s="1"/>
  <c r="G617" i="64"/>
  <c r="J630" i="67" s="1"/>
  <c r="G616" i="64"/>
  <c r="J629" i="67" s="1"/>
  <c r="G615" i="64"/>
  <c r="J628" i="67" s="1"/>
  <c r="G614" i="64"/>
  <c r="J627" i="67" s="1"/>
  <c r="G613" i="64"/>
  <c r="J626" i="67" s="1"/>
  <c r="G612" i="64"/>
  <c r="J625" i="67" s="1"/>
  <c r="G611" i="64"/>
  <c r="J624" i="67" s="1"/>
  <c r="G610" i="64"/>
  <c r="J623" i="67" s="1"/>
  <c r="G609" i="64"/>
  <c r="J622" i="67" s="1"/>
  <c r="G608" i="64"/>
  <c r="J621" i="67" s="1"/>
  <c r="G607" i="64"/>
  <c r="J620" i="67" s="1"/>
  <c r="G606" i="64"/>
  <c r="J619" i="67" s="1"/>
  <c r="G605" i="64"/>
  <c r="J618" i="67" s="1"/>
  <c r="G604" i="64"/>
  <c r="J617" i="67" s="1"/>
  <c r="G603" i="64"/>
  <c r="J616" i="67" s="1"/>
  <c r="G602" i="64"/>
  <c r="J615" i="67" s="1"/>
  <c r="G601" i="64"/>
  <c r="J614" i="67" s="1"/>
  <c r="G600" i="64"/>
  <c r="J613" i="67" s="1"/>
  <c r="G599" i="64"/>
  <c r="J612" i="67" s="1"/>
  <c r="G598" i="64"/>
  <c r="J1208" i="67" s="1"/>
  <c r="G597" i="64"/>
  <c r="J1206" i="67" s="1"/>
  <c r="G596" i="64"/>
  <c r="J611" i="67" s="1"/>
  <c r="G595" i="64"/>
  <c r="J610" i="67" s="1"/>
  <c r="G594" i="64"/>
  <c r="J609" i="67" s="1"/>
  <c r="G593" i="64"/>
  <c r="J608" i="67" s="1"/>
  <c r="G592" i="64"/>
  <c r="J607" i="67" s="1"/>
  <c r="G591" i="64"/>
  <c r="J606" i="67" s="1"/>
  <c r="G590" i="64"/>
  <c r="J605" i="67" s="1"/>
  <c r="G589" i="64"/>
  <c r="J604" i="67" s="1"/>
  <c r="G588" i="64"/>
  <c r="J603" i="67" s="1"/>
  <c r="G587" i="64"/>
  <c r="J602" i="67" s="1"/>
  <c r="G586" i="64"/>
  <c r="J601" i="67" s="1"/>
  <c r="G585" i="64"/>
  <c r="J600" i="67" s="1"/>
  <c r="G584" i="64"/>
  <c r="J599" i="67" s="1"/>
  <c r="G583" i="64"/>
  <c r="J598" i="67" s="1"/>
  <c r="G582" i="64"/>
  <c r="J597" i="67" s="1"/>
  <c r="G581" i="64"/>
  <c r="J596" i="67" s="1"/>
  <c r="G580" i="64"/>
  <c r="J595" i="67" s="1"/>
  <c r="G579" i="64"/>
  <c r="J594" i="67" s="1"/>
  <c r="G578" i="64"/>
  <c r="J593" i="67" s="1"/>
  <c r="G577" i="64"/>
  <c r="J592" i="67" s="1"/>
  <c r="G576" i="64"/>
  <c r="J591" i="67" s="1"/>
  <c r="G575" i="64"/>
  <c r="J590" i="67" s="1"/>
  <c r="G574" i="64"/>
  <c r="J589" i="67" s="1"/>
  <c r="G573" i="64"/>
  <c r="J588" i="67" s="1"/>
  <c r="G572" i="64"/>
  <c r="J587" i="67" s="1"/>
  <c r="G571" i="64"/>
  <c r="J586" i="67" s="1"/>
  <c r="G570" i="64"/>
  <c r="J585" i="67" s="1"/>
  <c r="G569" i="64"/>
  <c r="J584" i="67" s="1"/>
  <c r="G568" i="64"/>
  <c r="J583" i="67" s="1"/>
  <c r="G567" i="64"/>
  <c r="J582" i="67" s="1"/>
  <c r="G566" i="64"/>
  <c r="J580" i="67" s="1"/>
  <c r="G565" i="64"/>
  <c r="J578" i="67" s="1"/>
  <c r="G564" i="64"/>
  <c r="J577" i="67" s="1"/>
  <c r="G563" i="64"/>
  <c r="J576" i="67" s="1"/>
  <c r="G562" i="64"/>
  <c r="J575" i="67" s="1"/>
  <c r="G561" i="64"/>
  <c r="J574" i="67" s="1"/>
  <c r="G560" i="64"/>
  <c r="J573" i="67" s="1"/>
  <c r="G559" i="64"/>
  <c r="J572" i="67" s="1"/>
  <c r="G558" i="64"/>
  <c r="J571" i="67" s="1"/>
  <c r="G557" i="64"/>
  <c r="J570" i="67" s="1"/>
  <c r="G556" i="64"/>
  <c r="J569" i="67" s="1"/>
  <c r="G555" i="64"/>
  <c r="J568" i="67" s="1"/>
  <c r="G554" i="64"/>
  <c r="J567" i="67" s="1"/>
  <c r="G553" i="64"/>
  <c r="J566" i="67" s="1"/>
  <c r="G552" i="64"/>
  <c r="J565" i="67" s="1"/>
  <c r="G551" i="64"/>
  <c r="J564" i="67" s="1"/>
  <c r="G550" i="64"/>
  <c r="J563" i="67" s="1"/>
  <c r="G549" i="64"/>
  <c r="J562" i="67" s="1"/>
  <c r="G548" i="64"/>
  <c r="J561" i="67" s="1"/>
  <c r="G547" i="64"/>
  <c r="J560" i="67" s="1"/>
  <c r="G546" i="64"/>
  <c r="J559" i="67" s="1"/>
  <c r="G545" i="64"/>
  <c r="J558" i="67" s="1"/>
  <c r="G544" i="64"/>
  <c r="J557" i="67" s="1"/>
  <c r="G543" i="64"/>
  <c r="J556" i="67" s="1"/>
  <c r="G542" i="64"/>
  <c r="J555" i="67" s="1"/>
  <c r="G541" i="64"/>
  <c r="J554" i="67" s="1"/>
  <c r="G540" i="64"/>
  <c r="J553" i="67" s="1"/>
  <c r="G539" i="64"/>
  <c r="J552" i="67" s="1"/>
  <c r="G538" i="64"/>
  <c r="J551" i="67" s="1"/>
  <c r="G537" i="64"/>
  <c r="J550" i="67" s="1"/>
  <c r="G536" i="64"/>
  <c r="J549" i="67" s="1"/>
  <c r="G535" i="64"/>
  <c r="J548" i="67" s="1"/>
  <c r="G534" i="64"/>
  <c r="J547" i="67" s="1"/>
  <c r="G533" i="64"/>
  <c r="J546" i="67" s="1"/>
  <c r="G532" i="64"/>
  <c r="J545" i="67" s="1"/>
  <c r="G531" i="64"/>
  <c r="J544" i="67" s="1"/>
  <c r="G530" i="64"/>
  <c r="J543" i="67" s="1"/>
  <c r="G529" i="64"/>
  <c r="J542" i="67" s="1"/>
  <c r="G528" i="64"/>
  <c r="J541" i="67" s="1"/>
  <c r="G527" i="64"/>
  <c r="J540" i="67" s="1"/>
  <c r="K540" i="67" s="1"/>
  <c r="G526" i="64"/>
  <c r="J538" i="67" s="1"/>
  <c r="K538" i="67" s="1"/>
  <c r="G525" i="64"/>
  <c r="J537" i="67" s="1"/>
  <c r="G524" i="64"/>
  <c r="J536" i="67" s="1"/>
  <c r="K536" i="67" s="1"/>
  <c r="G523" i="64"/>
  <c r="J535" i="67" s="1"/>
  <c r="K535" i="67" s="1"/>
  <c r="G522" i="64"/>
  <c r="J534" i="67" s="1"/>
  <c r="K534" i="67" s="1"/>
  <c r="G521" i="64"/>
  <c r="J532" i="67" s="1"/>
  <c r="K532" i="67" s="1"/>
  <c r="G520" i="64"/>
  <c r="J531" i="67" s="1"/>
  <c r="K531" i="67" s="1"/>
  <c r="G519" i="64"/>
  <c r="J530" i="67" s="1"/>
  <c r="K530" i="67" s="1"/>
  <c r="G518" i="64"/>
  <c r="J529" i="67" s="1"/>
  <c r="K529" i="67" s="1"/>
  <c r="G517" i="64"/>
  <c r="J528" i="67" s="1"/>
  <c r="K528" i="67" s="1"/>
  <c r="G516" i="64"/>
  <c r="J526" i="67" s="1"/>
  <c r="K526" i="67" s="1"/>
  <c r="G515" i="64"/>
  <c r="J525" i="67" s="1"/>
  <c r="K525" i="67" s="1"/>
  <c r="G514" i="64"/>
  <c r="J523" i="67" s="1"/>
  <c r="G513" i="64"/>
  <c r="J521" i="67" s="1"/>
  <c r="G512" i="64"/>
  <c r="J520" i="67" s="1"/>
  <c r="G511" i="64"/>
  <c r="J519" i="67" s="1"/>
  <c r="G510" i="64"/>
  <c r="J518" i="67" s="1"/>
  <c r="G509" i="64"/>
  <c r="J517" i="67" s="1"/>
  <c r="G508" i="64"/>
  <c r="J516" i="67" s="1"/>
  <c r="G506" i="64"/>
  <c r="J514" i="67" s="1"/>
  <c r="G505" i="64"/>
  <c r="J513" i="67" s="1"/>
  <c r="G504" i="64"/>
  <c r="J512" i="67" s="1"/>
  <c r="K512" i="67" s="1"/>
  <c r="G503" i="64"/>
  <c r="J511" i="67" s="1"/>
  <c r="G502" i="64"/>
  <c r="J510" i="67" s="1"/>
  <c r="G501" i="64"/>
  <c r="J509" i="67" s="1"/>
  <c r="G500" i="64"/>
  <c r="J508" i="67" s="1"/>
  <c r="G499" i="64"/>
  <c r="J507" i="67" s="1"/>
  <c r="G498" i="64"/>
  <c r="J506" i="67" s="1"/>
  <c r="G497" i="64"/>
  <c r="J505" i="67" s="1"/>
  <c r="G496" i="64"/>
  <c r="J504" i="67" s="1"/>
  <c r="G495" i="64"/>
  <c r="J503" i="67" s="1"/>
  <c r="G494" i="64"/>
  <c r="J502" i="67" s="1"/>
  <c r="G493" i="64"/>
  <c r="J501" i="67" s="1"/>
  <c r="G492" i="64"/>
  <c r="J500" i="67" s="1"/>
  <c r="G491" i="64"/>
  <c r="J499" i="67" s="1"/>
  <c r="G490" i="64"/>
  <c r="J498" i="67" s="1"/>
  <c r="G489" i="64"/>
  <c r="J497" i="67" s="1"/>
  <c r="G488" i="64"/>
  <c r="J496" i="67" s="1"/>
  <c r="G487" i="64"/>
  <c r="J495" i="67" s="1"/>
  <c r="G486" i="64"/>
  <c r="J494" i="67" s="1"/>
  <c r="G485" i="64"/>
  <c r="J493" i="67" s="1"/>
  <c r="G484" i="64"/>
  <c r="J492" i="67" s="1"/>
  <c r="G483" i="64"/>
  <c r="J491" i="67" s="1"/>
  <c r="G481" i="64"/>
  <c r="J489" i="67" s="1"/>
  <c r="G480" i="64"/>
  <c r="J488" i="67" s="1"/>
  <c r="G479" i="64"/>
  <c r="J487" i="67" s="1"/>
  <c r="G478" i="64"/>
  <c r="J486" i="67" s="1"/>
  <c r="G477" i="64"/>
  <c r="J485" i="67" s="1"/>
  <c r="G476" i="64"/>
  <c r="J484" i="67" s="1"/>
  <c r="G475" i="64"/>
  <c r="J483" i="67" s="1"/>
  <c r="G474" i="64"/>
  <c r="J482" i="67" s="1"/>
  <c r="G473" i="64"/>
  <c r="J481" i="67" s="1"/>
  <c r="G472" i="64"/>
  <c r="J480" i="67" s="1"/>
  <c r="G471" i="64"/>
  <c r="J479" i="67" s="1"/>
  <c r="G470" i="64"/>
  <c r="J478" i="67" s="1"/>
  <c r="G469" i="64"/>
  <c r="J477" i="67" s="1"/>
  <c r="G468" i="64"/>
  <c r="J476" i="67" s="1"/>
  <c r="K476" i="67" s="1"/>
  <c r="G467" i="64"/>
  <c r="J475" i="67" s="1"/>
  <c r="K475" i="67" s="1"/>
  <c r="G466" i="64"/>
  <c r="J474" i="67" s="1"/>
  <c r="K474" i="67" s="1"/>
  <c r="G465" i="64"/>
  <c r="J473" i="67" s="1"/>
  <c r="K473" i="67" s="1"/>
  <c r="G464" i="64"/>
  <c r="J472" i="67" s="1"/>
  <c r="K472" i="67" s="1"/>
  <c r="G463" i="64"/>
  <c r="J471" i="67" s="1"/>
  <c r="K471" i="67" s="1"/>
  <c r="G462" i="64"/>
  <c r="J470" i="67" s="1"/>
  <c r="K470" i="67" s="1"/>
  <c r="G461" i="64"/>
  <c r="J469" i="67" s="1"/>
  <c r="K469" i="67" s="1"/>
  <c r="G460" i="64"/>
  <c r="J468" i="67" s="1"/>
  <c r="K468" i="67" s="1"/>
  <c r="G459" i="64"/>
  <c r="J467" i="67" s="1"/>
  <c r="K467" i="67" s="1"/>
  <c r="G458" i="64"/>
  <c r="J466" i="67" s="1"/>
  <c r="K466" i="67" s="1"/>
  <c r="G457" i="64"/>
  <c r="J465" i="67" s="1"/>
  <c r="K465" i="67" s="1"/>
  <c r="G456" i="64"/>
  <c r="J464" i="67" s="1"/>
  <c r="K464" i="67" s="1"/>
  <c r="G455" i="64"/>
  <c r="J463" i="67" s="1"/>
  <c r="K463" i="67" s="1"/>
  <c r="G454" i="64"/>
  <c r="J462" i="67" s="1"/>
  <c r="K462" i="67" s="1"/>
  <c r="G453" i="64"/>
  <c r="J461" i="67" s="1"/>
  <c r="K461" i="67" s="1"/>
  <c r="G452" i="64"/>
  <c r="J460" i="67" s="1"/>
  <c r="K460" i="67" s="1"/>
  <c r="G451" i="64"/>
  <c r="J459" i="67" s="1"/>
  <c r="K459" i="67" s="1"/>
  <c r="G450" i="64"/>
  <c r="J458" i="67" s="1"/>
  <c r="K458" i="67" s="1"/>
  <c r="G449" i="64"/>
  <c r="J457" i="67" s="1"/>
  <c r="K457" i="67" s="1"/>
  <c r="G448" i="64"/>
  <c r="J456" i="67" s="1"/>
  <c r="K456" i="67" s="1"/>
  <c r="G447" i="64"/>
  <c r="J455" i="67" s="1"/>
  <c r="K455" i="67" s="1"/>
  <c r="G446" i="64"/>
  <c r="J454" i="67" s="1"/>
  <c r="G445" i="64"/>
  <c r="J453" i="67" s="1"/>
  <c r="G444" i="64"/>
  <c r="J452" i="67" s="1"/>
  <c r="G443" i="64"/>
  <c r="J451" i="67" s="1"/>
  <c r="G442" i="64"/>
  <c r="J450" i="67" s="1"/>
  <c r="G441" i="64"/>
  <c r="J449" i="67" s="1"/>
  <c r="G440" i="64"/>
  <c r="J448" i="67" s="1"/>
  <c r="G439" i="64"/>
  <c r="J447" i="67" s="1"/>
  <c r="G438" i="64"/>
  <c r="J446" i="67" s="1"/>
  <c r="G437" i="64"/>
  <c r="J445" i="67" s="1"/>
  <c r="G436" i="64"/>
  <c r="J444" i="67" s="1"/>
  <c r="G435" i="64"/>
  <c r="J443" i="67" s="1"/>
  <c r="G434" i="64"/>
  <c r="J442" i="67" s="1"/>
  <c r="G433" i="64"/>
  <c r="J441" i="67" s="1"/>
  <c r="G432" i="64"/>
  <c r="J440" i="67" s="1"/>
  <c r="G431" i="64"/>
  <c r="J439" i="67" s="1"/>
  <c r="G430" i="64"/>
  <c r="J438" i="67" s="1"/>
  <c r="G429" i="64"/>
  <c r="J437" i="67" s="1"/>
  <c r="G428" i="64"/>
  <c r="J436" i="67" s="1"/>
  <c r="G427" i="64"/>
  <c r="J435" i="67" s="1"/>
  <c r="G426" i="64"/>
  <c r="J434" i="67" s="1"/>
  <c r="G425" i="64"/>
  <c r="J433" i="67" s="1"/>
  <c r="G424" i="64"/>
  <c r="J432" i="67" s="1"/>
  <c r="G423" i="64"/>
  <c r="J431" i="67" s="1"/>
  <c r="G422" i="64"/>
  <c r="J430" i="67" s="1"/>
  <c r="G421" i="64"/>
  <c r="J429" i="67" s="1"/>
  <c r="G420" i="64"/>
  <c r="J428" i="67" s="1"/>
  <c r="G419" i="64"/>
  <c r="J527" i="67" s="1"/>
  <c r="G418" i="64"/>
  <c r="J427" i="67" s="1"/>
  <c r="G417" i="64"/>
  <c r="J426" i="67" s="1"/>
  <c r="G416" i="64"/>
  <c r="J425" i="67" s="1"/>
  <c r="G415" i="64"/>
  <c r="J424" i="67" s="1"/>
  <c r="G414" i="64"/>
  <c r="J423" i="67" s="1"/>
  <c r="G413" i="64"/>
  <c r="J422" i="67" s="1"/>
  <c r="G412" i="64"/>
  <c r="J421" i="67" s="1"/>
  <c r="G411" i="64"/>
  <c r="J420" i="67" s="1"/>
  <c r="G410" i="64"/>
  <c r="J418" i="67" s="1"/>
  <c r="G409" i="64"/>
  <c r="J416" i="67" s="1"/>
  <c r="G408" i="64"/>
  <c r="J415" i="67" s="1"/>
  <c r="G407" i="64"/>
  <c r="G406" i="64"/>
  <c r="G405" i="64"/>
  <c r="J412" i="67" s="1"/>
  <c r="G404" i="64"/>
  <c r="J411" i="67" s="1"/>
  <c r="G403" i="64"/>
  <c r="J410" i="67" s="1"/>
  <c r="G402" i="64"/>
  <c r="J409" i="67" s="1"/>
  <c r="G401" i="64"/>
  <c r="J408" i="67" s="1"/>
  <c r="K408" i="67" s="1"/>
  <c r="G400" i="64"/>
  <c r="J407" i="67" s="1"/>
  <c r="G399" i="64"/>
  <c r="J406" i="67" s="1"/>
  <c r="G398" i="64"/>
  <c r="J405" i="67" s="1"/>
  <c r="G397" i="64"/>
  <c r="J404" i="67" s="1"/>
  <c r="G396" i="64"/>
  <c r="J403" i="67" s="1"/>
  <c r="G395" i="64"/>
  <c r="J402" i="67" s="1"/>
  <c r="G394" i="64"/>
  <c r="J401" i="67" s="1"/>
  <c r="G393" i="64"/>
  <c r="J400" i="67" s="1"/>
  <c r="G392" i="64"/>
  <c r="J398" i="67" s="1"/>
  <c r="G391" i="64"/>
  <c r="J397" i="67" s="1"/>
  <c r="G390" i="64"/>
  <c r="J396" i="67" s="1"/>
  <c r="G389" i="64"/>
  <c r="J395" i="67" s="1"/>
  <c r="G388" i="64"/>
  <c r="J394" i="67" s="1"/>
  <c r="G387" i="64"/>
  <c r="G386" i="64"/>
  <c r="J392" i="67" s="1"/>
  <c r="G385" i="64"/>
  <c r="J391" i="67" s="1"/>
  <c r="G384" i="64"/>
  <c r="J390" i="67" s="1"/>
  <c r="G383" i="64"/>
  <c r="J389" i="67" s="1"/>
  <c r="G382" i="64"/>
  <c r="J387" i="67" s="1"/>
  <c r="G381" i="64"/>
  <c r="J386" i="67" s="1"/>
  <c r="G380" i="64"/>
  <c r="J385" i="67" s="1"/>
  <c r="G379" i="64"/>
  <c r="J384" i="67" s="1"/>
  <c r="G378" i="64"/>
  <c r="J383" i="67" s="1"/>
  <c r="G377" i="64"/>
  <c r="J382" i="67" s="1"/>
  <c r="G376" i="64"/>
  <c r="J381" i="67" s="1"/>
  <c r="G375" i="64"/>
  <c r="J380" i="67" s="1"/>
  <c r="G374" i="64"/>
  <c r="J379" i="67" s="1"/>
  <c r="G373" i="64"/>
  <c r="J378" i="67" s="1"/>
  <c r="G372" i="64"/>
  <c r="J377" i="67" s="1"/>
  <c r="G371" i="64"/>
  <c r="J376" i="67" s="1"/>
  <c r="G370" i="64"/>
  <c r="J375" i="67" s="1"/>
  <c r="G369" i="64"/>
  <c r="J374" i="67" s="1"/>
  <c r="G368" i="64"/>
  <c r="J373" i="67" s="1"/>
  <c r="G367" i="64"/>
  <c r="J372" i="67" s="1"/>
  <c r="G366" i="64"/>
  <c r="J371" i="67" s="1"/>
  <c r="G365" i="64"/>
  <c r="J370" i="67" s="1"/>
  <c r="G364" i="64"/>
  <c r="J369" i="67" s="1"/>
  <c r="G363" i="64"/>
  <c r="J368" i="67" s="1"/>
  <c r="G362" i="64"/>
  <c r="J367" i="67" s="1"/>
  <c r="G361" i="64"/>
  <c r="J366" i="67" s="1"/>
  <c r="G360" i="64"/>
  <c r="J365" i="67" s="1"/>
  <c r="G359" i="64"/>
  <c r="J364" i="67" s="1"/>
  <c r="G358" i="64"/>
  <c r="J363" i="67" s="1"/>
  <c r="G357" i="64"/>
  <c r="J362" i="67" s="1"/>
  <c r="G356" i="64"/>
  <c r="J361" i="67" s="1"/>
  <c r="G355" i="64"/>
  <c r="J360" i="67" s="1"/>
  <c r="G354" i="64"/>
  <c r="J359" i="67" s="1"/>
  <c r="G353" i="64"/>
  <c r="J358" i="67" s="1"/>
  <c r="G352" i="64"/>
  <c r="J357" i="67" s="1"/>
  <c r="G351" i="64"/>
  <c r="J356" i="67" s="1"/>
  <c r="G350" i="64"/>
  <c r="J355" i="67" s="1"/>
  <c r="G349" i="64"/>
  <c r="J354" i="67" s="1"/>
  <c r="G348" i="64"/>
  <c r="J353" i="67" s="1"/>
  <c r="G347" i="64"/>
  <c r="J352" i="67" s="1"/>
  <c r="G346" i="64"/>
  <c r="J351" i="67" s="1"/>
  <c r="G345" i="64"/>
  <c r="J350" i="67" s="1"/>
  <c r="G344" i="64"/>
  <c r="J349" i="67" s="1"/>
  <c r="G343" i="64"/>
  <c r="J348" i="67" s="1"/>
  <c r="G342" i="64"/>
  <c r="J347" i="67" s="1"/>
  <c r="G341" i="64"/>
  <c r="J346" i="67" s="1"/>
  <c r="G340" i="64"/>
  <c r="J345" i="67" s="1"/>
  <c r="G339" i="64"/>
  <c r="J344" i="67" s="1"/>
  <c r="G338" i="64"/>
  <c r="J343" i="67" s="1"/>
  <c r="G337" i="64"/>
  <c r="J342" i="67" s="1"/>
  <c r="G336" i="64"/>
  <c r="J341" i="67" s="1"/>
  <c r="G335" i="64"/>
  <c r="J340" i="67" s="1"/>
  <c r="G334" i="64"/>
  <c r="J339" i="67" s="1"/>
  <c r="G333" i="64"/>
  <c r="J338" i="67" s="1"/>
  <c r="G332" i="64"/>
  <c r="J337" i="67" s="1"/>
  <c r="G331" i="64"/>
  <c r="J336" i="67" s="1"/>
  <c r="G330" i="64"/>
  <c r="J335" i="67" s="1"/>
  <c r="G329" i="64"/>
  <c r="J334" i="67" s="1"/>
  <c r="G328" i="64"/>
  <c r="J333" i="67" s="1"/>
  <c r="G327" i="64"/>
  <c r="J332" i="67" s="1"/>
  <c r="G326" i="64"/>
  <c r="J331" i="67" s="1"/>
  <c r="G325" i="64"/>
  <c r="J330" i="67" s="1"/>
  <c r="G324" i="64"/>
  <c r="J329" i="67" s="1"/>
  <c r="G323" i="64"/>
  <c r="J328" i="67" s="1"/>
  <c r="G322" i="64"/>
  <c r="J327" i="67" s="1"/>
  <c r="G321" i="64"/>
  <c r="J326" i="67" s="1"/>
  <c r="G320" i="64"/>
  <c r="J325" i="67" s="1"/>
  <c r="G319" i="64"/>
  <c r="J324" i="67" s="1"/>
  <c r="G318" i="64"/>
  <c r="J323" i="67" s="1"/>
  <c r="G317" i="64"/>
  <c r="J322" i="67" s="1"/>
  <c r="G316" i="64"/>
  <c r="J321" i="67" s="1"/>
  <c r="G315" i="64"/>
  <c r="J320" i="67" s="1"/>
  <c r="G314" i="64"/>
  <c r="J319" i="67" s="1"/>
  <c r="G313" i="64"/>
  <c r="J318" i="67" s="1"/>
  <c r="G312" i="64"/>
  <c r="J317" i="67" s="1"/>
  <c r="G311" i="64"/>
  <c r="J316" i="67" s="1"/>
  <c r="G310" i="64"/>
  <c r="J315" i="67" s="1"/>
  <c r="G309" i="64"/>
  <c r="J314" i="67" s="1"/>
  <c r="G308" i="64"/>
  <c r="J313" i="67" s="1"/>
  <c r="G307" i="64"/>
  <c r="J312" i="67" s="1"/>
  <c r="G306" i="64"/>
  <c r="J311" i="67" s="1"/>
  <c r="G305" i="64"/>
  <c r="J310" i="67" s="1"/>
  <c r="G304" i="64"/>
  <c r="J309" i="67" s="1"/>
  <c r="G303" i="64"/>
  <c r="J308" i="67" s="1"/>
  <c r="G302" i="64"/>
  <c r="J307" i="67" s="1"/>
  <c r="G301" i="64"/>
  <c r="J306" i="67" s="1"/>
  <c r="G300" i="64"/>
  <c r="J305" i="67" s="1"/>
  <c r="G299" i="64"/>
  <c r="J304" i="67" s="1"/>
  <c r="G298" i="64"/>
  <c r="J303" i="67" s="1"/>
  <c r="G297" i="64"/>
  <c r="J302" i="67" s="1"/>
  <c r="G296" i="64"/>
  <c r="J301" i="67" s="1"/>
  <c r="G295" i="64"/>
  <c r="J300" i="67" s="1"/>
  <c r="G294" i="64"/>
  <c r="J299" i="67" s="1"/>
  <c r="G293" i="64"/>
  <c r="J298" i="67" s="1"/>
  <c r="G292" i="64"/>
  <c r="J297" i="67" s="1"/>
  <c r="G291" i="64"/>
  <c r="J296" i="67" s="1"/>
  <c r="G290" i="64"/>
  <c r="J295" i="67" s="1"/>
  <c r="G289" i="64"/>
  <c r="J294" i="67" s="1"/>
  <c r="G288" i="64"/>
  <c r="J293" i="67" s="1"/>
  <c r="G287" i="64"/>
  <c r="J292" i="67" s="1"/>
  <c r="G286" i="64"/>
  <c r="J291" i="67" s="1"/>
  <c r="G285" i="64"/>
  <c r="J290" i="67" s="1"/>
  <c r="G284" i="64"/>
  <c r="J289" i="67" s="1"/>
  <c r="G283" i="64"/>
  <c r="J288" i="67" s="1"/>
  <c r="G282" i="64"/>
  <c r="J287" i="67" s="1"/>
  <c r="G281" i="64"/>
  <c r="J286" i="67" s="1"/>
  <c r="G280" i="64"/>
  <c r="J285" i="67" s="1"/>
  <c r="G279" i="64"/>
  <c r="J284" i="67" s="1"/>
  <c r="G278" i="64"/>
  <c r="J283" i="67" s="1"/>
  <c r="G277" i="64"/>
  <c r="J282" i="67" s="1"/>
  <c r="G276" i="64"/>
  <c r="J281" i="67" s="1"/>
  <c r="G275" i="64"/>
  <c r="J280" i="67" s="1"/>
  <c r="G274" i="64"/>
  <c r="J279" i="67" s="1"/>
  <c r="G273" i="64"/>
  <c r="J278" i="67" s="1"/>
  <c r="G272" i="64"/>
  <c r="J277" i="67" s="1"/>
  <c r="G271" i="64"/>
  <c r="J276" i="67" s="1"/>
  <c r="G270" i="64"/>
  <c r="J275" i="67" s="1"/>
  <c r="G269" i="64"/>
  <c r="J274" i="67" s="1"/>
  <c r="G268" i="64"/>
  <c r="J273" i="67" s="1"/>
  <c r="G267" i="64"/>
  <c r="J272" i="67" s="1"/>
  <c r="G266" i="64"/>
  <c r="J271" i="67" s="1"/>
  <c r="G265" i="64"/>
  <c r="J270" i="67" s="1"/>
  <c r="G264" i="64"/>
  <c r="J269" i="67" s="1"/>
  <c r="G263" i="64"/>
  <c r="J268" i="67" s="1"/>
  <c r="G262" i="64"/>
  <c r="G261" i="64"/>
  <c r="J267" i="67" s="1"/>
  <c r="G260" i="64"/>
  <c r="J266" i="67" s="1"/>
  <c r="G259" i="64"/>
  <c r="J265" i="67" s="1"/>
  <c r="G258" i="64"/>
  <c r="J264" i="67" s="1"/>
  <c r="G257" i="64"/>
  <c r="J263" i="67" s="1"/>
  <c r="G256" i="64"/>
  <c r="J262" i="67" s="1"/>
  <c r="G255" i="64"/>
  <c r="J261" i="67" s="1"/>
  <c r="G254" i="64"/>
  <c r="J260" i="67" s="1"/>
  <c r="G253" i="64"/>
  <c r="J259" i="67" s="1"/>
  <c r="G252" i="64"/>
  <c r="J258" i="67" s="1"/>
  <c r="G251" i="64"/>
  <c r="J257" i="67" s="1"/>
  <c r="G250" i="64"/>
  <c r="J256" i="67" s="1"/>
  <c r="G249" i="64"/>
  <c r="J255" i="67" s="1"/>
  <c r="G248" i="64"/>
  <c r="J254" i="67" s="1"/>
  <c r="G247" i="64"/>
  <c r="J253" i="67" s="1"/>
  <c r="G246" i="64"/>
  <c r="J252" i="67" s="1"/>
  <c r="G245" i="64"/>
  <c r="J251" i="67" s="1"/>
  <c r="G244" i="64"/>
  <c r="J250" i="67" s="1"/>
  <c r="G243" i="64"/>
  <c r="J249" i="67" s="1"/>
  <c r="G242" i="64"/>
  <c r="J248" i="67" s="1"/>
  <c r="G241" i="64"/>
  <c r="J247" i="67" s="1"/>
  <c r="G240" i="64"/>
  <c r="J246" i="67" s="1"/>
  <c r="G239" i="64"/>
  <c r="J245" i="67" s="1"/>
  <c r="G238" i="64"/>
  <c r="J244" i="67" s="1"/>
  <c r="G237" i="64"/>
  <c r="J243" i="67" s="1"/>
  <c r="G236" i="64"/>
  <c r="J242" i="67" s="1"/>
  <c r="G235" i="64"/>
  <c r="J241" i="67" s="1"/>
  <c r="G234" i="64"/>
  <c r="J240" i="67" s="1"/>
  <c r="G233" i="64"/>
  <c r="J239" i="67" s="1"/>
  <c r="G232" i="64"/>
  <c r="J238" i="67" s="1"/>
  <c r="G231" i="64"/>
  <c r="J237" i="67" s="1"/>
  <c r="G230" i="64"/>
  <c r="J236" i="67" s="1"/>
  <c r="G229" i="64"/>
  <c r="J235" i="67" s="1"/>
  <c r="G228" i="64"/>
  <c r="J234" i="67" s="1"/>
  <c r="G227" i="64"/>
  <c r="J233" i="67" s="1"/>
  <c r="G226" i="64"/>
  <c r="J232" i="67" s="1"/>
  <c r="G225" i="64"/>
  <c r="J231" i="67" s="1"/>
  <c r="G224" i="64"/>
  <c r="J230" i="67" s="1"/>
  <c r="G223" i="64"/>
  <c r="J229" i="67" s="1"/>
  <c r="G222" i="64"/>
  <c r="J228" i="67" s="1"/>
  <c r="G221" i="64"/>
  <c r="J227" i="67" s="1"/>
  <c r="G220" i="64"/>
  <c r="J226" i="67" s="1"/>
  <c r="G219" i="64"/>
  <c r="J225" i="67" s="1"/>
  <c r="G218" i="64"/>
  <c r="J224" i="67" s="1"/>
  <c r="G217" i="64"/>
  <c r="J223" i="67" s="1"/>
  <c r="G216" i="64"/>
  <c r="J222" i="67" s="1"/>
  <c r="G215" i="64"/>
  <c r="J221" i="67" s="1"/>
  <c r="G214" i="64"/>
  <c r="J220" i="67" s="1"/>
  <c r="G213" i="64"/>
  <c r="J219" i="67" s="1"/>
  <c r="G212" i="64"/>
  <c r="J218" i="67" s="1"/>
  <c r="G211" i="64"/>
  <c r="J217" i="67" s="1"/>
  <c r="G210" i="64"/>
  <c r="G209" i="64"/>
  <c r="J216" i="67" s="1"/>
  <c r="G208" i="64"/>
  <c r="J215" i="67" s="1"/>
  <c r="G207" i="64"/>
  <c r="J214" i="67" s="1"/>
  <c r="G206" i="64"/>
  <c r="J213" i="67" s="1"/>
  <c r="G205" i="64"/>
  <c r="J212" i="67" s="1"/>
  <c r="G204" i="64"/>
  <c r="J211" i="67" s="1"/>
  <c r="G203" i="64"/>
  <c r="J210" i="67" s="1"/>
  <c r="G202" i="64"/>
  <c r="J209" i="67" s="1"/>
  <c r="G201" i="64"/>
  <c r="J208" i="67" s="1"/>
  <c r="G200" i="64"/>
  <c r="J207" i="67" s="1"/>
  <c r="G199" i="64"/>
  <c r="J206" i="67" s="1"/>
  <c r="G198" i="64"/>
  <c r="J205" i="67" s="1"/>
  <c r="G197" i="64"/>
  <c r="J204" i="67" s="1"/>
  <c r="G196" i="64"/>
  <c r="J203" i="67" s="1"/>
  <c r="G195" i="64"/>
  <c r="J202" i="67" s="1"/>
  <c r="G194" i="64"/>
  <c r="J201" i="67" s="1"/>
  <c r="G193" i="64"/>
  <c r="J199" i="67" s="1"/>
  <c r="G192" i="64"/>
  <c r="J198" i="67" s="1"/>
  <c r="G191" i="64"/>
  <c r="J197" i="67" s="1"/>
  <c r="G190" i="64"/>
  <c r="J196" i="67" s="1"/>
  <c r="G189" i="64"/>
  <c r="J195" i="67" s="1"/>
  <c r="G188" i="64"/>
  <c r="J194" i="67" s="1"/>
  <c r="G187" i="64"/>
  <c r="J193" i="67" s="1"/>
  <c r="G186" i="64"/>
  <c r="J192" i="67" s="1"/>
  <c r="G185" i="64"/>
  <c r="J191" i="67" s="1"/>
  <c r="G184" i="64"/>
  <c r="J190" i="67" s="1"/>
  <c r="G183" i="64"/>
  <c r="J189" i="67" s="1"/>
  <c r="G182" i="64"/>
  <c r="J188" i="67" s="1"/>
  <c r="G181" i="64"/>
  <c r="J187" i="67" s="1"/>
  <c r="G180" i="64"/>
  <c r="J186" i="67" s="1"/>
  <c r="G179" i="64"/>
  <c r="J185" i="67" s="1"/>
  <c r="G178" i="64"/>
  <c r="J184" i="67" s="1"/>
  <c r="G177" i="64"/>
  <c r="J183" i="67" s="1"/>
  <c r="G176" i="64"/>
  <c r="J182" i="67" s="1"/>
  <c r="G175" i="64"/>
  <c r="J181" i="67" s="1"/>
  <c r="G174" i="64"/>
  <c r="J180" i="67" s="1"/>
  <c r="G173" i="64"/>
  <c r="J179" i="67" s="1"/>
  <c r="G172" i="64"/>
  <c r="J178" i="67" s="1"/>
  <c r="G171" i="64"/>
  <c r="J177" i="67" s="1"/>
  <c r="G170" i="64"/>
  <c r="J176" i="67" s="1"/>
  <c r="G169" i="64"/>
  <c r="J175" i="67" s="1"/>
  <c r="G168" i="64"/>
  <c r="J174" i="67" s="1"/>
  <c r="G167" i="64"/>
  <c r="J173" i="67" s="1"/>
  <c r="G166" i="64"/>
  <c r="J172" i="67" s="1"/>
  <c r="G165" i="64"/>
  <c r="J171" i="67" s="1"/>
  <c r="G164" i="64"/>
  <c r="J170" i="67" s="1"/>
  <c r="G163" i="64"/>
  <c r="J169" i="67" s="1"/>
  <c r="G162" i="64"/>
  <c r="J168" i="67" s="1"/>
  <c r="G161" i="64"/>
  <c r="J166" i="67" s="1"/>
  <c r="G160" i="64"/>
  <c r="J165" i="67" s="1"/>
  <c r="G159" i="64"/>
  <c r="J164" i="67" s="1"/>
  <c r="G158" i="64"/>
  <c r="J163" i="67" s="1"/>
  <c r="G157" i="64"/>
  <c r="J162" i="67" s="1"/>
  <c r="G156" i="64"/>
  <c r="J161" i="67" s="1"/>
  <c r="G155" i="64"/>
  <c r="J160" i="67" s="1"/>
  <c r="G154" i="64"/>
  <c r="J159" i="67" s="1"/>
  <c r="G153" i="64"/>
  <c r="J158" i="67" s="1"/>
  <c r="G152" i="64"/>
  <c r="J157" i="67" s="1"/>
  <c r="G151" i="64"/>
  <c r="J156" i="67" s="1"/>
  <c r="G150" i="64"/>
  <c r="J155" i="67" s="1"/>
  <c r="G149" i="64"/>
  <c r="J154" i="67" s="1"/>
  <c r="G148" i="64"/>
  <c r="J153" i="67" s="1"/>
  <c r="G147" i="64"/>
  <c r="J152" i="67" s="1"/>
  <c r="G146" i="64"/>
  <c r="J151" i="67" s="1"/>
  <c r="G145" i="64"/>
  <c r="J150" i="67" s="1"/>
  <c r="G144" i="64"/>
  <c r="J149" i="67" s="1"/>
  <c r="G143" i="64"/>
  <c r="J148" i="67" s="1"/>
  <c r="G142" i="64"/>
  <c r="J147" i="67" s="1"/>
  <c r="G141" i="64"/>
  <c r="J146" i="67" s="1"/>
  <c r="G140" i="64"/>
  <c r="J145" i="67" s="1"/>
  <c r="G139" i="64"/>
  <c r="J144" i="67" s="1"/>
  <c r="G138" i="64"/>
  <c r="J143" i="67" s="1"/>
  <c r="G137" i="64"/>
  <c r="J142" i="67" s="1"/>
  <c r="G136" i="64"/>
  <c r="J141" i="67" s="1"/>
  <c r="G135" i="64"/>
  <c r="J140" i="67" s="1"/>
  <c r="G134" i="64"/>
  <c r="J139" i="67" s="1"/>
  <c r="G133" i="64"/>
  <c r="J138" i="67" s="1"/>
  <c r="G132" i="64"/>
  <c r="J137" i="67" s="1"/>
  <c r="G131" i="64"/>
  <c r="J136" i="67" s="1"/>
  <c r="G130" i="64"/>
  <c r="J135" i="67" s="1"/>
  <c r="G129" i="64"/>
  <c r="J134" i="67" s="1"/>
  <c r="G128" i="64"/>
  <c r="J132" i="67" s="1"/>
  <c r="G127" i="64"/>
  <c r="J131" i="67" s="1"/>
  <c r="G126" i="64"/>
  <c r="J130" i="67" s="1"/>
  <c r="G125" i="64"/>
  <c r="J129" i="67" s="1"/>
  <c r="G124" i="64"/>
  <c r="J128" i="67" s="1"/>
  <c r="G123" i="64"/>
  <c r="J127" i="67" s="1"/>
  <c r="G122" i="64"/>
  <c r="J126" i="67" s="1"/>
  <c r="G121" i="64"/>
  <c r="J125" i="67" s="1"/>
  <c r="G120" i="64"/>
  <c r="J124" i="67" s="1"/>
  <c r="G119" i="64"/>
  <c r="J123" i="67" s="1"/>
  <c r="G118" i="64"/>
  <c r="J122" i="67" s="1"/>
  <c r="G117" i="64"/>
  <c r="J121" i="67" s="1"/>
  <c r="G116" i="64"/>
  <c r="J120" i="67" s="1"/>
  <c r="G115" i="64"/>
  <c r="J119" i="67" s="1"/>
  <c r="G114" i="64"/>
  <c r="J118" i="67" s="1"/>
  <c r="G113" i="64"/>
  <c r="J117" i="67" s="1"/>
  <c r="G112" i="64"/>
  <c r="J116" i="67" s="1"/>
  <c r="G111" i="64"/>
  <c r="J115" i="67" s="1"/>
  <c r="G110" i="64"/>
  <c r="J114" i="67" s="1"/>
  <c r="G109" i="64"/>
  <c r="J113" i="67" s="1"/>
  <c r="G108" i="64"/>
  <c r="J112" i="67" s="1"/>
  <c r="G107" i="64"/>
  <c r="J111" i="67" s="1"/>
  <c r="G106" i="64"/>
  <c r="J110" i="67" s="1"/>
  <c r="G105" i="64"/>
  <c r="J109" i="67" s="1"/>
  <c r="G104" i="64"/>
  <c r="J108" i="67" s="1"/>
  <c r="G103" i="64"/>
  <c r="J106" i="67" s="1"/>
  <c r="G102" i="64"/>
  <c r="J105" i="67" s="1"/>
  <c r="G101" i="64"/>
  <c r="J104" i="67" s="1"/>
  <c r="G100" i="64"/>
  <c r="J103" i="67" s="1"/>
  <c r="G99" i="64"/>
  <c r="J102" i="67" s="1"/>
  <c r="G98" i="64"/>
  <c r="J101" i="67" s="1"/>
  <c r="G97" i="64"/>
  <c r="J100" i="67" s="1"/>
  <c r="G96" i="64"/>
  <c r="J99" i="67" s="1"/>
  <c r="G95" i="64"/>
  <c r="J98" i="67" s="1"/>
  <c r="G94" i="64"/>
  <c r="J97" i="67" s="1"/>
  <c r="G93" i="64"/>
  <c r="J96" i="67" s="1"/>
  <c r="G92" i="64"/>
  <c r="J95" i="67" s="1"/>
  <c r="G91" i="64"/>
  <c r="J94" i="67" s="1"/>
  <c r="G90" i="64"/>
  <c r="J93" i="67" s="1"/>
  <c r="G89" i="64"/>
  <c r="J92" i="67" s="1"/>
  <c r="G88" i="64"/>
  <c r="J91" i="67" s="1"/>
  <c r="G87" i="64"/>
  <c r="J90" i="67" s="1"/>
  <c r="G86" i="64"/>
  <c r="J89" i="67" s="1"/>
  <c r="G85" i="64"/>
  <c r="J88" i="67" s="1"/>
  <c r="G84" i="64"/>
  <c r="J87" i="67" s="1"/>
  <c r="G83" i="64"/>
  <c r="J86" i="67" s="1"/>
  <c r="G82" i="64"/>
  <c r="J85" i="67" s="1"/>
  <c r="G81" i="64"/>
  <c r="J84" i="67" s="1"/>
  <c r="G80" i="64"/>
  <c r="J83" i="67" s="1"/>
  <c r="G79" i="64"/>
  <c r="J82" i="67" s="1"/>
  <c r="G78" i="64"/>
  <c r="J81" i="67" s="1"/>
  <c r="G77" i="64"/>
  <c r="J80" i="67" s="1"/>
  <c r="G76" i="64"/>
  <c r="J79" i="67" s="1"/>
  <c r="G75" i="64"/>
  <c r="J78" i="67" s="1"/>
  <c r="G74" i="64"/>
  <c r="J77" i="67" s="1"/>
  <c r="G73" i="64"/>
  <c r="J76" i="67" s="1"/>
  <c r="G72" i="64"/>
  <c r="J75" i="67" s="1"/>
  <c r="G71" i="64"/>
  <c r="J74" i="67" s="1"/>
  <c r="G70" i="64"/>
  <c r="J73" i="67" s="1"/>
  <c r="G69" i="64"/>
  <c r="J72" i="67" s="1"/>
  <c r="G68" i="64"/>
  <c r="J71" i="67" s="1"/>
  <c r="G67" i="64"/>
  <c r="J70" i="67" s="1"/>
  <c r="G66" i="64"/>
  <c r="J69" i="67" s="1"/>
  <c r="G65" i="64"/>
  <c r="J68" i="67" s="1"/>
  <c r="G64" i="64"/>
  <c r="J67" i="67" s="1"/>
  <c r="G63" i="64"/>
  <c r="J66" i="67" s="1"/>
  <c r="G62" i="64"/>
  <c r="J65" i="67" s="1"/>
  <c r="G61" i="64"/>
  <c r="J64" i="67" s="1"/>
  <c r="G60" i="64"/>
  <c r="J63" i="67" s="1"/>
  <c r="G59" i="64"/>
  <c r="J62" i="67" s="1"/>
  <c r="G58" i="64"/>
  <c r="J61" i="67" s="1"/>
  <c r="G57" i="64"/>
  <c r="J60" i="67" s="1"/>
  <c r="G56" i="64"/>
  <c r="J59" i="67" s="1"/>
  <c r="G55" i="64"/>
  <c r="J58" i="67" s="1"/>
  <c r="G54" i="64"/>
  <c r="J57" i="67" s="1"/>
  <c r="G53" i="64"/>
  <c r="J56" i="67" s="1"/>
  <c r="G52" i="64"/>
  <c r="J55" i="67" s="1"/>
  <c r="G51" i="64"/>
  <c r="J54" i="67" s="1"/>
  <c r="G50" i="64"/>
  <c r="J53" i="67" s="1"/>
  <c r="G49" i="64"/>
  <c r="J52" i="67" s="1"/>
  <c r="G48" i="64"/>
  <c r="J51" i="67" s="1"/>
  <c r="G47" i="64"/>
  <c r="J50" i="67" s="1"/>
  <c r="G46" i="64"/>
  <c r="J49" i="67" s="1"/>
  <c r="G45" i="64"/>
  <c r="J48" i="67" s="1"/>
  <c r="G44" i="64"/>
  <c r="J47" i="67" s="1"/>
  <c r="G43" i="64"/>
  <c r="J46" i="67" s="1"/>
  <c r="G42" i="64"/>
  <c r="J45" i="67" s="1"/>
  <c r="G41" i="64"/>
  <c r="J44" i="67" s="1"/>
  <c r="G40" i="64"/>
  <c r="J43" i="67" s="1"/>
  <c r="G39" i="64"/>
  <c r="J42" i="67" s="1"/>
  <c r="G38" i="64"/>
  <c r="J41" i="67" s="1"/>
  <c r="G37" i="64"/>
  <c r="J40" i="67" s="1"/>
  <c r="G36" i="64"/>
  <c r="J39" i="67" s="1"/>
  <c r="G35" i="64"/>
  <c r="J38" i="67" s="1"/>
  <c r="G34" i="64"/>
  <c r="J37" i="67" s="1"/>
  <c r="G33" i="64"/>
  <c r="J36" i="67" s="1"/>
  <c r="G32" i="64"/>
  <c r="J33" i="67" s="1"/>
  <c r="G31" i="64"/>
  <c r="J32" i="67" s="1"/>
  <c r="G30" i="64"/>
  <c r="J31" i="67" s="1"/>
  <c r="G29" i="64"/>
  <c r="J30" i="67" s="1"/>
  <c r="G28" i="64"/>
  <c r="J29" i="67" s="1"/>
  <c r="G27" i="64"/>
  <c r="J28" i="67" s="1"/>
  <c r="G26" i="64"/>
  <c r="J27" i="67" s="1"/>
  <c r="G25" i="64"/>
  <c r="J26" i="67" s="1"/>
  <c r="G24" i="64"/>
  <c r="J25" i="67" s="1"/>
  <c r="G23" i="64"/>
  <c r="J24" i="67" s="1"/>
  <c r="G22" i="64"/>
  <c r="J23" i="67" s="1"/>
  <c r="G21" i="64"/>
  <c r="J22" i="67" s="1"/>
  <c r="G20" i="64"/>
  <c r="J21" i="67" s="1"/>
  <c r="G19" i="64"/>
  <c r="J20" i="67" s="1"/>
  <c r="G18" i="64"/>
  <c r="J19" i="67" s="1"/>
  <c r="G17" i="64"/>
  <c r="J18" i="67" s="1"/>
  <c r="G16" i="64"/>
  <c r="J17" i="67" s="1"/>
  <c r="G15" i="64"/>
  <c r="J16" i="67" s="1"/>
  <c r="G14" i="64"/>
  <c r="J15" i="67" s="1"/>
  <c r="G13" i="64"/>
  <c r="J14" i="67" s="1"/>
  <c r="G12" i="64"/>
  <c r="J13" i="67" s="1"/>
  <c r="G11" i="64"/>
  <c r="J12" i="67" s="1"/>
  <c r="G10" i="64"/>
  <c r="J11" i="67" s="1"/>
  <c r="G9" i="64"/>
  <c r="J10" i="67" s="1"/>
  <c r="G8" i="64"/>
  <c r="J9" i="67" s="1"/>
  <c r="G7" i="64"/>
  <c r="J8" i="67" s="1"/>
  <c r="G6" i="64"/>
  <c r="J7" i="67" s="1"/>
  <c r="G5" i="64"/>
  <c r="J6" i="67" s="1"/>
  <c r="G4" i="64"/>
  <c r="J5" i="67" s="1"/>
  <c r="G3" i="64"/>
  <c r="J4" i="67" s="1"/>
  <c r="G2" i="64"/>
  <c r="J3" i="67" s="1"/>
  <c r="J413" i="67" l="1"/>
  <c r="Z10" i="3"/>
  <c r="J414" i="67"/>
  <c r="Z11" i="3"/>
  <c r="AJ11" i="3" s="1"/>
  <c r="J393" i="67"/>
  <c r="Z12" i="3"/>
  <c r="AJ12" i="3" s="1"/>
  <c r="K1476" i="67"/>
  <c r="G1432" i="64"/>
  <c r="O50" i="3"/>
  <c r="AJ10" i="3"/>
  <c r="O19" i="3"/>
  <c r="O27" i="3"/>
  <c r="C27" i="3" s="1"/>
  <c r="O39" i="3"/>
  <c r="C39" i="3" s="1"/>
  <c r="O51" i="3"/>
  <c r="C51" i="3" s="1"/>
  <c r="O20" i="3"/>
  <c r="C20" i="3" s="1"/>
  <c r="O40" i="3"/>
  <c r="C40" i="3" s="1"/>
  <c r="O52" i="3"/>
  <c r="C52" i="3" s="1"/>
  <c r="O7" i="3"/>
  <c r="O21" i="3"/>
  <c r="C21" i="3" s="1"/>
  <c r="O41" i="3"/>
  <c r="C41" i="3" s="1"/>
  <c r="O53" i="3"/>
  <c r="C53" i="3" s="1"/>
  <c r="Z32" i="3"/>
  <c r="O8" i="3"/>
  <c r="C8" i="3" s="1"/>
  <c r="O22" i="3"/>
  <c r="C22" i="3" s="1"/>
  <c r="O42" i="3"/>
  <c r="C42" i="3" s="1"/>
  <c r="O54" i="3"/>
  <c r="C54" i="3" s="1"/>
  <c r="O11" i="3"/>
  <c r="O12" i="3" s="1"/>
  <c r="O23" i="3"/>
  <c r="C23" i="3" s="1"/>
  <c r="O45" i="3"/>
  <c r="O57" i="3"/>
  <c r="O14" i="3"/>
  <c r="O24" i="3"/>
  <c r="C24" i="3" s="1"/>
  <c r="O46" i="3"/>
  <c r="C46" i="3" s="1"/>
  <c r="O58" i="3"/>
  <c r="C58" i="3" s="1"/>
  <c r="O15" i="3"/>
  <c r="C15" i="3" s="1"/>
  <c r="O25" i="3"/>
  <c r="C25" i="3" s="1"/>
  <c r="O47" i="3"/>
  <c r="C47" i="3" s="1"/>
  <c r="O60" i="3"/>
  <c r="C60" i="3" s="1"/>
  <c r="O16" i="3"/>
  <c r="C16" i="3" s="1"/>
  <c r="O26" i="3"/>
  <c r="C26" i="3" s="1"/>
  <c r="O38" i="3"/>
  <c r="G1230" i="60"/>
  <c r="D1237" i="60"/>
  <c r="C57" i="3" l="1"/>
  <c r="C61" i="3" s="1"/>
  <c r="O61" i="3"/>
  <c r="C19" i="3"/>
  <c r="C28" i="3" s="1"/>
  <c r="O28" i="3"/>
  <c r="C14" i="3"/>
  <c r="O17" i="3"/>
  <c r="C45" i="3"/>
  <c r="C48" i="3" s="1"/>
  <c r="O48" i="3"/>
  <c r="C7" i="3"/>
  <c r="O9" i="3"/>
  <c r="C38" i="3"/>
  <c r="O43" i="3"/>
  <c r="C50" i="3"/>
  <c r="C55" i="3" s="1"/>
  <c r="O55" i="3"/>
  <c r="C43" i="3"/>
  <c r="C17" i="3"/>
  <c r="C9" i="3"/>
  <c r="C11" i="3"/>
  <c r="C12" i="3" s="1"/>
  <c r="O30" i="3" l="1"/>
  <c r="C30" i="3"/>
  <c r="P61" i="3"/>
  <c r="E457" i="61"/>
  <c r="G457" i="61" s="1"/>
  <c r="D484" i="59"/>
  <c r="D32" i="60"/>
  <c r="P12" i="3" l="1"/>
  <c r="P43" i="3"/>
  <c r="P48" i="3"/>
  <c r="P30" i="3"/>
  <c r="P33" i="3"/>
  <c r="P17" i="3"/>
  <c r="P8" i="3"/>
  <c r="P9" i="3"/>
  <c r="P7" i="3"/>
  <c r="P28" i="3"/>
  <c r="P55" i="3"/>
  <c r="E1330" i="61"/>
  <c r="F1330" i="61"/>
  <c r="D1330" i="61"/>
  <c r="C1330" i="61"/>
  <c r="G1325" i="61"/>
  <c r="G1324" i="61"/>
  <c r="G1323" i="61"/>
  <c r="G1322" i="61"/>
  <c r="G1321" i="61"/>
  <c r="G1320" i="61"/>
  <c r="G1319" i="61"/>
  <c r="G1318" i="61"/>
  <c r="G1317" i="61"/>
  <c r="G1316" i="61"/>
  <c r="G1315" i="61"/>
  <c r="G1314" i="61"/>
  <c r="G1313" i="61"/>
  <c r="G1312" i="61"/>
  <c r="G1311" i="61"/>
  <c r="G1310" i="61"/>
  <c r="G1309" i="61"/>
  <c r="G1308" i="61"/>
  <c r="G1307" i="61"/>
  <c r="G1306" i="61"/>
  <c r="G1305" i="61"/>
  <c r="G1304" i="61"/>
  <c r="G1303" i="61"/>
  <c r="G1302" i="61"/>
  <c r="G1301" i="61"/>
  <c r="G1300" i="61"/>
  <c r="G1299" i="61"/>
  <c r="G1298" i="61"/>
  <c r="G1297" i="61"/>
  <c r="G1296" i="61"/>
  <c r="G1295" i="61"/>
  <c r="G1294" i="61"/>
  <c r="G1293" i="61"/>
  <c r="G1292" i="61"/>
  <c r="G1291" i="61"/>
  <c r="G1290" i="61"/>
  <c r="G1289" i="61"/>
  <c r="G1288" i="61"/>
  <c r="G1287" i="61"/>
  <c r="G1286" i="61"/>
  <c r="G1285" i="61"/>
  <c r="G1284" i="61"/>
  <c r="G1283" i="61"/>
  <c r="G1282" i="61"/>
  <c r="G1281" i="61"/>
  <c r="G1280" i="61"/>
  <c r="G1279" i="61"/>
  <c r="G1278" i="61"/>
  <c r="G1277" i="61"/>
  <c r="G1276" i="61"/>
  <c r="G1275" i="61"/>
  <c r="G1274" i="61"/>
  <c r="G1273" i="61"/>
  <c r="G1272" i="61"/>
  <c r="G1271" i="61"/>
  <c r="G1270" i="61"/>
  <c r="G1269" i="61"/>
  <c r="G1268" i="61"/>
  <c r="G1267" i="61"/>
  <c r="G1266" i="61"/>
  <c r="G1265" i="61"/>
  <c r="G1264" i="61"/>
  <c r="G1263" i="61"/>
  <c r="G1262" i="61"/>
  <c r="G1261" i="61"/>
  <c r="G1260" i="61"/>
  <c r="G1259" i="61"/>
  <c r="G1258" i="61"/>
  <c r="G1257" i="61"/>
  <c r="G1256" i="61"/>
  <c r="G1255" i="61"/>
  <c r="G1254" i="61"/>
  <c r="G1253" i="61"/>
  <c r="G1252" i="61"/>
  <c r="G1251" i="61"/>
  <c r="G1250" i="61"/>
  <c r="G1249" i="61"/>
  <c r="G1248" i="61"/>
  <c r="G1247" i="61"/>
  <c r="G1246" i="61"/>
  <c r="G1245" i="61"/>
  <c r="G1244" i="61"/>
  <c r="G1243" i="61"/>
  <c r="G1242" i="61"/>
  <c r="G1241" i="61"/>
  <c r="G1240" i="61"/>
  <c r="G1239" i="61"/>
  <c r="G1238" i="61"/>
  <c r="G1237" i="61"/>
  <c r="G1236" i="61"/>
  <c r="G1235" i="61"/>
  <c r="G1234" i="61"/>
  <c r="G1233" i="61"/>
  <c r="G1232" i="61"/>
  <c r="G1231" i="61"/>
  <c r="G1230" i="61"/>
  <c r="G1229" i="61"/>
  <c r="G1228" i="61"/>
  <c r="G1227" i="61"/>
  <c r="G1226" i="61"/>
  <c r="G1225" i="61"/>
  <c r="G1224" i="61"/>
  <c r="G1223" i="61"/>
  <c r="G1222" i="61"/>
  <c r="G1221" i="61"/>
  <c r="G1220" i="61"/>
  <c r="G1219" i="61"/>
  <c r="G1218" i="61"/>
  <c r="G1217" i="61"/>
  <c r="G1216" i="61"/>
  <c r="G1215" i="61"/>
  <c r="G1214" i="61"/>
  <c r="G1213" i="61"/>
  <c r="G1212" i="61"/>
  <c r="G1211" i="61"/>
  <c r="G1210" i="61"/>
  <c r="G1209" i="61"/>
  <c r="G1208" i="61"/>
  <c r="G1207" i="61"/>
  <c r="G1206" i="61"/>
  <c r="G1205" i="61"/>
  <c r="G1204" i="61"/>
  <c r="G1203" i="61"/>
  <c r="G1202" i="61"/>
  <c r="G1201" i="61"/>
  <c r="G1200" i="61"/>
  <c r="G1199" i="61"/>
  <c r="G1198" i="61"/>
  <c r="G1197" i="61"/>
  <c r="G1196" i="61"/>
  <c r="G1195" i="61"/>
  <c r="G1194" i="61"/>
  <c r="G1193" i="61"/>
  <c r="G1192" i="61"/>
  <c r="G1191" i="61"/>
  <c r="G1190" i="61"/>
  <c r="G1189" i="61"/>
  <c r="G1188" i="61"/>
  <c r="G1187" i="61"/>
  <c r="G1186" i="61"/>
  <c r="G1185" i="61"/>
  <c r="G1184" i="61"/>
  <c r="G1183" i="61"/>
  <c r="G1182" i="61"/>
  <c r="G1181" i="61"/>
  <c r="G1180" i="61"/>
  <c r="G1179" i="61"/>
  <c r="G1178" i="61"/>
  <c r="G1177" i="61"/>
  <c r="G1176" i="61"/>
  <c r="G1175" i="61"/>
  <c r="G1174" i="61"/>
  <c r="G1173" i="61"/>
  <c r="G1172" i="61"/>
  <c r="G1171" i="61"/>
  <c r="G1170" i="61"/>
  <c r="G1169" i="61"/>
  <c r="G1168" i="61"/>
  <c r="G1167" i="61"/>
  <c r="G1166" i="61"/>
  <c r="G1165" i="61"/>
  <c r="G1164" i="61"/>
  <c r="G1163" i="61"/>
  <c r="G1162" i="61"/>
  <c r="G1161" i="61"/>
  <c r="G1160" i="61"/>
  <c r="G1159" i="61"/>
  <c r="G1158" i="61"/>
  <c r="G1157" i="61"/>
  <c r="G1156" i="61"/>
  <c r="G1155" i="61"/>
  <c r="G1154" i="61"/>
  <c r="G1153" i="61"/>
  <c r="G1152" i="61"/>
  <c r="G1151" i="61"/>
  <c r="G1150" i="61"/>
  <c r="G1149" i="61"/>
  <c r="G1148" i="61"/>
  <c r="G1147" i="61"/>
  <c r="G1146" i="61"/>
  <c r="G1145" i="61"/>
  <c r="G1144" i="61"/>
  <c r="G1143" i="61"/>
  <c r="G1142" i="61"/>
  <c r="G1141" i="61"/>
  <c r="G1140" i="61"/>
  <c r="G1139" i="61"/>
  <c r="G1138" i="61"/>
  <c r="G1137" i="61"/>
  <c r="G1136" i="61"/>
  <c r="G1135" i="61"/>
  <c r="G1134" i="61"/>
  <c r="G1133" i="61"/>
  <c r="G1132" i="61"/>
  <c r="G1131" i="61"/>
  <c r="G1130" i="61"/>
  <c r="G1129" i="61"/>
  <c r="G1128" i="61"/>
  <c r="G1127" i="61"/>
  <c r="G1126" i="61"/>
  <c r="G1125" i="61"/>
  <c r="G1124" i="61"/>
  <c r="G1123" i="61"/>
  <c r="G1122" i="61"/>
  <c r="G1121" i="61"/>
  <c r="G1120" i="61"/>
  <c r="G1119" i="61"/>
  <c r="G1118" i="61"/>
  <c r="G1117" i="61"/>
  <c r="G1116" i="61"/>
  <c r="G1115" i="61"/>
  <c r="G1114" i="61"/>
  <c r="G1113" i="61"/>
  <c r="G1112" i="61"/>
  <c r="G1111" i="61"/>
  <c r="G1110" i="61"/>
  <c r="G1109" i="61"/>
  <c r="G1108" i="61"/>
  <c r="G1107" i="61"/>
  <c r="G1106" i="61"/>
  <c r="G1105" i="61"/>
  <c r="G1104" i="61"/>
  <c r="G1103" i="61"/>
  <c r="G1102" i="61"/>
  <c r="G1101" i="61"/>
  <c r="G1100" i="61"/>
  <c r="G1099" i="61"/>
  <c r="G1098" i="61"/>
  <c r="G1097" i="61"/>
  <c r="G1096" i="61"/>
  <c r="G1095" i="61"/>
  <c r="G1094" i="61"/>
  <c r="G1093" i="61"/>
  <c r="G1092" i="61"/>
  <c r="G1091" i="61"/>
  <c r="G1090" i="61"/>
  <c r="G1089" i="61"/>
  <c r="G1088" i="61"/>
  <c r="G1087" i="61"/>
  <c r="G1086" i="61"/>
  <c r="G1085" i="61"/>
  <c r="G1084" i="61"/>
  <c r="G1083" i="61"/>
  <c r="G1082" i="61"/>
  <c r="G1081" i="61"/>
  <c r="G1080" i="61"/>
  <c r="G1079" i="61"/>
  <c r="G1078" i="61"/>
  <c r="G1077" i="61"/>
  <c r="G1076" i="61"/>
  <c r="G1075" i="61"/>
  <c r="G1074" i="61"/>
  <c r="G1073" i="61"/>
  <c r="G1072" i="61"/>
  <c r="G1071" i="61"/>
  <c r="G1070" i="61"/>
  <c r="G1069" i="61"/>
  <c r="G1068" i="61"/>
  <c r="G1067" i="61"/>
  <c r="G1066" i="61"/>
  <c r="G1065" i="61"/>
  <c r="G1064" i="61"/>
  <c r="G1063" i="61"/>
  <c r="G1062" i="61"/>
  <c r="G1061" i="61"/>
  <c r="G1060" i="61"/>
  <c r="G1059" i="61"/>
  <c r="G1058" i="61"/>
  <c r="G1057" i="61"/>
  <c r="G1056" i="61"/>
  <c r="G1055" i="61"/>
  <c r="G1054" i="61"/>
  <c r="G1053" i="61"/>
  <c r="G1052" i="61"/>
  <c r="G1051" i="61"/>
  <c r="G1050" i="61"/>
  <c r="G1049" i="61"/>
  <c r="G1048" i="61"/>
  <c r="G1047" i="61"/>
  <c r="G1046" i="61"/>
  <c r="G1045" i="61"/>
  <c r="G1044" i="61"/>
  <c r="G1043" i="61"/>
  <c r="G1042" i="61"/>
  <c r="G1041" i="61"/>
  <c r="G1040" i="61"/>
  <c r="G1039" i="61"/>
  <c r="G1038" i="61"/>
  <c r="G1037" i="61"/>
  <c r="G1036" i="61"/>
  <c r="G1035" i="61"/>
  <c r="G1034" i="61"/>
  <c r="G1033" i="61"/>
  <c r="G1032" i="61"/>
  <c r="G1031" i="61"/>
  <c r="G1030" i="61"/>
  <c r="G1029" i="61"/>
  <c r="G1028" i="61"/>
  <c r="G1027" i="61"/>
  <c r="G1026" i="61"/>
  <c r="G1025" i="61"/>
  <c r="G1024" i="61"/>
  <c r="G1023" i="61"/>
  <c r="G1022" i="61"/>
  <c r="G1021" i="61"/>
  <c r="G1020" i="61"/>
  <c r="G1019" i="61"/>
  <c r="G1018" i="61"/>
  <c r="G1017" i="61"/>
  <c r="G1016" i="61"/>
  <c r="G1015" i="61"/>
  <c r="G1014" i="61"/>
  <c r="G1013" i="61"/>
  <c r="G1012" i="61"/>
  <c r="G1011" i="61"/>
  <c r="G1010" i="61"/>
  <c r="G1009" i="61"/>
  <c r="G1008" i="61"/>
  <c r="G1007" i="61"/>
  <c r="G1006" i="61"/>
  <c r="G1005" i="61"/>
  <c r="G1004" i="61"/>
  <c r="G1003" i="61"/>
  <c r="G1002" i="61"/>
  <c r="G1001" i="61"/>
  <c r="G1000" i="61"/>
  <c r="G999" i="61"/>
  <c r="G998" i="61"/>
  <c r="G997" i="61"/>
  <c r="G996" i="61"/>
  <c r="G995" i="61"/>
  <c r="G994" i="61"/>
  <c r="G993" i="61"/>
  <c r="G992" i="61"/>
  <c r="G991" i="61"/>
  <c r="G990" i="61"/>
  <c r="G989" i="61"/>
  <c r="G988" i="61"/>
  <c r="G987" i="61"/>
  <c r="G986" i="61"/>
  <c r="G985" i="61"/>
  <c r="G984" i="61"/>
  <c r="G983" i="61"/>
  <c r="G982" i="61"/>
  <c r="G981" i="61"/>
  <c r="G980" i="61"/>
  <c r="G979" i="61"/>
  <c r="G978" i="61"/>
  <c r="G977" i="61"/>
  <c r="G976" i="61"/>
  <c r="G975" i="61"/>
  <c r="G974" i="61"/>
  <c r="G973" i="61"/>
  <c r="G972" i="61"/>
  <c r="G971" i="61"/>
  <c r="G970" i="61"/>
  <c r="G969" i="61"/>
  <c r="G968" i="61"/>
  <c r="G967" i="61"/>
  <c r="G966" i="61"/>
  <c r="G965" i="61"/>
  <c r="G964" i="61"/>
  <c r="G963" i="61"/>
  <c r="G962" i="61"/>
  <c r="G961" i="61"/>
  <c r="G960" i="61"/>
  <c r="G959" i="61"/>
  <c r="G958" i="61"/>
  <c r="G957" i="61"/>
  <c r="G956" i="61"/>
  <c r="G955" i="61"/>
  <c r="G954" i="61"/>
  <c r="G953" i="61"/>
  <c r="G952" i="61"/>
  <c r="G951" i="61"/>
  <c r="G950" i="61"/>
  <c r="G949" i="61"/>
  <c r="G948" i="61"/>
  <c r="G947" i="61"/>
  <c r="G946" i="61"/>
  <c r="G945" i="61"/>
  <c r="G944" i="61"/>
  <c r="G943" i="61"/>
  <c r="G942" i="61"/>
  <c r="G941" i="61"/>
  <c r="G940" i="61"/>
  <c r="G939" i="61"/>
  <c r="G938" i="61"/>
  <c r="G937" i="61"/>
  <c r="G936" i="61"/>
  <c r="G935" i="61"/>
  <c r="G934" i="61"/>
  <c r="G933" i="61"/>
  <c r="G932" i="61"/>
  <c r="G931" i="61"/>
  <c r="G930" i="61"/>
  <c r="G929" i="61"/>
  <c r="G928" i="61"/>
  <c r="G927" i="61"/>
  <c r="G926" i="61"/>
  <c r="G925" i="61"/>
  <c r="G924" i="61"/>
  <c r="G923" i="61"/>
  <c r="G922" i="61"/>
  <c r="G921" i="61"/>
  <c r="G920" i="61"/>
  <c r="G919" i="61"/>
  <c r="G918" i="61"/>
  <c r="G917" i="61"/>
  <c r="G916" i="61"/>
  <c r="G915" i="61"/>
  <c r="G914" i="61"/>
  <c r="G913" i="61"/>
  <c r="G912" i="61"/>
  <c r="G911" i="61"/>
  <c r="G910" i="61"/>
  <c r="G909" i="61"/>
  <c r="G908" i="61"/>
  <c r="G907" i="61"/>
  <c r="G906" i="61"/>
  <c r="G905" i="61"/>
  <c r="G904" i="61"/>
  <c r="G903" i="61"/>
  <c r="G902" i="61"/>
  <c r="G901" i="61"/>
  <c r="G900" i="61"/>
  <c r="G899" i="61"/>
  <c r="G898" i="61"/>
  <c r="G897" i="61"/>
  <c r="G896" i="61"/>
  <c r="G895" i="61"/>
  <c r="G894" i="61"/>
  <c r="G893" i="61"/>
  <c r="G892" i="61"/>
  <c r="G891" i="61"/>
  <c r="G890" i="61"/>
  <c r="G889" i="61"/>
  <c r="G888" i="61"/>
  <c r="G887" i="61"/>
  <c r="G886" i="61"/>
  <c r="G885" i="61"/>
  <c r="G884" i="61"/>
  <c r="G883" i="61"/>
  <c r="G882" i="61"/>
  <c r="G881" i="61"/>
  <c r="G880" i="61"/>
  <c r="G879" i="61"/>
  <c r="G878" i="61"/>
  <c r="G877" i="61"/>
  <c r="G876" i="61"/>
  <c r="G875" i="61"/>
  <c r="G874" i="61"/>
  <c r="G873" i="61"/>
  <c r="G872" i="61"/>
  <c r="G871" i="61"/>
  <c r="G870" i="61"/>
  <c r="G869" i="61"/>
  <c r="G868" i="61"/>
  <c r="G867" i="61"/>
  <c r="G866" i="61"/>
  <c r="G865" i="61"/>
  <c r="G864" i="61"/>
  <c r="G863" i="61"/>
  <c r="G862" i="61"/>
  <c r="G861" i="61"/>
  <c r="G860" i="61"/>
  <c r="G859" i="61"/>
  <c r="G858" i="61"/>
  <c r="G857" i="61"/>
  <c r="G856" i="61"/>
  <c r="G855" i="61"/>
  <c r="G854" i="61"/>
  <c r="G853" i="61"/>
  <c r="G852" i="61"/>
  <c r="G851" i="61"/>
  <c r="G850" i="61"/>
  <c r="G849" i="61"/>
  <c r="G848" i="61"/>
  <c r="G847" i="61"/>
  <c r="G846" i="61"/>
  <c r="G845" i="61"/>
  <c r="G844" i="61"/>
  <c r="G843" i="61"/>
  <c r="G842" i="61"/>
  <c r="G841" i="61"/>
  <c r="G840" i="61"/>
  <c r="G839" i="61"/>
  <c r="G838" i="61"/>
  <c r="G837" i="61"/>
  <c r="G836" i="61"/>
  <c r="G835" i="61"/>
  <c r="G834" i="61"/>
  <c r="G833" i="61"/>
  <c r="G832" i="61"/>
  <c r="G831" i="61"/>
  <c r="G830" i="61"/>
  <c r="G829" i="61"/>
  <c r="G828" i="61"/>
  <c r="G827" i="61"/>
  <c r="G826" i="61"/>
  <c r="G825" i="61"/>
  <c r="G824" i="61"/>
  <c r="G823" i="61"/>
  <c r="G822" i="61"/>
  <c r="G821" i="61"/>
  <c r="G820" i="61"/>
  <c r="G819" i="61"/>
  <c r="G818" i="61"/>
  <c r="G817" i="61"/>
  <c r="G816" i="61"/>
  <c r="G815" i="61"/>
  <c r="G814" i="61"/>
  <c r="G813" i="61"/>
  <c r="G812" i="61"/>
  <c r="G811" i="61"/>
  <c r="G810" i="61"/>
  <c r="G809" i="61"/>
  <c r="G808" i="61"/>
  <c r="G807" i="61"/>
  <c r="G806" i="61"/>
  <c r="G805" i="61"/>
  <c r="G804" i="61"/>
  <c r="G803" i="61"/>
  <c r="G802" i="61"/>
  <c r="G801" i="61"/>
  <c r="G800" i="61"/>
  <c r="G799" i="61"/>
  <c r="G798" i="61"/>
  <c r="G797" i="61"/>
  <c r="G796" i="61"/>
  <c r="G795" i="61"/>
  <c r="G794" i="61"/>
  <c r="G793" i="61"/>
  <c r="G792" i="61"/>
  <c r="G791" i="61"/>
  <c r="G790" i="61"/>
  <c r="G789" i="61"/>
  <c r="G788" i="61"/>
  <c r="G787" i="61"/>
  <c r="G786" i="61"/>
  <c r="G785" i="61"/>
  <c r="G784" i="61"/>
  <c r="G783" i="61"/>
  <c r="G782" i="61"/>
  <c r="G781" i="61"/>
  <c r="G780" i="61"/>
  <c r="G779" i="61"/>
  <c r="G778" i="61"/>
  <c r="G777" i="61"/>
  <c r="G776" i="61"/>
  <c r="G775" i="61"/>
  <c r="G774" i="61"/>
  <c r="G773" i="61"/>
  <c r="G772" i="61"/>
  <c r="G771" i="61"/>
  <c r="G770" i="61"/>
  <c r="G769" i="61"/>
  <c r="G768" i="61"/>
  <c r="G767" i="61"/>
  <c r="G766" i="61"/>
  <c r="G765" i="61"/>
  <c r="G764" i="61"/>
  <c r="G763" i="61"/>
  <c r="G762" i="61"/>
  <c r="G761" i="61"/>
  <c r="G760" i="61"/>
  <c r="G759" i="61"/>
  <c r="G758" i="61"/>
  <c r="G757" i="61"/>
  <c r="G756" i="61"/>
  <c r="G755" i="61"/>
  <c r="G754" i="61"/>
  <c r="G753" i="61"/>
  <c r="G752" i="61"/>
  <c r="G751" i="61"/>
  <c r="G750" i="61"/>
  <c r="G749" i="61"/>
  <c r="G748" i="61"/>
  <c r="G747" i="61"/>
  <c r="G746" i="61"/>
  <c r="G745" i="61"/>
  <c r="G744" i="61"/>
  <c r="G743" i="61"/>
  <c r="G742" i="61"/>
  <c r="G741" i="61"/>
  <c r="G740" i="61"/>
  <c r="G739" i="61"/>
  <c r="G738" i="61"/>
  <c r="G737" i="61"/>
  <c r="G736" i="61"/>
  <c r="G735" i="61"/>
  <c r="G734" i="61"/>
  <c r="G733" i="61"/>
  <c r="G732" i="61"/>
  <c r="G731" i="61"/>
  <c r="G730" i="61"/>
  <c r="G729" i="61"/>
  <c r="G728" i="61"/>
  <c r="G727" i="61"/>
  <c r="G726" i="61"/>
  <c r="G725" i="61"/>
  <c r="G724" i="61"/>
  <c r="G723" i="61"/>
  <c r="G722" i="61"/>
  <c r="G721" i="61"/>
  <c r="G720" i="61"/>
  <c r="G719" i="61"/>
  <c r="G718" i="61"/>
  <c r="G717" i="61"/>
  <c r="G716" i="61"/>
  <c r="G715" i="61"/>
  <c r="G714" i="61"/>
  <c r="G713" i="61"/>
  <c r="G712" i="61"/>
  <c r="G711" i="61"/>
  <c r="G710" i="61"/>
  <c r="G709" i="61"/>
  <c r="G708" i="61"/>
  <c r="G707" i="61"/>
  <c r="G706" i="61"/>
  <c r="G705" i="61"/>
  <c r="G704" i="61"/>
  <c r="G703" i="61"/>
  <c r="G702" i="61"/>
  <c r="G701" i="61"/>
  <c r="G700" i="61"/>
  <c r="G699" i="61"/>
  <c r="G698" i="61"/>
  <c r="G697" i="61"/>
  <c r="G696" i="61"/>
  <c r="G695" i="61"/>
  <c r="G694" i="61"/>
  <c r="G693" i="61"/>
  <c r="G692" i="61"/>
  <c r="G691" i="61"/>
  <c r="G690" i="61"/>
  <c r="G689" i="61"/>
  <c r="G688" i="61"/>
  <c r="G687" i="61"/>
  <c r="G686" i="61"/>
  <c r="G685" i="61"/>
  <c r="G684" i="61"/>
  <c r="G683" i="61"/>
  <c r="G682" i="61"/>
  <c r="G681" i="61"/>
  <c r="G680" i="61"/>
  <c r="G679" i="61"/>
  <c r="G678" i="61"/>
  <c r="G677" i="61"/>
  <c r="G676" i="61"/>
  <c r="G675" i="61"/>
  <c r="G674" i="61"/>
  <c r="G673" i="61"/>
  <c r="G672" i="61"/>
  <c r="G671" i="61"/>
  <c r="G670" i="61"/>
  <c r="G669" i="61"/>
  <c r="G668" i="61"/>
  <c r="G667" i="61"/>
  <c r="G666" i="61"/>
  <c r="G665" i="61"/>
  <c r="G664" i="61"/>
  <c r="G663" i="61"/>
  <c r="G662" i="61"/>
  <c r="G661" i="61"/>
  <c r="G660" i="61"/>
  <c r="G659" i="61"/>
  <c r="G658" i="61"/>
  <c r="G657" i="61"/>
  <c r="G656" i="61"/>
  <c r="G655" i="61"/>
  <c r="G654" i="61"/>
  <c r="G653" i="61"/>
  <c r="G652" i="61"/>
  <c r="G651" i="61"/>
  <c r="G650" i="61"/>
  <c r="G649" i="61"/>
  <c r="G648" i="61"/>
  <c r="G647" i="61"/>
  <c r="G646" i="61"/>
  <c r="G645" i="61"/>
  <c r="G644" i="61"/>
  <c r="G643" i="61"/>
  <c r="G642" i="61"/>
  <c r="G641" i="61"/>
  <c r="G640" i="61"/>
  <c r="G639" i="61"/>
  <c r="G638" i="61"/>
  <c r="G637" i="61"/>
  <c r="G636" i="61"/>
  <c r="G635" i="61"/>
  <c r="G634" i="61"/>
  <c r="G633" i="61"/>
  <c r="G632" i="61"/>
  <c r="G631" i="61"/>
  <c r="G630" i="61"/>
  <c r="G629" i="61"/>
  <c r="G628" i="61"/>
  <c r="G627" i="61"/>
  <c r="G626" i="61"/>
  <c r="G625" i="61"/>
  <c r="G624" i="61"/>
  <c r="G623" i="61"/>
  <c r="G622" i="61"/>
  <c r="G621" i="61"/>
  <c r="G620" i="61"/>
  <c r="G619" i="61"/>
  <c r="G618" i="61"/>
  <c r="G617" i="61"/>
  <c r="G616" i="61"/>
  <c r="G615" i="61"/>
  <c r="G614" i="61"/>
  <c r="G613" i="61"/>
  <c r="G612" i="61"/>
  <c r="G611" i="61"/>
  <c r="G610" i="61"/>
  <c r="G609" i="61"/>
  <c r="G608" i="61"/>
  <c r="G607" i="61"/>
  <c r="G606" i="61"/>
  <c r="G605" i="61"/>
  <c r="G604" i="61"/>
  <c r="G603" i="61"/>
  <c r="G602" i="61"/>
  <c r="G601" i="61"/>
  <c r="G600" i="61"/>
  <c r="G599" i="61"/>
  <c r="G598" i="61"/>
  <c r="G597" i="61"/>
  <c r="G596" i="61"/>
  <c r="G595" i="61"/>
  <c r="G594" i="61"/>
  <c r="G593" i="61"/>
  <c r="G592" i="61"/>
  <c r="G591" i="61"/>
  <c r="G590" i="61"/>
  <c r="G589" i="61"/>
  <c r="G588" i="61"/>
  <c r="G587" i="61"/>
  <c r="G586" i="61"/>
  <c r="G585" i="61"/>
  <c r="G584" i="61"/>
  <c r="G583" i="61"/>
  <c r="G582" i="61"/>
  <c r="G581" i="61"/>
  <c r="G580" i="61"/>
  <c r="G579" i="61"/>
  <c r="G578" i="61"/>
  <c r="G577" i="61"/>
  <c r="G576" i="61"/>
  <c r="G575" i="61"/>
  <c r="G574" i="61"/>
  <c r="G573" i="61"/>
  <c r="G572" i="61"/>
  <c r="G571" i="61"/>
  <c r="G570" i="61"/>
  <c r="G569" i="61"/>
  <c r="G568" i="61"/>
  <c r="G567" i="61"/>
  <c r="G566" i="61"/>
  <c r="G565" i="61"/>
  <c r="G564" i="61"/>
  <c r="G563" i="61"/>
  <c r="G562" i="61"/>
  <c r="G561" i="61"/>
  <c r="G560" i="61"/>
  <c r="G559" i="61"/>
  <c r="G558" i="61"/>
  <c r="G557" i="61"/>
  <c r="G556" i="61"/>
  <c r="G555" i="61"/>
  <c r="G554" i="61"/>
  <c r="G553" i="61"/>
  <c r="G552" i="61"/>
  <c r="G551" i="61"/>
  <c r="G550" i="61"/>
  <c r="G549" i="61"/>
  <c r="G548" i="61"/>
  <c r="G547" i="61"/>
  <c r="G546" i="61"/>
  <c r="G545" i="61"/>
  <c r="G544" i="61"/>
  <c r="G543" i="61"/>
  <c r="G542" i="61"/>
  <c r="G541" i="61"/>
  <c r="G540" i="61"/>
  <c r="G539" i="61"/>
  <c r="G538" i="61"/>
  <c r="G537" i="61"/>
  <c r="G536" i="61"/>
  <c r="G535" i="61"/>
  <c r="G534" i="61"/>
  <c r="G533" i="61"/>
  <c r="G532" i="61"/>
  <c r="G531" i="61"/>
  <c r="G530" i="61"/>
  <c r="G529" i="61"/>
  <c r="G528" i="61"/>
  <c r="G527" i="61"/>
  <c r="G526" i="61"/>
  <c r="G525" i="61"/>
  <c r="G524" i="61"/>
  <c r="G523" i="61"/>
  <c r="G522" i="61"/>
  <c r="G521" i="61"/>
  <c r="G520" i="61"/>
  <c r="G519" i="61"/>
  <c r="G518" i="61"/>
  <c r="G517" i="61"/>
  <c r="G516" i="61"/>
  <c r="G515" i="61"/>
  <c r="G514" i="61"/>
  <c r="G513" i="61"/>
  <c r="G512" i="61"/>
  <c r="G511" i="61"/>
  <c r="G510" i="61"/>
  <c r="G509" i="61"/>
  <c r="G508" i="61"/>
  <c r="G507" i="61"/>
  <c r="G506" i="61"/>
  <c r="G505" i="61"/>
  <c r="G504" i="61"/>
  <c r="G503" i="61"/>
  <c r="G502" i="61"/>
  <c r="G501" i="61"/>
  <c r="G500" i="61"/>
  <c r="G499" i="61"/>
  <c r="G498" i="61"/>
  <c r="G497" i="61"/>
  <c r="G496" i="61"/>
  <c r="G495" i="61"/>
  <c r="G494" i="61"/>
  <c r="G493" i="61"/>
  <c r="G492" i="61"/>
  <c r="G491" i="61"/>
  <c r="G490" i="61"/>
  <c r="G489" i="61"/>
  <c r="G488" i="61"/>
  <c r="G487" i="61"/>
  <c r="G486" i="61"/>
  <c r="G485" i="61"/>
  <c r="G484" i="61"/>
  <c r="G483" i="61"/>
  <c r="G482" i="61"/>
  <c r="G481" i="61"/>
  <c r="G480" i="61"/>
  <c r="G479" i="61"/>
  <c r="G478" i="61"/>
  <c r="G477" i="61"/>
  <c r="G476" i="61"/>
  <c r="G475" i="61"/>
  <c r="G474" i="61"/>
  <c r="G473" i="61"/>
  <c r="G472" i="61"/>
  <c r="G471" i="61"/>
  <c r="G470" i="61"/>
  <c r="G469" i="61"/>
  <c r="G468" i="61"/>
  <c r="G467" i="61"/>
  <c r="G466" i="61"/>
  <c r="G465" i="61"/>
  <c r="G464" i="61"/>
  <c r="G463" i="61"/>
  <c r="G462" i="61"/>
  <c r="G461" i="61"/>
  <c r="G460" i="61"/>
  <c r="G459" i="61"/>
  <c r="G458" i="61"/>
  <c r="G456" i="61"/>
  <c r="G455" i="61"/>
  <c r="G454" i="61"/>
  <c r="G453" i="61"/>
  <c r="G452" i="61"/>
  <c r="G451" i="61"/>
  <c r="G450" i="61"/>
  <c r="G449" i="61"/>
  <c r="G448" i="61"/>
  <c r="G447" i="61"/>
  <c r="G446" i="61"/>
  <c r="G445" i="61"/>
  <c r="G444" i="61"/>
  <c r="G443" i="61"/>
  <c r="G442" i="61"/>
  <c r="G441" i="61"/>
  <c r="G440" i="61"/>
  <c r="G439" i="61"/>
  <c r="G438" i="61"/>
  <c r="G437" i="61"/>
  <c r="G436" i="61"/>
  <c r="G435" i="61"/>
  <c r="G434" i="61"/>
  <c r="G433" i="61"/>
  <c r="G432" i="61"/>
  <c r="G431" i="61"/>
  <c r="G430" i="61"/>
  <c r="G429" i="61"/>
  <c r="G428" i="61"/>
  <c r="G427" i="61"/>
  <c r="G426" i="61"/>
  <c r="G425" i="61"/>
  <c r="G424" i="61"/>
  <c r="G423" i="61"/>
  <c r="G422" i="61"/>
  <c r="G421" i="61"/>
  <c r="G420" i="61"/>
  <c r="G419" i="61"/>
  <c r="G418" i="61"/>
  <c r="G417" i="61"/>
  <c r="G416" i="61"/>
  <c r="G415" i="61"/>
  <c r="G414" i="61"/>
  <c r="J414" i="61" s="1"/>
  <c r="G413" i="61"/>
  <c r="G412" i="61"/>
  <c r="G410" i="61"/>
  <c r="G409" i="61"/>
  <c r="G408" i="61"/>
  <c r="G407" i="61"/>
  <c r="G406" i="61"/>
  <c r="G405" i="61"/>
  <c r="G404" i="61"/>
  <c r="G403" i="61"/>
  <c r="G402" i="61"/>
  <c r="G401" i="61"/>
  <c r="G400" i="61"/>
  <c r="G399" i="61"/>
  <c r="G398" i="61"/>
  <c r="G397" i="61"/>
  <c r="G396" i="61"/>
  <c r="G395" i="61"/>
  <c r="G394" i="61"/>
  <c r="G393" i="61"/>
  <c r="G392" i="61"/>
  <c r="G391" i="61"/>
  <c r="G390" i="61"/>
  <c r="G389" i="61"/>
  <c r="G388" i="61"/>
  <c r="G387" i="61"/>
  <c r="G386" i="61"/>
  <c r="G385" i="61"/>
  <c r="G384" i="61"/>
  <c r="G383" i="61"/>
  <c r="G382" i="61"/>
  <c r="G381" i="61"/>
  <c r="G380" i="61"/>
  <c r="G379" i="61"/>
  <c r="G378" i="61"/>
  <c r="G377" i="61"/>
  <c r="G376" i="61"/>
  <c r="G375" i="61"/>
  <c r="G374" i="61"/>
  <c r="G373" i="61"/>
  <c r="G372" i="61"/>
  <c r="G371" i="61"/>
  <c r="G370" i="61"/>
  <c r="G369" i="61"/>
  <c r="G368" i="61"/>
  <c r="G367" i="61"/>
  <c r="G366" i="61"/>
  <c r="G365" i="61"/>
  <c r="G364" i="61"/>
  <c r="G363" i="61"/>
  <c r="G362" i="61"/>
  <c r="G361" i="61"/>
  <c r="AA11" i="3" s="1"/>
  <c r="G360" i="61"/>
  <c r="AA10" i="3" s="1"/>
  <c r="G359" i="61"/>
  <c r="G358" i="61"/>
  <c r="G357" i="61"/>
  <c r="G356" i="61"/>
  <c r="G355" i="61"/>
  <c r="G354" i="61"/>
  <c r="G353" i="61"/>
  <c r="G352" i="61"/>
  <c r="G351" i="61"/>
  <c r="G350" i="61"/>
  <c r="G349" i="61"/>
  <c r="G348" i="61"/>
  <c r="G347" i="61"/>
  <c r="G346" i="61"/>
  <c r="G345" i="61"/>
  <c r="G344" i="61"/>
  <c r="G343" i="61"/>
  <c r="AA12" i="3" s="1"/>
  <c r="G342" i="61"/>
  <c r="G341" i="61"/>
  <c r="G340" i="61"/>
  <c r="G339" i="61"/>
  <c r="G338" i="61"/>
  <c r="G337" i="61"/>
  <c r="G336" i="61"/>
  <c r="G335" i="61"/>
  <c r="G334" i="61"/>
  <c r="G333" i="61"/>
  <c r="G332" i="61"/>
  <c r="G331" i="61"/>
  <c r="G330" i="61"/>
  <c r="G329" i="61"/>
  <c r="G328" i="61"/>
  <c r="G327" i="61"/>
  <c r="G326" i="61"/>
  <c r="G325" i="61"/>
  <c r="G324" i="61"/>
  <c r="G323" i="61"/>
  <c r="G322" i="61"/>
  <c r="G321" i="61"/>
  <c r="G320" i="61"/>
  <c r="G319" i="61"/>
  <c r="G318" i="61"/>
  <c r="G317" i="61"/>
  <c r="G316" i="61"/>
  <c r="G315" i="61"/>
  <c r="G314" i="61"/>
  <c r="G313" i="61"/>
  <c r="G312" i="61"/>
  <c r="G311" i="61"/>
  <c r="G310" i="61"/>
  <c r="G309" i="61"/>
  <c r="G308" i="61"/>
  <c r="G307" i="61"/>
  <c r="G306" i="61"/>
  <c r="G305" i="61"/>
  <c r="G304" i="61"/>
  <c r="G303" i="61"/>
  <c r="G302" i="61"/>
  <c r="G301" i="61"/>
  <c r="G300" i="61"/>
  <c r="G299" i="61"/>
  <c r="G298" i="61"/>
  <c r="G297" i="61"/>
  <c r="G296" i="61"/>
  <c r="G295" i="61"/>
  <c r="G294" i="61"/>
  <c r="G293" i="61"/>
  <c r="G292" i="61"/>
  <c r="G291" i="61"/>
  <c r="G290" i="61"/>
  <c r="G289" i="61"/>
  <c r="G288" i="61"/>
  <c r="G287" i="61"/>
  <c r="G286" i="61"/>
  <c r="G285" i="61"/>
  <c r="G284" i="61"/>
  <c r="G283" i="61"/>
  <c r="G282" i="61"/>
  <c r="G281" i="61"/>
  <c r="G280" i="61"/>
  <c r="G279" i="61"/>
  <c r="G278" i="61"/>
  <c r="G277" i="61"/>
  <c r="G276" i="61"/>
  <c r="G275" i="61"/>
  <c r="G274" i="61"/>
  <c r="G273" i="61"/>
  <c r="G272" i="61"/>
  <c r="G271" i="61"/>
  <c r="G270" i="61"/>
  <c r="G269" i="61"/>
  <c r="G268" i="61"/>
  <c r="G267" i="61"/>
  <c r="G266" i="61"/>
  <c r="G265" i="61"/>
  <c r="G264" i="61"/>
  <c r="G263" i="61"/>
  <c r="G262" i="61"/>
  <c r="G261" i="61"/>
  <c r="G260" i="61"/>
  <c r="G259" i="61"/>
  <c r="G258" i="61"/>
  <c r="G257" i="61"/>
  <c r="G256" i="61"/>
  <c r="G255" i="61"/>
  <c r="G254" i="61"/>
  <c r="G253" i="61"/>
  <c r="G252" i="61"/>
  <c r="G251" i="61"/>
  <c r="G250" i="61"/>
  <c r="G249" i="61"/>
  <c r="G248" i="61"/>
  <c r="G247" i="61"/>
  <c r="G246" i="61"/>
  <c r="G245" i="61"/>
  <c r="G244" i="61"/>
  <c r="G243" i="61"/>
  <c r="G242" i="61"/>
  <c r="G241" i="61"/>
  <c r="G240" i="61"/>
  <c r="G239" i="61"/>
  <c r="G238" i="61"/>
  <c r="G237" i="61"/>
  <c r="G236" i="61"/>
  <c r="G235" i="61"/>
  <c r="G234" i="61"/>
  <c r="G233" i="61"/>
  <c r="G232" i="61"/>
  <c r="G231" i="61"/>
  <c r="G230" i="61"/>
  <c r="G229" i="61"/>
  <c r="G228" i="61"/>
  <c r="G227" i="61"/>
  <c r="G226" i="61"/>
  <c r="G225" i="61"/>
  <c r="G224" i="61"/>
  <c r="G223" i="61"/>
  <c r="G222" i="61"/>
  <c r="G221" i="61"/>
  <c r="G220" i="61"/>
  <c r="G219" i="61"/>
  <c r="G218" i="61"/>
  <c r="G217" i="61"/>
  <c r="G216" i="61"/>
  <c r="G215" i="61"/>
  <c r="G214" i="61"/>
  <c r="G213" i="61"/>
  <c r="G212" i="61"/>
  <c r="G211" i="61"/>
  <c r="G210" i="61"/>
  <c r="G209" i="61"/>
  <c r="G208" i="61"/>
  <c r="G207" i="61"/>
  <c r="G206" i="61"/>
  <c r="G205" i="61"/>
  <c r="G204" i="61"/>
  <c r="G203" i="61"/>
  <c r="G202" i="61"/>
  <c r="G201" i="61"/>
  <c r="G200" i="61"/>
  <c r="G199" i="61"/>
  <c r="G198" i="61"/>
  <c r="G197" i="61"/>
  <c r="G196" i="61"/>
  <c r="G195" i="61"/>
  <c r="G194" i="61"/>
  <c r="G193" i="61"/>
  <c r="G192" i="61"/>
  <c r="G191" i="61"/>
  <c r="G190" i="61"/>
  <c r="G189" i="61"/>
  <c r="G188" i="61"/>
  <c r="G187" i="61"/>
  <c r="G186" i="61"/>
  <c r="G185" i="61"/>
  <c r="G184" i="61"/>
  <c r="G183" i="61"/>
  <c r="G182" i="61"/>
  <c r="G181" i="61"/>
  <c r="G180" i="61"/>
  <c r="G179" i="61"/>
  <c r="G178" i="61"/>
  <c r="G177" i="61"/>
  <c r="G176" i="61"/>
  <c r="G175" i="61"/>
  <c r="G174" i="61"/>
  <c r="G173" i="61"/>
  <c r="G172" i="61"/>
  <c r="G171" i="61"/>
  <c r="G170" i="61"/>
  <c r="G169" i="61"/>
  <c r="G168" i="61"/>
  <c r="G167" i="61"/>
  <c r="G166" i="61"/>
  <c r="G165" i="61"/>
  <c r="G164" i="61"/>
  <c r="G163" i="61"/>
  <c r="G162" i="61"/>
  <c r="G161" i="61"/>
  <c r="G160" i="61"/>
  <c r="G159" i="61"/>
  <c r="G158" i="61"/>
  <c r="G157" i="61"/>
  <c r="G156" i="61"/>
  <c r="G155" i="61"/>
  <c r="G154" i="61"/>
  <c r="G153" i="61"/>
  <c r="G152" i="61"/>
  <c r="G151" i="61"/>
  <c r="G150" i="61"/>
  <c r="G149" i="61"/>
  <c r="G148" i="61"/>
  <c r="G147" i="61"/>
  <c r="G146" i="61"/>
  <c r="G145" i="61"/>
  <c r="G144" i="61"/>
  <c r="G143" i="61"/>
  <c r="G142" i="61"/>
  <c r="G141" i="61"/>
  <c r="G140" i="61"/>
  <c r="G139" i="61"/>
  <c r="G138" i="61"/>
  <c r="G137" i="61"/>
  <c r="G136" i="61"/>
  <c r="G135" i="61"/>
  <c r="G134" i="61"/>
  <c r="G133" i="61"/>
  <c r="G132" i="61"/>
  <c r="G131" i="61"/>
  <c r="G130" i="61"/>
  <c r="G129" i="61"/>
  <c r="G128" i="61"/>
  <c r="G127" i="61"/>
  <c r="G126" i="61"/>
  <c r="G125" i="61"/>
  <c r="G124" i="61"/>
  <c r="G123" i="61"/>
  <c r="G122" i="61"/>
  <c r="G121" i="61"/>
  <c r="G120" i="61"/>
  <c r="G119" i="61"/>
  <c r="G118" i="61"/>
  <c r="G117" i="61"/>
  <c r="G116" i="61"/>
  <c r="G115" i="61"/>
  <c r="G114" i="61"/>
  <c r="G113" i="61"/>
  <c r="G112" i="61"/>
  <c r="G111" i="61"/>
  <c r="G110" i="61"/>
  <c r="G109" i="61"/>
  <c r="G108" i="61"/>
  <c r="G107" i="61"/>
  <c r="G106" i="61"/>
  <c r="G105" i="61"/>
  <c r="G104" i="61"/>
  <c r="G103" i="61"/>
  <c r="G102" i="61"/>
  <c r="G101" i="61"/>
  <c r="G100" i="61"/>
  <c r="G99" i="61"/>
  <c r="G98" i="61"/>
  <c r="G97" i="61"/>
  <c r="G96" i="61"/>
  <c r="G95" i="61"/>
  <c r="G94" i="61"/>
  <c r="G93" i="61"/>
  <c r="G92" i="61"/>
  <c r="G91" i="61"/>
  <c r="G90" i="61"/>
  <c r="G89" i="61"/>
  <c r="G88" i="61"/>
  <c r="G87" i="61"/>
  <c r="G86" i="61"/>
  <c r="G85" i="61"/>
  <c r="G84" i="61"/>
  <c r="G83" i="61"/>
  <c r="G82" i="61"/>
  <c r="G81" i="61"/>
  <c r="G80" i="61"/>
  <c r="G79" i="61"/>
  <c r="G78" i="61"/>
  <c r="G77" i="61"/>
  <c r="G76" i="61"/>
  <c r="G75" i="61"/>
  <c r="G74" i="61"/>
  <c r="G73" i="61"/>
  <c r="G72" i="61"/>
  <c r="G71" i="61"/>
  <c r="G70" i="61"/>
  <c r="G69" i="61"/>
  <c r="G68" i="61"/>
  <c r="G67" i="61"/>
  <c r="G66" i="61"/>
  <c r="G65" i="61"/>
  <c r="G64" i="61"/>
  <c r="G63" i="61"/>
  <c r="G62" i="61"/>
  <c r="G61" i="61"/>
  <c r="G60" i="61"/>
  <c r="G59" i="61"/>
  <c r="G58" i="61"/>
  <c r="G57" i="61"/>
  <c r="G56" i="61"/>
  <c r="G55" i="61"/>
  <c r="G54" i="61"/>
  <c r="G53" i="61"/>
  <c r="G52" i="61"/>
  <c r="G51" i="61"/>
  <c r="G50" i="61"/>
  <c r="G49" i="61"/>
  <c r="G48" i="61"/>
  <c r="G47" i="61"/>
  <c r="G46" i="61"/>
  <c r="G45" i="61"/>
  <c r="G44" i="61"/>
  <c r="G43" i="61"/>
  <c r="G42" i="61"/>
  <c r="G41" i="61"/>
  <c r="G40" i="61"/>
  <c r="G39" i="61"/>
  <c r="G38" i="61"/>
  <c r="G37" i="61"/>
  <c r="G36" i="61"/>
  <c r="G35" i="61"/>
  <c r="G34" i="61"/>
  <c r="G33" i="61"/>
  <c r="G32" i="61"/>
  <c r="G31" i="61"/>
  <c r="G30" i="61"/>
  <c r="G29" i="61"/>
  <c r="G28" i="61"/>
  <c r="G27" i="61"/>
  <c r="G26" i="61"/>
  <c r="G25" i="61"/>
  <c r="G24" i="61"/>
  <c r="G23" i="61"/>
  <c r="G22" i="61"/>
  <c r="G21" i="61"/>
  <c r="G20" i="61"/>
  <c r="G19" i="61"/>
  <c r="G18" i="61"/>
  <c r="G17" i="61"/>
  <c r="G16" i="61"/>
  <c r="G15" i="61"/>
  <c r="G14" i="61"/>
  <c r="G13" i="61"/>
  <c r="G12" i="61"/>
  <c r="G11" i="61"/>
  <c r="G10" i="61"/>
  <c r="G9" i="61"/>
  <c r="G8" i="61"/>
  <c r="G7" i="61"/>
  <c r="G6" i="61"/>
  <c r="G5" i="61"/>
  <c r="G4" i="61"/>
  <c r="G3" i="61"/>
  <c r="G2" i="61"/>
  <c r="F477" i="59"/>
  <c r="S57" i="3"/>
  <c r="F36" i="60"/>
  <c r="G1330" i="61" l="1"/>
  <c r="G1229" i="60"/>
  <c r="O1240" i="60"/>
  <c r="P1240" i="60"/>
  <c r="Q1240" i="60"/>
  <c r="R1240" i="60"/>
  <c r="E484" i="59"/>
  <c r="G484" i="59" s="1"/>
  <c r="F389" i="59"/>
  <c r="F46" i="60"/>
  <c r="F1237" i="60" s="1"/>
  <c r="U27" i="3"/>
  <c r="U26" i="3"/>
  <c r="U25" i="3"/>
  <c r="U24" i="3"/>
  <c r="U23" i="3"/>
  <c r="U22" i="3"/>
  <c r="U21" i="3"/>
  <c r="U20" i="3"/>
  <c r="U19" i="3"/>
  <c r="U15" i="3"/>
  <c r="U14" i="3"/>
  <c r="U13" i="3"/>
  <c r="U11" i="3"/>
  <c r="U12" i="3" s="1"/>
  <c r="U40" i="3"/>
  <c r="E32" i="60"/>
  <c r="G32" i="60" s="1"/>
  <c r="U52" i="3"/>
  <c r="U50" i="3"/>
  <c r="G1198" i="60"/>
  <c r="G1178" i="60"/>
  <c r="G1177" i="60"/>
  <c r="G1176" i="60"/>
  <c r="G1175" i="60"/>
  <c r="G1174" i="60"/>
  <c r="G1173" i="60"/>
  <c r="G1172" i="60"/>
  <c r="G1171" i="60"/>
  <c r="G1170" i="60"/>
  <c r="G1169" i="60"/>
  <c r="G1168" i="60"/>
  <c r="G1167" i="60"/>
  <c r="G1166" i="60"/>
  <c r="G1165" i="60"/>
  <c r="G1164" i="60"/>
  <c r="G1163" i="60"/>
  <c r="G1162" i="60"/>
  <c r="G1161" i="60"/>
  <c r="G1160" i="60"/>
  <c r="G1159" i="60"/>
  <c r="G1158" i="60"/>
  <c r="G1157" i="60"/>
  <c r="G1156" i="60"/>
  <c r="G1155" i="60"/>
  <c r="G1154" i="60"/>
  <c r="G1153" i="60"/>
  <c r="G1152" i="60"/>
  <c r="G1151" i="60"/>
  <c r="G1150" i="60"/>
  <c r="G1149" i="60"/>
  <c r="G1148" i="60"/>
  <c r="G1147" i="60"/>
  <c r="G1146" i="60"/>
  <c r="G1145" i="60"/>
  <c r="G1144" i="60"/>
  <c r="G1143" i="60"/>
  <c r="G1142" i="60"/>
  <c r="G1141" i="60"/>
  <c r="G1140" i="60"/>
  <c r="G1139" i="60"/>
  <c r="G1138" i="60"/>
  <c r="G1137" i="60"/>
  <c r="G1136" i="60"/>
  <c r="G1135" i="60"/>
  <c r="G1134" i="60"/>
  <c r="G1133" i="60"/>
  <c r="G1132" i="60"/>
  <c r="G1131" i="60"/>
  <c r="G1130" i="60"/>
  <c r="G1129" i="60"/>
  <c r="G1128" i="60"/>
  <c r="G1127" i="60"/>
  <c r="G1126" i="60"/>
  <c r="G1125" i="60"/>
  <c r="G1124" i="60"/>
  <c r="G1123" i="60"/>
  <c r="G1122" i="60"/>
  <c r="G1121" i="60"/>
  <c r="G1120" i="60"/>
  <c r="G1119" i="60"/>
  <c r="G1118" i="60"/>
  <c r="G1117" i="60"/>
  <c r="G1116" i="60"/>
  <c r="G1115" i="60"/>
  <c r="G1114" i="60"/>
  <c r="G1113" i="60"/>
  <c r="G1112" i="60"/>
  <c r="G1111" i="60"/>
  <c r="G1110" i="60"/>
  <c r="G1109" i="60"/>
  <c r="G1108" i="60"/>
  <c r="G1107" i="60"/>
  <c r="G1106" i="60"/>
  <c r="G1105" i="60"/>
  <c r="G1104" i="60"/>
  <c r="G1103" i="60"/>
  <c r="G1102" i="60"/>
  <c r="G1101" i="60"/>
  <c r="G1100" i="60"/>
  <c r="G1099" i="60"/>
  <c r="G1098" i="60"/>
  <c r="G1097" i="60"/>
  <c r="G1096" i="60"/>
  <c r="G1095" i="60"/>
  <c r="G1094" i="60"/>
  <c r="G1093" i="60"/>
  <c r="G1092" i="60"/>
  <c r="G1091" i="60"/>
  <c r="G1090" i="60"/>
  <c r="G1089" i="60"/>
  <c r="G1088" i="60"/>
  <c r="G1087" i="60"/>
  <c r="G1086" i="60"/>
  <c r="G1085" i="60"/>
  <c r="G1084" i="60"/>
  <c r="G1083" i="60"/>
  <c r="G1082" i="60"/>
  <c r="G1081" i="60"/>
  <c r="G1080" i="60"/>
  <c r="G1079" i="60"/>
  <c r="G1078" i="60"/>
  <c r="G1077" i="60"/>
  <c r="G1076" i="60"/>
  <c r="G1075" i="60"/>
  <c r="G1074" i="60"/>
  <c r="G1073" i="60"/>
  <c r="G1072" i="60"/>
  <c r="G1071" i="60"/>
  <c r="G1070" i="60"/>
  <c r="G1069" i="60"/>
  <c r="G1068" i="60"/>
  <c r="G1067" i="60"/>
  <c r="G1066" i="60"/>
  <c r="G1065" i="60"/>
  <c r="G1064" i="60"/>
  <c r="G1063" i="60"/>
  <c r="G1062" i="60"/>
  <c r="G1061" i="60"/>
  <c r="G1060" i="60"/>
  <c r="G1059" i="60"/>
  <c r="G1058" i="60"/>
  <c r="G1057" i="60"/>
  <c r="G1056" i="60"/>
  <c r="G1055" i="60"/>
  <c r="G1054" i="60"/>
  <c r="G1053" i="60"/>
  <c r="G1052" i="60"/>
  <c r="G1196" i="60"/>
  <c r="G1051" i="60"/>
  <c r="G1050" i="60"/>
  <c r="G1049" i="60"/>
  <c r="G1048" i="60"/>
  <c r="G1047" i="60"/>
  <c r="G1046" i="60"/>
  <c r="G1045" i="60"/>
  <c r="G1044" i="60"/>
  <c r="G1043" i="60"/>
  <c r="G1042" i="60"/>
  <c r="G1041" i="60"/>
  <c r="G1040" i="60"/>
  <c r="G1039" i="60"/>
  <c r="G1038" i="60"/>
  <c r="G1037" i="60"/>
  <c r="G1036" i="60"/>
  <c r="G1035" i="60"/>
  <c r="G1034" i="60"/>
  <c r="G1033" i="60"/>
  <c r="G1032" i="60"/>
  <c r="G1031" i="60"/>
  <c r="G1030" i="60"/>
  <c r="G1029" i="60"/>
  <c r="G1028" i="60"/>
  <c r="G1027" i="60"/>
  <c r="G1026" i="60"/>
  <c r="G1025" i="60"/>
  <c r="G1024" i="60"/>
  <c r="G1023" i="60"/>
  <c r="G1022" i="60"/>
  <c r="G1021" i="60"/>
  <c r="G1020" i="60"/>
  <c r="G1019" i="60"/>
  <c r="G1018" i="60"/>
  <c r="G1017" i="60"/>
  <c r="G1016" i="60"/>
  <c r="G1015" i="60"/>
  <c r="G1014" i="60"/>
  <c r="G1013" i="60"/>
  <c r="G1012" i="60"/>
  <c r="G1011" i="60"/>
  <c r="G1010" i="60"/>
  <c r="G1009" i="60"/>
  <c r="G1008" i="60"/>
  <c r="G1007" i="60"/>
  <c r="G1006" i="60"/>
  <c r="G1005" i="60"/>
  <c r="G1004" i="60"/>
  <c r="G1003" i="60"/>
  <c r="G1002" i="60"/>
  <c r="G1001" i="60"/>
  <c r="G1000" i="60"/>
  <c r="G999" i="60"/>
  <c r="G998" i="60"/>
  <c r="G997" i="60"/>
  <c r="G996" i="60"/>
  <c r="G995" i="60"/>
  <c r="G994" i="60"/>
  <c r="G993" i="60"/>
  <c r="G992" i="60"/>
  <c r="G991" i="60"/>
  <c r="G990" i="60"/>
  <c r="G989" i="60"/>
  <c r="G988" i="60"/>
  <c r="G987" i="60"/>
  <c r="G986" i="60"/>
  <c r="G985" i="60"/>
  <c r="G984" i="60"/>
  <c r="G983" i="60"/>
  <c r="G982" i="60"/>
  <c r="G981" i="60"/>
  <c r="G980" i="60"/>
  <c r="G979" i="60"/>
  <c r="G978" i="60"/>
  <c r="G977" i="60"/>
  <c r="G976" i="60"/>
  <c r="G975" i="60"/>
  <c r="G974" i="60"/>
  <c r="G973" i="60"/>
  <c r="G972" i="60"/>
  <c r="G971" i="60"/>
  <c r="G970" i="60"/>
  <c r="G969" i="60"/>
  <c r="G968" i="60"/>
  <c r="G967" i="60"/>
  <c r="G966" i="60"/>
  <c r="G965" i="60"/>
  <c r="G964" i="60"/>
  <c r="G963" i="60"/>
  <c r="G962" i="60"/>
  <c r="G961" i="60"/>
  <c r="G960" i="60"/>
  <c r="G959" i="60"/>
  <c r="G958" i="60"/>
  <c r="G957" i="60"/>
  <c r="G956" i="60"/>
  <c r="G955" i="60"/>
  <c r="G954" i="60"/>
  <c r="G953" i="60"/>
  <c r="G952" i="60"/>
  <c r="G951" i="60"/>
  <c r="G950" i="60"/>
  <c r="G949" i="60"/>
  <c r="G948" i="60"/>
  <c r="G947" i="60"/>
  <c r="G946" i="60"/>
  <c r="G945" i="60"/>
  <c r="G944" i="60"/>
  <c r="G943" i="60"/>
  <c r="G942" i="60"/>
  <c r="G941" i="60"/>
  <c r="G940" i="60"/>
  <c r="G939" i="60"/>
  <c r="G938" i="60"/>
  <c r="G937" i="60"/>
  <c r="G936" i="60"/>
  <c r="G935" i="60"/>
  <c r="G934" i="60"/>
  <c r="G933" i="60"/>
  <c r="G932" i="60"/>
  <c r="G931" i="60"/>
  <c r="G930" i="60"/>
  <c r="G929" i="60"/>
  <c r="G928" i="60"/>
  <c r="G927" i="60"/>
  <c r="G926" i="60"/>
  <c r="G925" i="60"/>
  <c r="G924" i="60"/>
  <c r="G923" i="60"/>
  <c r="G922" i="60"/>
  <c r="G921" i="60"/>
  <c r="G920" i="60"/>
  <c r="G919" i="60"/>
  <c r="G918" i="60"/>
  <c r="G917" i="60"/>
  <c r="G916" i="60"/>
  <c r="G915" i="60"/>
  <c r="G914" i="60"/>
  <c r="G913" i="60"/>
  <c r="G912" i="60"/>
  <c r="G911" i="60"/>
  <c r="G910" i="60"/>
  <c r="G909" i="60"/>
  <c r="G908" i="60"/>
  <c r="G907" i="60"/>
  <c r="G906" i="60"/>
  <c r="G905" i="60"/>
  <c r="G904" i="60"/>
  <c r="G903" i="60"/>
  <c r="G902" i="60"/>
  <c r="G901" i="60"/>
  <c r="G900" i="60"/>
  <c r="G899" i="60"/>
  <c r="G898" i="60"/>
  <c r="G897" i="60"/>
  <c r="G896" i="60"/>
  <c r="G895" i="60"/>
  <c r="G894" i="60"/>
  <c r="G893" i="60"/>
  <c r="G892" i="60"/>
  <c r="G891" i="60"/>
  <c r="G890" i="60"/>
  <c r="G889" i="60"/>
  <c r="G888" i="60"/>
  <c r="G887" i="60"/>
  <c r="G886" i="60"/>
  <c r="G885" i="60"/>
  <c r="G884" i="60"/>
  <c r="G883" i="60"/>
  <c r="G882" i="60"/>
  <c r="G881" i="60"/>
  <c r="G880" i="60"/>
  <c r="G879" i="60"/>
  <c r="G878" i="60"/>
  <c r="G877" i="60"/>
  <c r="G876" i="60"/>
  <c r="G875" i="60"/>
  <c r="G874" i="60"/>
  <c r="G873" i="60"/>
  <c r="G872" i="60"/>
  <c r="G871" i="60"/>
  <c r="G870" i="60"/>
  <c r="G869" i="60"/>
  <c r="G868" i="60"/>
  <c r="G867" i="60"/>
  <c r="G866" i="60"/>
  <c r="G865" i="60"/>
  <c r="G864" i="60"/>
  <c r="G863" i="60"/>
  <c r="G862" i="60"/>
  <c r="G861" i="60"/>
  <c r="G860" i="60"/>
  <c r="G859" i="60"/>
  <c r="G858" i="60"/>
  <c r="G857" i="60"/>
  <c r="G856" i="60"/>
  <c r="G855" i="60"/>
  <c r="G854" i="60"/>
  <c r="G853" i="60"/>
  <c r="G852" i="60"/>
  <c r="G851" i="60"/>
  <c r="G850" i="60"/>
  <c r="G849" i="60"/>
  <c r="G848" i="60"/>
  <c r="G847" i="60"/>
  <c r="G846" i="60"/>
  <c r="G845" i="60"/>
  <c r="G844" i="60"/>
  <c r="G843" i="60"/>
  <c r="G842" i="60"/>
  <c r="G841" i="60"/>
  <c r="G840" i="60"/>
  <c r="G839" i="60"/>
  <c r="G838" i="60"/>
  <c r="G837" i="60"/>
  <c r="G836" i="60"/>
  <c r="G835" i="60"/>
  <c r="G834" i="60"/>
  <c r="G833" i="60"/>
  <c r="G832" i="60"/>
  <c r="G831" i="60"/>
  <c r="G830" i="60"/>
  <c r="G829" i="60"/>
  <c r="G828" i="60"/>
  <c r="G827" i="60"/>
  <c r="G826" i="60"/>
  <c r="G825" i="60"/>
  <c r="G824" i="60"/>
  <c r="G823" i="60"/>
  <c r="G822" i="60"/>
  <c r="G821" i="60"/>
  <c r="G820" i="60"/>
  <c r="G819" i="60"/>
  <c r="G818" i="60"/>
  <c r="G817" i="60"/>
  <c r="G816" i="60"/>
  <c r="G815" i="60"/>
  <c r="G814" i="60"/>
  <c r="G813" i="60"/>
  <c r="G812" i="60"/>
  <c r="G811" i="60"/>
  <c r="G810" i="60"/>
  <c r="G809" i="60"/>
  <c r="G808" i="60"/>
  <c r="G807" i="60"/>
  <c r="G806" i="60"/>
  <c r="G805" i="60"/>
  <c r="G804" i="60"/>
  <c r="G803" i="60"/>
  <c r="G802" i="60"/>
  <c r="G801" i="60"/>
  <c r="G800" i="60"/>
  <c r="G799" i="60"/>
  <c r="G798" i="60"/>
  <c r="G797" i="60"/>
  <c r="G796" i="60"/>
  <c r="G795" i="60"/>
  <c r="G794" i="60"/>
  <c r="G793" i="60"/>
  <c r="G792" i="60"/>
  <c r="G791" i="60"/>
  <c r="G790" i="60"/>
  <c r="G789" i="60"/>
  <c r="G788" i="60"/>
  <c r="G787" i="60"/>
  <c r="G786" i="60"/>
  <c r="G785" i="60"/>
  <c r="G784" i="60"/>
  <c r="G783" i="60"/>
  <c r="G782" i="60"/>
  <c r="G781" i="60"/>
  <c r="G780" i="60"/>
  <c r="G779" i="60"/>
  <c r="G778" i="60"/>
  <c r="G777" i="60"/>
  <c r="G776" i="60"/>
  <c r="G775" i="60"/>
  <c r="G774" i="60"/>
  <c r="G773" i="60"/>
  <c r="G772" i="60"/>
  <c r="G771" i="60"/>
  <c r="G770" i="60"/>
  <c r="G769" i="60"/>
  <c r="G768" i="60"/>
  <c r="G767" i="60"/>
  <c r="G766" i="60"/>
  <c r="G765" i="60"/>
  <c r="G764" i="60"/>
  <c r="G763" i="60"/>
  <c r="G762" i="60"/>
  <c r="G761" i="60"/>
  <c r="G760" i="60"/>
  <c r="G759" i="60"/>
  <c r="G758" i="60"/>
  <c r="G757" i="60"/>
  <c r="G756" i="60"/>
  <c r="G755" i="60"/>
  <c r="G754" i="60"/>
  <c r="G753" i="60"/>
  <c r="G752" i="60"/>
  <c r="G751" i="60"/>
  <c r="G750" i="60"/>
  <c r="G749" i="60"/>
  <c r="G748" i="60"/>
  <c r="G747" i="60"/>
  <c r="G746" i="60"/>
  <c r="G745" i="60"/>
  <c r="G744" i="60"/>
  <c r="G743" i="60"/>
  <c r="G742" i="60"/>
  <c r="G741" i="60"/>
  <c r="G740" i="60"/>
  <c r="G739" i="60"/>
  <c r="G738" i="60"/>
  <c r="G737" i="60"/>
  <c r="G736" i="60"/>
  <c r="G735" i="60"/>
  <c r="G734" i="60"/>
  <c r="G733" i="60"/>
  <c r="G732" i="60"/>
  <c r="G731" i="60"/>
  <c r="G730" i="60"/>
  <c r="G729" i="60"/>
  <c r="G728" i="60"/>
  <c r="G727" i="60"/>
  <c r="G726" i="60"/>
  <c r="G725" i="60"/>
  <c r="G724" i="60"/>
  <c r="G723" i="60"/>
  <c r="G722" i="60"/>
  <c r="G721" i="60"/>
  <c r="G720" i="60"/>
  <c r="G719" i="60"/>
  <c r="G718" i="60"/>
  <c r="G717" i="60"/>
  <c r="G716" i="60"/>
  <c r="G715" i="60"/>
  <c r="G714" i="60"/>
  <c r="G713" i="60"/>
  <c r="G712" i="60"/>
  <c r="G711" i="60"/>
  <c r="G710" i="60"/>
  <c r="G709" i="60"/>
  <c r="G708" i="60"/>
  <c r="G707" i="60"/>
  <c r="G706" i="60"/>
  <c r="G705" i="60"/>
  <c r="G704" i="60"/>
  <c r="G703" i="60"/>
  <c r="G702" i="60"/>
  <c r="G701" i="60"/>
  <c r="G700" i="60"/>
  <c r="G699" i="60"/>
  <c r="G698" i="60"/>
  <c r="G697" i="60"/>
  <c r="G696" i="60"/>
  <c r="G695" i="60"/>
  <c r="G694" i="60"/>
  <c r="G693" i="60"/>
  <c r="G692" i="60"/>
  <c r="G691" i="60"/>
  <c r="G690" i="60"/>
  <c r="G689" i="60"/>
  <c r="G688" i="60"/>
  <c r="G687" i="60"/>
  <c r="G686" i="60"/>
  <c r="G685" i="60"/>
  <c r="G684" i="60"/>
  <c r="G683" i="60"/>
  <c r="G682" i="60"/>
  <c r="G681" i="60"/>
  <c r="G680" i="60"/>
  <c r="G679" i="60"/>
  <c r="G678" i="60"/>
  <c r="G677" i="60"/>
  <c r="G676" i="60"/>
  <c r="G675" i="60"/>
  <c r="G674" i="60"/>
  <c r="G673" i="60"/>
  <c r="G672" i="60"/>
  <c r="G671" i="60"/>
  <c r="G670" i="60"/>
  <c r="G669" i="60"/>
  <c r="G668" i="60"/>
  <c r="G667" i="60"/>
  <c r="G666" i="60"/>
  <c r="G665" i="60"/>
  <c r="G664" i="60"/>
  <c r="G663" i="60"/>
  <c r="G662" i="60"/>
  <c r="G661" i="60"/>
  <c r="G660" i="60"/>
  <c r="G659" i="60"/>
  <c r="G658" i="60"/>
  <c r="G657" i="60"/>
  <c r="G656" i="60"/>
  <c r="G655" i="60"/>
  <c r="G654" i="60"/>
  <c r="G653" i="60"/>
  <c r="G652" i="60"/>
  <c r="G651" i="60"/>
  <c r="G650" i="60"/>
  <c r="G649" i="60"/>
  <c r="G648" i="60"/>
  <c r="G647" i="60"/>
  <c r="G646" i="60"/>
  <c r="G645" i="60"/>
  <c r="G644" i="60"/>
  <c r="G643" i="60"/>
  <c r="G642" i="60"/>
  <c r="G641" i="60"/>
  <c r="G640" i="60"/>
  <c r="G639" i="60"/>
  <c r="G638" i="60"/>
  <c r="G637" i="60"/>
  <c r="G636" i="60"/>
  <c r="G635" i="60"/>
  <c r="G634" i="60"/>
  <c r="G633" i="60"/>
  <c r="G632" i="60"/>
  <c r="G631" i="60"/>
  <c r="G630" i="60"/>
  <c r="G629" i="60"/>
  <c r="G628" i="60"/>
  <c r="G627" i="60"/>
  <c r="G626" i="60"/>
  <c r="G625" i="60"/>
  <c r="G624" i="60"/>
  <c r="G623" i="60"/>
  <c r="G622" i="60"/>
  <c r="G621" i="60"/>
  <c r="G620" i="60"/>
  <c r="G619" i="60"/>
  <c r="G618" i="60"/>
  <c r="G617" i="60"/>
  <c r="G616" i="60"/>
  <c r="G615" i="60"/>
  <c r="G614" i="60"/>
  <c r="G613" i="60"/>
  <c r="G612" i="60"/>
  <c r="G611" i="60"/>
  <c r="G610" i="60"/>
  <c r="G609" i="60"/>
  <c r="G608" i="60"/>
  <c r="G607" i="60"/>
  <c r="G606" i="60"/>
  <c r="G605" i="60"/>
  <c r="G604" i="60"/>
  <c r="G603" i="60"/>
  <c r="G602" i="60"/>
  <c r="G601" i="60"/>
  <c r="G600" i="60"/>
  <c r="G599" i="60"/>
  <c r="G598" i="60"/>
  <c r="G597" i="60"/>
  <c r="G596" i="60"/>
  <c r="G595" i="60"/>
  <c r="G594" i="60"/>
  <c r="G593" i="60"/>
  <c r="G592" i="60"/>
  <c r="G591" i="60"/>
  <c r="G590" i="60"/>
  <c r="G589" i="60"/>
  <c r="G588" i="60"/>
  <c r="G587" i="60"/>
  <c r="G586" i="60"/>
  <c r="G585" i="60"/>
  <c r="G584" i="60"/>
  <c r="G583" i="60"/>
  <c r="G582" i="60"/>
  <c r="G581" i="60"/>
  <c r="G580" i="60"/>
  <c r="G579" i="60"/>
  <c r="G578" i="60"/>
  <c r="G577" i="60"/>
  <c r="G576" i="60"/>
  <c r="G575" i="60"/>
  <c r="G574" i="60"/>
  <c r="G573" i="60"/>
  <c r="G572" i="60"/>
  <c r="G571" i="60"/>
  <c r="G570" i="60"/>
  <c r="G569" i="60"/>
  <c r="G568" i="60"/>
  <c r="G567" i="60"/>
  <c r="G566" i="60"/>
  <c r="G565" i="60"/>
  <c r="G564" i="60"/>
  <c r="G563" i="60"/>
  <c r="G562" i="60"/>
  <c r="G561" i="60"/>
  <c r="G560" i="60"/>
  <c r="G559" i="60"/>
  <c r="G558" i="60"/>
  <c r="G557" i="60"/>
  <c r="G556" i="60"/>
  <c r="G555" i="60"/>
  <c r="G554" i="60"/>
  <c r="G553" i="60"/>
  <c r="G552" i="60"/>
  <c r="G551" i="60"/>
  <c r="G550" i="60"/>
  <c r="G549" i="60"/>
  <c r="G548" i="60"/>
  <c r="G547" i="60"/>
  <c r="G546" i="60"/>
  <c r="G545" i="60"/>
  <c r="G544" i="60"/>
  <c r="G543" i="60"/>
  <c r="G542" i="60"/>
  <c r="G541" i="60"/>
  <c r="G540" i="60"/>
  <c r="G539" i="60"/>
  <c r="G538" i="60"/>
  <c r="G537" i="60"/>
  <c r="G536" i="60"/>
  <c r="G535" i="60"/>
  <c r="G534" i="60"/>
  <c r="G533" i="60"/>
  <c r="G532" i="60"/>
  <c r="G531" i="60"/>
  <c r="G530" i="60"/>
  <c r="G529" i="60"/>
  <c r="G528" i="60"/>
  <c r="G527" i="60"/>
  <c r="G526" i="60"/>
  <c r="G525" i="60"/>
  <c r="G524" i="60"/>
  <c r="G523" i="60"/>
  <c r="G522" i="60"/>
  <c r="G521" i="60"/>
  <c r="G520" i="60"/>
  <c r="G519" i="60"/>
  <c r="G518" i="60"/>
  <c r="G517" i="60"/>
  <c r="G516" i="60"/>
  <c r="G515" i="60"/>
  <c r="G514" i="60"/>
  <c r="G513" i="60"/>
  <c r="G512" i="60"/>
  <c r="G511" i="60"/>
  <c r="G510" i="60"/>
  <c r="G509" i="60"/>
  <c r="G508" i="60"/>
  <c r="G507" i="60"/>
  <c r="G506" i="60"/>
  <c r="G505" i="60"/>
  <c r="G504" i="60"/>
  <c r="G503" i="60"/>
  <c r="G502" i="60"/>
  <c r="G501" i="60"/>
  <c r="G500" i="60"/>
  <c r="G499" i="60"/>
  <c r="G498" i="60"/>
  <c r="G497" i="60"/>
  <c r="G496" i="60"/>
  <c r="G495" i="60"/>
  <c r="G494" i="60"/>
  <c r="G493" i="60"/>
  <c r="G492" i="60"/>
  <c r="G491" i="60"/>
  <c r="G490" i="60"/>
  <c r="G489" i="60"/>
  <c r="G488" i="60"/>
  <c r="G487" i="60"/>
  <c r="G486" i="60"/>
  <c r="G485" i="60"/>
  <c r="G484" i="60"/>
  <c r="G483" i="60"/>
  <c r="G482" i="60"/>
  <c r="G481" i="60"/>
  <c r="G480" i="60"/>
  <c r="G479" i="60"/>
  <c r="G478" i="60"/>
  <c r="G477" i="60"/>
  <c r="G476" i="60"/>
  <c r="G475" i="60"/>
  <c r="G474" i="60"/>
  <c r="G473" i="60"/>
  <c r="G472" i="60"/>
  <c r="G471" i="60"/>
  <c r="G470" i="60"/>
  <c r="G469" i="60"/>
  <c r="G468" i="60"/>
  <c r="G467" i="60"/>
  <c r="G466" i="60"/>
  <c r="G465" i="60"/>
  <c r="G42" i="60"/>
  <c r="G464" i="60"/>
  <c r="G463" i="60"/>
  <c r="G462" i="60"/>
  <c r="G461" i="60"/>
  <c r="G460" i="60"/>
  <c r="G459" i="60"/>
  <c r="G458" i="60"/>
  <c r="G457" i="60"/>
  <c r="G456" i="60"/>
  <c r="G455" i="60"/>
  <c r="G454" i="60"/>
  <c r="G453" i="60"/>
  <c r="G452" i="60"/>
  <c r="G451" i="60"/>
  <c r="G450" i="60"/>
  <c r="G449" i="60"/>
  <c r="G448" i="60"/>
  <c r="G447" i="60"/>
  <c r="G446" i="60"/>
  <c r="G445" i="60"/>
  <c r="G444" i="60"/>
  <c r="G443" i="60"/>
  <c r="G442" i="60"/>
  <c r="G441" i="60"/>
  <c r="G440" i="60"/>
  <c r="G439" i="60"/>
  <c r="G438" i="60"/>
  <c r="G437" i="60"/>
  <c r="G436" i="60"/>
  <c r="G435" i="60"/>
  <c r="G434" i="60"/>
  <c r="G433" i="60"/>
  <c r="G432" i="60"/>
  <c r="G1225" i="60"/>
  <c r="G1224" i="60"/>
  <c r="G1223" i="60"/>
  <c r="G1222" i="60"/>
  <c r="G1221" i="60"/>
  <c r="G1220" i="60"/>
  <c r="G1219" i="60"/>
  <c r="G431" i="60"/>
  <c r="G35" i="60"/>
  <c r="G34" i="60"/>
  <c r="G33" i="60"/>
  <c r="G1195" i="60"/>
  <c r="G31" i="60"/>
  <c r="G30" i="60"/>
  <c r="G1194" i="60"/>
  <c r="G1193" i="60"/>
  <c r="U57" i="3"/>
  <c r="G1192" i="60"/>
  <c r="G430" i="60"/>
  <c r="G41" i="60"/>
  <c r="G44" i="60"/>
  <c r="G40" i="60"/>
  <c r="G39" i="60"/>
  <c r="G38" i="60"/>
  <c r="G23" i="60"/>
  <c r="G43" i="60"/>
  <c r="G429" i="60"/>
  <c r="G28" i="60"/>
  <c r="G22" i="60"/>
  <c r="G21" i="60"/>
  <c r="G20" i="60"/>
  <c r="G19" i="60"/>
  <c r="G18" i="60"/>
  <c r="G17" i="60"/>
  <c r="G16" i="60"/>
  <c r="G15" i="60"/>
  <c r="G14" i="60"/>
  <c r="G1227" i="60"/>
  <c r="G1226" i="60"/>
  <c r="G1218" i="60"/>
  <c r="G1217" i="60"/>
  <c r="G1216" i="60"/>
  <c r="G1215" i="60"/>
  <c r="G1214" i="60"/>
  <c r="G1213" i="60"/>
  <c r="G1212" i="60"/>
  <c r="G1211" i="60"/>
  <c r="G1210" i="60"/>
  <c r="G1209" i="60"/>
  <c r="G1208" i="60"/>
  <c r="G1207" i="60"/>
  <c r="G1206" i="60"/>
  <c r="G1205" i="60"/>
  <c r="G1204" i="60"/>
  <c r="G1203" i="60"/>
  <c r="G1202" i="60"/>
  <c r="G1201" i="60"/>
  <c r="G1200" i="60"/>
  <c r="G1199" i="60"/>
  <c r="G25" i="60"/>
  <c r="G24" i="60"/>
  <c r="G1191" i="60"/>
  <c r="G1190" i="60"/>
  <c r="G1189" i="60"/>
  <c r="G1188" i="60"/>
  <c r="G1228" i="60"/>
  <c r="G1187" i="60"/>
  <c r="G428" i="60"/>
  <c r="G1186" i="60"/>
  <c r="G1185" i="60"/>
  <c r="G27" i="60"/>
  <c r="G1184" i="60"/>
  <c r="G1183" i="60"/>
  <c r="G1182" i="60"/>
  <c r="G26" i="60"/>
  <c r="G10" i="60"/>
  <c r="G13" i="60"/>
  <c r="G12" i="60"/>
  <c r="G11" i="60"/>
  <c r="G9" i="60"/>
  <c r="G8" i="60"/>
  <c r="G427" i="60"/>
  <c r="G6" i="60"/>
  <c r="G7" i="60"/>
  <c r="G1197" i="60"/>
  <c r="G1181" i="60"/>
  <c r="G29" i="60"/>
  <c r="G45" i="60"/>
  <c r="G426" i="60"/>
  <c r="G1180" i="60"/>
  <c r="G46" i="60"/>
  <c r="G1179" i="60"/>
  <c r="G425" i="60"/>
  <c r="G5" i="60"/>
  <c r="G4" i="60"/>
  <c r="AC12" i="3" s="1"/>
  <c r="G424" i="60"/>
  <c r="G3" i="60"/>
  <c r="G423" i="60"/>
  <c r="G422" i="60"/>
  <c r="G421" i="60"/>
  <c r="G420" i="60"/>
  <c r="G419" i="60"/>
  <c r="G418" i="60"/>
  <c r="G417" i="60"/>
  <c r="G416" i="60"/>
  <c r="G415" i="60"/>
  <c r="G414" i="60"/>
  <c r="G413" i="60"/>
  <c r="G412" i="60"/>
  <c r="G411" i="60"/>
  <c r="G410" i="60"/>
  <c r="G409" i="60"/>
  <c r="G408" i="60"/>
  <c r="G407" i="60"/>
  <c r="G406" i="60"/>
  <c r="G405" i="60"/>
  <c r="G404" i="60"/>
  <c r="G403" i="60"/>
  <c r="G402" i="60"/>
  <c r="G401" i="60"/>
  <c r="G400" i="60"/>
  <c r="G399" i="60"/>
  <c r="G398" i="60"/>
  <c r="G397" i="60"/>
  <c r="G396" i="60"/>
  <c r="G395" i="60"/>
  <c r="G394" i="60"/>
  <c r="G393" i="60"/>
  <c r="G392" i="60"/>
  <c r="G391" i="60"/>
  <c r="G390" i="60"/>
  <c r="G389" i="60"/>
  <c r="G388" i="60"/>
  <c r="G387" i="60"/>
  <c r="G386" i="60"/>
  <c r="G385" i="60"/>
  <c r="G384" i="60"/>
  <c r="G383" i="60"/>
  <c r="G382" i="60"/>
  <c r="G381" i="60"/>
  <c r="G380" i="60"/>
  <c r="G379" i="60"/>
  <c r="G378" i="60"/>
  <c r="G377" i="60"/>
  <c r="G376" i="60"/>
  <c r="G375" i="60"/>
  <c r="G374" i="60"/>
  <c r="G373" i="60"/>
  <c r="G372" i="60"/>
  <c r="G371" i="60"/>
  <c r="G370" i="60"/>
  <c r="G369" i="60"/>
  <c r="G368" i="60"/>
  <c r="G367" i="60"/>
  <c r="G366" i="60"/>
  <c r="G365" i="60"/>
  <c r="G364" i="60"/>
  <c r="G363" i="60"/>
  <c r="G362" i="60"/>
  <c r="G361" i="60"/>
  <c r="G360" i="60"/>
  <c r="G359" i="60"/>
  <c r="G358" i="60"/>
  <c r="G357" i="60"/>
  <c r="G356" i="60"/>
  <c r="G355" i="60"/>
  <c r="G354" i="60"/>
  <c r="G353" i="60"/>
  <c r="G352" i="60"/>
  <c r="G351" i="60"/>
  <c r="G350" i="60"/>
  <c r="G349" i="60"/>
  <c r="G348" i="60"/>
  <c r="G347" i="60"/>
  <c r="G346" i="60"/>
  <c r="G345" i="60"/>
  <c r="G344" i="60"/>
  <c r="G343" i="60"/>
  <c r="G342" i="60"/>
  <c r="G341" i="60"/>
  <c r="G340" i="60"/>
  <c r="G339" i="60"/>
  <c r="G338" i="60"/>
  <c r="G337" i="60"/>
  <c r="G336" i="60"/>
  <c r="G335" i="60"/>
  <c r="G334" i="60"/>
  <c r="G333" i="60"/>
  <c r="G332" i="60"/>
  <c r="G331" i="60"/>
  <c r="G330" i="60"/>
  <c r="G329" i="60"/>
  <c r="G328" i="60"/>
  <c r="G327" i="60"/>
  <c r="G326" i="60"/>
  <c r="G325" i="60"/>
  <c r="G324" i="60"/>
  <c r="G323" i="60"/>
  <c r="G322" i="60"/>
  <c r="G321" i="60"/>
  <c r="G320" i="60"/>
  <c r="G319" i="60"/>
  <c r="G318" i="60"/>
  <c r="G317" i="60"/>
  <c r="G316" i="60"/>
  <c r="G315" i="60"/>
  <c r="G314" i="60"/>
  <c r="G313" i="60"/>
  <c r="G312" i="60"/>
  <c r="G311" i="60"/>
  <c r="G310" i="60"/>
  <c r="G309" i="60"/>
  <c r="G308" i="60"/>
  <c r="G307" i="60"/>
  <c r="G306" i="60"/>
  <c r="G305" i="60"/>
  <c r="G304" i="60"/>
  <c r="G303" i="60"/>
  <c r="G302" i="60"/>
  <c r="G301" i="60"/>
  <c r="G300" i="60"/>
  <c r="G299" i="60"/>
  <c r="G298" i="60"/>
  <c r="G297" i="60"/>
  <c r="G296" i="60"/>
  <c r="G295" i="60"/>
  <c r="G294" i="60"/>
  <c r="G293" i="60"/>
  <c r="G292" i="60"/>
  <c r="G291" i="60"/>
  <c r="G290" i="60"/>
  <c r="G289" i="60"/>
  <c r="G288" i="60"/>
  <c r="G287" i="60"/>
  <c r="G286" i="60"/>
  <c r="G285" i="60"/>
  <c r="G284" i="60"/>
  <c r="G283" i="60"/>
  <c r="G282" i="60"/>
  <c r="G281" i="60"/>
  <c r="G280" i="60"/>
  <c r="G279" i="60"/>
  <c r="G278" i="60"/>
  <c r="G277" i="60"/>
  <c r="G276" i="60"/>
  <c r="G275" i="60"/>
  <c r="G274" i="60"/>
  <c r="G273" i="60"/>
  <c r="G272" i="60"/>
  <c r="G271" i="60"/>
  <c r="G270" i="60"/>
  <c r="G269" i="60"/>
  <c r="G268" i="60"/>
  <c r="G267" i="60"/>
  <c r="G266" i="60"/>
  <c r="G265" i="60"/>
  <c r="G264" i="60"/>
  <c r="G263" i="60"/>
  <c r="G262" i="60"/>
  <c r="G261" i="60"/>
  <c r="G260" i="60"/>
  <c r="G259" i="60"/>
  <c r="G258" i="60"/>
  <c r="G257" i="60"/>
  <c r="G256" i="60"/>
  <c r="G255" i="60"/>
  <c r="G254" i="60"/>
  <c r="G253" i="60"/>
  <c r="G252" i="60"/>
  <c r="G251" i="60"/>
  <c r="G250" i="60"/>
  <c r="G249" i="60"/>
  <c r="G248" i="60"/>
  <c r="G247" i="60"/>
  <c r="G246" i="60"/>
  <c r="G245" i="60"/>
  <c r="G244" i="60"/>
  <c r="G243" i="60"/>
  <c r="G242" i="60"/>
  <c r="G241" i="60"/>
  <c r="G240" i="60"/>
  <c r="G239" i="60"/>
  <c r="G238" i="60"/>
  <c r="G237" i="60"/>
  <c r="G236" i="60"/>
  <c r="G235" i="60"/>
  <c r="G234" i="60"/>
  <c r="G233" i="60"/>
  <c r="G232" i="60"/>
  <c r="G231" i="60"/>
  <c r="G230" i="60"/>
  <c r="G229" i="60"/>
  <c r="G228" i="60"/>
  <c r="G227" i="60"/>
  <c r="G226" i="60"/>
  <c r="G225" i="60"/>
  <c r="G224" i="60"/>
  <c r="G223" i="60"/>
  <c r="G222" i="60"/>
  <c r="G221" i="60"/>
  <c r="G220" i="60"/>
  <c r="G219" i="60"/>
  <c r="G218" i="60"/>
  <c r="G217" i="60"/>
  <c r="G216" i="60"/>
  <c r="G215" i="60"/>
  <c r="G214" i="60"/>
  <c r="G213" i="60"/>
  <c r="G212" i="60"/>
  <c r="G211" i="60"/>
  <c r="G210" i="60"/>
  <c r="G209" i="60"/>
  <c r="G208" i="60"/>
  <c r="G207" i="60"/>
  <c r="G206" i="60"/>
  <c r="G205" i="60"/>
  <c r="G204" i="60"/>
  <c r="G203" i="60"/>
  <c r="G202" i="60"/>
  <c r="G201" i="60"/>
  <c r="G200" i="60"/>
  <c r="G199" i="60"/>
  <c r="G198" i="60"/>
  <c r="G197" i="60"/>
  <c r="G196" i="60"/>
  <c r="G195" i="60"/>
  <c r="G194" i="60"/>
  <c r="G193" i="60"/>
  <c r="G192" i="60"/>
  <c r="G191" i="60"/>
  <c r="G190" i="60"/>
  <c r="G189" i="60"/>
  <c r="G188" i="60"/>
  <c r="G187" i="60"/>
  <c r="G186" i="60"/>
  <c r="G185" i="60"/>
  <c r="G184" i="60"/>
  <c r="G183" i="60"/>
  <c r="G182" i="60"/>
  <c r="G181" i="60"/>
  <c r="G180" i="60"/>
  <c r="G179" i="60"/>
  <c r="G178" i="60"/>
  <c r="G177" i="60"/>
  <c r="G176" i="60"/>
  <c r="G175" i="60"/>
  <c r="G174" i="60"/>
  <c r="G173" i="60"/>
  <c r="G172" i="60"/>
  <c r="G171" i="60"/>
  <c r="G170" i="60"/>
  <c r="G169" i="60"/>
  <c r="G168" i="60"/>
  <c r="G167" i="60"/>
  <c r="G166" i="60"/>
  <c r="G165" i="60"/>
  <c r="G164" i="60"/>
  <c r="G163" i="60"/>
  <c r="G162" i="60"/>
  <c r="G161" i="60"/>
  <c r="G160" i="60"/>
  <c r="G159" i="60"/>
  <c r="G158" i="60"/>
  <c r="G157" i="60"/>
  <c r="G156" i="60"/>
  <c r="G155" i="60"/>
  <c r="G154" i="60"/>
  <c r="G153" i="60"/>
  <c r="G152" i="60"/>
  <c r="G151" i="60"/>
  <c r="G150" i="60"/>
  <c r="G149" i="60"/>
  <c r="G148" i="60"/>
  <c r="G147" i="60"/>
  <c r="G146" i="60"/>
  <c r="G145" i="60"/>
  <c r="G144" i="60"/>
  <c r="G143" i="60"/>
  <c r="G142" i="60"/>
  <c r="G141" i="60"/>
  <c r="G140" i="60"/>
  <c r="G139" i="60"/>
  <c r="G138" i="60"/>
  <c r="G137" i="60"/>
  <c r="G136" i="60"/>
  <c r="G135" i="60"/>
  <c r="G134" i="60"/>
  <c r="G133" i="60"/>
  <c r="G132" i="60"/>
  <c r="G131" i="60"/>
  <c r="G130" i="60"/>
  <c r="G129" i="60"/>
  <c r="G128" i="60"/>
  <c r="G127" i="60"/>
  <c r="G126" i="60"/>
  <c r="G125" i="60"/>
  <c r="G124" i="60"/>
  <c r="G123" i="60"/>
  <c r="G122" i="60"/>
  <c r="G121" i="60"/>
  <c r="G120" i="60"/>
  <c r="G119" i="60"/>
  <c r="G118" i="60"/>
  <c r="G117" i="60"/>
  <c r="G116" i="60"/>
  <c r="G115" i="60"/>
  <c r="G114" i="60"/>
  <c r="G113" i="60"/>
  <c r="G112" i="60"/>
  <c r="G111" i="60"/>
  <c r="G110" i="60"/>
  <c r="G109" i="60"/>
  <c r="G108" i="60"/>
  <c r="G107" i="60"/>
  <c r="G106" i="60"/>
  <c r="G105" i="60"/>
  <c r="G104" i="60"/>
  <c r="G103" i="60"/>
  <c r="G102" i="60"/>
  <c r="G101" i="60"/>
  <c r="G100" i="60"/>
  <c r="G99" i="60"/>
  <c r="G98" i="60"/>
  <c r="G97" i="60"/>
  <c r="G96" i="60"/>
  <c r="G95" i="60"/>
  <c r="G94" i="60"/>
  <c r="G93" i="60"/>
  <c r="G92" i="60"/>
  <c r="G91" i="60"/>
  <c r="G90" i="60"/>
  <c r="G89" i="60"/>
  <c r="G37" i="60"/>
  <c r="G88" i="60"/>
  <c r="G87" i="60"/>
  <c r="G86" i="60"/>
  <c r="G85" i="60"/>
  <c r="G84" i="60"/>
  <c r="G83" i="60"/>
  <c r="G82" i="60"/>
  <c r="G81" i="60"/>
  <c r="G80" i="60"/>
  <c r="G79" i="60"/>
  <c r="G78" i="60"/>
  <c r="G77" i="60"/>
  <c r="G76" i="60"/>
  <c r="G75" i="60"/>
  <c r="G74" i="60"/>
  <c r="G73" i="60"/>
  <c r="G72" i="60"/>
  <c r="G71" i="60"/>
  <c r="G70" i="60"/>
  <c r="G69" i="60"/>
  <c r="G68" i="60"/>
  <c r="G67" i="60"/>
  <c r="G66" i="60"/>
  <c r="G65" i="60"/>
  <c r="G64" i="60"/>
  <c r="G63" i="60"/>
  <c r="G62" i="60"/>
  <c r="G61" i="60"/>
  <c r="G60" i="60"/>
  <c r="G59" i="60"/>
  <c r="G58" i="60"/>
  <c r="G57" i="60"/>
  <c r="G56" i="60"/>
  <c r="G55" i="60"/>
  <c r="G54" i="60"/>
  <c r="G53" i="60"/>
  <c r="G52" i="60"/>
  <c r="G51" i="60"/>
  <c r="G50" i="60"/>
  <c r="G49" i="60"/>
  <c r="G48" i="60"/>
  <c r="G47" i="60"/>
  <c r="G1317" i="59"/>
  <c r="G1316" i="59"/>
  <c r="G1315" i="59"/>
  <c r="G1314" i="59"/>
  <c r="G1313" i="59"/>
  <c r="G1312" i="59"/>
  <c r="G1311" i="59"/>
  <c r="G1310" i="59"/>
  <c r="G1309" i="59"/>
  <c r="G1308" i="59"/>
  <c r="G1307" i="59"/>
  <c r="G1306" i="59"/>
  <c r="G1305" i="59"/>
  <c r="G1304" i="59"/>
  <c r="G1303" i="59"/>
  <c r="G1302" i="59"/>
  <c r="G1301" i="59"/>
  <c r="G1300" i="59"/>
  <c r="G1299" i="59"/>
  <c r="G1298" i="59"/>
  <c r="G1297" i="59"/>
  <c r="G1296" i="59"/>
  <c r="G1295" i="59"/>
  <c r="G1294" i="59"/>
  <c r="G1293" i="59"/>
  <c r="G1292" i="59"/>
  <c r="G1291" i="59"/>
  <c r="G1290" i="59"/>
  <c r="G1289" i="59"/>
  <c r="G1288" i="59"/>
  <c r="G1287" i="59"/>
  <c r="G1286" i="59"/>
  <c r="G1285" i="59"/>
  <c r="G1284" i="59"/>
  <c r="G1283" i="59"/>
  <c r="G1282" i="59"/>
  <c r="G1281" i="59"/>
  <c r="G1280" i="59"/>
  <c r="G1279" i="59"/>
  <c r="G1278" i="59"/>
  <c r="G1277" i="59"/>
  <c r="G1276" i="59"/>
  <c r="G1275" i="59"/>
  <c r="G1274" i="59"/>
  <c r="G1273" i="59"/>
  <c r="G1272" i="59"/>
  <c r="G1271" i="59"/>
  <c r="G1270" i="59"/>
  <c r="G1269" i="59"/>
  <c r="G1268" i="59"/>
  <c r="G1267" i="59"/>
  <c r="G1266" i="59"/>
  <c r="G1265" i="59"/>
  <c r="G1264" i="59"/>
  <c r="G1263" i="59"/>
  <c r="G1262" i="59"/>
  <c r="G1261" i="59"/>
  <c r="G1260" i="59"/>
  <c r="G1259" i="59"/>
  <c r="G1258" i="59"/>
  <c r="G1257" i="59"/>
  <c r="G1256" i="59"/>
  <c r="G1255" i="59"/>
  <c r="G1254" i="59"/>
  <c r="G1253" i="59"/>
  <c r="G1252" i="59"/>
  <c r="G1251" i="59"/>
  <c r="G1250" i="59"/>
  <c r="G1249" i="59"/>
  <c r="G1248" i="59"/>
  <c r="G1247" i="59"/>
  <c r="G1246" i="59"/>
  <c r="G1245" i="59"/>
  <c r="G1244" i="59"/>
  <c r="G1243" i="59"/>
  <c r="G1242" i="59"/>
  <c r="G1241" i="59"/>
  <c r="G1240" i="59"/>
  <c r="G1239" i="59"/>
  <c r="G1238" i="59"/>
  <c r="G1237" i="59"/>
  <c r="G1236" i="59"/>
  <c r="G1235" i="59"/>
  <c r="G1234" i="59"/>
  <c r="G1233" i="59"/>
  <c r="G1232" i="59"/>
  <c r="G1231" i="59"/>
  <c r="G1230" i="59"/>
  <c r="G1229" i="59"/>
  <c r="G1228" i="59"/>
  <c r="G1227" i="59"/>
  <c r="G1226" i="59"/>
  <c r="G1225" i="59"/>
  <c r="G1224" i="59"/>
  <c r="G1223" i="59"/>
  <c r="G1222" i="59"/>
  <c r="G1221" i="59"/>
  <c r="G1220" i="59"/>
  <c r="G1219" i="59"/>
  <c r="G1218" i="59"/>
  <c r="G1217" i="59"/>
  <c r="G1216" i="59"/>
  <c r="G1215" i="59"/>
  <c r="G1214" i="59"/>
  <c r="G1213" i="59"/>
  <c r="G1212" i="59"/>
  <c r="G1211" i="59"/>
  <c r="G1210" i="59"/>
  <c r="G1209" i="59"/>
  <c r="G1208" i="59"/>
  <c r="G1207" i="59"/>
  <c r="G1206" i="59"/>
  <c r="G1205" i="59"/>
  <c r="G1204" i="59"/>
  <c r="G1203" i="59"/>
  <c r="G1202" i="59"/>
  <c r="G1201" i="59"/>
  <c r="G1200" i="59"/>
  <c r="G1199" i="59"/>
  <c r="G1198" i="59"/>
  <c r="G1197" i="59"/>
  <c r="G1196" i="59"/>
  <c r="G1195" i="59"/>
  <c r="G1194" i="59"/>
  <c r="G1193" i="59"/>
  <c r="G1192" i="59"/>
  <c r="G1191" i="59"/>
  <c r="G1190" i="59"/>
  <c r="G1189" i="59"/>
  <c r="G1188" i="59"/>
  <c r="G1187" i="59"/>
  <c r="G1186" i="59"/>
  <c r="G1185" i="59"/>
  <c r="G1184" i="59"/>
  <c r="G1183" i="59"/>
  <c r="G1182" i="59"/>
  <c r="G1181" i="59"/>
  <c r="G1180" i="59"/>
  <c r="G1179" i="59"/>
  <c r="G1178" i="59"/>
  <c r="G1177" i="59"/>
  <c r="G1176" i="59"/>
  <c r="G1175" i="59"/>
  <c r="G1174" i="59"/>
  <c r="G1173" i="59"/>
  <c r="G1172" i="59"/>
  <c r="G1171" i="59"/>
  <c r="G1170" i="59"/>
  <c r="G1169" i="59"/>
  <c r="G1168" i="59"/>
  <c r="G1167" i="59"/>
  <c r="G1166" i="59"/>
  <c r="G1165" i="59"/>
  <c r="G1164" i="59"/>
  <c r="G1163" i="59"/>
  <c r="G1162" i="59"/>
  <c r="G1161" i="59"/>
  <c r="G1160" i="59"/>
  <c r="G1159" i="59"/>
  <c r="G1158" i="59"/>
  <c r="G1157" i="59"/>
  <c r="G1156" i="59"/>
  <c r="G1155" i="59"/>
  <c r="G1154" i="59"/>
  <c r="G1153" i="59"/>
  <c r="G1152" i="59"/>
  <c r="G1151" i="59"/>
  <c r="G1150" i="59"/>
  <c r="G1149" i="59"/>
  <c r="G1148" i="59"/>
  <c r="G1147" i="59"/>
  <c r="G1146" i="59"/>
  <c r="G1145" i="59"/>
  <c r="G1144" i="59"/>
  <c r="G1143" i="59"/>
  <c r="G1142" i="59"/>
  <c r="G1141" i="59"/>
  <c r="G1140" i="59"/>
  <c r="G1139" i="59"/>
  <c r="G1138" i="59"/>
  <c r="G1137" i="59"/>
  <c r="G1136" i="59"/>
  <c r="G1135" i="59"/>
  <c r="G1134" i="59"/>
  <c r="G1133" i="59"/>
  <c r="G1132" i="59"/>
  <c r="G1131" i="59"/>
  <c r="G1130" i="59"/>
  <c r="G1129" i="59"/>
  <c r="G1128" i="59"/>
  <c r="G1127" i="59"/>
  <c r="G1126" i="59"/>
  <c r="G1125" i="59"/>
  <c r="G1124" i="59"/>
  <c r="G1123" i="59"/>
  <c r="G1122" i="59"/>
  <c r="G1121" i="59"/>
  <c r="G1120" i="59"/>
  <c r="G1119" i="59"/>
  <c r="G1118" i="59"/>
  <c r="G1117" i="59"/>
  <c r="G1116" i="59"/>
  <c r="G1115" i="59"/>
  <c r="G1114" i="59"/>
  <c r="G1113" i="59"/>
  <c r="G1112" i="59"/>
  <c r="G1111" i="59"/>
  <c r="G1110" i="59"/>
  <c r="G1109" i="59"/>
  <c r="G1108" i="59"/>
  <c r="G1107" i="59"/>
  <c r="G1106" i="59"/>
  <c r="G1105" i="59"/>
  <c r="G1104" i="59"/>
  <c r="G1103" i="59"/>
  <c r="G1102" i="59"/>
  <c r="G1101" i="59"/>
  <c r="G1100" i="59"/>
  <c r="G1099" i="59"/>
  <c r="G1098" i="59"/>
  <c r="G1097" i="59"/>
  <c r="G1096" i="59"/>
  <c r="G1095" i="59"/>
  <c r="G1094" i="59"/>
  <c r="G1093" i="59"/>
  <c r="G1092" i="59"/>
  <c r="G1091" i="59"/>
  <c r="G1090" i="59"/>
  <c r="G1089" i="59"/>
  <c r="G1088" i="59"/>
  <c r="G1087" i="59"/>
  <c r="G1086" i="59"/>
  <c r="G1085" i="59"/>
  <c r="G1084" i="59"/>
  <c r="G1083" i="59"/>
  <c r="G1082" i="59"/>
  <c r="G1081" i="59"/>
  <c r="G1080" i="59"/>
  <c r="G1079" i="59"/>
  <c r="G1078" i="59"/>
  <c r="G1077" i="59"/>
  <c r="G1076" i="59"/>
  <c r="G1075" i="59"/>
  <c r="G1074" i="59"/>
  <c r="G1073" i="59"/>
  <c r="G1072" i="59"/>
  <c r="G1071" i="59"/>
  <c r="G1070" i="59"/>
  <c r="G1069" i="59"/>
  <c r="G1068" i="59"/>
  <c r="G1067" i="59"/>
  <c r="G1066" i="59"/>
  <c r="G1065" i="59"/>
  <c r="G1064" i="59"/>
  <c r="G1063" i="59"/>
  <c r="G1062" i="59"/>
  <c r="G1061" i="59"/>
  <c r="G1060" i="59"/>
  <c r="G1059" i="59"/>
  <c r="G1058" i="59"/>
  <c r="G1057" i="59"/>
  <c r="G1056" i="59"/>
  <c r="G1055" i="59"/>
  <c r="G1054" i="59"/>
  <c r="G1053" i="59"/>
  <c r="G1052" i="59"/>
  <c r="G1051" i="59"/>
  <c r="G1050" i="59"/>
  <c r="G1049" i="59"/>
  <c r="G1048" i="59"/>
  <c r="G1047" i="59"/>
  <c r="G1046" i="59"/>
  <c r="G1045" i="59"/>
  <c r="G1044" i="59"/>
  <c r="G1043" i="59"/>
  <c r="G1042" i="59"/>
  <c r="G1041" i="59"/>
  <c r="G1040" i="59"/>
  <c r="G1039" i="59"/>
  <c r="G1038" i="59"/>
  <c r="G1037" i="59"/>
  <c r="G1036" i="59"/>
  <c r="G1035" i="59"/>
  <c r="G1034" i="59"/>
  <c r="G1033" i="59"/>
  <c r="G1032" i="59"/>
  <c r="G1031" i="59"/>
  <c r="G1030" i="59"/>
  <c r="G1029" i="59"/>
  <c r="G1028" i="59"/>
  <c r="G1027" i="59"/>
  <c r="G1026" i="59"/>
  <c r="G1025" i="59"/>
  <c r="G1024" i="59"/>
  <c r="G1023" i="59"/>
  <c r="G1022" i="59"/>
  <c r="G1021" i="59"/>
  <c r="G1020" i="59"/>
  <c r="G1019" i="59"/>
  <c r="G1018" i="59"/>
  <c r="G1017" i="59"/>
  <c r="G1016" i="59"/>
  <c r="G1015" i="59"/>
  <c r="G1014" i="59"/>
  <c r="G1013" i="59"/>
  <c r="G1012" i="59"/>
  <c r="G1011" i="59"/>
  <c r="G1010" i="59"/>
  <c r="G1009" i="59"/>
  <c r="G1008" i="59"/>
  <c r="G1007" i="59"/>
  <c r="G1006" i="59"/>
  <c r="G1005" i="59"/>
  <c r="G1004" i="59"/>
  <c r="G1003" i="59"/>
  <c r="G1002" i="59"/>
  <c r="G1001" i="59"/>
  <c r="G1000" i="59"/>
  <c r="G999" i="59"/>
  <c r="G998" i="59"/>
  <c r="G997" i="59"/>
  <c r="G996" i="59"/>
  <c r="G995" i="59"/>
  <c r="G994" i="59"/>
  <c r="G993" i="59"/>
  <c r="G992" i="59"/>
  <c r="G991" i="59"/>
  <c r="G990" i="59"/>
  <c r="G989" i="59"/>
  <c r="G988" i="59"/>
  <c r="G987" i="59"/>
  <c r="G986" i="59"/>
  <c r="G985" i="59"/>
  <c r="G984" i="59"/>
  <c r="G983" i="59"/>
  <c r="G982" i="59"/>
  <c r="G981" i="59"/>
  <c r="G980" i="59"/>
  <c r="G979" i="59"/>
  <c r="G978" i="59"/>
  <c r="G977" i="59"/>
  <c r="G976" i="59"/>
  <c r="G975" i="59"/>
  <c r="G974" i="59"/>
  <c r="G973" i="59"/>
  <c r="G972" i="59"/>
  <c r="G971" i="59"/>
  <c r="G970" i="59"/>
  <c r="G969" i="59"/>
  <c r="G968" i="59"/>
  <c r="G967" i="59"/>
  <c r="G966" i="59"/>
  <c r="G965" i="59"/>
  <c r="G964" i="59"/>
  <c r="G963" i="59"/>
  <c r="G962" i="59"/>
  <c r="G961" i="59"/>
  <c r="G960" i="59"/>
  <c r="G959" i="59"/>
  <c r="G958" i="59"/>
  <c r="G957" i="59"/>
  <c r="G956" i="59"/>
  <c r="G955" i="59"/>
  <c r="G954" i="59"/>
  <c r="G953" i="59"/>
  <c r="G952" i="59"/>
  <c r="G951" i="59"/>
  <c r="G950" i="59"/>
  <c r="G949" i="59"/>
  <c r="G948" i="59"/>
  <c r="G947" i="59"/>
  <c r="G946" i="59"/>
  <c r="G945" i="59"/>
  <c r="G944" i="59"/>
  <c r="G943" i="59"/>
  <c r="G942" i="59"/>
  <c r="G941" i="59"/>
  <c r="G940" i="59"/>
  <c r="G939" i="59"/>
  <c r="G938" i="59"/>
  <c r="G937" i="59"/>
  <c r="G936" i="59"/>
  <c r="G935" i="59"/>
  <c r="G934" i="59"/>
  <c r="G933" i="59"/>
  <c r="G932" i="59"/>
  <c r="G931" i="59"/>
  <c r="G930" i="59"/>
  <c r="G929" i="59"/>
  <c r="G928" i="59"/>
  <c r="G927" i="59"/>
  <c r="G926" i="59"/>
  <c r="G925" i="59"/>
  <c r="G924" i="59"/>
  <c r="G923" i="59"/>
  <c r="G922" i="59"/>
  <c r="G921" i="59"/>
  <c r="G920" i="59"/>
  <c r="G919" i="59"/>
  <c r="G918" i="59"/>
  <c r="G917" i="59"/>
  <c r="G916" i="59"/>
  <c r="G915" i="59"/>
  <c r="G914" i="59"/>
  <c r="G913" i="59"/>
  <c r="G912" i="59"/>
  <c r="G911" i="59"/>
  <c r="G910" i="59"/>
  <c r="G909" i="59"/>
  <c r="G908" i="59"/>
  <c r="G907" i="59"/>
  <c r="G906" i="59"/>
  <c r="G905" i="59"/>
  <c r="G904" i="59"/>
  <c r="G903" i="59"/>
  <c r="G902" i="59"/>
  <c r="G901" i="59"/>
  <c r="G900" i="59"/>
  <c r="G899" i="59"/>
  <c r="G898" i="59"/>
  <c r="G897" i="59"/>
  <c r="G896" i="59"/>
  <c r="G895" i="59"/>
  <c r="G894" i="59"/>
  <c r="G893" i="59"/>
  <c r="G892" i="59"/>
  <c r="G891" i="59"/>
  <c r="G890" i="59"/>
  <c r="G889" i="59"/>
  <c r="G888" i="59"/>
  <c r="G887" i="59"/>
  <c r="G886" i="59"/>
  <c r="G885" i="59"/>
  <c r="G884" i="59"/>
  <c r="G883" i="59"/>
  <c r="G882" i="59"/>
  <c r="G881" i="59"/>
  <c r="G880" i="59"/>
  <c r="G879" i="59"/>
  <c r="G878" i="59"/>
  <c r="G877" i="59"/>
  <c r="G876" i="59"/>
  <c r="G875" i="59"/>
  <c r="G874" i="59"/>
  <c r="G873" i="59"/>
  <c r="G872" i="59"/>
  <c r="G871" i="59"/>
  <c r="G870" i="59"/>
  <c r="G869" i="59"/>
  <c r="G868" i="59"/>
  <c r="G867" i="59"/>
  <c r="G866" i="59"/>
  <c r="G865" i="59"/>
  <c r="G864" i="59"/>
  <c r="G863" i="59"/>
  <c r="G862" i="59"/>
  <c r="G861" i="59"/>
  <c r="G860" i="59"/>
  <c r="G859" i="59"/>
  <c r="G858" i="59"/>
  <c r="G857" i="59"/>
  <c r="G856" i="59"/>
  <c r="G855" i="59"/>
  <c r="G854" i="59"/>
  <c r="G853" i="59"/>
  <c r="G852" i="59"/>
  <c r="G851" i="59"/>
  <c r="G850" i="59"/>
  <c r="G849" i="59"/>
  <c r="G848" i="59"/>
  <c r="G847" i="59"/>
  <c r="G846" i="59"/>
  <c r="G845" i="59"/>
  <c r="G844" i="59"/>
  <c r="G843" i="59"/>
  <c r="G842" i="59"/>
  <c r="G841" i="59"/>
  <c r="G840" i="59"/>
  <c r="G839" i="59"/>
  <c r="G838" i="59"/>
  <c r="G837" i="59"/>
  <c r="G836" i="59"/>
  <c r="G835" i="59"/>
  <c r="G834" i="59"/>
  <c r="G833" i="59"/>
  <c r="G832" i="59"/>
  <c r="G831" i="59"/>
  <c r="G830" i="59"/>
  <c r="G829" i="59"/>
  <c r="G828" i="59"/>
  <c r="G827" i="59"/>
  <c r="G826" i="59"/>
  <c r="G825" i="59"/>
  <c r="G824" i="59"/>
  <c r="G823" i="59"/>
  <c r="G822" i="59"/>
  <c r="G821" i="59"/>
  <c r="G820" i="59"/>
  <c r="G819" i="59"/>
  <c r="G818" i="59"/>
  <c r="G817" i="59"/>
  <c r="G816" i="59"/>
  <c r="G815" i="59"/>
  <c r="G814" i="59"/>
  <c r="G813" i="59"/>
  <c r="G812" i="59"/>
  <c r="G811" i="59"/>
  <c r="G810" i="59"/>
  <c r="G809" i="59"/>
  <c r="G808" i="59"/>
  <c r="G807" i="59"/>
  <c r="G806" i="59"/>
  <c r="G805" i="59"/>
  <c r="G804" i="59"/>
  <c r="G803" i="59"/>
  <c r="G802" i="59"/>
  <c r="G801" i="59"/>
  <c r="G800" i="59"/>
  <c r="G799" i="59"/>
  <c r="G798" i="59"/>
  <c r="G797" i="59"/>
  <c r="G796" i="59"/>
  <c r="G795" i="59"/>
  <c r="G794" i="59"/>
  <c r="G793" i="59"/>
  <c r="G792" i="59"/>
  <c r="G791" i="59"/>
  <c r="G790" i="59"/>
  <c r="G789" i="59"/>
  <c r="G788" i="59"/>
  <c r="G787" i="59"/>
  <c r="G786" i="59"/>
  <c r="G785" i="59"/>
  <c r="G784" i="59"/>
  <c r="G783" i="59"/>
  <c r="G782" i="59"/>
  <c r="G781" i="59"/>
  <c r="G780" i="59"/>
  <c r="G779" i="59"/>
  <c r="G778" i="59"/>
  <c r="G777" i="59"/>
  <c r="G776" i="59"/>
  <c r="G775" i="59"/>
  <c r="G774" i="59"/>
  <c r="G773" i="59"/>
  <c r="G772" i="59"/>
  <c r="G771" i="59"/>
  <c r="G770" i="59"/>
  <c r="G769" i="59"/>
  <c r="G768" i="59"/>
  <c r="G767" i="59"/>
  <c r="G766" i="59"/>
  <c r="G765" i="59"/>
  <c r="G764" i="59"/>
  <c r="G763" i="59"/>
  <c r="G762" i="59"/>
  <c r="G761" i="59"/>
  <c r="G760" i="59"/>
  <c r="G759" i="59"/>
  <c r="G758" i="59"/>
  <c r="G757" i="59"/>
  <c r="G756" i="59"/>
  <c r="G755" i="59"/>
  <c r="G754" i="59"/>
  <c r="G753" i="59"/>
  <c r="G752" i="59"/>
  <c r="G751" i="59"/>
  <c r="G750" i="59"/>
  <c r="G749" i="59"/>
  <c r="G748" i="59"/>
  <c r="G747" i="59"/>
  <c r="G746" i="59"/>
  <c r="G745" i="59"/>
  <c r="G744" i="59"/>
  <c r="G743" i="59"/>
  <c r="G742" i="59"/>
  <c r="G741" i="59"/>
  <c r="G740" i="59"/>
  <c r="G739" i="59"/>
  <c r="G738" i="59"/>
  <c r="G737" i="59"/>
  <c r="G736" i="59"/>
  <c r="G735" i="59"/>
  <c r="G734" i="59"/>
  <c r="G733" i="59"/>
  <c r="G732" i="59"/>
  <c r="G731" i="59"/>
  <c r="G730" i="59"/>
  <c r="G729" i="59"/>
  <c r="G728" i="59"/>
  <c r="G727" i="59"/>
  <c r="G726" i="59"/>
  <c r="G725" i="59"/>
  <c r="G724" i="59"/>
  <c r="G723" i="59"/>
  <c r="G722" i="59"/>
  <c r="G721" i="59"/>
  <c r="G720" i="59"/>
  <c r="G719" i="59"/>
  <c r="G718" i="59"/>
  <c r="G717" i="59"/>
  <c r="G716" i="59"/>
  <c r="G715" i="59"/>
  <c r="G714" i="59"/>
  <c r="G713" i="59"/>
  <c r="G712" i="59"/>
  <c r="G711" i="59"/>
  <c r="G710" i="59"/>
  <c r="G709" i="59"/>
  <c r="G708" i="59"/>
  <c r="G707" i="59"/>
  <c r="G706" i="59"/>
  <c r="G705" i="59"/>
  <c r="G704" i="59"/>
  <c r="G703" i="59"/>
  <c r="G702" i="59"/>
  <c r="G701" i="59"/>
  <c r="G700" i="59"/>
  <c r="G699" i="59"/>
  <c r="G698" i="59"/>
  <c r="G697" i="59"/>
  <c r="G696" i="59"/>
  <c r="G695" i="59"/>
  <c r="G694" i="59"/>
  <c r="G693" i="59"/>
  <c r="G692" i="59"/>
  <c r="G691" i="59"/>
  <c r="G690" i="59"/>
  <c r="G689" i="59"/>
  <c r="G688" i="59"/>
  <c r="G687" i="59"/>
  <c r="G686" i="59"/>
  <c r="G685" i="59"/>
  <c r="G684" i="59"/>
  <c r="G683" i="59"/>
  <c r="G682" i="59"/>
  <c r="G681" i="59"/>
  <c r="G680" i="59"/>
  <c r="G679" i="59"/>
  <c r="G678" i="59"/>
  <c r="G677" i="59"/>
  <c r="G676" i="59"/>
  <c r="G675" i="59"/>
  <c r="G674" i="59"/>
  <c r="G673" i="59"/>
  <c r="G672" i="59"/>
  <c r="G671" i="59"/>
  <c r="G670" i="59"/>
  <c r="G669" i="59"/>
  <c r="G668" i="59"/>
  <c r="G667" i="59"/>
  <c r="G666" i="59"/>
  <c r="G665" i="59"/>
  <c r="G664" i="59"/>
  <c r="G663" i="59"/>
  <c r="G662" i="59"/>
  <c r="G661" i="59"/>
  <c r="G660" i="59"/>
  <c r="G659" i="59"/>
  <c r="G658" i="59"/>
  <c r="G657" i="59"/>
  <c r="G656" i="59"/>
  <c r="G655" i="59"/>
  <c r="G654" i="59"/>
  <c r="G653" i="59"/>
  <c r="G652" i="59"/>
  <c r="G651" i="59"/>
  <c r="G650" i="59"/>
  <c r="G649" i="59"/>
  <c r="G648" i="59"/>
  <c r="G647" i="59"/>
  <c r="G646" i="59"/>
  <c r="G645" i="59"/>
  <c r="G644" i="59"/>
  <c r="G643" i="59"/>
  <c r="G642" i="59"/>
  <c r="G641" i="59"/>
  <c r="G640" i="59"/>
  <c r="G639" i="59"/>
  <c r="G638" i="59"/>
  <c r="G637" i="59"/>
  <c r="G636" i="59"/>
  <c r="G635" i="59"/>
  <c r="G634" i="59"/>
  <c r="G633" i="59"/>
  <c r="G632" i="59"/>
  <c r="G631" i="59"/>
  <c r="G630" i="59"/>
  <c r="G629" i="59"/>
  <c r="G628" i="59"/>
  <c r="G627" i="59"/>
  <c r="G626" i="59"/>
  <c r="G625" i="59"/>
  <c r="G624" i="59"/>
  <c r="G623" i="59"/>
  <c r="G622" i="59"/>
  <c r="G621" i="59"/>
  <c r="G620" i="59"/>
  <c r="G619" i="59"/>
  <c r="G618" i="59"/>
  <c r="G617" i="59"/>
  <c r="G616" i="59"/>
  <c r="G615" i="59"/>
  <c r="G614" i="59"/>
  <c r="G613" i="59"/>
  <c r="G612" i="59"/>
  <c r="G611" i="59"/>
  <c r="G610" i="59"/>
  <c r="G609" i="59"/>
  <c r="G608" i="59"/>
  <c r="G607" i="59"/>
  <c r="G606" i="59"/>
  <c r="G605" i="59"/>
  <c r="G604" i="59"/>
  <c r="G603" i="59"/>
  <c r="G602" i="59"/>
  <c r="G601" i="59"/>
  <c r="G600" i="59"/>
  <c r="G599" i="59"/>
  <c r="G598" i="59"/>
  <c r="G597" i="59"/>
  <c r="G596" i="59"/>
  <c r="G595" i="59"/>
  <c r="G594" i="59"/>
  <c r="G593" i="59"/>
  <c r="G592" i="59"/>
  <c r="G591" i="59"/>
  <c r="G590" i="59"/>
  <c r="G589" i="59"/>
  <c r="G588" i="59"/>
  <c r="G587" i="59"/>
  <c r="G586" i="59"/>
  <c r="G585" i="59"/>
  <c r="G584" i="59"/>
  <c r="G583" i="59"/>
  <c r="G582" i="59"/>
  <c r="G581" i="59"/>
  <c r="G580" i="59"/>
  <c r="G579" i="59"/>
  <c r="G578" i="59"/>
  <c r="G577" i="59"/>
  <c r="G576" i="59"/>
  <c r="G575" i="59"/>
  <c r="G574" i="59"/>
  <c r="G573" i="59"/>
  <c r="G572" i="59"/>
  <c r="G571" i="59"/>
  <c r="G570" i="59"/>
  <c r="G569" i="59"/>
  <c r="G568" i="59"/>
  <c r="G567" i="59"/>
  <c r="G566" i="59"/>
  <c r="G565" i="59"/>
  <c r="G564" i="59"/>
  <c r="G563" i="59"/>
  <c r="G562" i="59"/>
  <c r="G561" i="59"/>
  <c r="G560" i="59"/>
  <c r="G559" i="59"/>
  <c r="G558" i="59"/>
  <c r="G557" i="59"/>
  <c r="G556" i="59"/>
  <c r="G555" i="59"/>
  <c r="G554" i="59"/>
  <c r="G553" i="59"/>
  <c r="G552" i="59"/>
  <c r="G551" i="59"/>
  <c r="G550" i="59"/>
  <c r="G549" i="59"/>
  <c r="G548" i="59"/>
  <c r="G547" i="59"/>
  <c r="G546" i="59"/>
  <c r="G545" i="59"/>
  <c r="G544" i="59"/>
  <c r="G543" i="59"/>
  <c r="G542" i="59"/>
  <c r="G541" i="59"/>
  <c r="G540" i="59"/>
  <c r="G539" i="59"/>
  <c r="G538" i="59"/>
  <c r="G537" i="59"/>
  <c r="G536" i="59"/>
  <c r="G535" i="59"/>
  <c r="G534" i="59"/>
  <c r="G533" i="59"/>
  <c r="G532" i="59"/>
  <c r="G531" i="59"/>
  <c r="G530" i="59"/>
  <c r="G529" i="59"/>
  <c r="G528" i="59"/>
  <c r="G527" i="59"/>
  <c r="G526" i="59"/>
  <c r="G525" i="59"/>
  <c r="G524" i="59"/>
  <c r="G523" i="59"/>
  <c r="G522" i="59"/>
  <c r="G521" i="59"/>
  <c r="G520" i="59"/>
  <c r="G519" i="59"/>
  <c r="G518" i="59"/>
  <c r="G517" i="59"/>
  <c r="G516" i="59"/>
  <c r="G515" i="59"/>
  <c r="G514" i="59"/>
  <c r="G513" i="59"/>
  <c r="G512" i="59"/>
  <c r="G511" i="59"/>
  <c r="G510" i="59"/>
  <c r="G509" i="59"/>
  <c r="G508" i="59"/>
  <c r="G507" i="59"/>
  <c r="G506" i="59"/>
  <c r="G505" i="59"/>
  <c r="G504" i="59"/>
  <c r="G503" i="59"/>
  <c r="G502" i="59"/>
  <c r="G501" i="59"/>
  <c r="G500" i="59"/>
  <c r="G499" i="59"/>
  <c r="G498" i="59"/>
  <c r="G497" i="59"/>
  <c r="G495" i="59"/>
  <c r="G494" i="59"/>
  <c r="G493" i="59"/>
  <c r="G492" i="59"/>
  <c r="G491" i="59"/>
  <c r="G490" i="59"/>
  <c r="G489" i="59"/>
  <c r="G488" i="59"/>
  <c r="G487" i="59"/>
  <c r="G486" i="59"/>
  <c r="G485" i="59"/>
  <c r="G483" i="59"/>
  <c r="G482" i="59"/>
  <c r="G481" i="59"/>
  <c r="G480" i="59"/>
  <c r="G479" i="59"/>
  <c r="G478" i="59"/>
  <c r="G476" i="59"/>
  <c r="G475" i="59"/>
  <c r="G474" i="59"/>
  <c r="G473" i="59"/>
  <c r="G472" i="59"/>
  <c r="G471" i="59"/>
  <c r="G470" i="59"/>
  <c r="G469" i="59"/>
  <c r="G468" i="59"/>
  <c r="G467" i="59"/>
  <c r="G466" i="59"/>
  <c r="G465" i="59"/>
  <c r="G464" i="59"/>
  <c r="G463" i="59"/>
  <c r="G462" i="59"/>
  <c r="G461" i="59"/>
  <c r="G460" i="59"/>
  <c r="G459" i="59"/>
  <c r="G458" i="59"/>
  <c r="G457" i="59"/>
  <c r="G456" i="59"/>
  <c r="G455" i="59"/>
  <c r="G454" i="59"/>
  <c r="G453" i="59"/>
  <c r="S41" i="3" s="1"/>
  <c r="G452" i="59"/>
  <c r="G451" i="59"/>
  <c r="G450" i="59"/>
  <c r="G449" i="59"/>
  <c r="G448" i="59"/>
  <c r="G447" i="59"/>
  <c r="G446" i="59"/>
  <c r="G445" i="59"/>
  <c r="G444" i="59"/>
  <c r="G443" i="59"/>
  <c r="G442" i="59"/>
  <c r="G441" i="59"/>
  <c r="G440" i="59"/>
  <c r="G439" i="59"/>
  <c r="G438" i="59"/>
  <c r="G437" i="59"/>
  <c r="G436" i="59"/>
  <c r="G435" i="59"/>
  <c r="G434" i="59"/>
  <c r="G433" i="59"/>
  <c r="G432" i="59"/>
  <c r="G431" i="59"/>
  <c r="G430" i="59"/>
  <c r="G429" i="59"/>
  <c r="G428" i="59"/>
  <c r="G427" i="59"/>
  <c r="G426" i="59"/>
  <c r="G425" i="59"/>
  <c r="G424" i="59"/>
  <c r="G423" i="59"/>
  <c r="G422" i="59"/>
  <c r="G421" i="59"/>
  <c r="S51" i="3" s="1"/>
  <c r="G420" i="59"/>
  <c r="G419" i="59"/>
  <c r="G418" i="59"/>
  <c r="G417" i="59"/>
  <c r="G416" i="59"/>
  <c r="G415" i="59"/>
  <c r="G414" i="59"/>
  <c r="G413" i="59"/>
  <c r="G412" i="59"/>
  <c r="G411" i="59"/>
  <c r="G410" i="59"/>
  <c r="G409" i="59"/>
  <c r="G408" i="59"/>
  <c r="S53" i="3" s="1"/>
  <c r="G407" i="59"/>
  <c r="G406" i="59"/>
  <c r="G405" i="59"/>
  <c r="G404" i="59"/>
  <c r="G403" i="59"/>
  <c r="G402" i="59"/>
  <c r="G401" i="59"/>
  <c r="G400" i="59"/>
  <c r="G399" i="59"/>
  <c r="AB11" i="3" s="1"/>
  <c r="G398" i="59"/>
  <c r="G397" i="59"/>
  <c r="G396" i="59"/>
  <c r="G395" i="59"/>
  <c r="G394" i="59"/>
  <c r="S46" i="3" s="1"/>
  <c r="G393" i="59"/>
  <c r="G392" i="59"/>
  <c r="G391" i="59"/>
  <c r="G390" i="59"/>
  <c r="S45" i="3" s="1"/>
  <c r="G389" i="59"/>
  <c r="S42" i="3" s="1"/>
  <c r="G388" i="59"/>
  <c r="G387" i="59"/>
  <c r="G386" i="59"/>
  <c r="G385" i="59"/>
  <c r="G384" i="59"/>
  <c r="G383" i="59"/>
  <c r="G382" i="59"/>
  <c r="G381" i="59"/>
  <c r="G380" i="59"/>
  <c r="G379" i="59"/>
  <c r="G378" i="59"/>
  <c r="G377" i="59"/>
  <c r="G376" i="59"/>
  <c r="G375" i="59"/>
  <c r="G374" i="59"/>
  <c r="G373" i="59"/>
  <c r="G372" i="59"/>
  <c r="G371" i="59"/>
  <c r="G370" i="59"/>
  <c r="G369" i="59"/>
  <c r="G368" i="59"/>
  <c r="G367" i="59"/>
  <c r="G366" i="59"/>
  <c r="G365" i="59"/>
  <c r="G364" i="59"/>
  <c r="G363" i="59"/>
  <c r="G362" i="59"/>
  <c r="G361" i="59"/>
  <c r="G360" i="59"/>
  <c r="G359" i="59"/>
  <c r="G358" i="59"/>
  <c r="G357" i="59"/>
  <c r="G356" i="59"/>
  <c r="G355" i="59"/>
  <c r="G354" i="59"/>
  <c r="G353" i="59"/>
  <c r="G352" i="59"/>
  <c r="G351" i="59"/>
  <c r="G350" i="59"/>
  <c r="G349" i="59"/>
  <c r="G348" i="59"/>
  <c r="G347" i="59"/>
  <c r="G346" i="59"/>
  <c r="G345" i="59"/>
  <c r="G344" i="59"/>
  <c r="G343" i="59"/>
  <c r="G342" i="59"/>
  <c r="G341" i="59"/>
  <c r="G340" i="59"/>
  <c r="G339" i="59"/>
  <c r="G338" i="59"/>
  <c r="G337" i="59"/>
  <c r="G336" i="59"/>
  <c r="G335" i="59"/>
  <c r="G334" i="59"/>
  <c r="G333" i="59"/>
  <c r="G332" i="59"/>
  <c r="G331" i="59"/>
  <c r="G330" i="59"/>
  <c r="G329" i="59"/>
  <c r="G328" i="59"/>
  <c r="G327" i="59"/>
  <c r="G326" i="59"/>
  <c r="G325" i="59"/>
  <c r="G324" i="59"/>
  <c r="G323" i="59"/>
  <c r="G322" i="59"/>
  <c r="G321" i="59"/>
  <c r="G320" i="59"/>
  <c r="G319" i="59"/>
  <c r="G318" i="59"/>
  <c r="G317" i="59"/>
  <c r="G316" i="59"/>
  <c r="G315" i="59"/>
  <c r="G314" i="59"/>
  <c r="G313" i="59"/>
  <c r="G312" i="59"/>
  <c r="G311" i="59"/>
  <c r="G310" i="59"/>
  <c r="G309" i="59"/>
  <c r="G308" i="59"/>
  <c r="G307" i="59"/>
  <c r="G306" i="59"/>
  <c r="G305" i="59"/>
  <c r="G304" i="59"/>
  <c r="G303" i="59"/>
  <c r="G302" i="59"/>
  <c r="G301" i="59"/>
  <c r="G300" i="59"/>
  <c r="G299" i="59"/>
  <c r="G298" i="59"/>
  <c r="G297" i="59"/>
  <c r="G296" i="59"/>
  <c r="G295" i="59"/>
  <c r="G294" i="59"/>
  <c r="G293" i="59"/>
  <c r="G292" i="59"/>
  <c r="G291" i="59"/>
  <c r="G290" i="59"/>
  <c r="G289" i="59"/>
  <c r="G288" i="59"/>
  <c r="G287" i="59"/>
  <c r="G286" i="59"/>
  <c r="G285" i="59"/>
  <c r="G284" i="59"/>
  <c r="G283" i="59"/>
  <c r="G282" i="59"/>
  <c r="G281" i="59"/>
  <c r="G280" i="59"/>
  <c r="G279" i="59"/>
  <c r="G278" i="59"/>
  <c r="G277" i="59"/>
  <c r="G276" i="59"/>
  <c r="G275" i="59"/>
  <c r="G274" i="59"/>
  <c r="G273" i="59"/>
  <c r="G272" i="59"/>
  <c r="G271" i="59"/>
  <c r="G270" i="59"/>
  <c r="G269" i="59"/>
  <c r="G268" i="59"/>
  <c r="G267" i="59"/>
  <c r="G266" i="59"/>
  <c r="G265" i="59"/>
  <c r="G264" i="59"/>
  <c r="G263" i="59"/>
  <c r="G262" i="59"/>
  <c r="G261" i="59"/>
  <c r="G260" i="59"/>
  <c r="G259" i="59"/>
  <c r="G258" i="59"/>
  <c r="G257" i="59"/>
  <c r="G256" i="59"/>
  <c r="G255" i="59"/>
  <c r="G254" i="59"/>
  <c r="G253" i="59"/>
  <c r="G252" i="59"/>
  <c r="G251" i="59"/>
  <c r="G250" i="59"/>
  <c r="G249" i="59"/>
  <c r="G248" i="59"/>
  <c r="G247" i="59"/>
  <c r="G246" i="59"/>
  <c r="G245" i="59"/>
  <c r="G244" i="59"/>
  <c r="G243" i="59"/>
  <c r="G242" i="59"/>
  <c r="G241" i="59"/>
  <c r="G240" i="59"/>
  <c r="G239" i="59"/>
  <c r="G238" i="59"/>
  <c r="G237" i="59"/>
  <c r="G236" i="59"/>
  <c r="G235" i="59"/>
  <c r="G234" i="59"/>
  <c r="G233" i="59"/>
  <c r="G232" i="59"/>
  <c r="G231" i="59"/>
  <c r="G230" i="59"/>
  <c r="G229" i="59"/>
  <c r="G228" i="59"/>
  <c r="G227" i="59"/>
  <c r="G226" i="59"/>
  <c r="G225" i="59"/>
  <c r="G224" i="59"/>
  <c r="G223" i="59"/>
  <c r="G222" i="59"/>
  <c r="G221" i="59"/>
  <c r="G220" i="59"/>
  <c r="G219" i="59"/>
  <c r="G218" i="59"/>
  <c r="G217" i="59"/>
  <c r="G216" i="59"/>
  <c r="G215" i="59"/>
  <c r="G214" i="59"/>
  <c r="G213" i="59"/>
  <c r="G212" i="59"/>
  <c r="G211" i="59"/>
  <c r="G210" i="59"/>
  <c r="G209" i="59"/>
  <c r="G208" i="59"/>
  <c r="G207" i="59"/>
  <c r="G206" i="59"/>
  <c r="G205" i="59"/>
  <c r="G204" i="59"/>
  <c r="G203" i="59"/>
  <c r="G202" i="59"/>
  <c r="G201" i="59"/>
  <c r="G200" i="59"/>
  <c r="G199" i="59"/>
  <c r="G198" i="59"/>
  <c r="G197" i="59"/>
  <c r="G196" i="59"/>
  <c r="G195" i="59"/>
  <c r="G194" i="59"/>
  <c r="G193" i="59"/>
  <c r="G192" i="59"/>
  <c r="G191" i="59"/>
  <c r="G190" i="59"/>
  <c r="G189" i="59"/>
  <c r="G188" i="59"/>
  <c r="G187" i="59"/>
  <c r="G186" i="59"/>
  <c r="G185" i="59"/>
  <c r="G184" i="59"/>
  <c r="G183" i="59"/>
  <c r="G182" i="59"/>
  <c r="G181" i="59"/>
  <c r="G180" i="59"/>
  <c r="G179" i="59"/>
  <c r="G178" i="59"/>
  <c r="G177" i="59"/>
  <c r="G176" i="59"/>
  <c r="G175" i="59"/>
  <c r="G174" i="59"/>
  <c r="G173" i="59"/>
  <c r="G172" i="59"/>
  <c r="G171" i="59"/>
  <c r="G170" i="59"/>
  <c r="G169" i="59"/>
  <c r="G168" i="59"/>
  <c r="G167" i="59"/>
  <c r="G166" i="59"/>
  <c r="G165" i="59"/>
  <c r="G164" i="59"/>
  <c r="G163" i="59"/>
  <c r="G162" i="59"/>
  <c r="G161" i="59"/>
  <c r="G160" i="59"/>
  <c r="G159" i="59"/>
  <c r="G158" i="59"/>
  <c r="G157" i="59"/>
  <c r="G156" i="59"/>
  <c r="G155" i="59"/>
  <c r="G154" i="59"/>
  <c r="G153" i="59"/>
  <c r="G152" i="59"/>
  <c r="G151" i="59"/>
  <c r="G150" i="59"/>
  <c r="G149" i="59"/>
  <c r="G148" i="59"/>
  <c r="G147" i="59"/>
  <c r="G146" i="59"/>
  <c r="G145" i="59"/>
  <c r="G144" i="59"/>
  <c r="G143" i="59"/>
  <c r="G142" i="59"/>
  <c r="G141" i="59"/>
  <c r="G140" i="59"/>
  <c r="G139" i="59"/>
  <c r="G138" i="59"/>
  <c r="G137" i="59"/>
  <c r="G136" i="59"/>
  <c r="G135" i="59"/>
  <c r="G134" i="59"/>
  <c r="G133" i="59"/>
  <c r="G132" i="59"/>
  <c r="G131" i="59"/>
  <c r="G130" i="59"/>
  <c r="G129" i="59"/>
  <c r="G128" i="59"/>
  <c r="G127" i="59"/>
  <c r="G126" i="59"/>
  <c r="G125" i="59"/>
  <c r="G124" i="59"/>
  <c r="G123" i="59"/>
  <c r="G122" i="59"/>
  <c r="G121" i="59"/>
  <c r="G120" i="59"/>
  <c r="G119" i="59"/>
  <c r="G118" i="59"/>
  <c r="G117" i="59"/>
  <c r="G116" i="59"/>
  <c r="G115" i="59"/>
  <c r="G114" i="59"/>
  <c r="G113" i="59"/>
  <c r="G112" i="59"/>
  <c r="G111" i="59"/>
  <c r="G110" i="59"/>
  <c r="G109" i="59"/>
  <c r="G108" i="59"/>
  <c r="G107" i="59"/>
  <c r="G106" i="59"/>
  <c r="G105" i="59"/>
  <c r="G104" i="59"/>
  <c r="G103" i="59"/>
  <c r="G102" i="59"/>
  <c r="G101" i="59"/>
  <c r="G100" i="59"/>
  <c r="G99" i="59"/>
  <c r="G98" i="59"/>
  <c r="G97" i="59"/>
  <c r="G96" i="59"/>
  <c r="G95" i="59"/>
  <c r="G94" i="59"/>
  <c r="G93" i="59"/>
  <c r="G92" i="59"/>
  <c r="G91" i="59"/>
  <c r="G90" i="59"/>
  <c r="G89" i="59"/>
  <c r="G88" i="59"/>
  <c r="G87" i="59"/>
  <c r="G86" i="59"/>
  <c r="G85" i="59"/>
  <c r="G84" i="59"/>
  <c r="G83" i="59"/>
  <c r="G82" i="59"/>
  <c r="G81" i="59"/>
  <c r="G80" i="59"/>
  <c r="G79" i="59"/>
  <c r="G78" i="59"/>
  <c r="G77" i="59"/>
  <c r="G76" i="59"/>
  <c r="G75" i="59"/>
  <c r="G74" i="59"/>
  <c r="G73" i="59"/>
  <c r="G72" i="59"/>
  <c r="G71" i="59"/>
  <c r="G70" i="59"/>
  <c r="G69" i="59"/>
  <c r="G68" i="59"/>
  <c r="G67" i="59"/>
  <c r="G66" i="59"/>
  <c r="G65" i="59"/>
  <c r="G64" i="59"/>
  <c r="G63" i="59"/>
  <c r="G62" i="59"/>
  <c r="G61" i="59"/>
  <c r="G60" i="59"/>
  <c r="G59" i="59"/>
  <c r="G58" i="59"/>
  <c r="G57" i="59"/>
  <c r="G56" i="59"/>
  <c r="G55" i="59"/>
  <c r="G54" i="59"/>
  <c r="G53" i="59"/>
  <c r="G52" i="59"/>
  <c r="G51" i="59"/>
  <c r="G50" i="59"/>
  <c r="G49" i="59"/>
  <c r="G48" i="59"/>
  <c r="G47" i="59"/>
  <c r="G46" i="59"/>
  <c r="G45" i="59"/>
  <c r="G44" i="59"/>
  <c r="G43" i="59"/>
  <c r="G42" i="59"/>
  <c r="G41" i="59"/>
  <c r="G40" i="59"/>
  <c r="G39" i="59"/>
  <c r="G38" i="59"/>
  <c r="G37" i="59"/>
  <c r="G36" i="59"/>
  <c r="G35" i="59"/>
  <c r="G34" i="59"/>
  <c r="G33" i="59"/>
  <c r="G32" i="59"/>
  <c r="G31" i="59"/>
  <c r="G30" i="59"/>
  <c r="G29" i="59"/>
  <c r="G28" i="59"/>
  <c r="G27" i="59"/>
  <c r="G26" i="59"/>
  <c r="G25" i="59"/>
  <c r="G24" i="59"/>
  <c r="G23" i="59"/>
  <c r="G22" i="59"/>
  <c r="G21" i="59"/>
  <c r="G20" i="59"/>
  <c r="G19" i="59"/>
  <c r="G18" i="59"/>
  <c r="G17" i="59"/>
  <c r="G16" i="59"/>
  <c r="G15" i="59"/>
  <c r="G14" i="59"/>
  <c r="G13" i="59"/>
  <c r="G12" i="59"/>
  <c r="G11" i="59"/>
  <c r="G10" i="59"/>
  <c r="G9" i="59"/>
  <c r="G8" i="59"/>
  <c r="G7" i="59"/>
  <c r="G6" i="59"/>
  <c r="G5" i="59"/>
  <c r="G4" i="59"/>
  <c r="G3" i="59"/>
  <c r="G2" i="59"/>
  <c r="AB10" i="3" l="1"/>
  <c r="AB12" i="3"/>
  <c r="AC10" i="3"/>
  <c r="AF10" i="3" s="1"/>
  <c r="AC11" i="3"/>
  <c r="AF11" i="3" s="1"/>
  <c r="S39" i="3"/>
  <c r="S54" i="3"/>
  <c r="S55" i="3" s="1"/>
  <c r="S60" i="3"/>
  <c r="S47" i="3"/>
  <c r="S48" i="3" s="1"/>
  <c r="S58" i="3"/>
  <c r="AC32" i="3"/>
  <c r="AF12" i="3"/>
  <c r="U60" i="3"/>
  <c r="U42" i="3"/>
  <c r="U45" i="3"/>
  <c r="U51" i="3"/>
  <c r="U16" i="3"/>
  <c r="U46" i="3"/>
  <c r="U47" i="3"/>
  <c r="U54" i="3"/>
  <c r="E1237" i="60"/>
  <c r="S1240" i="60"/>
  <c r="G1319" i="59"/>
  <c r="E1319" i="59"/>
  <c r="U7" i="3"/>
  <c r="U8" i="3"/>
  <c r="U58" i="3"/>
  <c r="U53" i="3"/>
  <c r="U41" i="3"/>
  <c r="U39" i="3"/>
  <c r="U38" i="3"/>
  <c r="I481" i="59"/>
  <c r="J481" i="59" s="1"/>
  <c r="L481" i="59" s="1"/>
  <c r="I452" i="59"/>
  <c r="J452" i="59" s="1"/>
  <c r="I451" i="59"/>
  <c r="J451" i="59" s="1"/>
  <c r="I450" i="59"/>
  <c r="J450" i="59" s="1"/>
  <c r="I449" i="59"/>
  <c r="J449" i="59" s="1"/>
  <c r="I448" i="59"/>
  <c r="J448" i="59" s="1"/>
  <c r="I447" i="59"/>
  <c r="J447" i="59" s="1"/>
  <c r="I446" i="59"/>
  <c r="J446" i="59" s="1"/>
  <c r="I445" i="59"/>
  <c r="J445" i="59" s="1"/>
  <c r="I444" i="59"/>
  <c r="J444" i="59" s="1"/>
  <c r="I443" i="59"/>
  <c r="J443" i="59" s="1"/>
  <c r="I442" i="59"/>
  <c r="J442" i="59" s="1"/>
  <c r="I441" i="59"/>
  <c r="J441" i="59" s="1"/>
  <c r="I440" i="59"/>
  <c r="J440" i="59" s="1"/>
  <c r="I439" i="59"/>
  <c r="J439" i="59" s="1"/>
  <c r="I438" i="59"/>
  <c r="J438" i="59" s="1"/>
  <c r="I437" i="59"/>
  <c r="J437" i="59" s="1"/>
  <c r="I436" i="59"/>
  <c r="J436" i="59" s="1"/>
  <c r="I435" i="59"/>
  <c r="J435" i="59" s="1"/>
  <c r="I434" i="59"/>
  <c r="J434" i="59" s="1"/>
  <c r="I433" i="59"/>
  <c r="J433" i="59" s="1"/>
  <c r="I432" i="59"/>
  <c r="J432" i="59" s="1"/>
  <c r="I499" i="59"/>
  <c r="I498" i="59"/>
  <c r="I497" i="59"/>
  <c r="I494" i="59"/>
  <c r="I493" i="59"/>
  <c r="I492" i="59"/>
  <c r="I491" i="59"/>
  <c r="E1232" i="60"/>
  <c r="J495" i="59"/>
  <c r="L495" i="59" s="1"/>
  <c r="S61" i="3" l="1"/>
  <c r="AF32" i="3"/>
  <c r="AB32" i="3"/>
  <c r="AG32" i="3" s="1"/>
  <c r="G1237" i="60"/>
  <c r="G1232" i="60"/>
  <c r="U48" i="3"/>
  <c r="I60" i="3"/>
  <c r="S38" i="3"/>
  <c r="S43" i="3" s="1"/>
  <c r="I42" i="3"/>
  <c r="S7" i="3"/>
  <c r="S9" i="3" s="1"/>
  <c r="S30" i="3" s="1"/>
  <c r="S12" i="3"/>
  <c r="AG11" i="3" l="1"/>
  <c r="AG10" i="3"/>
  <c r="AG12" i="3"/>
  <c r="I59" i="3" l="1"/>
  <c r="G33" i="3" l="1"/>
  <c r="AA35" i="3"/>
  <c r="J1172" i="61"/>
  <c r="I508" i="61"/>
  <c r="J508" i="61" s="1"/>
  <c r="I467" i="61"/>
  <c r="J467" i="61" s="1"/>
  <c r="I466" i="61"/>
  <c r="J466" i="61" s="1"/>
  <c r="I465" i="61"/>
  <c r="J465" i="61" s="1"/>
  <c r="I464" i="61"/>
  <c r="J464" i="61" s="1"/>
  <c r="J456" i="61"/>
  <c r="I454" i="61"/>
  <c r="J454" i="61" s="1"/>
  <c r="I452" i="61"/>
  <c r="J452" i="61" s="1"/>
  <c r="J451" i="61"/>
  <c r="J450" i="61"/>
  <c r="I449" i="61"/>
  <c r="J449" i="61" s="1"/>
  <c r="J447" i="61"/>
  <c r="J443" i="61"/>
  <c r="I442" i="61"/>
  <c r="J442" i="61" s="1"/>
  <c r="I440" i="61"/>
  <c r="J440" i="61" s="1"/>
  <c r="I439" i="61"/>
  <c r="J439" i="61" s="1"/>
  <c r="I438" i="61"/>
  <c r="J438" i="61" s="1"/>
  <c r="I437" i="61"/>
  <c r="J437" i="61" s="1"/>
  <c r="I420" i="61"/>
  <c r="J420" i="61" s="1"/>
  <c r="I419" i="61"/>
  <c r="J419" i="61" s="1"/>
  <c r="I418" i="61"/>
  <c r="J418" i="61" s="1"/>
  <c r="I417" i="61"/>
  <c r="J417" i="61" s="1"/>
  <c r="I416" i="61"/>
  <c r="J416" i="61" s="1"/>
  <c r="I415" i="61"/>
  <c r="J415" i="61" s="1"/>
  <c r="I413" i="61"/>
  <c r="J413" i="61" s="1"/>
  <c r="I412" i="61"/>
  <c r="J412" i="61" s="1"/>
  <c r="I411" i="61"/>
  <c r="J411" i="61" s="1"/>
  <c r="I410" i="61"/>
  <c r="J410" i="61" s="1"/>
  <c r="I409" i="61"/>
  <c r="J409" i="61" s="1"/>
  <c r="I408" i="61"/>
  <c r="J408" i="61" s="1"/>
  <c r="I407" i="61"/>
  <c r="J407" i="61" s="1"/>
  <c r="I406" i="61"/>
  <c r="J406" i="61" s="1"/>
  <c r="I405" i="61"/>
  <c r="J405" i="61" s="1"/>
  <c r="I404" i="61"/>
  <c r="J404" i="61" s="1"/>
  <c r="I403" i="61"/>
  <c r="J403" i="61" s="1"/>
  <c r="I402" i="61"/>
  <c r="J402" i="61" s="1"/>
  <c r="I401" i="61"/>
  <c r="J401" i="61" s="1"/>
  <c r="I400" i="61"/>
  <c r="J400" i="61" s="1"/>
  <c r="I399" i="61"/>
  <c r="J399" i="61" s="1"/>
  <c r="J392" i="61"/>
  <c r="J391" i="61"/>
  <c r="J390" i="61"/>
  <c r="J389" i="61"/>
  <c r="J388" i="61"/>
  <c r="J387" i="61"/>
  <c r="J385" i="61"/>
  <c r="J383" i="61"/>
  <c r="J382" i="61"/>
  <c r="J380" i="61"/>
  <c r="J379" i="61"/>
  <c r="I378" i="61"/>
  <c r="J378" i="61" s="1"/>
  <c r="J377" i="61"/>
  <c r="J375" i="61"/>
  <c r="J374" i="61"/>
  <c r="J372" i="61"/>
  <c r="I370" i="61"/>
  <c r="J370" i="61" s="1"/>
  <c r="J358" i="61"/>
  <c r="J354" i="61"/>
  <c r="J353" i="61"/>
  <c r="I117" i="61"/>
  <c r="J117" i="61" s="1"/>
  <c r="AI35" i="3" l="1"/>
  <c r="Q27" i="3" l="1"/>
  <c r="Q20" i="3" l="1"/>
  <c r="E20" i="3" s="1"/>
  <c r="E27" i="3"/>
  <c r="AA32" i="3"/>
  <c r="Q50" i="3"/>
  <c r="Q42" i="3"/>
  <c r="Q41" i="3"/>
  <c r="Q54" i="3"/>
  <c r="Q51" i="3"/>
  <c r="Q57" i="3"/>
  <c r="Q39" i="3"/>
  <c r="Q46" i="3"/>
  <c r="Q52" i="3"/>
  <c r="Q58" i="3"/>
  <c r="Q40" i="3"/>
  <c r="Q47" i="3"/>
  <c r="Q53" i="3"/>
  <c r="Q60" i="3"/>
  <c r="Q21" i="3"/>
  <c r="Q22" i="3"/>
  <c r="Q25" i="3"/>
  <c r="Q8" i="3"/>
  <c r="Q38" i="3"/>
  <c r="Q43" i="3" s="1"/>
  <c r="Q11" i="3"/>
  <c r="Q15" i="3"/>
  <c r="Q13" i="3"/>
  <c r="G13" i="3" s="1"/>
  <c r="Q16" i="3"/>
  <c r="Q23" i="3"/>
  <c r="Q26" i="3"/>
  <c r="Q45" i="3"/>
  <c r="Q14" i="3"/>
  <c r="Q19" i="3"/>
  <c r="Q7" i="3"/>
  <c r="Q9" i="3" s="1"/>
  <c r="Q24" i="3"/>
  <c r="AB35" i="3"/>
  <c r="Q28" i="3" l="1"/>
  <c r="E11" i="3"/>
  <c r="E12" i="3" s="1"/>
  <c r="Q12" i="3"/>
  <c r="Q17" i="3"/>
  <c r="Q30" i="3"/>
  <c r="Q61" i="3"/>
  <c r="Q48" i="3"/>
  <c r="Q55" i="3"/>
  <c r="AH35" i="3"/>
  <c r="AH32" i="3"/>
  <c r="AI32" i="3"/>
  <c r="AI11" i="3"/>
  <c r="AH11" i="3"/>
  <c r="AI10" i="3"/>
  <c r="AH10" i="3"/>
  <c r="AI12" i="3"/>
  <c r="AH12" i="3"/>
  <c r="E8" i="3"/>
  <c r="E40" i="3"/>
  <c r="E41" i="3"/>
  <c r="E26" i="3"/>
  <c r="E25" i="3"/>
  <c r="E58" i="3"/>
  <c r="E45" i="3"/>
  <c r="E48" i="3" s="1"/>
  <c r="E22" i="3"/>
  <c r="E16" i="3"/>
  <c r="E17" i="3" s="1"/>
  <c r="E46" i="3"/>
  <c r="E42" i="3"/>
  <c r="E52" i="3"/>
  <c r="E21" i="3"/>
  <c r="E39" i="3"/>
  <c r="E50" i="3"/>
  <c r="E55" i="3" s="1"/>
  <c r="E24" i="3"/>
  <c r="E7" i="3"/>
  <c r="E9" i="3" s="1"/>
  <c r="G60" i="3"/>
  <c r="E60" i="3"/>
  <c r="G57" i="3"/>
  <c r="E57" i="3"/>
  <c r="E23" i="3"/>
  <c r="E19" i="3"/>
  <c r="E28" i="3" s="1"/>
  <c r="E53" i="3"/>
  <c r="E51" i="3"/>
  <c r="E38" i="3"/>
  <c r="E47" i="3"/>
  <c r="E54" i="3"/>
  <c r="E43" i="3" l="1"/>
  <c r="E61" i="3"/>
  <c r="E30" i="3"/>
  <c r="G59" i="3"/>
  <c r="G52" i="3"/>
  <c r="G50" i="3"/>
  <c r="G40" i="3"/>
  <c r="G27" i="3"/>
  <c r="G26" i="3"/>
  <c r="G25" i="3"/>
  <c r="G24" i="3"/>
  <c r="G23" i="3"/>
  <c r="G21" i="3"/>
  <c r="G20" i="3"/>
  <c r="G19" i="3"/>
  <c r="G15" i="3"/>
  <c r="G14" i="3"/>
  <c r="I13" i="3"/>
  <c r="I33" i="3"/>
  <c r="G16" i="3"/>
  <c r="G22" i="3"/>
  <c r="G11" i="3"/>
  <c r="G12" i="3" s="1"/>
  <c r="G51" i="3"/>
  <c r="G46" i="3"/>
  <c r="G45" i="3"/>
  <c r="G42" i="3"/>
  <c r="G17" i="3" l="1"/>
  <c r="G28" i="3"/>
  <c r="R28" i="3"/>
  <c r="R61" i="3"/>
  <c r="R9" i="3"/>
  <c r="R55" i="3"/>
  <c r="R8" i="3"/>
  <c r="R30" i="3"/>
  <c r="R7" i="3"/>
  <c r="R33" i="3"/>
  <c r="R17" i="3"/>
  <c r="R43" i="3"/>
  <c r="R48" i="3"/>
  <c r="G39" i="3"/>
  <c r="G53" i="3"/>
  <c r="G55" i="3" s="1"/>
  <c r="G7" i="3"/>
  <c r="G8" i="3"/>
  <c r="G38" i="3"/>
  <c r="G54" i="3"/>
  <c r="G41" i="3"/>
  <c r="G43" i="3" l="1"/>
  <c r="G9" i="3"/>
  <c r="G30" i="3" s="1"/>
  <c r="G47" i="3"/>
  <c r="G48" i="3" s="1"/>
  <c r="G58" i="3"/>
  <c r="G61" i="3" s="1"/>
  <c r="T28" i="3"/>
  <c r="T12" i="3" l="1"/>
  <c r="T33" i="3"/>
  <c r="T55" i="3"/>
  <c r="T61" i="3"/>
  <c r="T9" i="3"/>
  <c r="T17" i="3"/>
  <c r="T8" i="3"/>
  <c r="T30" i="3"/>
  <c r="T7" i="3"/>
  <c r="T48" i="3"/>
  <c r="T43" i="3"/>
  <c r="I11" i="3" l="1"/>
  <c r="I12" i="3" s="1"/>
  <c r="I46" i="3"/>
  <c r="I22" i="3"/>
  <c r="J499" i="59"/>
  <c r="L499" i="59" s="1"/>
  <c r="J498" i="59"/>
  <c r="L498" i="59" s="1"/>
  <c r="J497" i="59"/>
  <c r="L497" i="59" s="1"/>
  <c r="J494" i="59"/>
  <c r="L494" i="59" s="1"/>
  <c r="J493" i="59"/>
  <c r="L493" i="59" s="1"/>
  <c r="J492" i="59"/>
  <c r="L492" i="59" s="1"/>
  <c r="J491" i="59"/>
  <c r="L491" i="59" s="1"/>
  <c r="U28" i="3"/>
  <c r="I24" i="3"/>
  <c r="I57" i="3"/>
  <c r="I14" i="3"/>
  <c r="I25" i="3"/>
  <c r="I15" i="3"/>
  <c r="I26" i="3"/>
  <c r="I19" i="3"/>
  <c r="I40" i="3"/>
  <c r="I20" i="3"/>
  <c r="I45" i="3"/>
  <c r="I50" i="3"/>
  <c r="I27" i="3"/>
  <c r="I52" i="3"/>
  <c r="I51" i="3"/>
  <c r="I21" i="3"/>
  <c r="I23" i="3"/>
  <c r="E1233" i="60"/>
  <c r="E1234" i="60" s="1"/>
  <c r="I28" i="3" l="1"/>
  <c r="I47" i="3"/>
  <c r="I48" i="3" s="1"/>
  <c r="I16" i="3"/>
  <c r="I17" i="3" s="1"/>
  <c r="J1319" i="59"/>
  <c r="I54" i="3"/>
  <c r="I58" i="3"/>
  <c r="I61" i="3" s="1"/>
  <c r="I39" i="3"/>
  <c r="I41" i="3"/>
  <c r="I7" i="3"/>
  <c r="I53" i="3"/>
  <c r="I8" i="3"/>
  <c r="I38" i="3"/>
  <c r="K59" i="3"/>
  <c r="K33" i="3"/>
  <c r="AC7" i="3"/>
  <c r="I43" i="3" l="1"/>
  <c r="I55" i="3"/>
  <c r="I9" i="3"/>
  <c r="I30" i="3" s="1"/>
  <c r="AB7" i="3"/>
  <c r="AA7" i="3"/>
  <c r="AC30" i="3"/>
  <c r="AF30" i="3" s="1"/>
  <c r="AC20" i="3"/>
  <c r="AF20" i="3" s="1"/>
  <c r="J43" i="3" l="1"/>
  <c r="AB20" i="3"/>
  <c r="Z7" i="3"/>
  <c r="Y7" i="3" s="1"/>
  <c r="Y15" i="3" s="1"/>
  <c r="AB30" i="3"/>
  <c r="AC35" i="3"/>
  <c r="M32" i="3" l="1"/>
  <c r="AB36" i="3"/>
  <c r="S35" i="3" s="1"/>
  <c r="T35" i="3" s="1"/>
  <c r="AG30" i="3"/>
  <c r="AF35" i="3"/>
  <c r="AG35" i="3"/>
  <c r="AA30" i="3"/>
  <c r="AA20" i="3"/>
  <c r="N32" i="3" l="1"/>
  <c r="Z30" i="3"/>
  <c r="Y30" i="3" s="1"/>
  <c r="Y36" i="3" s="1"/>
  <c r="AH30" i="3"/>
  <c r="Z20" i="3"/>
  <c r="Y20" i="3" s="1"/>
  <c r="Y25" i="3" s="1"/>
  <c r="AA36" i="3"/>
  <c r="AH36" i="3" s="1"/>
  <c r="K50" i="3"/>
  <c r="K38" i="3"/>
  <c r="K43" i="3" s="1"/>
  <c r="K26" i="3"/>
  <c r="K15" i="3"/>
  <c r="K7" i="3"/>
  <c r="K51" i="3"/>
  <c r="K60" i="3"/>
  <c r="K47" i="3"/>
  <c r="K25" i="3"/>
  <c r="K14" i="3"/>
  <c r="K17" i="3" s="1"/>
  <c r="K22" i="3"/>
  <c r="K41" i="3"/>
  <c r="K20" i="3"/>
  <c r="K58" i="3"/>
  <c r="K46" i="3"/>
  <c r="K24" i="3"/>
  <c r="K11" i="3"/>
  <c r="K12" i="3" s="1"/>
  <c r="K42" i="3"/>
  <c r="K21" i="3"/>
  <c r="K40" i="3"/>
  <c r="K27" i="3"/>
  <c r="K57" i="3"/>
  <c r="K45" i="3"/>
  <c r="K23" i="3"/>
  <c r="K8" i="3"/>
  <c r="K54" i="3"/>
  <c r="K53" i="3"/>
  <c r="K52" i="3"/>
  <c r="K39" i="3"/>
  <c r="K16" i="3"/>
  <c r="K48" i="3" l="1"/>
  <c r="K55" i="3"/>
  <c r="K61" i="3"/>
  <c r="K28" i="3"/>
  <c r="K9" i="3"/>
  <c r="K30" i="3" s="1"/>
  <c r="M35" i="3"/>
  <c r="M34" i="3"/>
  <c r="Z36" i="3"/>
  <c r="AJ36" i="3" s="1"/>
  <c r="AI30" i="3"/>
  <c r="Q35" i="3"/>
  <c r="N35" i="3" l="1"/>
  <c r="M36" i="3"/>
  <c r="M63" i="3" s="1"/>
  <c r="M65" i="3" s="1"/>
  <c r="N34" i="3"/>
  <c r="O35" i="3"/>
  <c r="AI36" i="3"/>
  <c r="E35" i="3"/>
  <c r="G35" i="3"/>
  <c r="R35" i="3"/>
  <c r="N36" i="3" l="1"/>
  <c r="P35" i="3"/>
  <c r="C35" i="3"/>
  <c r="N65" i="3"/>
  <c r="N63" i="3"/>
  <c r="F33" i="3"/>
  <c r="F55" i="3"/>
  <c r="F48" i="3"/>
  <c r="F61" i="3"/>
  <c r="F43" i="3"/>
  <c r="F35" i="3"/>
  <c r="F12" i="3"/>
  <c r="F9" i="3"/>
  <c r="F8" i="3"/>
  <c r="F7" i="3"/>
  <c r="F30" i="3"/>
  <c r="F17" i="3"/>
  <c r="F28" i="3"/>
  <c r="L28" i="3"/>
  <c r="L48" i="3"/>
  <c r="L55" i="3"/>
  <c r="L17" i="3"/>
  <c r="L61" i="3"/>
  <c r="L43" i="3"/>
  <c r="L33" i="3"/>
  <c r="L30" i="3"/>
  <c r="L7" i="3"/>
  <c r="L12" i="3"/>
  <c r="L8" i="3"/>
  <c r="L9" i="3"/>
  <c r="AC36" i="3"/>
  <c r="AF36" i="3" s="1"/>
  <c r="AG36" i="3" s="1"/>
  <c r="U35" i="3" l="1"/>
  <c r="U61" i="3"/>
  <c r="U9" i="3"/>
  <c r="U43" i="3"/>
  <c r="K35" i="3" l="1"/>
  <c r="L35" i="3" s="1"/>
  <c r="I35" i="3"/>
  <c r="J1320" i="59"/>
  <c r="J1321" i="59" s="1"/>
  <c r="U17" i="3"/>
  <c r="U55" i="3"/>
  <c r="H28" i="3" l="1"/>
  <c r="U30" i="3"/>
  <c r="V28" i="3" l="1"/>
  <c r="J28" i="3"/>
  <c r="H12" i="3"/>
  <c r="J12" i="3"/>
  <c r="J7" i="3"/>
  <c r="J30" i="3"/>
  <c r="J48" i="3"/>
  <c r="J35" i="3"/>
  <c r="J8" i="3"/>
  <c r="J33" i="3"/>
  <c r="J9" i="3"/>
  <c r="J55" i="3"/>
  <c r="J17" i="3"/>
  <c r="J61" i="3"/>
  <c r="V33" i="3"/>
  <c r="H48" i="3"/>
  <c r="H33" i="3"/>
  <c r="H30" i="3"/>
  <c r="H17" i="3"/>
  <c r="H61" i="3"/>
  <c r="H55" i="3"/>
  <c r="H8" i="3"/>
  <c r="H7" i="3"/>
  <c r="H9" i="3"/>
  <c r="H43" i="3"/>
  <c r="H35" i="3"/>
  <c r="V43" i="3"/>
  <c r="V61" i="3"/>
  <c r="V48" i="3"/>
  <c r="V55" i="3"/>
  <c r="V30" i="3"/>
  <c r="V7" i="3"/>
  <c r="V8" i="3"/>
  <c r="V35" i="3"/>
  <c r="V12" i="3"/>
  <c r="V9" i="3"/>
  <c r="V17" i="3"/>
  <c r="D30" i="3" l="1"/>
  <c r="D33" i="3"/>
  <c r="D43" i="3"/>
  <c r="D35" i="3"/>
  <c r="D17" i="3"/>
  <c r="D12" i="3"/>
  <c r="D48" i="3"/>
  <c r="D55" i="3"/>
  <c r="D61" i="3"/>
  <c r="D7" i="3"/>
  <c r="D8" i="3"/>
  <c r="D9" i="3"/>
  <c r="D28" i="3"/>
  <c r="AB23" i="3"/>
  <c r="AB25" i="3" l="1"/>
  <c r="S34" i="3" l="1"/>
  <c r="T34" i="3" l="1"/>
  <c r="AB15" i="3" l="1"/>
  <c r="S32" i="3" s="1"/>
  <c r="S36" i="3" s="1"/>
  <c r="S63" i="3" s="1"/>
  <c r="S65" i="3" s="1"/>
  <c r="T32" i="3" l="1"/>
  <c r="T63" i="3" l="1"/>
  <c r="T36" i="3"/>
  <c r="T65" i="3"/>
  <c r="AC23" i="3" l="1"/>
  <c r="AF23" i="3" l="1"/>
  <c r="AG23" i="3"/>
  <c r="AC25" i="3"/>
  <c r="AF25" i="3" s="1"/>
  <c r="AG25" i="3" s="1"/>
  <c r="U34" i="3" l="1"/>
  <c r="K34" i="3" l="1"/>
  <c r="L34" i="3" s="1"/>
  <c r="V34" i="3"/>
  <c r="I34" i="3"/>
  <c r="J34" i="3" s="1"/>
  <c r="AF13" i="3" l="1"/>
  <c r="AG13" i="3" s="1"/>
  <c r="AC15" i="3" l="1"/>
  <c r="AF15" i="3" s="1"/>
  <c r="AG15" i="3" s="1"/>
  <c r="U32" i="3" l="1"/>
  <c r="U36" i="3" s="1"/>
  <c r="K32" i="3" l="1"/>
  <c r="K36" i="3" s="1"/>
  <c r="K63" i="3" s="1"/>
  <c r="K65" i="3" s="1"/>
  <c r="V32" i="3"/>
  <c r="I32" i="3"/>
  <c r="I36" i="3" s="1"/>
  <c r="I63" i="3" s="1"/>
  <c r="I65" i="3" s="1"/>
  <c r="V36" i="3" l="1"/>
  <c r="U63" i="3"/>
  <c r="U65" i="3" s="1"/>
  <c r="J32" i="3"/>
  <c r="L32" i="3"/>
  <c r="J36" i="3" l="1"/>
  <c r="V63" i="3"/>
  <c r="L36" i="3"/>
  <c r="V65" i="3" l="1"/>
  <c r="J63" i="3"/>
  <c r="L63" i="3"/>
  <c r="L65" i="3" l="1"/>
  <c r="J65" i="3"/>
  <c r="AA23" i="3" l="1"/>
  <c r="AA25" i="3" l="1"/>
  <c r="AH23" i="3"/>
  <c r="Q34" i="3" l="1"/>
  <c r="G34" i="3" s="1"/>
  <c r="H34" i="3" s="1"/>
  <c r="AH25" i="3"/>
  <c r="R34" i="3" l="1"/>
  <c r="AA15" i="3"/>
  <c r="AH13" i="3"/>
  <c r="Q32" i="3" l="1"/>
  <c r="AH15" i="3"/>
  <c r="R32" i="3"/>
  <c r="G32" i="3" l="1"/>
  <c r="G36" i="3" s="1"/>
  <c r="G63" i="3" s="1"/>
  <c r="G65" i="3" s="1"/>
  <c r="Q36" i="3"/>
  <c r="Q63" i="3" s="1"/>
  <c r="Q65" i="3" s="1"/>
  <c r="R63" i="3"/>
  <c r="H32" i="3" l="1"/>
  <c r="H36" i="3"/>
  <c r="R36" i="3"/>
  <c r="H63" i="3"/>
  <c r="R65" i="3" l="1"/>
  <c r="H65" i="3"/>
  <c r="I350" i="61" l="1"/>
  <c r="J350" i="61" s="1"/>
  <c r="Z23" i="3" l="1"/>
  <c r="AJ23" i="3" s="1"/>
  <c r="AJ13" i="3"/>
  <c r="Z15" i="3" l="1"/>
  <c r="AJ15" i="3" s="1"/>
  <c r="AI13" i="3"/>
  <c r="Z25" i="3"/>
  <c r="AI23" i="3"/>
  <c r="O34" i="3" l="1"/>
  <c r="C34" i="3" s="1"/>
  <c r="D34" i="3" s="1"/>
  <c r="AI25" i="3"/>
  <c r="AJ25" i="3"/>
  <c r="O32" i="3"/>
  <c r="AI15" i="3"/>
  <c r="P34" i="3"/>
  <c r="E34" i="3"/>
  <c r="F34" i="3" s="1"/>
  <c r="P32" i="3"/>
  <c r="C32" i="3" l="1"/>
  <c r="C36" i="3" s="1"/>
  <c r="C63" i="3" s="1"/>
  <c r="C65" i="3" s="1"/>
  <c r="O36" i="3"/>
  <c r="O63" i="3" s="1"/>
  <c r="O65" i="3" s="1"/>
  <c r="D32" i="3"/>
  <c r="E32" i="3"/>
  <c r="P36" i="3"/>
  <c r="F32" i="3" l="1"/>
  <c r="E36" i="3"/>
  <c r="E63" i="3" s="1"/>
  <c r="E65" i="3" s="1"/>
  <c r="F36" i="3"/>
  <c r="D36" i="3"/>
  <c r="P63" i="3"/>
  <c r="D63" i="3" l="1"/>
  <c r="D65" i="3"/>
  <c r="F63" i="3"/>
  <c r="P65" i="3"/>
  <c r="F65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F28" authorId="0" shapeId="0" xr:uid="{D703CCF1-899C-4877-A66B-598478DCBEE3}">
      <text>
        <r>
          <rPr>
            <b/>
            <sz val="9"/>
            <color indexed="81"/>
            <rFont val="Tahoma"/>
            <family val="2"/>
          </rPr>
          <t>ERD Provision reversed of last year</t>
        </r>
      </text>
    </comment>
    <comment ref="F1230" authorId="0" shapeId="0" xr:uid="{7D97930B-AC57-4F4B-A57F-716146CBF116}">
      <text>
        <r>
          <rPr>
            <b/>
            <sz val="9"/>
            <color indexed="81"/>
            <rFont val="Tahoma"/>
            <family val="2"/>
          </rPr>
          <t>Ashapura Import Invoice and Reimburshment Invoice Total Amount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F384" authorId="0" shapeId="0" xr:uid="{D10179AE-C29E-4337-BBF7-27C12DC7A360}">
      <text>
        <r>
          <rPr>
            <b/>
            <sz val="9"/>
            <color indexed="81"/>
            <rFont val="Tahoma"/>
            <family val="2"/>
          </rPr>
          <t>Ashapura Import Invoice and Reimburshment Invoice Total Amount</t>
        </r>
      </text>
    </comment>
    <comment ref="F464" authorId="0" shapeId="0" xr:uid="{5B08021D-213C-40B3-8241-1AD445F1DBE1}">
      <text>
        <r>
          <rPr>
            <b/>
            <sz val="9"/>
            <color indexed="81"/>
            <rFont val="Tahoma"/>
            <family val="2"/>
          </rPr>
          <t>ERD Provision reversed of last year</t>
        </r>
      </text>
    </comment>
    <comment ref="G496" authorId="0" shapeId="0" xr:uid="{FE8ACD83-58F8-4020-9424-5543DA86B8E4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Credit note from HCPL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F433" authorId="0" shapeId="0" xr:uid="{8112A708-E4F4-47F7-8756-0AE2E55B3B58}">
      <text>
        <r>
          <rPr>
            <b/>
            <sz val="9"/>
            <color indexed="81"/>
            <rFont val="Tahoma"/>
            <family val="2"/>
          </rPr>
          <t>ERD Provision reversed of last year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F482" authorId="0" shapeId="0" xr:uid="{1E5F44F3-BB44-4158-946D-51F07DB5F52D}">
      <text>
        <r>
          <rPr>
            <b/>
            <sz val="9"/>
            <color indexed="81"/>
            <rFont val="Tahoma"/>
            <family val="2"/>
          </rPr>
          <t>ERD Provision reversed of last year</t>
        </r>
      </text>
    </comment>
    <comment ref="F507" authorId="0" shapeId="0" xr:uid="{1470AE1B-487F-4AE5-9C70-40E3AA1BD532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Reversal of Prov. 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F490" authorId="0" shapeId="0" xr:uid="{1B65B525-D944-4955-A08F-A8AFBA9D4435}">
      <text>
        <r>
          <rPr>
            <b/>
            <sz val="9"/>
            <color indexed="81"/>
            <rFont val="Tahoma"/>
            <family val="2"/>
          </rPr>
          <t>ERD Provision reversed of last year</t>
        </r>
      </text>
    </comment>
    <comment ref="F515" authorId="0" shapeId="0" xr:uid="{7C1CCC27-509D-4DB8-B9E9-AF3C664881A9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Reversal of Prov. </t>
        </r>
      </text>
    </comment>
  </commentList>
</comments>
</file>

<file path=xl/sharedStrings.xml><?xml version="1.0" encoding="utf-8"?>
<sst xmlns="http://schemas.openxmlformats.org/spreadsheetml/2006/main" count="13775" uniqueCount="1668">
  <si>
    <t>Particulars</t>
  </si>
  <si>
    <t>%</t>
  </si>
  <si>
    <t>Revenue from operations</t>
  </si>
  <si>
    <t>Inventory at the beginning of the year:</t>
  </si>
  <si>
    <t>Sale of finished goods</t>
  </si>
  <si>
    <t>Opening Stock of Raw material</t>
  </si>
  <si>
    <t>Sale of traded goods</t>
  </si>
  <si>
    <t>Opening Stock of Packing material</t>
  </si>
  <si>
    <t>Total Revenue from operations</t>
  </si>
  <si>
    <t>Add: Purchase of raw materials</t>
  </si>
  <si>
    <t>Income from Jobwork charges</t>
  </si>
  <si>
    <t>Add: Purchase of packing materials</t>
  </si>
  <si>
    <t>Total Sales of services</t>
  </si>
  <si>
    <t>Add: Purchase expenses</t>
  </si>
  <si>
    <t>Other operating revenue</t>
  </si>
  <si>
    <t>Closing Stock of Raw material</t>
  </si>
  <si>
    <t>Export incentives</t>
  </si>
  <si>
    <t>Closing Stock of Packing material</t>
  </si>
  <si>
    <t>Commission income</t>
  </si>
  <si>
    <t>Total Cost of material consumed</t>
  </si>
  <si>
    <t>Sales - Waste &amp; Scrape</t>
  </si>
  <si>
    <t>Total Other operating revenue</t>
  </si>
  <si>
    <t>Changes in inventory of finished goods and work-in-progress</t>
  </si>
  <si>
    <t>Other income</t>
  </si>
  <si>
    <t>Interest income:</t>
  </si>
  <si>
    <t>Opening Work-in-progress</t>
  </si>
  <si>
    <t>- on fixed deposits with Banks</t>
  </si>
  <si>
    <t>Opening Stock of Finished goods</t>
  </si>
  <si>
    <t>Wind mill income</t>
  </si>
  <si>
    <t>Rent Income</t>
  </si>
  <si>
    <t>Less:Inventory at the end of the year:</t>
  </si>
  <si>
    <t>Advance License Utilization</t>
  </si>
  <si>
    <t>Closing Stock of Finished goods</t>
  </si>
  <si>
    <t>Profit on sale of fixed assets</t>
  </si>
  <si>
    <t>Profit on sale of investments</t>
  </si>
  <si>
    <t>Net change in inventory</t>
  </si>
  <si>
    <t>Sundry balance written off</t>
  </si>
  <si>
    <t>Miscellaneous income</t>
  </si>
  <si>
    <t>Stores, Spares &amp; Consumables</t>
  </si>
  <si>
    <t>Total Other income</t>
  </si>
  <si>
    <t>Total Turnover</t>
  </si>
  <si>
    <t>Opening Stock of Consumables</t>
  </si>
  <si>
    <t>Cost of Goods</t>
  </si>
  <si>
    <t>Cost of materials consumed</t>
  </si>
  <si>
    <t>Add: Purchase of Stores, Spares &amp; Consumables</t>
  </si>
  <si>
    <t>Purchase of stock-in-trade</t>
  </si>
  <si>
    <t>Less:</t>
  </si>
  <si>
    <t>Closing Stock of Consumables</t>
  </si>
  <si>
    <t xml:space="preserve">Total Cost of goods </t>
  </si>
  <si>
    <t>Cost of Consumables</t>
  </si>
  <si>
    <t>Employee benefit expenses</t>
  </si>
  <si>
    <t xml:space="preserve">Salaries, wages and  bonus </t>
  </si>
  <si>
    <t>Contribution to provident and other funds</t>
  </si>
  <si>
    <t>Gratuity Expenses</t>
  </si>
  <si>
    <t>Staff welfare expenses</t>
  </si>
  <si>
    <t>Labour charges</t>
  </si>
  <si>
    <t>Total Employee benefit expenses</t>
  </si>
  <si>
    <t>Manufacturing Expenses</t>
  </si>
  <si>
    <t>Power and fuel</t>
  </si>
  <si>
    <t xml:space="preserve">Jobwork charges </t>
  </si>
  <si>
    <t>Other Manufacturing Expenses</t>
  </si>
  <si>
    <t>Total Manufacturing Expenses</t>
  </si>
  <si>
    <t>Selling and Distribution Expenses</t>
  </si>
  <si>
    <t>Advertising and sales promotion expense</t>
  </si>
  <si>
    <t>Travelling expense</t>
  </si>
  <si>
    <t>Brokerage &amp; commission</t>
  </si>
  <si>
    <t>Conveyance, vehicle running and traveling expenses</t>
  </si>
  <si>
    <t>Freight Outward and C &amp; F Charges</t>
  </si>
  <si>
    <t>Total Selling and Distribution Expenses</t>
  </si>
  <si>
    <t>Administrative Expenses</t>
  </si>
  <si>
    <t>Insurance</t>
  </si>
  <si>
    <t>Other Administrative Expenses</t>
  </si>
  <si>
    <t>Common Expenses</t>
  </si>
  <si>
    <t>Exchange Rate Difference</t>
  </si>
  <si>
    <t>Total Administrative Expenses</t>
  </si>
  <si>
    <t>Total Cost of goods sold</t>
  </si>
  <si>
    <t>EBDITA</t>
  </si>
  <si>
    <t>Raw Material</t>
  </si>
  <si>
    <t>op.Stock</t>
  </si>
  <si>
    <t>Stores Spares</t>
  </si>
  <si>
    <t>Not Applicable</t>
  </si>
  <si>
    <t>Advance Salary Paid</t>
  </si>
  <si>
    <t>Air Conditioners</t>
  </si>
  <si>
    <t>APB Industries Private Limited</t>
  </si>
  <si>
    <t>Cash in Hand-Factory</t>
  </si>
  <si>
    <t>Cash in Hand-HO</t>
  </si>
  <si>
    <t>Cesur Ambalaj Sanayi Ve Ticaret A.S.</t>
  </si>
  <si>
    <t>CGST Input</t>
  </si>
  <si>
    <t>Cheese Pipes (Tape Plant)</t>
  </si>
  <si>
    <t>Cheese Winders</t>
  </si>
  <si>
    <t>Clutch Motor</t>
  </si>
  <si>
    <t>Computers &amp; Printers</t>
  </si>
  <si>
    <t>Condepols, S.A.</t>
  </si>
  <si>
    <t>Drill Machine A/C</t>
  </si>
  <si>
    <t>Duty Clearing Account</t>
  </si>
  <si>
    <t>El-Fedawy Pack For Import And Export</t>
  </si>
  <si>
    <t>Export Advance Licence Benifit Accured</t>
  </si>
  <si>
    <t>Fabric Cutting Machine</t>
  </si>
  <si>
    <t>Face &amp; Fingerprint M/C (Punching M/C)</t>
  </si>
  <si>
    <t>Exim Handelsonderneming Rotterdam Bv</t>
  </si>
  <si>
    <t>Factory Building - WIP</t>
  </si>
  <si>
    <t>Fan, Cooler, Heater &amp; Blowers</t>
  </si>
  <si>
    <t>Fibco Plastic Industry Llc</t>
  </si>
  <si>
    <t>Fire Safety Extinguisher</t>
  </si>
  <si>
    <t>Furniture &amp; Fixtures</t>
  </si>
  <si>
    <t>GST Credit-Non Eligible</t>
  </si>
  <si>
    <t>Hand Grinder Machine</t>
  </si>
  <si>
    <t>HCP Enterprise Ltd-Sales</t>
  </si>
  <si>
    <t>HCP Plastene Bulkpack Limited - Sales</t>
  </si>
  <si>
    <t>Hopper Loader</t>
  </si>
  <si>
    <t>Hydraulic Baling Machine</t>
  </si>
  <si>
    <t>Hydraulic Hand Pallet Truck</t>
  </si>
  <si>
    <t>IGST Refund Receivable Under Rebate</t>
  </si>
  <si>
    <t>Indralok Fabrics Pvt Ltd - Sales</t>
  </si>
  <si>
    <t>K.P. Woven Pvt Ltd - Unit 2 -Sales</t>
  </si>
  <si>
    <t>K.P. Woven Pvt Ltd - Unit 3 -Sales</t>
  </si>
  <si>
    <t>Labdhi Plastic</t>
  </si>
  <si>
    <t>M B And Sons</t>
  </si>
  <si>
    <t>Mobile &amp; Telephone Instrument</t>
  </si>
  <si>
    <t>Needle Loom Machine</t>
  </si>
  <si>
    <t>Office Equipments</t>
  </si>
  <si>
    <t>Oliva Garden S.A.</t>
  </si>
  <si>
    <t>Oswal Extrusion Ltd- KASEZ-Sales</t>
  </si>
  <si>
    <t>Parekh Bulk Pack - Sales</t>
  </si>
  <si>
    <t>Passos &amp; Oliveira, Lda.</t>
  </si>
  <si>
    <t>Plant &amp; Machinery</t>
  </si>
  <si>
    <t>Plastene India ltd - Unit 1-Sales</t>
  </si>
  <si>
    <t>Plastene India ltd - Unit 6-Sales</t>
  </si>
  <si>
    <t>Plastene Polyfilms Ltd-Sales</t>
  </si>
  <si>
    <t>Prepaid Insurance</t>
  </si>
  <si>
    <t>Procon Pacific Llc</t>
  </si>
  <si>
    <t>RO Plant</t>
  </si>
  <si>
    <t>SARL Bazelle</t>
  </si>
  <si>
    <t>SAS Emballage Industrie Concept - Bazelle</t>
  </si>
  <si>
    <t>Serra Sacos Y Gestion Sl</t>
  </si>
  <si>
    <t>SGST Input</t>
  </si>
  <si>
    <t>Shiv Enterprise - 24CNIPS9979P1ZL</t>
  </si>
  <si>
    <t>Solar Power Plant &amp; Accessories</t>
  </si>
  <si>
    <t>Somlo-Zsak Kender-Juta Kft</t>
  </si>
  <si>
    <t>Staff Loan</t>
  </si>
  <si>
    <t>Stitching Machine</t>
  </si>
  <si>
    <t>Stitching Machine With Table Orsan-4000H</t>
  </si>
  <si>
    <t>Stretch Wrapping Machine</t>
  </si>
  <si>
    <t>TCS On Purchase 22-23</t>
  </si>
  <si>
    <t>TCS On Purchase 23-24</t>
  </si>
  <si>
    <t>TDS Receivable 2022-23</t>
  </si>
  <si>
    <t>TDS Receivable 2023-24</t>
  </si>
  <si>
    <t>Technopac Gmbh</t>
  </si>
  <si>
    <t>Water Tank</t>
  </si>
  <si>
    <t>Weightment Scale</t>
  </si>
  <si>
    <t>Welding Machine</t>
  </si>
  <si>
    <t>Yuan Da Plastic Fabric Corporation</t>
  </si>
  <si>
    <t>West India Forklift Services</t>
  </si>
  <si>
    <t>Welar Corporation</t>
  </si>
  <si>
    <t>Vimla Enterprise</t>
  </si>
  <si>
    <t>Uttar Gujarat Vij Company Ltd</t>
  </si>
  <si>
    <t>Valco Melton Engineering India Pvt Ltd</t>
  </si>
  <si>
    <t>Veeshna Polypack Pvt Ltd - Purchase</t>
  </si>
  <si>
    <t>Unique Techno Services Pvt Ltd</t>
  </si>
  <si>
    <t>Tritha Graphics</t>
  </si>
  <si>
    <t>Tulsi Dyechem Pvt Ltd - Purchase</t>
  </si>
  <si>
    <t>TDS -192 (Salary)</t>
  </si>
  <si>
    <t>TDS -194C (Contractor)</t>
  </si>
  <si>
    <t>TDS -194J (Professional)</t>
  </si>
  <si>
    <t>TDS -194Q (Goods)</t>
  </si>
  <si>
    <t>Tashkent Oil Company Pvt Ltd</t>
  </si>
  <si>
    <t>Susmatex Machinery</t>
  </si>
  <si>
    <t>Spectrum Lubricants Private Limited</t>
  </si>
  <si>
    <t>Sonal Industries - Amraiwadi</t>
  </si>
  <si>
    <t>Sensation Pest Control Services</t>
  </si>
  <si>
    <t>Shubh Engineering</t>
  </si>
  <si>
    <t>Siddheshwar Enterprise</t>
  </si>
  <si>
    <t>Shree Rang Packaging</t>
  </si>
  <si>
    <t>Shreena Roadways</t>
  </si>
  <si>
    <t>Shree Krishna Transformers</t>
  </si>
  <si>
    <t>Shree Meter &amp; Heater</t>
  </si>
  <si>
    <t>Shree Ganesh Stereo</t>
  </si>
  <si>
    <t>Shiv Shakti Enterprise</t>
  </si>
  <si>
    <t>Shivam Enterprise - 24ABSFS6360C1Z1</t>
  </si>
  <si>
    <t>Shivam Gears</t>
  </si>
  <si>
    <t>SGST Output A/c</t>
  </si>
  <si>
    <t>Shah Sewing Machine Co.</t>
  </si>
  <si>
    <t>Sheetal Engineering Services</t>
  </si>
  <si>
    <t>Seabox Shipping &amp; Logistics Pvt Ltd</t>
  </si>
  <si>
    <t>Sar Transport Systems Pvt Ltd - Maharastra</t>
  </si>
  <si>
    <t>Sales Bill Discounted Exports - Drip capital</t>
  </si>
  <si>
    <t>Sales Bill Discounted Exports - India Factoring</t>
  </si>
  <si>
    <t>Satyam Stationery Mart</t>
  </si>
  <si>
    <t>Saurabh Enterprise</t>
  </si>
  <si>
    <t>Sayona Engineers</t>
  </si>
  <si>
    <t>Schmetz India Pvt Ltd</t>
  </si>
  <si>
    <t>S.R.Sewing Tech</t>
  </si>
  <si>
    <t>Salary &amp; Wages Payable</t>
  </si>
  <si>
    <t>Rex Steam Products Pvt Ltd</t>
  </si>
  <si>
    <t>Riddhi Electric Industries</t>
  </si>
  <si>
    <t>Reliance Industries Ltd-Gujarat</t>
  </si>
  <si>
    <t>Reliance Industries Ltd-Jamnagar SEZ</t>
  </si>
  <si>
    <t>Rajat Impex</t>
  </si>
  <si>
    <t>Qwik Supply Chain Private Limited</t>
  </si>
  <si>
    <t>Puran Electric &amp; Power Tools</t>
  </si>
  <si>
    <t>Purbanchal Lumbers Pvt Ltd</t>
  </si>
  <si>
    <t>Premier India Bearing Ltd.</t>
  </si>
  <si>
    <t>Professional Tax Liability A/c</t>
  </si>
  <si>
    <t>Provision For Depreciation</t>
  </si>
  <si>
    <t>Provision For Expenses</t>
  </si>
  <si>
    <t>Provision For Leave Encashment</t>
  </si>
  <si>
    <t>Plus Logistics Ltd.</t>
  </si>
  <si>
    <t>Polyone Polymers India Private Limited - Gujarat</t>
  </si>
  <si>
    <t>Plastene Polyfilms Ltd-Purchase</t>
  </si>
  <si>
    <t>Plastene India ltd - Unit 6-Purchase</t>
  </si>
  <si>
    <t>Plastene India ltd - Unit 1-Purchase</t>
  </si>
  <si>
    <t>Plastene India ltd - HO-ICD</t>
  </si>
  <si>
    <t>Plastene India ltd - HO-Purchase</t>
  </si>
  <si>
    <t>Perfect Belts Private Limited</t>
  </si>
  <si>
    <t>Parth Poly Coat Yarn Pvt Ltd</t>
  </si>
  <si>
    <t>Oak Tradeklink</t>
  </si>
  <si>
    <t>Nishith Enterprise</t>
  </si>
  <si>
    <t>New Arm</t>
  </si>
  <si>
    <t>Msc Mediterranean Shipping Company S.A</t>
  </si>
  <si>
    <t>Metalex Agencies</t>
  </si>
  <si>
    <t>Mehjal Adhesive Tapes Pvt. Ltd.</t>
  </si>
  <si>
    <t>Macgray Solutions Pvt Ltd</t>
  </si>
  <si>
    <t>Maersk Line India Pvt Ltd</t>
  </si>
  <si>
    <t>Mahakali Trading Company</t>
  </si>
  <si>
    <t>Lohia Corp Limited - Gujarat</t>
  </si>
  <si>
    <t>Lohia Global Solutions - UP - (A Div of Lohia Corp Ltd)</t>
  </si>
  <si>
    <t>Krishna Enterprise - Navrangpura</t>
  </si>
  <si>
    <t>Labbdhi Paper Tubes Pvt Ltd</t>
  </si>
  <si>
    <t>Labdhi Engineering Pvt Ltd</t>
  </si>
  <si>
    <t>Kamaldeep Xerox And Stationers</t>
  </si>
  <si>
    <t>Kan Power Rubber Industries</t>
  </si>
  <si>
    <t>Karnavati Polyblends Pvt Ltd</t>
  </si>
  <si>
    <t>KDR Engineers</t>
  </si>
  <si>
    <t>Kabra Electricals</t>
  </si>
  <si>
    <t>K.P. Woven Pvt Ltd - Unit 3 -Purchase</t>
  </si>
  <si>
    <t>K.P. Woven Pvt Ltd - Unit 2 -Purchase</t>
  </si>
  <si>
    <t>Jay Jagannath Industries - Prop Umeshbhai Kantilal Panchal</t>
  </si>
  <si>
    <t>Jay Mataji Roadlines</t>
  </si>
  <si>
    <t>Jay Meldi Engineering Works</t>
  </si>
  <si>
    <t>Ishan Plastic LLP</t>
  </si>
  <si>
    <t>J J Plastalloy Pvt Ltd</t>
  </si>
  <si>
    <t>Jain Bulk Pack - Rajkot</t>
  </si>
  <si>
    <t>Infotek Software &amp; Systems Pvt Ltd</t>
  </si>
  <si>
    <t>IGST Output A/c</t>
  </si>
  <si>
    <t>Indian Institute Of Packaging - Ahmedabad</t>
  </si>
  <si>
    <t>Indralok Fabrics Pvt Ltd - Purchase</t>
  </si>
  <si>
    <t>Ikon Instruments</t>
  </si>
  <si>
    <t>Hellmann Worldwide Logistics India Private Limited</t>
  </si>
  <si>
    <t>HCP Plastene Bulkpack Limited - Purchase</t>
  </si>
  <si>
    <t>HCP Enterprise Ltd-Purchase</t>
  </si>
  <si>
    <t>Harsiddhi Creation</t>
  </si>
  <si>
    <t>Hasti Petro Chemical And Shipping Ltd.</t>
  </si>
  <si>
    <t>Guru Marketing</t>
  </si>
  <si>
    <t>Green Traders</t>
  </si>
  <si>
    <t>Globelink WW India Pvt Ltd</t>
  </si>
  <si>
    <t>Global Industries</t>
  </si>
  <si>
    <t>Ginza Machinery Mfg.Co.</t>
  </si>
  <si>
    <t>Gaurav Trans Engineers Private Limited</t>
  </si>
  <si>
    <t>Full &amp; Final Settlement Payable</t>
  </si>
  <si>
    <t>Galaxy Enterprise</t>
  </si>
  <si>
    <t>Galaxy Heat Products</t>
  </si>
  <si>
    <t>Fortune Shipping Private Limited</t>
  </si>
  <si>
    <t>Flesha Paints &amp; Chemicals</t>
  </si>
  <si>
    <t>Excel Office Solution</t>
  </si>
  <si>
    <t>Employees Contribution to PF - Factory</t>
  </si>
  <si>
    <t>Dynamic Wooltex</t>
  </si>
  <si>
    <t>Dsv Air &amp; Sea Private Limited</t>
  </si>
  <si>
    <t>Deluxe Plastic Works</t>
  </si>
  <si>
    <t>Cma Cgm Agencies (India) Pvt Ltd</t>
  </si>
  <si>
    <t>Ckb Global Logistics Private Limited</t>
  </si>
  <si>
    <t>Chinubhai Kalidass &amp; Bros - Gujarat</t>
  </si>
  <si>
    <t>Chirag Engineering Works</t>
  </si>
  <si>
    <t>CGST Output A/c</t>
  </si>
  <si>
    <t>C B Logistics</t>
  </si>
  <si>
    <t>Brahmani Graphics</t>
  </si>
  <si>
    <t>Brahmani Labels</t>
  </si>
  <si>
    <t>Brahmani Printers</t>
  </si>
  <si>
    <t>Bonus Payable</t>
  </si>
  <si>
    <t>BP Lubricants Pvt Ltd</t>
  </si>
  <si>
    <t>Agarwal Enterprise</t>
  </si>
  <si>
    <t>Bright Rubber</t>
  </si>
  <si>
    <t>Bombay Fire Safety</t>
  </si>
  <si>
    <t>Blackstone Shipping Private Limited - Maharashtra</t>
  </si>
  <si>
    <t>Blaze Net Ltd.</t>
  </si>
  <si>
    <t>Baviskar Sales &amp; Service</t>
  </si>
  <si>
    <t>Ashapura Roadlines</t>
  </si>
  <si>
    <t>Ashirwad Infocom</t>
  </si>
  <si>
    <t>Avee Electro Engineers</t>
  </si>
  <si>
    <t>Axle Steel &amp; Fasteners</t>
  </si>
  <si>
    <t>B.K. Roadways</t>
  </si>
  <si>
    <t>Bahucharaji Office Solution</t>
  </si>
  <si>
    <t>Arihant Fire &amp; Safety Services</t>
  </si>
  <si>
    <t>Arihant Roadlines</t>
  </si>
  <si>
    <t>Armstrong</t>
  </si>
  <si>
    <t>Amtek Instruments Pvt Ltd</t>
  </si>
  <si>
    <t>Ap Enterprise</t>
  </si>
  <si>
    <t>Alok Master Batches Private Limited- Surangi</t>
  </si>
  <si>
    <t>Akshara Graphics - Purchase</t>
  </si>
  <si>
    <t>Ahmedabad Cotton Waste Co.</t>
  </si>
  <si>
    <t>Adani International Container Terminal Pvt Ltd</t>
  </si>
  <si>
    <t>Adani Ports And Special Economic Zone Limited</t>
  </si>
  <si>
    <t>Aarth Industries</t>
  </si>
  <si>
    <t>Accurate Rub Tech</t>
  </si>
  <si>
    <t>Sale of Finished Goods</t>
  </si>
  <si>
    <t>Sales - Direct Export - Mfg - U/B</t>
  </si>
  <si>
    <t>Sales - Interstate - Manufactured Goods</t>
  </si>
  <si>
    <t>Sale of Traded Goods</t>
  </si>
  <si>
    <t>Sales - Within State  Manufactured Goods</t>
  </si>
  <si>
    <t>Sales - Within State - Traded Goods</t>
  </si>
  <si>
    <t>Salaries Expense</t>
  </si>
  <si>
    <t>Security Expenses</t>
  </si>
  <si>
    <t>Repairs &amp; Maintenance Exp - Electric</t>
  </si>
  <si>
    <t>Repairs &amp; Maintenance Exp - Motor Cars</t>
  </si>
  <si>
    <t>Repairs &amp; Maintenance Exp - Others</t>
  </si>
  <si>
    <t>Repairs &amp; Maintenance Exp - Plant &amp; Machinery</t>
  </si>
  <si>
    <t>Round Off</t>
  </si>
  <si>
    <t>Round Off - Purchases</t>
  </si>
  <si>
    <t>Purchase Interstate - Raw Material</t>
  </si>
  <si>
    <t>Purchase Interstate- Stores, Spares &amp; Consumable</t>
  </si>
  <si>
    <t>Purchase Raw Material - Direct Import</t>
  </si>
  <si>
    <t>Purchase Raw Material - High Seas</t>
  </si>
  <si>
    <t>Purchase Withinstate - Raw Material</t>
  </si>
  <si>
    <t>Purchase Withinstate- Packing Material</t>
  </si>
  <si>
    <t>Purchase Withinstate- Stores, Spares &amp; Consumable</t>
  </si>
  <si>
    <t>Professional &amp; Consultancy Fees</t>
  </si>
  <si>
    <t>Mobile &amp; Telephone Expense</t>
  </si>
  <si>
    <t>Office Expenses</t>
  </si>
  <si>
    <t>Other Deduction</t>
  </si>
  <si>
    <t>Packing Forwading &amp; Cartage Expense</t>
  </si>
  <si>
    <t>P.F. Admin. Charge</t>
  </si>
  <si>
    <t>P.F. Contribution - Employer</t>
  </si>
  <si>
    <t>Petrol &amp; Diesel Expense - Other Vehicles</t>
  </si>
  <si>
    <t>Postage &amp; Courier Expense</t>
  </si>
  <si>
    <t>Printing &amp; Stationery Expense</t>
  </si>
  <si>
    <t>Stamp Duty Expense</t>
  </si>
  <si>
    <t>Water Charges</t>
  </si>
  <si>
    <t>Insurance Expenses - Marine</t>
  </si>
  <si>
    <t>Insurance Expenses - Other</t>
  </si>
  <si>
    <t>Interest Expense - Factoring</t>
  </si>
  <si>
    <t>Interest Expense - Other</t>
  </si>
  <si>
    <t>Job Charges</t>
  </si>
  <si>
    <t>Labour Charges</t>
  </si>
  <si>
    <t>Legal Expense</t>
  </si>
  <si>
    <t>Loading &amp; Unloading Expense</t>
  </si>
  <si>
    <t>Medical Expense</t>
  </si>
  <si>
    <t>Factory Expense</t>
  </si>
  <si>
    <t>Factoring Charges</t>
  </si>
  <si>
    <t>Freight Inward Expense (RCM)</t>
  </si>
  <si>
    <t>Freight Inward Expense (With GST)</t>
  </si>
  <si>
    <t>Freight Outward Expense  - Export</t>
  </si>
  <si>
    <t>Freight Outward Expense (RCM)</t>
  </si>
  <si>
    <t>Freight Outward Expense (With GST)</t>
  </si>
  <si>
    <t>Incentive Expense - Production</t>
  </si>
  <si>
    <t>Canteen Expense - Factory</t>
  </si>
  <si>
    <t>C &amp; F  Charges - Export</t>
  </si>
  <si>
    <t>Conveyance Expenses</t>
  </si>
  <si>
    <t>Exchange Rate Difference - Creditor</t>
  </si>
  <si>
    <t>Exchange Rate Difference - Debtors</t>
  </si>
  <si>
    <t>Electrical Expense</t>
  </si>
  <si>
    <t>Bank Charges -  Export Collection</t>
  </si>
  <si>
    <t>Bank Charges - Import</t>
  </si>
  <si>
    <t>Bank Charges - Postage &amp; Swift</t>
  </si>
  <si>
    <t>Bank Charges- Others</t>
  </si>
  <si>
    <t>Att. Bonus (Salary Part)</t>
  </si>
  <si>
    <t>Allowance - Books &amp; Periodicals</t>
  </si>
  <si>
    <t>Allowance - Canteen</t>
  </si>
  <si>
    <t>Allowance - Children Education &amp; Hostel</t>
  </si>
  <si>
    <t>Allowance - House Rent</t>
  </si>
  <si>
    <t>Allowance - Leave Travels</t>
  </si>
  <si>
    <t>Allowance - Medical</t>
  </si>
  <si>
    <t>Allowance - Other</t>
  </si>
  <si>
    <t>Allowance - Special</t>
  </si>
  <si>
    <t>Allowance - Transport</t>
  </si>
  <si>
    <t>Allowance - Uniform / Attire</t>
  </si>
  <si>
    <t>Allowance - Washing</t>
  </si>
  <si>
    <t>Profit And Loss Account</t>
  </si>
  <si>
    <t>Hd Microns Limited</t>
  </si>
  <si>
    <t>Panchvati Tools Co.</t>
  </si>
  <si>
    <t>Tradex Petroproducts LLP</t>
  </si>
  <si>
    <t>Raj Furnishing</t>
  </si>
  <si>
    <t>Kutch Ratnam Roadways</t>
  </si>
  <si>
    <t>Surbhi Shipping &amp; Logistics</t>
  </si>
  <si>
    <t>Ashok Kumar Prajapati</t>
  </si>
  <si>
    <t>Sunglow Colorants Corporation</t>
  </si>
  <si>
    <t>Pooja Enterprises-Odhav.</t>
  </si>
  <si>
    <t>Gayatri Engineering Works</t>
  </si>
  <si>
    <t>Synpack Slide N Zip Pvt. Ltd.</t>
  </si>
  <si>
    <t>Rajhans Plastic Machinery Pvt Ltd</t>
  </si>
  <si>
    <t>Excel Marketing</t>
  </si>
  <si>
    <t>Cc Hdfc Plastene India Limited 6042</t>
  </si>
  <si>
    <t>CC ICICI Tarachand Purohit 4007</t>
  </si>
  <si>
    <t>Stock sheet  from Apr-24 to Mar-24</t>
  </si>
  <si>
    <t>Tds Receivable 2024-25</t>
  </si>
  <si>
    <t>V-Trans (India) Ltd. - Maharashtra</t>
  </si>
  <si>
    <t>Patel Sales &amp; Services</t>
  </si>
  <si>
    <t>Mundra International Container Terminal Pvt. Ltd.</t>
  </si>
  <si>
    <t>V-Trans (India) Ltd. - Gujarat</t>
  </si>
  <si>
    <t>Abhi Roadline</t>
  </si>
  <si>
    <t>Export related Certification Charges</t>
  </si>
  <si>
    <t>Vyankatesh Udyog (I) Pvt Ltd - Purchase</t>
  </si>
  <si>
    <t>Tech Plastfeb Private Limited</t>
  </si>
  <si>
    <t>Lohia Corp Limited - 09AAKCK2932Q1ZU - UP</t>
  </si>
  <si>
    <t>Lohia Corp Limited - 24AAKCK2932Q1Z2 - Guj</t>
  </si>
  <si>
    <t>Excellent Material</t>
  </si>
  <si>
    <t>CC ICICI Manish Banthia 3009</t>
  </si>
  <si>
    <t>Sales - Direct Export - Mfg - U/R</t>
  </si>
  <si>
    <t>V-Trans (India) Ltd.-Mp</t>
  </si>
  <si>
    <t>Shree Sharda Impex</t>
  </si>
  <si>
    <t>Innovative Roller Solutions</t>
  </si>
  <si>
    <t>MAY</t>
  </si>
  <si>
    <t>july.24</t>
  </si>
  <si>
    <t>Cc Icici Tarachand Purohit 8009</t>
  </si>
  <si>
    <t>TDS -194I (Rent)</t>
  </si>
  <si>
    <t>Watair Envisol Consultancy Co</t>
  </si>
  <si>
    <t>Bank Charges - LC</t>
  </si>
  <si>
    <t>PI Polyblendz Private Limited</t>
  </si>
  <si>
    <t>Rfbl Flexi Pack Limited</t>
  </si>
  <si>
    <t>Procon Technologies Pvt Ltd</t>
  </si>
  <si>
    <t>Travelling Expense</t>
  </si>
  <si>
    <t>Surya Enegy Kutch</t>
  </si>
  <si>
    <t>Shree Salareshwar Wood Packers Private Limited.</t>
  </si>
  <si>
    <t>Omega Fire &amp; Safety Products</t>
  </si>
  <si>
    <t>Milin Tubes</t>
  </si>
  <si>
    <t>Gujarat EPM Services</t>
  </si>
  <si>
    <t>Maruti Polymers</t>
  </si>
  <si>
    <t>Vashi Integrated Solutions Limited</t>
  </si>
  <si>
    <t>V-Trans (India) Ltd. - Rajasthan</t>
  </si>
  <si>
    <t>Unique Marketing - 24ABEPK2505M1ZU</t>
  </si>
  <si>
    <t>Cc Hdfc Anil Goyal 2981</t>
  </si>
  <si>
    <t>Hcp Plastene Bulkpack Ltd (Unit Iv) - Sales</t>
  </si>
  <si>
    <t>Tcs On Purchase 24-25</t>
  </si>
  <si>
    <t>Tds Receivable 2025-26</t>
  </si>
  <si>
    <t>Tcs On Sales 25-26</t>
  </si>
  <si>
    <t>Panchal Machinery</t>
  </si>
  <si>
    <t>Jay Jagannath Industries- 24GKEPP9703F1Z1</t>
  </si>
  <si>
    <t>Fcs Itech</t>
  </si>
  <si>
    <t>Gopikishan Polyplast Pvt Ltd - Sales</t>
  </si>
  <si>
    <t>Stavian Chemical Joint Stock Company</t>
  </si>
  <si>
    <t>S.B. AGENCIES</t>
  </si>
  <si>
    <t>Hermione Renewables Private Limited</t>
  </si>
  <si>
    <t>Ashapura Logistics Limited- 24AADCA4633M1ZP</t>
  </si>
  <si>
    <t>Sales - Kasez - Trading - U/B</t>
  </si>
  <si>
    <t>Shri Nakoda Transmission &amp; Electric Co.</t>
  </si>
  <si>
    <t>Perfect Belts Private Limited (Gujarat)</t>
  </si>
  <si>
    <t>Orient Star Transport International Pvt Ltd</t>
  </si>
  <si>
    <t>Meshtech India- Creditor</t>
  </si>
  <si>
    <t>Aqua Air Engineering</t>
  </si>
  <si>
    <t>Jas Exims 24AACPG5586D1ZY</t>
  </si>
  <si>
    <t>Tcs On Purchase 25-26</t>
  </si>
  <si>
    <t>Upasana Metals</t>
  </si>
  <si>
    <t>Meldi Transport</t>
  </si>
  <si>
    <t>Hcp Plastene Bulkpack Ltd (Unit-Iv) - Purchase</t>
  </si>
  <si>
    <t>Gabbar Engineering Co.</t>
  </si>
  <si>
    <t>Ahan Shipping Services-24AAZFA5323K1Z4</t>
  </si>
  <si>
    <t>Chemline India Ltd</t>
  </si>
  <si>
    <t>Dyesun Liva Chemicals</t>
  </si>
  <si>
    <t>Industrial Rubber Company</t>
  </si>
  <si>
    <t>Jaydeep Machinery Pvt. Ltd.</t>
  </si>
  <si>
    <t>Max Spare Limited</t>
  </si>
  <si>
    <t>Sanjay Forwarders Pvt LTD</t>
  </si>
  <si>
    <t>Ever Bags Packaging Private Limited</t>
  </si>
  <si>
    <t>P.S. Labour Organisation</t>
  </si>
  <si>
    <t>Himanshu Enterprise</t>
  </si>
  <si>
    <t>Rajratan Electricals Pvt Ltd</t>
  </si>
  <si>
    <t>Sikotar Roadways</t>
  </si>
  <si>
    <t>Mahakali Enterprise 24AAXFM9233E1ZY</t>
  </si>
  <si>
    <t>Ganesh Poly Graph</t>
  </si>
  <si>
    <t>Jain Electro Tech</t>
  </si>
  <si>
    <t>Navrang Machinery Pvt Ltd</t>
  </si>
  <si>
    <t>Khator Enterprises</t>
  </si>
  <si>
    <t>Shivam Logistic</t>
  </si>
  <si>
    <t>Indian Institute Of Packaging</t>
  </si>
  <si>
    <t>Advance Licence Fee Expense</t>
  </si>
  <si>
    <t>J Patel Shipping And Logistics</t>
  </si>
  <si>
    <t>Yen Traders</t>
  </si>
  <si>
    <t>Purchase Return - Stores, Spares &amp; Consumable</t>
  </si>
  <si>
    <t>Tcs On Sales 24-25</t>
  </si>
  <si>
    <t>Sacos Durcal S.A</t>
  </si>
  <si>
    <t>Alpha Electricals</t>
  </si>
  <si>
    <t>Multi Enterprise</t>
  </si>
  <si>
    <t>Shiv Industrial Products</t>
  </si>
  <si>
    <t>Shree Kdk Enterprise</t>
  </si>
  <si>
    <t>Alpine Fibc Pvt Ltd - Sales</t>
  </si>
  <si>
    <t>Ashirvad Paper Solution</t>
  </si>
  <si>
    <t>Ambica Sales Corporation</t>
  </si>
  <si>
    <t>Max Control</t>
  </si>
  <si>
    <t>Protek Enterprises</t>
  </si>
  <si>
    <t>Sunrise Marine</t>
  </si>
  <si>
    <t>Surneha Services</t>
  </si>
  <si>
    <t>Blackstone Shipping Private Limited - Gujarat</t>
  </si>
  <si>
    <t>Dwarkesh Roadways</t>
  </si>
  <si>
    <t>Variofil Industries</t>
  </si>
  <si>
    <t>YTD APRIL.26</t>
  </si>
  <si>
    <t>APRIL.26</t>
  </si>
  <si>
    <t>26-27</t>
  </si>
  <si>
    <t>Op,stock 01.04.26</t>
  </si>
  <si>
    <t>MAY.26</t>
  </si>
  <si>
    <t>Opening</t>
  </si>
  <si>
    <t>Closing</t>
  </si>
  <si>
    <t>Debit</t>
  </si>
  <si>
    <t>Credit</t>
  </si>
  <si>
    <t>Tds Receivable 2026-27</t>
  </si>
  <si>
    <t>A.F.Traders</t>
  </si>
  <si>
    <t>Isbir Mewar Bulk Bag Private Limited</t>
  </si>
  <si>
    <t>Lorenz Snacks India Private Limited</t>
  </si>
  <si>
    <t>Umasree Texplast Pvt Ltd - Sales</t>
  </si>
  <si>
    <t>Tcs On Sales 26-27</t>
  </si>
  <si>
    <t>Airmax Pneumatic Automation</t>
  </si>
  <si>
    <t>Kishan Traders - Gandhidham</t>
  </si>
  <si>
    <t>Roltech Infotech</t>
  </si>
  <si>
    <t>Toyota Material Handling India Pvt Ltd</t>
  </si>
  <si>
    <t>Aanjana Steel Traders</t>
  </si>
  <si>
    <t>Vishal Shipping Global Logistics Llp</t>
  </si>
  <si>
    <t>Sar Transport Systems Pvt Ltd - Gujarat</t>
  </si>
  <si>
    <t>Ongc Petro Additions Limited- DTA ( Domestic )</t>
  </si>
  <si>
    <t>Oswal Commodities Private Limited - Purchase</t>
  </si>
  <si>
    <t>Oswal Extrusion Ltd- KASEZ-Purchase</t>
  </si>
  <si>
    <t>Sinopec Chemical Commercial Holding (Hong Kong) Company Limited</t>
  </si>
  <si>
    <t>Total</t>
  </si>
  <si>
    <t>RODTEP SCRIPT</t>
  </si>
  <si>
    <t>Asia Bulk Sack Pvt Ltd - Sales</t>
  </si>
  <si>
    <t>Maa Durga Engineering</t>
  </si>
  <si>
    <t>Siddheshwari Industries</t>
  </si>
  <si>
    <t>Bravin Logistics LLP</t>
  </si>
  <si>
    <t>Olive Industries</t>
  </si>
  <si>
    <t>IGST INPUT</t>
  </si>
  <si>
    <t>Tulsi Dyechem Pvt.Ltd - Sales</t>
  </si>
  <si>
    <t>Espee Electricals</t>
  </si>
  <si>
    <t>Indiana Bearings Private Limited</t>
  </si>
  <si>
    <t>Cc Hdfc Plastene Polyfilms Limited 9891</t>
  </si>
  <si>
    <t>Perticular</t>
  </si>
  <si>
    <t>Income Tax Ay 2014-15</t>
  </si>
  <si>
    <t>Income Tax Ay 2016-17</t>
  </si>
  <si>
    <t>Income Tax Refund Receivable</t>
  </si>
  <si>
    <t>Bank CA BOB EEFC USD 25380200001346</t>
  </si>
  <si>
    <t>Bank CA HDFC 50200024330191</t>
  </si>
  <si>
    <t>Bank CA HDFC CE Clarification Pending</t>
  </si>
  <si>
    <t>Bank FDR BOB 73280300000187</t>
  </si>
  <si>
    <t>Bank FDR BOB 73280300000558</t>
  </si>
  <si>
    <t>Bank Fdr Bob 73280300001203</t>
  </si>
  <si>
    <t>Bank FDR BOB 73280300001224</t>
  </si>
  <si>
    <t>Bank Fdr Bob 73280300001261</t>
  </si>
  <si>
    <t>Bank FDR The Karnataka Bank Ltd - 0021152400022801</t>
  </si>
  <si>
    <t>Bank Fdr The Karnataka Bank Ltd - 021152600003001</t>
  </si>
  <si>
    <t>Bank Fdr The Karnataka Bank Ltd - 021152600005001</t>
  </si>
  <si>
    <t>Inventory- Consumables</t>
  </si>
  <si>
    <t>Inventory- Fg</t>
  </si>
  <si>
    <t>Inventory- Packing Material</t>
  </si>
  <si>
    <t>Inventory- Raw Material</t>
  </si>
  <si>
    <t>Stock In Transit</t>
  </si>
  <si>
    <t>Inventory- Wip</t>
  </si>
  <si>
    <t>Investment in Vera Synthetics Ltd</t>
  </si>
  <si>
    <t>Amira Tanna Industries Private Limited</t>
  </si>
  <si>
    <t>Shamalbhai Kuberbhai Patel</t>
  </si>
  <si>
    <t>Accrued Interest -FDR</t>
  </si>
  <si>
    <t>Unclaimed CGST</t>
  </si>
  <si>
    <t>Unclaimed IGST</t>
  </si>
  <si>
    <t>Unclaimed SGST</t>
  </si>
  <si>
    <t>Insurance Claim Receivable</t>
  </si>
  <si>
    <t>GST Electronic Cash Ledger</t>
  </si>
  <si>
    <t>GST Receivable</t>
  </si>
  <si>
    <t>K.P. Woven Pvt Ltd - Unit 2 - For Gst Balance Only</t>
  </si>
  <si>
    <t>K.P. Woven Pvt Ltd - Unit II (Nani Chirai) - For Gst Balance Only</t>
  </si>
  <si>
    <t>Oliva Garden S.A. - ICD</t>
  </si>
  <si>
    <t>Prepaid Expenses</t>
  </si>
  <si>
    <t>RCM - CGST Credit</t>
  </si>
  <si>
    <t>RCM - IGST Credit</t>
  </si>
  <si>
    <t>RCM - SGST Credit</t>
  </si>
  <si>
    <t>Security Deposit - GIDC Sanand (Water)</t>
  </si>
  <si>
    <t>Security Deposit - Tree Plantation</t>
  </si>
  <si>
    <t>Security Deposit UGVCL - PNB 0170100P00026638</t>
  </si>
  <si>
    <t>Loan -Paresh Tiwari</t>
  </si>
  <si>
    <t>Loan -Rakesh Tiwari</t>
  </si>
  <si>
    <t>Raj Singh Shaktawat Kpw - Imprest A/C</t>
  </si>
  <si>
    <t>Akshay Trading Co</t>
  </si>
  <si>
    <t>Archit Organosys Limited</t>
  </si>
  <si>
    <t>Balaji Formalin Private Limited</t>
  </si>
  <si>
    <t>Bhagwati Polyweave Private Limited</t>
  </si>
  <si>
    <t>D S Global</t>
  </si>
  <si>
    <t>Dhruv Agritechnologies Private Limited</t>
  </si>
  <si>
    <t>Flexochem Ventures Private Limited</t>
  </si>
  <si>
    <t>Gipack Tech Llp</t>
  </si>
  <si>
    <t>Glasnost India</t>
  </si>
  <si>
    <t>Gujarat Fluorochemicals Limited (EOU)</t>
  </si>
  <si>
    <t>Gujarat Narmada Valley Fertilizers &amp; Chemicals Limited</t>
  </si>
  <si>
    <t>Gulbrandsen Private Limited</t>
  </si>
  <si>
    <t>Gulbrandsen Technologies India Pvt Ltd</t>
  </si>
  <si>
    <t>Hi Tech Speciality Fabrics Export</t>
  </si>
  <si>
    <t>Indofil Industries Limited - 24AABCI4568D1ZS</t>
  </si>
  <si>
    <t>Indofil Industries Limited - 24AABCI4568D2ZR</t>
  </si>
  <si>
    <t>K.P. Woven Pvt Ltd - Unit 2 (Nani Chirai) -Sales</t>
  </si>
  <si>
    <t>Khator Technical Textiles Ltd.</t>
  </si>
  <si>
    <t>Macfil Global Private Limited - Sales</t>
  </si>
  <si>
    <t>Mahak Plastic Industries Unit-2</t>
  </si>
  <si>
    <t>Nacl Industries Limited</t>
  </si>
  <si>
    <t>Navin Fluorine Advance Science Ltd</t>
  </si>
  <si>
    <t>New Suraj Environmental Facilities</t>
  </si>
  <si>
    <t>Oxipack Industries- 24BRVPP1229D1ZQ</t>
  </si>
  <si>
    <t>Padmavati Enterprise</t>
  </si>
  <si>
    <t>PI Industries Limited - 24AABCP2183M1ZB</t>
  </si>
  <si>
    <t>PI Industries Limited - 24AABCP2183M2ZA</t>
  </si>
  <si>
    <t>PI Industries Limited - 24AABCP2183M3Z9</t>
  </si>
  <si>
    <t>Plastene India ltd - Unit 2-Sales</t>
  </si>
  <si>
    <t>Rishi Fibc Solutions Pvt. Ltd - Sales</t>
  </si>
  <si>
    <t>Rudra Trading Co.</t>
  </si>
  <si>
    <t>Shree Ram India Gums Ltd.</t>
  </si>
  <si>
    <t>Sukaso Cera Colors Pvt Ltd</t>
  </si>
  <si>
    <t>Swastika Traders</t>
  </si>
  <si>
    <t>Ameriglobe LLC</t>
  </si>
  <si>
    <t>Bagwell Supply Ulc.</t>
  </si>
  <si>
    <t>Boxon Bag Ab</t>
  </si>
  <si>
    <t>Boxon Gmbh</t>
  </si>
  <si>
    <t>Boxon Oy</t>
  </si>
  <si>
    <t>Bulk Lift International LLC</t>
  </si>
  <si>
    <t>Conrop S.R.O.</t>
  </si>
  <si>
    <t>Dead Sea Works Ltd</t>
  </si>
  <si>
    <t>ERD - Customers</t>
  </si>
  <si>
    <t>Fintrading S.L.</t>
  </si>
  <si>
    <t>FPS Flexibles France Sarl</t>
  </si>
  <si>
    <t>Krzysztof Kasperkiewicz Kasp</t>
  </si>
  <si>
    <t>Norengros Kjosavik As</t>
  </si>
  <si>
    <t>Reg Group Ltd T/A Growtivation</t>
  </si>
  <si>
    <t>Smart Pack Limited</t>
  </si>
  <si>
    <t>Smart Pack Pty Ltd</t>
  </si>
  <si>
    <t>Southern Packaging Lp</t>
  </si>
  <si>
    <t>Tecnopacking</t>
  </si>
  <si>
    <t>Tsanta.</t>
  </si>
  <si>
    <t>Western Packaging Solutions</t>
  </si>
  <si>
    <t>Zakkencentrale Belgium N.V.</t>
  </si>
  <si>
    <t>Plant &amp; Machinery Cwip</t>
  </si>
  <si>
    <t>Racks For Rolls/Fg</t>
  </si>
  <si>
    <t>New Product Dev. and R&amp;D Exp.Pending For Allocation</t>
  </si>
  <si>
    <t>Building</t>
  </si>
  <si>
    <t>Land &amp; Developments</t>
  </si>
  <si>
    <t>Land - Plot No: Pe 82,Sanand</t>
  </si>
  <si>
    <t>Office Building - HO</t>
  </si>
  <si>
    <t>Air Curtain</t>
  </si>
  <si>
    <t>CTPT Unit</t>
  </si>
  <si>
    <t>Air Handling Unit (AHU)</t>
  </si>
  <si>
    <t>Dock Leveler</t>
  </si>
  <si>
    <t>Dock Shelter</t>
  </si>
  <si>
    <t>Forklift Model No:8Fbe20</t>
  </si>
  <si>
    <t>Forklift Truck Model No.FDZN30</t>
  </si>
  <si>
    <t>Peb Built Up</t>
  </si>
  <si>
    <t>Water Cooler</t>
  </si>
  <si>
    <t>Almonard H/D Exhaust Fan 24"</t>
  </si>
  <si>
    <t>Almonard Wall Fan Air Circ.-18"</t>
  </si>
  <si>
    <t>Cealing Fan</t>
  </si>
  <si>
    <t>Electrical Installation</t>
  </si>
  <si>
    <t>Panel Cooling Airconditoner</t>
  </si>
  <si>
    <t>Pumps &amp; Motors</t>
  </si>
  <si>
    <t>Tublights &amp; Fans</t>
  </si>
  <si>
    <t>Auto Webbing Cutting M/C</t>
  </si>
  <si>
    <t>Belt Cutting Machine</t>
  </si>
  <si>
    <t>Gluing Machine</t>
  </si>
  <si>
    <t>Load Testing Machine</t>
  </si>
  <si>
    <t>Palang, Tables, Trollies For Finishing</t>
  </si>
  <si>
    <t>Rolling Machine</t>
  </si>
  <si>
    <t>Industrial Vaccum Cleaner</t>
  </si>
  <si>
    <t>Scrubber And Dryer Machine</t>
  </si>
  <si>
    <t>Laboratory Equipments</t>
  </si>
  <si>
    <t>Muffle Furnace Testing Machine (Ash Content)</t>
  </si>
  <si>
    <t>Tensile Testing Machine</t>
  </si>
  <si>
    <t>Wethering Tester</t>
  </si>
  <si>
    <t>Lamination Plant Jp 80Cr 1600</t>
  </si>
  <si>
    <t>Crane-3.0 Tonnes</t>
  </si>
  <si>
    <t>Hydraulic Stacker</t>
  </si>
  <si>
    <t>Motorised Beam Stacker Model VM 401</t>
  </si>
  <si>
    <t>S S Trolly</t>
  </si>
  <si>
    <t>Trolly</t>
  </si>
  <si>
    <t>Twisting Machine</t>
  </si>
  <si>
    <t>Creel Stand</t>
  </si>
  <si>
    <t>Other Tools &amp; Equipments</t>
  </si>
  <si>
    <t>Sandwich Aluminium Feeder System</t>
  </si>
  <si>
    <t>Vertical Ms Receiver Tank</t>
  </si>
  <si>
    <t>Flexographic Printing Machine</t>
  </si>
  <si>
    <t>Jumbo Bag Printing M/C</t>
  </si>
  <si>
    <t>Printing Machine Three Colour</t>
  </si>
  <si>
    <t>Recycling Machine</t>
  </si>
  <si>
    <t>Stitching Machine DR-FT-ST603</t>
  </si>
  <si>
    <t>Stitching Machine HD502</t>
  </si>
  <si>
    <t>Stitching Machine Model VMC802</t>
  </si>
  <si>
    <t>Accumulators</t>
  </si>
  <si>
    <t>Sulzer Looms</t>
  </si>
  <si>
    <t>Tucking Unit</t>
  </si>
  <si>
    <t>Gravimetric Dosing Mixing Machine</t>
  </si>
  <si>
    <t>Pnumatic Fabrilation Movable Machine</t>
  </si>
  <si>
    <t>Tape Extrusion Line Manchine</t>
  </si>
  <si>
    <t>Pnumatic Strapping Machine</t>
  </si>
  <si>
    <t>Compressed Air Filter</t>
  </si>
  <si>
    <t>Rotary Screw Compressor</t>
  </si>
  <si>
    <t>Refrigeration Dryer</t>
  </si>
  <si>
    <t>Cooling Tower</t>
  </si>
  <si>
    <t>Grinder Machine</t>
  </si>
  <si>
    <t>Hand Blower</t>
  </si>
  <si>
    <t>Sewage Treatment Plant</t>
  </si>
  <si>
    <t>Submersible Pump</t>
  </si>
  <si>
    <t>Water Softner Plant</t>
  </si>
  <si>
    <t>Weight Bridge A/C</t>
  </si>
  <si>
    <t>Poly Beamer Machine</t>
  </si>
  <si>
    <t>Sulzer Beam Flange</t>
  </si>
  <si>
    <t>Sulzer Beam Pipe</t>
  </si>
  <si>
    <t>Forklift</t>
  </si>
  <si>
    <t>Rent Expenses - Machineries</t>
  </si>
  <si>
    <t>Purchase In Transit</t>
  </si>
  <si>
    <t>Repairs &amp; Maintenance Exp - Computer &amp; Printers</t>
  </si>
  <si>
    <t>Allowance - Conveyance</t>
  </si>
  <si>
    <t>Employers Contribution to ESI</t>
  </si>
  <si>
    <t>Incentive Expense - Attendence</t>
  </si>
  <si>
    <t>Salary - Arrears</t>
  </si>
  <si>
    <t>Salary - Over Time</t>
  </si>
  <si>
    <t>Bank Charges - Export</t>
  </si>
  <si>
    <t>Bank Charges - Export LC Advising</t>
  </si>
  <si>
    <t>Bank Charges - Processing Fees</t>
  </si>
  <si>
    <t>Exchange Rate Difference - Finance</t>
  </si>
  <si>
    <t>Interest Expense - EPC</t>
  </si>
  <si>
    <t>Interest Expense - PCFC</t>
  </si>
  <si>
    <t>Interest Expense - Working Capital</t>
  </si>
  <si>
    <t>Discount -Early Payment - Sales</t>
  </si>
  <si>
    <t>Insurance Expense - Ecgc - Pc</t>
  </si>
  <si>
    <t>Miscellaneous Income</t>
  </si>
  <si>
    <t>Deffered Tax Liability A/c</t>
  </si>
  <si>
    <t>General Reserve</t>
  </si>
  <si>
    <t>Share Base Payment Reserve (Esop)</t>
  </si>
  <si>
    <t>Share Premium</t>
  </si>
  <si>
    <t>Paid Up Equity Share Capital</t>
  </si>
  <si>
    <t>GST Payable A/c</t>
  </si>
  <si>
    <t>GST RCM payable A/c</t>
  </si>
  <si>
    <t>TDS Payable U/S 194</t>
  </si>
  <si>
    <t>Employees Contribution to ESI</t>
  </si>
  <si>
    <t>Gratuity Payable</t>
  </si>
  <si>
    <t>Unpaid Salary</t>
  </si>
  <si>
    <t>Interest to MSME Vendors Payable</t>
  </si>
  <si>
    <t>Suspense A/c</t>
  </si>
  <si>
    <t>Supplier (Provisional)</t>
  </si>
  <si>
    <t>Abhinandan Plastopack</t>
  </si>
  <si>
    <t>Metro Packaging</t>
  </si>
  <si>
    <t>A C Industries</t>
  </si>
  <si>
    <t>A One Impex</t>
  </si>
  <si>
    <t>A.Patel Engineering Works</t>
  </si>
  <si>
    <t>AJ Technovations Private Limited</t>
  </si>
  <si>
    <t>Anison Electronics</t>
  </si>
  <si>
    <t>Apple Powerdrive Pvt. Ltd.</t>
  </si>
  <si>
    <t>Arham Cams Pvt Ltd</t>
  </si>
  <si>
    <t>Ashok &amp; Co.</t>
  </si>
  <si>
    <t>Beena Industries</t>
  </si>
  <si>
    <t>Bhumi Hardware &amp; Electricals</t>
  </si>
  <si>
    <t>CTM Technical Textiles Limited</t>
  </si>
  <si>
    <t>Darshan Industries - 24BEVPS1692N1ZI</t>
  </si>
  <si>
    <t>DHARMIK REPAIRS AND SERVICE</t>
  </si>
  <si>
    <t>Dilip Manufacturing And Trading Co</t>
  </si>
  <si>
    <t>Divya Industries</t>
  </si>
  <si>
    <t>Divya Tex</t>
  </si>
  <si>
    <t>DPS ELECTRO</t>
  </si>
  <si>
    <t>Enertron Technologies Pvt Ltd</t>
  </si>
  <si>
    <t>Gandhar Oil Refinery India Ltd.</t>
  </si>
  <si>
    <t>Gandhar Oil Refinery India Ltd. - D AND H</t>
  </si>
  <si>
    <t>Gururaj Engineers Pvt. Ltd.</t>
  </si>
  <si>
    <t>Ideal Gas Springs Pvt Ltd</t>
  </si>
  <si>
    <t>Jay Ambe Tex Spare</t>
  </si>
  <si>
    <t>Jay Bhavani Electricals &amp; Hardware</t>
  </si>
  <si>
    <t>Jupiter Scientific</t>
  </si>
  <si>
    <t>Maa Enterprise 24CFGPP5964K1ZW</t>
  </si>
  <si>
    <t>Machinery &amp; Tools Centre</t>
  </si>
  <si>
    <t>Mahalaxmi Sulz Spare</t>
  </si>
  <si>
    <t>Mahavir Impex 24AEQPS2981A1ZD</t>
  </si>
  <si>
    <t>Maheshwari Timber Mart</t>
  </si>
  <si>
    <t>Neha Tex</t>
  </si>
  <si>
    <t>Neha Tex Fab Pvt Ltd</t>
  </si>
  <si>
    <t>New Raj Fashion</t>
  </si>
  <si>
    <t>Nigam Hardware</t>
  </si>
  <si>
    <t>Nikshe Multiproducts Pvt Ltd</t>
  </si>
  <si>
    <t>Omkar Industries 24BPDPP0620L1Z2</t>
  </si>
  <si>
    <t>Pavan Electrical &amp; Hardware</t>
  </si>
  <si>
    <t>Pavan Electricals And Hardware</t>
  </si>
  <si>
    <t>Perfect Engineers Works</t>
  </si>
  <si>
    <t>Prabhat Textile Trading Co.</t>
  </si>
  <si>
    <t>Promatech Mfg&amp; Trading Co. Pvt Ltd</t>
  </si>
  <si>
    <t>Rabatex Industries</t>
  </si>
  <si>
    <t>Ravi Plast Mold Private Limited</t>
  </si>
  <si>
    <t>Sagar Industries - 24ABEFS4427N1ZW</t>
  </si>
  <si>
    <t>Salasar Sulz Spare Tex</t>
  </si>
  <si>
    <t>Saroj Textiles</t>
  </si>
  <si>
    <t>Shashi Dhawal Hydraulics Pvt Ltd</t>
  </si>
  <si>
    <t>Shree Ram Sulz Spares</t>
  </si>
  <si>
    <t>Shreeji Plastic-Abed</t>
  </si>
  <si>
    <t>Siddharth Subscription Agency</t>
  </si>
  <si>
    <t>Sitaram Products</t>
  </si>
  <si>
    <t>SMMS Engineering Systems Pvt Ltd</t>
  </si>
  <si>
    <t>Soni Graphics</t>
  </si>
  <si>
    <t>Sulz Deck Sales Corporation</t>
  </si>
  <si>
    <t>Svan Texcon Pvt Ltd</t>
  </si>
  <si>
    <t>Swastik Marketing</t>
  </si>
  <si>
    <t>Techwin Electronics</t>
  </si>
  <si>
    <t>Tulsi Engineering Services</t>
  </si>
  <si>
    <t>Twin Hydraulics</t>
  </si>
  <si>
    <t>Uma Steel Traders</t>
  </si>
  <si>
    <t>Uni-Tex</t>
  </si>
  <si>
    <t>Venture Instrumentation Technologies Pvt Ltd</t>
  </si>
  <si>
    <t>Vinayak Enterprises</t>
  </si>
  <si>
    <t>Virava Chemicals</t>
  </si>
  <si>
    <t>Accord Vitrified Private Limited</t>
  </si>
  <si>
    <t>Agarwal Collections</t>
  </si>
  <si>
    <t>Akshar Erector</t>
  </si>
  <si>
    <t>All Scaffolding Rental</t>
  </si>
  <si>
    <t>Aman Enterprise</t>
  </si>
  <si>
    <t>Ambica Hardware &amp; Sanitary</t>
  </si>
  <si>
    <t>American Express Banking Corp 06AAGCA9055N1Z8</t>
  </si>
  <si>
    <t>Ark Furniture Pvt Ltd</t>
  </si>
  <si>
    <t>Ascent Maritime Private Limited-Gujarat</t>
  </si>
  <si>
    <t>Ashirvad Electrical Works- Creditor</t>
  </si>
  <si>
    <t>Brahmani Enterprise</t>
  </si>
  <si>
    <t>Cartridge Hub</t>
  </si>
  <si>
    <t>Clicktech Retail Private Limited-27AAJCC9783E1Z7</t>
  </si>
  <si>
    <t>Dayana Polyplast Pvt Ltd</t>
  </si>
  <si>
    <t>Del Corona &amp; Scardigli India Pvt Ltd</t>
  </si>
  <si>
    <t>Elite Foods And Hospitality</t>
  </si>
  <si>
    <t>Elite Inks Pvt Ltd-Purchase</t>
  </si>
  <si>
    <t>Envisafe Enviroment Consultants</t>
  </si>
  <si>
    <t>Explus Logistics Private Limited</t>
  </si>
  <si>
    <t>Eye Kross</t>
  </si>
  <si>
    <t>Featherlite Collections</t>
  </si>
  <si>
    <t>Global Accurate Management Private Limited</t>
  </si>
  <si>
    <t>Grace Renewable Energy Limited</t>
  </si>
  <si>
    <t>Gujarat Fabrication</t>
  </si>
  <si>
    <t>Gunjan Marketing</t>
  </si>
  <si>
    <t>Haryana Auto Engineering</t>
  </si>
  <si>
    <t>Intact Building Safety Solutions Int Pvt Ltd</t>
  </si>
  <si>
    <t>Jaliyan Enterprise</t>
  </si>
  <si>
    <t>Jay Ambe Industries.-24AXDPP0457E1ZR</t>
  </si>
  <si>
    <t>Jay Marketing</t>
  </si>
  <si>
    <t>K P Enterprises</t>
  </si>
  <si>
    <t>K.P. Woven Pvt Ltd - Unit 2 (Nani Chirai) -Purchase</t>
  </si>
  <si>
    <t>Kanaji Prahladji Thakor</t>
  </si>
  <si>
    <t>Kayel Syntex Limited</t>
  </si>
  <si>
    <t>Khodiyar Traders</t>
  </si>
  <si>
    <t>Kim Enterprise</t>
  </si>
  <si>
    <t>Kuehne Nagel Private Limited</t>
  </si>
  <si>
    <t>Kush Enterprise</t>
  </si>
  <si>
    <t>LAKSH IMPEX-Gujarat</t>
  </si>
  <si>
    <t>M/S Liofer India</t>
  </si>
  <si>
    <t>Madhav Infracon</t>
  </si>
  <si>
    <t>Mainfreight India Pvt Ltd 27AAQCM7304J1Z2</t>
  </si>
  <si>
    <t>Mak Engineering Works</t>
  </si>
  <si>
    <t>Manish Metals</t>
  </si>
  <si>
    <t>Mateshwari Sweets</t>
  </si>
  <si>
    <t>Mep Enterprise</t>
  </si>
  <si>
    <t>Narayanlal Nainalal Prajapati</t>
  </si>
  <si>
    <t>Nayra Enterprise</t>
  </si>
  <si>
    <t>One Stop Services</t>
  </si>
  <si>
    <t>Paras Paper Mart</t>
  </si>
  <si>
    <t>Parekh Bulk Pack - Purchase</t>
  </si>
  <si>
    <t>Patel Electrical Works-Sanand</t>
  </si>
  <si>
    <t>Plastene India ltd - Unit 2-Purchase</t>
  </si>
  <si>
    <t>Pranam Hvac Engineering Pvt Ltd</t>
  </si>
  <si>
    <t>Pratiksha Trading Co</t>
  </si>
  <si>
    <t>Ramdev Metal Industries</t>
  </si>
  <si>
    <t>Retailez Private Limited 24AALCR3173P1ZT</t>
  </si>
  <si>
    <t>RR International</t>
  </si>
  <si>
    <t>S S Water Solutions</t>
  </si>
  <si>
    <t>S.M Enterprise</t>
  </si>
  <si>
    <t>Samtaben Bharat Bhai Barad</t>
  </si>
  <si>
    <t>Sarang Agency</t>
  </si>
  <si>
    <t>Sarswati Precision- Crediter</t>
  </si>
  <si>
    <t>Satyam Impex-Gujarat</t>
  </si>
  <si>
    <t>Satyanarayan Rubplast Private Limited</t>
  </si>
  <si>
    <t>Sgs India Private Limited -06AAACS5514Q1Z2</t>
  </si>
  <si>
    <t>Shakti Sarkar Moneral Water Suppliers</t>
  </si>
  <si>
    <t>Shiv Stonex</t>
  </si>
  <si>
    <t>Shivshakti Traders</t>
  </si>
  <si>
    <t>Shree Balaji Enterprise - 24BQPPM5472A1ZU</t>
  </si>
  <si>
    <t>Shree Ghanshyam Engineering Works</t>
  </si>
  <si>
    <t>Shree Kuldevi Traders</t>
  </si>
  <si>
    <t>Shreenath Traders</t>
  </si>
  <si>
    <t>Shri Mehta Ceramic</t>
  </si>
  <si>
    <t>Siddharth Subscription Agency - 27AAAPJ9238K2ZE</t>
  </si>
  <si>
    <t>Smart Loundry Home</t>
  </si>
  <si>
    <t>Sps Tubes Industries</t>
  </si>
  <si>
    <t>Star Electric Work</t>
  </si>
  <si>
    <t>Tecno Cooling Services</t>
  </si>
  <si>
    <t>Urban Junggle Privet Limited</t>
  </si>
  <si>
    <t>Vagheshwari Engineering</t>
  </si>
  <si>
    <t>Vajabhai Nagjibhai Gohel</t>
  </si>
  <si>
    <t>Vasudev Enterprise</t>
  </si>
  <si>
    <t>Viraj Enterprises</t>
  </si>
  <si>
    <t>Vivid Plus Private Limited</t>
  </si>
  <si>
    <t>Vk Bricks &amp; MJ Enterprise</t>
  </si>
  <si>
    <t>Yash Trips</t>
  </si>
  <si>
    <t>All-Way Logistics India Private Limited</t>
  </si>
  <si>
    <t>Ashapura Logistics Limited (Ashapura Forwarders Ltd)- 27AADCA4633M1ZJ</t>
  </si>
  <si>
    <t>Ckb Global Logistic Pvt Ltd-Maharashtra</t>
  </si>
  <si>
    <t>Expo Freight Private Limited</t>
  </si>
  <si>
    <t>G S Infraport Private Limited</t>
  </si>
  <si>
    <t>Girick Shipping Agencies Private Limited</t>
  </si>
  <si>
    <t>Globus Transitos Pvt Ltd</t>
  </si>
  <si>
    <t>Hindustan Infralog Private Limited</t>
  </si>
  <si>
    <t>New Adani Roadways</t>
  </si>
  <si>
    <t>Rajat Logistics</t>
  </si>
  <si>
    <t>Reetu Global Logistics</t>
  </si>
  <si>
    <t>Rv Shipping &amp; Logistics-24LPLPS1931R2ZW</t>
  </si>
  <si>
    <t>Shivam Transworld</t>
  </si>
  <si>
    <t>Shreenathji Worldwide Pvt Ltd-Gujarat</t>
  </si>
  <si>
    <t>Swarnim Logistics</t>
  </si>
  <si>
    <t>V R Logistics Limited</t>
  </si>
  <si>
    <t>V-Trans (India) Ltd. - 26Aaacv1559q2zr</t>
  </si>
  <si>
    <t>V-Trans (India) Ltd. - Karnataka</t>
  </si>
  <si>
    <t>Vrl Logistics Limited</t>
  </si>
  <si>
    <t>Vrl Logistics Limited - 08AABCV3609C1ZN</t>
  </si>
  <si>
    <t>Vs Trans Lojistik Private Limited-Rajasthan</t>
  </si>
  <si>
    <t>Zim Integrated Shipping Services (I) Pvt Ltd</t>
  </si>
  <si>
    <t>CC ICICI Anil Goyal 5007</t>
  </si>
  <si>
    <t>Cc Rbl Manish Banthia 4035</t>
  </si>
  <si>
    <t>CC SCB Anil Goyal 2769</t>
  </si>
  <si>
    <t>CC SCB Anil Goyal 5603</t>
  </si>
  <si>
    <t>ABT Sourcing And Consulting Llc</t>
  </si>
  <si>
    <t>ERD - Supplier</t>
  </si>
  <si>
    <t>Polymma (Hk) Co. Ltd</t>
  </si>
  <si>
    <t>Advanced Global Marketing Company</t>
  </si>
  <si>
    <t>Arv Chemicals</t>
  </si>
  <si>
    <t>Avient Materials India Private Limited- Gujarat</t>
  </si>
  <si>
    <t>Fortune Polytech Private Limited</t>
  </si>
  <si>
    <t>Ofb Universal Fze</t>
  </si>
  <si>
    <t>Oriental Energy (Singapore) International Trading Pte Ltd</t>
  </si>
  <si>
    <t>Primaplas Private Ltd</t>
  </si>
  <si>
    <t>Rishi Fibc Solutions Pvt Ltd - Purchase</t>
  </si>
  <si>
    <t>Sabic Asia Pacific Pte Ltd</t>
  </si>
  <si>
    <t>Sun Shine International Pvt Limited</t>
  </si>
  <si>
    <t>Tricon Dry Chemicals,Llc</t>
  </si>
  <si>
    <t>Vinmar International Llc</t>
  </si>
  <si>
    <t>Vishisht Packaging Private Limited</t>
  </si>
  <si>
    <t>A D Mehta Clearing Agency</t>
  </si>
  <si>
    <t>A.Senthil Nathan</t>
  </si>
  <si>
    <t>Active Security &amp; Allied Services Pvt.Ltd.</t>
  </si>
  <si>
    <t>Adani Ports And Special Economic Zone Limited-(Kpw-1)</t>
  </si>
  <si>
    <t>Akash Industries</t>
  </si>
  <si>
    <t>Ampere Mepf Consultants Llp</t>
  </si>
  <si>
    <t>Ansari Afroz Alam Mo Yunus</t>
  </si>
  <si>
    <t>Arijeet Gandhi and Associates</t>
  </si>
  <si>
    <t>Arunkumar Shrikant Singh</t>
  </si>
  <si>
    <t>Bank Of Baroda - 24AAACB1534F2ZB</t>
  </si>
  <si>
    <t>Bank Of Baroda - 27AAACB1534F2Z5</t>
  </si>
  <si>
    <t>Barad Arunkumar Kanubhai</t>
  </si>
  <si>
    <t>Barad Devikaben Hiteshkumar</t>
  </si>
  <si>
    <t>Barad Shubhamsinh Hitendrasinh</t>
  </si>
  <si>
    <t>Bharat Bhai Ramta Bhai Barad</t>
  </si>
  <si>
    <t>Bhavna Roadways</t>
  </si>
  <si>
    <t>Bhupendra J.Shah &amp; Associates</t>
  </si>
  <si>
    <t>Brush International Mfg Company</t>
  </si>
  <si>
    <t>Chamunda Travels</t>
  </si>
  <si>
    <t>Dabhi Fire &amp; Safety</t>
  </si>
  <si>
    <t>Faisalkhan Rajukhan Contractor</t>
  </si>
  <si>
    <t>Food Junction</t>
  </si>
  <si>
    <t>G - Naam Logistics</t>
  </si>
  <si>
    <t>Gangaram Bhai</t>
  </si>
  <si>
    <t>Gaurangkumar Babubhai Co.</t>
  </si>
  <si>
    <t>Ghanshyambhai Ramtabhai Barad</t>
  </si>
  <si>
    <t>GIDC Gandhinagar</t>
  </si>
  <si>
    <t>Green Gene Enviro Protection And Infrastructure</t>
  </si>
  <si>
    <t>Happy Express</t>
  </si>
  <si>
    <t>Hasmukh C Patel</t>
  </si>
  <si>
    <t>Hetalben Ranjitbhai Barad</t>
  </si>
  <si>
    <t>Hiteshkumar Bababhai Barad</t>
  </si>
  <si>
    <t>Humongous Labs (Opc) Private Limited</t>
  </si>
  <si>
    <t>Imperial Logitrans Llp-Gujarat</t>
  </si>
  <si>
    <t>India Factoring And Finance Solutions Private Limited_27AACCI1918C1ZZ</t>
  </si>
  <si>
    <t>Infomerics Valuation And Rating Pvt. Ltd</t>
  </si>
  <si>
    <t>Ir Patel Law Associates</t>
  </si>
  <si>
    <t>Janakben Ghanshyam Bhai Barad</t>
  </si>
  <si>
    <t>Jay Ambe Engineering</t>
  </si>
  <si>
    <t>Jaydeep Pandya &amp; Co.</t>
  </si>
  <si>
    <t>K.P Enterprise</t>
  </si>
  <si>
    <t>Kanubhai Bhikhambhai Solanki</t>
  </si>
  <si>
    <t>Karnataka Bank - 24AABCT5589K2ZU</t>
  </si>
  <si>
    <t>Khodabhai C Thakor</t>
  </si>
  <si>
    <t>Krishna Electro</t>
  </si>
  <si>
    <t>Kundanba Ghelubha Vaghela</t>
  </si>
  <si>
    <t>Legal Entity Identifier India Limited_27AACCL9508M1Z1</t>
  </si>
  <si>
    <t>Lovekush Enterprise</t>
  </si>
  <si>
    <t>Mehboobkhan Daudkhan Pathan</t>
  </si>
  <si>
    <t>Mewad Palace Hotel</t>
  </si>
  <si>
    <t>National Security Depository Limited</t>
  </si>
  <si>
    <t>Niraj R. Sharma</t>
  </si>
  <si>
    <t>Noice Academy Private Limited</t>
  </si>
  <si>
    <t>Odex India Solutions Private Limited</t>
  </si>
  <si>
    <t>P M Nahta And Co</t>
  </si>
  <si>
    <t>Pareshkumar Vasudevbhai Dave</t>
  </si>
  <si>
    <t>Pci Pest Control Pvt Ltd</t>
  </si>
  <si>
    <t>Pravinbhai D Patel</t>
  </si>
  <si>
    <t>Purnimaben Pareshkumar Dave</t>
  </si>
  <si>
    <t>Rajesh Rajendra Gupta</t>
  </si>
  <si>
    <t>Raju Ram Jangid</t>
  </si>
  <si>
    <t>Rangrej Hasmatbhai Kalyankha</t>
  </si>
  <si>
    <t>Rashmi Crane Service</t>
  </si>
  <si>
    <t>Rathod Yashvardhansinh</t>
  </si>
  <si>
    <t>Receivables Exchange Of India Limited - 27AAHCR6707P1ZP</t>
  </si>
  <si>
    <t>Rinkuben Narendrabhai Barad</t>
  </si>
  <si>
    <t>Rubix Data Sciences Private Limited</t>
  </si>
  <si>
    <t>Sahidul Mondal</t>
  </si>
  <si>
    <t>Samsung India Electronics Private Limited</t>
  </si>
  <si>
    <t>Seema Mishra</t>
  </si>
  <si>
    <t>Shantilal R Prajapati</t>
  </si>
  <si>
    <t>Shinhan Bank - 24AAACC2144A1ZL</t>
  </si>
  <si>
    <t>Shree Sai Occupational Health Care</t>
  </si>
  <si>
    <t>Smit Enterprise - Sanand</t>
  </si>
  <si>
    <t>SMS Integrated Facility Services Private Limited</t>
  </si>
  <si>
    <t>Sohanbhai Dhanjibhai Rathod</t>
  </si>
  <si>
    <t>Sonusingh Sengar</t>
  </si>
  <si>
    <t>Sriram Ramnath Rajbhar</t>
  </si>
  <si>
    <t>The Bombay Textile Research Association</t>
  </si>
  <si>
    <t>The Gandhidham Chamber Of Commerce &amp; Industry</t>
  </si>
  <si>
    <t>The Karnataka Bank Limited-29AABCT5589K1ZL</t>
  </si>
  <si>
    <t>Union Bank Of India-24AAACU0564G2ZM</t>
  </si>
  <si>
    <t>Usha Plastic</t>
  </si>
  <si>
    <t>V Trans India Ltd 06AAACV1559Q1ZU</t>
  </si>
  <si>
    <t>Vijaykumar Ghanshyam Chauhan</t>
  </si>
  <si>
    <t>Vodafone Idea Limited - 24AAACB2100P1Z3</t>
  </si>
  <si>
    <t>Webuild Consultants</t>
  </si>
  <si>
    <t>Westwind Shipping And Logistics Pvt.Ltd</t>
  </si>
  <si>
    <t>Bank Cash Credit BOB 25380500000217</t>
  </si>
  <si>
    <t>Bank Cash Credit PNB 0170108700000235</t>
  </si>
  <si>
    <t>Bank Cash Credit Union Bank 00415010000011</t>
  </si>
  <si>
    <t>Bank EPC BOB 25380700000037</t>
  </si>
  <si>
    <t>Bank Epc Bob 25380700000042</t>
  </si>
  <si>
    <t>Union Bank EPC - 000417220000002</t>
  </si>
  <si>
    <t>Bank Term Loan BOB 25380600000469</t>
  </si>
  <si>
    <t>Bank Term Loan Bob Ac No. 73280600000058</t>
  </si>
  <si>
    <t>Bank Term Loan BOB Ac No. 73280600000059</t>
  </si>
  <si>
    <t>Bank Term Loan BOB Ac No.73280600000029</t>
  </si>
  <si>
    <t>The Karnataka Bank Limited Term Loan 0021702600001801</t>
  </si>
  <si>
    <t>Bank Cash Credit Karnataka Bank 021702400000901</t>
  </si>
  <si>
    <t>Bank Of Baroda PCFC- 25380700000043</t>
  </si>
  <si>
    <t>Bill of Exchagne - RXIL Exchange</t>
  </si>
  <si>
    <t>Karnataka Bank EPC</t>
  </si>
  <si>
    <t>Pcfc Karnatak 00212500014</t>
  </si>
  <si>
    <t>Pcfc Karnatak 00212500015</t>
  </si>
  <si>
    <t>Pcfc Karnatak 00212500016</t>
  </si>
  <si>
    <t>Pcfcy Karnatak 00212600001</t>
  </si>
  <si>
    <t>Pcfcy Karnatak 00212600002</t>
  </si>
  <si>
    <t>Union Bank PCFC - 000417220000003</t>
  </si>
  <si>
    <t>Union Bank PCFC - 312807220000031</t>
  </si>
  <si>
    <t>Provision For Income Tax</t>
  </si>
  <si>
    <t>Tushar Prajapati  Imprest A/C</t>
  </si>
  <si>
    <t>Gujarat State Fertilizer &amp; Chemicals Ltd  24AAACG7996C1ZJ</t>
  </si>
  <si>
    <t>Bank Charges -  Inspection</t>
  </si>
  <si>
    <t>Interest Expense -  Term Loan</t>
  </si>
  <si>
    <t>Titan Reeds  &amp; Healds Co.</t>
  </si>
  <si>
    <t>Dwarkesh Pan Parlour &amp; General  Store</t>
  </si>
  <si>
    <t>V Trans India Limited  24AAACV1559Q1ZW</t>
  </si>
  <si>
    <t>Jay Plastic -  24AQYPT7026M1ZW</t>
  </si>
  <si>
    <t>Bob Loan – 73280600000173</t>
  </si>
  <si>
    <t>Union Bank Loan – 000416440000030</t>
  </si>
  <si>
    <t>Karnataka Bank  PCFCY00212500010</t>
  </si>
  <si>
    <t>Name of the Company : - KPW I (2026-27)</t>
  </si>
  <si>
    <t>Depreciation</t>
  </si>
  <si>
    <t>Bank Charges &amp; Commission</t>
  </si>
  <si>
    <t>Interest on Term Loan</t>
  </si>
  <si>
    <t>Interest on Working Capital &amp; Term Loan</t>
  </si>
  <si>
    <t>Investment In Mutual Fund (Bank Of Baroda)</t>
  </si>
  <si>
    <t>Bank CA SBI 32181198198</t>
  </si>
  <si>
    <t>Bank CA BOB 25380200000283</t>
  </si>
  <si>
    <t>TDS Receivable 2021-22</t>
  </si>
  <si>
    <t>IGST Input</t>
  </si>
  <si>
    <t>TCS On Purchase 21-22</t>
  </si>
  <si>
    <t>TCS On Purchase 20-21</t>
  </si>
  <si>
    <t>Aarohi Trading Co.</t>
  </si>
  <si>
    <t>Ambica Sales</t>
  </si>
  <si>
    <t>Bajrang Traders</t>
  </si>
  <si>
    <t>Bulkpack Exports Limited - Sales</t>
  </si>
  <si>
    <t>Emmbi Industries Limited</t>
  </si>
  <si>
    <t>Fairdeal Jumbo Packaging Pvt Ltd - Sales</t>
  </si>
  <si>
    <t>HCP Plastene Bulkpack Ltd (Unit-III) - Sales</t>
  </si>
  <si>
    <t>Hcp Plastene Bulkpack Ltd Vadodara-Sales</t>
  </si>
  <si>
    <t>Heer Plastics</t>
  </si>
  <si>
    <t>IMBB - Sales</t>
  </si>
  <si>
    <t>Kadarbhai Daraji</t>
  </si>
  <si>
    <t>20 Microns Limited- Alwar</t>
  </si>
  <si>
    <t>Arrow Asssociates</t>
  </si>
  <si>
    <t>M D PLASTIC</t>
  </si>
  <si>
    <t>Macfil Industries - Sales</t>
  </si>
  <si>
    <t>Avesta Pharma Pvt Ltd</t>
  </si>
  <si>
    <t>Avira Naturals Pvt Ltd- Sales</t>
  </si>
  <si>
    <t>Bhagwati Products</t>
  </si>
  <si>
    <t>Olive Industries - Sales</t>
  </si>
  <si>
    <t>Oswal Extrusion Ltd - HO-Sales</t>
  </si>
  <si>
    <t>Deep Worldwide LLP</t>
  </si>
  <si>
    <t>Dharmik Polymers</t>
  </si>
  <si>
    <t>Dhaval Traders</t>
  </si>
  <si>
    <t>Dineshkumar Shantilal &amp; Co.</t>
  </si>
  <si>
    <t>Jay Viru Plast</t>
  </si>
  <si>
    <t>Karthik Polymers</t>
  </si>
  <si>
    <t>Platinium Tie-Up Pvt Ltd - Sales</t>
  </si>
  <si>
    <t>Polytech International Pvt. Ltd</t>
  </si>
  <si>
    <t>Rajasthan Gum Pvt Ltd</t>
  </si>
  <si>
    <t>S K Traders</t>
  </si>
  <si>
    <t>Satguru Enterprises</t>
  </si>
  <si>
    <t>Krishna Industries</t>
  </si>
  <si>
    <t>Meet Corporation</t>
  </si>
  <si>
    <t>N S Traders</t>
  </si>
  <si>
    <t>Padmanabh Alloys And Polymers Ltd.</t>
  </si>
  <si>
    <t>Pamnani International</t>
  </si>
  <si>
    <t>Sodium Metal Pvt Ltd</t>
  </si>
  <si>
    <t>Swastik Sales</t>
  </si>
  <si>
    <t>Varmd  Impex India Pvt Ltd</t>
  </si>
  <si>
    <t>Parth Poly Coat Yarn Pvt.Ltd. - Debtor</t>
  </si>
  <si>
    <t>Agro Alex Group Co. For Agricultural Industrialization Import And Export</t>
  </si>
  <si>
    <t>Agroszemek Kft</t>
  </si>
  <si>
    <t>Boxon Sarl, France</t>
  </si>
  <si>
    <t>Carmeuse Majan Llc (Sfz)</t>
  </si>
  <si>
    <t>Carretta Tessitura S.R.L.</t>
  </si>
  <si>
    <t>Codefine International SA</t>
  </si>
  <si>
    <t>Comercial Pra Cafe Ltda - Espirito Santos</t>
  </si>
  <si>
    <t>Comercial Pra Cafe Ltda - Manaus</t>
  </si>
  <si>
    <t>Dajusa 2002 S.L.</t>
  </si>
  <si>
    <t>Frelun S.A.</t>
  </si>
  <si>
    <t>Galeb Jameel Dwaikat</t>
  </si>
  <si>
    <t>Greif Flexibles France Sarl</t>
  </si>
  <si>
    <t>Growtivation</t>
  </si>
  <si>
    <t>Hypergrain S A</t>
  </si>
  <si>
    <t>Inversions 2N LDTA</t>
  </si>
  <si>
    <t>Jumbostrap Ou</t>
  </si>
  <si>
    <t>Ganesh Plastics</t>
  </si>
  <si>
    <t>Shivam Traders - Sales (24AGUPS9760R1ZZ)</t>
  </si>
  <si>
    <t>Shree Daudayal Polyfab LLP</t>
  </si>
  <si>
    <t>Shree Khodiyar Trading Company</t>
  </si>
  <si>
    <t>Shree Krishna Plastics</t>
  </si>
  <si>
    <t>Shree Madhav Plastic</t>
  </si>
  <si>
    <t>Shreya Enterpriese</t>
  </si>
  <si>
    <t>Sidharth Texo Fab</t>
  </si>
  <si>
    <t>Sikotar Traders</t>
  </si>
  <si>
    <t>Simplex Chemopack Pvt. Ltd.</t>
  </si>
  <si>
    <t>Veeshna Polypack Pvt Ltd - Sales</t>
  </si>
  <si>
    <t>Vishal Packaging</t>
  </si>
  <si>
    <t>Plastene India ltd - HO-Sales</t>
  </si>
  <si>
    <t>Lorenzati, Ruetsch y Cia SA</t>
  </si>
  <si>
    <t>Madi Sp. z.o.o.</t>
  </si>
  <si>
    <t>Prodeman S.A.</t>
  </si>
  <si>
    <t>Ravitaillement International Inc.</t>
  </si>
  <si>
    <t>Relianz Ag</t>
  </si>
  <si>
    <t>Satucesa Europa, S.L.U.</t>
  </si>
  <si>
    <t>Tomorrow Symbol Unipessoal Lda</t>
  </si>
  <si>
    <t>Ventas Internacionales S.A.</t>
  </si>
  <si>
    <t>Warner &amp; Warner Inc.</t>
  </si>
  <si>
    <t>Western Grain Trading Inc</t>
  </si>
  <si>
    <t>Electrical Installation_Wip</t>
  </si>
  <si>
    <t>Car - BMW 320D GJ38BC0582</t>
  </si>
  <si>
    <t>Discount &amp; Rate Difference - Purchase</t>
  </si>
  <si>
    <t>C &amp; F  Charges  - Import</t>
  </si>
  <si>
    <t>Power Expense</t>
  </si>
  <si>
    <t>Rent Expense - Colony</t>
  </si>
  <si>
    <t>Purchase - Urd - Stores, Spares &amp; Consumable</t>
  </si>
  <si>
    <t>Corporate social responsibility</t>
  </si>
  <si>
    <t>Donation &amp; Charity A/C</t>
  </si>
  <si>
    <t>House Keeping Expense</t>
  </si>
  <si>
    <t>Membership &amp; Subscription Fees</t>
  </si>
  <si>
    <t>Xerox Expense</t>
  </si>
  <si>
    <t>Repairs &amp; Maintenance Exp - Building</t>
  </si>
  <si>
    <t>Vehicle Hire Charges - RCM</t>
  </si>
  <si>
    <t>Vehicle Hire Charges - With Gst</t>
  </si>
  <si>
    <t>Allowance - Vehicle Maintenance</t>
  </si>
  <si>
    <t>GST Expenses</t>
  </si>
  <si>
    <t>Interest On TDS</t>
  </si>
  <si>
    <t>Discount &amp; Rate Difference - Sales</t>
  </si>
  <si>
    <t>Fumigation Charges</t>
  </si>
  <si>
    <t>Ground Rent Charges</t>
  </si>
  <si>
    <t>Job Work Income</t>
  </si>
  <si>
    <t>TCS on Sales 20-21</t>
  </si>
  <si>
    <t>TCS On Sales 21-22</t>
  </si>
  <si>
    <t>TCS On Sales 22-23</t>
  </si>
  <si>
    <t>TCS On Sales 23-24</t>
  </si>
  <si>
    <t>TDS -194H (Commission)</t>
  </si>
  <si>
    <t>Ip Cleaning India Pvt Ltd</t>
  </si>
  <si>
    <t>Lohia Corp Limited - 29AAKCK2932Q1ZS - Kar</t>
  </si>
  <si>
    <t>Revive System</t>
  </si>
  <si>
    <t>Moral Associates</t>
  </si>
  <si>
    <t>Pravin Timber Works (Unit II)</t>
  </si>
  <si>
    <t>Saanvi Pallets</t>
  </si>
  <si>
    <t>A. Chokshi Engineering Pvt Ltd</t>
  </si>
  <si>
    <t>Advance Cooling Systems Pvt. Ltd</t>
  </si>
  <si>
    <t>Aerodry Plastics Automation Pvt Ltd</t>
  </si>
  <si>
    <t>Airavat Mro</t>
  </si>
  <si>
    <t>Aksh Enterprise</t>
  </si>
  <si>
    <t>Anar Rubtech Pvt Ltd</t>
  </si>
  <si>
    <t>Anupam Heaters &amp; Controls Pvt Ltd</t>
  </si>
  <si>
    <t>Apco Agencies</t>
  </si>
  <si>
    <t>Asha Mica Traders</t>
  </si>
  <si>
    <t>Astha International</t>
  </si>
  <si>
    <t>Aum Enterprise</t>
  </si>
  <si>
    <t>Aum Polypack</t>
  </si>
  <si>
    <t>Axle Steel &amp; Fasteners - Sales</t>
  </si>
  <si>
    <t>Bhavani International</t>
  </si>
  <si>
    <t>BNAL Prefabs Pvt Ltd</t>
  </si>
  <si>
    <t>Cir-Q-Tech Tako Technologies Pvt. Ltd.</t>
  </si>
  <si>
    <t>Evolution Elektrotech Pvt Ltd</t>
  </si>
  <si>
    <t>Finetech Engineers</t>
  </si>
  <si>
    <t>Firki Wholesale Private Limited</t>
  </si>
  <si>
    <t>Hi Flex Hydraulics Pvt Ltd</t>
  </si>
  <si>
    <t>Hitco Electricals Pvt Ltd.</t>
  </si>
  <si>
    <t>J P Extrusiontech Private Limited</t>
  </si>
  <si>
    <t>K.Patel &amp; Company</t>
  </si>
  <si>
    <t>Kant Plastology</t>
  </si>
  <si>
    <t>Kavan Tradelink</t>
  </si>
  <si>
    <t>Keshari Enterprises</t>
  </si>
  <si>
    <t>Kothari Packaging Industries</t>
  </si>
  <si>
    <t>Kristeel Shinwa Industries Limited - Dadar And Nagar</t>
  </si>
  <si>
    <t>Krunal Enterprise</t>
  </si>
  <si>
    <t>Lohia Global Solutions - Gujarat - (A Div of Lohia Corp Ltd)</t>
  </si>
  <si>
    <t>Lohia Global Solutions - Karnataka (Div Of Lohia Corp)</t>
  </si>
  <si>
    <t>Nrs Industrial Products</t>
  </si>
  <si>
    <t>Orion Equipment</t>
  </si>
  <si>
    <t>Oswal Lumbers Pvt Ltd</t>
  </si>
  <si>
    <t>Poshak Fashion</t>
  </si>
  <si>
    <t>Pramukh Enterprise</t>
  </si>
  <si>
    <t>Rabatex Industries Private Limited</t>
  </si>
  <si>
    <t>Ramp Impex Pvt Ltd</t>
  </si>
  <si>
    <t>Refresh Air Conditioning</t>
  </si>
  <si>
    <t>Regency Grani Marmo</t>
  </si>
  <si>
    <t>Riddhi Mech-Fab Engineering</t>
  </si>
  <si>
    <t>Rotek Engineers</t>
  </si>
  <si>
    <t>RSR Trade Link</t>
  </si>
  <si>
    <t>Rubberking Tyre Pvt Ltd</t>
  </si>
  <si>
    <t>Rushabh Fastech Llp</t>
  </si>
  <si>
    <t>Sahjanand Enterprise</t>
  </si>
  <si>
    <t>Satyanarayan Rubber And Plastic Industries</t>
  </si>
  <si>
    <t>Schepper Enterprise Private Limited</t>
  </si>
  <si>
    <t>Shil Technologies Pvt Ltd</t>
  </si>
  <si>
    <t>Shiv Trading Co.</t>
  </si>
  <si>
    <t>Shivam Enterprise - Purchase</t>
  </si>
  <si>
    <t>Shree Krishna Rubbers</t>
  </si>
  <si>
    <t>Shree Nakalang Steel</t>
  </si>
  <si>
    <t>Siddhi Engineers - 24AGAPG4314P1ZJ</t>
  </si>
  <si>
    <t>Simplified Technologies</t>
  </si>
  <si>
    <t>Star Belting</t>
  </si>
  <si>
    <t>Texpart Marketing</t>
  </si>
  <si>
    <t>Theam Utility Solution</t>
  </si>
  <si>
    <t>V.S.Enterprise</t>
  </si>
  <si>
    <t>Valley Textile</t>
  </si>
  <si>
    <t>Volga Agency</t>
  </si>
  <si>
    <t>V Trans India Limited 29AAACV1559Q1ZM</t>
  </si>
  <si>
    <t>Abc Cooling System</t>
  </si>
  <si>
    <t>Abhiram Traction</t>
  </si>
  <si>
    <t>Aditi Sales And Services</t>
  </si>
  <si>
    <t>Alankar Automotives Pvt Ltd</t>
  </si>
  <si>
    <t>Anshita Trading Co.Pvt Ltd-Purchase</t>
  </si>
  <si>
    <t>Ashapuri Electric Co</t>
  </si>
  <si>
    <t>Balaji Logistics</t>
  </si>
  <si>
    <t>Cess Automation India LLP</t>
  </si>
  <si>
    <t>D N Enterprise</t>
  </si>
  <si>
    <t>Dapic Electronics And Automation</t>
  </si>
  <si>
    <t>Dynamic Industries</t>
  </si>
  <si>
    <t>Emkay Enterprises</t>
  </si>
  <si>
    <t>Empire Air Conditioning Pvt Ltd</t>
  </si>
  <si>
    <t>Freight Lines India Pvt Ltd 27AAACF0535E1Z5</t>
  </si>
  <si>
    <t>Gallops Autohaus Pvt. Ltd.</t>
  </si>
  <si>
    <t>Go Green Fze</t>
  </si>
  <si>
    <t>Hansa Provision Stores</t>
  </si>
  <si>
    <t>Inar company Private Limited (formaly Tumi Enterprise Pvt Ltd)</t>
  </si>
  <si>
    <t>Indiaideas.Com Limited- 27AAACI7986C1ZD- Bill Desk</t>
  </si>
  <si>
    <t>Jaihind Petroleum</t>
  </si>
  <si>
    <t>Jan Marketing</t>
  </si>
  <si>
    <t>Jasch Industries Limited</t>
  </si>
  <si>
    <t>Jdm Worldwide Freight Solutions Pvt Ltd</t>
  </si>
  <si>
    <t>Krishna Insulation</t>
  </si>
  <si>
    <t>La Decore</t>
  </si>
  <si>
    <t>Lohia Corp Limited - Kanpur</t>
  </si>
  <si>
    <t>Mahavir Marketing</t>
  </si>
  <si>
    <t>Mj Fire Safety Service</t>
  </si>
  <si>
    <t>MK Enterprises</t>
  </si>
  <si>
    <t>MPKI Packaging Private Limited</t>
  </si>
  <si>
    <t>Mufg Intime India Private Limited</t>
  </si>
  <si>
    <t>Muskan Enterprise</t>
  </si>
  <si>
    <t>Om Enterprises Sanand</t>
  </si>
  <si>
    <t>Oswal Extrusion Ltd - HO-Purchase</t>
  </si>
  <si>
    <t>Plastene India ltd - Unit 8-Purchase</t>
  </si>
  <si>
    <t>Pradip Enterprises</t>
  </si>
  <si>
    <t>Prasad Koch Technic Pvt Ltd</t>
  </si>
  <si>
    <t>Protea Retails Private Limited</t>
  </si>
  <si>
    <t>Raj Paint Works</t>
  </si>
  <si>
    <t>Rivera Bath Ware</t>
  </si>
  <si>
    <t>Robro Systems Private Limited</t>
  </si>
  <si>
    <t>S.A. Airconditining</t>
  </si>
  <si>
    <t>Sahajanand Transmission</t>
  </si>
  <si>
    <t>Sanjay Trade And Industries</t>
  </si>
  <si>
    <t>Sheetal Enterprises</t>
  </si>
  <si>
    <t>Shree Navdurga Stone Care</t>
  </si>
  <si>
    <t>Shreeji Engineers- 24AEYPP0488D1Z4</t>
  </si>
  <si>
    <t>Simandhar Technology</t>
  </si>
  <si>
    <t>Urvashi Logistics</t>
  </si>
  <si>
    <t>V Trans India Limited 08AAACV1559Q1ZQ</t>
  </si>
  <si>
    <t>Visatkrupa Bright Steel</t>
  </si>
  <si>
    <t>Washington Enterprise</t>
  </si>
  <si>
    <t>Wittmann Battenfeld India Pvt Ltd</t>
  </si>
  <si>
    <t>Active Cargo Movers</t>
  </si>
  <si>
    <t>Believe Logistic-Gujarat</t>
  </si>
  <si>
    <t>Cargo Marketing International Private Limited</t>
  </si>
  <si>
    <t>Evergreen Shipping Agency (India) Pvt Ltd</t>
  </si>
  <si>
    <t>Fast And Fair Shipping And Logistics</t>
  </si>
  <si>
    <t>Fortune Shipping Services Pvt Ltd</t>
  </si>
  <si>
    <t>Hind Carriers Pvt Ltd</t>
  </si>
  <si>
    <t>Meldi Roadways</t>
  </si>
  <si>
    <t>Shyam Shipping Services - 24BNVPS6390A1ZL</t>
  </si>
  <si>
    <t>CC HDFC Anil Goyal 3385</t>
  </si>
  <si>
    <t>CC HDFC Prakash Parekh 7800</t>
  </si>
  <si>
    <t>AASHTO -  NTPEP DataMine</t>
  </si>
  <si>
    <t>Ameriglobe LLC - Purchase</t>
  </si>
  <si>
    <t>IRO Ab</t>
  </si>
  <si>
    <t>Itema (Switzerland) Ltd</t>
  </si>
  <si>
    <t>Jose Maria Camargo</t>
  </si>
  <si>
    <t>Polytek Makina Dis Ticaret Limited Sirketi</t>
  </si>
  <si>
    <t>Alok Master Batches Private Limited- Dadra</t>
  </si>
  <si>
    <t>An Thanh Bicsol Jsc</t>
  </si>
  <si>
    <t>An Thanh Bicsol Singapore Pte Ltd</t>
  </si>
  <si>
    <t>Basell International Trading Fze</t>
  </si>
  <si>
    <t>Global Polythreads</t>
  </si>
  <si>
    <t>Gopala Polyplast Limited - Purchase</t>
  </si>
  <si>
    <t>HCP Plastene Bulkpack Ltd (Unit-III) - Purchase</t>
  </si>
  <si>
    <t>Hexagon Globe</t>
  </si>
  <si>
    <t>Ivict(Singapore) Pte. Ltd.</t>
  </si>
  <si>
    <t>Koco Group Limited</t>
  </si>
  <si>
    <t>Macfil Industries - Purchase</t>
  </si>
  <si>
    <t>Mayur Straps &amp; Packaging Industries</t>
  </si>
  <si>
    <t>Monit Trading Pvt Ltd</t>
  </si>
  <si>
    <t>OCI (Hongkong) Limited</t>
  </si>
  <si>
    <t>ONGC Petro Addition Ltd</t>
  </si>
  <si>
    <t>Rudra Plastic</t>
  </si>
  <si>
    <t>Shree Hari Filament</t>
  </si>
  <si>
    <t>Shree Jalaram Chem Trade</t>
  </si>
  <si>
    <t>Soltex Petro Products Limited - Daman (GST Cancelled 31-07-20)</t>
  </si>
  <si>
    <t>Soltex Petro Products Limited - Silvassa</t>
  </si>
  <si>
    <t>United Raw Material Pte Ltd</t>
  </si>
  <si>
    <t>Act Logistics</t>
  </si>
  <si>
    <t>Adinath Enterprise</t>
  </si>
  <si>
    <t>Amanulla Mondal</t>
  </si>
  <si>
    <t>Anup Bora</t>
  </si>
  <si>
    <t>Cc Icici Manish Banthia 9007</t>
  </si>
  <si>
    <t>Charu Agroplast Pvt Ltd Unit -II</t>
  </si>
  <si>
    <t>Continental Warehousing Corporation (Nhava Seva)</t>
  </si>
  <si>
    <t>DHL Express (India) Pvt Ltd - Maharashtra</t>
  </si>
  <si>
    <t>Futuristic Technologies</t>
  </si>
  <si>
    <t>Gujarat Energy Transmission Corporation Limited</t>
  </si>
  <si>
    <t>Harsiddhi Enterprise</t>
  </si>
  <si>
    <t>ISSGF India Private Limited</t>
  </si>
  <si>
    <t>Laxman B. Bakutra</t>
  </si>
  <si>
    <t>Macfil Global Private Limited - Purchase</t>
  </si>
  <si>
    <t>Maruti Plastic  24ACBFM1584C1ZM</t>
  </si>
  <si>
    <t>Midas Yarn Processors Pvt Ltd</t>
  </si>
  <si>
    <t>Munahir Khan</t>
  </si>
  <si>
    <t>Pooja Enterprise-Sanand</t>
  </si>
  <si>
    <t>QVC Certification Services Pvt. Ltd.</t>
  </si>
  <si>
    <t>Reliance Jio Infocomm Limited</t>
  </si>
  <si>
    <t>RSM Astute Consultech Private Limited</t>
  </si>
  <si>
    <t>Sakalain Khan</t>
  </si>
  <si>
    <t>Sanand Industries Association</t>
  </si>
  <si>
    <t>Sankalp Mehta Associate</t>
  </si>
  <si>
    <t>Shah Rajesh Virendrabhai</t>
  </si>
  <si>
    <t>Shree Raj Industries</t>
  </si>
  <si>
    <t>Soveer Shivram Singh</t>
  </si>
  <si>
    <t>SSP Royal Enterprise</t>
  </si>
  <si>
    <t>Suhit Tejas Contractor</t>
  </si>
  <si>
    <t>Surjo Enterprise</t>
  </si>
  <si>
    <t>The Plastics Export Promotion Council</t>
  </si>
  <si>
    <t>Vihaan Telecommunication Private Limited</t>
  </si>
  <si>
    <t>BOB Forklift Loan Ac 03240600002341_Secured</t>
  </si>
  <si>
    <t>HDFC A/c 83098900_Chiller plant</t>
  </si>
  <si>
    <t>HDFC A/C 83121232_Chiller plant</t>
  </si>
  <si>
    <t>Secured Loan_HDFC A/C 83121235_Forklift</t>
  </si>
  <si>
    <t>Bank Overdraft BOB 73280400000010</t>
  </si>
  <si>
    <t>Bank PCFC BOB - EURO</t>
  </si>
  <si>
    <t>Bank PCFC BOB-25380700000040- USD</t>
  </si>
  <si>
    <t>Sales Bill Discounted Exports - Mogli Labs Asia Private Limited</t>
  </si>
  <si>
    <t>Sales Bill Discounted Exports - Shinhan</t>
  </si>
  <si>
    <t>Ace Polymers</t>
  </si>
  <si>
    <t>Agroha Colourtec Private Limited - Sales</t>
  </si>
  <si>
    <t>Akshar Polypack LLP - Sales</t>
  </si>
  <si>
    <t>Appl Industries Limited, Gurugram</t>
  </si>
  <si>
    <t>Century Fibc</t>
  </si>
  <si>
    <t>Colourtex Industries Pvt. Ltd. (Unit-2)</t>
  </si>
  <si>
    <t>Ganesh Traders</t>
  </si>
  <si>
    <t>Gopala Polyplast Limited - Sales</t>
  </si>
  <si>
    <t>Ideal Wovenplast Private Limited</t>
  </si>
  <si>
    <t>Jay Hinglaj Trading</t>
  </si>
  <si>
    <t>Jay Organics Pvt. Ltd.</t>
  </si>
  <si>
    <t>Kayel Syntex Limited - Sales</t>
  </si>
  <si>
    <t>Kohinoor Traders</t>
  </si>
  <si>
    <t>Komal Industries</t>
  </si>
  <si>
    <t>Krishna Plastics</t>
  </si>
  <si>
    <t>Madhu Silica Pvt. Ltd.</t>
  </si>
  <si>
    <t>Mangal Polysacks Pvt Ltd</t>
  </si>
  <si>
    <t>Parth Polymers - Sales</t>
  </si>
  <si>
    <t>Petro Polyflex Industries</t>
  </si>
  <si>
    <t>PG India Logistics Pvt Ltd</t>
  </si>
  <si>
    <t>R K Trading Co</t>
  </si>
  <si>
    <t>Royal Trading</t>
  </si>
  <si>
    <t>Rudra Plastic - Sales</t>
  </si>
  <si>
    <t>Shree Bhavani Trading Co.</t>
  </si>
  <si>
    <t>Shree Ram Enterprise - Ahmedabad</t>
  </si>
  <si>
    <t>Shri Balaji Plastic</t>
  </si>
  <si>
    <t>Shri Narayan Enterprise</t>
  </si>
  <si>
    <t>Shri Shakti Enterprises</t>
  </si>
  <si>
    <t>Shubh Polyfab Pvt Ltd-Sales</t>
  </si>
  <si>
    <t>Slogans Fibc Private Limited - Sales</t>
  </si>
  <si>
    <t>Swayam Polymer</t>
  </si>
  <si>
    <t>Tech Mech Electricals</t>
  </si>
  <si>
    <t>Super Cement Manufacturing Company L.L.C</t>
  </si>
  <si>
    <t>Staff Welfare Expense</t>
  </si>
  <si>
    <t>Fees &amp; Taxes</t>
  </si>
  <si>
    <t>Monarch Corporation</t>
  </si>
  <si>
    <t>Aflon Engineering Corporation</t>
  </si>
  <si>
    <t>Amatullah Enterprises</t>
  </si>
  <si>
    <t>B.K.Enterprises</t>
  </si>
  <si>
    <t>BTC Engineering</t>
  </si>
  <si>
    <t>Hmt Ceramics &amp; Engineering</t>
  </si>
  <si>
    <t>Janta Engineering Co.(Pumpwala)</t>
  </si>
  <si>
    <t>Leister Technologies India Private Limited</t>
  </si>
  <si>
    <t>Lohia Global Solutions Pvt Ltd, Gujarat</t>
  </si>
  <si>
    <t>M.H.Reeds Reparing Works</t>
  </si>
  <si>
    <t>Nu-Vu Conair Private Limited</t>
  </si>
  <si>
    <t>Thermex India</t>
  </si>
  <si>
    <t>India Glass House Corporate</t>
  </si>
  <si>
    <t>Industrial Bag Packaging</t>
  </si>
  <si>
    <t>Kaveri Electrical &amp; Hardware</t>
  </si>
  <si>
    <t>Mor Techfab Pvt .Ltd.</t>
  </si>
  <si>
    <t>Nagraj Enterprise</t>
  </si>
  <si>
    <t>Plastene India ltd - Unit 4-Purchase</t>
  </si>
  <si>
    <t>Rajukhan Munnekhan</t>
  </si>
  <si>
    <t>Ashapura Forwarders Limited - Ahmedabad</t>
  </si>
  <si>
    <t>G S Industries</t>
  </si>
  <si>
    <t>YTD MAY.26</t>
  </si>
  <si>
    <t>Finish Material</t>
  </si>
  <si>
    <t>YTD JUNE.26</t>
  </si>
  <si>
    <t>JUNE.26</t>
  </si>
  <si>
    <t>Om Shivay Industries Private Limited</t>
  </si>
  <si>
    <t>Raajratna Metal Industries Limited</t>
  </si>
  <si>
    <t>Ratnam Polymers</t>
  </si>
  <si>
    <t>Yogi Scrap Trading</t>
  </si>
  <si>
    <t>Business Promotion Expense</t>
  </si>
  <si>
    <t>Discount &amp; Rebate On Sale</t>
  </si>
  <si>
    <t>Miscellaneous Expense</t>
  </si>
  <si>
    <t>Depreciation Expenses</t>
  </si>
  <si>
    <t>Employees Benefit Expense (Esop)</t>
  </si>
  <si>
    <t>Canteen Expense - Office</t>
  </si>
  <si>
    <t>Interest Expense - Late Payment</t>
  </si>
  <si>
    <t>Audit Fees - Statutory Audit</t>
  </si>
  <si>
    <t>Interest On GST</t>
  </si>
  <si>
    <t>Advocate Fees Expense</t>
  </si>
  <si>
    <t>Balance Written Off Expense</t>
  </si>
  <si>
    <t>Sales - Interstate - Traded Goods</t>
  </si>
  <si>
    <t>Profit Or Loss On Sale Of Fixed Assets</t>
  </si>
  <si>
    <t>Balance Written Back Income</t>
  </si>
  <si>
    <t>Hafi Elektra Pvt Ltd</t>
  </si>
  <si>
    <t>R G Enterprise</t>
  </si>
  <si>
    <t>4 A S Enterprises</t>
  </si>
  <si>
    <t>A B Online</t>
  </si>
  <si>
    <t>Ashutosh Power Transbelts Ltd.</t>
  </si>
  <si>
    <t>C.H. Wirenetting Works</t>
  </si>
  <si>
    <t>Decoplasticca</t>
  </si>
  <si>
    <t>Dhirubhai And Sons</t>
  </si>
  <si>
    <t>Dsrmt Health Care Private Limited</t>
  </si>
  <si>
    <t>Krishna Enterprise - Ashram Road, Ahmedabad</t>
  </si>
  <si>
    <t>Lubgraf Products</t>
  </si>
  <si>
    <t>Mahavir Enterprise</t>
  </si>
  <si>
    <t>Mukund Steels</t>
  </si>
  <si>
    <t>Murlidhar Paper Tube</t>
  </si>
  <si>
    <t>Naran Scissors Works &amp; Traders</t>
  </si>
  <si>
    <t>Rekha Enterprise</t>
  </si>
  <si>
    <t>Shree Maruti Spring And Engineers</t>
  </si>
  <si>
    <t>Star Hardware</t>
  </si>
  <si>
    <t>Tanmay Engitech</t>
  </si>
  <si>
    <t>United Transmission</t>
  </si>
  <si>
    <t>V K Print Pack</t>
  </si>
  <si>
    <t>Vihaana Engineering</t>
  </si>
  <si>
    <t>Amardeep Pipes</t>
  </si>
  <si>
    <t>Apple Engineers</t>
  </si>
  <si>
    <t>Ashirwad Electricals &amp; Mechanical Works</t>
  </si>
  <si>
    <t>Bahuchar Petroleum</t>
  </si>
  <si>
    <t>Bhanu Pv Solar Pvt Ltd</t>
  </si>
  <si>
    <t>Bluestar Storage Solution</t>
  </si>
  <si>
    <t>Euro Premium Solar System (India) Private Limited</t>
  </si>
  <si>
    <t>Gloline Equipments Private Limited</t>
  </si>
  <si>
    <t>Harsh Engineering</t>
  </si>
  <si>
    <t>J B Enterprise</t>
  </si>
  <si>
    <t>J&amp;D Industries</t>
  </si>
  <si>
    <t>JR Infomedia</t>
  </si>
  <si>
    <t>Kushal Cargo Movers</t>
  </si>
  <si>
    <t>Lion Enterprise</t>
  </si>
  <si>
    <t>Punit Trading Co</t>
  </si>
  <si>
    <t>Rishabhdev Marketing</t>
  </si>
  <si>
    <t>Roots Multiclean Ltd.</t>
  </si>
  <si>
    <t>Santosh Kumar</t>
  </si>
  <si>
    <t>Semitrone Conchem Pvt Ltd</t>
  </si>
  <si>
    <t>Shreenath Rolling Shutters</t>
  </si>
  <si>
    <t>Skill-Tech Servise</t>
  </si>
  <si>
    <t>Solanki Engineering Company</t>
  </si>
  <si>
    <t>M R Logistics</t>
  </si>
  <si>
    <t>Mentor Freight International Pvt. Ltd</t>
  </si>
  <si>
    <t>Parker Shipping</t>
  </si>
  <si>
    <t>Unity Logistic</t>
  </si>
  <si>
    <t>Virya Logistics Technologies Private Limited</t>
  </si>
  <si>
    <t>Virya Logistics Technologies Private Limited-24AAICV0508K1ZD</t>
  </si>
  <si>
    <t>Grasim Industries Limited</t>
  </si>
  <si>
    <t>Dave Hasumatiben Vasudevbhai</t>
  </si>
  <si>
    <t>Doctor House</t>
  </si>
  <si>
    <t>DP World Multimodal Logistics Private Limited</t>
  </si>
  <si>
    <t>Export Credit Guarantee Corporation Of India Ltd.</t>
  </si>
  <si>
    <t>Hari Ratan Singh</t>
  </si>
  <si>
    <t>Iffco Tokio General Insurance Co. Ltd</t>
  </si>
  <si>
    <t>Intertek India Pvt. Ltd-Haryana</t>
  </si>
  <si>
    <t>Micro Measurement And Calibration System Llp</t>
  </si>
  <si>
    <t>Patel &amp; Mehta</t>
  </si>
  <si>
    <t>Savino Del Bene Freight Forwarders (India) Pvt. Ltd.-Gujarat</t>
  </si>
  <si>
    <t>Sbi General Insurance Co. Ltd.</t>
  </si>
  <si>
    <t>Shravankumar Prajapati</t>
  </si>
  <si>
    <t>Shree Ganesh Associates</t>
  </si>
  <si>
    <t>Pcfcy Karnataka 00212600006</t>
  </si>
  <si>
    <t>Karnataka Bank PCFCY00212600008</t>
  </si>
  <si>
    <t>Karnataka Bank PCFCY00212600009</t>
  </si>
  <si>
    <t>J K Lakshmi Cement Ltd - Gujarat</t>
  </si>
  <si>
    <t>Hicare Services Pvt Ltd</t>
  </si>
  <si>
    <t>Provision</t>
  </si>
  <si>
    <t>April</t>
  </si>
  <si>
    <t>Devatwal Steel</t>
  </si>
  <si>
    <t>Everplus Plastics Pvt Ltd.- Sales</t>
  </si>
  <si>
    <t>Nakoda Plastic</t>
  </si>
  <si>
    <t>Apex Lubricants Pvt Ltd</t>
  </si>
  <si>
    <t>Sharda Enterprise</t>
  </si>
  <si>
    <t>Toyota Material Handling India Pvt Ltd-Pune</t>
  </si>
  <si>
    <t>CC HDFC Anil Goyal 2489</t>
  </si>
  <si>
    <t>Aprirose Trading Limited (Dmcc Branch)</t>
  </si>
  <si>
    <t>Big Bag Essentials</t>
  </si>
  <si>
    <t>Platinium Tie-Up Pvt Ltd - Purchase</t>
  </si>
  <si>
    <t>Dewasi Enterprise</t>
  </si>
  <si>
    <t>Net May</t>
  </si>
  <si>
    <t>sales - stock mov.</t>
  </si>
  <si>
    <t xml:space="preserve">Provision </t>
  </si>
  <si>
    <t>DOWNLOAD AS ON 11-08-26</t>
  </si>
  <si>
    <t>May</t>
  </si>
  <si>
    <t>June</t>
  </si>
  <si>
    <t>July</t>
  </si>
  <si>
    <t>Power procurement consulting fees</t>
  </si>
  <si>
    <t>Sunscrap Solar Recycle Llp</t>
  </si>
  <si>
    <t>UGVCL</t>
  </si>
  <si>
    <t>TDS Receivable 2020-21</t>
  </si>
  <si>
    <t>Cesur Usa, Llc</t>
  </si>
  <si>
    <t>Gratuity Expense</t>
  </si>
  <si>
    <t>Bagman Machinery Private Limited</t>
  </si>
  <si>
    <t>Honey Water Management</t>
  </si>
  <si>
    <t>Naksh Enterprise</t>
  </si>
  <si>
    <t>Swayam Shipping Services Private Limited</t>
  </si>
  <si>
    <t>Vishwa Enterprise</t>
  </si>
  <si>
    <t>Cosco Shipping Lines (India) Private Limited - Maharastra</t>
  </si>
  <si>
    <t>Polytech International Private Limited - Purchase</t>
  </si>
  <si>
    <t>SGS India Pvt Ltd</t>
  </si>
  <si>
    <t>Vodafone Idea Limited</t>
  </si>
  <si>
    <t>Row Labels</t>
  </si>
  <si>
    <t>Grand Total</t>
  </si>
  <si>
    <t>Sum of Total</t>
  </si>
  <si>
    <t>updated</t>
  </si>
  <si>
    <t>SGST INPUT</t>
  </si>
  <si>
    <t>Chamunda Scrap Traders</t>
  </si>
  <si>
    <t>Green Bhoomix Agro Solutions</t>
  </si>
  <si>
    <t>Sagoma Impex Private Limited</t>
  </si>
  <si>
    <t>Shree Bahuchar Trading Company</t>
  </si>
  <si>
    <t>Equipment Certification Charges</t>
  </si>
  <si>
    <t>Testing Charges</t>
  </si>
  <si>
    <t>Garden Mainteance Exp</t>
  </si>
  <si>
    <t>Petrol &amp; Diesel Expense - Car</t>
  </si>
  <si>
    <t>Advertisement Expense</t>
  </si>
  <si>
    <t>Ajanta Chemicals</t>
  </si>
  <si>
    <t>Bhavna Trading Company</t>
  </si>
  <si>
    <t>Chakshu Engineering</t>
  </si>
  <si>
    <t>Eminent Globexim</t>
  </si>
  <si>
    <t>Fourwents Engineering Company</t>
  </si>
  <si>
    <t>Gujarat Tools</t>
  </si>
  <si>
    <t>Handmade Cities</t>
  </si>
  <si>
    <t>Hema Electricals Service</t>
  </si>
  <si>
    <t>K Patel Drives Systems</t>
  </si>
  <si>
    <t>Lube Adhesive &amp; Engineering Co</t>
  </si>
  <si>
    <t>Mansi Power Electronics</t>
  </si>
  <si>
    <t>Marwadi Infosys Inc.</t>
  </si>
  <si>
    <t>Nuwara Technology Private Limited.</t>
  </si>
  <si>
    <t>Pixel Edge Automation</t>
  </si>
  <si>
    <t>Rudra Enterprise - 24BEVPP2275L1ZS</t>
  </si>
  <si>
    <t>Shyam Apparels</t>
  </si>
  <si>
    <t>Vivek Industrial Service</t>
  </si>
  <si>
    <t>Bhagwati  Impex</t>
  </si>
  <si>
    <t>Disha Enterprise</t>
  </si>
  <si>
    <t>Hindware Home Retail Private Limited</t>
  </si>
  <si>
    <t>Intertek India Pvt Ltd - Rajasthan</t>
  </si>
  <si>
    <t>Kusum Packaging Solutions Pvt Ltd</t>
  </si>
  <si>
    <t>Pack Seals Industries</t>
  </si>
  <si>
    <t>Unique Marketing</t>
  </si>
  <si>
    <t>Accuracy Shipping Limited</t>
  </si>
  <si>
    <t>Alonso Logistics India Pvt Ltd</t>
  </si>
  <si>
    <t>Clearship Forwarders Pvt. Ltd.-27AABCC2914K1ZR</t>
  </si>
  <si>
    <t>P J Translifters</t>
  </si>
  <si>
    <t>V Trans (India) Limited 23AAACV1559Q1ZY</t>
  </si>
  <si>
    <t>Dongguan Saipu Electromechanical Device Co. Ltd</t>
  </si>
  <si>
    <t>Hcp Plastene Bulkpack Ltd Vadodara Purchase</t>
  </si>
  <si>
    <t>Export Inspection Agency_24AAAGE1592G1ZP</t>
  </si>
  <si>
    <t>Intertek India Pvt Ltd - Delhi</t>
  </si>
  <si>
    <t>J P Surveyors</t>
  </si>
  <si>
    <t>K A Pandit</t>
  </si>
  <si>
    <t>Kamaldeep Stationers</t>
  </si>
  <si>
    <t>Karan Dinesh Kothari</t>
  </si>
  <si>
    <t>Logix Infosecurity Pvt Ltd</t>
  </si>
  <si>
    <t>Nagendra Kumar Yadav</t>
  </si>
  <si>
    <t>Union Bank Of India 27AAACU0564G1ZH</t>
  </si>
  <si>
    <t>V Trans (India) Limited - 27AAACV1559Q2ZP</t>
  </si>
  <si>
    <t>Head</t>
  </si>
  <si>
    <t>JULY.26</t>
  </si>
  <si>
    <t>YTD JULY.26</t>
  </si>
  <si>
    <t>July. 26</t>
  </si>
  <si>
    <t>AUGUST.26</t>
  </si>
  <si>
    <t>YTD AUGUST.26</t>
  </si>
  <si>
    <t>Bank Fdr The Karnataka Bank Ltd - 021152600020001</t>
  </si>
  <si>
    <t>Bank Fdr Union Bank Of India - 000413030001277</t>
  </si>
  <si>
    <t>Dhwanil Multipack</t>
  </si>
  <si>
    <t>I O L Chemicals And Pharmaceuticals Ltd.</t>
  </si>
  <si>
    <t>Nikunj Polymers</t>
  </si>
  <si>
    <t>Shalimar Enterprises</t>
  </si>
  <si>
    <t>Rack For Beamer Machine</t>
  </si>
  <si>
    <t>Freight Inward Expense (Without Gst)</t>
  </si>
  <si>
    <t>Purchase Return - Within State - Raw Material</t>
  </si>
  <si>
    <t>Purchase - Import - Stores, Spares &amp; Consumable</t>
  </si>
  <si>
    <t>Round Off - Sales</t>
  </si>
  <si>
    <t>Sales - Kasez - Mfg - U/B</t>
  </si>
  <si>
    <t>Sales - Export  - Trading</t>
  </si>
  <si>
    <t>Interest on FDR</t>
  </si>
  <si>
    <t>Presinox Impex</t>
  </si>
  <si>
    <t>Rudra Equipment</t>
  </si>
  <si>
    <t>Destiny Creator</t>
  </si>
  <si>
    <t>Dwarkesh Refrigeration And Electrical</t>
  </si>
  <si>
    <t>Essen Electromech</t>
  </si>
  <si>
    <t>Garvi Enterprise</t>
  </si>
  <si>
    <t>JG Enterprise</t>
  </si>
  <si>
    <t>Kailash Enterprise</t>
  </si>
  <si>
    <t>Mohta Electric And Engineering Co</t>
  </si>
  <si>
    <t>Powertech Equipments</t>
  </si>
  <si>
    <t>R. B. Tapes Pvt Ltd</t>
  </si>
  <si>
    <t>Shreetech Instrumentation</t>
  </si>
  <si>
    <t>Supertech Water Solution</t>
  </si>
  <si>
    <t>Universal Pipe Traders</t>
  </si>
  <si>
    <t>Unnati Steel</t>
  </si>
  <si>
    <t>Vihaan Enterprise</t>
  </si>
  <si>
    <t>Vikas Plastic Emporium</t>
  </si>
  <si>
    <t>Kirti Engineering Enterprise - 24ACRPP5435B1ZM</t>
  </si>
  <si>
    <t>Pankaj Sales Corporation</t>
  </si>
  <si>
    <t>Steel-O-Fab Engineers</t>
  </si>
  <si>
    <t>United Products</t>
  </si>
  <si>
    <t>Aquasky Logistics Private Limited-23AAVCA7265M1ZZ</t>
  </si>
  <si>
    <t>Associated Road Carriers Limited</t>
  </si>
  <si>
    <t>Ceva Freight India Private Limited</t>
  </si>
  <si>
    <t>Crest Container Lines Pvt Ltd.</t>
  </si>
  <si>
    <t>Fps Logistics Private Limited - 07AADCF3382J1ZI</t>
  </si>
  <si>
    <t>Htl Logistics India Pvt Ltd-27AABCH1588E1ZN</t>
  </si>
  <si>
    <t>Cc Rbl Manish Banthia 8378</t>
  </si>
  <si>
    <t>Wenzhou Qianfeng International Trade Co., Ltd</t>
  </si>
  <si>
    <t>Atlantis Products Pvt Ltd - Purchase</t>
  </si>
  <si>
    <t>Cargotrans Maritime Limited (earlier known as Cargotrans Maritime Private Limited)</t>
  </si>
  <si>
    <t>M R Consultancy</t>
  </si>
  <si>
    <t>Prabhu Nath</t>
  </si>
  <si>
    <t>Srutee Tripathee</t>
  </si>
  <si>
    <t>HCP Enterprise Ltd-ICD</t>
  </si>
  <si>
    <t>KPW I , Aug-26, T.B  AS ON 11-09-26</t>
  </si>
  <si>
    <t>AUG..26</t>
  </si>
  <si>
    <t>OK</t>
  </si>
  <si>
    <t>JULY TOTAL</t>
  </si>
  <si>
    <t>NET AUGSUT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</si>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</sst>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 * #,##0.00_ ;_ * \-#,##0.00_ ;_ * &quot;-&quot;??_ ;_ @_ "/>
    <numFmt numFmtId="165" formatCode="_ * #,##0_ ;_ * \-#,##0_ ;_ * &quot;-&quot;??_ ;_ @_ "/>
    <numFmt numFmtId="166" formatCode="[$-409]mmm\-yy;@"/>
    <numFmt numFmtId="167" formatCode="0.00_ ;[Red]\-0.00\ "/>
    <numFmt numFmtId="168" formatCode="0.0%"/>
  </numFmts>
  <fonts count="5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i/>
      <sz val="10"/>
      <color indexed="8"/>
      <name val="Calibri"/>
      <family val="2"/>
      <scheme val="minor"/>
    </font>
    <font>
      <b/>
      <u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16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</borders>
  <cellStyleXfs count="29">
    <xf numFmtId="0" fontId="0" fillId="0" borderId="0"/>
    <xf numFmtId="164" fontId="40" fillId="0" borderId="0" applyFont="0" applyFill="0" applyBorder="0" applyAlignment="0" applyProtection="0">
      <alignment vertical="center"/>
    </xf>
    <xf numFmtId="9" fontId="40" fillId="0" borderId="0" applyFont="0" applyFill="0" applyBorder="0" applyAlignment="0" applyProtection="0">
      <alignment vertical="center"/>
    </xf>
    <xf numFmtId="0" fontId="31" fillId="0" borderId="0"/>
    <xf numFmtId="43" fontId="31" fillId="0" borderId="0" applyFont="0" applyFill="0" applyBorder="0" applyAlignment="0" applyProtection="0"/>
    <xf numFmtId="0" fontId="30" fillId="0" borderId="0"/>
    <xf numFmtId="43" fontId="30" fillId="0" borderId="0" applyFont="0" applyFill="0" applyBorder="0" applyAlignment="0" applyProtection="0"/>
    <xf numFmtId="0" fontId="29" fillId="0" borderId="0"/>
    <xf numFmtId="43" fontId="29" fillId="0" borderId="0" applyFont="0" applyFill="0" applyBorder="0" applyAlignment="0" applyProtection="0"/>
    <xf numFmtId="0" fontId="28" fillId="0" borderId="0"/>
    <xf numFmtId="43" fontId="28" fillId="0" borderId="0" applyFont="0" applyFill="0" applyBorder="0" applyAlignment="0" applyProtection="0"/>
    <xf numFmtId="0" fontId="27" fillId="0" borderId="0"/>
    <xf numFmtId="43" fontId="27" fillId="0" borderId="0" applyFont="0" applyFill="0" applyBorder="0" applyAlignment="0" applyProtection="0"/>
    <xf numFmtId="0" fontId="26" fillId="0" borderId="0"/>
    <xf numFmtId="43" fontId="26" fillId="0" borderId="0" applyFont="0" applyFill="0" applyBorder="0" applyAlignment="0" applyProtection="0"/>
    <xf numFmtId="0" fontId="25" fillId="0" borderId="0"/>
    <xf numFmtId="43" fontId="25" fillId="0" borderId="0" applyFont="0" applyFill="0" applyBorder="0" applyAlignment="0" applyProtection="0"/>
    <xf numFmtId="0" fontId="24" fillId="0" borderId="0"/>
    <xf numFmtId="43" fontId="24" fillId="0" borderId="0" applyFont="0" applyFill="0" applyBorder="0" applyAlignment="0" applyProtection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4" fillId="0" borderId="0"/>
    <xf numFmtId="0" fontId="9" fillId="0" borderId="0"/>
    <xf numFmtId="0" fontId="2" fillId="0" borderId="0"/>
  </cellStyleXfs>
  <cellXfs count="238">
    <xf numFmtId="0" fontId="0" fillId="0" borderId="0" xfId="0"/>
    <xf numFmtId="0" fontId="32" fillId="0" borderId="0" xfId="0" applyFont="1"/>
    <xf numFmtId="0" fontId="32" fillId="0" borderId="1" xfId="0" applyFont="1" applyBorder="1"/>
    <xf numFmtId="0" fontId="34" fillId="0" borderId="0" xfId="0" applyFont="1" applyAlignment="1">
      <alignment vertical="center"/>
    </xf>
    <xf numFmtId="164" fontId="34" fillId="0" borderId="0" xfId="1" applyFont="1" applyFill="1">
      <alignment vertical="center"/>
    </xf>
    <xf numFmtId="0" fontId="35" fillId="0" borderId="1" xfId="0" applyFont="1" applyBorder="1" applyAlignment="1">
      <alignment vertical="center"/>
    </xf>
    <xf numFmtId="164" fontId="35" fillId="0" borderId="1" xfId="1" applyFont="1" applyFill="1" applyBorder="1">
      <alignment vertical="center"/>
    </xf>
    <xf numFmtId="165" fontId="34" fillId="0" borderId="1" xfId="1" applyNumberFormat="1" applyFont="1" applyFill="1" applyBorder="1">
      <alignment vertical="center"/>
    </xf>
    <xf numFmtId="0" fontId="34" fillId="0" borderId="1" xfId="0" applyFont="1" applyBorder="1" applyAlignment="1">
      <alignment vertical="center"/>
    </xf>
    <xf numFmtId="165" fontId="34" fillId="0" borderId="0" xfId="0" applyNumberFormat="1" applyFont="1" applyAlignment="1">
      <alignment vertical="center"/>
    </xf>
    <xf numFmtId="0" fontId="36" fillId="0" borderId="1" xfId="0" applyFont="1" applyBorder="1" applyAlignment="1">
      <alignment horizontal="left" indent="1"/>
    </xf>
    <xf numFmtId="165" fontId="37" fillId="0" borderId="1" xfId="1" applyNumberFormat="1" applyFont="1" applyFill="1" applyBorder="1" applyAlignment="1"/>
    <xf numFmtId="0" fontId="37" fillId="0" borderId="1" xfId="0" applyFont="1" applyBorder="1"/>
    <xf numFmtId="165" fontId="38" fillId="0" borderId="1" xfId="1" applyNumberFormat="1" applyFont="1" applyFill="1" applyBorder="1" applyAlignment="1"/>
    <xf numFmtId="165" fontId="35" fillId="0" borderId="0" xfId="1" applyNumberFormat="1" applyFont="1" applyFill="1" applyBorder="1">
      <alignment vertical="center"/>
    </xf>
    <xf numFmtId="0" fontId="39" fillId="0" borderId="1" xfId="0" applyFont="1" applyBorder="1"/>
    <xf numFmtId="165" fontId="39" fillId="0" borderId="1" xfId="1" applyNumberFormat="1" applyFont="1" applyFill="1" applyBorder="1" applyAlignment="1"/>
    <xf numFmtId="0" fontId="38" fillId="0" borderId="1" xfId="0" applyFont="1" applyBorder="1"/>
    <xf numFmtId="0" fontId="37" fillId="0" borderId="1" xfId="0" applyFont="1" applyBorder="1" applyAlignment="1">
      <alignment vertical="center" wrapText="1"/>
    </xf>
    <xf numFmtId="165" fontId="37" fillId="0" borderId="1" xfId="1" applyNumberFormat="1" applyFont="1" applyFill="1" applyBorder="1" applyAlignment="1">
      <alignment vertical="center" wrapText="1"/>
    </xf>
    <xf numFmtId="165" fontId="34" fillId="0" borderId="0" xfId="1" applyNumberFormat="1" applyFont="1" applyFill="1" applyBorder="1">
      <alignment vertical="center"/>
    </xf>
    <xf numFmtId="1" fontId="34" fillId="0" borderId="0" xfId="0" applyNumberFormat="1" applyFont="1" applyAlignment="1">
      <alignment vertical="center"/>
    </xf>
    <xf numFmtId="9" fontId="32" fillId="0" borderId="1" xfId="2" applyFont="1" applyFill="1" applyBorder="1" applyAlignment="1"/>
    <xf numFmtId="0" fontId="33" fillId="0" borderId="1" xfId="0" applyFont="1" applyBorder="1" applyAlignment="1">
      <alignment vertical="center"/>
    </xf>
    <xf numFmtId="165" fontId="35" fillId="2" borderId="1" xfId="1" applyNumberFormat="1" applyFont="1" applyFill="1" applyBorder="1" applyAlignment="1">
      <alignment horizontal="center" vertical="center"/>
    </xf>
    <xf numFmtId="0" fontId="35" fillId="2" borderId="1" xfId="0" applyFont="1" applyFill="1" applyBorder="1" applyAlignment="1">
      <alignment horizontal="center" vertical="center"/>
    </xf>
    <xf numFmtId="0" fontId="42" fillId="0" borderId="1" xfId="0" applyFont="1" applyBorder="1" applyAlignment="1">
      <alignment horizontal="center"/>
    </xf>
    <xf numFmtId="165" fontId="34" fillId="0" borderId="1" xfId="0" applyNumberFormat="1" applyFont="1" applyBorder="1" applyAlignment="1">
      <alignment vertical="center"/>
    </xf>
    <xf numFmtId="165" fontId="32" fillId="0" borderId="1" xfId="0" applyNumberFormat="1" applyFont="1" applyBorder="1"/>
    <xf numFmtId="165" fontId="32" fillId="0" borderId="1" xfId="1" applyNumberFormat="1" applyFont="1" applyBorder="1" applyAlignment="1"/>
    <xf numFmtId="165" fontId="32" fillId="0" borderId="0" xfId="1" applyNumberFormat="1" applyFont="1" applyAlignment="1"/>
    <xf numFmtId="165" fontId="42" fillId="0" borderId="1" xfId="1" applyNumberFormat="1" applyFont="1" applyBorder="1" applyAlignment="1">
      <alignment horizontal="center"/>
    </xf>
    <xf numFmtId="0" fontId="32" fillId="2" borderId="0" xfId="0" applyFont="1" applyFill="1"/>
    <xf numFmtId="165" fontId="32" fillId="0" borderId="0" xfId="0" applyNumberFormat="1" applyFont="1"/>
    <xf numFmtId="165" fontId="34" fillId="0" borderId="0" xfId="1" applyNumberFormat="1" applyFont="1" applyFill="1" applyAlignment="1">
      <alignment vertical="center"/>
    </xf>
    <xf numFmtId="165" fontId="34" fillId="0" borderId="0" xfId="1" applyNumberFormat="1" applyFont="1" applyFill="1" applyBorder="1" applyAlignment="1">
      <alignment vertical="center"/>
    </xf>
    <xf numFmtId="165" fontId="32" fillId="0" borderId="1" xfId="1" applyNumberFormat="1" applyFont="1" applyBorder="1" applyAlignment="1">
      <alignment horizontal="center"/>
    </xf>
    <xf numFmtId="1" fontId="32" fillId="0" borderId="1" xfId="0" applyNumberFormat="1" applyFont="1" applyBorder="1"/>
    <xf numFmtId="0" fontId="43" fillId="0" borderId="0" xfId="0" applyFont="1" applyAlignment="1">
      <alignment horizontal="center" vertical="center"/>
    </xf>
    <xf numFmtId="165" fontId="43" fillId="0" borderId="1" xfId="1" applyNumberFormat="1" applyFont="1" applyFill="1" applyBorder="1">
      <alignment vertical="center"/>
    </xf>
    <xf numFmtId="165" fontId="44" fillId="0" borderId="1" xfId="1" applyNumberFormat="1" applyFont="1" applyBorder="1" applyAlignment="1"/>
    <xf numFmtId="0" fontId="45" fillId="2" borderId="0" xfId="0" applyFont="1" applyFill="1"/>
    <xf numFmtId="0" fontId="46" fillId="2" borderId="0" xfId="0" applyFont="1" applyFill="1"/>
    <xf numFmtId="0" fontId="47" fillId="0" borderId="0" xfId="0" applyFont="1"/>
    <xf numFmtId="43" fontId="34" fillId="0" borderId="0" xfId="0" applyNumberFormat="1" applyFont="1" applyAlignment="1">
      <alignment vertical="center"/>
    </xf>
    <xf numFmtId="165" fontId="43" fillId="3" borderId="1" xfId="1" applyNumberFormat="1" applyFont="1" applyFill="1" applyBorder="1">
      <alignment vertical="center"/>
    </xf>
    <xf numFmtId="165" fontId="38" fillId="3" borderId="1" xfId="1" applyNumberFormat="1" applyFont="1" applyFill="1" applyBorder="1" applyAlignment="1"/>
    <xf numFmtId="0" fontId="35" fillId="0" borderId="5" xfId="0" applyFont="1" applyBorder="1" applyAlignment="1">
      <alignment vertical="center"/>
    </xf>
    <xf numFmtId="0" fontId="32" fillId="0" borderId="6" xfId="0" applyFont="1" applyBorder="1"/>
    <xf numFmtId="9" fontId="32" fillId="0" borderId="6" xfId="2" applyFont="1" applyFill="1" applyBorder="1" applyAlignment="1"/>
    <xf numFmtId="0" fontId="35" fillId="0" borderId="2" xfId="0" applyFont="1" applyBorder="1" applyAlignment="1">
      <alignment vertical="center"/>
    </xf>
    <xf numFmtId="0" fontId="35" fillId="0" borderId="3" xfId="0" applyFont="1" applyBorder="1" applyAlignment="1">
      <alignment vertical="center"/>
    </xf>
    <xf numFmtId="164" fontId="35" fillId="0" borderId="3" xfId="1" applyFont="1" applyFill="1" applyBorder="1">
      <alignment vertical="center"/>
    </xf>
    <xf numFmtId="0" fontId="32" fillId="0" borderId="4" xfId="0" applyFont="1" applyBorder="1"/>
    <xf numFmtId="0" fontId="21" fillId="0" borderId="0" xfId="20" applyFont="1" applyAlignment="1">
      <alignment horizontal="center"/>
    </xf>
    <xf numFmtId="0" fontId="35" fillId="0" borderId="11" xfId="0" applyFont="1" applyBorder="1" applyAlignment="1">
      <alignment vertical="center"/>
    </xf>
    <xf numFmtId="0" fontId="35" fillId="0" borderId="12" xfId="0" applyFont="1" applyBorder="1" applyAlignment="1">
      <alignment vertical="center"/>
    </xf>
    <xf numFmtId="0" fontId="32" fillId="0" borderId="1" xfId="0" applyFont="1" applyBorder="1" applyAlignment="1">
      <alignment vertical="center"/>
    </xf>
    <xf numFmtId="9" fontId="32" fillId="0" borderId="11" xfId="2" applyFont="1" applyFill="1" applyBorder="1" applyAlignment="1"/>
    <xf numFmtId="9" fontId="34" fillId="0" borderId="1" xfId="0" applyNumberFormat="1" applyFont="1" applyBorder="1" applyAlignment="1">
      <alignment vertical="center"/>
    </xf>
    <xf numFmtId="0" fontId="35" fillId="0" borderId="13" xfId="0" applyFont="1" applyBorder="1" applyAlignment="1">
      <alignment vertical="center"/>
    </xf>
    <xf numFmtId="165" fontId="43" fillId="0" borderId="14" xfId="1" applyNumberFormat="1" applyFont="1" applyFill="1" applyBorder="1">
      <alignment vertical="center"/>
    </xf>
    <xf numFmtId="9" fontId="32" fillId="0" borderId="14" xfId="2" applyFont="1" applyFill="1" applyBorder="1" applyAlignment="1"/>
    <xf numFmtId="9" fontId="32" fillId="0" borderId="15" xfId="2" applyFont="1" applyFill="1" applyBorder="1" applyAlignment="1"/>
    <xf numFmtId="165" fontId="35" fillId="2" borderId="8" xfId="1" applyNumberFormat="1" applyFont="1" applyFill="1" applyBorder="1" applyAlignment="1">
      <alignment horizontal="center" vertical="center"/>
    </xf>
    <xf numFmtId="9" fontId="35" fillId="2" borderId="8" xfId="2" applyFont="1" applyFill="1" applyBorder="1" applyAlignment="1">
      <alignment horizontal="center" vertical="center"/>
    </xf>
    <xf numFmtId="9" fontId="35" fillId="2" borderId="9" xfId="2" applyFont="1" applyFill="1" applyBorder="1" applyAlignment="1">
      <alignment horizontal="center" vertical="center"/>
    </xf>
    <xf numFmtId="165" fontId="43" fillId="4" borderId="8" xfId="1" applyNumberFormat="1" applyFont="1" applyFill="1" applyBorder="1">
      <alignment vertical="center"/>
    </xf>
    <xf numFmtId="0" fontId="37" fillId="0" borderId="2" xfId="0" applyFont="1" applyBorder="1"/>
    <xf numFmtId="0" fontId="37" fillId="0" borderId="12" xfId="0" applyFont="1" applyBorder="1"/>
    <xf numFmtId="0" fontId="37" fillId="0" borderId="3" xfId="0" applyFont="1" applyBorder="1"/>
    <xf numFmtId="164" fontId="37" fillId="0" borderId="3" xfId="1" applyFont="1" applyFill="1" applyBorder="1" applyAlignment="1"/>
    <xf numFmtId="165" fontId="43" fillId="0" borderId="1" xfId="1" applyNumberFormat="1" applyFont="1" applyFill="1" applyBorder="1" applyAlignment="1">
      <alignment vertical="center"/>
    </xf>
    <xf numFmtId="9" fontId="32" fillId="0" borderId="1" xfId="2" applyFont="1" applyFill="1" applyBorder="1" applyAlignment="1">
      <alignment vertical="center"/>
    </xf>
    <xf numFmtId="9" fontId="32" fillId="0" borderId="6" xfId="2" applyFont="1" applyFill="1" applyBorder="1" applyAlignment="1">
      <alignment vertical="center"/>
    </xf>
    <xf numFmtId="9" fontId="32" fillId="0" borderId="10" xfId="2" applyFont="1" applyFill="1" applyBorder="1" applyAlignment="1"/>
    <xf numFmtId="165" fontId="32" fillId="0" borderId="1" xfId="2" applyNumberFormat="1" applyFont="1" applyFill="1" applyBorder="1" applyAlignment="1"/>
    <xf numFmtId="165" fontId="38" fillId="0" borderId="1" xfId="0" applyNumberFormat="1" applyFont="1" applyBorder="1"/>
    <xf numFmtId="9" fontId="35" fillId="0" borderId="1" xfId="0" applyNumberFormat="1" applyFont="1" applyBorder="1" applyAlignment="1">
      <alignment vertical="center"/>
    </xf>
    <xf numFmtId="9" fontId="32" fillId="0" borderId="1" xfId="0" applyNumberFormat="1" applyFont="1" applyBorder="1" applyAlignment="1">
      <alignment vertical="center"/>
    </xf>
    <xf numFmtId="165" fontId="34" fillId="2" borderId="1" xfId="0" applyNumberFormat="1" applyFont="1" applyFill="1" applyBorder="1" applyAlignment="1">
      <alignment vertical="center"/>
    </xf>
    <xf numFmtId="0" fontId="34" fillId="0" borderId="11" xfId="0" applyFont="1" applyBorder="1" applyAlignment="1">
      <alignment vertical="center"/>
    </xf>
    <xf numFmtId="0" fontId="33" fillId="0" borderId="11" xfId="0" applyFont="1" applyBorder="1" applyAlignment="1">
      <alignment vertical="center"/>
    </xf>
    <xf numFmtId="0" fontId="36" fillId="0" borderId="11" xfId="0" applyFont="1" applyBorder="1" applyAlignment="1">
      <alignment horizontal="left" indent="1"/>
    </xf>
    <xf numFmtId="0" fontId="32" fillId="0" borderId="11" xfId="0" applyFont="1" applyBorder="1" applyAlignment="1">
      <alignment vertical="center"/>
    </xf>
    <xf numFmtId="0" fontId="35" fillId="0" borderId="16" xfId="0" applyFont="1" applyBorder="1" applyAlignment="1">
      <alignment vertical="center"/>
    </xf>
    <xf numFmtId="10" fontId="32" fillId="0" borderId="10" xfId="2" applyNumberFormat="1" applyFont="1" applyFill="1" applyBorder="1" applyAlignment="1"/>
    <xf numFmtId="9" fontId="35" fillId="4" borderId="7" xfId="0" applyNumberFormat="1" applyFont="1" applyFill="1" applyBorder="1" applyAlignment="1">
      <alignment vertical="center"/>
    </xf>
    <xf numFmtId="166" fontId="32" fillId="0" borderId="1" xfId="0" applyNumberFormat="1" applyFont="1" applyBorder="1" applyAlignment="1">
      <alignment horizontal="center"/>
    </xf>
    <xf numFmtId="166" fontId="42" fillId="0" borderId="1" xfId="0" applyNumberFormat="1" applyFont="1" applyBorder="1" applyAlignment="1">
      <alignment horizontal="center"/>
    </xf>
    <xf numFmtId="0" fontId="32" fillId="0" borderId="0" xfId="0" applyFont="1" applyAlignment="1">
      <alignment horizontal="center"/>
    </xf>
    <xf numFmtId="0" fontId="32" fillId="0" borderId="0" xfId="0" applyFont="1" applyAlignment="1">
      <alignment vertical="center"/>
    </xf>
    <xf numFmtId="9" fontId="35" fillId="4" borderId="17" xfId="0" applyNumberFormat="1" applyFont="1" applyFill="1" applyBorder="1" applyAlignment="1">
      <alignment vertical="center"/>
    </xf>
    <xf numFmtId="165" fontId="35" fillId="2" borderId="7" xfId="1" applyNumberFormat="1" applyFont="1" applyFill="1" applyBorder="1" applyAlignment="1">
      <alignment horizontal="center" vertical="center"/>
    </xf>
    <xf numFmtId="165" fontId="34" fillId="0" borderId="5" xfId="0" applyNumberFormat="1" applyFont="1" applyBorder="1" applyAlignment="1">
      <alignment vertical="center"/>
    </xf>
    <xf numFmtId="165" fontId="43" fillId="0" borderId="5" xfId="1" applyNumberFormat="1" applyFont="1" applyFill="1" applyBorder="1">
      <alignment vertical="center"/>
    </xf>
    <xf numFmtId="165" fontId="43" fillId="0" borderId="5" xfId="1" applyNumberFormat="1" applyFont="1" applyFill="1" applyBorder="1" applyAlignment="1">
      <alignment vertical="center"/>
    </xf>
    <xf numFmtId="0" fontId="50" fillId="0" borderId="0" xfId="24" applyFont="1" applyAlignment="1">
      <alignment horizontal="center" vertical="center"/>
    </xf>
    <xf numFmtId="167" fontId="50" fillId="0" borderId="0" xfId="24" applyNumberFormat="1" applyFont="1" applyAlignment="1">
      <alignment horizontal="center" vertical="center"/>
    </xf>
    <xf numFmtId="0" fontId="51" fillId="0" borderId="0" xfId="24" applyFont="1" applyAlignment="1">
      <alignment horizontal="center" vertical="center"/>
    </xf>
    <xf numFmtId="0" fontId="18" fillId="0" borderId="0" xfId="24" applyAlignment="1">
      <alignment horizontal="center" vertical="center"/>
    </xf>
    <xf numFmtId="0" fontId="18" fillId="0" borderId="0" xfId="24"/>
    <xf numFmtId="167" fontId="18" fillId="0" borderId="0" xfId="24" applyNumberFormat="1"/>
    <xf numFmtId="0" fontId="51" fillId="0" borderId="0" xfId="24" applyFont="1"/>
    <xf numFmtId="167" fontId="51" fillId="0" borderId="0" xfId="24" applyNumberFormat="1" applyFont="1"/>
    <xf numFmtId="167" fontId="18" fillId="2" borderId="0" xfId="24" applyNumberFormat="1" applyFill="1"/>
    <xf numFmtId="0" fontId="47" fillId="0" borderId="0" xfId="25" applyFont="1" applyAlignment="1">
      <alignment horizontal="center" vertical="center"/>
    </xf>
    <xf numFmtId="0" fontId="17" fillId="0" borderId="0" xfId="25" applyAlignment="1">
      <alignment horizontal="center" vertical="center"/>
    </xf>
    <xf numFmtId="0" fontId="17" fillId="0" borderId="0" xfId="25"/>
    <xf numFmtId="0" fontId="17" fillId="0" borderId="0" xfId="25" applyAlignment="1">
      <alignment horizontal="center"/>
    </xf>
    <xf numFmtId="43" fontId="18" fillId="0" borderId="0" xfId="24" applyNumberFormat="1"/>
    <xf numFmtId="0" fontId="17" fillId="0" borderId="0" xfId="24" applyFont="1" applyAlignment="1">
      <alignment horizontal="center" vertical="center"/>
    </xf>
    <xf numFmtId="0" fontId="16" fillId="0" borderId="0" xfId="25" applyFont="1"/>
    <xf numFmtId="0" fontId="47" fillId="0" borderId="0" xfId="25" applyFont="1" applyAlignment="1">
      <alignment horizontal="center"/>
    </xf>
    <xf numFmtId="0" fontId="32" fillId="5" borderId="0" xfId="20" applyFont="1" applyFill="1"/>
    <xf numFmtId="0" fontId="17" fillId="0" borderId="1" xfId="25" applyBorder="1"/>
    <xf numFmtId="165" fontId="32" fillId="0" borderId="0" xfId="1" applyNumberFormat="1" applyFont="1" applyBorder="1" applyAlignment="1"/>
    <xf numFmtId="167" fontId="22" fillId="6" borderId="0" xfId="20" applyNumberFormat="1" applyFill="1"/>
    <xf numFmtId="167" fontId="32" fillId="0" borderId="0" xfId="1" applyNumberFormat="1" applyFont="1" applyBorder="1" applyAlignment="1"/>
    <xf numFmtId="0" fontId="15" fillId="0" borderId="0" xfId="25" applyFont="1"/>
    <xf numFmtId="0" fontId="48" fillId="0" borderId="0" xfId="25" applyFont="1"/>
    <xf numFmtId="0" fontId="47" fillId="0" borderId="0" xfId="25" applyFont="1"/>
    <xf numFmtId="0" fontId="15" fillId="0" borderId="0" xfId="25" applyFont="1" applyAlignment="1">
      <alignment horizontal="center"/>
    </xf>
    <xf numFmtId="0" fontId="15" fillId="0" borderId="0" xfId="24" applyFont="1"/>
    <xf numFmtId="0" fontId="47" fillId="0" borderId="0" xfId="26" applyFont="1" applyAlignment="1">
      <alignment horizontal="center" vertical="center"/>
    </xf>
    <xf numFmtId="0" fontId="14" fillId="0" borderId="0" xfId="26" applyAlignment="1">
      <alignment horizontal="center" vertical="center"/>
    </xf>
    <xf numFmtId="0" fontId="14" fillId="0" borderId="0" xfId="26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47" fillId="0" borderId="0" xfId="26" applyFont="1"/>
    <xf numFmtId="0" fontId="13" fillId="0" borderId="0" xfId="26" applyFont="1"/>
    <xf numFmtId="0" fontId="13" fillId="0" borderId="0" xfId="25" applyFont="1" applyAlignment="1">
      <alignment horizontal="center"/>
    </xf>
    <xf numFmtId="167" fontId="51" fillId="0" borderId="1" xfId="24" applyNumberFormat="1" applyFont="1" applyBorder="1"/>
    <xf numFmtId="167" fontId="14" fillId="0" borderId="0" xfId="26" applyNumberFormat="1"/>
    <xf numFmtId="0" fontId="12" fillId="0" borderId="0" xfId="26" applyFont="1"/>
    <xf numFmtId="0" fontId="17" fillId="7" borderId="0" xfId="25" applyFill="1"/>
    <xf numFmtId="0" fontId="48" fillId="0" borderId="0" xfId="0" applyFont="1"/>
    <xf numFmtId="165" fontId="34" fillId="2" borderId="1" xfId="1" applyNumberFormat="1" applyFont="1" applyFill="1" applyBorder="1">
      <alignment vertical="center"/>
    </xf>
    <xf numFmtId="0" fontId="17" fillId="2" borderId="0" xfId="25" applyFill="1"/>
    <xf numFmtId="0" fontId="11" fillId="0" borderId="0" xfId="25" applyFont="1" applyAlignment="1">
      <alignment horizontal="center"/>
    </xf>
    <xf numFmtId="0" fontId="11" fillId="0" borderId="0" xfId="25" applyFont="1"/>
    <xf numFmtId="0" fontId="10" fillId="2" borderId="0" xfId="25" applyFont="1" applyFill="1"/>
    <xf numFmtId="0" fontId="10" fillId="0" borderId="0" xfId="25" applyFont="1" applyAlignment="1">
      <alignment horizontal="center"/>
    </xf>
    <xf numFmtId="0" fontId="10" fillId="0" borderId="0" xfId="24" applyFont="1"/>
    <xf numFmtId="0" fontId="10" fillId="0" borderId="0" xfId="26" applyFont="1"/>
    <xf numFmtId="0" fontId="47" fillId="0" borderId="0" xfId="27" applyFont="1"/>
    <xf numFmtId="0" fontId="9" fillId="0" borderId="0" xfId="27"/>
    <xf numFmtId="0" fontId="9" fillId="0" borderId="0" xfId="26" applyFont="1"/>
    <xf numFmtId="0" fontId="47" fillId="0" borderId="0" xfId="27" applyFont="1" applyAlignment="1">
      <alignment horizontal="center" vertical="center"/>
    </xf>
    <xf numFmtId="165" fontId="34" fillId="0" borderId="11" xfId="0" applyNumberFormat="1" applyFont="1" applyBorder="1" applyAlignment="1">
      <alignment vertical="center"/>
    </xf>
    <xf numFmtId="165" fontId="34" fillId="2" borderId="11" xfId="0" applyNumberFormat="1" applyFont="1" applyFill="1" applyBorder="1" applyAlignment="1">
      <alignment vertical="center"/>
    </xf>
    <xf numFmtId="9" fontId="43" fillId="4" borderId="8" xfId="1" applyNumberFormat="1" applyFont="1" applyFill="1" applyBorder="1">
      <alignment vertical="center"/>
    </xf>
    <xf numFmtId="9" fontId="49" fillId="4" borderId="8" xfId="2" applyFont="1" applyFill="1" applyBorder="1" applyAlignment="1"/>
    <xf numFmtId="9" fontId="49" fillId="4" borderId="9" xfId="2" applyFont="1" applyFill="1" applyBorder="1" applyAlignment="1"/>
    <xf numFmtId="0" fontId="35" fillId="0" borderId="19" xfId="0" applyFont="1" applyBorder="1" applyAlignment="1">
      <alignment vertical="center"/>
    </xf>
    <xf numFmtId="0" fontId="35" fillId="0" borderId="20" xfId="0" applyFont="1" applyBorder="1" applyAlignment="1">
      <alignment vertical="center"/>
    </xf>
    <xf numFmtId="165" fontId="43" fillId="0" borderId="21" xfId="1" applyNumberFormat="1" applyFont="1" applyFill="1" applyBorder="1">
      <alignment vertical="center"/>
    </xf>
    <xf numFmtId="9" fontId="32" fillId="0" borderId="21" xfId="2" applyFont="1" applyFill="1" applyBorder="1" applyAlignment="1"/>
    <xf numFmtId="9" fontId="32" fillId="0" borderId="20" xfId="2" applyFont="1" applyFill="1" applyBorder="1" applyAlignment="1"/>
    <xf numFmtId="9" fontId="34" fillId="0" borderId="21" xfId="2" applyFont="1" applyFill="1" applyBorder="1" applyAlignment="1"/>
    <xf numFmtId="9" fontId="32" fillId="0" borderId="22" xfId="2" applyFont="1" applyFill="1" applyBorder="1" applyAlignment="1"/>
    <xf numFmtId="165" fontId="43" fillId="3" borderId="8" xfId="1" applyNumberFormat="1" applyFont="1" applyFill="1" applyBorder="1">
      <alignment vertical="center"/>
    </xf>
    <xf numFmtId="0" fontId="8" fillId="0" borderId="0" xfId="25" applyFont="1"/>
    <xf numFmtId="0" fontId="7" fillId="0" borderId="0" xfId="26" applyFont="1"/>
    <xf numFmtId="0" fontId="7" fillId="2" borderId="0" xfId="25" applyFont="1" applyFill="1"/>
    <xf numFmtId="0" fontId="18" fillId="2" borderId="0" xfId="24" applyFill="1"/>
    <xf numFmtId="0" fontId="7" fillId="2" borderId="0" xfId="24" applyFont="1" applyFill="1"/>
    <xf numFmtId="0" fontId="14" fillId="2" borderId="0" xfId="26" applyFill="1"/>
    <xf numFmtId="0" fontId="7" fillId="2" borderId="0" xfId="26" applyFont="1" applyFill="1"/>
    <xf numFmtId="0" fontId="7" fillId="0" borderId="0" xfId="25" applyFont="1"/>
    <xf numFmtId="9" fontId="32" fillId="0" borderId="16" xfId="2" applyFont="1" applyFill="1" applyBorder="1" applyAlignment="1"/>
    <xf numFmtId="0" fontId="6" fillId="0" borderId="0" xfId="25" applyFont="1"/>
    <xf numFmtId="0" fontId="5" fillId="0" borderId="0" xfId="27" applyFont="1" applyAlignment="1">
      <alignment horizontal="center" vertical="center"/>
    </xf>
    <xf numFmtId="0" fontId="5" fillId="0" borderId="0" xfId="27" applyFont="1"/>
    <xf numFmtId="0" fontId="5" fillId="0" borderId="0" xfId="25" applyFont="1"/>
    <xf numFmtId="0" fontId="5" fillId="2" borderId="0" xfId="27" applyFont="1" applyFill="1"/>
    <xf numFmtId="0" fontId="4" fillId="0" borderId="0" xfId="27" applyFont="1"/>
    <xf numFmtId="1" fontId="32" fillId="0" borderId="0" xfId="0" applyNumberFormat="1" applyFont="1"/>
    <xf numFmtId="164" fontId="32" fillId="0" borderId="0" xfId="0" applyNumberFormat="1" applyFont="1"/>
    <xf numFmtId="0" fontId="4" fillId="0" borderId="0" xfId="26" applyFont="1"/>
    <xf numFmtId="0" fontId="4" fillId="0" borderId="0" xfId="25" applyFont="1" applyAlignment="1">
      <alignment horizontal="center"/>
    </xf>
    <xf numFmtId="0" fontId="3" fillId="0" borderId="0" xfId="26" applyFont="1"/>
    <xf numFmtId="0" fontId="3" fillId="0" borderId="0" xfId="27" applyFont="1"/>
    <xf numFmtId="164" fontId="49" fillId="0" borderId="0" xfId="0" applyNumberFormat="1" applyFont="1"/>
    <xf numFmtId="165" fontId="35" fillId="2" borderId="18" xfId="1" applyNumberFormat="1" applyFont="1" applyFill="1" applyBorder="1" applyAlignment="1">
      <alignment horizontal="center" vertical="center"/>
    </xf>
    <xf numFmtId="165" fontId="32" fillId="0" borderId="11" xfId="2" applyNumberFormat="1" applyFont="1" applyFill="1" applyBorder="1" applyAlignment="1"/>
    <xf numFmtId="164" fontId="35" fillId="0" borderId="11" xfId="1" applyFont="1" applyFill="1" applyBorder="1">
      <alignment vertical="center"/>
    </xf>
    <xf numFmtId="0" fontId="34" fillId="2" borderId="11" xfId="0" applyFont="1" applyFill="1" applyBorder="1" applyAlignment="1">
      <alignment vertical="center"/>
    </xf>
    <xf numFmtId="0" fontId="35" fillId="2" borderId="17" xfId="0" applyFont="1" applyFill="1" applyBorder="1" applyAlignment="1">
      <alignment horizontal="center" vertical="center"/>
    </xf>
    <xf numFmtId="0" fontId="35" fillId="0" borderId="23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0" fontId="35" fillId="0" borderId="24" xfId="0" applyFont="1" applyBorder="1" applyAlignment="1">
      <alignment vertical="center"/>
    </xf>
    <xf numFmtId="0" fontId="33" fillId="0" borderId="24" xfId="0" applyFont="1" applyBorder="1" applyAlignment="1">
      <alignment vertical="center"/>
    </xf>
    <xf numFmtId="0" fontId="36" fillId="0" borderId="24" xfId="0" applyFont="1" applyBorder="1" applyAlignment="1">
      <alignment horizontal="left" indent="1"/>
    </xf>
    <xf numFmtId="0" fontId="35" fillId="0" borderId="25" xfId="0" applyFont="1" applyBorder="1" applyAlignment="1">
      <alignment vertical="center"/>
    </xf>
    <xf numFmtId="0" fontId="35" fillId="4" borderId="17" xfId="0" applyFont="1" applyFill="1" applyBorder="1" applyAlignment="1">
      <alignment vertical="center"/>
    </xf>
    <xf numFmtId="0" fontId="37" fillId="0" borderId="26" xfId="0" applyFont="1" applyBorder="1"/>
    <xf numFmtId="0" fontId="32" fillId="0" borderId="24" xfId="0" applyFont="1" applyBorder="1" applyAlignment="1">
      <alignment vertical="center"/>
    </xf>
    <xf numFmtId="0" fontId="35" fillId="0" borderId="27" xfId="0" applyFont="1" applyBorder="1" applyAlignment="1">
      <alignment vertical="center"/>
    </xf>
    <xf numFmtId="0" fontId="43" fillId="3" borderId="17" xfId="0" applyFont="1" applyFill="1" applyBorder="1" applyAlignment="1">
      <alignment vertical="center"/>
    </xf>
    <xf numFmtId="168" fontId="32" fillId="0" borderId="1" xfId="2" applyNumberFormat="1" applyFont="1" applyFill="1" applyBorder="1" applyAlignment="1">
      <alignment vertical="center"/>
    </xf>
    <xf numFmtId="165" fontId="43" fillId="4" borderId="28" xfId="1" applyNumberFormat="1" applyFont="1" applyFill="1" applyBorder="1">
      <alignment vertical="center"/>
    </xf>
    <xf numFmtId="9" fontId="35" fillId="4" borderId="28" xfId="0" applyNumberFormat="1" applyFont="1" applyFill="1" applyBorder="1" applyAlignment="1">
      <alignment vertical="center"/>
    </xf>
    <xf numFmtId="9" fontId="35" fillId="4" borderId="29" xfId="0" applyNumberFormat="1" applyFont="1" applyFill="1" applyBorder="1" applyAlignment="1">
      <alignment vertical="center"/>
    </xf>
    <xf numFmtId="9" fontId="35" fillId="0" borderId="13" xfId="2" applyFont="1" applyFill="1" applyBorder="1" applyAlignment="1"/>
    <xf numFmtId="9" fontId="35" fillId="0" borderId="14" xfId="2" applyFont="1" applyFill="1" applyBorder="1" applyAlignment="1"/>
    <xf numFmtId="0" fontId="35" fillId="0" borderId="14" xfId="2" applyNumberFormat="1" applyFont="1" applyFill="1" applyBorder="1" applyAlignment="1"/>
    <xf numFmtId="9" fontId="42" fillId="0" borderId="15" xfId="2" applyFont="1" applyFill="1" applyBorder="1" applyAlignment="1"/>
    <xf numFmtId="165" fontId="34" fillId="0" borderId="1" xfId="1" applyNumberFormat="1" applyFont="1" applyFill="1" applyBorder="1" applyAlignment="1"/>
    <xf numFmtId="0" fontId="47" fillId="0" borderId="0" xfId="28" applyFont="1"/>
    <xf numFmtId="0" fontId="2" fillId="0" borderId="0" xfId="28"/>
    <xf numFmtId="0" fontId="47" fillId="0" borderId="0" xfId="28" applyFont="1" applyAlignment="1">
      <alignment horizontal="center"/>
    </xf>
    <xf numFmtId="0" fontId="2" fillId="0" borderId="0" xfId="28" applyAlignment="1">
      <alignment horizontal="center"/>
    </xf>
    <xf numFmtId="0" fontId="47" fillId="0" borderId="0" xfId="27" applyFont="1" applyAlignment="1">
      <alignment horizontal="center"/>
    </xf>
    <xf numFmtId="0" fontId="5" fillId="0" borderId="0" xfId="27" applyFont="1" applyAlignment="1">
      <alignment horizontal="center"/>
    </xf>
    <xf numFmtId="0" fontId="37" fillId="0" borderId="4" xfId="0" applyFont="1" applyBorder="1"/>
    <xf numFmtId="0" fontId="35" fillId="0" borderId="6" xfId="0" applyFont="1" applyBorder="1" applyAlignment="1">
      <alignment vertical="center"/>
    </xf>
    <xf numFmtId="0" fontId="34" fillId="0" borderId="6" xfId="0" applyFont="1" applyBorder="1" applyAlignment="1">
      <alignment vertical="center"/>
    </xf>
    <xf numFmtId="0" fontId="32" fillId="0" borderId="6" xfId="0" applyFont="1" applyBorder="1" applyAlignment="1">
      <alignment vertical="center"/>
    </xf>
    <xf numFmtId="0" fontId="35" fillId="0" borderId="4" xfId="0" applyFont="1" applyBorder="1" applyAlignment="1">
      <alignment vertical="center"/>
    </xf>
    <xf numFmtId="0" fontId="33" fillId="0" borderId="6" xfId="0" applyFont="1" applyBorder="1" applyAlignment="1">
      <alignment vertical="center"/>
    </xf>
    <xf numFmtId="0" fontId="36" fillId="0" borderId="6" xfId="0" applyFont="1" applyBorder="1" applyAlignment="1">
      <alignment horizontal="left" indent="1"/>
    </xf>
    <xf numFmtId="165" fontId="43" fillId="0" borderId="14" xfId="0" applyNumberFormat="1" applyFont="1" applyBorder="1" applyAlignment="1">
      <alignment vertical="center"/>
    </xf>
    <xf numFmtId="0" fontId="35" fillId="0" borderId="14" xfId="0" applyFont="1" applyBorder="1" applyAlignment="1">
      <alignment vertical="center"/>
    </xf>
    <xf numFmtId="9" fontId="42" fillId="0" borderId="14" xfId="2" applyFont="1" applyFill="1" applyBorder="1" applyAlignment="1"/>
    <xf numFmtId="9" fontId="35" fillId="0" borderId="15" xfId="2" applyFont="1" applyFill="1" applyBorder="1" applyAlignment="1"/>
    <xf numFmtId="0" fontId="0" fillId="0" borderId="1" xfId="0" applyBorder="1" applyAlignment="1">
      <alignment horizontal="right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horizontal="right"/>
    </xf>
    <xf numFmtId="2" fontId="32" fillId="0" borderId="0" xfId="0" applyNumberFormat="1" applyFont="1"/>
    <xf numFmtId="0" fontId="1" fillId="0" borderId="0" xfId="28" applyFont="1"/>
    <xf numFmtId="0" fontId="1" fillId="0" borderId="0" xfId="28" applyFont="1" applyAlignment="1">
      <alignment horizontal="center"/>
    </xf>
    <xf numFmtId="0" fontId="1" fillId="0" borderId="0" xfId="27" applyFont="1"/>
    <xf numFmtId="9" fontId="43" fillId="2" borderId="9" xfId="2" applyFont="1" applyFill="1" applyBorder="1" applyAlignment="1"/>
    <xf numFmtId="9" fontId="43" fillId="2" borderId="8" xfId="2" applyFont="1" applyFill="1" applyBorder="1" applyAlignment="1"/>
    <xf numFmtId="0" fontId="41" fillId="0" borderId="0" xfId="0" applyFont="1" applyAlignment="1">
      <alignment horizontal="center" vertical="center"/>
    </xf>
    <xf numFmtId="0" fontId="47" fillId="0" borderId="0" xfId="25" applyFont="1" applyAlignment="1">
      <alignment horizontal="center"/>
    </xf>
  </cellXfs>
  <cellStyles count="29">
    <cellStyle name="Comma" xfId="1" builtinId="3"/>
    <cellStyle name="Comma 2" xfId="4" xr:uid="{00000000-0005-0000-0000-000001000000}"/>
    <cellStyle name="Comma 3" xfId="6" xr:uid="{00000000-0005-0000-0000-000002000000}"/>
    <cellStyle name="Comma 4" xfId="8" xr:uid="{00000000-0005-0000-0000-000003000000}"/>
    <cellStyle name="Comma 5" xfId="10" xr:uid="{00000000-0005-0000-0000-000004000000}"/>
    <cellStyle name="Comma 6" xfId="12" xr:uid="{00000000-0005-0000-0000-000005000000}"/>
    <cellStyle name="Comma 7" xfId="14" xr:uid="{00000000-0005-0000-0000-000006000000}"/>
    <cellStyle name="Comma 8" xfId="16" xr:uid="{00000000-0005-0000-0000-000007000000}"/>
    <cellStyle name="Comma 9" xfId="18" xr:uid="{00000000-0005-0000-0000-000008000000}"/>
    <cellStyle name="Normal" xfId="0" builtinId="0"/>
    <cellStyle name="Normal 10" xfId="19" xr:uid="{8B272579-4334-49E5-8728-292BA3D7B1C1}"/>
    <cellStyle name="Normal 11" xfId="20" xr:uid="{9D3EE9EF-FC6B-4DB9-B307-D083D13E0A43}"/>
    <cellStyle name="Normal 12" xfId="21" xr:uid="{A81D2A6B-812D-43D4-A1B2-7D4AFBE37064}"/>
    <cellStyle name="Normal 13" xfId="22" xr:uid="{22A2A12D-8815-447B-BDF6-E372B9B522D9}"/>
    <cellStyle name="Normal 14" xfId="23" xr:uid="{8B940709-7520-4505-842A-5A444AB2C9DF}"/>
    <cellStyle name="Normal 15" xfId="24" xr:uid="{DB6F08DE-1811-4547-8052-A47D2B1351AC}"/>
    <cellStyle name="Normal 16" xfId="25" xr:uid="{2C9A682C-F481-44F7-830F-CAE0D97749AD}"/>
    <cellStyle name="Normal 17" xfId="26" xr:uid="{26F1709E-3196-4684-9A5B-FABBB1B97D6A}"/>
    <cellStyle name="Normal 18" xfId="27" xr:uid="{C2180E01-4ABF-44B9-AFAD-86605D5727DA}"/>
    <cellStyle name="Normal 19" xfId="28" xr:uid="{A0076239-74E9-4CCB-9316-F9E2E63484CE}"/>
    <cellStyle name="Normal 2" xfId="3" xr:uid="{00000000-0005-0000-0000-00000A000000}"/>
    <cellStyle name="Normal 3" xfId="5" xr:uid="{00000000-0005-0000-0000-00000B000000}"/>
    <cellStyle name="Normal 4" xfId="7" xr:uid="{00000000-0005-0000-0000-00000C000000}"/>
    <cellStyle name="Normal 5" xfId="9" xr:uid="{00000000-0005-0000-0000-00000D000000}"/>
    <cellStyle name="Normal 6" xfId="11" xr:uid="{00000000-0005-0000-0000-00000E000000}"/>
    <cellStyle name="Normal 7" xfId="13" xr:uid="{00000000-0005-0000-0000-00000F000000}"/>
    <cellStyle name="Normal 8" xfId="15" xr:uid="{00000000-0005-0000-0000-000010000000}"/>
    <cellStyle name="Normal 9" xfId="17" xr:uid="{00000000-0005-0000-0000-000011000000}"/>
    <cellStyle name="Percent" xfId="2" builtinId="5"/>
  </cellStyles>
  <dxfs count="12">
    <dxf>
      <font>
        <color indexed="16"/>
      </font>
      <fill>
        <patternFill patternType="solid">
          <bgColor indexed="45"/>
        </patternFill>
      </fill>
    </dxf>
    <dxf>
      <font>
        <color indexed="16"/>
      </font>
      <fill>
        <patternFill patternType="solid">
          <bgColor indexed="4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980616</xdr:colOff>
      <xdr:row>1255</xdr:row>
      <xdr:rowOff>55563</xdr:rowOff>
    </xdr:from>
    <xdr:to>
      <xdr:col>14</xdr:col>
      <xdr:colOff>278705</xdr:colOff>
      <xdr:row>1302</xdr:row>
      <xdr:rowOff>100315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E93BB4-22AC-F2E4-1398-5A063C8E65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0616" y="228909563"/>
          <a:ext cx="15323902" cy="862519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4%20July/APRIL%20TO%20JULY%20EBITDA/KPW%20-%20EBIDTA%2026-27%20-%20JULY--.xlsx" TargetMode="External"/><Relationship Id="rId2" Type="http://schemas.openxmlformats.org/officeDocument/2006/relationships/externalLinkPath" Target="file:///D:\Krishna%20Ma'am\EBITDA\4%20July\APRIL%20TO%20JULY%20EBITDA\KPW%20-%20EBIDTA%2026-27%20-%20JULY--.xlsx" TargetMode="External"/><Relationship Id="rId1" Type="http://schemas.openxmlformats.org/officeDocument/2006/relationships/externalLinkPath" Target="/Krishna%20Ma'am/EBITDA/4%20July/APRIL%20TO%20JULY%20EBITDA/KPW%20-%20EBIDTA%2026-27%20-%20JULY--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2"/>
      <sheetName val="TB April-KPW- old"/>
      <sheetName val="EBIDTA"/>
      <sheetName val="Stock Sheet - KPW"/>
      <sheetName val="APRIL - TB -"/>
      <sheetName val="MAY- TB - "/>
      <sheetName val="TB - MAY"/>
      <sheetName val="TB May-KPW - old"/>
      <sheetName val="JUNE - TB -"/>
      <sheetName val="TB June-KPW-old"/>
      <sheetName val="JULY-TB"/>
      <sheetName val="EBIDTA -delete"/>
      <sheetName val="TB-Working - May"/>
      <sheetName val="July TB- DETAIL"/>
      <sheetName val="Power"/>
      <sheetName val="TB-Working - June"/>
      <sheetName val="Prov. April - KP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A1" t="str">
            <v>Perticular</v>
          </cell>
          <cell r="B1" t="str">
            <v>Opening</v>
          </cell>
          <cell r="C1" t="str">
            <v>Debit</v>
          </cell>
          <cell r="D1" t="str">
            <v>Credit</v>
          </cell>
          <cell r="E1" t="str">
            <v>Closing</v>
          </cell>
          <cell r="F1" t="str">
            <v>Provision</v>
          </cell>
          <cell r="G1" t="str">
            <v>Total</v>
          </cell>
        </row>
        <row r="2">
          <cell r="A2" t="str">
            <v>TDS Receivable 2022-23</v>
          </cell>
          <cell r="B2">
            <v>-418818</v>
          </cell>
          <cell r="C2">
            <v>0</v>
          </cell>
          <cell r="D2">
            <v>0</v>
          </cell>
          <cell r="E2">
            <v>-418818</v>
          </cell>
          <cell r="G2">
            <v>-418818</v>
          </cell>
        </row>
        <row r="3">
          <cell r="A3" t="str">
            <v>TDS Receivable 2023-24</v>
          </cell>
          <cell r="B3">
            <v>66480</v>
          </cell>
          <cell r="C3">
            <v>0</v>
          </cell>
          <cell r="D3">
            <v>0</v>
          </cell>
          <cell r="E3">
            <v>66480</v>
          </cell>
          <cell r="G3">
            <v>66480</v>
          </cell>
        </row>
        <row r="4">
          <cell r="A4" t="str">
            <v>Tds Receivable 2024-25</v>
          </cell>
          <cell r="B4">
            <v>1767704.75</v>
          </cell>
          <cell r="C4">
            <v>0</v>
          </cell>
          <cell r="D4">
            <v>0</v>
          </cell>
          <cell r="E4">
            <v>1767704.75</v>
          </cell>
          <cell r="G4">
            <v>1767704.75</v>
          </cell>
        </row>
        <row r="5">
          <cell r="A5" t="str">
            <v>Tds Receivable 2025-26</v>
          </cell>
          <cell r="B5">
            <v>1324336.43</v>
          </cell>
          <cell r="C5">
            <v>1788.8</v>
          </cell>
          <cell r="D5">
            <v>0</v>
          </cell>
          <cell r="E5">
            <v>1326125.23</v>
          </cell>
          <cell r="G5">
            <v>1326125.23</v>
          </cell>
        </row>
        <row r="6">
          <cell r="A6" t="str">
            <v>Tds Receivable 2026-27</v>
          </cell>
          <cell r="B6">
            <v>0</v>
          </cell>
          <cell r="C6">
            <v>695424.7</v>
          </cell>
          <cell r="D6">
            <v>0</v>
          </cell>
          <cell r="E6">
            <v>695424.7</v>
          </cell>
          <cell r="G6">
            <v>695424.7</v>
          </cell>
        </row>
        <row r="7">
          <cell r="A7" t="str">
            <v>Bank FDR BOB 73280300000558</v>
          </cell>
          <cell r="B7">
            <v>2176060</v>
          </cell>
          <cell r="C7">
            <v>0</v>
          </cell>
          <cell r="D7">
            <v>0</v>
          </cell>
          <cell r="E7">
            <v>2176060</v>
          </cell>
          <cell r="G7">
            <v>2176060</v>
          </cell>
        </row>
        <row r="8">
          <cell r="A8" t="str">
            <v>Bank Fdr Bob 73280300001203</v>
          </cell>
          <cell r="B8">
            <v>2589775</v>
          </cell>
          <cell r="C8">
            <v>0</v>
          </cell>
          <cell r="D8">
            <v>0</v>
          </cell>
          <cell r="E8">
            <v>2589775</v>
          </cell>
          <cell r="G8">
            <v>2589775</v>
          </cell>
        </row>
        <row r="9">
          <cell r="A9" t="str">
            <v>Bank FDR BOB 73280300001224</v>
          </cell>
          <cell r="B9">
            <v>6100000</v>
          </cell>
          <cell r="C9">
            <v>0</v>
          </cell>
          <cell r="D9">
            <v>6177119</v>
          </cell>
          <cell r="E9">
            <v>-77119</v>
          </cell>
          <cell r="G9">
            <v>-77119</v>
          </cell>
        </row>
        <row r="10">
          <cell r="A10" t="str">
            <v>Bank Fdr Bob 73280300001261</v>
          </cell>
          <cell r="B10">
            <v>60017754</v>
          </cell>
          <cell r="C10">
            <v>0</v>
          </cell>
          <cell r="D10">
            <v>60142043</v>
          </cell>
          <cell r="E10">
            <v>-124289</v>
          </cell>
          <cell r="G10">
            <v>-124289</v>
          </cell>
        </row>
        <row r="11">
          <cell r="A11" t="str">
            <v>Bank FDR The Karnataka Bank Ltd - 0021152400022801</v>
          </cell>
          <cell r="B11">
            <v>2300953</v>
          </cell>
          <cell r="C11">
            <v>33543</v>
          </cell>
          <cell r="D11">
            <v>0</v>
          </cell>
          <cell r="E11">
            <v>2334496</v>
          </cell>
          <cell r="G11">
            <v>2334496</v>
          </cell>
        </row>
        <row r="12">
          <cell r="A12" t="str">
            <v>Bank Fdr The Karnataka Bank Ltd - 021152600003001</v>
          </cell>
          <cell r="B12">
            <v>50000000</v>
          </cell>
          <cell r="C12">
            <v>0</v>
          </cell>
          <cell r="D12">
            <v>532910</v>
          </cell>
          <cell r="E12">
            <v>49467090</v>
          </cell>
          <cell r="G12">
            <v>49467090</v>
          </cell>
        </row>
        <row r="13">
          <cell r="A13" t="str">
            <v>Bank Fdr The Karnataka Bank Ltd - 021152600005001</v>
          </cell>
          <cell r="B13">
            <v>13000000</v>
          </cell>
          <cell r="C13">
            <v>0</v>
          </cell>
          <cell r="D13">
            <v>153952</v>
          </cell>
          <cell r="E13">
            <v>12846048</v>
          </cell>
          <cell r="G13">
            <v>12846048</v>
          </cell>
        </row>
        <row r="14">
          <cell r="A14" t="str">
            <v>Bank FDR BOB 73280300000187</v>
          </cell>
          <cell r="B14">
            <v>12658</v>
          </cell>
          <cell r="C14">
            <v>0</v>
          </cell>
          <cell r="D14">
            <v>0</v>
          </cell>
          <cell r="E14">
            <v>12658</v>
          </cell>
          <cell r="G14">
            <v>12658</v>
          </cell>
        </row>
        <row r="15">
          <cell r="A15" t="str">
            <v>Cash in Hand-HO</v>
          </cell>
          <cell r="B15">
            <v>895</v>
          </cell>
          <cell r="C15">
            <v>200000</v>
          </cell>
          <cell r="D15">
            <v>119654</v>
          </cell>
          <cell r="E15">
            <v>81241</v>
          </cell>
          <cell r="G15">
            <v>81241</v>
          </cell>
        </row>
        <row r="16">
          <cell r="A16" t="str">
            <v>Cash in Hand-Factory</v>
          </cell>
          <cell r="B16">
            <v>41258.14</v>
          </cell>
          <cell r="C16">
            <v>900000</v>
          </cell>
          <cell r="D16">
            <v>886216</v>
          </cell>
          <cell r="E16">
            <v>55042.14</v>
          </cell>
          <cell r="G16">
            <v>55042.14</v>
          </cell>
        </row>
        <row r="17">
          <cell r="A17" t="str">
            <v>Investment in Vera Synthetics Ltd</v>
          </cell>
          <cell r="B17">
            <v>5175000</v>
          </cell>
          <cell r="C17">
            <v>0</v>
          </cell>
          <cell r="D17">
            <v>0</v>
          </cell>
          <cell r="E17">
            <v>5175000</v>
          </cell>
          <cell r="G17">
            <v>5175000</v>
          </cell>
        </row>
        <row r="18">
          <cell r="A18" t="str">
            <v>Investment In Mutual Fund (Bank Of Baroda)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G18">
            <v>0</v>
          </cell>
        </row>
        <row r="19">
          <cell r="A19" t="str">
            <v>Bank CA SBI 32181198198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G19">
            <v>0</v>
          </cell>
        </row>
        <row r="20">
          <cell r="A20" t="str">
            <v>Bank CA HDFC CE Clarification Pending</v>
          </cell>
          <cell r="B20">
            <v>0.06</v>
          </cell>
          <cell r="C20">
            <v>0</v>
          </cell>
          <cell r="D20">
            <v>0</v>
          </cell>
          <cell r="E20">
            <v>0.06</v>
          </cell>
          <cell r="G20">
            <v>0.06</v>
          </cell>
        </row>
        <row r="21">
          <cell r="A21" t="str">
            <v>Bank CA HDFC 50200024330191</v>
          </cell>
          <cell r="B21">
            <v>0.01</v>
          </cell>
          <cell r="C21">
            <v>0</v>
          </cell>
          <cell r="D21">
            <v>0</v>
          </cell>
          <cell r="E21">
            <v>0.01</v>
          </cell>
          <cell r="G21">
            <v>0.01</v>
          </cell>
        </row>
        <row r="22">
          <cell r="A22" t="str">
            <v>Bank CA BOB EEFC USD 25380200001346</v>
          </cell>
          <cell r="B22">
            <v>1205388922.52</v>
          </cell>
          <cell r="C22">
            <v>169737414.84999999</v>
          </cell>
          <cell r="D22">
            <v>47986418</v>
          </cell>
          <cell r="E22">
            <v>1327139919.3699999</v>
          </cell>
          <cell r="G22">
            <v>1327139919.3699999</v>
          </cell>
        </row>
        <row r="23">
          <cell r="A23" t="str">
            <v>Bank CA BOB 25380200000283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G23">
            <v>0</v>
          </cell>
        </row>
        <row r="24">
          <cell r="A24" t="str">
            <v>TDS Receivable 2021-22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G24">
            <v>0</v>
          </cell>
        </row>
        <row r="25">
          <cell r="A25" t="str">
            <v>TDS Receivable 2020-21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G25">
            <v>0</v>
          </cell>
        </row>
        <row r="26">
          <cell r="A26" t="str">
            <v>CGST Input</v>
          </cell>
          <cell r="B26">
            <v>0</v>
          </cell>
          <cell r="C26">
            <v>27386778.690000001</v>
          </cell>
          <cell r="D26">
            <v>27386913.690000001</v>
          </cell>
          <cell r="E26">
            <v>-135</v>
          </cell>
          <cell r="G26">
            <v>-135</v>
          </cell>
        </row>
        <row r="27">
          <cell r="A27" t="str">
            <v>Tcs On Purchase 25-26</v>
          </cell>
          <cell r="B27">
            <v>1335.22</v>
          </cell>
          <cell r="C27">
            <v>0</v>
          </cell>
          <cell r="D27">
            <v>0</v>
          </cell>
          <cell r="E27">
            <v>1335.22</v>
          </cell>
          <cell r="G27">
            <v>1335.22</v>
          </cell>
        </row>
        <row r="28">
          <cell r="A28" t="str">
            <v>IGST Input</v>
          </cell>
          <cell r="B28">
            <v>1271337</v>
          </cell>
          <cell r="C28">
            <v>14115852.07</v>
          </cell>
          <cell r="D28">
            <v>15387189.07</v>
          </cell>
          <cell r="E28">
            <v>0</v>
          </cell>
          <cell r="G28">
            <v>0</v>
          </cell>
        </row>
        <row r="29">
          <cell r="A29" t="str">
            <v>SGST Input</v>
          </cell>
          <cell r="B29">
            <v>0</v>
          </cell>
          <cell r="C29">
            <v>27386778.789999999</v>
          </cell>
          <cell r="D29">
            <v>27386913.789999999</v>
          </cell>
          <cell r="E29">
            <v>-135</v>
          </cell>
          <cell r="G29">
            <v>-135</v>
          </cell>
        </row>
        <row r="30">
          <cell r="A30" t="str">
            <v>Tcs On Purchase 24-25</v>
          </cell>
          <cell r="B30">
            <v>30286.3</v>
          </cell>
          <cell r="C30">
            <v>0</v>
          </cell>
          <cell r="D30">
            <v>0</v>
          </cell>
          <cell r="E30">
            <v>30286.3</v>
          </cell>
          <cell r="G30">
            <v>30286.3</v>
          </cell>
        </row>
        <row r="31">
          <cell r="A31" t="str">
            <v>TCS On Purchase 23-24</v>
          </cell>
          <cell r="B31">
            <v>1151</v>
          </cell>
          <cell r="C31">
            <v>0</v>
          </cell>
          <cell r="D31">
            <v>0</v>
          </cell>
          <cell r="E31">
            <v>1151</v>
          </cell>
          <cell r="G31">
            <v>1151</v>
          </cell>
        </row>
        <row r="32">
          <cell r="A32" t="str">
            <v>IGST Refund Receivable Under Rebate</v>
          </cell>
          <cell r="B32">
            <v>23664031.890000001</v>
          </cell>
          <cell r="C32">
            <v>23360894.879999999</v>
          </cell>
          <cell r="D32">
            <v>30120313.550000001</v>
          </cell>
          <cell r="E32">
            <v>16904613.219999999</v>
          </cell>
          <cell r="G32">
            <v>16904613.219999999</v>
          </cell>
        </row>
        <row r="33">
          <cell r="A33" t="str">
            <v>K.P. Woven Pvt Ltd - Unit 2 - For Gst Balance Only</v>
          </cell>
          <cell r="B33">
            <v>-26904578.440000001</v>
          </cell>
          <cell r="C33">
            <v>0</v>
          </cell>
          <cell r="D33">
            <v>0</v>
          </cell>
          <cell r="E33">
            <v>-26904578.440000001</v>
          </cell>
          <cell r="G33">
            <v>-26904578.440000001</v>
          </cell>
        </row>
        <row r="34">
          <cell r="A34" t="str">
            <v>K.P. Woven Pvt Ltd - Unit II (Nani Chirai) - For Gst Balance Only</v>
          </cell>
          <cell r="B34">
            <v>-85919.34</v>
          </cell>
          <cell r="C34">
            <v>0</v>
          </cell>
          <cell r="D34">
            <v>0</v>
          </cell>
          <cell r="E34">
            <v>-85919.34</v>
          </cell>
          <cell r="G34">
            <v>-85919.34</v>
          </cell>
        </row>
        <row r="35">
          <cell r="A35" t="str">
            <v>TCS On Purchase 22-23</v>
          </cell>
          <cell r="B35">
            <v>-18585.939999999999</v>
          </cell>
          <cell r="C35">
            <v>0</v>
          </cell>
          <cell r="D35">
            <v>0</v>
          </cell>
          <cell r="E35">
            <v>-18585.939999999999</v>
          </cell>
          <cell r="G35">
            <v>-18585.939999999999</v>
          </cell>
        </row>
        <row r="36">
          <cell r="A36" t="str">
            <v>TCS On Purchase 21-22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G36">
            <v>0</v>
          </cell>
        </row>
        <row r="37">
          <cell r="A37" t="str">
            <v>TCS On Purchase 20-21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G37">
            <v>0</v>
          </cell>
        </row>
        <row r="38">
          <cell r="A38" t="str">
            <v>Income Tax Refund Receivable</v>
          </cell>
          <cell r="B38">
            <v>108787</v>
          </cell>
          <cell r="C38">
            <v>0</v>
          </cell>
          <cell r="D38">
            <v>0</v>
          </cell>
          <cell r="E38">
            <v>108787</v>
          </cell>
          <cell r="G38">
            <v>108787</v>
          </cell>
        </row>
        <row r="39">
          <cell r="A39" t="str">
            <v>Income Tax Ay 2016-17</v>
          </cell>
          <cell r="B39">
            <v>2200000</v>
          </cell>
          <cell r="C39">
            <v>0</v>
          </cell>
          <cell r="D39">
            <v>0</v>
          </cell>
          <cell r="E39">
            <v>2200000</v>
          </cell>
          <cell r="G39">
            <v>2200000</v>
          </cell>
        </row>
        <row r="40">
          <cell r="A40" t="str">
            <v>Income Tax Ay 2014-15</v>
          </cell>
          <cell r="B40">
            <v>1607000</v>
          </cell>
          <cell r="C40">
            <v>0</v>
          </cell>
          <cell r="D40">
            <v>0</v>
          </cell>
          <cell r="E40">
            <v>1607000</v>
          </cell>
          <cell r="G40">
            <v>1607000</v>
          </cell>
        </row>
        <row r="41">
          <cell r="A41" t="str">
            <v>Duty Clearing Account</v>
          </cell>
          <cell r="B41">
            <v>0</v>
          </cell>
          <cell r="C41">
            <v>12022374</v>
          </cell>
          <cell r="D41">
            <v>12022374</v>
          </cell>
          <cell r="E41">
            <v>0</v>
          </cell>
          <cell r="G41">
            <v>0</v>
          </cell>
        </row>
        <row r="42">
          <cell r="A42" t="str">
            <v>Security Deposit - GIDC Sanand (Water)</v>
          </cell>
          <cell r="B42">
            <v>222566</v>
          </cell>
          <cell r="C42">
            <v>0</v>
          </cell>
          <cell r="D42">
            <v>0</v>
          </cell>
          <cell r="E42">
            <v>222566</v>
          </cell>
          <cell r="G42">
            <v>222566</v>
          </cell>
        </row>
        <row r="43">
          <cell r="A43" t="str">
            <v>Security Deposit - Tree Plantation</v>
          </cell>
          <cell r="B43">
            <v>173552</v>
          </cell>
          <cell r="C43">
            <v>0</v>
          </cell>
          <cell r="D43">
            <v>0</v>
          </cell>
          <cell r="E43">
            <v>173552</v>
          </cell>
          <cell r="G43">
            <v>173552</v>
          </cell>
        </row>
        <row r="44">
          <cell r="A44" t="str">
            <v>Security Deposit UGVCL - PNB 0170100P00026638</v>
          </cell>
          <cell r="B44">
            <v>1600000</v>
          </cell>
          <cell r="C44">
            <v>0</v>
          </cell>
          <cell r="D44">
            <v>0</v>
          </cell>
          <cell r="E44">
            <v>1600000</v>
          </cell>
          <cell r="G44">
            <v>1600000</v>
          </cell>
        </row>
        <row r="45">
          <cell r="A45" t="str">
            <v>Inventory- Raw Material</v>
          </cell>
          <cell r="B45">
            <v>54931400</v>
          </cell>
          <cell r="C45">
            <v>0</v>
          </cell>
          <cell r="D45">
            <v>0</v>
          </cell>
          <cell r="E45">
            <v>54931400</v>
          </cell>
          <cell r="G45">
            <v>54931400</v>
          </cell>
        </row>
        <row r="46">
          <cell r="A46" t="str">
            <v>Inventory- Packing Material</v>
          </cell>
          <cell r="B46">
            <v>243605.52</v>
          </cell>
          <cell r="C46">
            <v>0</v>
          </cell>
          <cell r="D46">
            <v>0</v>
          </cell>
          <cell r="E46">
            <v>243605.52</v>
          </cell>
          <cell r="G46">
            <v>243605.52</v>
          </cell>
        </row>
        <row r="47">
          <cell r="A47" t="str">
            <v>Inventory- Fg</v>
          </cell>
          <cell r="B47">
            <v>60587491.689999998</v>
          </cell>
          <cell r="C47">
            <v>0</v>
          </cell>
          <cell r="D47">
            <v>0</v>
          </cell>
          <cell r="E47">
            <v>60587491.689999998</v>
          </cell>
          <cell r="G47">
            <v>60587491.689999998</v>
          </cell>
        </row>
        <row r="48">
          <cell r="A48" t="str">
            <v>Raj Singh Shaktawat Kpw - Imprest A/C</v>
          </cell>
          <cell r="B48">
            <v>5100</v>
          </cell>
          <cell r="C48">
            <v>44000</v>
          </cell>
          <cell r="D48">
            <v>45606</v>
          </cell>
          <cell r="E48">
            <v>3494</v>
          </cell>
          <cell r="G48">
            <v>3494</v>
          </cell>
        </row>
        <row r="49">
          <cell r="A49" t="str">
            <v>Inventory- Consumables</v>
          </cell>
          <cell r="B49">
            <v>12166394.48</v>
          </cell>
          <cell r="C49">
            <v>0</v>
          </cell>
          <cell r="D49">
            <v>0</v>
          </cell>
          <cell r="E49">
            <v>12166394.48</v>
          </cell>
          <cell r="G49">
            <v>12166394.48</v>
          </cell>
        </row>
        <row r="50">
          <cell r="A50" t="str">
            <v>RODTEP SCRIPT</v>
          </cell>
          <cell r="B50">
            <v>217112</v>
          </cell>
          <cell r="C50">
            <v>0</v>
          </cell>
          <cell r="D50">
            <v>0</v>
          </cell>
          <cell r="E50">
            <v>217112</v>
          </cell>
          <cell r="G50">
            <v>217112</v>
          </cell>
        </row>
        <row r="51">
          <cell r="A51" t="str">
            <v>Stock In Transit</v>
          </cell>
          <cell r="B51">
            <v>-651515</v>
          </cell>
          <cell r="C51">
            <v>0</v>
          </cell>
          <cell r="D51">
            <v>0</v>
          </cell>
          <cell r="E51">
            <v>-651515</v>
          </cell>
          <cell r="G51">
            <v>-651515</v>
          </cell>
        </row>
        <row r="52">
          <cell r="A52" t="str">
            <v>A.F.Traders</v>
          </cell>
          <cell r="B52">
            <v>107.89</v>
          </cell>
          <cell r="C52">
            <v>0</v>
          </cell>
          <cell r="D52">
            <v>0</v>
          </cell>
          <cell r="E52">
            <v>107.89</v>
          </cell>
          <cell r="G52">
            <v>107.89</v>
          </cell>
        </row>
        <row r="53">
          <cell r="A53" t="str">
            <v>Aarohi Trading Co.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  <cell r="G53">
            <v>0</v>
          </cell>
        </row>
        <row r="54">
          <cell r="A54" t="str">
            <v>Akshay Trading Co</v>
          </cell>
          <cell r="B54">
            <v>51907.76</v>
          </cell>
          <cell r="C54">
            <v>0</v>
          </cell>
          <cell r="D54">
            <v>51907.76</v>
          </cell>
          <cell r="E54">
            <v>0</v>
          </cell>
          <cell r="G54">
            <v>0</v>
          </cell>
        </row>
        <row r="55">
          <cell r="A55" t="str">
            <v>Alpine Fibc Pvt Ltd - Sales</v>
          </cell>
          <cell r="B55">
            <v>-0.2</v>
          </cell>
          <cell r="C55">
            <v>0.2</v>
          </cell>
          <cell r="D55">
            <v>0</v>
          </cell>
          <cell r="E55">
            <v>0</v>
          </cell>
          <cell r="G55">
            <v>0</v>
          </cell>
        </row>
        <row r="56">
          <cell r="A56" t="str">
            <v>Ambica Sales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G56">
            <v>0</v>
          </cell>
        </row>
        <row r="57">
          <cell r="A57" t="str">
            <v>APB Industries Private Limited</v>
          </cell>
          <cell r="B57">
            <v>-10.19</v>
          </cell>
          <cell r="C57">
            <v>10.19</v>
          </cell>
          <cell r="D57">
            <v>0</v>
          </cell>
          <cell r="E57">
            <v>0</v>
          </cell>
          <cell r="G57">
            <v>0</v>
          </cell>
        </row>
        <row r="58">
          <cell r="A58" t="str">
            <v>Inventory- Wip</v>
          </cell>
          <cell r="B58">
            <v>289971000</v>
          </cell>
          <cell r="C58">
            <v>0</v>
          </cell>
          <cell r="D58">
            <v>0</v>
          </cell>
          <cell r="E58">
            <v>289971000</v>
          </cell>
          <cell r="G58">
            <v>289971000</v>
          </cell>
        </row>
        <row r="59">
          <cell r="A59" t="str">
            <v>Amira Tanna Industries Private Limited</v>
          </cell>
          <cell r="B59">
            <v>120000000</v>
          </cell>
          <cell r="C59">
            <v>0</v>
          </cell>
          <cell r="D59">
            <v>120000000</v>
          </cell>
          <cell r="E59">
            <v>0</v>
          </cell>
          <cell r="G59">
            <v>0</v>
          </cell>
        </row>
        <row r="60">
          <cell r="A60" t="str">
            <v>Shamalbhai Kuberbhai Patel</v>
          </cell>
          <cell r="B60">
            <v>788480</v>
          </cell>
          <cell r="C60">
            <v>0</v>
          </cell>
          <cell r="D60">
            <v>0</v>
          </cell>
          <cell r="E60">
            <v>788480</v>
          </cell>
          <cell r="G60">
            <v>788480</v>
          </cell>
        </row>
        <row r="61">
          <cell r="A61" t="str">
            <v>Unclaimed CGST</v>
          </cell>
          <cell r="B61">
            <v>761067.47</v>
          </cell>
          <cell r="C61">
            <v>246644.52</v>
          </cell>
          <cell r="D61">
            <v>740821.64</v>
          </cell>
          <cell r="E61">
            <v>266890.34999999998</v>
          </cell>
          <cell r="G61">
            <v>266890.34999999998</v>
          </cell>
        </row>
        <row r="62">
          <cell r="A62" t="str">
            <v>Balaji Formalin Private Limited</v>
          </cell>
          <cell r="B62">
            <v>6490.1</v>
          </cell>
          <cell r="C62">
            <v>1518890.1</v>
          </cell>
          <cell r="D62">
            <v>0</v>
          </cell>
          <cell r="E62">
            <v>1525380.2</v>
          </cell>
          <cell r="G62">
            <v>1525380.2</v>
          </cell>
        </row>
        <row r="63">
          <cell r="A63" t="str">
            <v>Unclaimed IGST</v>
          </cell>
          <cell r="B63">
            <v>227369.96</v>
          </cell>
          <cell r="C63">
            <v>186427.62</v>
          </cell>
          <cell r="D63">
            <v>392262.7</v>
          </cell>
          <cell r="E63">
            <v>21534.880000000001</v>
          </cell>
          <cell r="G63">
            <v>21534.880000000001</v>
          </cell>
        </row>
        <row r="64">
          <cell r="A64" t="str">
            <v>Unclaimed SGST</v>
          </cell>
          <cell r="B64">
            <v>761067.47</v>
          </cell>
          <cell r="C64">
            <v>246644.52</v>
          </cell>
          <cell r="D64">
            <v>740821.64</v>
          </cell>
          <cell r="E64">
            <v>266890.34999999998</v>
          </cell>
          <cell r="G64">
            <v>266890.34999999998</v>
          </cell>
        </row>
        <row r="65">
          <cell r="A65" t="str">
            <v>Insurance Claim Receivable</v>
          </cell>
          <cell r="B65">
            <v>-3821334</v>
          </cell>
          <cell r="C65">
            <v>0</v>
          </cell>
          <cell r="D65">
            <v>0</v>
          </cell>
          <cell r="E65">
            <v>-3821334</v>
          </cell>
          <cell r="G65">
            <v>-3821334</v>
          </cell>
        </row>
        <row r="66">
          <cell r="A66" t="str">
            <v>GST Credit-Non Eligible</v>
          </cell>
          <cell r="B66">
            <v>0</v>
          </cell>
          <cell r="C66">
            <v>36033.040000000001</v>
          </cell>
          <cell r="D66">
            <v>36033.040000000001</v>
          </cell>
          <cell r="E66">
            <v>0</v>
          </cell>
          <cell r="G66">
            <v>0</v>
          </cell>
        </row>
        <row r="67">
          <cell r="A67" t="str">
            <v>GST Electronic Cash Ledger</v>
          </cell>
          <cell r="B67">
            <v>1171.99</v>
          </cell>
          <cell r="C67">
            <v>34715983</v>
          </cell>
          <cell r="D67">
            <v>34715980.5</v>
          </cell>
          <cell r="E67">
            <v>1174.49</v>
          </cell>
          <cell r="G67">
            <v>1174.49</v>
          </cell>
        </row>
        <row r="68">
          <cell r="A68" t="str">
            <v>GST Receivable</v>
          </cell>
          <cell r="B68">
            <v>-86936.05</v>
          </cell>
          <cell r="C68">
            <v>72582244.010000005</v>
          </cell>
          <cell r="D68">
            <v>65439925.799999997</v>
          </cell>
          <cell r="E68">
            <v>7055382.1600000001</v>
          </cell>
          <cell r="G68">
            <v>7055382.1600000001</v>
          </cell>
        </row>
        <row r="69">
          <cell r="A69" t="str">
            <v>Emmbi Industries Limited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G69">
            <v>0</v>
          </cell>
        </row>
        <row r="70">
          <cell r="A70" t="str">
            <v>Flexochem Ventures Private Limited</v>
          </cell>
          <cell r="B70">
            <v>848480.5</v>
          </cell>
          <cell r="C70">
            <v>379434.5</v>
          </cell>
          <cell r="D70">
            <v>989725</v>
          </cell>
          <cell r="E70">
            <v>238190</v>
          </cell>
          <cell r="G70">
            <v>238190</v>
          </cell>
        </row>
        <row r="71">
          <cell r="A71" t="str">
            <v>Export Advance Licence Benifit Accured</v>
          </cell>
          <cell r="B71">
            <v>407065.63</v>
          </cell>
          <cell r="C71">
            <v>0</v>
          </cell>
          <cell r="D71">
            <v>0</v>
          </cell>
          <cell r="E71">
            <v>407065.63</v>
          </cell>
          <cell r="G71">
            <v>407065.63</v>
          </cell>
        </row>
        <row r="72">
          <cell r="A72" t="str">
            <v>Oliva Garden S.A. - ICD</v>
          </cell>
          <cell r="B72">
            <v>7359905.7999999998</v>
          </cell>
          <cell r="C72">
            <v>0</v>
          </cell>
          <cell r="D72">
            <v>0</v>
          </cell>
          <cell r="E72">
            <v>7359905.7999999998</v>
          </cell>
          <cell r="G72">
            <v>7359905.7999999998</v>
          </cell>
        </row>
        <row r="73">
          <cell r="A73" t="str">
            <v>Prepaid Expenses</v>
          </cell>
          <cell r="B73">
            <v>-7246.93</v>
          </cell>
          <cell r="C73">
            <v>220823</v>
          </cell>
          <cell r="D73">
            <v>0</v>
          </cell>
          <cell r="E73">
            <v>213576.07</v>
          </cell>
          <cell r="G73">
            <v>213576.07</v>
          </cell>
        </row>
        <row r="74">
          <cell r="A74" t="str">
            <v>Prepaid Insurance</v>
          </cell>
          <cell r="B74">
            <v>1986677</v>
          </cell>
          <cell r="C74">
            <v>12002</v>
          </cell>
          <cell r="D74">
            <v>342799</v>
          </cell>
          <cell r="E74">
            <v>1655880</v>
          </cell>
          <cell r="G74">
            <v>1655880</v>
          </cell>
        </row>
        <row r="75">
          <cell r="A75" t="str">
            <v>Gujarat Fluorochemicals Limited (EOU)</v>
          </cell>
          <cell r="B75">
            <v>-913045</v>
          </cell>
          <cell r="C75">
            <v>913909.9</v>
          </cell>
          <cell r="D75">
            <v>865</v>
          </cell>
          <cell r="E75">
            <v>-0.1</v>
          </cell>
          <cell r="G75">
            <v>-0.1</v>
          </cell>
        </row>
        <row r="76">
          <cell r="A76" t="str">
            <v>Gujarat Narmada Valley Fertilizers &amp; Chemicals Limited</v>
          </cell>
          <cell r="B76">
            <v>-711.75</v>
          </cell>
          <cell r="C76">
            <v>711.75</v>
          </cell>
          <cell r="D76">
            <v>0</v>
          </cell>
          <cell r="E76">
            <v>0</v>
          </cell>
          <cell r="G76">
            <v>0</v>
          </cell>
        </row>
        <row r="77">
          <cell r="A77" t="str">
            <v>Gujarat State Fertilizer &amp; Chemicals Ltd  24AAACG7996C1ZJ</v>
          </cell>
          <cell r="B77">
            <v>1112150.8999999999</v>
          </cell>
          <cell r="C77">
            <v>0</v>
          </cell>
          <cell r="D77">
            <v>1112150</v>
          </cell>
          <cell r="E77">
            <v>0.9</v>
          </cell>
          <cell r="G77">
            <v>0.9</v>
          </cell>
        </row>
        <row r="78">
          <cell r="A78" t="str">
            <v>Gulbrandsen Private Limited</v>
          </cell>
          <cell r="B78">
            <v>-10480.76</v>
          </cell>
          <cell r="C78">
            <v>0</v>
          </cell>
          <cell r="D78">
            <v>0</v>
          </cell>
          <cell r="E78">
            <v>-10480.76</v>
          </cell>
          <cell r="G78">
            <v>-10480.76</v>
          </cell>
        </row>
        <row r="79">
          <cell r="A79" t="str">
            <v>Gulbrandsen Technologies India Pvt Ltd</v>
          </cell>
          <cell r="B79">
            <v>0.04</v>
          </cell>
          <cell r="C79">
            <v>1398831</v>
          </cell>
          <cell r="D79">
            <v>972261.49</v>
          </cell>
          <cell r="E79">
            <v>426569.55</v>
          </cell>
          <cell r="G79">
            <v>426569.55</v>
          </cell>
        </row>
        <row r="80">
          <cell r="A80" t="str">
            <v>HCP Enterprise Ltd-Sales</v>
          </cell>
          <cell r="B80">
            <v>1886778.93</v>
          </cell>
          <cell r="C80">
            <v>0</v>
          </cell>
          <cell r="D80">
            <v>0</v>
          </cell>
          <cell r="E80">
            <v>1886778.93</v>
          </cell>
          <cell r="G80">
            <v>1886778.93</v>
          </cell>
        </row>
        <row r="81">
          <cell r="A81" t="str">
            <v>HCP Plastene Bulkpack Limited - Sales</v>
          </cell>
          <cell r="B81">
            <v>42723370.759999998</v>
          </cell>
          <cell r="C81">
            <v>68826078.469999999</v>
          </cell>
          <cell r="D81">
            <v>148331676</v>
          </cell>
          <cell r="E81">
            <v>-36782226.770000003</v>
          </cell>
          <cell r="G81">
            <v>-36782226.770000003</v>
          </cell>
        </row>
        <row r="82">
          <cell r="A82" t="str">
            <v>Hcp Plastene Bulkpack Ltd (Unit Iv) - Sales</v>
          </cell>
          <cell r="B82">
            <v>-6977160</v>
          </cell>
          <cell r="C82">
            <v>1279459.81</v>
          </cell>
          <cell r="D82">
            <v>0</v>
          </cell>
          <cell r="E82">
            <v>-5697700.1900000004</v>
          </cell>
          <cell r="G82">
            <v>-5697700.1900000004</v>
          </cell>
        </row>
        <row r="83">
          <cell r="A83" t="str">
            <v>HCP Plastene Bulkpack Ltd (Unit-III) - Sales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G83">
            <v>0</v>
          </cell>
        </row>
        <row r="84">
          <cell r="A84" t="str">
            <v>Hcp Plastene Bulkpack Ltd Vadodara-Sales</v>
          </cell>
          <cell r="B84">
            <v>19769297.699999999</v>
          </cell>
          <cell r="C84">
            <v>34184464.280000001</v>
          </cell>
          <cell r="D84">
            <v>8145893.4299999997</v>
          </cell>
          <cell r="E84">
            <v>45807868.549999997</v>
          </cell>
          <cell r="G84">
            <v>45807868.549999997</v>
          </cell>
        </row>
        <row r="85">
          <cell r="A85" t="str">
            <v>Hd Microns Limited</v>
          </cell>
          <cell r="B85">
            <v>-0.4</v>
          </cell>
          <cell r="C85">
            <v>0.4</v>
          </cell>
          <cell r="D85">
            <v>0</v>
          </cell>
          <cell r="E85">
            <v>0</v>
          </cell>
          <cell r="G85">
            <v>0</v>
          </cell>
        </row>
        <row r="86">
          <cell r="A86" t="str">
            <v>Hi Tech Speciality Fabrics Export</v>
          </cell>
          <cell r="B86">
            <v>-1888</v>
          </cell>
          <cell r="C86">
            <v>0</v>
          </cell>
          <cell r="D86">
            <v>0</v>
          </cell>
          <cell r="E86">
            <v>-1888</v>
          </cell>
          <cell r="G86">
            <v>-1888</v>
          </cell>
        </row>
        <row r="87">
          <cell r="A87" t="str">
            <v>Indofil Industries Limited - 24AABCI4568D1ZS</v>
          </cell>
          <cell r="B87">
            <v>595</v>
          </cell>
          <cell r="C87">
            <v>702100</v>
          </cell>
          <cell r="D87">
            <v>701505</v>
          </cell>
          <cell r="E87">
            <v>1190</v>
          </cell>
          <cell r="G87">
            <v>1190</v>
          </cell>
        </row>
        <row r="88">
          <cell r="A88" t="str">
            <v>Indofil Industries Limited - 24AABCI4568D2ZR</v>
          </cell>
          <cell r="B88">
            <v>1851351</v>
          </cell>
          <cell r="C88">
            <v>0</v>
          </cell>
          <cell r="D88">
            <v>1848150</v>
          </cell>
          <cell r="E88">
            <v>3201</v>
          </cell>
          <cell r="G88">
            <v>3201</v>
          </cell>
        </row>
        <row r="89">
          <cell r="A89" t="str">
            <v>Indralok Fabrics Pvt Ltd - Sales</v>
          </cell>
          <cell r="B89">
            <v>-0.71</v>
          </cell>
          <cell r="C89">
            <v>0.71</v>
          </cell>
          <cell r="D89">
            <v>0</v>
          </cell>
          <cell r="E89">
            <v>0</v>
          </cell>
          <cell r="G89">
            <v>0</v>
          </cell>
        </row>
        <row r="90">
          <cell r="A90" t="str">
            <v>Isbir Mewar Bulk Bag Private Limited</v>
          </cell>
          <cell r="B90">
            <v>1313148.6599999999</v>
          </cell>
          <cell r="C90">
            <v>1412948.52</v>
          </cell>
          <cell r="D90">
            <v>2503983</v>
          </cell>
          <cell r="E90">
            <v>222114.18</v>
          </cell>
          <cell r="G90">
            <v>222114.18</v>
          </cell>
        </row>
        <row r="91">
          <cell r="A91" t="str">
            <v>RCM - CGST Credit</v>
          </cell>
          <cell r="B91">
            <v>0</v>
          </cell>
          <cell r="C91">
            <v>282473</v>
          </cell>
          <cell r="D91">
            <v>282473</v>
          </cell>
          <cell r="E91">
            <v>0</v>
          </cell>
          <cell r="G91">
            <v>0</v>
          </cell>
        </row>
        <row r="92">
          <cell r="A92" t="str">
            <v>RCM - IGST Credit</v>
          </cell>
          <cell r="B92">
            <v>0</v>
          </cell>
          <cell r="C92">
            <v>1271337</v>
          </cell>
          <cell r="D92">
            <v>1271337</v>
          </cell>
          <cell r="E92">
            <v>0</v>
          </cell>
          <cell r="G92">
            <v>0</v>
          </cell>
        </row>
        <row r="93">
          <cell r="A93" t="str">
            <v>K.P. Woven Pvt Ltd - Unit 2 (Nani Chirai) -Sales</v>
          </cell>
          <cell r="B93">
            <v>-2411133.14</v>
          </cell>
          <cell r="C93">
            <v>0</v>
          </cell>
          <cell r="D93">
            <v>0</v>
          </cell>
          <cell r="E93">
            <v>-2411133.14</v>
          </cell>
          <cell r="G93">
            <v>-2411133.14</v>
          </cell>
        </row>
        <row r="94">
          <cell r="A94" t="str">
            <v>K.P. Woven Pvt Ltd - Unit 2 -Sales</v>
          </cell>
          <cell r="B94">
            <v>59634946.859999999</v>
          </cell>
          <cell r="C94">
            <v>0</v>
          </cell>
          <cell r="D94">
            <v>0</v>
          </cell>
          <cell r="E94">
            <v>59634946.859999999</v>
          </cell>
          <cell r="G94">
            <v>59634946.859999999</v>
          </cell>
        </row>
        <row r="95">
          <cell r="A95" t="str">
            <v>K.P. Woven Pvt Ltd - Unit 3 -Sales</v>
          </cell>
          <cell r="B95">
            <v>-135139036.13</v>
          </cell>
          <cell r="C95">
            <v>0</v>
          </cell>
          <cell r="D95">
            <v>641232.61</v>
          </cell>
          <cell r="E95">
            <v>-135780268.74000001</v>
          </cell>
          <cell r="G95">
            <v>-135780268.74000001</v>
          </cell>
        </row>
        <row r="96">
          <cell r="A96" t="str">
            <v>RCM - SGST Credit</v>
          </cell>
          <cell r="B96">
            <v>0</v>
          </cell>
          <cell r="C96">
            <v>282473</v>
          </cell>
          <cell r="D96">
            <v>282473</v>
          </cell>
          <cell r="E96">
            <v>0</v>
          </cell>
          <cell r="G96">
            <v>0</v>
          </cell>
        </row>
        <row r="97">
          <cell r="A97" t="str">
            <v>Loan -Paresh Tiwari</v>
          </cell>
          <cell r="B97">
            <v>37500</v>
          </cell>
          <cell r="C97">
            <v>200000</v>
          </cell>
          <cell r="D97">
            <v>0</v>
          </cell>
          <cell r="E97">
            <v>237500</v>
          </cell>
          <cell r="G97">
            <v>237500</v>
          </cell>
        </row>
        <row r="98">
          <cell r="A98" t="str">
            <v>Lorenz Snacks India Private Limited</v>
          </cell>
          <cell r="B98">
            <v>0</v>
          </cell>
          <cell r="C98">
            <v>47200</v>
          </cell>
          <cell r="D98">
            <v>47200</v>
          </cell>
          <cell r="E98">
            <v>0</v>
          </cell>
          <cell r="G98">
            <v>0</v>
          </cell>
        </row>
        <row r="99">
          <cell r="A99" t="str">
            <v>M B And Sons</v>
          </cell>
          <cell r="B99">
            <v>9045.1299999999992</v>
          </cell>
          <cell r="C99">
            <v>0</v>
          </cell>
          <cell r="D99">
            <v>0</v>
          </cell>
          <cell r="E99">
            <v>9045.1299999999992</v>
          </cell>
          <cell r="G99">
            <v>9045.1299999999992</v>
          </cell>
        </row>
        <row r="100">
          <cell r="A100" t="str">
            <v>M D PLASTIC</v>
          </cell>
          <cell r="B100">
            <v>0</v>
          </cell>
          <cell r="C100">
            <v>2582010</v>
          </cell>
          <cell r="D100">
            <v>0</v>
          </cell>
          <cell r="E100">
            <v>2582010</v>
          </cell>
          <cell r="G100">
            <v>2582010</v>
          </cell>
        </row>
        <row r="101">
          <cell r="A101" t="str">
            <v>Macfil Global Private Limited - Sales</v>
          </cell>
          <cell r="B101">
            <v>2052.5</v>
          </cell>
          <cell r="C101">
            <v>0</v>
          </cell>
          <cell r="D101">
            <v>0</v>
          </cell>
          <cell r="E101">
            <v>2052.5</v>
          </cell>
          <cell r="G101">
            <v>2052.5</v>
          </cell>
        </row>
        <row r="102">
          <cell r="A102" t="str">
            <v>Macfil Industries - Sales</v>
          </cell>
          <cell r="B102">
            <v>0</v>
          </cell>
          <cell r="C102">
            <v>0</v>
          </cell>
          <cell r="D102">
            <v>3540000</v>
          </cell>
          <cell r="E102">
            <v>-3540000</v>
          </cell>
          <cell r="G102">
            <v>-3540000</v>
          </cell>
        </row>
        <row r="103">
          <cell r="A103" t="str">
            <v>Mahak Plastic Industries Unit-2</v>
          </cell>
          <cell r="B103">
            <v>1698.8</v>
          </cell>
          <cell r="C103">
            <v>0</v>
          </cell>
          <cell r="D103">
            <v>1698.8</v>
          </cell>
          <cell r="E103">
            <v>0</v>
          </cell>
          <cell r="G103">
            <v>0</v>
          </cell>
        </row>
        <row r="104">
          <cell r="A104" t="str">
            <v>Mangal Polysacks Pvt Ltd</v>
          </cell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G104">
            <v>0</v>
          </cell>
        </row>
        <row r="105">
          <cell r="A105" t="str">
            <v>Loan -Rakesh Tiwari</v>
          </cell>
          <cell r="B105">
            <v>222030</v>
          </cell>
          <cell r="C105">
            <v>43000</v>
          </cell>
          <cell r="D105">
            <v>43000</v>
          </cell>
          <cell r="E105">
            <v>222030</v>
          </cell>
          <cell r="G105">
            <v>222030</v>
          </cell>
        </row>
        <row r="106">
          <cell r="A106" t="str">
            <v>Staff Loan</v>
          </cell>
          <cell r="B106">
            <v>1475496</v>
          </cell>
          <cell r="C106">
            <v>1397000</v>
          </cell>
          <cell r="D106">
            <v>1016213</v>
          </cell>
          <cell r="E106">
            <v>1856283</v>
          </cell>
          <cell r="G106">
            <v>1856283</v>
          </cell>
        </row>
        <row r="107">
          <cell r="A107" t="str">
            <v>Tushar Prajapati  Imprest A/C</v>
          </cell>
          <cell r="B107">
            <v>5000</v>
          </cell>
          <cell r="C107">
            <v>0</v>
          </cell>
          <cell r="D107">
            <v>0</v>
          </cell>
          <cell r="E107">
            <v>5000</v>
          </cell>
          <cell r="G107">
            <v>5000</v>
          </cell>
        </row>
        <row r="108">
          <cell r="A108" t="str">
            <v>20 Microns Limited- Alwar</v>
          </cell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G108">
            <v>0</v>
          </cell>
        </row>
        <row r="109">
          <cell r="A109" t="str">
            <v>Archit Organosys Limited</v>
          </cell>
          <cell r="B109">
            <v>478152.9</v>
          </cell>
          <cell r="C109">
            <v>225380</v>
          </cell>
          <cell r="D109">
            <v>478490</v>
          </cell>
          <cell r="E109">
            <v>225042.9</v>
          </cell>
          <cell r="G109">
            <v>225042.9</v>
          </cell>
        </row>
        <row r="110">
          <cell r="A110" t="str">
            <v>Olive Industries - Sales</v>
          </cell>
          <cell r="B110">
            <v>0</v>
          </cell>
          <cell r="C110">
            <v>62985.3</v>
          </cell>
          <cell r="D110">
            <v>0</v>
          </cell>
          <cell r="E110">
            <v>62985.3</v>
          </cell>
          <cell r="G110">
            <v>62985.3</v>
          </cell>
        </row>
        <row r="111">
          <cell r="A111" t="str">
            <v>Om Shivay Industries Private Limited</v>
          </cell>
          <cell r="B111">
            <v>0</v>
          </cell>
          <cell r="C111">
            <v>3823200</v>
          </cell>
          <cell r="D111">
            <v>0</v>
          </cell>
          <cell r="E111">
            <v>3823200</v>
          </cell>
          <cell r="G111">
            <v>3823200</v>
          </cell>
        </row>
        <row r="112">
          <cell r="A112" t="str">
            <v>Oswal Extrusion Ltd - HO-Sales</v>
          </cell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G112">
            <v>0</v>
          </cell>
        </row>
        <row r="113">
          <cell r="A113" t="str">
            <v>Oxipack Industries- 24BRVPP1229D1ZQ</v>
          </cell>
          <cell r="B113">
            <v>419071.58</v>
          </cell>
          <cell r="C113">
            <v>0</v>
          </cell>
          <cell r="D113">
            <v>419071</v>
          </cell>
          <cell r="E113">
            <v>0.57999999999999996</v>
          </cell>
          <cell r="G113">
            <v>0.57999999999999996</v>
          </cell>
        </row>
        <row r="114">
          <cell r="A114" t="str">
            <v>Asia Bulk Sack Pvt Ltd - Sales</v>
          </cell>
          <cell r="B114">
            <v>-1.05</v>
          </cell>
          <cell r="C114">
            <v>1.05</v>
          </cell>
          <cell r="D114">
            <v>0</v>
          </cell>
          <cell r="E114">
            <v>0</v>
          </cell>
          <cell r="G114">
            <v>0</v>
          </cell>
        </row>
        <row r="115">
          <cell r="A115" t="str">
            <v>Avesta Pharma Pvt Ltd</v>
          </cell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G115">
            <v>0</v>
          </cell>
        </row>
        <row r="116">
          <cell r="A116" t="str">
            <v>Avira Naturals Pvt Ltd- Sales</v>
          </cell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G116">
            <v>0</v>
          </cell>
        </row>
        <row r="117">
          <cell r="A117" t="str">
            <v>Accrued Interest -FDR</v>
          </cell>
          <cell r="B117">
            <v>35987</v>
          </cell>
          <cell r="C117">
            <v>0</v>
          </cell>
          <cell r="D117">
            <v>0</v>
          </cell>
          <cell r="E117">
            <v>35987</v>
          </cell>
          <cell r="G117">
            <v>35987</v>
          </cell>
        </row>
        <row r="118">
          <cell r="A118" t="str">
            <v>Bhagwati Polyweave Private Limited</v>
          </cell>
          <cell r="B118">
            <v>-2088.6999999999998</v>
          </cell>
          <cell r="C118">
            <v>0</v>
          </cell>
          <cell r="D118">
            <v>0</v>
          </cell>
          <cell r="E118">
            <v>-2088.6999999999998</v>
          </cell>
          <cell r="G118">
            <v>-2088.6999999999998</v>
          </cell>
        </row>
        <row r="119">
          <cell r="A119" t="str">
            <v>Bhagwati Products</v>
          </cell>
          <cell r="B119">
            <v>0</v>
          </cell>
          <cell r="C119">
            <v>0</v>
          </cell>
          <cell r="D119">
            <v>0</v>
          </cell>
          <cell r="E119">
            <v>0</v>
          </cell>
          <cell r="G119">
            <v>0</v>
          </cell>
        </row>
        <row r="120">
          <cell r="A120" t="str">
            <v>PI Industries Limited - 24AABCP2183M2ZA</v>
          </cell>
          <cell r="B120">
            <v>675</v>
          </cell>
          <cell r="C120">
            <v>0</v>
          </cell>
          <cell r="D120">
            <v>0</v>
          </cell>
          <cell r="E120">
            <v>675</v>
          </cell>
          <cell r="G120">
            <v>675</v>
          </cell>
        </row>
        <row r="121">
          <cell r="A121" t="str">
            <v>PI Industries Limited - 24AABCP2183M3Z9</v>
          </cell>
          <cell r="B121">
            <v>4692.88</v>
          </cell>
          <cell r="C121">
            <v>0</v>
          </cell>
          <cell r="D121">
            <v>0</v>
          </cell>
          <cell r="E121">
            <v>4692.88</v>
          </cell>
          <cell r="G121">
            <v>4692.88</v>
          </cell>
        </row>
        <row r="122">
          <cell r="A122" t="str">
            <v>PI Polyblendz Private Limited</v>
          </cell>
          <cell r="B122">
            <v>1789930</v>
          </cell>
          <cell r="C122">
            <v>0</v>
          </cell>
          <cell r="D122">
            <v>1300965</v>
          </cell>
          <cell r="E122">
            <v>488965</v>
          </cell>
          <cell r="G122">
            <v>488965</v>
          </cell>
        </row>
        <row r="123">
          <cell r="A123" t="str">
            <v>Plastene India ltd - HO-Sales</v>
          </cell>
          <cell r="B123">
            <v>0</v>
          </cell>
          <cell r="C123">
            <v>0</v>
          </cell>
          <cell r="D123">
            <v>0</v>
          </cell>
          <cell r="E123">
            <v>0</v>
          </cell>
          <cell r="G123">
            <v>0</v>
          </cell>
        </row>
        <row r="124">
          <cell r="A124" t="str">
            <v>Plastene India ltd - Unit 1-Sales</v>
          </cell>
          <cell r="B124">
            <v>-267736696.16</v>
          </cell>
          <cell r="C124">
            <v>398998026.29000002</v>
          </cell>
          <cell r="D124">
            <v>382072625.60000002</v>
          </cell>
          <cell r="E124">
            <v>-250811295.47</v>
          </cell>
          <cell r="G124">
            <v>-250811295.47</v>
          </cell>
        </row>
        <row r="125">
          <cell r="A125" t="str">
            <v>Plastene India ltd - Unit 2-Sales</v>
          </cell>
          <cell r="B125">
            <v>1168786097.95</v>
          </cell>
          <cell r="C125">
            <v>95743360.760000005</v>
          </cell>
          <cell r="D125">
            <v>7700</v>
          </cell>
          <cell r="E125">
            <v>1264521758.71</v>
          </cell>
          <cell r="G125">
            <v>1264521758.71</v>
          </cell>
        </row>
        <row r="126">
          <cell r="A126" t="str">
            <v>Plastene India ltd - Unit 6-Sales</v>
          </cell>
          <cell r="B126">
            <v>438946147.27999997</v>
          </cell>
          <cell r="C126">
            <v>0</v>
          </cell>
          <cell r="D126">
            <v>0</v>
          </cell>
          <cell r="E126">
            <v>438946147.27999997</v>
          </cell>
          <cell r="G126">
            <v>438946147.27999997</v>
          </cell>
        </row>
        <row r="127">
          <cell r="A127" t="str">
            <v>Plastene Polyfilms Ltd-Sales</v>
          </cell>
          <cell r="B127">
            <v>14316309.33</v>
          </cell>
          <cell r="C127">
            <v>49175815.770000003</v>
          </cell>
          <cell r="D127">
            <v>9000000</v>
          </cell>
          <cell r="E127">
            <v>54492125.100000001</v>
          </cell>
          <cell r="G127">
            <v>54492125.100000001</v>
          </cell>
        </row>
        <row r="128">
          <cell r="A128" t="str">
            <v>Polytech International Pvt. Ltd</v>
          </cell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G128">
            <v>0</v>
          </cell>
        </row>
        <row r="129">
          <cell r="A129" t="str">
            <v>Raajratna Metal Industries Limited</v>
          </cell>
          <cell r="B129">
            <v>0</v>
          </cell>
          <cell r="C129">
            <v>138296</v>
          </cell>
          <cell r="D129">
            <v>138296</v>
          </cell>
          <cell r="E129">
            <v>0</v>
          </cell>
          <cell r="G129">
            <v>0</v>
          </cell>
        </row>
        <row r="130">
          <cell r="A130" t="str">
            <v>Ratnam Polymers</v>
          </cell>
          <cell r="B130">
            <v>0</v>
          </cell>
          <cell r="C130">
            <v>204912.9</v>
          </cell>
          <cell r="D130">
            <v>204913</v>
          </cell>
          <cell r="E130">
            <v>-0.1</v>
          </cell>
          <cell r="G130">
            <v>-0.1</v>
          </cell>
        </row>
        <row r="131">
          <cell r="A131" t="str">
            <v>Rfbl Flexi Pack Limited</v>
          </cell>
          <cell r="B131">
            <v>-10432411.42</v>
          </cell>
          <cell r="C131">
            <v>9636358.9199999999</v>
          </cell>
          <cell r="D131">
            <v>0</v>
          </cell>
          <cell r="E131">
            <v>-796052.5</v>
          </cell>
          <cell r="G131">
            <v>-796052.5</v>
          </cell>
        </row>
        <row r="132">
          <cell r="A132" t="str">
            <v>Rishi Fibc Solutions Pvt. Ltd - Sales</v>
          </cell>
          <cell r="B132">
            <v>3042335.14</v>
          </cell>
          <cell r="C132">
            <v>9095347.7599999998</v>
          </cell>
          <cell r="D132">
            <v>12417886.210000001</v>
          </cell>
          <cell r="E132">
            <v>-280203.31</v>
          </cell>
          <cell r="G132">
            <v>-280203.31</v>
          </cell>
        </row>
        <row r="133">
          <cell r="A133" t="str">
            <v>Rudra Trading Co.</v>
          </cell>
          <cell r="B133">
            <v>4085294.79</v>
          </cell>
          <cell r="C133">
            <v>6592142.7000000002</v>
          </cell>
          <cell r="D133">
            <v>6791091</v>
          </cell>
          <cell r="E133">
            <v>3886346.49</v>
          </cell>
          <cell r="G133">
            <v>3886346.49</v>
          </cell>
        </row>
        <row r="134">
          <cell r="A134" t="str">
            <v>S K Traders</v>
          </cell>
          <cell r="B134">
            <v>0</v>
          </cell>
          <cell r="C134">
            <v>0</v>
          </cell>
          <cell r="D134">
            <v>0</v>
          </cell>
          <cell r="E134">
            <v>0</v>
          </cell>
          <cell r="G134">
            <v>0</v>
          </cell>
        </row>
        <row r="135">
          <cell r="A135" t="str">
            <v>Satguru Enterprises</v>
          </cell>
          <cell r="B135">
            <v>0</v>
          </cell>
          <cell r="C135">
            <v>0</v>
          </cell>
          <cell r="D135">
            <v>0</v>
          </cell>
          <cell r="E135">
            <v>0</v>
          </cell>
          <cell r="G135">
            <v>0</v>
          </cell>
        </row>
        <row r="136">
          <cell r="A136" t="str">
            <v>D S Global</v>
          </cell>
          <cell r="B136">
            <v>-779600</v>
          </cell>
          <cell r="C136">
            <v>779600</v>
          </cell>
          <cell r="D136">
            <v>0</v>
          </cell>
          <cell r="E136">
            <v>0</v>
          </cell>
          <cell r="G136">
            <v>0</v>
          </cell>
        </row>
        <row r="137">
          <cell r="A137" t="str">
            <v>Devatwal Steel</v>
          </cell>
          <cell r="B137">
            <v>0</v>
          </cell>
          <cell r="C137">
            <v>0</v>
          </cell>
          <cell r="D137">
            <v>0</v>
          </cell>
          <cell r="E137">
            <v>0</v>
          </cell>
          <cell r="G137">
            <v>0</v>
          </cell>
        </row>
        <row r="138">
          <cell r="A138" t="str">
            <v>Dhaval Traders</v>
          </cell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G138">
            <v>0</v>
          </cell>
        </row>
        <row r="139">
          <cell r="A139" t="str">
            <v>Dhruv Agritechnologies Private Limited</v>
          </cell>
          <cell r="B139">
            <v>61360</v>
          </cell>
          <cell r="C139">
            <v>0</v>
          </cell>
          <cell r="D139">
            <v>61360</v>
          </cell>
          <cell r="E139">
            <v>0</v>
          </cell>
          <cell r="G139">
            <v>0</v>
          </cell>
        </row>
        <row r="140">
          <cell r="A140" t="str">
            <v>Ganesh Plastics</v>
          </cell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G140">
            <v>0</v>
          </cell>
        </row>
        <row r="141">
          <cell r="A141" t="str">
            <v>Gipack Tech Llp</v>
          </cell>
          <cell r="B141">
            <v>618393.16</v>
          </cell>
          <cell r="C141">
            <v>842033.26</v>
          </cell>
          <cell r="D141">
            <v>618393.16</v>
          </cell>
          <cell r="E141">
            <v>842033.26</v>
          </cell>
          <cell r="G141">
            <v>842033.26</v>
          </cell>
        </row>
        <row r="142">
          <cell r="A142" t="str">
            <v>Sodium Metal Pvt Ltd</v>
          </cell>
          <cell r="B142">
            <v>0</v>
          </cell>
          <cell r="C142">
            <v>0</v>
          </cell>
          <cell r="D142">
            <v>0</v>
          </cell>
          <cell r="E142">
            <v>0</v>
          </cell>
          <cell r="G142">
            <v>0</v>
          </cell>
        </row>
        <row r="143">
          <cell r="A143" t="str">
            <v>Sukaso Cera Colors Pvt Ltd</v>
          </cell>
          <cell r="B143">
            <v>-1037.4000000000001</v>
          </cell>
          <cell r="C143">
            <v>0</v>
          </cell>
          <cell r="D143">
            <v>0</v>
          </cell>
          <cell r="E143">
            <v>-1037.4000000000001</v>
          </cell>
          <cell r="G143">
            <v>-1037.4000000000001</v>
          </cell>
        </row>
        <row r="144">
          <cell r="A144" t="str">
            <v>Sunglow Colorants Corporation</v>
          </cell>
          <cell r="B144">
            <v>325669.58</v>
          </cell>
          <cell r="C144">
            <v>0</v>
          </cell>
          <cell r="D144">
            <v>0</v>
          </cell>
          <cell r="E144">
            <v>325669.58</v>
          </cell>
          <cell r="G144">
            <v>325669.58</v>
          </cell>
        </row>
        <row r="145">
          <cell r="A145" t="str">
            <v>Swastika Traders</v>
          </cell>
          <cell r="B145">
            <v>0.06</v>
          </cell>
          <cell r="C145">
            <v>0</v>
          </cell>
          <cell r="D145">
            <v>0.06</v>
          </cell>
          <cell r="E145">
            <v>0</v>
          </cell>
          <cell r="G145">
            <v>0</v>
          </cell>
        </row>
        <row r="146">
          <cell r="A146" t="str">
            <v>Swayam Polymer</v>
          </cell>
          <cell r="B146">
            <v>0</v>
          </cell>
          <cell r="C146">
            <v>0</v>
          </cell>
          <cell r="D146">
            <v>0</v>
          </cell>
          <cell r="E146">
            <v>0</v>
          </cell>
          <cell r="G146">
            <v>0</v>
          </cell>
        </row>
        <row r="147">
          <cell r="A147" t="str">
            <v>Tulsi Dyechem Pvt.Ltd - Sales</v>
          </cell>
          <cell r="B147">
            <v>-70355</v>
          </cell>
          <cell r="C147">
            <v>0</v>
          </cell>
          <cell r="D147">
            <v>0</v>
          </cell>
          <cell r="E147">
            <v>-70355</v>
          </cell>
          <cell r="G147">
            <v>-70355</v>
          </cell>
        </row>
        <row r="148">
          <cell r="A148" t="str">
            <v>Umasree Texplast Pvt Ltd - Sales</v>
          </cell>
          <cell r="B148">
            <v>1363.56</v>
          </cell>
          <cell r="C148">
            <v>917500.59</v>
          </cell>
          <cell r="D148">
            <v>474406</v>
          </cell>
          <cell r="E148">
            <v>444458.15</v>
          </cell>
          <cell r="G148">
            <v>444458.15</v>
          </cell>
        </row>
        <row r="149">
          <cell r="A149" t="str">
            <v>Glasnost India</v>
          </cell>
          <cell r="B149">
            <v>0.06</v>
          </cell>
          <cell r="C149">
            <v>0.3</v>
          </cell>
          <cell r="D149">
            <v>0.36</v>
          </cell>
          <cell r="E149">
            <v>0</v>
          </cell>
          <cell r="G149">
            <v>0</v>
          </cell>
        </row>
        <row r="150">
          <cell r="A150" t="str">
            <v>Gopikishan Polyplast Pvt Ltd - Sales</v>
          </cell>
          <cell r="B150">
            <v>0.46</v>
          </cell>
          <cell r="C150">
            <v>0</v>
          </cell>
          <cell r="D150">
            <v>0.46</v>
          </cell>
          <cell r="E150">
            <v>0</v>
          </cell>
          <cell r="G150">
            <v>0</v>
          </cell>
        </row>
        <row r="151">
          <cell r="A151" t="str">
            <v>Jas Exims 24AACPG5586D1ZY</v>
          </cell>
          <cell r="B151">
            <v>0.64</v>
          </cell>
          <cell r="C151">
            <v>0</v>
          </cell>
          <cell r="D151">
            <v>0.64</v>
          </cell>
          <cell r="E151">
            <v>0</v>
          </cell>
          <cell r="G151">
            <v>0</v>
          </cell>
        </row>
        <row r="152">
          <cell r="A152" t="str">
            <v>Agro Alex Group Co. For Agricultural Industrialization Import And Export</v>
          </cell>
          <cell r="B152">
            <v>0</v>
          </cell>
          <cell r="C152">
            <v>0</v>
          </cell>
          <cell r="D152">
            <v>0</v>
          </cell>
          <cell r="E152">
            <v>0</v>
          </cell>
          <cell r="G152">
            <v>0</v>
          </cell>
        </row>
        <row r="153">
          <cell r="A153" t="str">
            <v>Agroszemek Kft</v>
          </cell>
          <cell r="B153">
            <v>0</v>
          </cell>
          <cell r="C153">
            <v>0</v>
          </cell>
          <cell r="D153">
            <v>0</v>
          </cell>
          <cell r="E153">
            <v>0</v>
          </cell>
          <cell r="G153">
            <v>0</v>
          </cell>
        </row>
        <row r="154">
          <cell r="A154" t="str">
            <v>Ameriglobe LLC</v>
          </cell>
          <cell r="B154">
            <v>1180148.46</v>
          </cell>
          <cell r="C154">
            <v>15991833.449999999</v>
          </cell>
          <cell r="D154">
            <v>14845715.869999999</v>
          </cell>
          <cell r="E154">
            <v>2326266.04</v>
          </cell>
          <cell r="G154">
            <v>2326266.04</v>
          </cell>
        </row>
        <row r="155">
          <cell r="A155" t="str">
            <v>Bagwell Supply Ulc.</v>
          </cell>
          <cell r="B155">
            <v>-0.01</v>
          </cell>
          <cell r="C155">
            <v>0</v>
          </cell>
          <cell r="D155">
            <v>0</v>
          </cell>
          <cell r="E155">
            <v>-0.01</v>
          </cell>
          <cell r="G155">
            <v>-0.01</v>
          </cell>
        </row>
        <row r="156">
          <cell r="A156" t="str">
            <v>Boxon Bag Ab</v>
          </cell>
          <cell r="B156">
            <v>0</v>
          </cell>
          <cell r="C156">
            <v>2297213.92</v>
          </cell>
          <cell r="D156">
            <v>1829550.24</v>
          </cell>
          <cell r="E156">
            <v>467663.68</v>
          </cell>
          <cell r="G156">
            <v>467663.68</v>
          </cell>
        </row>
        <row r="157">
          <cell r="A157" t="str">
            <v>Boxon Gmbh</v>
          </cell>
          <cell r="B157">
            <v>0.02</v>
          </cell>
          <cell r="C157">
            <v>10649170.130000001</v>
          </cell>
          <cell r="D157">
            <v>55999.38</v>
          </cell>
          <cell r="E157">
            <v>10593170.77</v>
          </cell>
          <cell r="G157">
            <v>10593170.77</v>
          </cell>
        </row>
        <row r="158">
          <cell r="A158" t="str">
            <v>Boxon Oy</v>
          </cell>
          <cell r="B158">
            <v>1607471.88</v>
          </cell>
          <cell r="C158">
            <v>46.75</v>
          </cell>
          <cell r="D158">
            <v>1605902.88</v>
          </cell>
          <cell r="E158">
            <v>1615.75</v>
          </cell>
          <cell r="G158">
            <v>1615.75</v>
          </cell>
        </row>
        <row r="159">
          <cell r="A159" t="str">
            <v>Boxon Sarl, France</v>
          </cell>
          <cell r="B159">
            <v>0</v>
          </cell>
          <cell r="C159">
            <v>0</v>
          </cell>
          <cell r="D159">
            <v>25173.97</v>
          </cell>
          <cell r="E159">
            <v>-25173.97</v>
          </cell>
          <cell r="G159">
            <v>-25173.97</v>
          </cell>
        </row>
        <row r="160">
          <cell r="A160" t="str">
            <v>Bulk Lift International LLC</v>
          </cell>
          <cell r="B160">
            <v>38436340.109999999</v>
          </cell>
          <cell r="C160">
            <v>55497839.060000002</v>
          </cell>
          <cell r="D160">
            <v>68168222.159999996</v>
          </cell>
          <cell r="E160">
            <v>25765957.010000002</v>
          </cell>
          <cell r="G160">
            <v>25765957.010000002</v>
          </cell>
        </row>
        <row r="161">
          <cell r="A161" t="str">
            <v>Carmeuse Majan Llc (Sfz)</v>
          </cell>
          <cell r="B161">
            <v>0</v>
          </cell>
          <cell r="C161">
            <v>340695.71</v>
          </cell>
          <cell r="D161">
            <v>0</v>
          </cell>
          <cell r="E161">
            <v>340695.71</v>
          </cell>
          <cell r="G161">
            <v>340695.71</v>
          </cell>
        </row>
        <row r="162">
          <cell r="A162" t="str">
            <v>Carretta Tessitura S.R.L.</v>
          </cell>
          <cell r="B162">
            <v>0</v>
          </cell>
          <cell r="C162">
            <v>0</v>
          </cell>
          <cell r="D162">
            <v>0</v>
          </cell>
          <cell r="E162">
            <v>0</v>
          </cell>
          <cell r="G162">
            <v>0</v>
          </cell>
        </row>
        <row r="163">
          <cell r="A163" t="str">
            <v>Cesur Ambalaj Sanayi Ve Ticaret A.S.</v>
          </cell>
          <cell r="B163">
            <v>0.02</v>
          </cell>
          <cell r="C163">
            <v>0</v>
          </cell>
          <cell r="D163">
            <v>0.02</v>
          </cell>
          <cell r="E163">
            <v>0</v>
          </cell>
          <cell r="G163">
            <v>0</v>
          </cell>
        </row>
        <row r="164">
          <cell r="A164" t="str">
            <v>Cesur Usa, Llc</v>
          </cell>
          <cell r="B164">
            <v>0</v>
          </cell>
          <cell r="C164">
            <v>0</v>
          </cell>
          <cell r="D164">
            <v>0</v>
          </cell>
          <cell r="E164">
            <v>0</v>
          </cell>
          <cell r="G164">
            <v>0</v>
          </cell>
        </row>
        <row r="165">
          <cell r="A165" t="str">
            <v>Codefine International SA</v>
          </cell>
          <cell r="B165">
            <v>0</v>
          </cell>
          <cell r="C165">
            <v>0</v>
          </cell>
          <cell r="D165">
            <v>0</v>
          </cell>
          <cell r="E165">
            <v>0</v>
          </cell>
          <cell r="G165">
            <v>0</v>
          </cell>
        </row>
        <row r="166">
          <cell r="A166" t="str">
            <v>Comercial Pra Cafe Ltda - Espirito Santos</v>
          </cell>
          <cell r="B166">
            <v>0</v>
          </cell>
          <cell r="C166">
            <v>0</v>
          </cell>
          <cell r="D166">
            <v>0</v>
          </cell>
          <cell r="E166">
            <v>0</v>
          </cell>
          <cell r="G166">
            <v>0</v>
          </cell>
        </row>
        <row r="167">
          <cell r="A167" t="str">
            <v>Comercial Pra Cafe Ltda - Manaus</v>
          </cell>
          <cell r="B167">
            <v>0</v>
          </cell>
          <cell r="C167">
            <v>0</v>
          </cell>
          <cell r="D167">
            <v>0</v>
          </cell>
          <cell r="E167">
            <v>0</v>
          </cell>
          <cell r="G167">
            <v>0</v>
          </cell>
        </row>
        <row r="168">
          <cell r="A168" t="str">
            <v>Condepols, S.A.</v>
          </cell>
          <cell r="B168">
            <v>23898338.870000001</v>
          </cell>
          <cell r="C168">
            <v>6885911.46</v>
          </cell>
          <cell r="D168">
            <v>23796619.629999999</v>
          </cell>
          <cell r="E168">
            <v>6987630.7000000002</v>
          </cell>
          <cell r="G168">
            <v>6987630.7000000002</v>
          </cell>
        </row>
        <row r="169">
          <cell r="A169" t="str">
            <v>Conrop S.R.O.</v>
          </cell>
          <cell r="B169">
            <v>9599129.1400000006</v>
          </cell>
          <cell r="C169">
            <v>4165952.69</v>
          </cell>
          <cell r="D169">
            <v>9388302.8900000006</v>
          </cell>
          <cell r="E169">
            <v>4376778.9400000004</v>
          </cell>
          <cell r="G169">
            <v>4376778.9400000004</v>
          </cell>
        </row>
        <row r="170">
          <cell r="A170" t="str">
            <v>Dajusa 2002 S.L.</v>
          </cell>
          <cell r="B170">
            <v>0</v>
          </cell>
          <cell r="C170">
            <v>0</v>
          </cell>
          <cell r="D170">
            <v>0</v>
          </cell>
          <cell r="E170">
            <v>0</v>
          </cell>
          <cell r="G170">
            <v>0</v>
          </cell>
        </row>
        <row r="171">
          <cell r="A171" t="str">
            <v>Dead Sea Works Ltd</v>
          </cell>
          <cell r="B171">
            <v>3917952.01</v>
          </cell>
          <cell r="C171">
            <v>0</v>
          </cell>
          <cell r="D171">
            <v>3917952</v>
          </cell>
          <cell r="E171">
            <v>0.01</v>
          </cell>
          <cell r="G171">
            <v>0.01</v>
          </cell>
        </row>
        <row r="172">
          <cell r="A172" t="str">
            <v>El-Fedawy Pack For Import And Export</v>
          </cell>
          <cell r="B172">
            <v>22116.86</v>
          </cell>
          <cell r="C172">
            <v>0</v>
          </cell>
          <cell r="D172">
            <v>22116.86</v>
          </cell>
          <cell r="E172">
            <v>0</v>
          </cell>
          <cell r="G172">
            <v>0</v>
          </cell>
        </row>
        <row r="173">
          <cell r="A173" t="str">
            <v>ERD - Customers</v>
          </cell>
          <cell r="B173">
            <v>25161872</v>
          </cell>
          <cell r="C173">
            <v>1491734</v>
          </cell>
          <cell r="D173">
            <v>25161872</v>
          </cell>
          <cell r="E173">
            <v>1491734</v>
          </cell>
          <cell r="G173">
            <v>1491734</v>
          </cell>
        </row>
        <row r="174">
          <cell r="A174" t="str">
            <v>Exim Handelsonderneming Rotterdam Bv</v>
          </cell>
          <cell r="B174">
            <v>6511336.79</v>
          </cell>
          <cell r="C174">
            <v>32484994.129999999</v>
          </cell>
          <cell r="D174">
            <v>41882011.049999997</v>
          </cell>
          <cell r="E174">
            <v>-2885680.13</v>
          </cell>
          <cell r="G174">
            <v>-2885680.13</v>
          </cell>
        </row>
        <row r="175">
          <cell r="A175" t="str">
            <v>Fibco Plastic Industry Llc</v>
          </cell>
          <cell r="B175">
            <v>44698801.439999998</v>
          </cell>
          <cell r="C175">
            <v>17928170.120000001</v>
          </cell>
          <cell r="D175">
            <v>0</v>
          </cell>
          <cell r="E175">
            <v>62626971.560000002</v>
          </cell>
          <cell r="G175">
            <v>62626971.560000002</v>
          </cell>
        </row>
        <row r="176">
          <cell r="A176" t="str">
            <v>Fintrading S.L.</v>
          </cell>
          <cell r="B176">
            <v>3950256.13</v>
          </cell>
          <cell r="C176">
            <v>760.72</v>
          </cell>
          <cell r="D176">
            <v>3915870.09</v>
          </cell>
          <cell r="E176">
            <v>35146.76</v>
          </cell>
          <cell r="G176">
            <v>35146.76</v>
          </cell>
        </row>
        <row r="177">
          <cell r="A177" t="str">
            <v>FPS Flexibles France Sarl</v>
          </cell>
          <cell r="B177">
            <v>13225854.939999999</v>
          </cell>
          <cell r="C177">
            <v>12597996.560000001</v>
          </cell>
          <cell r="D177">
            <v>5490425.0700000003</v>
          </cell>
          <cell r="E177">
            <v>20333426.43</v>
          </cell>
          <cell r="G177">
            <v>20333426.43</v>
          </cell>
        </row>
        <row r="178">
          <cell r="A178" t="str">
            <v>Frelun S.A.</v>
          </cell>
          <cell r="B178">
            <v>0</v>
          </cell>
          <cell r="C178">
            <v>0</v>
          </cell>
          <cell r="D178">
            <v>0</v>
          </cell>
          <cell r="E178">
            <v>0</v>
          </cell>
          <cell r="G178">
            <v>0</v>
          </cell>
        </row>
        <row r="179">
          <cell r="A179" t="str">
            <v>Galeb Jameel Dwaikat</v>
          </cell>
          <cell r="B179">
            <v>0.01</v>
          </cell>
          <cell r="C179">
            <v>0</v>
          </cell>
          <cell r="D179">
            <v>0</v>
          </cell>
          <cell r="E179">
            <v>0.01</v>
          </cell>
          <cell r="G179">
            <v>0.01</v>
          </cell>
        </row>
        <row r="180">
          <cell r="A180" t="str">
            <v>Greif Flexibles France Sarl</v>
          </cell>
          <cell r="B180">
            <v>0</v>
          </cell>
          <cell r="C180">
            <v>0</v>
          </cell>
          <cell r="D180">
            <v>0</v>
          </cell>
          <cell r="E180">
            <v>0</v>
          </cell>
          <cell r="G180">
            <v>0</v>
          </cell>
        </row>
        <row r="181">
          <cell r="A181" t="str">
            <v>Growtivation</v>
          </cell>
          <cell r="B181">
            <v>0</v>
          </cell>
          <cell r="C181">
            <v>0</v>
          </cell>
          <cell r="D181">
            <v>0</v>
          </cell>
          <cell r="E181">
            <v>0</v>
          </cell>
          <cell r="G181">
            <v>0</v>
          </cell>
        </row>
        <row r="182">
          <cell r="A182" t="str">
            <v>Hypergrain S A</v>
          </cell>
          <cell r="B182">
            <v>0</v>
          </cell>
          <cell r="C182">
            <v>0</v>
          </cell>
          <cell r="D182">
            <v>0</v>
          </cell>
          <cell r="E182">
            <v>0</v>
          </cell>
          <cell r="G182">
            <v>0</v>
          </cell>
        </row>
        <row r="183">
          <cell r="A183" t="str">
            <v>Inversions 2N LDTA</v>
          </cell>
          <cell r="B183">
            <v>0</v>
          </cell>
          <cell r="C183">
            <v>0</v>
          </cell>
          <cell r="D183">
            <v>0</v>
          </cell>
          <cell r="E183">
            <v>0</v>
          </cell>
          <cell r="G183">
            <v>0</v>
          </cell>
        </row>
        <row r="184">
          <cell r="A184" t="str">
            <v>Jay Viru Plast</v>
          </cell>
          <cell r="B184">
            <v>0</v>
          </cell>
          <cell r="C184">
            <v>0</v>
          </cell>
          <cell r="D184">
            <v>0</v>
          </cell>
          <cell r="E184">
            <v>0</v>
          </cell>
          <cell r="G184">
            <v>0</v>
          </cell>
        </row>
        <row r="185">
          <cell r="A185" t="str">
            <v>Advance Salary Paid</v>
          </cell>
          <cell r="B185">
            <v>-904063.5</v>
          </cell>
          <cell r="C185">
            <v>3423434</v>
          </cell>
          <cell r="D185">
            <v>2433437</v>
          </cell>
          <cell r="E185">
            <v>85933.5</v>
          </cell>
          <cell r="G185">
            <v>85933.5</v>
          </cell>
        </row>
        <row r="186">
          <cell r="A186" t="str">
            <v>N S Traders</v>
          </cell>
          <cell r="B186">
            <v>0</v>
          </cell>
          <cell r="C186">
            <v>0</v>
          </cell>
          <cell r="D186">
            <v>0</v>
          </cell>
          <cell r="E186">
            <v>0</v>
          </cell>
          <cell r="G186">
            <v>0</v>
          </cell>
        </row>
        <row r="187">
          <cell r="A187" t="str">
            <v>Nacl Industries Limited</v>
          </cell>
          <cell r="B187">
            <v>538.08000000000004</v>
          </cell>
          <cell r="C187">
            <v>0</v>
          </cell>
          <cell r="D187">
            <v>0</v>
          </cell>
          <cell r="E187">
            <v>538.08000000000004</v>
          </cell>
          <cell r="G187">
            <v>538.08000000000004</v>
          </cell>
        </row>
        <row r="188">
          <cell r="A188" t="str">
            <v>Nakoda Plastic</v>
          </cell>
          <cell r="B188">
            <v>0</v>
          </cell>
          <cell r="C188">
            <v>0</v>
          </cell>
          <cell r="D188">
            <v>0</v>
          </cell>
          <cell r="E188">
            <v>0</v>
          </cell>
          <cell r="G188">
            <v>0</v>
          </cell>
        </row>
        <row r="189">
          <cell r="A189" t="str">
            <v>Navin Fluorine Advance Science Ltd</v>
          </cell>
          <cell r="B189">
            <v>54870</v>
          </cell>
          <cell r="C189">
            <v>0</v>
          </cell>
          <cell r="D189">
            <v>54870</v>
          </cell>
          <cell r="E189">
            <v>0</v>
          </cell>
          <cell r="G189">
            <v>0</v>
          </cell>
        </row>
        <row r="190">
          <cell r="A190" t="str">
            <v>New Suraj Environmental Facilities</v>
          </cell>
          <cell r="B190">
            <v>0</v>
          </cell>
          <cell r="C190">
            <v>41713</v>
          </cell>
          <cell r="D190">
            <v>41713</v>
          </cell>
          <cell r="E190">
            <v>0</v>
          </cell>
          <cell r="G190">
            <v>0</v>
          </cell>
        </row>
        <row r="191">
          <cell r="A191" t="str">
            <v>Padmanabh Alloys And Polymers Ltd.</v>
          </cell>
          <cell r="B191">
            <v>0</v>
          </cell>
          <cell r="C191">
            <v>0</v>
          </cell>
          <cell r="D191">
            <v>0</v>
          </cell>
          <cell r="E191">
            <v>0</v>
          </cell>
          <cell r="G191">
            <v>0</v>
          </cell>
        </row>
        <row r="192">
          <cell r="A192" t="str">
            <v>Padmavati Enterprise</v>
          </cell>
          <cell r="B192">
            <v>-0.2</v>
          </cell>
          <cell r="C192">
            <v>0.2</v>
          </cell>
          <cell r="D192">
            <v>0</v>
          </cell>
          <cell r="E192">
            <v>0</v>
          </cell>
          <cell r="G192">
            <v>0</v>
          </cell>
        </row>
        <row r="193">
          <cell r="A193" t="str">
            <v>Pamnani International</v>
          </cell>
          <cell r="B193">
            <v>0</v>
          </cell>
          <cell r="C193">
            <v>0</v>
          </cell>
          <cell r="D193">
            <v>0</v>
          </cell>
          <cell r="E193">
            <v>0</v>
          </cell>
          <cell r="G193">
            <v>0</v>
          </cell>
        </row>
        <row r="194">
          <cell r="A194" t="str">
            <v>Parekh Bulk Pack - Sales</v>
          </cell>
          <cell r="B194">
            <v>901287.81</v>
          </cell>
          <cell r="C194">
            <v>384450</v>
          </cell>
          <cell r="D194">
            <v>0</v>
          </cell>
          <cell r="E194">
            <v>1285737.81</v>
          </cell>
          <cell r="G194">
            <v>1285737.81</v>
          </cell>
        </row>
        <row r="195">
          <cell r="A195" t="str">
            <v>Parth Poly Coat Yarn Pvt.Ltd. - Debtor</v>
          </cell>
          <cell r="B195">
            <v>0</v>
          </cell>
          <cell r="C195">
            <v>0</v>
          </cell>
          <cell r="D195">
            <v>0</v>
          </cell>
          <cell r="E195">
            <v>0</v>
          </cell>
          <cell r="G195">
            <v>0</v>
          </cell>
        </row>
        <row r="196">
          <cell r="A196" t="str">
            <v>PI Industries Limited - 24AABCP2183M1ZB</v>
          </cell>
          <cell r="B196">
            <v>59633.75</v>
          </cell>
          <cell r="C196">
            <v>0</v>
          </cell>
          <cell r="D196">
            <v>0</v>
          </cell>
          <cell r="E196">
            <v>59633.75</v>
          </cell>
          <cell r="G196">
            <v>59633.75</v>
          </cell>
        </row>
        <row r="197">
          <cell r="A197" t="str">
            <v>Shiv Enterprise - 24CNIPS9979P1ZL</v>
          </cell>
          <cell r="B197">
            <v>0.93</v>
          </cell>
          <cell r="C197">
            <v>0</v>
          </cell>
          <cell r="D197">
            <v>0.93</v>
          </cell>
          <cell r="E197">
            <v>0</v>
          </cell>
          <cell r="G197">
            <v>0</v>
          </cell>
        </row>
        <row r="198">
          <cell r="A198" t="str">
            <v>Shivam Traders - Sales (24AGUPS9760R1ZZ)</v>
          </cell>
          <cell r="B198">
            <v>0</v>
          </cell>
          <cell r="C198">
            <v>0</v>
          </cell>
          <cell r="D198">
            <v>0</v>
          </cell>
          <cell r="E198">
            <v>0</v>
          </cell>
          <cell r="G198">
            <v>0</v>
          </cell>
        </row>
        <row r="199">
          <cell r="A199" t="str">
            <v>Shree Khodiyar Trading Company</v>
          </cell>
          <cell r="B199">
            <v>0</v>
          </cell>
          <cell r="C199">
            <v>0</v>
          </cell>
          <cell r="D199">
            <v>0</v>
          </cell>
          <cell r="E199">
            <v>0</v>
          </cell>
          <cell r="G199">
            <v>0</v>
          </cell>
        </row>
        <row r="200">
          <cell r="A200" t="str">
            <v>Shree Madhav Plastic</v>
          </cell>
          <cell r="B200">
            <v>0</v>
          </cell>
          <cell r="C200">
            <v>0</v>
          </cell>
          <cell r="D200">
            <v>0</v>
          </cell>
          <cell r="E200">
            <v>0</v>
          </cell>
          <cell r="G200">
            <v>0</v>
          </cell>
        </row>
        <row r="201">
          <cell r="A201" t="str">
            <v>Shree Ram India Gums Ltd.</v>
          </cell>
          <cell r="B201">
            <v>0</v>
          </cell>
          <cell r="C201">
            <v>795320</v>
          </cell>
          <cell r="D201">
            <v>795320</v>
          </cell>
          <cell r="E201">
            <v>0</v>
          </cell>
          <cell r="G201">
            <v>0</v>
          </cell>
        </row>
        <row r="202">
          <cell r="A202" t="str">
            <v>Sidharth Texo Fab</v>
          </cell>
          <cell r="B202">
            <v>0</v>
          </cell>
          <cell r="C202">
            <v>0</v>
          </cell>
          <cell r="D202">
            <v>0</v>
          </cell>
          <cell r="E202">
            <v>0</v>
          </cell>
          <cell r="G202">
            <v>0</v>
          </cell>
        </row>
        <row r="203">
          <cell r="A203" t="str">
            <v>Veeshna Polypack Pvt Ltd - Sales</v>
          </cell>
          <cell r="B203">
            <v>0</v>
          </cell>
          <cell r="C203">
            <v>0</v>
          </cell>
          <cell r="D203">
            <v>0</v>
          </cell>
          <cell r="E203">
            <v>0</v>
          </cell>
          <cell r="G203">
            <v>0</v>
          </cell>
        </row>
        <row r="204">
          <cell r="A204" t="str">
            <v>Vishal Packaging</v>
          </cell>
          <cell r="B204">
            <v>0</v>
          </cell>
          <cell r="C204">
            <v>0</v>
          </cell>
          <cell r="D204">
            <v>0</v>
          </cell>
          <cell r="E204">
            <v>0</v>
          </cell>
          <cell r="G204">
            <v>0</v>
          </cell>
        </row>
        <row r="205">
          <cell r="A205" t="str">
            <v>Yogi Scrap Trading</v>
          </cell>
          <cell r="B205">
            <v>0</v>
          </cell>
          <cell r="C205">
            <v>35985.599999999999</v>
          </cell>
          <cell r="D205">
            <v>35985</v>
          </cell>
          <cell r="E205">
            <v>0.6</v>
          </cell>
          <cell r="G205">
            <v>0.6</v>
          </cell>
        </row>
        <row r="206">
          <cell r="A206" t="str">
            <v>Khator Technical Textiles Ltd.</v>
          </cell>
          <cell r="B206">
            <v>3323083</v>
          </cell>
          <cell r="C206">
            <v>0</v>
          </cell>
          <cell r="D206">
            <v>0</v>
          </cell>
          <cell r="E206">
            <v>3323083</v>
          </cell>
          <cell r="G206">
            <v>3323083</v>
          </cell>
        </row>
        <row r="207">
          <cell r="A207" t="str">
            <v>Labdhi Plastic</v>
          </cell>
          <cell r="B207">
            <v>0.09</v>
          </cell>
          <cell r="C207">
            <v>183596.7</v>
          </cell>
          <cell r="D207">
            <v>183596.79</v>
          </cell>
          <cell r="E207">
            <v>0</v>
          </cell>
          <cell r="G207">
            <v>0</v>
          </cell>
        </row>
        <row r="208">
          <cell r="A208" t="str">
            <v>Jumbostrap Ou</v>
          </cell>
          <cell r="B208">
            <v>0</v>
          </cell>
          <cell r="C208">
            <v>0</v>
          </cell>
          <cell r="D208">
            <v>0</v>
          </cell>
          <cell r="E208">
            <v>0</v>
          </cell>
          <cell r="G208">
            <v>0</v>
          </cell>
        </row>
        <row r="209">
          <cell r="A209" t="str">
            <v>Krzysztof Kasperkiewicz Kasp</v>
          </cell>
          <cell r="B209">
            <v>7765335.1699999999</v>
          </cell>
          <cell r="C209">
            <v>26888.23</v>
          </cell>
          <cell r="D209">
            <v>7443670.4000000004</v>
          </cell>
          <cell r="E209">
            <v>348553</v>
          </cell>
          <cell r="G209">
            <v>348553</v>
          </cell>
        </row>
        <row r="210">
          <cell r="A210" t="str">
            <v>Lorenzati, Ruetsch y Cia SA</v>
          </cell>
          <cell r="B210">
            <v>0</v>
          </cell>
          <cell r="C210">
            <v>12379472.43</v>
          </cell>
          <cell r="D210">
            <v>241213.14</v>
          </cell>
          <cell r="E210">
            <v>12138259.289999999</v>
          </cell>
          <cell r="G210">
            <v>12138259.289999999</v>
          </cell>
        </row>
        <row r="211">
          <cell r="A211" t="str">
            <v>Madi Sp. z.o.o.</v>
          </cell>
          <cell r="B211">
            <v>0</v>
          </cell>
          <cell r="C211">
            <v>0</v>
          </cell>
          <cell r="D211">
            <v>0</v>
          </cell>
          <cell r="E211">
            <v>0</v>
          </cell>
          <cell r="G211">
            <v>0</v>
          </cell>
        </row>
        <row r="212">
          <cell r="A212" t="str">
            <v>Norengros Kjosavik As</v>
          </cell>
          <cell r="B212">
            <v>-21173.27</v>
          </cell>
          <cell r="C212">
            <v>30105.17</v>
          </cell>
          <cell r="D212">
            <v>8931.9</v>
          </cell>
          <cell r="E212">
            <v>0</v>
          </cell>
          <cell r="G212">
            <v>0</v>
          </cell>
        </row>
        <row r="213">
          <cell r="A213" t="str">
            <v>Oliva Garden S.A.</v>
          </cell>
          <cell r="B213">
            <v>62465541.560000002</v>
          </cell>
          <cell r="C213">
            <v>18990749.030000001</v>
          </cell>
          <cell r="D213">
            <v>0</v>
          </cell>
          <cell r="E213">
            <v>81456290.590000004</v>
          </cell>
          <cell r="G213">
            <v>81456290.590000004</v>
          </cell>
        </row>
        <row r="214">
          <cell r="A214" t="str">
            <v>Oswal Extrusion Ltd- KASEZ-Sales</v>
          </cell>
          <cell r="B214">
            <v>-114518759.02</v>
          </cell>
          <cell r="C214">
            <v>114518759.02</v>
          </cell>
          <cell r="D214">
            <v>0</v>
          </cell>
          <cell r="E214">
            <v>0</v>
          </cell>
          <cell r="G214">
            <v>0</v>
          </cell>
        </row>
        <row r="215">
          <cell r="A215" t="str">
            <v>Passos &amp; Oliveira, Lda.</v>
          </cell>
          <cell r="B215">
            <v>23835.5</v>
          </cell>
          <cell r="C215">
            <v>0</v>
          </cell>
          <cell r="D215">
            <v>23835.5</v>
          </cell>
          <cell r="E215">
            <v>0</v>
          </cell>
          <cell r="G215">
            <v>0</v>
          </cell>
        </row>
        <row r="216">
          <cell r="A216" t="str">
            <v>Procon Pacific Llc</v>
          </cell>
          <cell r="B216">
            <v>722637.02</v>
          </cell>
          <cell r="C216">
            <v>177290.83</v>
          </cell>
          <cell r="D216">
            <v>0</v>
          </cell>
          <cell r="E216">
            <v>899927.85</v>
          </cell>
          <cell r="G216">
            <v>899927.85</v>
          </cell>
        </row>
        <row r="217">
          <cell r="A217" t="str">
            <v>Prodeman S.A.</v>
          </cell>
          <cell r="B217">
            <v>0</v>
          </cell>
          <cell r="C217">
            <v>0</v>
          </cell>
          <cell r="D217">
            <v>0</v>
          </cell>
          <cell r="E217">
            <v>0</v>
          </cell>
          <cell r="G217">
            <v>0</v>
          </cell>
        </row>
        <row r="218">
          <cell r="A218" t="str">
            <v>Ravitaillement International Inc.</v>
          </cell>
          <cell r="B218">
            <v>0</v>
          </cell>
          <cell r="C218">
            <v>0</v>
          </cell>
          <cell r="D218">
            <v>0</v>
          </cell>
          <cell r="E218">
            <v>0</v>
          </cell>
          <cell r="G218">
            <v>0</v>
          </cell>
        </row>
        <row r="219">
          <cell r="A219" t="str">
            <v>Reg Group Ltd T/A Growtivation</v>
          </cell>
          <cell r="B219">
            <v>12145757.09</v>
          </cell>
          <cell r="C219">
            <v>4181580.9</v>
          </cell>
          <cell r="D219">
            <v>16327337.99</v>
          </cell>
          <cell r="E219">
            <v>0</v>
          </cell>
          <cell r="G219">
            <v>0</v>
          </cell>
        </row>
        <row r="220">
          <cell r="A220" t="str">
            <v>Relianz Ag</v>
          </cell>
          <cell r="B220">
            <v>0</v>
          </cell>
          <cell r="C220">
            <v>9537120</v>
          </cell>
          <cell r="D220">
            <v>9537120</v>
          </cell>
          <cell r="E220">
            <v>0</v>
          </cell>
          <cell r="G220">
            <v>0</v>
          </cell>
        </row>
        <row r="221">
          <cell r="A221" t="str">
            <v>Sacos Durcal S.A</v>
          </cell>
          <cell r="B221">
            <v>23454432.829999998</v>
          </cell>
          <cell r="C221">
            <v>25049727.16</v>
          </cell>
          <cell r="D221">
            <v>23474258.620000001</v>
          </cell>
          <cell r="E221">
            <v>25029901.370000001</v>
          </cell>
          <cell r="G221">
            <v>25029901.370000001</v>
          </cell>
        </row>
        <row r="222">
          <cell r="A222" t="str">
            <v>SARL Bazelle</v>
          </cell>
          <cell r="B222">
            <v>-85477.02</v>
          </cell>
          <cell r="C222">
            <v>0</v>
          </cell>
          <cell r="D222">
            <v>15819.87</v>
          </cell>
          <cell r="E222">
            <v>-101296.89</v>
          </cell>
          <cell r="G222">
            <v>-101296.89</v>
          </cell>
        </row>
        <row r="223">
          <cell r="A223" t="str">
            <v>SAS Emballage Industrie Concept - Bazelle</v>
          </cell>
          <cell r="B223">
            <v>7996440.0099999998</v>
          </cell>
          <cell r="C223">
            <v>26314227.25</v>
          </cell>
          <cell r="D223">
            <v>29861240.739999998</v>
          </cell>
          <cell r="E223">
            <v>4449426.5199999996</v>
          </cell>
          <cell r="G223">
            <v>4449426.5199999996</v>
          </cell>
        </row>
        <row r="224">
          <cell r="A224" t="str">
            <v>Satucesa Europa, S.L.U.</v>
          </cell>
          <cell r="B224">
            <v>0</v>
          </cell>
          <cell r="C224">
            <v>0</v>
          </cell>
          <cell r="D224">
            <v>0</v>
          </cell>
          <cell r="E224">
            <v>0</v>
          </cell>
          <cell r="G224">
            <v>0</v>
          </cell>
        </row>
        <row r="225">
          <cell r="A225" t="str">
            <v>Serra Sacos Y Gestion Sl</v>
          </cell>
          <cell r="B225">
            <v>26987540.149999999</v>
          </cell>
          <cell r="C225">
            <v>17544801.550000001</v>
          </cell>
          <cell r="D225">
            <v>39246044.350000001</v>
          </cell>
          <cell r="E225">
            <v>5286297.3499999996</v>
          </cell>
          <cell r="G225">
            <v>5286297.3499999996</v>
          </cell>
        </row>
        <row r="226">
          <cell r="A226" t="str">
            <v>Smart Pack Limited</v>
          </cell>
          <cell r="B226">
            <v>17386919.91</v>
          </cell>
          <cell r="C226">
            <v>26635953.93</v>
          </cell>
          <cell r="D226">
            <v>27592440.420000002</v>
          </cell>
          <cell r="E226">
            <v>16430433.42</v>
          </cell>
          <cell r="G226">
            <v>16430433.42</v>
          </cell>
        </row>
        <row r="227">
          <cell r="A227" t="str">
            <v>Smart Pack Pty Ltd</v>
          </cell>
          <cell r="B227">
            <v>325090.24</v>
          </cell>
          <cell r="C227">
            <v>9985503.7799999993</v>
          </cell>
          <cell r="D227">
            <v>2671609.19</v>
          </cell>
          <cell r="E227">
            <v>7638984.8300000001</v>
          </cell>
          <cell r="G227">
            <v>7638984.8300000001</v>
          </cell>
        </row>
        <row r="228">
          <cell r="A228" t="str">
            <v>Somlo-Zsak Kender-Juta Kft</v>
          </cell>
          <cell r="B228">
            <v>0</v>
          </cell>
          <cell r="C228">
            <v>3161785.98</v>
          </cell>
          <cell r="D228">
            <v>3161785.98</v>
          </cell>
          <cell r="E228">
            <v>0</v>
          </cell>
          <cell r="G228">
            <v>0</v>
          </cell>
        </row>
        <row r="229">
          <cell r="A229" t="str">
            <v>Southern Packaging Lp</v>
          </cell>
          <cell r="B229">
            <v>4603883.3099999996</v>
          </cell>
          <cell r="C229">
            <v>14511797.880000001</v>
          </cell>
          <cell r="D229">
            <v>11450438.35</v>
          </cell>
          <cell r="E229">
            <v>7665242.8399999999</v>
          </cell>
          <cell r="G229">
            <v>7665242.8399999999</v>
          </cell>
        </row>
        <row r="230">
          <cell r="A230" t="str">
            <v>Technopac Gmbh</v>
          </cell>
          <cell r="B230">
            <v>7292708.7199999997</v>
          </cell>
          <cell r="C230">
            <v>0</v>
          </cell>
          <cell r="D230">
            <v>4692916.37</v>
          </cell>
          <cell r="E230">
            <v>2599792.35</v>
          </cell>
          <cell r="G230">
            <v>2599792.35</v>
          </cell>
        </row>
        <row r="231">
          <cell r="A231" t="str">
            <v>Tecnopacking</v>
          </cell>
          <cell r="B231">
            <v>5809384</v>
          </cell>
          <cell r="C231">
            <v>0</v>
          </cell>
          <cell r="D231">
            <v>5809384</v>
          </cell>
          <cell r="E231">
            <v>0</v>
          </cell>
          <cell r="G231">
            <v>0</v>
          </cell>
        </row>
        <row r="232">
          <cell r="A232" t="str">
            <v>Tomorrow Symbol Unipessoal Lda</v>
          </cell>
          <cell r="B232">
            <v>0</v>
          </cell>
          <cell r="C232">
            <v>0</v>
          </cell>
          <cell r="D232">
            <v>0</v>
          </cell>
          <cell r="E232">
            <v>0</v>
          </cell>
          <cell r="G232">
            <v>0</v>
          </cell>
        </row>
        <row r="233">
          <cell r="A233" t="str">
            <v>Tsanta.</v>
          </cell>
          <cell r="B233">
            <v>6794488.7999999998</v>
          </cell>
          <cell r="C233">
            <v>0</v>
          </cell>
          <cell r="D233">
            <v>6794488.7999999998</v>
          </cell>
          <cell r="E233">
            <v>0</v>
          </cell>
          <cell r="G233">
            <v>0</v>
          </cell>
        </row>
        <row r="234">
          <cell r="A234" t="str">
            <v>Ventas Internacionales S.A.</v>
          </cell>
          <cell r="B234">
            <v>0</v>
          </cell>
          <cell r="C234">
            <v>0</v>
          </cell>
          <cell r="D234">
            <v>0</v>
          </cell>
          <cell r="E234">
            <v>0</v>
          </cell>
          <cell r="G234">
            <v>0</v>
          </cell>
        </row>
        <row r="235">
          <cell r="A235" t="str">
            <v>Warner &amp; Warner Inc.</v>
          </cell>
          <cell r="B235">
            <v>0</v>
          </cell>
          <cell r="C235">
            <v>0</v>
          </cell>
          <cell r="D235">
            <v>0</v>
          </cell>
          <cell r="E235">
            <v>0</v>
          </cell>
          <cell r="G235">
            <v>0</v>
          </cell>
        </row>
        <row r="236">
          <cell r="A236" t="str">
            <v>Western Grain Trading Inc</v>
          </cell>
          <cell r="B236">
            <v>0</v>
          </cell>
          <cell r="C236">
            <v>0</v>
          </cell>
          <cell r="D236">
            <v>0</v>
          </cell>
          <cell r="E236">
            <v>0</v>
          </cell>
          <cell r="G236">
            <v>0</v>
          </cell>
        </row>
        <row r="237">
          <cell r="A237" t="str">
            <v>Western Packaging Solutions</v>
          </cell>
          <cell r="B237">
            <v>4721686.2300000004</v>
          </cell>
          <cell r="C237">
            <v>0</v>
          </cell>
          <cell r="D237">
            <v>4721686.2</v>
          </cell>
          <cell r="E237">
            <v>0.03</v>
          </cell>
          <cell r="G237">
            <v>0.03</v>
          </cell>
        </row>
        <row r="238">
          <cell r="A238" t="str">
            <v>Yuan Da Plastic Fabric Corporation</v>
          </cell>
          <cell r="B238">
            <v>7201164.3600000003</v>
          </cell>
          <cell r="C238">
            <v>6836040.71</v>
          </cell>
          <cell r="D238">
            <v>9585446.7300000004</v>
          </cell>
          <cell r="E238">
            <v>4451758.34</v>
          </cell>
          <cell r="G238">
            <v>4451758.34</v>
          </cell>
        </row>
        <row r="239">
          <cell r="A239" t="str">
            <v>Zakkencentrale Belgium N.V.</v>
          </cell>
          <cell r="B239">
            <v>2690844.76</v>
          </cell>
          <cell r="C239">
            <v>4734124.2</v>
          </cell>
          <cell r="D239">
            <v>7424968.9500000002</v>
          </cell>
          <cell r="E239">
            <v>0.01</v>
          </cell>
          <cell r="G239">
            <v>0.01</v>
          </cell>
        </row>
        <row r="240">
          <cell r="A240" t="str">
            <v>Factory Building - WIP</v>
          </cell>
          <cell r="B240">
            <v>-0.01</v>
          </cell>
          <cell r="C240">
            <v>81035</v>
          </cell>
          <cell r="D240">
            <v>29360</v>
          </cell>
          <cell r="E240">
            <v>51674.99</v>
          </cell>
          <cell r="G240">
            <v>51674.99</v>
          </cell>
        </row>
        <row r="241">
          <cell r="A241" t="str">
            <v>Plant &amp; Machinery Cwip</v>
          </cell>
          <cell r="B241">
            <v>566971</v>
          </cell>
          <cell r="C241">
            <v>0</v>
          </cell>
          <cell r="D241">
            <v>0</v>
          </cell>
          <cell r="E241">
            <v>566971</v>
          </cell>
          <cell r="G241">
            <v>566971</v>
          </cell>
        </row>
        <row r="242">
          <cell r="A242" t="str">
            <v>Furniture &amp; Fixtures</v>
          </cell>
          <cell r="B242">
            <v>5785049.6100000003</v>
          </cell>
          <cell r="C242">
            <v>960855.48</v>
          </cell>
          <cell r="D242">
            <v>0</v>
          </cell>
          <cell r="E242">
            <v>6745905.0899999999</v>
          </cell>
          <cell r="G242">
            <v>6745905.0899999999</v>
          </cell>
        </row>
        <row r="243">
          <cell r="A243" t="str">
            <v>Racks For Rolls/Fg</v>
          </cell>
          <cell r="B243">
            <v>1828000</v>
          </cell>
          <cell r="C243">
            <v>0</v>
          </cell>
          <cell r="D243">
            <v>0</v>
          </cell>
          <cell r="E243">
            <v>1828000</v>
          </cell>
          <cell r="G243">
            <v>1828000</v>
          </cell>
        </row>
        <row r="244">
          <cell r="A244" t="str">
            <v>New Product Dev. and R&amp;D Exp.Pending For Allocation</v>
          </cell>
          <cell r="B244">
            <v>15854746</v>
          </cell>
          <cell r="C244">
            <v>0</v>
          </cell>
          <cell r="D244">
            <v>0</v>
          </cell>
          <cell r="E244">
            <v>15854746</v>
          </cell>
          <cell r="G244">
            <v>15854746</v>
          </cell>
        </row>
        <row r="245">
          <cell r="A245" t="str">
            <v>Building</v>
          </cell>
          <cell r="B245">
            <v>94670795.629999995</v>
          </cell>
          <cell r="C245">
            <v>0</v>
          </cell>
          <cell r="D245">
            <v>0</v>
          </cell>
          <cell r="E245">
            <v>94670795.629999995</v>
          </cell>
          <cell r="G245">
            <v>94670795.629999995</v>
          </cell>
        </row>
        <row r="246">
          <cell r="A246" t="str">
            <v>Land &amp; Developments</v>
          </cell>
          <cell r="B246">
            <v>25694213</v>
          </cell>
          <cell r="C246">
            <v>0</v>
          </cell>
          <cell r="D246">
            <v>0</v>
          </cell>
          <cell r="E246">
            <v>25694213</v>
          </cell>
          <cell r="G246">
            <v>25694213</v>
          </cell>
        </row>
        <row r="247">
          <cell r="A247" t="str">
            <v>Land - Plot No: Pe 82,Sanand</v>
          </cell>
          <cell r="B247">
            <v>173049403.75</v>
          </cell>
          <cell r="C247">
            <v>0</v>
          </cell>
          <cell r="D247">
            <v>0</v>
          </cell>
          <cell r="E247">
            <v>173049403.75</v>
          </cell>
          <cell r="G247">
            <v>173049403.75</v>
          </cell>
        </row>
        <row r="248">
          <cell r="A248" t="str">
            <v>Office Building - HO</v>
          </cell>
          <cell r="B248">
            <v>520299.16</v>
          </cell>
          <cell r="C248">
            <v>0</v>
          </cell>
          <cell r="D248">
            <v>0</v>
          </cell>
          <cell r="E248">
            <v>520299.16</v>
          </cell>
          <cell r="G248">
            <v>520299.16</v>
          </cell>
        </row>
        <row r="249">
          <cell r="A249" t="str">
            <v>Air Curtain</v>
          </cell>
          <cell r="B249">
            <v>23800</v>
          </cell>
          <cell r="C249">
            <v>0</v>
          </cell>
          <cell r="D249">
            <v>0</v>
          </cell>
          <cell r="E249">
            <v>23800</v>
          </cell>
          <cell r="G249">
            <v>23800</v>
          </cell>
        </row>
        <row r="250">
          <cell r="A250" t="str">
            <v>Face &amp; Fingerprint M/C (Punching M/C)</v>
          </cell>
          <cell r="B250">
            <v>24500</v>
          </cell>
          <cell r="C250">
            <v>0</v>
          </cell>
          <cell r="D250">
            <v>0</v>
          </cell>
          <cell r="E250">
            <v>24500</v>
          </cell>
          <cell r="G250">
            <v>24500</v>
          </cell>
        </row>
        <row r="251">
          <cell r="A251" t="str">
            <v>Mobile &amp; Telephone Instrument</v>
          </cell>
          <cell r="B251">
            <v>177117.8</v>
          </cell>
          <cell r="C251">
            <v>0</v>
          </cell>
          <cell r="D251">
            <v>0</v>
          </cell>
          <cell r="E251">
            <v>177117.8</v>
          </cell>
          <cell r="G251">
            <v>177117.8</v>
          </cell>
        </row>
        <row r="252">
          <cell r="A252" t="str">
            <v>Office Equipments</v>
          </cell>
          <cell r="B252">
            <v>2213684.23</v>
          </cell>
          <cell r="C252">
            <v>1471914.32</v>
          </cell>
          <cell r="D252">
            <v>0</v>
          </cell>
          <cell r="E252">
            <v>3685598.55</v>
          </cell>
          <cell r="G252">
            <v>3685598.55</v>
          </cell>
        </row>
        <row r="253">
          <cell r="A253" t="str">
            <v>RO Plant</v>
          </cell>
          <cell r="B253">
            <v>200000</v>
          </cell>
          <cell r="C253">
            <v>0</v>
          </cell>
          <cell r="D253">
            <v>0</v>
          </cell>
          <cell r="E253">
            <v>200000</v>
          </cell>
          <cell r="G253">
            <v>200000</v>
          </cell>
        </row>
        <row r="254">
          <cell r="A254" t="str">
            <v>CTPT Unit</v>
          </cell>
          <cell r="B254">
            <v>112500</v>
          </cell>
          <cell r="C254">
            <v>0</v>
          </cell>
          <cell r="D254">
            <v>0</v>
          </cell>
          <cell r="E254">
            <v>112500</v>
          </cell>
          <cell r="G254">
            <v>112500</v>
          </cell>
        </row>
        <row r="255">
          <cell r="A255" t="str">
            <v>Air Conditioners</v>
          </cell>
          <cell r="B255">
            <v>2749599.1</v>
          </cell>
          <cell r="C255">
            <v>123728.81</v>
          </cell>
          <cell r="D255">
            <v>0</v>
          </cell>
          <cell r="E255">
            <v>2873327.91</v>
          </cell>
          <cell r="G255">
            <v>2873327.91</v>
          </cell>
        </row>
        <row r="256">
          <cell r="A256" t="str">
            <v>Air Handling Unit (AHU)</v>
          </cell>
          <cell r="B256">
            <v>4602992.92</v>
          </cell>
          <cell r="C256">
            <v>0</v>
          </cell>
          <cell r="D256">
            <v>0</v>
          </cell>
          <cell r="E256">
            <v>4602992.92</v>
          </cell>
          <cell r="G256">
            <v>4602992.92</v>
          </cell>
        </row>
        <row r="257">
          <cell r="A257" t="str">
            <v>Dock Leveler</v>
          </cell>
          <cell r="B257">
            <v>598700</v>
          </cell>
          <cell r="C257">
            <v>0</v>
          </cell>
          <cell r="D257">
            <v>0</v>
          </cell>
          <cell r="E257">
            <v>598700</v>
          </cell>
          <cell r="G257">
            <v>598700</v>
          </cell>
        </row>
        <row r="258">
          <cell r="A258" t="str">
            <v>Dock Shelter</v>
          </cell>
          <cell r="B258">
            <v>285980</v>
          </cell>
          <cell r="C258">
            <v>0</v>
          </cell>
          <cell r="D258">
            <v>0</v>
          </cell>
          <cell r="E258">
            <v>285980</v>
          </cell>
          <cell r="G258">
            <v>285980</v>
          </cell>
        </row>
        <row r="259">
          <cell r="A259" t="str">
            <v>Forklift Model No:8Fbe20</v>
          </cell>
          <cell r="B259">
            <v>3462000</v>
          </cell>
          <cell r="C259">
            <v>0</v>
          </cell>
          <cell r="D259">
            <v>0</v>
          </cell>
          <cell r="E259">
            <v>3462000</v>
          </cell>
          <cell r="G259">
            <v>3462000</v>
          </cell>
        </row>
        <row r="260">
          <cell r="A260" t="str">
            <v>Forklift Truck Model No.FDZN30</v>
          </cell>
          <cell r="B260">
            <v>1046000</v>
          </cell>
          <cell r="C260">
            <v>0</v>
          </cell>
          <cell r="D260">
            <v>0</v>
          </cell>
          <cell r="E260">
            <v>1046000</v>
          </cell>
          <cell r="G260">
            <v>1046000</v>
          </cell>
        </row>
        <row r="261">
          <cell r="A261" t="str">
            <v>Peb Built Up</v>
          </cell>
          <cell r="B261">
            <v>519855</v>
          </cell>
          <cell r="C261">
            <v>0</v>
          </cell>
          <cell r="D261">
            <v>0</v>
          </cell>
          <cell r="E261">
            <v>519855</v>
          </cell>
          <cell r="G261">
            <v>519855</v>
          </cell>
        </row>
        <row r="262">
          <cell r="A262" t="str">
            <v>Water Cooler</v>
          </cell>
          <cell r="B262">
            <v>75085.7</v>
          </cell>
          <cell r="C262">
            <v>0</v>
          </cell>
          <cell r="D262">
            <v>0</v>
          </cell>
          <cell r="E262">
            <v>75085.7</v>
          </cell>
          <cell r="G262">
            <v>75085.7</v>
          </cell>
        </row>
        <row r="263">
          <cell r="A263" t="str">
            <v>Almonard H/D Exhaust Fan 24"</v>
          </cell>
          <cell r="B263">
            <v>89971.98</v>
          </cell>
          <cell r="C263">
            <v>0</v>
          </cell>
          <cell r="D263">
            <v>0</v>
          </cell>
          <cell r="E263">
            <v>89971.98</v>
          </cell>
          <cell r="G263">
            <v>89971.98</v>
          </cell>
        </row>
        <row r="264">
          <cell r="A264" t="str">
            <v>Almonard Wall Fan Air Circ.-18"</v>
          </cell>
          <cell r="B264">
            <v>5570.4</v>
          </cell>
          <cell r="C264">
            <v>0</v>
          </cell>
          <cell r="D264">
            <v>0</v>
          </cell>
          <cell r="E264">
            <v>5570.4</v>
          </cell>
          <cell r="G264">
            <v>5570.4</v>
          </cell>
        </row>
        <row r="265">
          <cell r="A265" t="str">
            <v>Cealing Fan</v>
          </cell>
          <cell r="B265">
            <v>12500</v>
          </cell>
          <cell r="C265">
            <v>0</v>
          </cell>
          <cell r="D265">
            <v>0</v>
          </cell>
          <cell r="E265">
            <v>12500</v>
          </cell>
          <cell r="G265">
            <v>12500</v>
          </cell>
        </row>
        <row r="266">
          <cell r="A266" t="str">
            <v>Electrical Installation</v>
          </cell>
          <cell r="B266">
            <v>38680854.859999999</v>
          </cell>
          <cell r="C266">
            <v>320921.96000000002</v>
          </cell>
          <cell r="D266">
            <v>0</v>
          </cell>
          <cell r="E266">
            <v>39001776.82</v>
          </cell>
          <cell r="G266">
            <v>39001776.82</v>
          </cell>
        </row>
        <row r="267">
          <cell r="A267" t="str">
            <v>Fan, Cooler, Heater &amp; Blowers</v>
          </cell>
          <cell r="B267">
            <v>602491</v>
          </cell>
          <cell r="C267">
            <v>0</v>
          </cell>
          <cell r="D267">
            <v>0</v>
          </cell>
          <cell r="E267">
            <v>602491</v>
          </cell>
          <cell r="G267">
            <v>602491</v>
          </cell>
        </row>
        <row r="268">
          <cell r="A268" t="str">
            <v>Panel Cooling Airconditoner</v>
          </cell>
          <cell r="B268">
            <v>121985.1</v>
          </cell>
          <cell r="C268">
            <v>0</v>
          </cell>
          <cell r="D268">
            <v>0</v>
          </cell>
          <cell r="E268">
            <v>121985.1</v>
          </cell>
          <cell r="G268">
            <v>121985.1</v>
          </cell>
        </row>
        <row r="269">
          <cell r="A269" t="str">
            <v>Pumps &amp; Motors</v>
          </cell>
          <cell r="B269">
            <v>84189.4</v>
          </cell>
          <cell r="C269">
            <v>0</v>
          </cell>
          <cell r="D269">
            <v>0</v>
          </cell>
          <cell r="E269">
            <v>84189.4</v>
          </cell>
          <cell r="G269">
            <v>84189.4</v>
          </cell>
        </row>
        <row r="270">
          <cell r="A270" t="str">
            <v>Tublights &amp; Fans</v>
          </cell>
          <cell r="B270">
            <v>188650</v>
          </cell>
          <cell r="C270">
            <v>0</v>
          </cell>
          <cell r="D270">
            <v>0</v>
          </cell>
          <cell r="E270">
            <v>188650</v>
          </cell>
          <cell r="G270">
            <v>188650</v>
          </cell>
        </row>
        <row r="271">
          <cell r="A271" t="str">
            <v>Auto Webbing Cutting M/C</v>
          </cell>
          <cell r="B271">
            <v>315000</v>
          </cell>
          <cell r="C271">
            <v>0</v>
          </cell>
          <cell r="D271">
            <v>0</v>
          </cell>
          <cell r="E271">
            <v>315000</v>
          </cell>
          <cell r="G271">
            <v>315000</v>
          </cell>
        </row>
        <row r="272">
          <cell r="A272" t="str">
            <v>Belt Cutting Machine</v>
          </cell>
          <cell r="B272">
            <v>315000</v>
          </cell>
          <cell r="C272">
            <v>0</v>
          </cell>
          <cell r="D272">
            <v>0</v>
          </cell>
          <cell r="E272">
            <v>315000</v>
          </cell>
          <cell r="G272">
            <v>315000</v>
          </cell>
        </row>
        <row r="273">
          <cell r="A273" t="str">
            <v>Fabric Cutting Machine</v>
          </cell>
          <cell r="B273">
            <v>10284000</v>
          </cell>
          <cell r="C273">
            <v>0</v>
          </cell>
          <cell r="D273">
            <v>0</v>
          </cell>
          <cell r="E273">
            <v>10284000</v>
          </cell>
          <cell r="G273">
            <v>10284000</v>
          </cell>
        </row>
        <row r="274">
          <cell r="A274" t="str">
            <v>Gluing Machine</v>
          </cell>
          <cell r="B274">
            <v>355999.99</v>
          </cell>
          <cell r="C274">
            <v>0</v>
          </cell>
          <cell r="D274">
            <v>0</v>
          </cell>
          <cell r="E274">
            <v>355999.99</v>
          </cell>
          <cell r="G274">
            <v>355999.99</v>
          </cell>
        </row>
        <row r="275">
          <cell r="A275" t="str">
            <v>Hydraulic Baling Machine</v>
          </cell>
          <cell r="B275">
            <v>4900000</v>
          </cell>
          <cell r="C275">
            <v>0</v>
          </cell>
          <cell r="D275">
            <v>0</v>
          </cell>
          <cell r="E275">
            <v>4900000</v>
          </cell>
          <cell r="G275">
            <v>4900000</v>
          </cell>
        </row>
        <row r="276">
          <cell r="A276" t="str">
            <v>Load Testing Machine</v>
          </cell>
          <cell r="B276">
            <v>1920666.88</v>
          </cell>
          <cell r="C276">
            <v>0</v>
          </cell>
          <cell r="D276">
            <v>0</v>
          </cell>
          <cell r="E276">
            <v>1920666.88</v>
          </cell>
          <cell r="G276">
            <v>1920666.88</v>
          </cell>
        </row>
        <row r="277">
          <cell r="A277" t="str">
            <v>Palang, Tables, Trollies For Finishing</v>
          </cell>
          <cell r="B277">
            <v>3838045.93</v>
          </cell>
          <cell r="C277">
            <v>0</v>
          </cell>
          <cell r="D277">
            <v>0</v>
          </cell>
          <cell r="E277">
            <v>3838045.93</v>
          </cell>
          <cell r="G277">
            <v>3838045.93</v>
          </cell>
        </row>
        <row r="278">
          <cell r="A278" t="str">
            <v>Rolling Machine</v>
          </cell>
          <cell r="B278">
            <v>1655000</v>
          </cell>
          <cell r="C278">
            <v>0</v>
          </cell>
          <cell r="D278">
            <v>0</v>
          </cell>
          <cell r="E278">
            <v>1655000</v>
          </cell>
          <cell r="G278">
            <v>1655000</v>
          </cell>
        </row>
        <row r="279">
          <cell r="A279" t="str">
            <v>Stretch Wrapping Machine</v>
          </cell>
          <cell r="B279">
            <v>722000</v>
          </cell>
          <cell r="C279">
            <v>0</v>
          </cell>
          <cell r="D279">
            <v>0</v>
          </cell>
          <cell r="E279">
            <v>722000</v>
          </cell>
          <cell r="G279">
            <v>722000</v>
          </cell>
        </row>
        <row r="280">
          <cell r="A280" t="str">
            <v>Industrial Vaccum Cleaner</v>
          </cell>
          <cell r="B280">
            <v>137000</v>
          </cell>
          <cell r="C280">
            <v>0</v>
          </cell>
          <cell r="D280">
            <v>0</v>
          </cell>
          <cell r="E280">
            <v>137000</v>
          </cell>
          <cell r="G280">
            <v>137000</v>
          </cell>
        </row>
        <row r="281">
          <cell r="A281" t="str">
            <v>Scrubber And Dryer Machine</v>
          </cell>
          <cell r="B281">
            <v>37000</v>
          </cell>
          <cell r="C281">
            <v>0</v>
          </cell>
          <cell r="D281">
            <v>0</v>
          </cell>
          <cell r="E281">
            <v>37000</v>
          </cell>
          <cell r="G281">
            <v>37000</v>
          </cell>
        </row>
        <row r="282">
          <cell r="A282" t="str">
            <v>Laboratory Equipments</v>
          </cell>
          <cell r="B282">
            <v>333354</v>
          </cell>
          <cell r="C282">
            <v>0</v>
          </cell>
          <cell r="D282">
            <v>0</v>
          </cell>
          <cell r="E282">
            <v>333354</v>
          </cell>
          <cell r="G282">
            <v>333354</v>
          </cell>
        </row>
        <row r="283">
          <cell r="A283" t="str">
            <v>Muffle Furnace Testing Machine (Ash Content)</v>
          </cell>
          <cell r="B283">
            <v>55874.5</v>
          </cell>
          <cell r="C283">
            <v>0</v>
          </cell>
          <cell r="D283">
            <v>0</v>
          </cell>
          <cell r="E283">
            <v>55874.5</v>
          </cell>
          <cell r="G283">
            <v>55874.5</v>
          </cell>
        </row>
        <row r="284">
          <cell r="A284" t="str">
            <v>Tensile Testing Machine</v>
          </cell>
          <cell r="B284">
            <v>118000</v>
          </cell>
          <cell r="C284">
            <v>0</v>
          </cell>
          <cell r="D284">
            <v>0</v>
          </cell>
          <cell r="E284">
            <v>118000</v>
          </cell>
          <cell r="G284">
            <v>118000</v>
          </cell>
        </row>
        <row r="285">
          <cell r="A285" t="str">
            <v>Wethering Tester</v>
          </cell>
          <cell r="B285">
            <v>1088169.3</v>
          </cell>
          <cell r="C285">
            <v>0</v>
          </cell>
          <cell r="D285">
            <v>0</v>
          </cell>
          <cell r="E285">
            <v>1088169.3</v>
          </cell>
          <cell r="G285">
            <v>1088169.3</v>
          </cell>
        </row>
        <row r="286">
          <cell r="A286" t="str">
            <v>Lamination Plant Jp 80Cr 1600</v>
          </cell>
          <cell r="B286">
            <v>7569717</v>
          </cell>
          <cell r="C286">
            <v>0</v>
          </cell>
          <cell r="D286">
            <v>0</v>
          </cell>
          <cell r="E286">
            <v>7569717</v>
          </cell>
          <cell r="G286">
            <v>7569717</v>
          </cell>
        </row>
        <row r="287">
          <cell r="A287" t="str">
            <v>Crane-3.0 Tonnes</v>
          </cell>
          <cell r="B287">
            <v>1150000</v>
          </cell>
          <cell r="C287">
            <v>0</v>
          </cell>
          <cell r="D287">
            <v>0</v>
          </cell>
          <cell r="E287">
            <v>1150000</v>
          </cell>
          <cell r="G287">
            <v>1150000</v>
          </cell>
        </row>
        <row r="288">
          <cell r="A288" t="str">
            <v>Hydraulic Hand Pallet Truck</v>
          </cell>
          <cell r="B288">
            <v>262400</v>
          </cell>
          <cell r="C288">
            <v>0</v>
          </cell>
          <cell r="D288">
            <v>0</v>
          </cell>
          <cell r="E288">
            <v>262400</v>
          </cell>
          <cell r="G288">
            <v>262400</v>
          </cell>
        </row>
        <row r="289">
          <cell r="A289" t="str">
            <v>Hydraulic Stacker</v>
          </cell>
          <cell r="B289">
            <v>690000</v>
          </cell>
          <cell r="C289">
            <v>0</v>
          </cell>
          <cell r="D289">
            <v>0</v>
          </cell>
          <cell r="E289">
            <v>690000</v>
          </cell>
          <cell r="G289">
            <v>690000</v>
          </cell>
        </row>
        <row r="290">
          <cell r="A290" t="str">
            <v>Motorised Beam Stacker Model VM 401</v>
          </cell>
          <cell r="B290">
            <v>5025000</v>
          </cell>
          <cell r="C290">
            <v>0</v>
          </cell>
          <cell r="D290">
            <v>0</v>
          </cell>
          <cell r="E290">
            <v>5025000</v>
          </cell>
          <cell r="G290">
            <v>5025000</v>
          </cell>
        </row>
        <row r="291">
          <cell r="A291" t="str">
            <v>S S Trolly</v>
          </cell>
          <cell r="B291">
            <v>115507</v>
          </cell>
          <cell r="C291">
            <v>0</v>
          </cell>
          <cell r="D291">
            <v>0</v>
          </cell>
          <cell r="E291">
            <v>115507</v>
          </cell>
          <cell r="G291">
            <v>115507</v>
          </cell>
        </row>
        <row r="292">
          <cell r="A292" t="str">
            <v>Trolly</v>
          </cell>
          <cell r="B292">
            <v>797721</v>
          </cell>
          <cell r="C292">
            <v>0</v>
          </cell>
          <cell r="D292">
            <v>0</v>
          </cell>
          <cell r="E292">
            <v>797721</v>
          </cell>
          <cell r="G292">
            <v>797721</v>
          </cell>
        </row>
        <row r="293">
          <cell r="A293" t="str">
            <v>Twisting Machine</v>
          </cell>
          <cell r="B293">
            <v>2428500</v>
          </cell>
          <cell r="C293">
            <v>0</v>
          </cell>
          <cell r="D293">
            <v>0</v>
          </cell>
          <cell r="E293">
            <v>2428500</v>
          </cell>
          <cell r="G293">
            <v>2428500</v>
          </cell>
        </row>
        <row r="294">
          <cell r="A294" t="str">
            <v>Creel Stand</v>
          </cell>
          <cell r="B294">
            <v>2379800</v>
          </cell>
          <cell r="C294">
            <v>0</v>
          </cell>
          <cell r="D294">
            <v>0</v>
          </cell>
          <cell r="E294">
            <v>2379800</v>
          </cell>
          <cell r="G294">
            <v>2379800</v>
          </cell>
        </row>
        <row r="295">
          <cell r="A295" t="str">
            <v>Needle Loom Machine</v>
          </cell>
          <cell r="B295">
            <v>3000235.6</v>
          </cell>
          <cell r="C295">
            <v>0</v>
          </cell>
          <cell r="D295">
            <v>0</v>
          </cell>
          <cell r="E295">
            <v>3000235.6</v>
          </cell>
          <cell r="G295">
            <v>3000235.6</v>
          </cell>
        </row>
        <row r="296">
          <cell r="A296" t="str">
            <v>Clutch Motor</v>
          </cell>
          <cell r="B296">
            <v>256800</v>
          </cell>
          <cell r="C296">
            <v>0</v>
          </cell>
          <cell r="D296">
            <v>0</v>
          </cell>
          <cell r="E296">
            <v>256800</v>
          </cell>
          <cell r="G296">
            <v>256800</v>
          </cell>
        </row>
        <row r="297">
          <cell r="A297" t="str">
            <v>Fire Safety Extinguisher</v>
          </cell>
          <cell r="B297">
            <v>298965.82</v>
          </cell>
          <cell r="C297">
            <v>0</v>
          </cell>
          <cell r="D297">
            <v>0</v>
          </cell>
          <cell r="E297">
            <v>298965.82</v>
          </cell>
          <cell r="G297">
            <v>298965.82</v>
          </cell>
        </row>
        <row r="298">
          <cell r="A298" t="str">
            <v>Other Tools &amp; Equipments</v>
          </cell>
          <cell r="B298">
            <v>13830</v>
          </cell>
          <cell r="C298">
            <v>0</v>
          </cell>
          <cell r="D298">
            <v>0</v>
          </cell>
          <cell r="E298">
            <v>13830</v>
          </cell>
          <cell r="G298">
            <v>13830</v>
          </cell>
        </row>
        <row r="299">
          <cell r="A299" t="str">
            <v>Plant &amp; Machinery</v>
          </cell>
          <cell r="B299">
            <v>145950944.11000001</v>
          </cell>
          <cell r="C299">
            <v>1373646.8</v>
          </cell>
          <cell r="D299">
            <v>3316000</v>
          </cell>
          <cell r="E299">
            <v>144008590.91</v>
          </cell>
          <cell r="G299">
            <v>144008590.91</v>
          </cell>
        </row>
        <row r="300">
          <cell r="A300" t="str">
            <v>Sandwich Aluminium Feeder System</v>
          </cell>
          <cell r="B300">
            <v>206006</v>
          </cell>
          <cell r="C300">
            <v>0</v>
          </cell>
          <cell r="D300">
            <v>0</v>
          </cell>
          <cell r="E300">
            <v>206006</v>
          </cell>
          <cell r="G300">
            <v>206006</v>
          </cell>
        </row>
        <row r="301">
          <cell r="A301" t="str">
            <v>Solar Power Plant &amp; Accessories</v>
          </cell>
          <cell r="B301">
            <v>36265015.420000002</v>
          </cell>
          <cell r="C301">
            <v>70375000</v>
          </cell>
          <cell r="D301">
            <v>0</v>
          </cell>
          <cell r="E301">
            <v>106640015.42</v>
          </cell>
          <cell r="G301">
            <v>106640015.42</v>
          </cell>
        </row>
        <row r="302">
          <cell r="A302" t="str">
            <v>Vertical Ms Receiver Tank</v>
          </cell>
          <cell r="B302">
            <v>128000</v>
          </cell>
          <cell r="C302">
            <v>0</v>
          </cell>
          <cell r="D302">
            <v>0</v>
          </cell>
          <cell r="E302">
            <v>128000</v>
          </cell>
          <cell r="G302">
            <v>128000</v>
          </cell>
        </row>
        <row r="303">
          <cell r="A303" t="str">
            <v>Flexographic Printing Machine</v>
          </cell>
          <cell r="B303">
            <v>622000</v>
          </cell>
          <cell r="C303">
            <v>0</v>
          </cell>
          <cell r="D303">
            <v>0</v>
          </cell>
          <cell r="E303">
            <v>622000</v>
          </cell>
          <cell r="G303">
            <v>622000</v>
          </cell>
        </row>
        <row r="304">
          <cell r="A304" t="str">
            <v>Jumbo Bag Printing M/C</v>
          </cell>
          <cell r="B304">
            <v>1600000</v>
          </cell>
          <cell r="C304">
            <v>0</v>
          </cell>
          <cell r="D304">
            <v>0</v>
          </cell>
          <cell r="E304">
            <v>1600000</v>
          </cell>
          <cell r="G304">
            <v>1600000</v>
          </cell>
        </row>
        <row r="305">
          <cell r="A305" t="str">
            <v>Printing Machine Three Colour</v>
          </cell>
          <cell r="B305">
            <v>400000</v>
          </cell>
          <cell r="C305">
            <v>0</v>
          </cell>
          <cell r="D305">
            <v>0</v>
          </cell>
          <cell r="E305">
            <v>400000</v>
          </cell>
          <cell r="G305">
            <v>400000</v>
          </cell>
        </row>
        <row r="306">
          <cell r="A306" t="str">
            <v>Recycling Machine</v>
          </cell>
          <cell r="B306">
            <v>2200000</v>
          </cell>
          <cell r="C306">
            <v>0</v>
          </cell>
          <cell r="D306">
            <v>0</v>
          </cell>
          <cell r="E306">
            <v>2200000</v>
          </cell>
          <cell r="G306">
            <v>2200000</v>
          </cell>
        </row>
        <row r="307">
          <cell r="A307" t="str">
            <v>Stitching Machine</v>
          </cell>
          <cell r="B307">
            <v>6546275.29</v>
          </cell>
          <cell r="C307">
            <v>0</v>
          </cell>
          <cell r="D307">
            <v>0</v>
          </cell>
          <cell r="E307">
            <v>6546275.29</v>
          </cell>
          <cell r="G307">
            <v>6546275.29</v>
          </cell>
        </row>
        <row r="308">
          <cell r="A308" t="str">
            <v>Stitching Machine DR-FT-ST603</v>
          </cell>
          <cell r="B308">
            <v>594227.06999999995</v>
          </cell>
          <cell r="C308">
            <v>0</v>
          </cell>
          <cell r="D308">
            <v>0</v>
          </cell>
          <cell r="E308">
            <v>594227.06999999995</v>
          </cell>
          <cell r="G308">
            <v>594227.06999999995</v>
          </cell>
        </row>
        <row r="309">
          <cell r="A309" t="str">
            <v>Stitching Machine HD502</v>
          </cell>
          <cell r="B309">
            <v>592658</v>
          </cell>
          <cell r="C309">
            <v>0</v>
          </cell>
          <cell r="D309">
            <v>0</v>
          </cell>
          <cell r="E309">
            <v>592658</v>
          </cell>
          <cell r="G309">
            <v>592658</v>
          </cell>
        </row>
        <row r="310">
          <cell r="A310" t="str">
            <v>Stitching Machine Model VMC802</v>
          </cell>
          <cell r="B310">
            <v>434808.08</v>
          </cell>
          <cell r="C310">
            <v>0</v>
          </cell>
          <cell r="D310">
            <v>0</v>
          </cell>
          <cell r="E310">
            <v>434808.08</v>
          </cell>
          <cell r="G310">
            <v>434808.08</v>
          </cell>
        </row>
        <row r="311">
          <cell r="A311" t="str">
            <v>Stitching Machine With Table Orsan-4000H</v>
          </cell>
          <cell r="B311">
            <v>450000</v>
          </cell>
          <cell r="C311">
            <v>0</v>
          </cell>
          <cell r="D311">
            <v>0</v>
          </cell>
          <cell r="E311">
            <v>450000</v>
          </cell>
          <cell r="G311">
            <v>450000</v>
          </cell>
        </row>
        <row r="312">
          <cell r="A312" t="str">
            <v>Accumulators</v>
          </cell>
          <cell r="B312">
            <v>3974330</v>
          </cell>
          <cell r="C312">
            <v>0</v>
          </cell>
          <cell r="D312">
            <v>0</v>
          </cell>
          <cell r="E312">
            <v>3974330</v>
          </cell>
          <cell r="G312">
            <v>3974330</v>
          </cell>
        </row>
        <row r="313">
          <cell r="A313" t="str">
            <v>Sulzer Looms</v>
          </cell>
          <cell r="B313">
            <v>40625001.740000002</v>
          </cell>
          <cell r="C313">
            <v>0</v>
          </cell>
          <cell r="D313">
            <v>0</v>
          </cell>
          <cell r="E313">
            <v>40625001.740000002</v>
          </cell>
          <cell r="G313">
            <v>40625001.740000002</v>
          </cell>
        </row>
        <row r="314">
          <cell r="A314" t="str">
            <v>Tucking Unit</v>
          </cell>
          <cell r="B314">
            <v>375000</v>
          </cell>
          <cell r="C314">
            <v>0</v>
          </cell>
          <cell r="D314">
            <v>0</v>
          </cell>
          <cell r="E314">
            <v>375000</v>
          </cell>
          <cell r="G314">
            <v>375000</v>
          </cell>
        </row>
        <row r="315">
          <cell r="A315" t="str">
            <v>Cheese Pipes (Tape Plant)</v>
          </cell>
          <cell r="B315">
            <v>4790782.28</v>
          </cell>
          <cell r="C315">
            <v>0</v>
          </cell>
          <cell r="D315">
            <v>0</v>
          </cell>
          <cell r="E315">
            <v>4790782.28</v>
          </cell>
          <cell r="G315">
            <v>4790782.28</v>
          </cell>
        </row>
        <row r="316">
          <cell r="A316" t="str">
            <v>Cheese Winders</v>
          </cell>
          <cell r="B316">
            <v>22376520</v>
          </cell>
          <cell r="C316">
            <v>0</v>
          </cell>
          <cell r="D316">
            <v>0</v>
          </cell>
          <cell r="E316">
            <v>22376520</v>
          </cell>
          <cell r="G316">
            <v>22376520</v>
          </cell>
        </row>
        <row r="317">
          <cell r="A317" t="str">
            <v>Gravimetric Dosing Mixing Machine</v>
          </cell>
          <cell r="B317">
            <v>2725000</v>
          </cell>
          <cell r="C317">
            <v>0</v>
          </cell>
          <cell r="D317">
            <v>0</v>
          </cell>
          <cell r="E317">
            <v>2725000</v>
          </cell>
          <cell r="G317">
            <v>2725000</v>
          </cell>
        </row>
        <row r="318">
          <cell r="A318" t="str">
            <v>Hopper Loader</v>
          </cell>
          <cell r="B318">
            <v>231700</v>
          </cell>
          <cell r="C318">
            <v>0</v>
          </cell>
          <cell r="D318">
            <v>0</v>
          </cell>
          <cell r="E318">
            <v>231700</v>
          </cell>
          <cell r="G318">
            <v>231700</v>
          </cell>
        </row>
        <row r="319">
          <cell r="A319" t="str">
            <v>Pnumatic Fabrilation Movable Machine</v>
          </cell>
          <cell r="B319">
            <v>4374015</v>
          </cell>
          <cell r="C319">
            <v>0</v>
          </cell>
          <cell r="D319">
            <v>0</v>
          </cell>
          <cell r="E319">
            <v>4374015</v>
          </cell>
          <cell r="G319">
            <v>4374015</v>
          </cell>
        </row>
        <row r="320">
          <cell r="A320" t="str">
            <v>Tape Extrusion Line Manchine</v>
          </cell>
          <cell r="B320">
            <v>26889466.899999999</v>
          </cell>
          <cell r="C320">
            <v>0</v>
          </cell>
          <cell r="D320">
            <v>0</v>
          </cell>
          <cell r="E320">
            <v>26889466.899999999</v>
          </cell>
          <cell r="G320">
            <v>26889466.899999999</v>
          </cell>
        </row>
        <row r="321">
          <cell r="A321" t="str">
            <v>Pnumatic Strapping Machine</v>
          </cell>
          <cell r="B321">
            <v>15500</v>
          </cell>
          <cell r="C321">
            <v>0</v>
          </cell>
          <cell r="D321">
            <v>0</v>
          </cell>
          <cell r="E321">
            <v>15500</v>
          </cell>
          <cell r="G321">
            <v>15500</v>
          </cell>
        </row>
        <row r="322">
          <cell r="A322" t="str">
            <v>Compressed Air Filter</v>
          </cell>
          <cell r="B322">
            <v>58560</v>
          </cell>
          <cell r="C322">
            <v>0</v>
          </cell>
          <cell r="D322">
            <v>0</v>
          </cell>
          <cell r="E322">
            <v>58560</v>
          </cell>
          <cell r="G322">
            <v>58560</v>
          </cell>
        </row>
        <row r="323">
          <cell r="A323" t="str">
            <v>Rotary Screw Compressor</v>
          </cell>
          <cell r="B323">
            <v>1300000</v>
          </cell>
          <cell r="C323">
            <v>0</v>
          </cell>
          <cell r="D323">
            <v>0</v>
          </cell>
          <cell r="E323">
            <v>1300000</v>
          </cell>
          <cell r="G323">
            <v>1300000</v>
          </cell>
        </row>
        <row r="324">
          <cell r="A324" t="str">
            <v>Refrigeration Dryer</v>
          </cell>
          <cell r="B324">
            <v>603990</v>
          </cell>
          <cell r="C324">
            <v>0</v>
          </cell>
          <cell r="D324">
            <v>0</v>
          </cell>
          <cell r="E324">
            <v>603990</v>
          </cell>
          <cell r="G324">
            <v>603990</v>
          </cell>
        </row>
        <row r="325">
          <cell r="A325" t="str">
            <v>Cooling Tower</v>
          </cell>
          <cell r="B325">
            <v>1041000</v>
          </cell>
          <cell r="C325">
            <v>0</v>
          </cell>
          <cell r="D325">
            <v>0</v>
          </cell>
          <cell r="E325">
            <v>1041000</v>
          </cell>
          <cell r="G325">
            <v>1041000</v>
          </cell>
        </row>
        <row r="326">
          <cell r="A326" t="str">
            <v>Drill Machine A/C</v>
          </cell>
          <cell r="B326">
            <v>5850</v>
          </cell>
          <cell r="C326">
            <v>0</v>
          </cell>
          <cell r="D326">
            <v>0</v>
          </cell>
          <cell r="E326">
            <v>5850</v>
          </cell>
          <cell r="G326">
            <v>5850</v>
          </cell>
        </row>
        <row r="327">
          <cell r="A327" t="str">
            <v>Grinder Machine</v>
          </cell>
          <cell r="B327">
            <v>406900</v>
          </cell>
          <cell r="C327">
            <v>0</v>
          </cell>
          <cell r="D327">
            <v>0</v>
          </cell>
          <cell r="E327">
            <v>406900</v>
          </cell>
          <cell r="G327">
            <v>406900</v>
          </cell>
        </row>
        <row r="328">
          <cell r="A328" t="str">
            <v>Hand Blower</v>
          </cell>
          <cell r="B328">
            <v>1250</v>
          </cell>
          <cell r="C328">
            <v>0</v>
          </cell>
          <cell r="D328">
            <v>0</v>
          </cell>
          <cell r="E328">
            <v>1250</v>
          </cell>
          <cell r="G328">
            <v>1250</v>
          </cell>
        </row>
        <row r="329">
          <cell r="A329" t="str">
            <v>Hand Grinder Machine</v>
          </cell>
          <cell r="B329">
            <v>17770.400000000001</v>
          </cell>
          <cell r="C329">
            <v>0</v>
          </cell>
          <cell r="D329">
            <v>0</v>
          </cell>
          <cell r="E329">
            <v>17770.400000000001</v>
          </cell>
          <cell r="G329">
            <v>17770.400000000001</v>
          </cell>
        </row>
        <row r="330">
          <cell r="A330" t="str">
            <v>Sewage Treatment Plant</v>
          </cell>
          <cell r="B330">
            <v>340500</v>
          </cell>
          <cell r="C330">
            <v>0</v>
          </cell>
          <cell r="D330">
            <v>0</v>
          </cell>
          <cell r="E330">
            <v>340500</v>
          </cell>
          <cell r="G330">
            <v>340500</v>
          </cell>
        </row>
        <row r="331">
          <cell r="A331" t="str">
            <v>Submersible Pump</v>
          </cell>
          <cell r="B331">
            <v>391809.22</v>
          </cell>
          <cell r="C331">
            <v>0</v>
          </cell>
          <cell r="D331">
            <v>0</v>
          </cell>
          <cell r="E331">
            <v>391809.22</v>
          </cell>
          <cell r="G331">
            <v>391809.22</v>
          </cell>
        </row>
        <row r="332">
          <cell r="A332" t="str">
            <v>Water Softner Plant</v>
          </cell>
          <cell r="B332">
            <v>160000</v>
          </cell>
          <cell r="C332">
            <v>0</v>
          </cell>
          <cell r="D332">
            <v>0</v>
          </cell>
          <cell r="E332">
            <v>160000</v>
          </cell>
          <cell r="G332">
            <v>160000</v>
          </cell>
        </row>
        <row r="333">
          <cell r="A333" t="str">
            <v>Water Tank</v>
          </cell>
          <cell r="B333">
            <v>197984.96</v>
          </cell>
          <cell r="C333">
            <v>0</v>
          </cell>
          <cell r="D333">
            <v>0</v>
          </cell>
          <cell r="E333">
            <v>197984.96</v>
          </cell>
          <cell r="G333">
            <v>197984.96</v>
          </cell>
        </row>
        <row r="334">
          <cell r="A334" t="str">
            <v>Weight Bridge A/C</v>
          </cell>
          <cell r="B334">
            <v>760000</v>
          </cell>
          <cell r="C334">
            <v>0</v>
          </cell>
          <cell r="D334">
            <v>0</v>
          </cell>
          <cell r="E334">
            <v>760000</v>
          </cell>
          <cell r="G334">
            <v>760000</v>
          </cell>
        </row>
        <row r="335">
          <cell r="A335" t="str">
            <v>Weightment Scale</v>
          </cell>
          <cell r="B335">
            <v>215561.98</v>
          </cell>
          <cell r="C335">
            <v>0</v>
          </cell>
          <cell r="D335">
            <v>0</v>
          </cell>
          <cell r="E335">
            <v>215561.98</v>
          </cell>
          <cell r="G335">
            <v>215561.98</v>
          </cell>
        </row>
        <row r="336">
          <cell r="A336" t="str">
            <v>Welding Machine</v>
          </cell>
          <cell r="B336">
            <v>33700</v>
          </cell>
          <cell r="C336">
            <v>0</v>
          </cell>
          <cell r="D336">
            <v>0</v>
          </cell>
          <cell r="E336">
            <v>33700</v>
          </cell>
          <cell r="G336">
            <v>33700</v>
          </cell>
        </row>
        <row r="337">
          <cell r="A337" t="str">
            <v>Poly Beamer Machine</v>
          </cell>
          <cell r="B337">
            <v>12250000</v>
          </cell>
          <cell r="C337">
            <v>0</v>
          </cell>
          <cell r="D337">
            <v>0</v>
          </cell>
          <cell r="E337">
            <v>12250000</v>
          </cell>
          <cell r="G337">
            <v>12250000</v>
          </cell>
        </row>
        <row r="338">
          <cell r="A338" t="str">
            <v>Sulzer Beam Flange</v>
          </cell>
          <cell r="B338">
            <v>412201</v>
          </cell>
          <cell r="C338">
            <v>0</v>
          </cell>
          <cell r="D338">
            <v>0</v>
          </cell>
          <cell r="E338">
            <v>412201</v>
          </cell>
          <cell r="G338">
            <v>412201</v>
          </cell>
        </row>
        <row r="339">
          <cell r="A339" t="str">
            <v>Sulzer Beam Pipe</v>
          </cell>
          <cell r="B339">
            <v>280200</v>
          </cell>
          <cell r="C339">
            <v>0</v>
          </cell>
          <cell r="D339">
            <v>0</v>
          </cell>
          <cell r="E339">
            <v>280200</v>
          </cell>
          <cell r="G339">
            <v>280200</v>
          </cell>
        </row>
        <row r="340">
          <cell r="A340" t="str">
            <v>Computers &amp; Printers</v>
          </cell>
          <cell r="B340">
            <v>1613994.5</v>
          </cell>
          <cell r="C340">
            <v>22000</v>
          </cell>
          <cell r="D340">
            <v>33889.83</v>
          </cell>
          <cell r="E340">
            <v>1602104.67</v>
          </cell>
          <cell r="G340">
            <v>1602104.67</v>
          </cell>
        </row>
        <row r="341">
          <cell r="A341" t="str">
            <v>Car - BMW 320D GJ38BC0582</v>
          </cell>
          <cell r="B341">
            <v>0</v>
          </cell>
          <cell r="C341">
            <v>0</v>
          </cell>
          <cell r="D341">
            <v>0</v>
          </cell>
          <cell r="E341">
            <v>0</v>
          </cell>
          <cell r="G341">
            <v>0</v>
          </cell>
        </row>
        <row r="342">
          <cell r="A342" t="str">
            <v>Forklift</v>
          </cell>
          <cell r="B342">
            <v>931740</v>
          </cell>
          <cell r="C342">
            <v>0</v>
          </cell>
          <cell r="D342">
            <v>0</v>
          </cell>
          <cell r="E342">
            <v>931740</v>
          </cell>
          <cell r="G342">
            <v>931740</v>
          </cell>
        </row>
        <row r="343">
          <cell r="A343" t="str">
            <v>Discount &amp; Rate Difference - Purchase</v>
          </cell>
          <cell r="B343">
            <v>0</v>
          </cell>
          <cell r="C343">
            <v>0.23</v>
          </cell>
          <cell r="D343">
            <v>919735.67</v>
          </cell>
          <cell r="E343">
            <v>-919735.44</v>
          </cell>
          <cell r="G343">
            <v>-919735.44</v>
          </cell>
        </row>
        <row r="344">
          <cell r="A344" t="str">
            <v>Packing Forwading &amp; Cartage Expense</v>
          </cell>
          <cell r="B344">
            <v>0</v>
          </cell>
          <cell r="C344">
            <v>4285</v>
          </cell>
          <cell r="D344">
            <v>32075</v>
          </cell>
          <cell r="E344">
            <v>-27790</v>
          </cell>
          <cell r="G344">
            <v>-27790</v>
          </cell>
        </row>
        <row r="345">
          <cell r="A345" t="str">
            <v>Round Off - Purchases</v>
          </cell>
          <cell r="B345">
            <v>0</v>
          </cell>
          <cell r="C345">
            <v>86.97</v>
          </cell>
          <cell r="D345">
            <v>81.7</v>
          </cell>
          <cell r="E345">
            <v>5.27</v>
          </cell>
          <cell r="G345">
            <v>5.27</v>
          </cell>
        </row>
        <row r="346">
          <cell r="A346" t="str">
            <v>C &amp; F  Charges  - Import</v>
          </cell>
          <cell r="B346">
            <v>0</v>
          </cell>
          <cell r="C346">
            <v>6428818.4800000004</v>
          </cell>
          <cell r="D346">
            <v>0</v>
          </cell>
          <cell r="E346">
            <v>6428818.4800000004</v>
          </cell>
          <cell r="F346">
            <v>216988</v>
          </cell>
          <cell r="G346">
            <v>6645806.4800000004</v>
          </cell>
        </row>
        <row r="347">
          <cell r="A347" t="str">
            <v>Freight Inward Expense (RCM)</v>
          </cell>
          <cell r="B347">
            <v>0</v>
          </cell>
          <cell r="C347">
            <v>531840</v>
          </cell>
          <cell r="D347">
            <v>35000</v>
          </cell>
          <cell r="E347">
            <v>496840</v>
          </cell>
          <cell r="G347">
            <v>496840</v>
          </cell>
        </row>
        <row r="348">
          <cell r="A348" t="str">
            <v>Freight Inward Expense (With GST)</v>
          </cell>
          <cell r="B348">
            <v>0</v>
          </cell>
          <cell r="C348">
            <v>145339.39000000001</v>
          </cell>
          <cell r="D348">
            <v>200</v>
          </cell>
          <cell r="E348">
            <v>145139.39000000001</v>
          </cell>
          <cell r="G348">
            <v>145139.39000000001</v>
          </cell>
        </row>
        <row r="349">
          <cell r="A349" t="str">
            <v>Advance Licence Fee Expense</v>
          </cell>
          <cell r="B349">
            <v>0</v>
          </cell>
          <cell r="C349">
            <v>26500</v>
          </cell>
          <cell r="D349">
            <v>0</v>
          </cell>
          <cell r="E349">
            <v>26500</v>
          </cell>
          <cell r="G349">
            <v>26500</v>
          </cell>
        </row>
        <row r="350">
          <cell r="A350" t="str">
            <v>Factory Expense</v>
          </cell>
          <cell r="B350">
            <v>0</v>
          </cell>
          <cell r="C350">
            <v>341749</v>
          </cell>
          <cell r="D350">
            <v>0</v>
          </cell>
          <cell r="E350">
            <v>341749</v>
          </cell>
          <cell r="G350">
            <v>341749</v>
          </cell>
        </row>
        <row r="351">
          <cell r="A351" t="str">
            <v>Labour Charges</v>
          </cell>
          <cell r="B351">
            <v>0</v>
          </cell>
          <cell r="C351">
            <v>15692281.130000001</v>
          </cell>
          <cell r="D351">
            <v>143904</v>
          </cell>
          <cell r="E351">
            <v>15548377.130000001</v>
          </cell>
          <cell r="G351">
            <v>15548377.130000001</v>
          </cell>
        </row>
        <row r="352">
          <cell r="A352" t="str">
            <v>Power Expense</v>
          </cell>
          <cell r="B352">
            <v>0</v>
          </cell>
          <cell r="C352">
            <v>12340121</v>
          </cell>
          <cell r="D352">
            <v>0</v>
          </cell>
          <cell r="E352">
            <v>12340121</v>
          </cell>
          <cell r="F352">
            <v>1322071</v>
          </cell>
          <cell r="G352">
            <v>13662192</v>
          </cell>
        </row>
        <row r="353">
          <cell r="A353" t="str">
            <v>Rent Expense - Colony</v>
          </cell>
          <cell r="B353">
            <v>0</v>
          </cell>
          <cell r="C353">
            <v>3887100</v>
          </cell>
          <cell r="D353">
            <v>0</v>
          </cell>
          <cell r="E353">
            <v>3887100</v>
          </cell>
          <cell r="G353">
            <v>3887100</v>
          </cell>
        </row>
        <row r="354">
          <cell r="A354" t="str">
            <v>Rent Expenses - Machineries</v>
          </cell>
          <cell r="B354">
            <v>0</v>
          </cell>
          <cell r="C354">
            <v>1450000</v>
          </cell>
          <cell r="D354">
            <v>0</v>
          </cell>
          <cell r="E354">
            <v>1450000</v>
          </cell>
          <cell r="G354">
            <v>1450000</v>
          </cell>
        </row>
        <row r="355">
          <cell r="A355" t="str">
            <v>Exchange Rate Difference - Creditor</v>
          </cell>
          <cell r="B355">
            <v>0</v>
          </cell>
          <cell r="C355">
            <v>313632</v>
          </cell>
          <cell r="D355">
            <v>30486.47</v>
          </cell>
          <cell r="E355">
            <v>283145.53000000003</v>
          </cell>
          <cell r="G355">
            <v>283145.53000000003</v>
          </cell>
        </row>
        <row r="356">
          <cell r="A356" t="str">
            <v>Job Charges</v>
          </cell>
          <cell r="B356">
            <v>0</v>
          </cell>
          <cell r="C356">
            <v>52727872.740000002</v>
          </cell>
          <cell r="D356">
            <v>55384.56</v>
          </cell>
          <cell r="E356">
            <v>52672488.18</v>
          </cell>
          <cell r="G356">
            <v>52672488.18</v>
          </cell>
        </row>
        <row r="357">
          <cell r="A357" t="str">
            <v>Loading &amp; Unloading Expense</v>
          </cell>
          <cell r="B357">
            <v>0</v>
          </cell>
          <cell r="C357">
            <v>181710</v>
          </cell>
          <cell r="D357">
            <v>0</v>
          </cell>
          <cell r="E357">
            <v>181710</v>
          </cell>
          <cell r="G357">
            <v>181710</v>
          </cell>
        </row>
        <row r="358">
          <cell r="A358" t="str">
            <v>Water Charges</v>
          </cell>
          <cell r="B358">
            <v>0</v>
          </cell>
          <cell r="C358">
            <v>644249</v>
          </cell>
          <cell r="D358">
            <v>96272</v>
          </cell>
          <cell r="E358">
            <v>547977</v>
          </cell>
          <cell r="G358">
            <v>547977</v>
          </cell>
        </row>
        <row r="359">
          <cell r="A359" t="str">
            <v>Repairs &amp; Maintenance Exp - Plant &amp; Machinery</v>
          </cell>
          <cell r="B359">
            <v>0</v>
          </cell>
          <cell r="C359">
            <v>1622151.85</v>
          </cell>
          <cell r="D359">
            <v>0</v>
          </cell>
          <cell r="E359">
            <v>1622151.85</v>
          </cell>
          <cell r="G359">
            <v>1622151.85</v>
          </cell>
        </row>
        <row r="360">
          <cell r="A360" t="str">
            <v>Purchase Raw Material - Direct Import</v>
          </cell>
          <cell r="B360">
            <v>0</v>
          </cell>
          <cell r="C360">
            <v>27922269.699999999</v>
          </cell>
          <cell r="D360">
            <v>0</v>
          </cell>
          <cell r="E360">
            <v>27922269.699999999</v>
          </cell>
          <cell r="G360">
            <v>27922269.699999999</v>
          </cell>
        </row>
        <row r="361">
          <cell r="A361" t="str">
            <v>Purchase Withinstate- Packing Material</v>
          </cell>
          <cell r="B361">
            <v>0</v>
          </cell>
          <cell r="C361">
            <v>3903950.5</v>
          </cell>
          <cell r="D361">
            <v>1750</v>
          </cell>
          <cell r="E361">
            <v>3902200.5</v>
          </cell>
          <cell r="G361">
            <v>3902200.5</v>
          </cell>
        </row>
        <row r="362">
          <cell r="A362" t="str">
            <v>Purchase In Transit</v>
          </cell>
          <cell r="B362">
            <v>0</v>
          </cell>
          <cell r="C362">
            <v>0</v>
          </cell>
          <cell r="D362">
            <v>36870023</v>
          </cell>
          <cell r="E362">
            <v>-36870023</v>
          </cell>
          <cell r="G362">
            <v>-36870023</v>
          </cell>
        </row>
        <row r="363">
          <cell r="A363" t="str">
            <v>Purchase Interstate - Raw Material</v>
          </cell>
          <cell r="B363">
            <v>0</v>
          </cell>
          <cell r="C363">
            <v>6530859.4000000004</v>
          </cell>
          <cell r="D363">
            <v>0</v>
          </cell>
          <cell r="E363">
            <v>6530859.4000000004</v>
          </cell>
          <cell r="G363">
            <v>6530859.4000000004</v>
          </cell>
        </row>
        <row r="364">
          <cell r="A364" t="str">
            <v>Purchase Withinstate - Raw Material</v>
          </cell>
          <cell r="B364">
            <v>0</v>
          </cell>
          <cell r="C364">
            <v>235562698.75</v>
          </cell>
          <cell r="D364">
            <v>0</v>
          </cell>
          <cell r="E364">
            <v>235562698.75</v>
          </cell>
          <cell r="G364">
            <v>235562698.75</v>
          </cell>
        </row>
        <row r="365">
          <cell r="A365" t="str">
            <v>Purchase - Urd - Stores, Spares &amp; Consumable</v>
          </cell>
          <cell r="B365">
            <v>0</v>
          </cell>
          <cell r="C365">
            <v>13513</v>
          </cell>
          <cell r="D365">
            <v>0</v>
          </cell>
          <cell r="E365">
            <v>13513</v>
          </cell>
          <cell r="G365">
            <v>13513</v>
          </cell>
        </row>
        <row r="366">
          <cell r="A366" t="str">
            <v>Purchase Interstate- Stores, Spares &amp; Consumable</v>
          </cell>
          <cell r="B366">
            <v>0</v>
          </cell>
          <cell r="C366">
            <v>4199693.8499999996</v>
          </cell>
          <cell r="D366">
            <v>0</v>
          </cell>
          <cell r="E366">
            <v>4199693.8499999996</v>
          </cell>
          <cell r="G366">
            <v>4199693.8499999996</v>
          </cell>
        </row>
        <row r="367">
          <cell r="A367" t="str">
            <v>Purchase Return - Stores, Spares &amp; Consumable</v>
          </cell>
          <cell r="B367">
            <v>0</v>
          </cell>
          <cell r="C367">
            <v>54130</v>
          </cell>
          <cell r="D367">
            <v>48300</v>
          </cell>
          <cell r="E367">
            <v>5830</v>
          </cell>
          <cell r="G367">
            <v>5830</v>
          </cell>
        </row>
        <row r="368">
          <cell r="A368" t="str">
            <v>Purchase Withinstate- Stores, Spares &amp; Consumable</v>
          </cell>
          <cell r="B368">
            <v>0</v>
          </cell>
          <cell r="C368">
            <v>6557054.3300000001</v>
          </cell>
          <cell r="D368">
            <v>0</v>
          </cell>
          <cell r="E368">
            <v>6557054.3300000001</v>
          </cell>
          <cell r="G368">
            <v>6557054.3300000001</v>
          </cell>
        </row>
        <row r="369">
          <cell r="A369" t="str">
            <v>Purchase Raw Material - High Seas</v>
          </cell>
          <cell r="B369">
            <v>0</v>
          </cell>
          <cell r="C369">
            <v>18230800</v>
          </cell>
          <cell r="D369">
            <v>0</v>
          </cell>
          <cell r="E369">
            <v>18230800</v>
          </cell>
          <cell r="G369">
            <v>18230800</v>
          </cell>
        </row>
        <row r="370">
          <cell r="A370" t="str">
            <v>Business Promotion Expense</v>
          </cell>
          <cell r="B370">
            <v>0</v>
          </cell>
          <cell r="C370">
            <v>58000</v>
          </cell>
          <cell r="D370">
            <v>0</v>
          </cell>
          <cell r="E370">
            <v>58000</v>
          </cell>
          <cell r="G370">
            <v>58000</v>
          </cell>
        </row>
        <row r="371">
          <cell r="A371" t="str">
            <v>Conveyance Expenses</v>
          </cell>
          <cell r="B371">
            <v>0</v>
          </cell>
          <cell r="C371">
            <v>103790</v>
          </cell>
          <cell r="D371">
            <v>0</v>
          </cell>
          <cell r="E371">
            <v>103790</v>
          </cell>
          <cell r="G371">
            <v>103790</v>
          </cell>
        </row>
        <row r="372">
          <cell r="A372" t="str">
            <v>Corporate social responsibility</v>
          </cell>
          <cell r="B372">
            <v>0</v>
          </cell>
          <cell r="C372">
            <v>137398</v>
          </cell>
          <cell r="D372">
            <v>0</v>
          </cell>
          <cell r="E372">
            <v>137398</v>
          </cell>
          <cell r="G372">
            <v>137398</v>
          </cell>
        </row>
        <row r="373">
          <cell r="A373" t="str">
            <v>Discount &amp; Rebate On Sale</v>
          </cell>
          <cell r="B373">
            <v>0</v>
          </cell>
          <cell r="C373">
            <v>0</v>
          </cell>
          <cell r="D373">
            <v>1.1100000000000001</v>
          </cell>
          <cell r="E373">
            <v>-1.1100000000000001</v>
          </cell>
          <cell r="G373">
            <v>-1.1100000000000001</v>
          </cell>
        </row>
        <row r="374">
          <cell r="A374" t="str">
            <v>Donation &amp; Charity A/C</v>
          </cell>
          <cell r="B374">
            <v>0</v>
          </cell>
          <cell r="C374">
            <v>100000</v>
          </cell>
          <cell r="D374">
            <v>0</v>
          </cell>
          <cell r="E374">
            <v>100000</v>
          </cell>
          <cell r="G374">
            <v>100000</v>
          </cell>
        </row>
        <row r="375">
          <cell r="A375" t="str">
            <v>Electrical Expense</v>
          </cell>
          <cell r="B375">
            <v>0</v>
          </cell>
          <cell r="C375">
            <v>10000</v>
          </cell>
          <cell r="D375">
            <v>0</v>
          </cell>
          <cell r="E375">
            <v>10000</v>
          </cell>
          <cell r="G375">
            <v>10000</v>
          </cell>
        </row>
        <row r="376">
          <cell r="A376" t="str">
            <v>House Keeping Expense</v>
          </cell>
          <cell r="B376">
            <v>0</v>
          </cell>
          <cell r="C376">
            <v>1476276.2</v>
          </cell>
          <cell r="D376">
            <v>0</v>
          </cell>
          <cell r="E376">
            <v>1476276.2</v>
          </cell>
          <cell r="G376">
            <v>1476276.2</v>
          </cell>
        </row>
        <row r="377">
          <cell r="A377" t="str">
            <v>Membership &amp; Subscription Fees</v>
          </cell>
          <cell r="B377">
            <v>0</v>
          </cell>
          <cell r="C377">
            <v>4550</v>
          </cell>
          <cell r="D377">
            <v>0</v>
          </cell>
          <cell r="E377">
            <v>4550</v>
          </cell>
          <cell r="F377">
            <v>-4550</v>
          </cell>
          <cell r="G377">
            <v>0</v>
          </cell>
        </row>
        <row r="378">
          <cell r="A378" t="str">
            <v>Miscellaneous Expense</v>
          </cell>
          <cell r="B378">
            <v>0</v>
          </cell>
          <cell r="C378">
            <v>70058</v>
          </cell>
          <cell r="D378">
            <v>0</v>
          </cell>
          <cell r="E378">
            <v>70058</v>
          </cell>
          <cell r="G378">
            <v>70058</v>
          </cell>
        </row>
        <row r="379">
          <cell r="A379" t="str">
            <v>Mobile &amp; Telephone Expense</v>
          </cell>
          <cell r="B379">
            <v>0</v>
          </cell>
          <cell r="C379">
            <v>20137</v>
          </cell>
          <cell r="D379">
            <v>0</v>
          </cell>
          <cell r="E379">
            <v>20137</v>
          </cell>
          <cell r="G379">
            <v>20137</v>
          </cell>
        </row>
        <row r="380">
          <cell r="A380" t="str">
            <v>Office Expenses</v>
          </cell>
          <cell r="B380">
            <v>0</v>
          </cell>
          <cell r="C380">
            <v>95576</v>
          </cell>
          <cell r="D380">
            <v>0</v>
          </cell>
          <cell r="E380">
            <v>95576</v>
          </cell>
          <cell r="G380">
            <v>95576</v>
          </cell>
        </row>
        <row r="381">
          <cell r="A381" t="str">
            <v>Petrol &amp; Diesel Expense - Other Vehicles</v>
          </cell>
          <cell r="B381">
            <v>0</v>
          </cell>
          <cell r="C381">
            <v>94290.2</v>
          </cell>
          <cell r="D381">
            <v>0</v>
          </cell>
          <cell r="E381">
            <v>94290.2</v>
          </cell>
          <cell r="G381">
            <v>94290.2</v>
          </cell>
        </row>
        <row r="382">
          <cell r="A382" t="str">
            <v>Postage &amp; Courier Expense</v>
          </cell>
          <cell r="B382">
            <v>0</v>
          </cell>
          <cell r="C382">
            <v>33980</v>
          </cell>
          <cell r="D382">
            <v>0</v>
          </cell>
          <cell r="E382">
            <v>33980</v>
          </cell>
          <cell r="G382">
            <v>33980</v>
          </cell>
        </row>
        <row r="383">
          <cell r="A383" t="str">
            <v>Printing &amp; Stationery Expense</v>
          </cell>
          <cell r="B383">
            <v>0</v>
          </cell>
          <cell r="C383">
            <v>130683</v>
          </cell>
          <cell r="D383">
            <v>0</v>
          </cell>
          <cell r="E383">
            <v>130683</v>
          </cell>
          <cell r="G383">
            <v>130683</v>
          </cell>
        </row>
        <row r="384">
          <cell r="A384" t="str">
            <v>Round Off</v>
          </cell>
          <cell r="B384">
            <v>0</v>
          </cell>
          <cell r="C384">
            <v>69.97</v>
          </cell>
          <cell r="D384">
            <v>57.17</v>
          </cell>
          <cell r="E384">
            <v>12.8</v>
          </cell>
          <cell r="G384">
            <v>12.8</v>
          </cell>
        </row>
        <row r="385">
          <cell r="A385" t="str">
            <v>Security Expenses</v>
          </cell>
          <cell r="B385">
            <v>0</v>
          </cell>
          <cell r="C385">
            <v>1125473</v>
          </cell>
          <cell r="D385">
            <v>287468</v>
          </cell>
          <cell r="E385">
            <v>838005</v>
          </cell>
          <cell r="G385">
            <v>838005</v>
          </cell>
        </row>
        <row r="386">
          <cell r="A386" t="str">
            <v>Travelling Expense</v>
          </cell>
          <cell r="B386">
            <v>0</v>
          </cell>
          <cell r="C386">
            <v>546813</v>
          </cell>
          <cell r="D386">
            <v>0</v>
          </cell>
          <cell r="E386">
            <v>546813</v>
          </cell>
          <cell r="G386">
            <v>546813</v>
          </cell>
        </row>
        <row r="387">
          <cell r="A387" t="str">
            <v>Xerox Expense</v>
          </cell>
          <cell r="B387">
            <v>0</v>
          </cell>
          <cell r="C387">
            <v>4500</v>
          </cell>
          <cell r="D387">
            <v>0</v>
          </cell>
          <cell r="E387">
            <v>4500</v>
          </cell>
          <cell r="G387">
            <v>4500</v>
          </cell>
        </row>
        <row r="388">
          <cell r="A388" t="str">
            <v>Repairs &amp; Maintenance Exp - Building</v>
          </cell>
          <cell r="B388">
            <v>0</v>
          </cell>
          <cell r="C388">
            <v>777961.12</v>
          </cell>
          <cell r="D388">
            <v>0</v>
          </cell>
          <cell r="E388">
            <v>777961.12</v>
          </cell>
          <cell r="G388">
            <v>777961.12</v>
          </cell>
        </row>
        <row r="389">
          <cell r="A389" t="str">
            <v>Repairs &amp; Maintenance Exp - Computer &amp; Printers</v>
          </cell>
          <cell r="B389">
            <v>0</v>
          </cell>
          <cell r="C389">
            <v>10281.36</v>
          </cell>
          <cell r="D389">
            <v>0</v>
          </cell>
          <cell r="E389">
            <v>10281.36</v>
          </cell>
          <cell r="G389">
            <v>10281.36</v>
          </cell>
        </row>
        <row r="390">
          <cell r="A390" t="str">
            <v>Repairs &amp; Maintenance Exp - Electric</v>
          </cell>
          <cell r="B390">
            <v>0</v>
          </cell>
          <cell r="C390">
            <v>53481.96</v>
          </cell>
          <cell r="D390">
            <v>0</v>
          </cell>
          <cell r="E390">
            <v>53481.96</v>
          </cell>
          <cell r="G390">
            <v>53481.96</v>
          </cell>
        </row>
        <row r="391">
          <cell r="A391" t="str">
            <v>Repairs &amp; Maintenance Exp - Motor Cars</v>
          </cell>
          <cell r="B391">
            <v>0</v>
          </cell>
          <cell r="C391">
            <v>50</v>
          </cell>
          <cell r="D391">
            <v>0</v>
          </cell>
          <cell r="E391">
            <v>50</v>
          </cell>
          <cell r="G391">
            <v>50</v>
          </cell>
        </row>
        <row r="392">
          <cell r="A392" t="str">
            <v>Repairs &amp; Maintenance Exp - Others</v>
          </cell>
          <cell r="B392">
            <v>0</v>
          </cell>
          <cell r="C392">
            <v>44688.1</v>
          </cell>
          <cell r="D392">
            <v>2110</v>
          </cell>
          <cell r="E392">
            <v>42578.1</v>
          </cell>
          <cell r="G392">
            <v>42578.1</v>
          </cell>
        </row>
        <row r="393">
          <cell r="A393" t="str">
            <v>Vehicle Hire Charges - RCM</v>
          </cell>
          <cell r="B393">
            <v>0</v>
          </cell>
          <cell r="C393">
            <v>145600</v>
          </cell>
          <cell r="D393">
            <v>0</v>
          </cell>
          <cell r="E393">
            <v>145600</v>
          </cell>
          <cell r="G393">
            <v>145600</v>
          </cell>
        </row>
        <row r="394">
          <cell r="A394" t="str">
            <v>Vehicle Hire Charges - With Gst</v>
          </cell>
          <cell r="B394">
            <v>0</v>
          </cell>
          <cell r="C394">
            <v>320000</v>
          </cell>
          <cell r="D394">
            <v>0</v>
          </cell>
          <cell r="E394">
            <v>320000</v>
          </cell>
          <cell r="G394">
            <v>320000</v>
          </cell>
        </row>
        <row r="395">
          <cell r="A395" t="str">
            <v>Depreciation Expenses</v>
          </cell>
          <cell r="B395">
            <v>0</v>
          </cell>
          <cell r="C395">
            <v>12595510.210000001</v>
          </cell>
          <cell r="D395">
            <v>0</v>
          </cell>
          <cell r="E395">
            <v>12595510.210000001</v>
          </cell>
          <cell r="G395">
            <v>12595510.210000001</v>
          </cell>
        </row>
        <row r="396">
          <cell r="A396" t="str">
            <v>Employees Benefit Expense (Esop)</v>
          </cell>
          <cell r="B396">
            <v>0</v>
          </cell>
          <cell r="C396">
            <v>60245</v>
          </cell>
          <cell r="D396">
            <v>0</v>
          </cell>
          <cell r="E396">
            <v>60245</v>
          </cell>
          <cell r="G396">
            <v>60245</v>
          </cell>
        </row>
        <row r="397">
          <cell r="A397" t="str">
            <v>P.F. Admin. Charge</v>
          </cell>
          <cell r="B397">
            <v>0</v>
          </cell>
          <cell r="C397">
            <v>93158</v>
          </cell>
          <cell r="D397">
            <v>26644</v>
          </cell>
          <cell r="E397">
            <v>66514</v>
          </cell>
          <cell r="G397">
            <v>66514</v>
          </cell>
        </row>
        <row r="398">
          <cell r="A398" t="str">
            <v>P.F. Contribution - Employer</v>
          </cell>
          <cell r="B398">
            <v>0</v>
          </cell>
          <cell r="C398">
            <v>2326749</v>
          </cell>
          <cell r="D398">
            <v>665196</v>
          </cell>
          <cell r="E398">
            <v>1661553</v>
          </cell>
          <cell r="G398">
            <v>1661553</v>
          </cell>
        </row>
        <row r="399">
          <cell r="A399" t="str">
            <v>Allowance - Books &amp; Periodicals</v>
          </cell>
          <cell r="B399">
            <v>0</v>
          </cell>
          <cell r="C399">
            <v>187196</v>
          </cell>
          <cell r="D399">
            <v>0</v>
          </cell>
          <cell r="E399">
            <v>187196</v>
          </cell>
          <cell r="G399">
            <v>187196</v>
          </cell>
        </row>
        <row r="400">
          <cell r="A400" t="str">
            <v>Allowance - Canteen</v>
          </cell>
          <cell r="B400">
            <v>0</v>
          </cell>
          <cell r="C400">
            <v>4810535.7300000004</v>
          </cell>
          <cell r="D400">
            <v>347978</v>
          </cell>
          <cell r="E400">
            <v>4462557.7300000004</v>
          </cell>
          <cell r="G400">
            <v>4462557.7300000004</v>
          </cell>
        </row>
        <row r="401">
          <cell r="A401" t="str">
            <v>Allowance - Children Education &amp; Hostel</v>
          </cell>
          <cell r="B401">
            <v>0</v>
          </cell>
          <cell r="C401">
            <v>12457</v>
          </cell>
          <cell r="D401">
            <v>0</v>
          </cell>
          <cell r="E401">
            <v>12457</v>
          </cell>
          <cell r="G401">
            <v>12457</v>
          </cell>
        </row>
        <row r="402">
          <cell r="A402" t="str">
            <v>Allowance - Conveyance</v>
          </cell>
          <cell r="B402">
            <v>0</v>
          </cell>
          <cell r="C402">
            <v>600</v>
          </cell>
          <cell r="D402">
            <v>0</v>
          </cell>
          <cell r="E402">
            <v>600</v>
          </cell>
          <cell r="G402">
            <v>600</v>
          </cell>
        </row>
        <row r="403">
          <cell r="A403" t="str">
            <v>Allowance - House Rent</v>
          </cell>
          <cell r="B403">
            <v>0</v>
          </cell>
          <cell r="C403">
            <v>9980884</v>
          </cell>
          <cell r="D403">
            <v>0</v>
          </cell>
          <cell r="E403">
            <v>9980884</v>
          </cell>
          <cell r="G403">
            <v>9980884</v>
          </cell>
        </row>
        <row r="404">
          <cell r="A404" t="str">
            <v>Allowance - Leave Travels</v>
          </cell>
          <cell r="B404">
            <v>0</v>
          </cell>
          <cell r="C404">
            <v>884620</v>
          </cell>
          <cell r="D404">
            <v>0</v>
          </cell>
          <cell r="E404">
            <v>884620</v>
          </cell>
          <cell r="G404">
            <v>884620</v>
          </cell>
        </row>
        <row r="405">
          <cell r="A405" t="str">
            <v>Allowance - Medical</v>
          </cell>
          <cell r="B405">
            <v>0</v>
          </cell>
          <cell r="C405">
            <v>410765</v>
          </cell>
          <cell r="D405">
            <v>0</v>
          </cell>
          <cell r="E405">
            <v>410765</v>
          </cell>
          <cell r="G405">
            <v>410765</v>
          </cell>
        </row>
        <row r="406">
          <cell r="A406" t="str">
            <v>Allowance - Other</v>
          </cell>
          <cell r="B406">
            <v>0</v>
          </cell>
          <cell r="C406">
            <v>470369</v>
          </cell>
          <cell r="D406">
            <v>0</v>
          </cell>
          <cell r="E406">
            <v>470369</v>
          </cell>
          <cell r="G406">
            <v>470369</v>
          </cell>
        </row>
        <row r="407">
          <cell r="A407" t="str">
            <v>Allowance - Special</v>
          </cell>
          <cell r="B407">
            <v>0</v>
          </cell>
          <cell r="C407">
            <v>880440</v>
          </cell>
          <cell r="D407">
            <v>0</v>
          </cell>
          <cell r="E407">
            <v>880440</v>
          </cell>
          <cell r="G407">
            <v>880440</v>
          </cell>
        </row>
        <row r="408">
          <cell r="A408" t="str">
            <v>Allowance - Transport</v>
          </cell>
          <cell r="B408">
            <v>0</v>
          </cell>
          <cell r="C408">
            <v>299240</v>
          </cell>
          <cell r="D408">
            <v>0</v>
          </cell>
          <cell r="E408">
            <v>299240</v>
          </cell>
          <cell r="G408">
            <v>299240</v>
          </cell>
        </row>
        <row r="409">
          <cell r="A409" t="str">
            <v>Allowance - Uniform / Attire</v>
          </cell>
          <cell r="B409">
            <v>0</v>
          </cell>
          <cell r="C409">
            <v>924371</v>
          </cell>
          <cell r="D409">
            <v>0</v>
          </cell>
          <cell r="E409">
            <v>924371</v>
          </cell>
          <cell r="G409">
            <v>924371</v>
          </cell>
        </row>
        <row r="410">
          <cell r="A410" t="str">
            <v>Allowance - Vehicle Maintenance</v>
          </cell>
          <cell r="B410">
            <v>0</v>
          </cell>
          <cell r="C410">
            <v>20384</v>
          </cell>
          <cell r="D410">
            <v>0</v>
          </cell>
          <cell r="E410">
            <v>20384</v>
          </cell>
          <cell r="G410">
            <v>20384</v>
          </cell>
        </row>
        <row r="411">
          <cell r="A411" t="str">
            <v>Allowance - Washing</v>
          </cell>
          <cell r="B411">
            <v>0</v>
          </cell>
          <cell r="C411">
            <v>3491391.57</v>
          </cell>
          <cell r="D411">
            <v>0</v>
          </cell>
          <cell r="E411">
            <v>3491391.57</v>
          </cell>
          <cell r="G411">
            <v>3491391.57</v>
          </cell>
        </row>
        <row r="412">
          <cell r="A412" t="str">
            <v>Att. Bonus (Salary Part)</v>
          </cell>
          <cell r="B412">
            <v>0</v>
          </cell>
          <cell r="C412">
            <v>297150</v>
          </cell>
          <cell r="D412">
            <v>0</v>
          </cell>
          <cell r="E412">
            <v>297150</v>
          </cell>
          <cell r="G412">
            <v>297150</v>
          </cell>
        </row>
        <row r="413">
          <cell r="A413" t="str">
            <v>Employers Contribution to ESI</v>
          </cell>
          <cell r="B413">
            <v>0</v>
          </cell>
          <cell r="C413">
            <v>1110240</v>
          </cell>
          <cell r="D413">
            <v>321950</v>
          </cell>
          <cell r="E413">
            <v>788290</v>
          </cell>
          <cell r="F413">
            <v>289024</v>
          </cell>
          <cell r="G413">
            <v>1077314</v>
          </cell>
        </row>
        <row r="414">
          <cell r="A414" t="str">
            <v>Gratuity Expense</v>
          </cell>
          <cell r="B414">
            <v>0</v>
          </cell>
          <cell r="C414">
            <v>923585</v>
          </cell>
          <cell r="D414">
            <v>0</v>
          </cell>
          <cell r="E414">
            <v>923585</v>
          </cell>
          <cell r="G414">
            <v>923585</v>
          </cell>
        </row>
        <row r="415">
          <cell r="A415" t="str">
            <v>Incentive Expense - Attendence</v>
          </cell>
          <cell r="B415">
            <v>0</v>
          </cell>
          <cell r="C415">
            <v>1735919</v>
          </cell>
          <cell r="D415">
            <v>0</v>
          </cell>
          <cell r="E415">
            <v>1735919</v>
          </cell>
          <cell r="G415">
            <v>1735919</v>
          </cell>
        </row>
        <row r="416">
          <cell r="A416" t="str">
            <v>Incentive Expense - Production</v>
          </cell>
          <cell r="B416">
            <v>0</v>
          </cell>
          <cell r="C416">
            <v>5039456</v>
          </cell>
          <cell r="D416">
            <v>0</v>
          </cell>
          <cell r="E416">
            <v>5039456</v>
          </cell>
          <cell r="G416">
            <v>5039456</v>
          </cell>
        </row>
        <row r="417">
          <cell r="A417" t="str">
            <v>Other Deduction</v>
          </cell>
          <cell r="B417">
            <v>0</v>
          </cell>
          <cell r="C417">
            <v>0</v>
          </cell>
          <cell r="D417">
            <v>102409</v>
          </cell>
          <cell r="E417">
            <v>-102409</v>
          </cell>
          <cell r="G417">
            <v>-102409</v>
          </cell>
        </row>
        <row r="418">
          <cell r="A418" t="str">
            <v>Salaries Expense</v>
          </cell>
          <cell r="B418">
            <v>0</v>
          </cell>
          <cell r="C418">
            <v>15507686</v>
          </cell>
          <cell r="D418">
            <v>0</v>
          </cell>
          <cell r="E418">
            <v>15507686</v>
          </cell>
          <cell r="G418">
            <v>15507686</v>
          </cell>
        </row>
        <row r="419">
          <cell r="A419" t="str">
            <v>Salary - Arrears</v>
          </cell>
          <cell r="B419">
            <v>0</v>
          </cell>
          <cell r="C419">
            <v>341631</v>
          </cell>
          <cell r="D419">
            <v>0</v>
          </cell>
          <cell r="E419">
            <v>341631</v>
          </cell>
          <cell r="G419">
            <v>341631</v>
          </cell>
        </row>
        <row r="420">
          <cell r="A420" t="str">
            <v>Salary - Over Time</v>
          </cell>
          <cell r="B420">
            <v>0</v>
          </cell>
          <cell r="C420">
            <v>1238551.5</v>
          </cell>
          <cell r="D420">
            <v>0</v>
          </cell>
          <cell r="E420">
            <v>1238551.5</v>
          </cell>
          <cell r="G420">
            <v>1238551.5</v>
          </cell>
        </row>
        <row r="421">
          <cell r="A421" t="str">
            <v>Canteen Expense - Factory</v>
          </cell>
          <cell r="B421">
            <v>0</v>
          </cell>
          <cell r="C421">
            <v>1064984.24</v>
          </cell>
          <cell r="D421">
            <v>177135</v>
          </cell>
          <cell r="E421">
            <v>887849.24</v>
          </cell>
          <cell r="G421">
            <v>887849.24</v>
          </cell>
        </row>
        <row r="422">
          <cell r="A422" t="str">
            <v>Canteen Expense - Office</v>
          </cell>
          <cell r="B422">
            <v>0</v>
          </cell>
          <cell r="C422">
            <v>480</v>
          </cell>
          <cell r="D422">
            <v>0</v>
          </cell>
          <cell r="E422">
            <v>480</v>
          </cell>
          <cell r="G422">
            <v>480</v>
          </cell>
        </row>
        <row r="423">
          <cell r="A423" t="str">
            <v>Medical Expense</v>
          </cell>
          <cell r="B423">
            <v>0</v>
          </cell>
          <cell r="C423">
            <v>76454</v>
          </cell>
          <cell r="D423">
            <v>0</v>
          </cell>
          <cell r="E423">
            <v>76454</v>
          </cell>
          <cell r="G423">
            <v>76454</v>
          </cell>
        </row>
        <row r="424">
          <cell r="A424" t="str">
            <v>Bank Charges -  Export Collection</v>
          </cell>
          <cell r="B424">
            <v>0</v>
          </cell>
          <cell r="C424">
            <v>676676.76</v>
          </cell>
          <cell r="D424">
            <v>1669.95</v>
          </cell>
          <cell r="E424">
            <v>675006.81</v>
          </cell>
          <cell r="G424">
            <v>675006.81</v>
          </cell>
        </row>
        <row r="425">
          <cell r="A425" t="str">
            <v>Bank Charges -  Inspection</v>
          </cell>
          <cell r="B425">
            <v>0</v>
          </cell>
          <cell r="C425">
            <v>29500</v>
          </cell>
          <cell r="D425">
            <v>0</v>
          </cell>
          <cell r="E425">
            <v>29500</v>
          </cell>
          <cell r="G425">
            <v>29500</v>
          </cell>
        </row>
        <row r="426">
          <cell r="A426" t="str">
            <v>Bank Charges - Export</v>
          </cell>
          <cell r="B426">
            <v>0</v>
          </cell>
          <cell r="C426">
            <v>11254.8</v>
          </cell>
          <cell r="D426">
            <v>0</v>
          </cell>
          <cell r="E426">
            <v>11254.8</v>
          </cell>
          <cell r="G426">
            <v>11254.8</v>
          </cell>
        </row>
        <row r="427">
          <cell r="A427" t="str">
            <v>Bank Charges - Export LC Advising</v>
          </cell>
          <cell r="B427">
            <v>0</v>
          </cell>
          <cell r="C427">
            <v>2360</v>
          </cell>
          <cell r="D427">
            <v>0</v>
          </cell>
          <cell r="E427">
            <v>2360</v>
          </cell>
          <cell r="G427">
            <v>2360</v>
          </cell>
        </row>
        <row r="428">
          <cell r="A428" t="str">
            <v>Bank Charges - Import</v>
          </cell>
          <cell r="B428">
            <v>0</v>
          </cell>
          <cell r="C428">
            <v>76282.12</v>
          </cell>
          <cell r="D428">
            <v>0</v>
          </cell>
          <cell r="E428">
            <v>76282.12</v>
          </cell>
          <cell r="G428">
            <v>76282.12</v>
          </cell>
        </row>
        <row r="429">
          <cell r="A429" t="str">
            <v>Bank Charges - LC</v>
          </cell>
          <cell r="B429">
            <v>0</v>
          </cell>
          <cell r="C429">
            <v>2920</v>
          </cell>
          <cell r="D429">
            <v>0</v>
          </cell>
          <cell r="E429">
            <v>2920</v>
          </cell>
          <cell r="G429">
            <v>2920</v>
          </cell>
        </row>
        <row r="430">
          <cell r="A430" t="str">
            <v>Bank Charges - Postage &amp; Swift</v>
          </cell>
          <cell r="B430">
            <v>0</v>
          </cell>
          <cell r="C430">
            <v>6500</v>
          </cell>
          <cell r="D430">
            <v>0</v>
          </cell>
          <cell r="E430">
            <v>6500</v>
          </cell>
          <cell r="G430">
            <v>6500</v>
          </cell>
        </row>
        <row r="431">
          <cell r="A431" t="str">
            <v>Bank Charges - Processing Fees</v>
          </cell>
          <cell r="B431">
            <v>0</v>
          </cell>
          <cell r="C431">
            <v>276710</v>
          </cell>
          <cell r="D431">
            <v>0</v>
          </cell>
          <cell r="E431">
            <v>276710</v>
          </cell>
          <cell r="G431">
            <v>276710</v>
          </cell>
        </row>
        <row r="432">
          <cell r="A432" t="str">
            <v>Bank Charges- Others</v>
          </cell>
          <cell r="B432">
            <v>0</v>
          </cell>
          <cell r="C432">
            <v>1094172.76</v>
          </cell>
          <cell r="D432">
            <v>708677.28</v>
          </cell>
          <cell r="E432">
            <v>385495.48</v>
          </cell>
          <cell r="G432">
            <v>385495.48</v>
          </cell>
        </row>
        <row r="433">
          <cell r="A433" t="str">
            <v>Exchange Rate Difference - Debtors</v>
          </cell>
          <cell r="B433">
            <v>0</v>
          </cell>
          <cell r="C433">
            <v>25347838.460000001</v>
          </cell>
          <cell r="D433">
            <v>26652179</v>
          </cell>
          <cell r="E433">
            <v>-1304340.54</v>
          </cell>
          <cell r="F433">
            <v>-25161872</v>
          </cell>
          <cell r="G433">
            <v>-26466212.539999999</v>
          </cell>
        </row>
        <row r="434">
          <cell r="A434" t="str">
            <v>Exchange Rate Difference - Finance</v>
          </cell>
          <cell r="B434">
            <v>0</v>
          </cell>
          <cell r="C434">
            <v>39959.89</v>
          </cell>
          <cell r="D434">
            <v>1928685.71</v>
          </cell>
          <cell r="E434">
            <v>-1888725.82</v>
          </cell>
          <cell r="G434">
            <v>-1888725.82</v>
          </cell>
        </row>
        <row r="435">
          <cell r="A435" t="str">
            <v>Interest Expense -  Term Loan</v>
          </cell>
          <cell r="B435">
            <v>0</v>
          </cell>
          <cell r="C435">
            <v>6299488</v>
          </cell>
          <cell r="D435">
            <v>33543</v>
          </cell>
          <cell r="E435">
            <v>6265945</v>
          </cell>
          <cell r="G435">
            <v>6265945</v>
          </cell>
        </row>
        <row r="436">
          <cell r="A436" t="str">
            <v>Factoring Charges</v>
          </cell>
          <cell r="B436">
            <v>0</v>
          </cell>
          <cell r="C436">
            <v>522756.91</v>
          </cell>
          <cell r="D436">
            <v>0</v>
          </cell>
          <cell r="E436">
            <v>522756.91</v>
          </cell>
          <cell r="G436">
            <v>522756.91</v>
          </cell>
        </row>
        <row r="437">
          <cell r="A437" t="str">
            <v>Interest Expense - EPC</v>
          </cell>
          <cell r="B437">
            <v>0</v>
          </cell>
          <cell r="C437">
            <v>7040240.2300000004</v>
          </cell>
          <cell r="D437">
            <v>300091.02</v>
          </cell>
          <cell r="E437">
            <v>6740149.21</v>
          </cell>
          <cell r="G437">
            <v>6740149.21</v>
          </cell>
        </row>
        <row r="438">
          <cell r="A438" t="str">
            <v>Interest Expense - Factoring</v>
          </cell>
          <cell r="B438">
            <v>0</v>
          </cell>
          <cell r="C438">
            <v>1879800.78</v>
          </cell>
          <cell r="D438">
            <v>1241108.68</v>
          </cell>
          <cell r="E438">
            <v>638692.1</v>
          </cell>
          <cell r="G438">
            <v>638692.1</v>
          </cell>
        </row>
        <row r="439">
          <cell r="A439" t="str">
            <v>Interest Expense - Late Payment</v>
          </cell>
          <cell r="B439">
            <v>0</v>
          </cell>
          <cell r="C439">
            <v>31469</v>
          </cell>
          <cell r="D439">
            <v>0</v>
          </cell>
          <cell r="E439">
            <v>31469</v>
          </cell>
          <cell r="G439">
            <v>31469</v>
          </cell>
        </row>
        <row r="440">
          <cell r="A440" t="str">
            <v>Interest Expense - PCFC</v>
          </cell>
          <cell r="B440">
            <v>0</v>
          </cell>
          <cell r="C440">
            <v>3096745.43</v>
          </cell>
          <cell r="D440">
            <v>0</v>
          </cell>
          <cell r="E440">
            <v>3096745.43</v>
          </cell>
          <cell r="G440">
            <v>3096745.43</v>
          </cell>
        </row>
        <row r="441">
          <cell r="A441" t="str">
            <v>Interest Expense - Working Capital</v>
          </cell>
          <cell r="B441">
            <v>0</v>
          </cell>
          <cell r="C441">
            <v>3086716.16</v>
          </cell>
          <cell r="D441">
            <v>19515</v>
          </cell>
          <cell r="E441">
            <v>3067201.16</v>
          </cell>
          <cell r="G441">
            <v>3067201.16</v>
          </cell>
        </row>
        <row r="442">
          <cell r="A442" t="str">
            <v>Interest Expense - Other</v>
          </cell>
          <cell r="B442">
            <v>0</v>
          </cell>
          <cell r="C442">
            <v>560582.78</v>
          </cell>
          <cell r="D442">
            <v>56823</v>
          </cell>
          <cell r="E442">
            <v>503759.78</v>
          </cell>
          <cell r="G442">
            <v>503759.78</v>
          </cell>
        </row>
        <row r="443">
          <cell r="A443" t="str">
            <v>Audit Fees - Statutory Audit</v>
          </cell>
          <cell r="B443">
            <v>0</v>
          </cell>
          <cell r="C443">
            <v>625000</v>
          </cell>
          <cell r="D443">
            <v>500000</v>
          </cell>
          <cell r="E443">
            <v>125000</v>
          </cell>
          <cell r="F443">
            <v>500000</v>
          </cell>
          <cell r="G443">
            <v>625000</v>
          </cell>
        </row>
        <row r="444">
          <cell r="A444" t="str">
            <v>GST Expenses</v>
          </cell>
          <cell r="B444">
            <v>0</v>
          </cell>
          <cell r="C444">
            <v>271.67</v>
          </cell>
          <cell r="D444">
            <v>0</v>
          </cell>
          <cell r="E444">
            <v>271.67</v>
          </cell>
          <cell r="G444">
            <v>271.67</v>
          </cell>
        </row>
        <row r="445">
          <cell r="A445" t="str">
            <v>Interest On GST</v>
          </cell>
          <cell r="B445">
            <v>0</v>
          </cell>
          <cell r="C445">
            <v>370</v>
          </cell>
          <cell r="D445">
            <v>0</v>
          </cell>
          <cell r="E445">
            <v>370</v>
          </cell>
          <cell r="G445">
            <v>370</v>
          </cell>
        </row>
        <row r="446">
          <cell r="A446" t="str">
            <v>Interest On TDS</v>
          </cell>
          <cell r="B446">
            <v>0</v>
          </cell>
          <cell r="C446">
            <v>890</v>
          </cell>
          <cell r="D446">
            <v>0</v>
          </cell>
          <cell r="E446">
            <v>890</v>
          </cell>
          <cell r="G446">
            <v>890</v>
          </cell>
        </row>
        <row r="447">
          <cell r="A447" t="str">
            <v>Stamp Duty Expense</v>
          </cell>
          <cell r="B447">
            <v>0</v>
          </cell>
          <cell r="C447">
            <v>2324615</v>
          </cell>
          <cell r="D447">
            <v>0</v>
          </cell>
          <cell r="E447">
            <v>2324615</v>
          </cell>
          <cell r="G447">
            <v>2324615</v>
          </cell>
        </row>
        <row r="448">
          <cell r="A448" t="str">
            <v>Insurance Expenses - Other</v>
          </cell>
          <cell r="B448">
            <v>0</v>
          </cell>
          <cell r="C448">
            <v>392518.8</v>
          </cell>
          <cell r="D448">
            <v>0</v>
          </cell>
          <cell r="E448">
            <v>392518.8</v>
          </cell>
          <cell r="G448">
            <v>392518.8</v>
          </cell>
        </row>
        <row r="449">
          <cell r="A449" t="str">
            <v>Advocate Fees Expense</v>
          </cell>
          <cell r="B449">
            <v>0</v>
          </cell>
          <cell r="C449">
            <v>4000</v>
          </cell>
          <cell r="D449">
            <v>0</v>
          </cell>
          <cell r="E449">
            <v>4000</v>
          </cell>
          <cell r="G449">
            <v>4000</v>
          </cell>
        </row>
        <row r="450">
          <cell r="A450" t="str">
            <v>Legal Expense</v>
          </cell>
          <cell r="B450">
            <v>0</v>
          </cell>
          <cell r="C450">
            <v>6320</v>
          </cell>
          <cell r="D450">
            <v>0</v>
          </cell>
          <cell r="E450">
            <v>6320</v>
          </cell>
          <cell r="G450">
            <v>6320</v>
          </cell>
        </row>
        <row r="451">
          <cell r="A451" t="str">
            <v>Professional &amp; Consultancy Fees</v>
          </cell>
          <cell r="B451">
            <v>0</v>
          </cell>
          <cell r="C451">
            <v>1449403.97</v>
          </cell>
          <cell r="D451">
            <v>243750</v>
          </cell>
          <cell r="E451">
            <v>1205653.97</v>
          </cell>
          <cell r="G451">
            <v>1205653.97</v>
          </cell>
        </row>
        <row r="452">
          <cell r="A452" t="str">
            <v>Balance Written Off Expense</v>
          </cell>
          <cell r="B452">
            <v>0</v>
          </cell>
          <cell r="C452">
            <v>0.85</v>
          </cell>
          <cell r="D452">
            <v>10.89</v>
          </cell>
          <cell r="E452">
            <v>-10.039999999999999</v>
          </cell>
          <cell r="G452">
            <v>-10.039999999999999</v>
          </cell>
        </row>
        <row r="453">
          <cell r="A453" t="str">
            <v>C &amp; F  Charges - Export</v>
          </cell>
          <cell r="B453">
            <v>0</v>
          </cell>
          <cell r="C453">
            <v>5404414.5999999996</v>
          </cell>
          <cell r="D453">
            <v>4081.36</v>
          </cell>
          <cell r="E453">
            <v>5400333.2400000002</v>
          </cell>
          <cell r="G453">
            <v>5400333.2400000002</v>
          </cell>
        </row>
        <row r="454">
          <cell r="A454" t="str">
            <v>Discount &amp; Rate Difference - Sales</v>
          </cell>
          <cell r="B454">
            <v>0</v>
          </cell>
          <cell r="C454">
            <v>68300.75</v>
          </cell>
          <cell r="D454">
            <v>1.25</v>
          </cell>
          <cell r="E454">
            <v>68299.5</v>
          </cell>
          <cell r="G454">
            <v>68299.5</v>
          </cell>
        </row>
        <row r="455">
          <cell r="A455" t="str">
            <v>Discount -Early Payment - Sales</v>
          </cell>
          <cell r="B455">
            <v>0</v>
          </cell>
          <cell r="C455">
            <v>16073.88</v>
          </cell>
          <cell r="D455">
            <v>0</v>
          </cell>
          <cell r="E455">
            <v>16073.88</v>
          </cell>
          <cell r="G455">
            <v>16073.88</v>
          </cell>
        </row>
        <row r="456">
          <cell r="A456" t="str">
            <v>Export related Certification Charges</v>
          </cell>
          <cell r="B456">
            <v>0</v>
          </cell>
          <cell r="C456">
            <v>3927.6</v>
          </cell>
          <cell r="D456">
            <v>708</v>
          </cell>
          <cell r="E456">
            <v>3219.6</v>
          </cell>
          <cell r="G456">
            <v>3219.6</v>
          </cell>
        </row>
        <row r="457">
          <cell r="A457" t="str">
            <v>Freight Outward Expense  - Export</v>
          </cell>
          <cell r="B457">
            <v>0</v>
          </cell>
          <cell r="C457">
            <v>1143710</v>
          </cell>
          <cell r="D457">
            <v>15711838.41</v>
          </cell>
          <cell r="E457">
            <v>-14568128.41</v>
          </cell>
          <cell r="F457">
            <v>-10733989</v>
          </cell>
          <cell r="G457">
            <v>-3834139.41</v>
          </cell>
        </row>
        <row r="458">
          <cell r="A458" t="str">
            <v>Freight Outward Expense (RCM)</v>
          </cell>
          <cell r="B458">
            <v>0</v>
          </cell>
          <cell r="C458">
            <v>1380000</v>
          </cell>
          <cell r="D458">
            <v>0</v>
          </cell>
          <cell r="E458">
            <v>1380000</v>
          </cell>
          <cell r="G458">
            <v>1380000</v>
          </cell>
        </row>
        <row r="459">
          <cell r="A459" t="str">
            <v>Freight Outward Expense (With GST)</v>
          </cell>
          <cell r="B459">
            <v>0</v>
          </cell>
          <cell r="C459">
            <v>4196295.8899999997</v>
          </cell>
          <cell r="D459">
            <v>11500</v>
          </cell>
          <cell r="E459">
            <v>4184795.89</v>
          </cell>
          <cell r="G459">
            <v>4184795.89</v>
          </cell>
        </row>
        <row r="460">
          <cell r="A460" t="str">
            <v>Fumigation Charges</v>
          </cell>
          <cell r="B460">
            <v>0</v>
          </cell>
          <cell r="C460">
            <v>138600</v>
          </cell>
          <cell r="D460">
            <v>0</v>
          </cell>
          <cell r="E460">
            <v>138600</v>
          </cell>
          <cell r="G460">
            <v>138600</v>
          </cell>
        </row>
        <row r="461">
          <cell r="A461" t="str">
            <v>Ground Rent Charges</v>
          </cell>
          <cell r="B461">
            <v>0</v>
          </cell>
          <cell r="C461">
            <v>29703.9</v>
          </cell>
          <cell r="D461">
            <v>0</v>
          </cell>
          <cell r="E461">
            <v>29703.9</v>
          </cell>
          <cell r="G461">
            <v>29703.9</v>
          </cell>
        </row>
        <row r="462">
          <cell r="A462" t="str">
            <v>Insurance Expense - Ecgc - Pc</v>
          </cell>
          <cell r="B462">
            <v>0</v>
          </cell>
          <cell r="C462">
            <v>2495918.61</v>
          </cell>
          <cell r="D462">
            <v>0</v>
          </cell>
          <cell r="E462">
            <v>2495918.61</v>
          </cell>
          <cell r="G462">
            <v>2495918.61</v>
          </cell>
        </row>
        <row r="463">
          <cell r="A463" t="str">
            <v>Insurance Expenses - Marine</v>
          </cell>
          <cell r="B463">
            <v>0</v>
          </cell>
          <cell r="C463">
            <v>0</v>
          </cell>
          <cell r="D463">
            <v>48754.82</v>
          </cell>
          <cell r="E463">
            <v>-48754.82</v>
          </cell>
          <cell r="G463">
            <v>-48754.82</v>
          </cell>
        </row>
        <row r="464">
          <cell r="A464" t="str">
            <v>Sales - Interstate - Manufactured Goods</v>
          </cell>
          <cell r="B464">
            <v>0</v>
          </cell>
          <cell r="C464">
            <v>0</v>
          </cell>
          <cell r="D464">
            <v>10935409</v>
          </cell>
          <cell r="E464">
            <v>-10935409</v>
          </cell>
          <cell r="G464">
            <v>-10935409</v>
          </cell>
        </row>
        <row r="465">
          <cell r="A465" t="str">
            <v>Sales - Within State  Manufactured Goods</v>
          </cell>
          <cell r="B465">
            <v>0</v>
          </cell>
          <cell r="C465">
            <v>478700.42</v>
          </cell>
          <cell r="D465">
            <v>226305097.66999999</v>
          </cell>
          <cell r="E465">
            <v>-225826397.25</v>
          </cell>
          <cell r="G465">
            <v>-225826397.25</v>
          </cell>
        </row>
        <row r="466">
          <cell r="A466" t="str">
            <v>Sales - Direct Export - Mfg - U/B</v>
          </cell>
          <cell r="B466">
            <v>0</v>
          </cell>
          <cell r="C466">
            <v>0</v>
          </cell>
          <cell r="D466">
            <v>190377922.99000001</v>
          </cell>
          <cell r="E466">
            <v>-190377922.99000001</v>
          </cell>
          <cell r="G466">
            <v>-190377922.99000001</v>
          </cell>
        </row>
        <row r="467">
          <cell r="A467" t="str">
            <v>Sales - Direct Export - Mfg - U/R</v>
          </cell>
          <cell r="B467">
            <v>0</v>
          </cell>
          <cell r="C467">
            <v>0</v>
          </cell>
          <cell r="D467">
            <v>129782724.94</v>
          </cell>
          <cell r="E467">
            <v>-129782724.94</v>
          </cell>
          <cell r="G467">
            <v>-129782724.94</v>
          </cell>
        </row>
        <row r="468">
          <cell r="A468" t="str">
            <v>Job Work Income</v>
          </cell>
          <cell r="B468">
            <v>0</v>
          </cell>
          <cell r="C468">
            <v>0</v>
          </cell>
          <cell r="D468">
            <v>22611020.120000001</v>
          </cell>
          <cell r="E468">
            <v>-22611020.120000001</v>
          </cell>
          <cell r="G468">
            <v>-22611020.120000001</v>
          </cell>
        </row>
        <row r="469">
          <cell r="A469" t="str">
            <v>Rent Income</v>
          </cell>
          <cell r="B469">
            <v>0</v>
          </cell>
          <cell r="C469">
            <v>200000</v>
          </cell>
          <cell r="D469">
            <v>0</v>
          </cell>
          <cell r="E469">
            <v>200000</v>
          </cell>
          <cell r="G469">
            <v>200000</v>
          </cell>
        </row>
        <row r="470">
          <cell r="A470" t="str">
            <v>Sales - Kasez - Trading - U/B</v>
          </cell>
          <cell r="B470">
            <v>0</v>
          </cell>
          <cell r="C470">
            <v>0</v>
          </cell>
          <cell r="D470">
            <v>150900</v>
          </cell>
          <cell r="E470">
            <v>-150900</v>
          </cell>
          <cell r="G470">
            <v>-150900</v>
          </cell>
        </row>
        <row r="471">
          <cell r="A471" t="str">
            <v>Sales - Interstate - Traded Goods</v>
          </cell>
          <cell r="B471">
            <v>0</v>
          </cell>
          <cell r="C471">
            <v>0</v>
          </cell>
          <cell r="D471">
            <v>70944</v>
          </cell>
          <cell r="E471">
            <v>-70944</v>
          </cell>
          <cell r="G471">
            <v>-70944</v>
          </cell>
        </row>
        <row r="472">
          <cell r="A472" t="str">
            <v>Sales - Within State - Traded Goods</v>
          </cell>
          <cell r="B472">
            <v>0</v>
          </cell>
          <cell r="C472">
            <v>0</v>
          </cell>
          <cell r="D472">
            <v>5021576.08</v>
          </cell>
          <cell r="E472">
            <v>-5021576.08</v>
          </cell>
          <cell r="G472">
            <v>-5021576.08</v>
          </cell>
        </row>
        <row r="473">
          <cell r="A473" t="str">
            <v>Sales - Waste &amp; Scrape</v>
          </cell>
          <cell r="B473">
            <v>0</v>
          </cell>
          <cell r="C473">
            <v>0</v>
          </cell>
          <cell r="D473">
            <v>2381880</v>
          </cell>
          <cell r="E473">
            <v>-2381880</v>
          </cell>
          <cell r="G473">
            <v>-2381880</v>
          </cell>
        </row>
        <row r="474">
          <cell r="A474" t="str">
            <v>Miscellaneous Income</v>
          </cell>
          <cell r="B474">
            <v>0</v>
          </cell>
          <cell r="C474">
            <v>8.6300000000000008</v>
          </cell>
          <cell r="D474">
            <v>0</v>
          </cell>
          <cell r="E474">
            <v>8.6300000000000008</v>
          </cell>
          <cell r="G474">
            <v>8.6300000000000008</v>
          </cell>
        </row>
        <row r="475">
          <cell r="A475" t="str">
            <v>Profit Or Loss On Sale Of Fixed Assets</v>
          </cell>
          <cell r="B475">
            <v>0</v>
          </cell>
          <cell r="C475">
            <v>483101</v>
          </cell>
          <cell r="D475">
            <v>170029.59</v>
          </cell>
          <cell r="E475">
            <v>313071.40999999997</v>
          </cell>
          <cell r="G475">
            <v>313071.40999999997</v>
          </cell>
        </row>
        <row r="476">
          <cell r="A476" t="str">
            <v>Balance Written Back Income</v>
          </cell>
          <cell r="B476">
            <v>0</v>
          </cell>
          <cell r="C476">
            <v>0</v>
          </cell>
          <cell r="D476">
            <v>554332.07999999996</v>
          </cell>
          <cell r="E476">
            <v>-554332.07999999996</v>
          </cell>
          <cell r="G476">
            <v>-554332.07999999996</v>
          </cell>
        </row>
        <row r="477">
          <cell r="A477" t="str">
            <v>Deffered Tax Liability A/c</v>
          </cell>
          <cell r="B477">
            <v>-12205204.52</v>
          </cell>
          <cell r="C477">
            <v>0</v>
          </cell>
          <cell r="D477">
            <v>0</v>
          </cell>
          <cell r="E477">
            <v>-12205204.52</v>
          </cell>
          <cell r="G477">
            <v>-12205204.52</v>
          </cell>
        </row>
        <row r="478">
          <cell r="A478" t="str">
            <v>General Reserve</v>
          </cell>
          <cell r="B478">
            <v>-444856832.20999998</v>
          </cell>
          <cell r="C478">
            <v>0</v>
          </cell>
          <cell r="D478">
            <v>0</v>
          </cell>
          <cell r="E478">
            <v>-444856832.20999998</v>
          </cell>
          <cell r="G478">
            <v>-444856832.20999998</v>
          </cell>
        </row>
        <row r="479">
          <cell r="A479" t="str">
            <v>Share Base Payment Reserve (Esop)</v>
          </cell>
          <cell r="B479">
            <v>-1497794</v>
          </cell>
          <cell r="C479">
            <v>0</v>
          </cell>
          <cell r="D479">
            <v>60245</v>
          </cell>
          <cell r="E479">
            <v>-1558039</v>
          </cell>
          <cell r="G479">
            <v>-1558039</v>
          </cell>
        </row>
        <row r="480">
          <cell r="A480" t="str">
            <v>Share Premium</v>
          </cell>
          <cell r="B480">
            <v>-88032460</v>
          </cell>
          <cell r="C480">
            <v>0</v>
          </cell>
          <cell r="D480">
            <v>0</v>
          </cell>
          <cell r="E480">
            <v>-88032460</v>
          </cell>
          <cell r="G480">
            <v>-88032460</v>
          </cell>
        </row>
        <row r="481">
          <cell r="A481" t="str">
            <v>Paid Up Equity Share Capital</v>
          </cell>
          <cell r="B481">
            <v>-3559700</v>
          </cell>
          <cell r="C481">
            <v>0</v>
          </cell>
          <cell r="D481">
            <v>0</v>
          </cell>
          <cell r="E481">
            <v>-3559700</v>
          </cell>
          <cell r="G481">
            <v>-3559700</v>
          </cell>
        </row>
        <row r="482">
          <cell r="A482" t="str">
            <v>CGST Output A/c</v>
          </cell>
          <cell r="B482">
            <v>0</v>
          </cell>
          <cell r="C482">
            <v>22281158.5</v>
          </cell>
          <cell r="D482">
            <v>22281160.300000001</v>
          </cell>
          <cell r="E482">
            <v>-1.8</v>
          </cell>
          <cell r="G482">
            <v>-1.8</v>
          </cell>
        </row>
        <row r="483">
          <cell r="A483" t="str">
            <v>GST Payable A/c</v>
          </cell>
          <cell r="B483">
            <v>-27624138.809999999</v>
          </cell>
          <cell r="C483">
            <v>97397139</v>
          </cell>
          <cell r="D483">
            <v>69772994.760000005</v>
          </cell>
          <cell r="E483">
            <v>5.43</v>
          </cell>
          <cell r="G483">
            <v>5.43</v>
          </cell>
        </row>
        <row r="484">
          <cell r="A484" t="str">
            <v>GST RCM payable A/c</v>
          </cell>
          <cell r="B484">
            <v>-1788030.1</v>
          </cell>
          <cell r="C484">
            <v>2079720.5</v>
          </cell>
          <cell r="D484">
            <v>564946</v>
          </cell>
          <cell r="E484">
            <v>-273255.59999999998</v>
          </cell>
          <cell r="G484">
            <v>-273255.59999999998</v>
          </cell>
        </row>
        <row r="485">
          <cell r="A485" t="str">
            <v>IGST Output A/c</v>
          </cell>
          <cell r="B485">
            <v>0</v>
          </cell>
          <cell r="C485">
            <v>25330074.620000001</v>
          </cell>
          <cell r="D485">
            <v>25330074.620000001</v>
          </cell>
          <cell r="E485">
            <v>0</v>
          </cell>
          <cell r="G485">
            <v>0</v>
          </cell>
        </row>
        <row r="486">
          <cell r="A486" t="str">
            <v>SGST Output A/c</v>
          </cell>
          <cell r="B486">
            <v>0</v>
          </cell>
          <cell r="C486">
            <v>22281158.5</v>
          </cell>
          <cell r="D486">
            <v>22281160.300000001</v>
          </cell>
          <cell r="E486">
            <v>-1.8</v>
          </cell>
          <cell r="G486">
            <v>-1.8</v>
          </cell>
        </row>
        <row r="487">
          <cell r="A487" t="str">
            <v>Professional Tax Liability A/c</v>
          </cell>
          <cell r="B487">
            <v>-128600</v>
          </cell>
          <cell r="C487">
            <v>314800</v>
          </cell>
          <cell r="D487">
            <v>303000</v>
          </cell>
          <cell r="E487">
            <v>-116800</v>
          </cell>
          <cell r="G487">
            <v>-116800</v>
          </cell>
        </row>
        <row r="488">
          <cell r="A488" t="str">
            <v>TCS on Sales 20-21</v>
          </cell>
          <cell r="B488">
            <v>0</v>
          </cell>
          <cell r="C488">
            <v>0</v>
          </cell>
          <cell r="D488">
            <v>0</v>
          </cell>
          <cell r="E488">
            <v>0</v>
          </cell>
          <cell r="G488">
            <v>0</v>
          </cell>
        </row>
        <row r="489">
          <cell r="A489" t="str">
            <v>TCS On Sales 21-22</v>
          </cell>
          <cell r="B489">
            <v>-0.01</v>
          </cell>
          <cell r="C489">
            <v>0</v>
          </cell>
          <cell r="D489">
            <v>0</v>
          </cell>
          <cell r="E489">
            <v>-0.01</v>
          </cell>
          <cell r="G489">
            <v>-0.01</v>
          </cell>
        </row>
        <row r="490">
          <cell r="A490" t="str">
            <v>TCS On Sales 23-24</v>
          </cell>
          <cell r="B490">
            <v>0</v>
          </cell>
          <cell r="C490">
            <v>0</v>
          </cell>
          <cell r="D490">
            <v>0</v>
          </cell>
          <cell r="E490">
            <v>0</v>
          </cell>
          <cell r="G490">
            <v>0</v>
          </cell>
        </row>
        <row r="491">
          <cell r="A491" t="str">
            <v>Tcs On Sales 24-25</v>
          </cell>
          <cell r="B491">
            <v>0.09</v>
          </cell>
          <cell r="C491">
            <v>0</v>
          </cell>
          <cell r="D491">
            <v>0</v>
          </cell>
          <cell r="E491">
            <v>0.09</v>
          </cell>
          <cell r="G491">
            <v>0.09</v>
          </cell>
        </row>
        <row r="492">
          <cell r="A492" t="str">
            <v>Tcs On Sales 25-26</v>
          </cell>
          <cell r="B492">
            <v>-1541.53</v>
          </cell>
          <cell r="C492">
            <v>1542</v>
          </cell>
          <cell r="D492">
            <v>0</v>
          </cell>
          <cell r="E492">
            <v>0.47</v>
          </cell>
          <cell r="G492">
            <v>0.47</v>
          </cell>
        </row>
        <row r="493">
          <cell r="A493" t="str">
            <v>Tcs On Sales 26-27</v>
          </cell>
          <cell r="B493">
            <v>0</v>
          </cell>
          <cell r="C493">
            <v>8870</v>
          </cell>
          <cell r="D493">
            <v>55712.01</v>
          </cell>
          <cell r="E493">
            <v>-46842.01</v>
          </cell>
          <cell r="G493">
            <v>-46842.01</v>
          </cell>
        </row>
        <row r="494">
          <cell r="A494" t="str">
            <v>TDS -192 (Salary)</v>
          </cell>
          <cell r="B494">
            <v>-40000</v>
          </cell>
          <cell r="C494">
            <v>40000</v>
          </cell>
          <cell r="D494">
            <v>40000</v>
          </cell>
          <cell r="E494">
            <v>-40000</v>
          </cell>
          <cell r="G494">
            <v>-40000</v>
          </cell>
        </row>
        <row r="495">
          <cell r="A495" t="str">
            <v>TDS -194C (Contractor)</v>
          </cell>
          <cell r="B495">
            <v>-24187</v>
          </cell>
          <cell r="C495">
            <v>1579315</v>
          </cell>
          <cell r="D495">
            <v>1933128</v>
          </cell>
          <cell r="E495">
            <v>-378000</v>
          </cell>
          <cell r="G495">
            <v>-378000</v>
          </cell>
        </row>
        <row r="496">
          <cell r="A496" t="str">
            <v>TDS -194H (Commission)</v>
          </cell>
          <cell r="B496">
            <v>0</v>
          </cell>
          <cell r="C496">
            <v>0</v>
          </cell>
          <cell r="D496">
            <v>0</v>
          </cell>
          <cell r="E496">
            <v>0</v>
          </cell>
          <cell r="G496">
            <v>0</v>
          </cell>
        </row>
        <row r="497">
          <cell r="A497" t="str">
            <v>TDS -194I (Rent)</v>
          </cell>
          <cell r="B497">
            <v>-4000</v>
          </cell>
          <cell r="C497">
            <v>266000</v>
          </cell>
          <cell r="D497">
            <v>262000</v>
          </cell>
          <cell r="E497">
            <v>0</v>
          </cell>
          <cell r="G497">
            <v>0</v>
          </cell>
        </row>
        <row r="498">
          <cell r="A498" t="str">
            <v>TDS -194J (Professional)</v>
          </cell>
          <cell r="B498">
            <v>-6160.01</v>
          </cell>
          <cell r="C498">
            <v>176106</v>
          </cell>
          <cell r="D498">
            <v>169946</v>
          </cell>
          <cell r="E498">
            <v>-0.01</v>
          </cell>
          <cell r="G498">
            <v>-0.01</v>
          </cell>
        </row>
        <row r="499">
          <cell r="A499" t="str">
            <v>TDS -194Q (Goods)</v>
          </cell>
          <cell r="B499">
            <v>-0.01</v>
          </cell>
          <cell r="C499">
            <v>258717.09</v>
          </cell>
          <cell r="D499">
            <v>252190.07999999999</v>
          </cell>
          <cell r="E499">
            <v>6527</v>
          </cell>
          <cell r="G499">
            <v>6527</v>
          </cell>
        </row>
        <row r="500">
          <cell r="A500" t="str">
            <v>TDS Payable U/S 194</v>
          </cell>
          <cell r="B500">
            <v>-2290689.1800000002</v>
          </cell>
          <cell r="C500">
            <v>4891865</v>
          </cell>
          <cell r="D500">
            <v>4167317.68</v>
          </cell>
          <cell r="E500">
            <v>-1566141.86</v>
          </cell>
          <cell r="G500">
            <v>-1566141.86</v>
          </cell>
        </row>
        <row r="501">
          <cell r="A501" t="str">
            <v>Bonus Payable</v>
          </cell>
          <cell r="B501">
            <v>-870981</v>
          </cell>
          <cell r="C501">
            <v>0</v>
          </cell>
          <cell r="D501">
            <v>0</v>
          </cell>
          <cell r="E501">
            <v>-870981</v>
          </cell>
          <cell r="G501">
            <v>-870981</v>
          </cell>
        </row>
        <row r="502">
          <cell r="A502" t="str">
            <v>Employees Contribution to ESI</v>
          </cell>
          <cell r="B502">
            <v>-43685.8</v>
          </cell>
          <cell r="C502">
            <v>257423</v>
          </cell>
          <cell r="D502">
            <v>181807</v>
          </cell>
          <cell r="E502">
            <v>31930.2</v>
          </cell>
          <cell r="G502">
            <v>31930.2</v>
          </cell>
        </row>
        <row r="503">
          <cell r="A503" t="str">
            <v>Employees Contribution to PF - Factory</v>
          </cell>
          <cell r="B503">
            <v>-1279831.54</v>
          </cell>
          <cell r="C503">
            <v>2235808</v>
          </cell>
          <cell r="D503">
            <v>1592064</v>
          </cell>
          <cell r="E503">
            <v>-636087.54</v>
          </cell>
          <cell r="G503">
            <v>-636087.54</v>
          </cell>
        </row>
        <row r="504">
          <cell r="A504" t="str">
            <v>Full &amp; Final Settlement Payable</v>
          </cell>
          <cell r="B504">
            <v>0</v>
          </cell>
          <cell r="C504">
            <v>100163.12</v>
          </cell>
          <cell r="D504">
            <v>12490</v>
          </cell>
          <cell r="E504">
            <v>87673.12</v>
          </cell>
          <cell r="G504">
            <v>87673.12</v>
          </cell>
        </row>
        <row r="505">
          <cell r="A505" t="str">
            <v>Gratuity Payable</v>
          </cell>
          <cell r="B505">
            <v>-9060315</v>
          </cell>
          <cell r="C505">
            <v>0</v>
          </cell>
          <cell r="D505">
            <v>923585</v>
          </cell>
          <cell r="E505">
            <v>-9983900</v>
          </cell>
          <cell r="G505">
            <v>-9983900</v>
          </cell>
        </row>
        <row r="506">
          <cell r="A506" t="str">
            <v>Salary &amp; Wages Payable</v>
          </cell>
          <cell r="B506">
            <v>-31239162.649999999</v>
          </cell>
          <cell r="C506">
            <v>55135263</v>
          </cell>
          <cell r="D506">
            <v>40115968.799999997</v>
          </cell>
          <cell r="E506">
            <v>-16219868.449999999</v>
          </cell>
          <cell r="G506">
            <v>-16219868.449999999</v>
          </cell>
        </row>
        <row r="507">
          <cell r="A507" t="str">
            <v>Unpaid Salary</v>
          </cell>
          <cell r="B507">
            <v>0</v>
          </cell>
          <cell r="C507">
            <v>1363870</v>
          </cell>
          <cell r="D507">
            <v>1366140</v>
          </cell>
          <cell r="E507">
            <v>-2270</v>
          </cell>
          <cell r="G507">
            <v>-2270</v>
          </cell>
        </row>
        <row r="508">
          <cell r="A508" t="str">
            <v>Interest to MSME Vendors Payable</v>
          </cell>
          <cell r="B508">
            <v>-56823</v>
          </cell>
          <cell r="C508">
            <v>56823</v>
          </cell>
          <cell r="D508">
            <v>225302</v>
          </cell>
          <cell r="E508">
            <v>-225302</v>
          </cell>
          <cell r="G508">
            <v>-225302</v>
          </cell>
        </row>
        <row r="509">
          <cell r="A509" t="str">
            <v>Suspense A/c</v>
          </cell>
          <cell r="B509">
            <v>1</v>
          </cell>
          <cell r="C509">
            <v>0</v>
          </cell>
          <cell r="D509">
            <v>0</v>
          </cell>
          <cell r="E509">
            <v>1</v>
          </cell>
          <cell r="G509">
            <v>1</v>
          </cell>
        </row>
        <row r="510">
          <cell r="A510" t="str">
            <v>Supplier (Provisional)</v>
          </cell>
          <cell r="B510">
            <v>-11132423</v>
          </cell>
          <cell r="C510">
            <v>11132423</v>
          </cell>
          <cell r="D510">
            <v>0</v>
          </cell>
          <cell r="E510">
            <v>0</v>
          </cell>
          <cell r="G510">
            <v>0</v>
          </cell>
        </row>
        <row r="511">
          <cell r="A511" t="str">
            <v>Hafi Elektra Pvt Ltd</v>
          </cell>
          <cell r="B511">
            <v>0</v>
          </cell>
          <cell r="C511">
            <v>19200</v>
          </cell>
          <cell r="D511">
            <v>0</v>
          </cell>
          <cell r="E511">
            <v>19200</v>
          </cell>
          <cell r="G511">
            <v>19200</v>
          </cell>
        </row>
        <row r="512">
          <cell r="A512" t="str">
            <v>Lohia Corp Limited - 29AAKCK2932Q1ZS - Kar</v>
          </cell>
          <cell r="B512">
            <v>0</v>
          </cell>
          <cell r="C512">
            <v>0</v>
          </cell>
          <cell r="D512">
            <v>8078.11</v>
          </cell>
          <cell r="E512">
            <v>-8078.11</v>
          </cell>
          <cell r="G512">
            <v>-8078.11</v>
          </cell>
        </row>
        <row r="513">
          <cell r="A513" t="str">
            <v>Revive System</v>
          </cell>
          <cell r="B513">
            <v>0</v>
          </cell>
          <cell r="C513">
            <v>40179</v>
          </cell>
          <cell r="D513">
            <v>40179</v>
          </cell>
          <cell r="E513">
            <v>0</v>
          </cell>
          <cell r="G513">
            <v>0</v>
          </cell>
        </row>
        <row r="514">
          <cell r="A514" t="str">
            <v>Abhinandan Plastopack</v>
          </cell>
          <cell r="B514">
            <v>-6336</v>
          </cell>
          <cell r="C514">
            <v>6336</v>
          </cell>
          <cell r="D514">
            <v>0</v>
          </cell>
          <cell r="E514">
            <v>0</v>
          </cell>
          <cell r="G514">
            <v>0</v>
          </cell>
        </row>
        <row r="515">
          <cell r="A515" t="str">
            <v>Ashirvad Paper Solution</v>
          </cell>
          <cell r="B515">
            <v>0</v>
          </cell>
          <cell r="C515">
            <v>10535</v>
          </cell>
          <cell r="D515">
            <v>10535</v>
          </cell>
          <cell r="E515">
            <v>0</v>
          </cell>
          <cell r="G515">
            <v>0</v>
          </cell>
        </row>
        <row r="516">
          <cell r="A516" t="str">
            <v>Deluxe Plastic Works</v>
          </cell>
          <cell r="B516">
            <v>-0.2</v>
          </cell>
          <cell r="C516">
            <v>0</v>
          </cell>
          <cell r="D516">
            <v>2773</v>
          </cell>
          <cell r="E516">
            <v>-2773.2</v>
          </cell>
          <cell r="G516">
            <v>-2773.2</v>
          </cell>
        </row>
        <row r="517">
          <cell r="A517" t="str">
            <v>Labbdhi Paper Tubes Pvt Ltd</v>
          </cell>
          <cell r="B517">
            <v>-15147</v>
          </cell>
          <cell r="C517">
            <v>43615</v>
          </cell>
          <cell r="D517">
            <v>38961</v>
          </cell>
          <cell r="E517">
            <v>-10493</v>
          </cell>
          <cell r="G517">
            <v>-10493</v>
          </cell>
        </row>
        <row r="518">
          <cell r="A518" t="str">
            <v>Metro Packaging</v>
          </cell>
          <cell r="B518">
            <v>-135575</v>
          </cell>
          <cell r="C518">
            <v>271150</v>
          </cell>
          <cell r="D518">
            <v>135575</v>
          </cell>
          <cell r="E518">
            <v>0</v>
          </cell>
          <cell r="G518">
            <v>0</v>
          </cell>
        </row>
        <row r="519">
          <cell r="A519" t="str">
            <v>Moral Associates</v>
          </cell>
          <cell r="B519">
            <v>0</v>
          </cell>
          <cell r="C519">
            <v>0</v>
          </cell>
          <cell r="D519">
            <v>0</v>
          </cell>
          <cell r="E519">
            <v>0</v>
          </cell>
          <cell r="G519">
            <v>0</v>
          </cell>
        </row>
        <row r="520">
          <cell r="A520" t="str">
            <v>Pravin Timber Works (Unit II)</v>
          </cell>
          <cell r="B520">
            <v>0</v>
          </cell>
          <cell r="C520">
            <v>0</v>
          </cell>
          <cell r="D520">
            <v>0</v>
          </cell>
          <cell r="E520">
            <v>0</v>
          </cell>
          <cell r="G520">
            <v>0</v>
          </cell>
        </row>
        <row r="521">
          <cell r="A521" t="str">
            <v>Purbanchal Lumbers Pvt Ltd</v>
          </cell>
          <cell r="B521">
            <v>-92736</v>
          </cell>
          <cell r="C521">
            <v>92736</v>
          </cell>
          <cell r="D521">
            <v>0</v>
          </cell>
          <cell r="E521">
            <v>0</v>
          </cell>
          <cell r="G521">
            <v>0</v>
          </cell>
        </row>
        <row r="522">
          <cell r="A522" t="str">
            <v>R G Enterprise</v>
          </cell>
          <cell r="B522">
            <v>0</v>
          </cell>
          <cell r="C522">
            <v>0</v>
          </cell>
          <cell r="D522">
            <v>120741</v>
          </cell>
          <cell r="E522">
            <v>-120741</v>
          </cell>
          <cell r="G522">
            <v>-120741</v>
          </cell>
        </row>
        <row r="523">
          <cell r="A523" t="str">
            <v>Saanvi Pallets</v>
          </cell>
          <cell r="B523">
            <v>0</v>
          </cell>
          <cell r="C523">
            <v>0</v>
          </cell>
          <cell r="D523">
            <v>0</v>
          </cell>
          <cell r="E523">
            <v>0</v>
          </cell>
          <cell r="G523">
            <v>0</v>
          </cell>
        </row>
        <row r="524">
          <cell r="A524" t="str">
            <v>Shiv Shakti Enterprise</v>
          </cell>
          <cell r="B524">
            <v>-633655.30000000005</v>
          </cell>
          <cell r="C524">
            <v>633655</v>
          </cell>
          <cell r="D524">
            <v>0</v>
          </cell>
          <cell r="E524">
            <v>-0.3</v>
          </cell>
          <cell r="G524">
            <v>-0.3</v>
          </cell>
        </row>
        <row r="525">
          <cell r="A525" t="str">
            <v>Shree Rang Packaging</v>
          </cell>
          <cell r="B525">
            <v>-72395.7</v>
          </cell>
          <cell r="C525">
            <v>86909.36</v>
          </cell>
          <cell r="D525">
            <v>14514</v>
          </cell>
          <cell r="E525">
            <v>-0.34</v>
          </cell>
          <cell r="G525">
            <v>-0.34</v>
          </cell>
        </row>
        <row r="526">
          <cell r="A526" t="str">
            <v>Siddheshwar Enterprise</v>
          </cell>
          <cell r="B526">
            <v>-65926.83</v>
          </cell>
          <cell r="C526">
            <v>0</v>
          </cell>
          <cell r="D526">
            <v>0</v>
          </cell>
          <cell r="E526">
            <v>-65926.83</v>
          </cell>
          <cell r="G526">
            <v>-65926.83</v>
          </cell>
        </row>
        <row r="527">
          <cell r="A527" t="str">
            <v>Veeshna Polypack Pvt Ltd - Purchase</v>
          </cell>
          <cell r="B527">
            <v>-479073.48</v>
          </cell>
          <cell r="C527">
            <v>479073.48</v>
          </cell>
          <cell r="D527">
            <v>0</v>
          </cell>
          <cell r="E527">
            <v>0</v>
          </cell>
          <cell r="G527">
            <v>0</v>
          </cell>
        </row>
        <row r="528">
          <cell r="A528" t="str">
            <v>4 A S Enterprises</v>
          </cell>
          <cell r="B528">
            <v>0</v>
          </cell>
          <cell r="C528">
            <v>5040</v>
          </cell>
          <cell r="D528">
            <v>5040</v>
          </cell>
          <cell r="E528">
            <v>0</v>
          </cell>
          <cell r="G528">
            <v>0</v>
          </cell>
        </row>
        <row r="529">
          <cell r="A529" t="str">
            <v>A B Online</v>
          </cell>
          <cell r="B529">
            <v>0</v>
          </cell>
          <cell r="C529">
            <v>0</v>
          </cell>
          <cell r="D529">
            <v>17228</v>
          </cell>
          <cell r="E529">
            <v>-17228</v>
          </cell>
          <cell r="G529">
            <v>-17228</v>
          </cell>
        </row>
        <row r="530">
          <cell r="A530" t="str">
            <v>A C Industries</v>
          </cell>
          <cell r="B530">
            <v>-2985</v>
          </cell>
          <cell r="C530">
            <v>0</v>
          </cell>
          <cell r="D530">
            <v>0</v>
          </cell>
          <cell r="E530">
            <v>-2985</v>
          </cell>
          <cell r="G530">
            <v>-2985</v>
          </cell>
        </row>
        <row r="531">
          <cell r="A531" t="str">
            <v>A One Impex</v>
          </cell>
          <cell r="B531">
            <v>-36573.800000000003</v>
          </cell>
          <cell r="C531">
            <v>27281.599999999999</v>
          </cell>
          <cell r="D531">
            <v>36580</v>
          </cell>
          <cell r="E531">
            <v>-45872.2</v>
          </cell>
          <cell r="G531">
            <v>-45872.2</v>
          </cell>
        </row>
        <row r="532">
          <cell r="A532" t="str">
            <v>A. Chokshi Engineering Pvt Ltd</v>
          </cell>
          <cell r="B532">
            <v>0</v>
          </cell>
          <cell r="C532">
            <v>0</v>
          </cell>
          <cell r="D532">
            <v>0</v>
          </cell>
          <cell r="E532">
            <v>0</v>
          </cell>
          <cell r="G532">
            <v>0</v>
          </cell>
        </row>
        <row r="533">
          <cell r="A533" t="str">
            <v>A.Patel Engineering Works</v>
          </cell>
          <cell r="B533">
            <v>47790</v>
          </cell>
          <cell r="C533">
            <v>0</v>
          </cell>
          <cell r="D533">
            <v>47790</v>
          </cell>
          <cell r="E533">
            <v>0</v>
          </cell>
          <cell r="G533">
            <v>0</v>
          </cell>
        </row>
        <row r="534">
          <cell r="A534" t="str">
            <v>Aarth Industries</v>
          </cell>
          <cell r="B534">
            <v>-133056</v>
          </cell>
          <cell r="C534">
            <v>133056</v>
          </cell>
          <cell r="D534">
            <v>0</v>
          </cell>
          <cell r="E534">
            <v>0</v>
          </cell>
          <cell r="G534">
            <v>0</v>
          </cell>
        </row>
        <row r="535">
          <cell r="A535" t="str">
            <v>Accurate Rub Tech</v>
          </cell>
          <cell r="B535">
            <v>-31860</v>
          </cell>
          <cell r="C535">
            <v>87084</v>
          </cell>
          <cell r="D535">
            <v>55224</v>
          </cell>
          <cell r="E535">
            <v>0</v>
          </cell>
          <cell r="G535">
            <v>0</v>
          </cell>
        </row>
        <row r="536">
          <cell r="A536" t="str">
            <v>Advance Cooling Systems Pvt. Ltd</v>
          </cell>
          <cell r="B536">
            <v>0</v>
          </cell>
          <cell r="C536">
            <v>0</v>
          </cell>
          <cell r="D536">
            <v>0</v>
          </cell>
          <cell r="E536">
            <v>0</v>
          </cell>
          <cell r="G536">
            <v>0</v>
          </cell>
        </row>
        <row r="537">
          <cell r="A537" t="str">
            <v>Agarwal Enterprise</v>
          </cell>
          <cell r="B537">
            <v>0</v>
          </cell>
          <cell r="C537">
            <v>56994</v>
          </cell>
          <cell r="D537">
            <v>82397</v>
          </cell>
          <cell r="E537">
            <v>-25403</v>
          </cell>
          <cell r="G537">
            <v>-25403</v>
          </cell>
        </row>
        <row r="538">
          <cell r="A538" t="str">
            <v>Ahmedabad Cotton Waste Co.</v>
          </cell>
          <cell r="B538">
            <v>-45937</v>
          </cell>
          <cell r="C538">
            <v>64312</v>
          </cell>
          <cell r="D538">
            <v>36960</v>
          </cell>
          <cell r="E538">
            <v>-18585</v>
          </cell>
          <cell r="G538">
            <v>-18585</v>
          </cell>
        </row>
        <row r="539">
          <cell r="A539" t="str">
            <v>Airavat Mro</v>
          </cell>
          <cell r="B539">
            <v>0</v>
          </cell>
          <cell r="C539">
            <v>0</v>
          </cell>
          <cell r="D539">
            <v>0</v>
          </cell>
          <cell r="E539">
            <v>0</v>
          </cell>
          <cell r="G539">
            <v>0</v>
          </cell>
        </row>
        <row r="540">
          <cell r="A540" t="str">
            <v>Airmax Pneumatic Automation</v>
          </cell>
          <cell r="B540">
            <v>0</v>
          </cell>
          <cell r="C540">
            <v>44569</v>
          </cell>
          <cell r="D540">
            <v>44569</v>
          </cell>
          <cell r="E540">
            <v>0</v>
          </cell>
          <cell r="G540">
            <v>0</v>
          </cell>
        </row>
        <row r="541">
          <cell r="A541" t="str">
            <v>AJ Technovations Private Limited</v>
          </cell>
          <cell r="B541">
            <v>5168.22</v>
          </cell>
          <cell r="C541">
            <v>88385.71</v>
          </cell>
          <cell r="D541">
            <v>93555</v>
          </cell>
          <cell r="E541">
            <v>-1.07</v>
          </cell>
          <cell r="G541">
            <v>-1.07</v>
          </cell>
        </row>
        <row r="542">
          <cell r="A542" t="str">
            <v>Aksh Enterprise</v>
          </cell>
          <cell r="B542">
            <v>0</v>
          </cell>
          <cell r="C542">
            <v>18874</v>
          </cell>
          <cell r="D542">
            <v>18874</v>
          </cell>
          <cell r="E542">
            <v>0</v>
          </cell>
          <cell r="G542">
            <v>0</v>
          </cell>
        </row>
        <row r="543">
          <cell r="A543" t="str">
            <v>Akshara Graphics - Purchase</v>
          </cell>
          <cell r="B543">
            <v>-390771.28</v>
          </cell>
          <cell r="C543">
            <v>1677910.88</v>
          </cell>
          <cell r="D543">
            <v>2908758.6</v>
          </cell>
          <cell r="E543">
            <v>-1621619</v>
          </cell>
          <cell r="G543">
            <v>-1621619</v>
          </cell>
        </row>
        <row r="544">
          <cell r="A544" t="str">
            <v>Alok Master Batches Private Limited- Surangi</v>
          </cell>
          <cell r="B544">
            <v>-3203522</v>
          </cell>
          <cell r="C544">
            <v>3203522</v>
          </cell>
          <cell r="D544">
            <v>0</v>
          </cell>
          <cell r="E544">
            <v>0</v>
          </cell>
          <cell r="G544">
            <v>0</v>
          </cell>
        </row>
        <row r="545">
          <cell r="A545" t="str">
            <v>Alpha Electricals</v>
          </cell>
          <cell r="B545">
            <v>-1378</v>
          </cell>
          <cell r="C545">
            <v>0</v>
          </cell>
          <cell r="D545">
            <v>0</v>
          </cell>
          <cell r="E545">
            <v>-1378</v>
          </cell>
          <cell r="G545">
            <v>-1378</v>
          </cell>
        </row>
        <row r="546">
          <cell r="A546" t="str">
            <v>Amtek Instruments Pvt Ltd</v>
          </cell>
          <cell r="B546">
            <v>-6785</v>
          </cell>
          <cell r="C546">
            <v>6785</v>
          </cell>
          <cell r="D546">
            <v>2997</v>
          </cell>
          <cell r="E546">
            <v>-2997</v>
          </cell>
          <cell r="G546">
            <v>-2997</v>
          </cell>
        </row>
        <row r="547">
          <cell r="A547" t="str">
            <v>Anison Electronics</v>
          </cell>
          <cell r="B547">
            <v>-0.5</v>
          </cell>
          <cell r="C547">
            <v>0</v>
          </cell>
          <cell r="D547">
            <v>0</v>
          </cell>
          <cell r="E547">
            <v>-0.5</v>
          </cell>
          <cell r="G547">
            <v>-0.5</v>
          </cell>
        </row>
        <row r="548">
          <cell r="A548" t="str">
            <v>Anupam Heaters &amp; Controls Pvt Ltd</v>
          </cell>
          <cell r="B548">
            <v>0</v>
          </cell>
          <cell r="C548">
            <v>0</v>
          </cell>
          <cell r="D548">
            <v>0</v>
          </cell>
          <cell r="E548">
            <v>0</v>
          </cell>
          <cell r="G548">
            <v>0</v>
          </cell>
        </row>
        <row r="549">
          <cell r="A549" t="str">
            <v>Ap Enterprise</v>
          </cell>
          <cell r="B549">
            <v>-6440</v>
          </cell>
          <cell r="C549">
            <v>6440</v>
          </cell>
          <cell r="D549">
            <v>0</v>
          </cell>
          <cell r="E549">
            <v>0</v>
          </cell>
          <cell r="G549">
            <v>0</v>
          </cell>
        </row>
        <row r="550">
          <cell r="A550" t="str">
            <v>Apco Agencies</v>
          </cell>
          <cell r="B550">
            <v>0</v>
          </cell>
          <cell r="C550">
            <v>0</v>
          </cell>
          <cell r="D550">
            <v>0</v>
          </cell>
          <cell r="E550">
            <v>0</v>
          </cell>
          <cell r="G550">
            <v>0</v>
          </cell>
        </row>
        <row r="551">
          <cell r="A551" t="str">
            <v>Apple Powerdrive Pvt. Ltd.</v>
          </cell>
          <cell r="B551">
            <v>-11769</v>
          </cell>
          <cell r="C551">
            <v>0</v>
          </cell>
          <cell r="D551">
            <v>0</v>
          </cell>
          <cell r="E551">
            <v>-11769</v>
          </cell>
          <cell r="G551">
            <v>-11769</v>
          </cell>
        </row>
        <row r="552">
          <cell r="A552" t="str">
            <v>Aqua Air Engineering</v>
          </cell>
          <cell r="B552">
            <v>29531.9</v>
          </cell>
          <cell r="C552">
            <v>0</v>
          </cell>
          <cell r="D552">
            <v>0</v>
          </cell>
          <cell r="E552">
            <v>29531.9</v>
          </cell>
          <cell r="G552">
            <v>29531.9</v>
          </cell>
        </row>
        <row r="553">
          <cell r="A553" t="str">
            <v>Arham Cams Pvt Ltd</v>
          </cell>
          <cell r="B553">
            <v>-95975.8</v>
          </cell>
          <cell r="C553">
            <v>96188</v>
          </cell>
          <cell r="D553">
            <v>118933</v>
          </cell>
          <cell r="E553">
            <v>-118720.8</v>
          </cell>
          <cell r="G553">
            <v>-118720.8</v>
          </cell>
        </row>
        <row r="554">
          <cell r="A554" t="str">
            <v>Armstrong</v>
          </cell>
          <cell r="B554">
            <v>-97297.53</v>
          </cell>
          <cell r="C554">
            <v>1541151</v>
          </cell>
          <cell r="D554">
            <v>1530582.95</v>
          </cell>
          <cell r="E554">
            <v>-86729.48</v>
          </cell>
          <cell r="G554">
            <v>-86729.48</v>
          </cell>
        </row>
        <row r="555">
          <cell r="A555" t="str">
            <v>Asha Mica Traders</v>
          </cell>
          <cell r="B555">
            <v>0</v>
          </cell>
          <cell r="C555">
            <v>0</v>
          </cell>
          <cell r="D555">
            <v>0</v>
          </cell>
          <cell r="E555">
            <v>0</v>
          </cell>
          <cell r="G555">
            <v>0</v>
          </cell>
        </row>
        <row r="556">
          <cell r="A556" t="str">
            <v>Ashirwad Infocom</v>
          </cell>
          <cell r="B556">
            <v>0</v>
          </cell>
          <cell r="C556">
            <v>33955</v>
          </cell>
          <cell r="D556">
            <v>33955</v>
          </cell>
          <cell r="E556">
            <v>0</v>
          </cell>
          <cell r="G556">
            <v>0</v>
          </cell>
        </row>
        <row r="557">
          <cell r="A557" t="str">
            <v>Ashok &amp; Co.</v>
          </cell>
          <cell r="B557">
            <v>-0.05</v>
          </cell>
          <cell r="C557">
            <v>0</v>
          </cell>
          <cell r="D557">
            <v>0</v>
          </cell>
          <cell r="E557">
            <v>-0.05</v>
          </cell>
          <cell r="G557">
            <v>-0.05</v>
          </cell>
        </row>
        <row r="558">
          <cell r="A558" t="str">
            <v>Ashutosh Power Transbelts Ltd.</v>
          </cell>
          <cell r="B558">
            <v>0</v>
          </cell>
          <cell r="C558">
            <v>0</v>
          </cell>
          <cell r="D558">
            <v>9924</v>
          </cell>
          <cell r="E558">
            <v>-9924</v>
          </cell>
          <cell r="G558">
            <v>-9924</v>
          </cell>
        </row>
        <row r="559">
          <cell r="A559" t="str">
            <v>Astha International</v>
          </cell>
          <cell r="B559">
            <v>0</v>
          </cell>
          <cell r="C559">
            <v>0</v>
          </cell>
          <cell r="D559">
            <v>0</v>
          </cell>
          <cell r="E559">
            <v>0</v>
          </cell>
          <cell r="G559">
            <v>0</v>
          </cell>
        </row>
        <row r="560">
          <cell r="A560" t="str">
            <v>Aum Enterprise</v>
          </cell>
          <cell r="B560">
            <v>0</v>
          </cell>
          <cell r="C560">
            <v>0</v>
          </cell>
          <cell r="D560">
            <v>10544</v>
          </cell>
          <cell r="E560">
            <v>-10544</v>
          </cell>
          <cell r="G560">
            <v>-10544</v>
          </cell>
        </row>
        <row r="561">
          <cell r="A561" t="str">
            <v>Aum Polypack</v>
          </cell>
          <cell r="B561">
            <v>0</v>
          </cell>
          <cell r="C561">
            <v>370649</v>
          </cell>
          <cell r="D561">
            <v>800457</v>
          </cell>
          <cell r="E561">
            <v>-429808</v>
          </cell>
          <cell r="G561">
            <v>-429808</v>
          </cell>
        </row>
        <row r="562">
          <cell r="A562" t="str">
            <v>Avee Electro Engineers</v>
          </cell>
          <cell r="B562">
            <v>0.36</v>
          </cell>
          <cell r="C562">
            <v>0</v>
          </cell>
          <cell r="D562">
            <v>0</v>
          </cell>
          <cell r="E562">
            <v>0.36</v>
          </cell>
          <cell r="G562">
            <v>0.36</v>
          </cell>
        </row>
        <row r="563">
          <cell r="A563" t="str">
            <v>Axle Steel &amp; Fasteners</v>
          </cell>
          <cell r="B563">
            <v>-55980.07</v>
          </cell>
          <cell r="C563">
            <v>105511.51</v>
          </cell>
          <cell r="D563">
            <v>98903</v>
          </cell>
          <cell r="E563">
            <v>-49371.56</v>
          </cell>
          <cell r="G563">
            <v>-49371.56</v>
          </cell>
        </row>
        <row r="564">
          <cell r="A564" t="str">
            <v>Axle Steel &amp; Fasteners - Sales</v>
          </cell>
          <cell r="B564">
            <v>0</v>
          </cell>
          <cell r="C564">
            <v>0</v>
          </cell>
          <cell r="D564">
            <v>0</v>
          </cell>
          <cell r="E564">
            <v>0</v>
          </cell>
          <cell r="G564">
            <v>0</v>
          </cell>
        </row>
        <row r="565">
          <cell r="A565" t="str">
            <v>Bagman Machinery Private Limited</v>
          </cell>
          <cell r="B565">
            <v>0</v>
          </cell>
          <cell r="C565">
            <v>0</v>
          </cell>
          <cell r="D565">
            <v>0</v>
          </cell>
          <cell r="E565">
            <v>0</v>
          </cell>
          <cell r="G565">
            <v>0</v>
          </cell>
        </row>
        <row r="566">
          <cell r="A566" t="str">
            <v>Bahucharaji Office Solution</v>
          </cell>
          <cell r="B566">
            <v>-67376.240000000005</v>
          </cell>
          <cell r="C566">
            <v>67376.240000000005</v>
          </cell>
          <cell r="D566">
            <v>0</v>
          </cell>
          <cell r="E566">
            <v>0</v>
          </cell>
          <cell r="G566">
            <v>0</v>
          </cell>
        </row>
        <row r="567">
          <cell r="A567" t="str">
            <v>Baviskar Sales &amp; Service</v>
          </cell>
          <cell r="B567">
            <v>0.2</v>
          </cell>
          <cell r="C567">
            <v>0</v>
          </cell>
          <cell r="D567">
            <v>0</v>
          </cell>
          <cell r="E567">
            <v>0.2</v>
          </cell>
          <cell r="G567">
            <v>0.2</v>
          </cell>
        </row>
        <row r="568">
          <cell r="A568" t="str">
            <v>Beena Industries</v>
          </cell>
          <cell r="B568">
            <v>-16520</v>
          </cell>
          <cell r="C568">
            <v>0</v>
          </cell>
          <cell r="D568">
            <v>0</v>
          </cell>
          <cell r="E568">
            <v>-16520</v>
          </cell>
          <cell r="G568">
            <v>-16520</v>
          </cell>
        </row>
        <row r="569">
          <cell r="A569" t="str">
            <v>Bhavani International</v>
          </cell>
          <cell r="B569">
            <v>0</v>
          </cell>
          <cell r="C569">
            <v>0</v>
          </cell>
          <cell r="D569">
            <v>0</v>
          </cell>
          <cell r="E569">
            <v>0</v>
          </cell>
          <cell r="G569">
            <v>0</v>
          </cell>
        </row>
        <row r="570">
          <cell r="A570" t="str">
            <v>Bhumi Hardware &amp; Electricals</v>
          </cell>
          <cell r="B570">
            <v>-97707</v>
          </cell>
          <cell r="C570">
            <v>125918</v>
          </cell>
          <cell r="D570">
            <v>44302</v>
          </cell>
          <cell r="E570">
            <v>-16091</v>
          </cell>
          <cell r="G570">
            <v>-16091</v>
          </cell>
        </row>
        <row r="571">
          <cell r="A571" t="str">
            <v>BNAL Prefabs Pvt Ltd</v>
          </cell>
          <cell r="B571">
            <v>0</v>
          </cell>
          <cell r="C571">
            <v>0</v>
          </cell>
          <cell r="D571">
            <v>0</v>
          </cell>
          <cell r="E571">
            <v>0</v>
          </cell>
          <cell r="G571">
            <v>0</v>
          </cell>
        </row>
        <row r="572">
          <cell r="A572" t="str">
            <v>Bombay Fire Safety</v>
          </cell>
          <cell r="B572">
            <v>-63981.1</v>
          </cell>
          <cell r="C572">
            <v>134801</v>
          </cell>
          <cell r="D572">
            <v>149571</v>
          </cell>
          <cell r="E572">
            <v>-78751.100000000006</v>
          </cell>
          <cell r="G572">
            <v>-78751.100000000006</v>
          </cell>
        </row>
        <row r="573">
          <cell r="A573" t="str">
            <v>BP Lubricants Pvt Ltd</v>
          </cell>
          <cell r="B573">
            <v>-427455</v>
          </cell>
          <cell r="C573">
            <v>427455</v>
          </cell>
          <cell r="D573">
            <v>87049</v>
          </cell>
          <cell r="E573">
            <v>-87049</v>
          </cell>
          <cell r="G573">
            <v>-87049</v>
          </cell>
        </row>
        <row r="574">
          <cell r="A574" t="str">
            <v>Brahmani Graphics</v>
          </cell>
          <cell r="B574">
            <v>-99775.5</v>
          </cell>
          <cell r="C574">
            <v>71521</v>
          </cell>
          <cell r="D574">
            <v>34148</v>
          </cell>
          <cell r="E574">
            <v>-62402.5</v>
          </cell>
          <cell r="G574">
            <v>-62402.5</v>
          </cell>
        </row>
        <row r="575">
          <cell r="A575" t="str">
            <v>Brahmani Labels</v>
          </cell>
          <cell r="B575">
            <v>-407361.01</v>
          </cell>
          <cell r="C575">
            <v>345087</v>
          </cell>
          <cell r="D575">
            <v>210611</v>
          </cell>
          <cell r="E575">
            <v>-272885.01</v>
          </cell>
          <cell r="G575">
            <v>-272885.01</v>
          </cell>
        </row>
        <row r="576">
          <cell r="A576" t="str">
            <v>Brahmani Printers</v>
          </cell>
          <cell r="B576">
            <v>-1775316.58</v>
          </cell>
          <cell r="C576">
            <v>872245.97</v>
          </cell>
          <cell r="D576">
            <v>73726</v>
          </cell>
          <cell r="E576">
            <v>-976796.61</v>
          </cell>
          <cell r="G576">
            <v>-976796.61</v>
          </cell>
        </row>
        <row r="577">
          <cell r="A577" t="str">
            <v>Bright Rubber</v>
          </cell>
          <cell r="B577">
            <v>-6136</v>
          </cell>
          <cell r="C577">
            <v>3068</v>
          </cell>
          <cell r="D577">
            <v>0</v>
          </cell>
          <cell r="E577">
            <v>-3068</v>
          </cell>
          <cell r="G577">
            <v>-3068</v>
          </cell>
        </row>
        <row r="578">
          <cell r="A578" t="str">
            <v>C.H. Wirenetting Works</v>
          </cell>
          <cell r="B578">
            <v>0</v>
          </cell>
          <cell r="C578">
            <v>0</v>
          </cell>
          <cell r="D578">
            <v>5791</v>
          </cell>
          <cell r="E578">
            <v>-5791</v>
          </cell>
          <cell r="G578">
            <v>-5791</v>
          </cell>
        </row>
        <row r="579">
          <cell r="A579" t="str">
            <v>Chemline India Ltd</v>
          </cell>
          <cell r="B579">
            <v>257505.5</v>
          </cell>
          <cell r="C579">
            <v>0</v>
          </cell>
          <cell r="D579">
            <v>132750</v>
          </cell>
          <cell r="E579">
            <v>124755.5</v>
          </cell>
          <cell r="G579">
            <v>124755.5</v>
          </cell>
        </row>
        <row r="580">
          <cell r="A580" t="str">
            <v>Chirag Engineering Works</v>
          </cell>
          <cell r="B580">
            <v>-29832.6</v>
          </cell>
          <cell r="C580">
            <v>0</v>
          </cell>
          <cell r="D580">
            <v>0</v>
          </cell>
          <cell r="E580">
            <v>-29832.6</v>
          </cell>
          <cell r="G580">
            <v>-29832.6</v>
          </cell>
        </row>
        <row r="581">
          <cell r="A581" t="str">
            <v>CTM Technical Textiles Limited</v>
          </cell>
          <cell r="B581">
            <v>-449535.74</v>
          </cell>
          <cell r="C581">
            <v>1423767</v>
          </cell>
          <cell r="D581">
            <v>974796</v>
          </cell>
          <cell r="E581">
            <v>-564.74</v>
          </cell>
          <cell r="G581">
            <v>-564.74</v>
          </cell>
        </row>
        <row r="582">
          <cell r="A582" t="str">
            <v>Darshan Industries - 24BEVPS1692N1ZI</v>
          </cell>
          <cell r="B582">
            <v>-20650.5</v>
          </cell>
          <cell r="C582">
            <v>20650</v>
          </cell>
          <cell r="D582">
            <v>20650</v>
          </cell>
          <cell r="E582">
            <v>-20650.5</v>
          </cell>
          <cell r="G582">
            <v>-20650.5</v>
          </cell>
        </row>
        <row r="583">
          <cell r="A583" t="str">
            <v>Decoplasticca</v>
          </cell>
          <cell r="B583">
            <v>0</v>
          </cell>
          <cell r="C583">
            <v>14496</v>
          </cell>
          <cell r="D583">
            <v>0</v>
          </cell>
          <cell r="E583">
            <v>14496</v>
          </cell>
          <cell r="G583">
            <v>14496</v>
          </cell>
        </row>
        <row r="584">
          <cell r="A584" t="str">
            <v>DHARMIK REPAIRS AND SERVICE</v>
          </cell>
          <cell r="B584">
            <v>-23187</v>
          </cell>
          <cell r="C584">
            <v>23187</v>
          </cell>
          <cell r="D584">
            <v>0</v>
          </cell>
          <cell r="E584">
            <v>0</v>
          </cell>
          <cell r="G584">
            <v>0</v>
          </cell>
        </row>
        <row r="585">
          <cell r="A585" t="str">
            <v>Dhirubhai And Sons</v>
          </cell>
          <cell r="B585">
            <v>0</v>
          </cell>
          <cell r="C585">
            <v>17700</v>
          </cell>
          <cell r="D585">
            <v>0</v>
          </cell>
          <cell r="E585">
            <v>17700</v>
          </cell>
          <cell r="G585">
            <v>17700</v>
          </cell>
        </row>
        <row r="586">
          <cell r="A586" t="str">
            <v>Dilip Manufacturing And Trading Co</v>
          </cell>
          <cell r="B586">
            <v>-851</v>
          </cell>
          <cell r="C586">
            <v>0</v>
          </cell>
          <cell r="D586">
            <v>0</v>
          </cell>
          <cell r="E586">
            <v>-851</v>
          </cell>
          <cell r="G586">
            <v>-851</v>
          </cell>
        </row>
        <row r="587">
          <cell r="A587" t="str">
            <v>Divya Industries</v>
          </cell>
          <cell r="B587">
            <v>-46728</v>
          </cell>
          <cell r="C587">
            <v>206895</v>
          </cell>
          <cell r="D587">
            <v>239640</v>
          </cell>
          <cell r="E587">
            <v>-79473</v>
          </cell>
          <cell r="G587">
            <v>-79473</v>
          </cell>
        </row>
        <row r="588">
          <cell r="A588" t="str">
            <v>Divya Tex</v>
          </cell>
          <cell r="B588">
            <v>-12095</v>
          </cell>
          <cell r="C588">
            <v>0</v>
          </cell>
          <cell r="D588">
            <v>0</v>
          </cell>
          <cell r="E588">
            <v>-12095</v>
          </cell>
          <cell r="G588">
            <v>-12095</v>
          </cell>
        </row>
        <row r="589">
          <cell r="A589" t="str">
            <v>DPS ELECTRO</v>
          </cell>
          <cell r="B589">
            <v>-1872</v>
          </cell>
          <cell r="C589">
            <v>10207</v>
          </cell>
          <cell r="D589">
            <v>10207</v>
          </cell>
          <cell r="E589">
            <v>-1872</v>
          </cell>
          <cell r="G589">
            <v>-1872</v>
          </cell>
        </row>
        <row r="590">
          <cell r="A590" t="str">
            <v>Dsrmt Health Care Private Limited</v>
          </cell>
          <cell r="B590">
            <v>0</v>
          </cell>
          <cell r="C590">
            <v>0</v>
          </cell>
          <cell r="D590">
            <v>20000</v>
          </cell>
          <cell r="E590">
            <v>-20000</v>
          </cell>
          <cell r="G590">
            <v>-20000</v>
          </cell>
        </row>
        <row r="591">
          <cell r="A591" t="str">
            <v>Dyesun Liva Chemicals</v>
          </cell>
          <cell r="B591">
            <v>0</v>
          </cell>
          <cell r="C591">
            <v>28586</v>
          </cell>
          <cell r="D591">
            <v>28586</v>
          </cell>
          <cell r="E591">
            <v>0</v>
          </cell>
          <cell r="G591">
            <v>0</v>
          </cell>
        </row>
        <row r="592">
          <cell r="A592" t="str">
            <v>Dynamic Wooltex</v>
          </cell>
          <cell r="B592">
            <v>0</v>
          </cell>
          <cell r="C592">
            <v>1092004.1200000001</v>
          </cell>
          <cell r="D592">
            <v>1124559.1200000001</v>
          </cell>
          <cell r="E592">
            <v>-32555</v>
          </cell>
          <cell r="G592">
            <v>-32555</v>
          </cell>
        </row>
        <row r="593">
          <cell r="A593" t="str">
            <v>Enertron Technologies Pvt Ltd</v>
          </cell>
          <cell r="B593">
            <v>-2006</v>
          </cell>
          <cell r="C593">
            <v>2006</v>
          </cell>
          <cell r="D593">
            <v>0</v>
          </cell>
          <cell r="E593">
            <v>0</v>
          </cell>
          <cell r="G593">
            <v>0</v>
          </cell>
        </row>
        <row r="594">
          <cell r="A594" t="str">
            <v>Espee Electricals</v>
          </cell>
          <cell r="B594">
            <v>-55322.5</v>
          </cell>
          <cell r="C594">
            <v>55322.5</v>
          </cell>
          <cell r="D594">
            <v>41094</v>
          </cell>
          <cell r="E594">
            <v>-41094</v>
          </cell>
          <cell r="G594">
            <v>-41094</v>
          </cell>
        </row>
        <row r="595">
          <cell r="A595" t="str">
            <v>Excel Marketing</v>
          </cell>
          <cell r="B595">
            <v>-122909</v>
          </cell>
          <cell r="C595">
            <v>122909</v>
          </cell>
          <cell r="D595">
            <v>0</v>
          </cell>
          <cell r="E595">
            <v>0</v>
          </cell>
          <cell r="G595">
            <v>0</v>
          </cell>
        </row>
        <row r="596">
          <cell r="A596" t="str">
            <v>Excel Office Solution</v>
          </cell>
          <cell r="B596">
            <v>-33816</v>
          </cell>
          <cell r="C596">
            <v>30276</v>
          </cell>
          <cell r="D596">
            <v>17889</v>
          </cell>
          <cell r="E596">
            <v>-21429</v>
          </cell>
          <cell r="G596">
            <v>-21429</v>
          </cell>
        </row>
        <row r="597">
          <cell r="A597" t="str">
            <v>Excellent Material</v>
          </cell>
          <cell r="B597">
            <v>-11800</v>
          </cell>
          <cell r="C597">
            <v>11800</v>
          </cell>
          <cell r="D597">
            <v>0</v>
          </cell>
          <cell r="E597">
            <v>0</v>
          </cell>
          <cell r="G597">
            <v>0</v>
          </cell>
        </row>
        <row r="598">
          <cell r="A598" t="str">
            <v>Finetech Engineers</v>
          </cell>
          <cell r="B598">
            <v>0</v>
          </cell>
          <cell r="C598">
            <v>0</v>
          </cell>
          <cell r="D598">
            <v>0</v>
          </cell>
          <cell r="E598">
            <v>0</v>
          </cell>
          <cell r="G598">
            <v>0</v>
          </cell>
        </row>
        <row r="599">
          <cell r="A599" t="str">
            <v>Firki Wholesale Private Limited</v>
          </cell>
          <cell r="B599">
            <v>0</v>
          </cell>
          <cell r="C599">
            <v>0</v>
          </cell>
          <cell r="D599">
            <v>0</v>
          </cell>
          <cell r="E599">
            <v>0</v>
          </cell>
          <cell r="G599">
            <v>0</v>
          </cell>
        </row>
        <row r="600">
          <cell r="A600" t="str">
            <v>Flesha Paints &amp; Chemicals</v>
          </cell>
          <cell r="B600">
            <v>-16862</v>
          </cell>
          <cell r="C600">
            <v>21181</v>
          </cell>
          <cell r="D600">
            <v>26255</v>
          </cell>
          <cell r="E600">
            <v>-21936</v>
          </cell>
          <cell r="G600">
            <v>-21936</v>
          </cell>
        </row>
        <row r="601">
          <cell r="A601" t="str">
            <v>Gabbar Engineering Co.</v>
          </cell>
          <cell r="B601">
            <v>10968.82</v>
          </cell>
          <cell r="C601">
            <v>0</v>
          </cell>
          <cell r="D601">
            <v>11292.26</v>
          </cell>
          <cell r="E601">
            <v>-323.44</v>
          </cell>
          <cell r="G601">
            <v>-323.44</v>
          </cell>
        </row>
        <row r="602">
          <cell r="A602" t="str">
            <v>Galaxy Enterprise</v>
          </cell>
          <cell r="B602">
            <v>-1180</v>
          </cell>
          <cell r="C602">
            <v>5310</v>
          </cell>
          <cell r="D602">
            <v>7434</v>
          </cell>
          <cell r="E602">
            <v>-3304</v>
          </cell>
          <cell r="G602">
            <v>-3304</v>
          </cell>
        </row>
        <row r="603">
          <cell r="A603" t="str">
            <v>Gandhar Oil Refinery India Ltd.</v>
          </cell>
          <cell r="B603">
            <v>-50551</v>
          </cell>
          <cell r="C603">
            <v>50551</v>
          </cell>
          <cell r="D603">
            <v>0</v>
          </cell>
          <cell r="E603">
            <v>0</v>
          </cell>
          <cell r="G603">
            <v>0</v>
          </cell>
        </row>
        <row r="604">
          <cell r="A604" t="str">
            <v>Gandhar Oil Refinery India Ltd. - D AND H</v>
          </cell>
          <cell r="B604">
            <v>0</v>
          </cell>
          <cell r="C604">
            <v>70375</v>
          </cell>
          <cell r="D604">
            <v>146697</v>
          </cell>
          <cell r="E604">
            <v>-76322</v>
          </cell>
          <cell r="G604">
            <v>-76322</v>
          </cell>
        </row>
        <row r="605">
          <cell r="A605" t="str">
            <v>Ganesh Poly Graph</v>
          </cell>
          <cell r="B605">
            <v>-13803</v>
          </cell>
          <cell r="C605">
            <v>0</v>
          </cell>
          <cell r="D605">
            <v>4212</v>
          </cell>
          <cell r="E605">
            <v>-18015</v>
          </cell>
          <cell r="G605">
            <v>-18015</v>
          </cell>
        </row>
        <row r="606">
          <cell r="A606" t="str">
            <v>Gaurav Trans Engineers Private Limited</v>
          </cell>
          <cell r="B606">
            <v>-1523</v>
          </cell>
          <cell r="C606">
            <v>5576</v>
          </cell>
          <cell r="D606">
            <v>46568</v>
          </cell>
          <cell r="E606">
            <v>-42515</v>
          </cell>
          <cell r="G606">
            <v>-42515</v>
          </cell>
        </row>
        <row r="607">
          <cell r="A607" t="str">
            <v>Gayatri Engineering Works</v>
          </cell>
          <cell r="B607">
            <v>-17220</v>
          </cell>
          <cell r="C607">
            <v>15930</v>
          </cell>
          <cell r="D607">
            <v>0</v>
          </cell>
          <cell r="E607">
            <v>-1290</v>
          </cell>
          <cell r="G607">
            <v>-1290</v>
          </cell>
        </row>
        <row r="608">
          <cell r="A608" t="str">
            <v>Ginza Machinery Mfg.Co.</v>
          </cell>
          <cell r="B608">
            <v>-49192.44</v>
          </cell>
          <cell r="C608">
            <v>80770.52</v>
          </cell>
          <cell r="D608">
            <v>46957.4</v>
          </cell>
          <cell r="E608">
            <v>-15379.32</v>
          </cell>
          <cell r="G608">
            <v>-15379.32</v>
          </cell>
        </row>
        <row r="609">
          <cell r="A609" t="str">
            <v>Global Industries</v>
          </cell>
          <cell r="B609">
            <v>-9803.18</v>
          </cell>
          <cell r="C609">
            <v>40680.400000000001</v>
          </cell>
          <cell r="D609">
            <v>32128.09</v>
          </cell>
          <cell r="E609">
            <v>-1250.8699999999999</v>
          </cell>
          <cell r="G609">
            <v>-1250.8699999999999</v>
          </cell>
        </row>
        <row r="610">
          <cell r="A610" t="str">
            <v>Green Traders</v>
          </cell>
          <cell r="B610">
            <v>-269120.09999999998</v>
          </cell>
          <cell r="C610">
            <v>329036</v>
          </cell>
          <cell r="D610">
            <v>93968</v>
          </cell>
          <cell r="E610">
            <v>-34052.1</v>
          </cell>
          <cell r="G610">
            <v>-34052.1</v>
          </cell>
        </row>
        <row r="611">
          <cell r="A611" t="str">
            <v>Guru Marketing</v>
          </cell>
          <cell r="B611">
            <v>-920</v>
          </cell>
          <cell r="C611">
            <v>920</v>
          </cell>
          <cell r="D611">
            <v>0</v>
          </cell>
          <cell r="E611">
            <v>0</v>
          </cell>
          <cell r="G611">
            <v>0</v>
          </cell>
        </row>
        <row r="612">
          <cell r="A612" t="str">
            <v>Gururaj Engineers Pvt. Ltd.</v>
          </cell>
          <cell r="B612">
            <v>5133</v>
          </cell>
          <cell r="C612">
            <v>0</v>
          </cell>
          <cell r="D612">
            <v>0</v>
          </cell>
          <cell r="E612">
            <v>5133</v>
          </cell>
          <cell r="G612">
            <v>5133</v>
          </cell>
        </row>
        <row r="613">
          <cell r="A613" t="str">
            <v>Harsiddhi Creation</v>
          </cell>
          <cell r="B613">
            <v>-108360</v>
          </cell>
          <cell r="C613">
            <v>0</v>
          </cell>
          <cell r="D613">
            <v>120861</v>
          </cell>
          <cell r="E613">
            <v>-229221</v>
          </cell>
          <cell r="G613">
            <v>-229221</v>
          </cell>
        </row>
        <row r="614">
          <cell r="A614" t="str">
            <v>Hi Flex Hydraulics Pvt Ltd</v>
          </cell>
          <cell r="B614">
            <v>0</v>
          </cell>
          <cell r="C614">
            <v>33030.559999999998</v>
          </cell>
          <cell r="D614">
            <v>7849</v>
          </cell>
          <cell r="E614">
            <v>25181.56</v>
          </cell>
          <cell r="G614">
            <v>25181.56</v>
          </cell>
        </row>
        <row r="615">
          <cell r="A615" t="str">
            <v>Himanshu Enterprise</v>
          </cell>
          <cell r="B615">
            <v>-30990</v>
          </cell>
          <cell r="C615">
            <v>57086</v>
          </cell>
          <cell r="D615">
            <v>37728</v>
          </cell>
          <cell r="E615">
            <v>-11632</v>
          </cell>
          <cell r="G615">
            <v>-11632</v>
          </cell>
        </row>
        <row r="616">
          <cell r="A616" t="str">
            <v>Hitco Electricals Pvt Ltd.</v>
          </cell>
          <cell r="B616">
            <v>0</v>
          </cell>
          <cell r="C616">
            <v>0</v>
          </cell>
          <cell r="D616">
            <v>0</v>
          </cell>
          <cell r="E616">
            <v>0</v>
          </cell>
          <cell r="G616">
            <v>0</v>
          </cell>
        </row>
        <row r="617">
          <cell r="A617" t="str">
            <v>Honey Water Management</v>
          </cell>
          <cell r="B617">
            <v>0</v>
          </cell>
          <cell r="C617">
            <v>0</v>
          </cell>
          <cell r="D617">
            <v>0</v>
          </cell>
          <cell r="E617">
            <v>0</v>
          </cell>
          <cell r="G617">
            <v>0</v>
          </cell>
        </row>
        <row r="618">
          <cell r="A618" t="str">
            <v>Ideal Gas Springs Pvt Ltd</v>
          </cell>
          <cell r="B618">
            <v>0.2</v>
          </cell>
          <cell r="C618">
            <v>0</v>
          </cell>
          <cell r="D618">
            <v>0</v>
          </cell>
          <cell r="E618">
            <v>0.2</v>
          </cell>
          <cell r="G618">
            <v>0.2</v>
          </cell>
        </row>
        <row r="619">
          <cell r="A619" t="str">
            <v>Ikon Instruments</v>
          </cell>
          <cell r="B619">
            <v>-0.5</v>
          </cell>
          <cell r="C619">
            <v>42782</v>
          </cell>
          <cell r="D619">
            <v>0</v>
          </cell>
          <cell r="E619">
            <v>42781.5</v>
          </cell>
          <cell r="G619">
            <v>42781.5</v>
          </cell>
        </row>
        <row r="620">
          <cell r="A620" t="str">
            <v>Indiana Bearings Private Limited</v>
          </cell>
          <cell r="B620">
            <v>-10684</v>
          </cell>
          <cell r="C620">
            <v>10684</v>
          </cell>
          <cell r="D620">
            <v>0</v>
          </cell>
          <cell r="E620">
            <v>0</v>
          </cell>
          <cell r="G620">
            <v>0</v>
          </cell>
        </row>
        <row r="621">
          <cell r="A621" t="str">
            <v>Infotek Software &amp; Systems Pvt Ltd</v>
          </cell>
          <cell r="B621">
            <v>-11800</v>
          </cell>
          <cell r="C621">
            <v>11800</v>
          </cell>
          <cell r="D621">
            <v>0</v>
          </cell>
          <cell r="E621">
            <v>0</v>
          </cell>
          <cell r="G621">
            <v>0</v>
          </cell>
        </row>
        <row r="622">
          <cell r="A622" t="str">
            <v>J P Extrusiontech Private Limited</v>
          </cell>
          <cell r="B622">
            <v>0</v>
          </cell>
          <cell r="C622">
            <v>0</v>
          </cell>
          <cell r="D622">
            <v>0</v>
          </cell>
          <cell r="E622">
            <v>0</v>
          </cell>
          <cell r="G622">
            <v>0</v>
          </cell>
        </row>
        <row r="623">
          <cell r="A623" t="str">
            <v>Jain Electro Tech</v>
          </cell>
          <cell r="B623">
            <v>-15882.8</v>
          </cell>
          <cell r="C623">
            <v>15882.8</v>
          </cell>
          <cell r="D623">
            <v>0</v>
          </cell>
          <cell r="E623">
            <v>0</v>
          </cell>
          <cell r="G623">
            <v>0</v>
          </cell>
        </row>
        <row r="624">
          <cell r="A624" t="str">
            <v>Jay Ambe Tex Spare</v>
          </cell>
          <cell r="B624">
            <v>-53100</v>
          </cell>
          <cell r="C624">
            <v>143134</v>
          </cell>
          <cell r="D624">
            <v>141364</v>
          </cell>
          <cell r="E624">
            <v>-51330</v>
          </cell>
          <cell r="G624">
            <v>-51330</v>
          </cell>
        </row>
        <row r="625">
          <cell r="A625" t="str">
            <v>Jay Bhavani Electricals &amp; Hardware</v>
          </cell>
          <cell r="B625">
            <v>-8942.01</v>
          </cell>
          <cell r="C625">
            <v>8942.01</v>
          </cell>
          <cell r="D625">
            <v>0</v>
          </cell>
          <cell r="E625">
            <v>0</v>
          </cell>
          <cell r="G625">
            <v>0</v>
          </cell>
        </row>
        <row r="626">
          <cell r="A626" t="str">
            <v>Jay Jagannath Industries - Prop Umeshbhai Kantilal Panchal</v>
          </cell>
          <cell r="B626">
            <v>3337</v>
          </cell>
          <cell r="C626">
            <v>0</v>
          </cell>
          <cell r="D626">
            <v>0</v>
          </cell>
          <cell r="E626">
            <v>3337</v>
          </cell>
          <cell r="G626">
            <v>3337</v>
          </cell>
        </row>
        <row r="627">
          <cell r="A627" t="str">
            <v>Jay Jagannath Industries- 24GKEPP9703F1Z1</v>
          </cell>
          <cell r="B627">
            <v>0</v>
          </cell>
          <cell r="C627">
            <v>22945</v>
          </cell>
          <cell r="D627">
            <v>24373</v>
          </cell>
          <cell r="E627">
            <v>-1428</v>
          </cell>
          <cell r="G627">
            <v>-1428</v>
          </cell>
        </row>
        <row r="628">
          <cell r="A628" t="str">
            <v>Jay Meldi Engineering Works</v>
          </cell>
          <cell r="B628">
            <v>-4528.3999999999996</v>
          </cell>
          <cell r="C628">
            <v>2507</v>
          </cell>
          <cell r="D628">
            <v>0</v>
          </cell>
          <cell r="E628">
            <v>-2021.4</v>
          </cell>
          <cell r="G628">
            <v>-2021.4</v>
          </cell>
        </row>
        <row r="629">
          <cell r="A629" t="str">
            <v>Jaydeep Machinery Pvt. Ltd.</v>
          </cell>
          <cell r="B629">
            <v>-500</v>
          </cell>
          <cell r="C629">
            <v>0</v>
          </cell>
          <cell r="D629">
            <v>0</v>
          </cell>
          <cell r="E629">
            <v>-500</v>
          </cell>
          <cell r="G629">
            <v>-500</v>
          </cell>
        </row>
        <row r="630">
          <cell r="A630" t="str">
            <v>Jupiter Scientific</v>
          </cell>
          <cell r="B630">
            <v>0</v>
          </cell>
          <cell r="C630">
            <v>1534</v>
          </cell>
          <cell r="D630">
            <v>1534</v>
          </cell>
          <cell r="E630">
            <v>0</v>
          </cell>
          <cell r="G630">
            <v>0</v>
          </cell>
        </row>
        <row r="631">
          <cell r="A631" t="str">
            <v>K.Patel &amp; Company</v>
          </cell>
          <cell r="B631">
            <v>0</v>
          </cell>
          <cell r="C631">
            <v>0</v>
          </cell>
          <cell r="D631">
            <v>0</v>
          </cell>
          <cell r="E631">
            <v>0</v>
          </cell>
          <cell r="G631">
            <v>0</v>
          </cell>
        </row>
        <row r="632">
          <cell r="A632" t="str">
            <v>Kabra Electricals</v>
          </cell>
          <cell r="B632">
            <v>-130013</v>
          </cell>
          <cell r="C632">
            <v>165979</v>
          </cell>
          <cell r="D632">
            <v>130456</v>
          </cell>
          <cell r="E632">
            <v>-94490</v>
          </cell>
          <cell r="G632">
            <v>-94490</v>
          </cell>
        </row>
        <row r="633">
          <cell r="A633" t="str">
            <v>Kamaldeep Xerox And Stationers</v>
          </cell>
          <cell r="B633">
            <v>-7646.4</v>
          </cell>
          <cell r="C633">
            <v>1947</v>
          </cell>
          <cell r="D633">
            <v>1947</v>
          </cell>
          <cell r="E633">
            <v>-7646.4</v>
          </cell>
          <cell r="G633">
            <v>-7646.4</v>
          </cell>
        </row>
        <row r="634">
          <cell r="A634" t="str">
            <v>Kan Power Rubber Industries</v>
          </cell>
          <cell r="B634">
            <v>-29064</v>
          </cell>
          <cell r="C634">
            <v>9995</v>
          </cell>
          <cell r="D634">
            <v>14160</v>
          </cell>
          <cell r="E634">
            <v>-33229</v>
          </cell>
          <cell r="G634">
            <v>-33229</v>
          </cell>
        </row>
        <row r="635">
          <cell r="A635" t="str">
            <v>Kant Plastology</v>
          </cell>
          <cell r="B635">
            <v>0</v>
          </cell>
          <cell r="C635">
            <v>0</v>
          </cell>
          <cell r="D635">
            <v>0</v>
          </cell>
          <cell r="E635">
            <v>0</v>
          </cell>
          <cell r="G635">
            <v>0</v>
          </cell>
        </row>
        <row r="636">
          <cell r="A636" t="str">
            <v>Kavan Tradelink</v>
          </cell>
          <cell r="B636">
            <v>0</v>
          </cell>
          <cell r="C636">
            <v>3492.8</v>
          </cell>
          <cell r="D636">
            <v>3492.8</v>
          </cell>
          <cell r="E636">
            <v>0</v>
          </cell>
          <cell r="G636">
            <v>0</v>
          </cell>
        </row>
        <row r="637">
          <cell r="A637" t="str">
            <v>KDR Engineers</v>
          </cell>
          <cell r="B637">
            <v>-42959</v>
          </cell>
          <cell r="C637">
            <v>66560</v>
          </cell>
          <cell r="D637">
            <v>23601</v>
          </cell>
          <cell r="E637">
            <v>0</v>
          </cell>
          <cell r="G637">
            <v>0</v>
          </cell>
        </row>
        <row r="638">
          <cell r="A638" t="str">
            <v>Khator Enterprises</v>
          </cell>
          <cell r="B638">
            <v>-3894</v>
          </cell>
          <cell r="C638">
            <v>5841</v>
          </cell>
          <cell r="D638">
            <v>14773.6</v>
          </cell>
          <cell r="E638">
            <v>-12826.6</v>
          </cell>
          <cell r="G638">
            <v>-12826.6</v>
          </cell>
        </row>
        <row r="639">
          <cell r="A639" t="str">
            <v>Kishan Traders - Gandhidham</v>
          </cell>
          <cell r="B639">
            <v>-1357</v>
          </cell>
          <cell r="C639">
            <v>5841</v>
          </cell>
          <cell r="D639">
            <v>2242</v>
          </cell>
          <cell r="E639">
            <v>2242</v>
          </cell>
          <cell r="G639">
            <v>2242</v>
          </cell>
        </row>
        <row r="640">
          <cell r="A640" t="str">
            <v>Kothari Packaging Industries</v>
          </cell>
          <cell r="B640">
            <v>0</v>
          </cell>
          <cell r="C640">
            <v>0</v>
          </cell>
          <cell r="D640">
            <v>0</v>
          </cell>
          <cell r="E640">
            <v>0</v>
          </cell>
          <cell r="G640">
            <v>0</v>
          </cell>
        </row>
        <row r="641">
          <cell r="A641" t="str">
            <v>Krishna Enterprise - Ashram Road, Ahmedabad</v>
          </cell>
          <cell r="B641">
            <v>0</v>
          </cell>
          <cell r="C641">
            <v>0</v>
          </cell>
          <cell r="D641">
            <v>7434</v>
          </cell>
          <cell r="E641">
            <v>-7434</v>
          </cell>
          <cell r="G641">
            <v>-7434</v>
          </cell>
        </row>
        <row r="642">
          <cell r="A642" t="str">
            <v>Krishna Enterprise - Navrangpura</v>
          </cell>
          <cell r="B642">
            <v>-8574</v>
          </cell>
          <cell r="C642">
            <v>23109</v>
          </cell>
          <cell r="D642">
            <v>14535</v>
          </cell>
          <cell r="E642">
            <v>0</v>
          </cell>
          <cell r="G642">
            <v>0</v>
          </cell>
        </row>
        <row r="643">
          <cell r="A643" t="str">
            <v>Kristeel Shinwa Industries Limited - Dadar And Nagar</v>
          </cell>
          <cell r="B643">
            <v>0</v>
          </cell>
          <cell r="C643">
            <v>0</v>
          </cell>
          <cell r="D643">
            <v>0</v>
          </cell>
          <cell r="E643">
            <v>0</v>
          </cell>
          <cell r="G643">
            <v>0</v>
          </cell>
        </row>
        <row r="644">
          <cell r="A644" t="str">
            <v>Krunal Enterprise</v>
          </cell>
          <cell r="B644">
            <v>0</v>
          </cell>
          <cell r="C644">
            <v>5369</v>
          </cell>
          <cell r="D644">
            <v>16107</v>
          </cell>
          <cell r="E644">
            <v>-10738</v>
          </cell>
          <cell r="G644">
            <v>-10738</v>
          </cell>
        </row>
        <row r="645">
          <cell r="A645" t="str">
            <v>Labdhi Engineering Pvt Ltd</v>
          </cell>
          <cell r="B645">
            <v>-11611.8</v>
          </cell>
          <cell r="C645">
            <v>12850</v>
          </cell>
          <cell r="D645">
            <v>2537</v>
          </cell>
          <cell r="E645">
            <v>-1298.8</v>
          </cell>
          <cell r="G645">
            <v>-1298.8</v>
          </cell>
        </row>
        <row r="646">
          <cell r="A646" t="str">
            <v>Lohia Corp Limited - 09AAKCK2932Q1ZU - UP</v>
          </cell>
          <cell r="B646">
            <v>-438567.49</v>
          </cell>
          <cell r="C646">
            <v>468902.39</v>
          </cell>
          <cell r="D646">
            <v>31240.05</v>
          </cell>
          <cell r="E646">
            <v>-905.15</v>
          </cell>
          <cell r="G646">
            <v>-905.15</v>
          </cell>
        </row>
        <row r="647">
          <cell r="A647" t="str">
            <v>Lohia Corp Limited - 24AAKCK2932Q1Z2 - Guj</v>
          </cell>
          <cell r="B647">
            <v>212861.49</v>
          </cell>
          <cell r="C647">
            <v>196093.98</v>
          </cell>
          <cell r="D647">
            <v>20051.16</v>
          </cell>
          <cell r="E647">
            <v>388904.31</v>
          </cell>
          <cell r="G647">
            <v>388904.31</v>
          </cell>
        </row>
        <row r="648">
          <cell r="A648" t="str">
            <v>Lohia Global Solutions - Gujarat - (A Div of Lohia Corp Ltd)</v>
          </cell>
          <cell r="B648">
            <v>0</v>
          </cell>
          <cell r="C648">
            <v>0</v>
          </cell>
          <cell r="D648">
            <v>0</v>
          </cell>
          <cell r="E648">
            <v>0</v>
          </cell>
          <cell r="G648">
            <v>0</v>
          </cell>
        </row>
        <row r="649">
          <cell r="A649" t="str">
            <v>Lohia Global Solutions - Karnataka (Div Of Lohia Corp)</v>
          </cell>
          <cell r="B649">
            <v>0</v>
          </cell>
          <cell r="C649">
            <v>0</v>
          </cell>
          <cell r="D649">
            <v>0</v>
          </cell>
          <cell r="E649">
            <v>0</v>
          </cell>
          <cell r="G649">
            <v>0</v>
          </cell>
        </row>
        <row r="650">
          <cell r="A650" t="str">
            <v>Lohia Global Solutions - UP - (A Div of Lohia Corp Ltd)</v>
          </cell>
          <cell r="B650">
            <v>-0.05</v>
          </cell>
          <cell r="C650">
            <v>0</v>
          </cell>
          <cell r="D650">
            <v>0</v>
          </cell>
          <cell r="E650">
            <v>-0.05</v>
          </cell>
          <cell r="G650">
            <v>-0.05</v>
          </cell>
        </row>
        <row r="651">
          <cell r="A651" t="str">
            <v>Lohia Global Solutions Pvt Ltd, Gujarat</v>
          </cell>
          <cell r="B651">
            <v>0</v>
          </cell>
          <cell r="C651">
            <v>0</v>
          </cell>
          <cell r="D651">
            <v>0</v>
          </cell>
          <cell r="E651">
            <v>0</v>
          </cell>
          <cell r="G651">
            <v>0</v>
          </cell>
        </row>
        <row r="652">
          <cell r="A652" t="str">
            <v>Lubgraf Products</v>
          </cell>
          <cell r="B652">
            <v>0</v>
          </cell>
          <cell r="C652">
            <v>0</v>
          </cell>
          <cell r="D652">
            <v>19475</v>
          </cell>
          <cell r="E652">
            <v>-19475</v>
          </cell>
          <cell r="G652">
            <v>-19475</v>
          </cell>
        </row>
        <row r="653">
          <cell r="A653" t="str">
            <v>M.H.Reeds Reparing Works</v>
          </cell>
          <cell r="B653">
            <v>0</v>
          </cell>
          <cell r="C653">
            <v>0</v>
          </cell>
          <cell r="D653">
            <v>0</v>
          </cell>
          <cell r="E653">
            <v>0</v>
          </cell>
          <cell r="G653">
            <v>0</v>
          </cell>
        </row>
        <row r="654">
          <cell r="A654" t="str">
            <v>Maa Durga Engineering</v>
          </cell>
          <cell r="B654">
            <v>0</v>
          </cell>
          <cell r="C654">
            <v>23010</v>
          </cell>
          <cell r="D654">
            <v>23010</v>
          </cell>
          <cell r="E654">
            <v>0</v>
          </cell>
          <cell r="G654">
            <v>0</v>
          </cell>
        </row>
        <row r="655">
          <cell r="A655" t="str">
            <v>Maa Enterprise 24CFGPP5964K1ZW</v>
          </cell>
          <cell r="B655">
            <v>-0.24</v>
          </cell>
          <cell r="C655">
            <v>0</v>
          </cell>
          <cell r="D655">
            <v>0</v>
          </cell>
          <cell r="E655">
            <v>-0.24</v>
          </cell>
          <cell r="G655">
            <v>-0.24</v>
          </cell>
        </row>
        <row r="656">
          <cell r="A656" t="str">
            <v>Machinery &amp; Tools Centre</v>
          </cell>
          <cell r="B656">
            <v>-8083</v>
          </cell>
          <cell r="C656">
            <v>10738</v>
          </cell>
          <cell r="D656">
            <v>2655</v>
          </cell>
          <cell r="E656">
            <v>0</v>
          </cell>
          <cell r="G656">
            <v>0</v>
          </cell>
        </row>
        <row r="657">
          <cell r="A657" t="str">
            <v>Mahakali Trading Company</v>
          </cell>
          <cell r="B657">
            <v>0.23</v>
          </cell>
          <cell r="C657">
            <v>0</v>
          </cell>
          <cell r="D657">
            <v>0</v>
          </cell>
          <cell r="E657">
            <v>0.23</v>
          </cell>
          <cell r="G657">
            <v>0.23</v>
          </cell>
        </row>
        <row r="658">
          <cell r="A658" t="str">
            <v>Mahalaxmi Sulz Spare</v>
          </cell>
          <cell r="B658">
            <v>-1449</v>
          </cell>
          <cell r="C658">
            <v>274291</v>
          </cell>
          <cell r="D658">
            <v>245912</v>
          </cell>
          <cell r="E658">
            <v>26930</v>
          </cell>
          <cell r="G658">
            <v>26930</v>
          </cell>
        </row>
        <row r="659">
          <cell r="A659" t="str">
            <v>Mahavir Enterprise</v>
          </cell>
          <cell r="B659">
            <v>0</v>
          </cell>
          <cell r="C659">
            <v>0</v>
          </cell>
          <cell r="D659">
            <v>472</v>
          </cell>
          <cell r="E659">
            <v>-472</v>
          </cell>
          <cell r="G659">
            <v>-472</v>
          </cell>
        </row>
        <row r="660">
          <cell r="A660" t="str">
            <v>Mahavir Impex 24AEQPS2981A1ZD</v>
          </cell>
          <cell r="B660">
            <v>0</v>
          </cell>
          <cell r="C660">
            <v>45175</v>
          </cell>
          <cell r="D660">
            <v>155846</v>
          </cell>
          <cell r="E660">
            <v>-110671</v>
          </cell>
          <cell r="G660">
            <v>-110671</v>
          </cell>
        </row>
        <row r="661">
          <cell r="A661" t="str">
            <v>Maheshwari Timber Mart</v>
          </cell>
          <cell r="B661">
            <v>5550</v>
          </cell>
          <cell r="C661">
            <v>0</v>
          </cell>
          <cell r="D661">
            <v>0</v>
          </cell>
          <cell r="E661">
            <v>5550</v>
          </cell>
          <cell r="G661">
            <v>5550</v>
          </cell>
        </row>
        <row r="662">
          <cell r="A662" t="str">
            <v>Max Spare Limited</v>
          </cell>
          <cell r="B662">
            <v>-632</v>
          </cell>
          <cell r="C662">
            <v>14650</v>
          </cell>
          <cell r="D662">
            <v>14018</v>
          </cell>
          <cell r="E662">
            <v>0</v>
          </cell>
          <cell r="G662">
            <v>0</v>
          </cell>
        </row>
        <row r="663">
          <cell r="A663" t="str">
            <v>Mehjal Adhesive Tapes Pvt. Ltd.</v>
          </cell>
          <cell r="B663">
            <v>-94425</v>
          </cell>
          <cell r="C663">
            <v>494331</v>
          </cell>
          <cell r="D663">
            <v>568056</v>
          </cell>
          <cell r="E663">
            <v>-168150</v>
          </cell>
          <cell r="G663">
            <v>-168150</v>
          </cell>
        </row>
        <row r="664">
          <cell r="A664" t="str">
            <v>Meshtech India- Creditor</v>
          </cell>
          <cell r="B664">
            <v>-66080</v>
          </cell>
          <cell r="C664">
            <v>66080</v>
          </cell>
          <cell r="D664">
            <v>0</v>
          </cell>
          <cell r="E664">
            <v>0</v>
          </cell>
          <cell r="G664">
            <v>0</v>
          </cell>
        </row>
        <row r="665">
          <cell r="A665" t="str">
            <v>Metalex Agencies</v>
          </cell>
          <cell r="B665">
            <v>0</v>
          </cell>
          <cell r="C665">
            <v>60920</v>
          </cell>
          <cell r="D665">
            <v>60920</v>
          </cell>
          <cell r="E665">
            <v>0</v>
          </cell>
          <cell r="G665">
            <v>0</v>
          </cell>
        </row>
        <row r="666">
          <cell r="A666" t="str">
            <v>Milin Tubes</v>
          </cell>
          <cell r="B666">
            <v>-37760</v>
          </cell>
          <cell r="C666">
            <v>72806</v>
          </cell>
          <cell r="D666">
            <v>58410</v>
          </cell>
          <cell r="E666">
            <v>-23364</v>
          </cell>
          <cell r="G666">
            <v>-23364</v>
          </cell>
        </row>
        <row r="667">
          <cell r="A667" t="str">
            <v>Mukund Steels</v>
          </cell>
          <cell r="B667">
            <v>0</v>
          </cell>
          <cell r="C667">
            <v>11508</v>
          </cell>
          <cell r="D667">
            <v>11508</v>
          </cell>
          <cell r="E667">
            <v>0</v>
          </cell>
          <cell r="G667">
            <v>0</v>
          </cell>
        </row>
        <row r="668">
          <cell r="A668" t="str">
            <v>Multi Enterprise</v>
          </cell>
          <cell r="B668">
            <v>-19540</v>
          </cell>
          <cell r="C668">
            <v>0</v>
          </cell>
          <cell r="D668">
            <v>4200</v>
          </cell>
          <cell r="E668">
            <v>-23740</v>
          </cell>
          <cell r="G668">
            <v>-23740</v>
          </cell>
        </row>
        <row r="669">
          <cell r="A669" t="str">
            <v>Murlidhar Paper Tube</v>
          </cell>
          <cell r="B669">
            <v>0</v>
          </cell>
          <cell r="C669">
            <v>0</v>
          </cell>
          <cell r="D669">
            <v>44816</v>
          </cell>
          <cell r="E669">
            <v>-44816</v>
          </cell>
          <cell r="G669">
            <v>-44816</v>
          </cell>
        </row>
        <row r="670">
          <cell r="A670" t="str">
            <v>Naran Scissors Works &amp; Traders</v>
          </cell>
          <cell r="B670">
            <v>0</v>
          </cell>
          <cell r="C670">
            <v>835</v>
          </cell>
          <cell r="D670">
            <v>0</v>
          </cell>
          <cell r="E670">
            <v>835</v>
          </cell>
          <cell r="G670">
            <v>835</v>
          </cell>
        </row>
        <row r="671">
          <cell r="A671" t="str">
            <v>Navrang Machinery Pvt Ltd</v>
          </cell>
          <cell r="B671">
            <v>-18526</v>
          </cell>
          <cell r="C671">
            <v>18526</v>
          </cell>
          <cell r="D671">
            <v>0</v>
          </cell>
          <cell r="E671">
            <v>0</v>
          </cell>
          <cell r="G671">
            <v>0</v>
          </cell>
        </row>
        <row r="672">
          <cell r="A672" t="str">
            <v>Neha Tex</v>
          </cell>
          <cell r="B672">
            <v>-25960</v>
          </cell>
          <cell r="C672">
            <v>0</v>
          </cell>
          <cell r="D672">
            <v>0</v>
          </cell>
          <cell r="E672">
            <v>-25960</v>
          </cell>
          <cell r="G672">
            <v>-25960</v>
          </cell>
        </row>
        <row r="673">
          <cell r="A673" t="str">
            <v>Neha Tex Fab Pvt Ltd</v>
          </cell>
          <cell r="B673">
            <v>-52156</v>
          </cell>
          <cell r="C673">
            <v>325444</v>
          </cell>
          <cell r="D673">
            <v>304676</v>
          </cell>
          <cell r="E673">
            <v>-31388</v>
          </cell>
          <cell r="G673">
            <v>-31388</v>
          </cell>
        </row>
        <row r="674">
          <cell r="A674" t="str">
            <v>New Arm</v>
          </cell>
          <cell r="B674">
            <v>-59714</v>
          </cell>
          <cell r="C674">
            <v>109904</v>
          </cell>
          <cell r="D674">
            <v>50190</v>
          </cell>
          <cell r="E674">
            <v>0</v>
          </cell>
          <cell r="G674">
            <v>0</v>
          </cell>
        </row>
        <row r="675">
          <cell r="A675" t="str">
            <v>New Raj Fashion</v>
          </cell>
          <cell r="B675">
            <v>-367395</v>
          </cell>
          <cell r="C675">
            <v>712572</v>
          </cell>
          <cell r="D675">
            <v>345177</v>
          </cell>
          <cell r="E675">
            <v>0</v>
          </cell>
          <cell r="G675">
            <v>0</v>
          </cell>
        </row>
        <row r="676">
          <cell r="A676" t="str">
            <v>Nigam Hardware</v>
          </cell>
          <cell r="B676">
            <v>-0.36</v>
          </cell>
          <cell r="C676">
            <v>4779</v>
          </cell>
          <cell r="D676">
            <v>4779</v>
          </cell>
          <cell r="E676">
            <v>-0.36</v>
          </cell>
          <cell r="G676">
            <v>-0.36</v>
          </cell>
        </row>
        <row r="677">
          <cell r="A677" t="str">
            <v>Nikshe Multiproducts Pvt Ltd</v>
          </cell>
          <cell r="B677">
            <v>-12596</v>
          </cell>
          <cell r="C677">
            <v>58584</v>
          </cell>
          <cell r="D677">
            <v>45988</v>
          </cell>
          <cell r="E677">
            <v>0</v>
          </cell>
          <cell r="G677">
            <v>0</v>
          </cell>
        </row>
        <row r="678">
          <cell r="A678" t="str">
            <v>Nishith Enterprise</v>
          </cell>
          <cell r="B678">
            <v>-40380</v>
          </cell>
          <cell r="C678">
            <v>37524</v>
          </cell>
          <cell r="D678">
            <v>81868</v>
          </cell>
          <cell r="E678">
            <v>-84724</v>
          </cell>
          <cell r="G678">
            <v>-84724</v>
          </cell>
        </row>
        <row r="679">
          <cell r="A679" t="str">
            <v>Nrs Industrial Products</v>
          </cell>
          <cell r="B679">
            <v>0</v>
          </cell>
          <cell r="C679">
            <v>0</v>
          </cell>
          <cell r="D679">
            <v>18148</v>
          </cell>
          <cell r="E679">
            <v>-18148</v>
          </cell>
          <cell r="G679">
            <v>-18148</v>
          </cell>
        </row>
        <row r="680">
          <cell r="A680" t="str">
            <v>Oak Tradeklink</v>
          </cell>
          <cell r="B680">
            <v>-11328</v>
          </cell>
          <cell r="C680">
            <v>11328</v>
          </cell>
          <cell r="D680">
            <v>0</v>
          </cell>
          <cell r="E680">
            <v>0</v>
          </cell>
          <cell r="G680">
            <v>0</v>
          </cell>
        </row>
        <row r="681">
          <cell r="A681" t="str">
            <v>Omega Fire &amp; Safety Products</v>
          </cell>
          <cell r="B681">
            <v>-0.2</v>
          </cell>
          <cell r="C681">
            <v>15576</v>
          </cell>
          <cell r="D681">
            <v>15576</v>
          </cell>
          <cell r="E681">
            <v>-0.2</v>
          </cell>
          <cell r="G681">
            <v>-0.2</v>
          </cell>
        </row>
        <row r="682">
          <cell r="A682" t="str">
            <v>Omkar Industries 24BPDPP0620L1Z2</v>
          </cell>
          <cell r="B682">
            <v>-9865</v>
          </cell>
          <cell r="C682">
            <v>9865</v>
          </cell>
          <cell r="D682">
            <v>4932.3999999999996</v>
          </cell>
          <cell r="E682">
            <v>-4932.3999999999996</v>
          </cell>
          <cell r="G682">
            <v>-4932.3999999999996</v>
          </cell>
        </row>
        <row r="683">
          <cell r="A683" t="str">
            <v>Orion Equipment</v>
          </cell>
          <cell r="B683">
            <v>0</v>
          </cell>
          <cell r="C683">
            <v>38409</v>
          </cell>
          <cell r="D683">
            <v>4720</v>
          </cell>
          <cell r="E683">
            <v>33689</v>
          </cell>
          <cell r="G683">
            <v>33689</v>
          </cell>
        </row>
        <row r="684">
          <cell r="A684" t="str">
            <v>Oswal Lumbers Pvt Ltd</v>
          </cell>
          <cell r="B684">
            <v>0</v>
          </cell>
          <cell r="C684">
            <v>0</v>
          </cell>
          <cell r="D684">
            <v>0</v>
          </cell>
          <cell r="E684">
            <v>0</v>
          </cell>
          <cell r="G684">
            <v>0</v>
          </cell>
        </row>
        <row r="685">
          <cell r="A685" t="str">
            <v>Panchvati Tools Co.</v>
          </cell>
          <cell r="B685">
            <v>-68342</v>
          </cell>
          <cell r="C685">
            <v>99138</v>
          </cell>
          <cell r="D685">
            <v>113645.01</v>
          </cell>
          <cell r="E685">
            <v>-82849.009999999995</v>
          </cell>
          <cell r="G685">
            <v>-82849.009999999995</v>
          </cell>
        </row>
        <row r="686">
          <cell r="A686" t="str">
            <v>Pavan Electrical &amp; Hardware</v>
          </cell>
          <cell r="B686">
            <v>-1510</v>
          </cell>
          <cell r="C686">
            <v>0</v>
          </cell>
          <cell r="D686">
            <v>0</v>
          </cell>
          <cell r="E686">
            <v>-1510</v>
          </cell>
          <cell r="G686">
            <v>-1510</v>
          </cell>
        </row>
        <row r="687">
          <cell r="A687" t="str">
            <v>Pavan Electricals And Hardware</v>
          </cell>
          <cell r="B687">
            <v>-20387</v>
          </cell>
          <cell r="C687">
            <v>0</v>
          </cell>
          <cell r="D687">
            <v>10432</v>
          </cell>
          <cell r="E687">
            <v>-30819</v>
          </cell>
          <cell r="G687">
            <v>-30819</v>
          </cell>
        </row>
        <row r="688">
          <cell r="A688" t="str">
            <v>Perfect Belts Private Limited (Gujarat)</v>
          </cell>
          <cell r="B688">
            <v>-6263.98</v>
          </cell>
          <cell r="C688">
            <v>25820</v>
          </cell>
          <cell r="D688">
            <v>33025</v>
          </cell>
          <cell r="E688">
            <v>-13468.98</v>
          </cell>
          <cell r="G688">
            <v>-13468.98</v>
          </cell>
        </row>
        <row r="689">
          <cell r="A689" t="str">
            <v>Perfect Engineers Works</v>
          </cell>
          <cell r="B689">
            <v>0</v>
          </cell>
          <cell r="C689">
            <v>16638</v>
          </cell>
          <cell r="D689">
            <v>16638</v>
          </cell>
          <cell r="E689">
            <v>0</v>
          </cell>
          <cell r="G689">
            <v>0</v>
          </cell>
        </row>
        <row r="690">
          <cell r="A690" t="str">
            <v>Plus Logistics Ltd.</v>
          </cell>
          <cell r="B690">
            <v>0</v>
          </cell>
          <cell r="C690">
            <v>10033</v>
          </cell>
          <cell r="D690">
            <v>38943</v>
          </cell>
          <cell r="E690">
            <v>-28910</v>
          </cell>
          <cell r="G690">
            <v>-28910</v>
          </cell>
        </row>
        <row r="691">
          <cell r="A691" t="str">
            <v>Pooja Enterprises-Odhav.</v>
          </cell>
          <cell r="B691">
            <v>-24824</v>
          </cell>
          <cell r="C691">
            <v>64109</v>
          </cell>
          <cell r="D691">
            <v>64109</v>
          </cell>
          <cell r="E691">
            <v>-24824</v>
          </cell>
          <cell r="G691">
            <v>-24824</v>
          </cell>
        </row>
        <row r="692">
          <cell r="A692" t="str">
            <v>Prabhat Textile Trading Co.</v>
          </cell>
          <cell r="B692">
            <v>-216819</v>
          </cell>
          <cell r="C692">
            <v>216819</v>
          </cell>
          <cell r="D692">
            <v>0</v>
          </cell>
          <cell r="E692">
            <v>0</v>
          </cell>
          <cell r="G692">
            <v>0</v>
          </cell>
        </row>
        <row r="693">
          <cell r="A693" t="str">
            <v>Pramukh Enterprise</v>
          </cell>
          <cell r="B693">
            <v>0</v>
          </cell>
          <cell r="C693">
            <v>0</v>
          </cell>
          <cell r="D693">
            <v>0</v>
          </cell>
          <cell r="E693">
            <v>0</v>
          </cell>
          <cell r="G693">
            <v>0</v>
          </cell>
        </row>
        <row r="694">
          <cell r="A694" t="str">
            <v>Premier India Bearing Ltd.</v>
          </cell>
          <cell r="B694">
            <v>-9973.26</v>
          </cell>
          <cell r="C694">
            <v>38092.26</v>
          </cell>
          <cell r="D694">
            <v>28119</v>
          </cell>
          <cell r="E694">
            <v>0</v>
          </cell>
          <cell r="G694">
            <v>0</v>
          </cell>
        </row>
        <row r="695">
          <cell r="A695" t="str">
            <v>Procon Technologies Pvt Ltd</v>
          </cell>
          <cell r="B695">
            <v>-26609</v>
          </cell>
          <cell r="C695">
            <v>26609</v>
          </cell>
          <cell r="D695">
            <v>0</v>
          </cell>
          <cell r="E695">
            <v>0</v>
          </cell>
          <cell r="G695">
            <v>0</v>
          </cell>
        </row>
        <row r="696">
          <cell r="A696" t="str">
            <v>Promatech Mfg&amp; Trading Co. Pvt Ltd</v>
          </cell>
          <cell r="B696">
            <v>-36650</v>
          </cell>
          <cell r="C696">
            <v>63294</v>
          </cell>
          <cell r="D696">
            <v>27824</v>
          </cell>
          <cell r="E696">
            <v>-1180</v>
          </cell>
          <cell r="G696">
            <v>-1180</v>
          </cell>
        </row>
        <row r="697">
          <cell r="A697" t="str">
            <v>Puran Electric &amp; Power Tools</v>
          </cell>
          <cell r="B697">
            <v>1162.8</v>
          </cell>
          <cell r="C697">
            <v>991.2</v>
          </cell>
          <cell r="D697">
            <v>0</v>
          </cell>
          <cell r="E697">
            <v>2154</v>
          </cell>
          <cell r="G697">
            <v>2154</v>
          </cell>
        </row>
        <row r="698">
          <cell r="A698" t="str">
            <v>Rabatex Industries</v>
          </cell>
          <cell r="B698">
            <v>-0.54</v>
          </cell>
          <cell r="C698">
            <v>12887.7</v>
          </cell>
          <cell r="D698">
            <v>12887</v>
          </cell>
          <cell r="E698">
            <v>0.16</v>
          </cell>
          <cell r="G698">
            <v>0.16</v>
          </cell>
        </row>
        <row r="699">
          <cell r="A699" t="str">
            <v>Rabatex Industries Private Limited</v>
          </cell>
          <cell r="B699">
            <v>0</v>
          </cell>
          <cell r="C699">
            <v>12887.7</v>
          </cell>
          <cell r="D699">
            <v>12888</v>
          </cell>
          <cell r="E699">
            <v>-0.3</v>
          </cell>
          <cell r="G699">
            <v>-0.3</v>
          </cell>
        </row>
        <row r="700">
          <cell r="A700" t="str">
            <v>Raj Furnishing</v>
          </cell>
          <cell r="B700">
            <v>-38527</v>
          </cell>
          <cell r="C700">
            <v>38527</v>
          </cell>
          <cell r="D700">
            <v>76989</v>
          </cell>
          <cell r="E700">
            <v>-76989</v>
          </cell>
          <cell r="G700">
            <v>-76989</v>
          </cell>
        </row>
        <row r="701">
          <cell r="A701" t="str">
            <v>Rajhans Plastic Machinery Pvt Ltd</v>
          </cell>
          <cell r="B701">
            <v>408.6</v>
          </cell>
          <cell r="C701">
            <v>0</v>
          </cell>
          <cell r="D701">
            <v>0</v>
          </cell>
          <cell r="E701">
            <v>408.6</v>
          </cell>
          <cell r="G701">
            <v>408.6</v>
          </cell>
        </row>
        <row r="702">
          <cell r="A702" t="str">
            <v>Rajratan Electricals Pvt Ltd</v>
          </cell>
          <cell r="B702">
            <v>-44075</v>
          </cell>
          <cell r="C702">
            <v>305381</v>
          </cell>
          <cell r="D702">
            <v>274650</v>
          </cell>
          <cell r="E702">
            <v>-13344</v>
          </cell>
          <cell r="G702">
            <v>-13344</v>
          </cell>
        </row>
        <row r="703">
          <cell r="A703" t="str">
            <v>Ramp Impex Pvt Ltd</v>
          </cell>
          <cell r="B703">
            <v>0</v>
          </cell>
          <cell r="C703">
            <v>0</v>
          </cell>
          <cell r="D703">
            <v>0</v>
          </cell>
          <cell r="E703">
            <v>0</v>
          </cell>
          <cell r="G703">
            <v>0</v>
          </cell>
        </row>
        <row r="704">
          <cell r="A704" t="str">
            <v>Ravi Plast Mold Private Limited</v>
          </cell>
          <cell r="B704">
            <v>0</v>
          </cell>
          <cell r="C704">
            <v>12637.8</v>
          </cell>
          <cell r="D704">
            <v>12637.8</v>
          </cell>
          <cell r="E704">
            <v>0</v>
          </cell>
          <cell r="G704">
            <v>0</v>
          </cell>
        </row>
        <row r="705">
          <cell r="A705" t="str">
            <v>Refresh Air Conditioning</v>
          </cell>
          <cell r="B705">
            <v>0</v>
          </cell>
          <cell r="C705">
            <v>0</v>
          </cell>
          <cell r="D705">
            <v>0</v>
          </cell>
          <cell r="E705">
            <v>0</v>
          </cell>
          <cell r="G705">
            <v>0</v>
          </cell>
        </row>
        <row r="706">
          <cell r="A706" t="str">
            <v>Regency Grani Marmo</v>
          </cell>
          <cell r="B706">
            <v>0</v>
          </cell>
          <cell r="C706">
            <v>142278.04</v>
          </cell>
          <cell r="D706">
            <v>167084.29999999999</v>
          </cell>
          <cell r="E706">
            <v>-24806.26</v>
          </cell>
          <cell r="G706">
            <v>-24806.26</v>
          </cell>
        </row>
        <row r="707">
          <cell r="A707" t="str">
            <v>Rekha Enterprise</v>
          </cell>
          <cell r="B707">
            <v>0</v>
          </cell>
          <cell r="C707">
            <v>13000</v>
          </cell>
          <cell r="D707">
            <v>13324</v>
          </cell>
          <cell r="E707">
            <v>-324</v>
          </cell>
          <cell r="G707">
            <v>-324</v>
          </cell>
        </row>
        <row r="708">
          <cell r="A708" t="str">
            <v>Riddhi Electric Industries</v>
          </cell>
          <cell r="B708">
            <v>-17750</v>
          </cell>
          <cell r="C708">
            <v>0</v>
          </cell>
          <cell r="D708">
            <v>0</v>
          </cell>
          <cell r="E708">
            <v>-17750</v>
          </cell>
          <cell r="G708">
            <v>-17750</v>
          </cell>
        </row>
        <row r="709">
          <cell r="A709" t="str">
            <v>Riddhi Mech-Fab Engineering</v>
          </cell>
          <cell r="B709">
            <v>0</v>
          </cell>
          <cell r="C709">
            <v>61360</v>
          </cell>
          <cell r="D709">
            <v>61360</v>
          </cell>
          <cell r="E709">
            <v>0</v>
          </cell>
          <cell r="G709">
            <v>0</v>
          </cell>
        </row>
        <row r="710">
          <cell r="A710" t="str">
            <v>Roltech Infotech</v>
          </cell>
          <cell r="B710">
            <v>-4790</v>
          </cell>
          <cell r="C710">
            <v>0</v>
          </cell>
          <cell r="D710">
            <v>0</v>
          </cell>
          <cell r="E710">
            <v>-4790</v>
          </cell>
          <cell r="G710">
            <v>-4790</v>
          </cell>
        </row>
        <row r="711">
          <cell r="A711" t="str">
            <v>Rotek Engineers</v>
          </cell>
          <cell r="B711">
            <v>0</v>
          </cell>
          <cell r="C711">
            <v>0</v>
          </cell>
          <cell r="D711">
            <v>0</v>
          </cell>
          <cell r="E711">
            <v>0</v>
          </cell>
          <cell r="G711">
            <v>0</v>
          </cell>
        </row>
        <row r="712">
          <cell r="A712" t="str">
            <v>RSR Trade Link</v>
          </cell>
          <cell r="B712">
            <v>0</v>
          </cell>
          <cell r="C712">
            <v>0</v>
          </cell>
          <cell r="D712">
            <v>0</v>
          </cell>
          <cell r="E712">
            <v>0</v>
          </cell>
          <cell r="G712">
            <v>0</v>
          </cell>
        </row>
        <row r="713">
          <cell r="A713" t="str">
            <v>Rubberking Tyre Pvt Ltd</v>
          </cell>
          <cell r="B713">
            <v>0</v>
          </cell>
          <cell r="C713">
            <v>0</v>
          </cell>
          <cell r="D713">
            <v>0</v>
          </cell>
          <cell r="E713">
            <v>0</v>
          </cell>
          <cell r="G713">
            <v>0</v>
          </cell>
        </row>
        <row r="714">
          <cell r="A714" t="str">
            <v>Rushabh Fastech Llp</v>
          </cell>
          <cell r="B714">
            <v>0</v>
          </cell>
          <cell r="C714">
            <v>0</v>
          </cell>
          <cell r="D714">
            <v>0</v>
          </cell>
          <cell r="E714">
            <v>0</v>
          </cell>
          <cell r="G714">
            <v>0</v>
          </cell>
        </row>
        <row r="715">
          <cell r="A715" t="str">
            <v>S.R.Sewing Tech</v>
          </cell>
          <cell r="B715">
            <v>-242458</v>
          </cell>
          <cell r="C715">
            <v>408818.75</v>
          </cell>
          <cell r="D715">
            <v>333304.75</v>
          </cell>
          <cell r="E715">
            <v>-166944</v>
          </cell>
          <cell r="G715">
            <v>-166944</v>
          </cell>
        </row>
        <row r="716">
          <cell r="A716" t="str">
            <v>Sagar Industries - 24ABEFS4427N1ZW</v>
          </cell>
          <cell r="B716">
            <v>-270397</v>
          </cell>
          <cell r="C716">
            <v>173637</v>
          </cell>
          <cell r="D716">
            <v>60888</v>
          </cell>
          <cell r="E716">
            <v>-157648</v>
          </cell>
          <cell r="G716">
            <v>-157648</v>
          </cell>
        </row>
        <row r="717">
          <cell r="A717" t="str">
            <v>Sahjanand Enterprise</v>
          </cell>
          <cell r="B717">
            <v>0</v>
          </cell>
          <cell r="C717">
            <v>0</v>
          </cell>
          <cell r="D717">
            <v>0</v>
          </cell>
          <cell r="E717">
            <v>0</v>
          </cell>
          <cell r="G717">
            <v>0</v>
          </cell>
        </row>
        <row r="718">
          <cell r="A718" t="str">
            <v>Salasar Sulz Spare Tex</v>
          </cell>
          <cell r="B718">
            <v>-21308.5</v>
          </cell>
          <cell r="C718">
            <v>14998</v>
          </cell>
          <cell r="D718">
            <v>12968</v>
          </cell>
          <cell r="E718">
            <v>-19278.5</v>
          </cell>
          <cell r="G718">
            <v>-19278.5</v>
          </cell>
        </row>
        <row r="719">
          <cell r="A719" t="str">
            <v>Saroj Textiles</v>
          </cell>
          <cell r="B719">
            <v>-1888.5</v>
          </cell>
          <cell r="C719">
            <v>20031</v>
          </cell>
          <cell r="D719">
            <v>25488</v>
          </cell>
          <cell r="E719">
            <v>-7345.5</v>
          </cell>
          <cell r="G719">
            <v>-7345.5</v>
          </cell>
        </row>
        <row r="720">
          <cell r="A720" t="str">
            <v>Satyam Stationery Mart</v>
          </cell>
          <cell r="B720">
            <v>-344330</v>
          </cell>
          <cell r="C720">
            <v>487585</v>
          </cell>
          <cell r="D720">
            <v>208446</v>
          </cell>
          <cell r="E720">
            <v>-65191</v>
          </cell>
          <cell r="G720">
            <v>-65191</v>
          </cell>
        </row>
        <row r="721">
          <cell r="A721" t="str">
            <v>Satyanarayan Rubber And Plastic Industries</v>
          </cell>
          <cell r="B721">
            <v>0</v>
          </cell>
          <cell r="C721">
            <v>0</v>
          </cell>
          <cell r="D721">
            <v>0</v>
          </cell>
          <cell r="E721">
            <v>0</v>
          </cell>
          <cell r="G721">
            <v>0</v>
          </cell>
        </row>
        <row r="722">
          <cell r="A722" t="str">
            <v>Saurabh Enterprise</v>
          </cell>
          <cell r="B722">
            <v>0</v>
          </cell>
          <cell r="C722">
            <v>7222</v>
          </cell>
          <cell r="D722">
            <v>24249</v>
          </cell>
          <cell r="E722">
            <v>-17027</v>
          </cell>
          <cell r="G722">
            <v>-17027</v>
          </cell>
        </row>
        <row r="723">
          <cell r="A723" t="str">
            <v>Sayona Engineers</v>
          </cell>
          <cell r="B723">
            <v>-74340</v>
          </cell>
          <cell r="C723">
            <v>310694</v>
          </cell>
          <cell r="D723">
            <v>461970</v>
          </cell>
          <cell r="E723">
            <v>-225616</v>
          </cell>
          <cell r="G723">
            <v>-225616</v>
          </cell>
        </row>
        <row r="724">
          <cell r="A724" t="str">
            <v>Schepper Enterprise Private Limited</v>
          </cell>
          <cell r="B724">
            <v>0</v>
          </cell>
          <cell r="C724">
            <v>10000</v>
          </cell>
          <cell r="D724">
            <v>0</v>
          </cell>
          <cell r="E724">
            <v>10000</v>
          </cell>
          <cell r="G724">
            <v>10000</v>
          </cell>
        </row>
        <row r="725">
          <cell r="A725" t="str">
            <v>Schmetz India Pvt Ltd</v>
          </cell>
          <cell r="B725">
            <v>0.86</v>
          </cell>
          <cell r="C725">
            <v>0</v>
          </cell>
          <cell r="D725">
            <v>0</v>
          </cell>
          <cell r="E725">
            <v>0.86</v>
          </cell>
          <cell r="G725">
            <v>0.86</v>
          </cell>
        </row>
        <row r="726">
          <cell r="A726" t="str">
            <v>Shah Sewing Machine Co.</v>
          </cell>
          <cell r="B726">
            <v>-3000</v>
          </cell>
          <cell r="C726">
            <v>0</v>
          </cell>
          <cell r="D726">
            <v>0</v>
          </cell>
          <cell r="E726">
            <v>-3000</v>
          </cell>
          <cell r="G726">
            <v>-3000</v>
          </cell>
        </row>
        <row r="727">
          <cell r="A727" t="str">
            <v>Shashi Dhawal Hydraulics Pvt Ltd</v>
          </cell>
          <cell r="B727">
            <v>-7446</v>
          </cell>
          <cell r="C727">
            <v>7446</v>
          </cell>
          <cell r="D727">
            <v>0</v>
          </cell>
          <cell r="E727">
            <v>0</v>
          </cell>
          <cell r="G727">
            <v>0</v>
          </cell>
        </row>
        <row r="728">
          <cell r="A728" t="str">
            <v>Sheetal Engineering Services</v>
          </cell>
          <cell r="B728">
            <v>-13539.4</v>
          </cell>
          <cell r="C728">
            <v>0</v>
          </cell>
          <cell r="D728">
            <v>0</v>
          </cell>
          <cell r="E728">
            <v>-13539.4</v>
          </cell>
          <cell r="G728">
            <v>-13539.4</v>
          </cell>
        </row>
        <row r="729">
          <cell r="A729" t="str">
            <v>Shil Technologies Pvt Ltd</v>
          </cell>
          <cell r="B729">
            <v>0</v>
          </cell>
          <cell r="C729">
            <v>0</v>
          </cell>
          <cell r="D729">
            <v>0</v>
          </cell>
          <cell r="E729">
            <v>0</v>
          </cell>
          <cell r="G729">
            <v>0</v>
          </cell>
        </row>
        <row r="730">
          <cell r="A730" t="str">
            <v>Shiv Industrial Products</v>
          </cell>
          <cell r="B730">
            <v>-31860</v>
          </cell>
          <cell r="C730">
            <v>34515</v>
          </cell>
          <cell r="D730">
            <v>46433</v>
          </cell>
          <cell r="E730">
            <v>-43778</v>
          </cell>
          <cell r="G730">
            <v>-43778</v>
          </cell>
        </row>
        <row r="731">
          <cell r="A731" t="str">
            <v>Shiv Trading Co.</v>
          </cell>
          <cell r="B731">
            <v>0</v>
          </cell>
          <cell r="C731">
            <v>0</v>
          </cell>
          <cell r="D731">
            <v>5369</v>
          </cell>
          <cell r="E731">
            <v>-5369</v>
          </cell>
          <cell r="G731">
            <v>-5369</v>
          </cell>
        </row>
        <row r="732">
          <cell r="A732" t="str">
            <v>Shivam Enterprise - 24ABSFS6360C1Z1</v>
          </cell>
          <cell r="B732">
            <v>-0.08</v>
          </cell>
          <cell r="C732">
            <v>0</v>
          </cell>
          <cell r="D732">
            <v>0</v>
          </cell>
          <cell r="E732">
            <v>-0.08</v>
          </cell>
          <cell r="G732">
            <v>-0.08</v>
          </cell>
        </row>
        <row r="733">
          <cell r="A733" t="str">
            <v>Shivam Gears</v>
          </cell>
          <cell r="B733">
            <v>3628.6</v>
          </cell>
          <cell r="C733">
            <v>0</v>
          </cell>
          <cell r="D733">
            <v>0</v>
          </cell>
          <cell r="E733">
            <v>3628.6</v>
          </cell>
          <cell r="G733">
            <v>3628.6</v>
          </cell>
        </row>
        <row r="734">
          <cell r="A734" t="str">
            <v>Shree Ganesh Stereo</v>
          </cell>
          <cell r="B734">
            <v>-122795</v>
          </cell>
          <cell r="C734">
            <v>113080</v>
          </cell>
          <cell r="D734">
            <v>60324</v>
          </cell>
          <cell r="E734">
            <v>-70039</v>
          </cell>
          <cell r="G734">
            <v>-70039</v>
          </cell>
        </row>
        <row r="735">
          <cell r="A735" t="str">
            <v>Shree Kdk Enterprise</v>
          </cell>
          <cell r="B735">
            <v>-229003</v>
          </cell>
          <cell r="C735">
            <v>209994</v>
          </cell>
          <cell r="D735">
            <v>0</v>
          </cell>
          <cell r="E735">
            <v>-19009</v>
          </cell>
          <cell r="G735">
            <v>-19009</v>
          </cell>
        </row>
        <row r="736">
          <cell r="A736" t="str">
            <v>Shree Krishna Rubbers</v>
          </cell>
          <cell r="B736">
            <v>0</v>
          </cell>
          <cell r="C736">
            <v>0</v>
          </cell>
          <cell r="D736">
            <v>0</v>
          </cell>
          <cell r="E736">
            <v>0</v>
          </cell>
          <cell r="G736">
            <v>0</v>
          </cell>
        </row>
        <row r="737">
          <cell r="A737" t="str">
            <v>Shree Krishna Transformers</v>
          </cell>
          <cell r="B737">
            <v>-4956</v>
          </cell>
          <cell r="C737">
            <v>4956</v>
          </cell>
          <cell r="D737">
            <v>0</v>
          </cell>
          <cell r="E737">
            <v>0</v>
          </cell>
          <cell r="G737">
            <v>0</v>
          </cell>
        </row>
        <row r="738">
          <cell r="A738" t="str">
            <v>Shree Maruti Spring And Engineers</v>
          </cell>
          <cell r="B738">
            <v>0</v>
          </cell>
          <cell r="C738">
            <v>0</v>
          </cell>
          <cell r="D738">
            <v>1180</v>
          </cell>
          <cell r="E738">
            <v>-1180</v>
          </cell>
          <cell r="G738">
            <v>-1180</v>
          </cell>
        </row>
        <row r="739">
          <cell r="A739" t="str">
            <v>Shree Meter &amp; Heater</v>
          </cell>
          <cell r="B739">
            <v>-108335</v>
          </cell>
          <cell r="C739">
            <v>11434</v>
          </cell>
          <cell r="D739">
            <v>11434</v>
          </cell>
          <cell r="E739">
            <v>-108335</v>
          </cell>
          <cell r="G739">
            <v>-108335</v>
          </cell>
        </row>
        <row r="740">
          <cell r="A740" t="str">
            <v>Shree Nakalang Steel</v>
          </cell>
          <cell r="B740">
            <v>0</v>
          </cell>
          <cell r="C740">
            <v>98087</v>
          </cell>
          <cell r="D740">
            <v>98088</v>
          </cell>
          <cell r="E740">
            <v>-1</v>
          </cell>
          <cell r="G740">
            <v>-1</v>
          </cell>
        </row>
        <row r="741">
          <cell r="A741" t="str">
            <v>Shree Ram Sulz Spares</v>
          </cell>
          <cell r="B741">
            <v>-6903.78</v>
          </cell>
          <cell r="C741">
            <v>31801</v>
          </cell>
          <cell r="D741">
            <v>35612</v>
          </cell>
          <cell r="E741">
            <v>-10714.78</v>
          </cell>
          <cell r="G741">
            <v>-10714.78</v>
          </cell>
        </row>
        <row r="742">
          <cell r="A742" t="str">
            <v>Shree Salareshwar Wood Packers Private Limited.</v>
          </cell>
          <cell r="B742">
            <v>-1305516.8500000001</v>
          </cell>
          <cell r="C742">
            <v>2100536.5</v>
          </cell>
          <cell r="D742">
            <v>1699222.94</v>
          </cell>
          <cell r="E742">
            <v>-904203.29</v>
          </cell>
          <cell r="G742">
            <v>-904203.29</v>
          </cell>
        </row>
        <row r="743">
          <cell r="A743" t="str">
            <v>Shree Sharda Impex</v>
          </cell>
          <cell r="B743">
            <v>-19765</v>
          </cell>
          <cell r="C743">
            <v>19765</v>
          </cell>
          <cell r="D743">
            <v>0</v>
          </cell>
          <cell r="E743">
            <v>0</v>
          </cell>
          <cell r="G743">
            <v>0</v>
          </cell>
        </row>
        <row r="744">
          <cell r="A744" t="str">
            <v>Shreeji Plastic-Abed</v>
          </cell>
          <cell r="B744">
            <v>-8200</v>
          </cell>
          <cell r="C744">
            <v>0</v>
          </cell>
          <cell r="D744">
            <v>0</v>
          </cell>
          <cell r="E744">
            <v>-8200</v>
          </cell>
          <cell r="G744">
            <v>-8200</v>
          </cell>
        </row>
        <row r="745">
          <cell r="A745" t="str">
            <v>Shri Nakoda Transmission &amp; Electric Co.</v>
          </cell>
          <cell r="B745">
            <v>-300009.86</v>
          </cell>
          <cell r="C745">
            <v>188185</v>
          </cell>
          <cell r="D745">
            <v>160482.01</v>
          </cell>
          <cell r="E745">
            <v>-272306.87</v>
          </cell>
          <cell r="G745">
            <v>-272306.87</v>
          </cell>
        </row>
        <row r="746">
          <cell r="A746" t="str">
            <v>Shubh Engineering</v>
          </cell>
          <cell r="B746">
            <v>-3014.89</v>
          </cell>
          <cell r="C746">
            <v>10089</v>
          </cell>
          <cell r="D746">
            <v>8083</v>
          </cell>
          <cell r="E746">
            <v>-1008.89</v>
          </cell>
          <cell r="G746">
            <v>-1008.89</v>
          </cell>
        </row>
        <row r="747">
          <cell r="A747" t="str">
            <v>Siddharth Subscription Agency</v>
          </cell>
          <cell r="B747">
            <v>-14650</v>
          </cell>
          <cell r="C747">
            <v>0</v>
          </cell>
          <cell r="D747">
            <v>0</v>
          </cell>
          <cell r="E747">
            <v>-14650</v>
          </cell>
          <cell r="G747">
            <v>-14650</v>
          </cell>
        </row>
        <row r="748">
          <cell r="A748" t="str">
            <v>Siddheshwari Industries</v>
          </cell>
          <cell r="B748">
            <v>-5310</v>
          </cell>
          <cell r="C748">
            <v>19322</v>
          </cell>
          <cell r="D748">
            <v>19322</v>
          </cell>
          <cell r="E748">
            <v>-5310</v>
          </cell>
          <cell r="G748">
            <v>-5310</v>
          </cell>
        </row>
        <row r="749">
          <cell r="A749" t="str">
            <v>Sitaram Products</v>
          </cell>
          <cell r="B749">
            <v>173483.6</v>
          </cell>
          <cell r="C749">
            <v>0</v>
          </cell>
          <cell r="D749">
            <v>173484</v>
          </cell>
          <cell r="E749">
            <v>-0.4</v>
          </cell>
          <cell r="G749">
            <v>-0.4</v>
          </cell>
        </row>
        <row r="750">
          <cell r="A750" t="str">
            <v>SMMS Engineering Systems Pvt Ltd</v>
          </cell>
          <cell r="B750">
            <v>12744</v>
          </cell>
          <cell r="C750">
            <v>0</v>
          </cell>
          <cell r="D750">
            <v>12744</v>
          </cell>
          <cell r="E750">
            <v>0</v>
          </cell>
          <cell r="G750">
            <v>0</v>
          </cell>
        </row>
        <row r="751">
          <cell r="A751" t="str">
            <v>Sonal Industries - Amraiwadi</v>
          </cell>
          <cell r="B751">
            <v>-11706</v>
          </cell>
          <cell r="C751">
            <v>69529</v>
          </cell>
          <cell r="D751">
            <v>57823</v>
          </cell>
          <cell r="E751">
            <v>0</v>
          </cell>
          <cell r="G751">
            <v>0</v>
          </cell>
        </row>
        <row r="752">
          <cell r="A752" t="str">
            <v>Soni Graphics</v>
          </cell>
          <cell r="B752">
            <v>-151278</v>
          </cell>
          <cell r="C752">
            <v>76187</v>
          </cell>
          <cell r="D752">
            <v>97232</v>
          </cell>
          <cell r="E752">
            <v>-172323</v>
          </cell>
          <cell r="G752">
            <v>-172323</v>
          </cell>
        </row>
        <row r="753">
          <cell r="A753" t="str">
            <v>Spectrum Lubricants Private Limited</v>
          </cell>
          <cell r="B753">
            <v>-48734</v>
          </cell>
          <cell r="C753">
            <v>112454</v>
          </cell>
          <cell r="D753">
            <v>63720</v>
          </cell>
          <cell r="E753">
            <v>0</v>
          </cell>
          <cell r="G753">
            <v>0</v>
          </cell>
        </row>
        <row r="754">
          <cell r="A754" t="str">
            <v>Star Belting</v>
          </cell>
          <cell r="B754">
            <v>0</v>
          </cell>
          <cell r="C754">
            <v>0</v>
          </cell>
          <cell r="D754">
            <v>0</v>
          </cell>
          <cell r="E754">
            <v>0</v>
          </cell>
          <cell r="G754">
            <v>0</v>
          </cell>
        </row>
        <row r="755">
          <cell r="A755" t="str">
            <v>Star Hardware</v>
          </cell>
          <cell r="B755">
            <v>0</v>
          </cell>
          <cell r="C755">
            <v>8106.6</v>
          </cell>
          <cell r="D755">
            <v>0</v>
          </cell>
          <cell r="E755">
            <v>8106.6</v>
          </cell>
          <cell r="G755">
            <v>8106.6</v>
          </cell>
        </row>
        <row r="756">
          <cell r="A756" t="str">
            <v>Sulz Deck Sales Corporation</v>
          </cell>
          <cell r="B756">
            <v>-38781.4</v>
          </cell>
          <cell r="C756">
            <v>41660</v>
          </cell>
          <cell r="D756">
            <v>8024</v>
          </cell>
          <cell r="E756">
            <v>-5145.3999999999996</v>
          </cell>
          <cell r="G756">
            <v>-5145.3999999999996</v>
          </cell>
        </row>
        <row r="757">
          <cell r="A757" t="str">
            <v>Susmatex Machinery</v>
          </cell>
          <cell r="B757">
            <v>-38242</v>
          </cell>
          <cell r="C757">
            <v>108754</v>
          </cell>
          <cell r="D757">
            <v>70512</v>
          </cell>
          <cell r="E757">
            <v>0</v>
          </cell>
          <cell r="G757">
            <v>0</v>
          </cell>
        </row>
        <row r="758">
          <cell r="A758" t="str">
            <v>Svan Texcon Pvt Ltd</v>
          </cell>
          <cell r="B758">
            <v>4152.88</v>
          </cell>
          <cell r="C758">
            <v>131871.6</v>
          </cell>
          <cell r="D758">
            <v>119654</v>
          </cell>
          <cell r="E758">
            <v>16370.48</v>
          </cell>
          <cell r="G758">
            <v>16370.48</v>
          </cell>
        </row>
        <row r="759">
          <cell r="A759" t="str">
            <v>Swastik Marketing</v>
          </cell>
          <cell r="B759">
            <v>0</v>
          </cell>
          <cell r="C759">
            <v>8177.4</v>
          </cell>
          <cell r="D759">
            <v>8177</v>
          </cell>
          <cell r="E759">
            <v>0.4</v>
          </cell>
          <cell r="G759">
            <v>0.4</v>
          </cell>
        </row>
        <row r="760">
          <cell r="A760" t="str">
            <v>Synpack Slide N Zip Pvt. Ltd.</v>
          </cell>
          <cell r="B760">
            <v>-14331</v>
          </cell>
          <cell r="C760">
            <v>0</v>
          </cell>
          <cell r="D760">
            <v>0</v>
          </cell>
          <cell r="E760">
            <v>-14331</v>
          </cell>
          <cell r="G760">
            <v>-14331</v>
          </cell>
        </row>
        <row r="761">
          <cell r="A761" t="str">
            <v>Tanmay Engitech</v>
          </cell>
          <cell r="B761">
            <v>0</v>
          </cell>
          <cell r="C761">
            <v>0</v>
          </cell>
          <cell r="D761">
            <v>9533</v>
          </cell>
          <cell r="E761">
            <v>-9533</v>
          </cell>
          <cell r="G761">
            <v>-9533</v>
          </cell>
        </row>
        <row r="762">
          <cell r="A762" t="str">
            <v>Tashkent Oil Company Pvt Ltd</v>
          </cell>
          <cell r="B762">
            <v>-243959</v>
          </cell>
          <cell r="C762">
            <v>243959</v>
          </cell>
          <cell r="D762">
            <v>483210</v>
          </cell>
          <cell r="E762">
            <v>-483210</v>
          </cell>
          <cell r="G762">
            <v>-483210</v>
          </cell>
        </row>
        <row r="763">
          <cell r="A763" t="str">
            <v>Techwin Electronics</v>
          </cell>
          <cell r="B763">
            <v>-17818</v>
          </cell>
          <cell r="C763">
            <v>17818</v>
          </cell>
          <cell r="D763">
            <v>0</v>
          </cell>
          <cell r="E763">
            <v>0</v>
          </cell>
          <cell r="G763">
            <v>0</v>
          </cell>
        </row>
        <row r="764">
          <cell r="A764" t="str">
            <v>Texpart Marketing</v>
          </cell>
          <cell r="B764">
            <v>0</v>
          </cell>
          <cell r="C764">
            <v>7788</v>
          </cell>
          <cell r="D764">
            <v>7788</v>
          </cell>
          <cell r="E764">
            <v>0</v>
          </cell>
          <cell r="G764">
            <v>0</v>
          </cell>
        </row>
        <row r="765">
          <cell r="A765" t="str">
            <v>Theam Utility Solution</v>
          </cell>
          <cell r="B765">
            <v>0</v>
          </cell>
          <cell r="C765">
            <v>0</v>
          </cell>
          <cell r="D765">
            <v>0</v>
          </cell>
          <cell r="E765">
            <v>0</v>
          </cell>
          <cell r="G765">
            <v>0</v>
          </cell>
        </row>
        <row r="766">
          <cell r="A766" t="str">
            <v>Titan Reeds  &amp; Healds Co.</v>
          </cell>
          <cell r="B766">
            <v>-110802</v>
          </cell>
          <cell r="C766">
            <v>110802</v>
          </cell>
          <cell r="D766">
            <v>0</v>
          </cell>
          <cell r="E766">
            <v>0</v>
          </cell>
          <cell r="G766">
            <v>0</v>
          </cell>
        </row>
        <row r="767">
          <cell r="A767" t="str">
            <v>Toyota Material Handling India Pvt Ltd</v>
          </cell>
          <cell r="B767">
            <v>-7.0000000000000007E-2</v>
          </cell>
          <cell r="C767">
            <v>0</v>
          </cell>
          <cell r="D767">
            <v>0</v>
          </cell>
          <cell r="E767">
            <v>-7.0000000000000007E-2</v>
          </cell>
          <cell r="G767">
            <v>-7.0000000000000007E-2</v>
          </cell>
        </row>
        <row r="768">
          <cell r="A768" t="str">
            <v>Tritha Graphics</v>
          </cell>
          <cell r="B768">
            <v>-163695</v>
          </cell>
          <cell r="C768">
            <v>163695</v>
          </cell>
          <cell r="D768">
            <v>833</v>
          </cell>
          <cell r="E768">
            <v>-833</v>
          </cell>
          <cell r="G768">
            <v>-833</v>
          </cell>
        </row>
        <row r="769">
          <cell r="A769" t="str">
            <v>Tulsi Engineering Services</v>
          </cell>
          <cell r="B769">
            <v>-200.6</v>
          </cell>
          <cell r="C769">
            <v>0</v>
          </cell>
          <cell r="D769">
            <v>0</v>
          </cell>
          <cell r="E769">
            <v>-200.6</v>
          </cell>
          <cell r="G769">
            <v>-200.6</v>
          </cell>
        </row>
        <row r="770">
          <cell r="A770" t="str">
            <v>Twin Hydraulics</v>
          </cell>
          <cell r="B770">
            <v>23954</v>
          </cell>
          <cell r="C770">
            <v>84701</v>
          </cell>
          <cell r="D770">
            <v>108655</v>
          </cell>
          <cell r="E770">
            <v>0</v>
          </cell>
          <cell r="G770">
            <v>0</v>
          </cell>
        </row>
        <row r="771">
          <cell r="A771" t="str">
            <v>Uma Steel Traders</v>
          </cell>
          <cell r="B771">
            <v>-219303</v>
          </cell>
          <cell r="C771">
            <v>379134</v>
          </cell>
          <cell r="D771">
            <v>159831</v>
          </cell>
          <cell r="E771">
            <v>0</v>
          </cell>
          <cell r="G771">
            <v>0</v>
          </cell>
        </row>
        <row r="772">
          <cell r="A772" t="str">
            <v>Uni-Tex</v>
          </cell>
          <cell r="B772">
            <v>-236085.4</v>
          </cell>
          <cell r="C772">
            <v>367383</v>
          </cell>
          <cell r="D772">
            <v>342005</v>
          </cell>
          <cell r="E772">
            <v>-210707.4</v>
          </cell>
          <cell r="G772">
            <v>-210707.4</v>
          </cell>
        </row>
        <row r="773">
          <cell r="A773" t="str">
            <v>Unique Techno Services Pvt Ltd</v>
          </cell>
          <cell r="B773">
            <v>-49320.34</v>
          </cell>
          <cell r="C773">
            <v>49320</v>
          </cell>
          <cell r="D773">
            <v>0</v>
          </cell>
          <cell r="E773">
            <v>-0.34</v>
          </cell>
          <cell r="G773">
            <v>-0.34</v>
          </cell>
        </row>
        <row r="774">
          <cell r="A774" t="str">
            <v>United Transmission</v>
          </cell>
          <cell r="B774">
            <v>0</v>
          </cell>
          <cell r="C774">
            <v>9204</v>
          </cell>
          <cell r="D774">
            <v>0</v>
          </cell>
          <cell r="E774">
            <v>9204</v>
          </cell>
          <cell r="G774">
            <v>9204</v>
          </cell>
        </row>
        <row r="775">
          <cell r="A775" t="str">
            <v>V K Print Pack</v>
          </cell>
          <cell r="B775">
            <v>0</v>
          </cell>
          <cell r="C775">
            <v>0</v>
          </cell>
          <cell r="D775">
            <v>4128</v>
          </cell>
          <cell r="E775">
            <v>-4128</v>
          </cell>
          <cell r="G775">
            <v>-4128</v>
          </cell>
        </row>
        <row r="776">
          <cell r="A776" t="str">
            <v>V.S.Enterprise</v>
          </cell>
          <cell r="B776">
            <v>0</v>
          </cell>
          <cell r="C776">
            <v>0</v>
          </cell>
          <cell r="D776">
            <v>0</v>
          </cell>
          <cell r="E776">
            <v>0</v>
          </cell>
          <cell r="G776">
            <v>0</v>
          </cell>
        </row>
        <row r="777">
          <cell r="A777" t="str">
            <v>Valco Melton Engineering India Pvt Ltd</v>
          </cell>
          <cell r="B777">
            <v>-0.01</v>
          </cell>
          <cell r="C777">
            <v>0</v>
          </cell>
          <cell r="D777">
            <v>0</v>
          </cell>
          <cell r="E777">
            <v>-0.01</v>
          </cell>
          <cell r="G777">
            <v>-0.01</v>
          </cell>
        </row>
        <row r="778">
          <cell r="A778" t="str">
            <v>Valley Textile</v>
          </cell>
          <cell r="B778">
            <v>0</v>
          </cell>
          <cell r="C778">
            <v>68502</v>
          </cell>
          <cell r="D778">
            <v>68502</v>
          </cell>
          <cell r="E778">
            <v>0</v>
          </cell>
          <cell r="G778">
            <v>0</v>
          </cell>
        </row>
        <row r="779">
          <cell r="A779" t="str">
            <v>Vashi Integrated Solutions Limited</v>
          </cell>
          <cell r="B779">
            <v>-0.01</v>
          </cell>
          <cell r="C779">
            <v>50598</v>
          </cell>
          <cell r="D779">
            <v>50598</v>
          </cell>
          <cell r="E779">
            <v>-0.01</v>
          </cell>
          <cell r="G779">
            <v>-0.01</v>
          </cell>
        </row>
        <row r="780">
          <cell r="A780" t="str">
            <v>Venture Instrumentation Technologies Pvt Ltd</v>
          </cell>
          <cell r="B780">
            <v>780</v>
          </cell>
          <cell r="C780">
            <v>0</v>
          </cell>
          <cell r="D780">
            <v>0</v>
          </cell>
          <cell r="E780">
            <v>780</v>
          </cell>
          <cell r="G780">
            <v>780</v>
          </cell>
        </row>
        <row r="781">
          <cell r="A781" t="str">
            <v>Vihaana Engineering</v>
          </cell>
          <cell r="B781">
            <v>0</v>
          </cell>
          <cell r="C781">
            <v>15340</v>
          </cell>
          <cell r="D781">
            <v>0</v>
          </cell>
          <cell r="E781">
            <v>15340</v>
          </cell>
          <cell r="G781">
            <v>15340</v>
          </cell>
        </row>
        <row r="782">
          <cell r="A782" t="str">
            <v>Vinayak Enterprises</v>
          </cell>
          <cell r="B782">
            <v>-5283</v>
          </cell>
          <cell r="C782">
            <v>0</v>
          </cell>
          <cell r="D782">
            <v>6656</v>
          </cell>
          <cell r="E782">
            <v>-11939</v>
          </cell>
          <cell r="G782">
            <v>-11939</v>
          </cell>
        </row>
        <row r="783">
          <cell r="A783" t="str">
            <v>Virava Chemicals</v>
          </cell>
          <cell r="B783">
            <v>0.03</v>
          </cell>
          <cell r="C783">
            <v>0</v>
          </cell>
          <cell r="D783">
            <v>0</v>
          </cell>
          <cell r="E783">
            <v>0.03</v>
          </cell>
          <cell r="G783">
            <v>0.03</v>
          </cell>
        </row>
        <row r="784">
          <cell r="A784" t="str">
            <v>Welar Corporation</v>
          </cell>
          <cell r="B784">
            <v>-33075.040000000001</v>
          </cell>
          <cell r="C784">
            <v>89329</v>
          </cell>
          <cell r="D784">
            <v>187796</v>
          </cell>
          <cell r="E784">
            <v>-131542.04</v>
          </cell>
          <cell r="G784">
            <v>-131542.04</v>
          </cell>
        </row>
        <row r="785">
          <cell r="A785" t="str">
            <v>West India Forklift Services</v>
          </cell>
          <cell r="B785">
            <v>-1156</v>
          </cell>
          <cell r="C785">
            <v>1156</v>
          </cell>
          <cell r="D785">
            <v>0</v>
          </cell>
          <cell r="E785">
            <v>0</v>
          </cell>
          <cell r="G785">
            <v>0</v>
          </cell>
        </row>
        <row r="786">
          <cell r="A786" t="str">
            <v>Yen Traders</v>
          </cell>
          <cell r="B786">
            <v>-1510</v>
          </cell>
          <cell r="C786">
            <v>1510</v>
          </cell>
          <cell r="D786">
            <v>0</v>
          </cell>
          <cell r="E786">
            <v>0</v>
          </cell>
          <cell r="G786">
            <v>0</v>
          </cell>
        </row>
        <row r="787">
          <cell r="A787" t="str">
            <v>V Trans India Limited 29AAACV1559Q1ZM</v>
          </cell>
          <cell r="B787">
            <v>0</v>
          </cell>
          <cell r="C787">
            <v>0</v>
          </cell>
          <cell r="D787">
            <v>0</v>
          </cell>
          <cell r="E787">
            <v>0</v>
          </cell>
          <cell r="G787">
            <v>0</v>
          </cell>
        </row>
        <row r="788">
          <cell r="A788" t="str">
            <v>Aanjana Steel Traders</v>
          </cell>
          <cell r="B788">
            <v>-84830</v>
          </cell>
          <cell r="C788">
            <v>164676</v>
          </cell>
          <cell r="D788">
            <v>119771</v>
          </cell>
          <cell r="E788">
            <v>-39925</v>
          </cell>
          <cell r="G788">
            <v>-39925</v>
          </cell>
        </row>
        <row r="789">
          <cell r="A789" t="str">
            <v>Abc Cooling System</v>
          </cell>
          <cell r="B789">
            <v>0</v>
          </cell>
          <cell r="C789">
            <v>47200</v>
          </cell>
          <cell r="D789">
            <v>47200</v>
          </cell>
          <cell r="E789">
            <v>0</v>
          </cell>
          <cell r="G789">
            <v>0</v>
          </cell>
        </row>
        <row r="790">
          <cell r="A790" t="str">
            <v>Abhiram Traction</v>
          </cell>
          <cell r="B790">
            <v>0</v>
          </cell>
          <cell r="C790">
            <v>27848</v>
          </cell>
          <cell r="D790">
            <v>27848</v>
          </cell>
          <cell r="E790">
            <v>0</v>
          </cell>
          <cell r="G790">
            <v>0</v>
          </cell>
        </row>
        <row r="791">
          <cell r="A791" t="str">
            <v>Accord Vitrified Private Limited</v>
          </cell>
          <cell r="B791">
            <v>0.08</v>
          </cell>
          <cell r="C791">
            <v>0</v>
          </cell>
          <cell r="D791">
            <v>0</v>
          </cell>
          <cell r="E791">
            <v>0.08</v>
          </cell>
          <cell r="G791">
            <v>0.08</v>
          </cell>
        </row>
        <row r="792">
          <cell r="A792" t="str">
            <v>Agarwal Collections</v>
          </cell>
          <cell r="B792">
            <v>-45900</v>
          </cell>
          <cell r="C792">
            <v>0</v>
          </cell>
          <cell r="D792">
            <v>0</v>
          </cell>
          <cell r="E792">
            <v>-45900</v>
          </cell>
          <cell r="G792">
            <v>-45900</v>
          </cell>
        </row>
        <row r="793">
          <cell r="A793" t="str">
            <v>Akshar Erector</v>
          </cell>
          <cell r="B793">
            <v>0</v>
          </cell>
          <cell r="C793">
            <v>8850</v>
          </cell>
          <cell r="D793">
            <v>0</v>
          </cell>
          <cell r="E793">
            <v>8850</v>
          </cell>
          <cell r="G793">
            <v>8850</v>
          </cell>
        </row>
        <row r="794">
          <cell r="A794" t="str">
            <v>Alankar Automotives Pvt Ltd</v>
          </cell>
          <cell r="B794">
            <v>0</v>
          </cell>
          <cell r="C794">
            <v>0</v>
          </cell>
          <cell r="D794">
            <v>0</v>
          </cell>
          <cell r="E794">
            <v>0</v>
          </cell>
          <cell r="G794">
            <v>0</v>
          </cell>
        </row>
        <row r="795">
          <cell r="A795" t="str">
            <v>All Scaffolding Rental</v>
          </cell>
          <cell r="B795">
            <v>0</v>
          </cell>
          <cell r="C795">
            <v>32120</v>
          </cell>
          <cell r="D795">
            <v>23600</v>
          </cell>
          <cell r="E795">
            <v>8520</v>
          </cell>
          <cell r="G795">
            <v>8520</v>
          </cell>
        </row>
        <row r="796">
          <cell r="A796" t="str">
            <v>Aman Enterprise</v>
          </cell>
          <cell r="B796">
            <v>-1374524.97</v>
          </cell>
          <cell r="C796">
            <v>4530484</v>
          </cell>
          <cell r="D796">
            <v>3014621.94</v>
          </cell>
          <cell r="E796">
            <v>141337.09</v>
          </cell>
          <cell r="G796">
            <v>141337.09</v>
          </cell>
        </row>
        <row r="797">
          <cell r="A797" t="str">
            <v>Amardeep Pipes</v>
          </cell>
          <cell r="B797">
            <v>0</v>
          </cell>
          <cell r="C797">
            <v>0</v>
          </cell>
          <cell r="D797">
            <v>69892</v>
          </cell>
          <cell r="E797">
            <v>-69892</v>
          </cell>
          <cell r="G797">
            <v>-69892</v>
          </cell>
        </row>
        <row r="798">
          <cell r="A798" t="str">
            <v>Ambica Hardware &amp; Sanitary</v>
          </cell>
          <cell r="B798">
            <v>-39407.160000000003</v>
          </cell>
          <cell r="C798">
            <v>88014</v>
          </cell>
          <cell r="D798">
            <v>48607</v>
          </cell>
          <cell r="E798">
            <v>-0.16</v>
          </cell>
          <cell r="G798">
            <v>-0.16</v>
          </cell>
        </row>
        <row r="799">
          <cell r="A799" t="str">
            <v>Ambica Sales Corporation</v>
          </cell>
          <cell r="B799">
            <v>6931.32</v>
          </cell>
          <cell r="C799">
            <v>0</v>
          </cell>
          <cell r="D799">
            <v>6931</v>
          </cell>
          <cell r="E799">
            <v>0.32</v>
          </cell>
          <cell r="G799">
            <v>0.32</v>
          </cell>
        </row>
        <row r="800">
          <cell r="A800" t="str">
            <v>American Express Banking Corp 06AAGCA9055N1Z8</v>
          </cell>
          <cell r="B800">
            <v>0</v>
          </cell>
          <cell r="C800">
            <v>0</v>
          </cell>
          <cell r="D800">
            <v>9636358.9199999999</v>
          </cell>
          <cell r="E800">
            <v>-9636358.9199999999</v>
          </cell>
          <cell r="G800">
            <v>-9636358.9199999999</v>
          </cell>
        </row>
        <row r="801">
          <cell r="A801" t="str">
            <v>Anshita Trading Co.Pvt Ltd-Purchase</v>
          </cell>
          <cell r="B801">
            <v>0</v>
          </cell>
          <cell r="C801">
            <v>0</v>
          </cell>
          <cell r="D801">
            <v>0</v>
          </cell>
          <cell r="E801">
            <v>0</v>
          </cell>
          <cell r="G801">
            <v>0</v>
          </cell>
        </row>
        <row r="802">
          <cell r="A802" t="str">
            <v>Apple Engineers</v>
          </cell>
          <cell r="B802">
            <v>0</v>
          </cell>
          <cell r="C802">
            <v>35100</v>
          </cell>
          <cell r="D802">
            <v>0</v>
          </cell>
          <cell r="E802">
            <v>35100</v>
          </cell>
          <cell r="G802">
            <v>35100</v>
          </cell>
        </row>
        <row r="803">
          <cell r="A803" t="str">
            <v>Arihant Fire &amp; Safety Services</v>
          </cell>
          <cell r="B803">
            <v>3064.5</v>
          </cell>
          <cell r="C803">
            <v>0</v>
          </cell>
          <cell r="D803">
            <v>0</v>
          </cell>
          <cell r="E803">
            <v>3064.5</v>
          </cell>
          <cell r="G803">
            <v>3064.5</v>
          </cell>
        </row>
        <row r="804">
          <cell r="A804" t="str">
            <v>Ark Furniture Pvt Ltd</v>
          </cell>
          <cell r="B804">
            <v>108708</v>
          </cell>
          <cell r="C804">
            <v>330676.8</v>
          </cell>
          <cell r="D804">
            <v>439385</v>
          </cell>
          <cell r="E804">
            <v>-0.2</v>
          </cell>
          <cell r="G804">
            <v>-0.2</v>
          </cell>
        </row>
        <row r="805">
          <cell r="A805" t="str">
            <v>Ascent Maritime Private Limited-Gujarat</v>
          </cell>
          <cell r="B805">
            <v>5098</v>
          </cell>
          <cell r="C805">
            <v>983023</v>
          </cell>
          <cell r="D805">
            <v>988081</v>
          </cell>
          <cell r="E805">
            <v>40</v>
          </cell>
          <cell r="G805">
            <v>40</v>
          </cell>
        </row>
        <row r="806">
          <cell r="A806" t="str">
            <v>Ashapura Logistics Limited- 24AADCA4633M1ZP</v>
          </cell>
          <cell r="B806">
            <v>-341383</v>
          </cell>
          <cell r="C806">
            <v>9494690.8800000008</v>
          </cell>
          <cell r="D806">
            <v>10275381.08</v>
          </cell>
          <cell r="E806">
            <v>-1122073.2</v>
          </cell>
          <cell r="G806">
            <v>-1122073.2</v>
          </cell>
        </row>
        <row r="807">
          <cell r="A807" t="str">
            <v>Ashapuri Electric Co</v>
          </cell>
          <cell r="B807">
            <v>0</v>
          </cell>
          <cell r="C807">
            <v>42200</v>
          </cell>
          <cell r="D807">
            <v>47200</v>
          </cell>
          <cell r="E807">
            <v>-5000</v>
          </cell>
          <cell r="G807">
            <v>-5000</v>
          </cell>
        </row>
        <row r="808">
          <cell r="A808" t="str">
            <v>Ashirvad Electrical Works- Creditor</v>
          </cell>
          <cell r="B808">
            <v>-53909</v>
          </cell>
          <cell r="C808">
            <v>54359</v>
          </cell>
          <cell r="D808">
            <v>26550</v>
          </cell>
          <cell r="E808">
            <v>-26100</v>
          </cell>
          <cell r="G808">
            <v>-26100</v>
          </cell>
        </row>
        <row r="809">
          <cell r="A809" t="str">
            <v>Ashirwad Electricals &amp; Mechanical Works</v>
          </cell>
          <cell r="B809">
            <v>0</v>
          </cell>
          <cell r="C809">
            <v>0</v>
          </cell>
          <cell r="D809">
            <v>3835</v>
          </cell>
          <cell r="E809">
            <v>-3835</v>
          </cell>
          <cell r="G809">
            <v>-3835</v>
          </cell>
        </row>
        <row r="810">
          <cell r="A810" t="str">
            <v>Bahuchar Petroleum</v>
          </cell>
          <cell r="B810">
            <v>0</v>
          </cell>
          <cell r="C810">
            <v>16216</v>
          </cell>
          <cell r="D810">
            <v>16216</v>
          </cell>
          <cell r="E810">
            <v>0</v>
          </cell>
          <cell r="G810">
            <v>0</v>
          </cell>
        </row>
        <row r="811">
          <cell r="A811" t="str">
            <v>Bhanu Pv Solar Pvt Ltd</v>
          </cell>
          <cell r="B811">
            <v>0</v>
          </cell>
          <cell r="C811">
            <v>44412.5</v>
          </cell>
          <cell r="D811">
            <v>8031375</v>
          </cell>
          <cell r="E811">
            <v>-7986962.5</v>
          </cell>
          <cell r="G811">
            <v>-7986962.5</v>
          </cell>
        </row>
        <row r="812">
          <cell r="A812" t="str">
            <v>Bluestar Storage Solution</v>
          </cell>
          <cell r="B812">
            <v>0</v>
          </cell>
          <cell r="C812">
            <v>223200</v>
          </cell>
          <cell r="D812">
            <v>0</v>
          </cell>
          <cell r="E812">
            <v>223200</v>
          </cell>
          <cell r="G812">
            <v>223200</v>
          </cell>
        </row>
        <row r="813">
          <cell r="A813" t="str">
            <v>Brahmani Enterprise</v>
          </cell>
          <cell r="B813">
            <v>0</v>
          </cell>
          <cell r="C813">
            <v>575461</v>
          </cell>
          <cell r="D813">
            <v>575461</v>
          </cell>
          <cell r="E813">
            <v>0</v>
          </cell>
          <cell r="G813">
            <v>0</v>
          </cell>
        </row>
        <row r="814">
          <cell r="A814" t="str">
            <v>Cartridge Hub</v>
          </cell>
          <cell r="B814">
            <v>-4661</v>
          </cell>
          <cell r="C814">
            <v>6785</v>
          </cell>
          <cell r="D814">
            <v>5900</v>
          </cell>
          <cell r="E814">
            <v>-3776</v>
          </cell>
          <cell r="G814">
            <v>-3776</v>
          </cell>
        </row>
        <row r="815">
          <cell r="A815" t="str">
            <v>CC ICICI Manish Banthia 3009</v>
          </cell>
          <cell r="B815">
            <v>-6072774.5499999998</v>
          </cell>
          <cell r="C815">
            <v>11535113.23</v>
          </cell>
          <cell r="D815">
            <v>5462338.6799999997</v>
          </cell>
          <cell r="E815">
            <v>0</v>
          </cell>
          <cell r="G815">
            <v>0</v>
          </cell>
        </row>
        <row r="816">
          <cell r="A816" t="str">
            <v>CC ICICI Tarachand Purohit 4007</v>
          </cell>
          <cell r="B816">
            <v>-1270766</v>
          </cell>
          <cell r="C816">
            <v>1463586</v>
          </cell>
          <cell r="D816">
            <v>256360</v>
          </cell>
          <cell r="E816">
            <v>-63540</v>
          </cell>
          <cell r="G816">
            <v>-63540</v>
          </cell>
        </row>
        <row r="817">
          <cell r="A817" t="str">
            <v>Cess Automation India LLP</v>
          </cell>
          <cell r="B817">
            <v>0</v>
          </cell>
          <cell r="C817">
            <v>0</v>
          </cell>
          <cell r="D817">
            <v>4720</v>
          </cell>
          <cell r="E817">
            <v>-4720</v>
          </cell>
          <cell r="G817">
            <v>-4720</v>
          </cell>
        </row>
        <row r="818">
          <cell r="A818" t="str">
            <v>Ckb Global Logistics Private Limited</v>
          </cell>
          <cell r="B818">
            <v>-74490.36</v>
          </cell>
          <cell r="C818">
            <v>1112</v>
          </cell>
          <cell r="D818">
            <v>63045</v>
          </cell>
          <cell r="E818">
            <v>-136423.35999999999</v>
          </cell>
          <cell r="G818">
            <v>-136423.35999999999</v>
          </cell>
        </row>
        <row r="819">
          <cell r="A819" t="str">
            <v>Clicktech Retail Private Limited-27AAJCC9783E1Z7</v>
          </cell>
          <cell r="B819">
            <v>0</v>
          </cell>
          <cell r="C819">
            <v>10244</v>
          </cell>
          <cell r="D819">
            <v>10244</v>
          </cell>
          <cell r="E819">
            <v>0</v>
          </cell>
          <cell r="G819">
            <v>0</v>
          </cell>
        </row>
        <row r="820">
          <cell r="A820" t="str">
            <v>D N Enterprise</v>
          </cell>
          <cell r="B820">
            <v>0</v>
          </cell>
          <cell r="C820">
            <v>0</v>
          </cell>
          <cell r="D820">
            <v>5607</v>
          </cell>
          <cell r="E820">
            <v>-5607</v>
          </cell>
          <cell r="G820">
            <v>-5607</v>
          </cell>
        </row>
        <row r="821">
          <cell r="A821" t="str">
            <v>Dapic Electronics And Automation</v>
          </cell>
          <cell r="B821">
            <v>0</v>
          </cell>
          <cell r="C821">
            <v>29500</v>
          </cell>
          <cell r="D821">
            <v>29500</v>
          </cell>
          <cell r="E821">
            <v>0</v>
          </cell>
          <cell r="G821">
            <v>0</v>
          </cell>
        </row>
        <row r="822">
          <cell r="A822" t="str">
            <v>Dayana Polyplast Pvt Ltd</v>
          </cell>
          <cell r="B822">
            <v>-258278</v>
          </cell>
          <cell r="C822">
            <v>258278</v>
          </cell>
          <cell r="D822">
            <v>0</v>
          </cell>
          <cell r="E822">
            <v>0</v>
          </cell>
          <cell r="G822">
            <v>0</v>
          </cell>
        </row>
        <row r="823">
          <cell r="A823" t="str">
            <v>Del Corona &amp; Scardigli India Pvt Ltd</v>
          </cell>
          <cell r="B823">
            <v>579</v>
          </cell>
          <cell r="C823">
            <v>67424</v>
          </cell>
          <cell r="D823">
            <v>68003</v>
          </cell>
          <cell r="E823">
            <v>0</v>
          </cell>
          <cell r="G823">
            <v>0</v>
          </cell>
        </row>
        <row r="824">
          <cell r="A824" t="str">
            <v>Dwarkesh Pan Parlour &amp; General  Store</v>
          </cell>
          <cell r="B824">
            <v>0</v>
          </cell>
          <cell r="C824">
            <v>38440</v>
          </cell>
          <cell r="D824">
            <v>59180</v>
          </cell>
          <cell r="E824">
            <v>-20740</v>
          </cell>
          <cell r="G824">
            <v>-20740</v>
          </cell>
        </row>
        <row r="825">
          <cell r="A825" t="str">
            <v>Elite Foods And Hospitality</v>
          </cell>
          <cell r="B825">
            <v>-283452</v>
          </cell>
          <cell r="C825">
            <v>880991</v>
          </cell>
          <cell r="D825">
            <v>597539</v>
          </cell>
          <cell r="E825">
            <v>0</v>
          </cell>
          <cell r="G825">
            <v>0</v>
          </cell>
        </row>
        <row r="826">
          <cell r="A826" t="str">
            <v>Elite Inks Pvt Ltd-Purchase</v>
          </cell>
          <cell r="B826">
            <v>2601937</v>
          </cell>
          <cell r="C826">
            <v>0</v>
          </cell>
          <cell r="D826">
            <v>0</v>
          </cell>
          <cell r="E826">
            <v>2601937</v>
          </cell>
          <cell r="G826">
            <v>2601937</v>
          </cell>
        </row>
        <row r="827">
          <cell r="A827" t="str">
            <v>Empire Air Conditioning Pvt Ltd</v>
          </cell>
          <cell r="B827">
            <v>0</v>
          </cell>
          <cell r="C827">
            <v>146000.22</v>
          </cell>
          <cell r="D827">
            <v>146000</v>
          </cell>
          <cell r="E827">
            <v>0.22</v>
          </cell>
          <cell r="G827">
            <v>0.22</v>
          </cell>
        </row>
        <row r="828">
          <cell r="A828" t="str">
            <v>Envisafe Enviroment Consultants</v>
          </cell>
          <cell r="B828">
            <v>5500</v>
          </cell>
          <cell r="C828">
            <v>0</v>
          </cell>
          <cell r="D828">
            <v>0</v>
          </cell>
          <cell r="E828">
            <v>5500</v>
          </cell>
          <cell r="G828">
            <v>5500</v>
          </cell>
        </row>
        <row r="829">
          <cell r="A829" t="str">
            <v>Explus Logistics Private Limited</v>
          </cell>
          <cell r="B829">
            <v>1768</v>
          </cell>
          <cell r="C829">
            <v>4137</v>
          </cell>
          <cell r="D829">
            <v>0</v>
          </cell>
          <cell r="E829">
            <v>5905</v>
          </cell>
          <cell r="G829">
            <v>5905</v>
          </cell>
        </row>
        <row r="830">
          <cell r="A830" t="str">
            <v>Eye Kross</v>
          </cell>
          <cell r="B830">
            <v>-40657.5</v>
          </cell>
          <cell r="C830">
            <v>40657.5</v>
          </cell>
          <cell r="D830">
            <v>0</v>
          </cell>
          <cell r="E830">
            <v>0</v>
          </cell>
          <cell r="G830">
            <v>0</v>
          </cell>
        </row>
        <row r="831">
          <cell r="A831" t="str">
            <v>Fcs Itech</v>
          </cell>
          <cell r="B831">
            <v>0</v>
          </cell>
          <cell r="C831">
            <v>14278</v>
          </cell>
          <cell r="D831">
            <v>14278</v>
          </cell>
          <cell r="E831">
            <v>0</v>
          </cell>
          <cell r="G831">
            <v>0</v>
          </cell>
        </row>
        <row r="832">
          <cell r="A832" t="str">
            <v>Featherlite Collections</v>
          </cell>
          <cell r="B832">
            <v>0</v>
          </cell>
          <cell r="C832">
            <v>916092</v>
          </cell>
          <cell r="D832">
            <v>1664162</v>
          </cell>
          <cell r="E832">
            <v>-748070</v>
          </cell>
          <cell r="G832">
            <v>-748070</v>
          </cell>
        </row>
        <row r="833">
          <cell r="A833" t="str">
            <v>Freight Lines India Pvt Ltd 27AAACF0535E1Z5</v>
          </cell>
          <cell r="B833">
            <v>0</v>
          </cell>
          <cell r="C833">
            <v>40352</v>
          </cell>
          <cell r="D833">
            <v>40352</v>
          </cell>
          <cell r="E833">
            <v>0</v>
          </cell>
          <cell r="G833">
            <v>0</v>
          </cell>
        </row>
        <row r="834">
          <cell r="A834" t="str">
            <v>Galaxy Heat Products</v>
          </cell>
          <cell r="B834">
            <v>-62205</v>
          </cell>
          <cell r="C834">
            <v>8638</v>
          </cell>
          <cell r="D834">
            <v>30621</v>
          </cell>
          <cell r="E834">
            <v>-84188</v>
          </cell>
          <cell r="G834">
            <v>-84188</v>
          </cell>
        </row>
        <row r="835">
          <cell r="A835" t="str">
            <v>Gallops Autohaus Pvt. Ltd.</v>
          </cell>
          <cell r="B835">
            <v>0</v>
          </cell>
          <cell r="C835">
            <v>0</v>
          </cell>
          <cell r="D835">
            <v>0</v>
          </cell>
          <cell r="E835">
            <v>0</v>
          </cell>
          <cell r="G835">
            <v>0</v>
          </cell>
        </row>
        <row r="836">
          <cell r="A836" t="str">
            <v>Global Accurate Management Private Limited</v>
          </cell>
          <cell r="B836">
            <v>5900</v>
          </cell>
          <cell r="C836">
            <v>0</v>
          </cell>
          <cell r="D836">
            <v>0</v>
          </cell>
          <cell r="E836">
            <v>5900</v>
          </cell>
          <cell r="G836">
            <v>5900</v>
          </cell>
        </row>
        <row r="837">
          <cell r="A837" t="str">
            <v>Gloline Equipments Private Limited</v>
          </cell>
          <cell r="B837">
            <v>0</v>
          </cell>
          <cell r="C837">
            <v>0</v>
          </cell>
          <cell r="D837">
            <v>3742</v>
          </cell>
          <cell r="E837">
            <v>-3742</v>
          </cell>
          <cell r="G837">
            <v>-3742</v>
          </cell>
        </row>
        <row r="838">
          <cell r="A838" t="str">
            <v>Go Green Fze</v>
          </cell>
          <cell r="B838">
            <v>0</v>
          </cell>
          <cell r="C838">
            <v>0</v>
          </cell>
          <cell r="D838">
            <v>0</v>
          </cell>
          <cell r="E838">
            <v>0</v>
          </cell>
          <cell r="G838">
            <v>0</v>
          </cell>
        </row>
        <row r="839">
          <cell r="A839" t="str">
            <v>Grace Renewable Energy Limited</v>
          </cell>
          <cell r="B839">
            <v>9238234</v>
          </cell>
          <cell r="C839">
            <v>47412866</v>
          </cell>
          <cell r="D839">
            <v>68607000</v>
          </cell>
          <cell r="E839">
            <v>-11955900</v>
          </cell>
          <cell r="G839">
            <v>-11955900</v>
          </cell>
        </row>
        <row r="840">
          <cell r="A840" t="str">
            <v>Gujarat Fabrication</v>
          </cell>
          <cell r="B840">
            <v>-0.2</v>
          </cell>
          <cell r="C840">
            <v>16620</v>
          </cell>
          <cell r="D840">
            <v>16620</v>
          </cell>
          <cell r="E840">
            <v>-0.2</v>
          </cell>
          <cell r="G840">
            <v>-0.2</v>
          </cell>
        </row>
        <row r="841">
          <cell r="A841" t="str">
            <v>Gunjan Marketing</v>
          </cell>
          <cell r="B841">
            <v>0</v>
          </cell>
          <cell r="C841">
            <v>119416</v>
          </cell>
          <cell r="D841">
            <v>119416</v>
          </cell>
          <cell r="E841">
            <v>0</v>
          </cell>
          <cell r="G841">
            <v>0</v>
          </cell>
        </row>
        <row r="842">
          <cell r="A842" t="str">
            <v>Hansa Provision Stores</v>
          </cell>
          <cell r="B842">
            <v>0</v>
          </cell>
          <cell r="C842">
            <v>0</v>
          </cell>
          <cell r="D842">
            <v>137398</v>
          </cell>
          <cell r="E842">
            <v>-137398</v>
          </cell>
          <cell r="G842">
            <v>-137398</v>
          </cell>
        </row>
        <row r="843">
          <cell r="A843" t="str">
            <v>Harsh Engineering</v>
          </cell>
          <cell r="B843">
            <v>0</v>
          </cell>
          <cell r="C843">
            <v>0</v>
          </cell>
          <cell r="D843">
            <v>6490</v>
          </cell>
          <cell r="E843">
            <v>-6490</v>
          </cell>
          <cell r="G843">
            <v>-6490</v>
          </cell>
        </row>
        <row r="844">
          <cell r="A844" t="str">
            <v>Haryana Auto Engineering</v>
          </cell>
          <cell r="B844">
            <v>-64110</v>
          </cell>
          <cell r="C844">
            <v>210559</v>
          </cell>
          <cell r="D844">
            <v>157353</v>
          </cell>
          <cell r="E844">
            <v>-10904</v>
          </cell>
          <cell r="G844">
            <v>-10904</v>
          </cell>
        </row>
        <row r="845">
          <cell r="A845" t="str">
            <v>HCP Enterprise Ltd-Purchase</v>
          </cell>
          <cell r="B845">
            <v>42147955.299999997</v>
          </cell>
          <cell r="C845">
            <v>0</v>
          </cell>
          <cell r="D845">
            <v>28623054.600000001</v>
          </cell>
          <cell r="E845">
            <v>13524900.699999999</v>
          </cell>
          <cell r="G845">
            <v>13524900.699999999</v>
          </cell>
        </row>
        <row r="846">
          <cell r="A846" t="str">
            <v>HCP Plastene Bulkpack Limited - Purchase</v>
          </cell>
          <cell r="B846">
            <v>1092151.3400000001</v>
          </cell>
          <cell r="C846">
            <v>205812.8</v>
          </cell>
          <cell r="D846">
            <v>36026876.75</v>
          </cell>
          <cell r="E846">
            <v>-34728912.609999999</v>
          </cell>
          <cell r="G846">
            <v>-34728912.609999999</v>
          </cell>
        </row>
        <row r="847">
          <cell r="A847" t="str">
            <v>Hermione Renewables Private Limited</v>
          </cell>
          <cell r="B847">
            <v>-4548</v>
          </cell>
          <cell r="C847">
            <v>84133</v>
          </cell>
          <cell r="D847">
            <v>84134</v>
          </cell>
          <cell r="E847">
            <v>-4549</v>
          </cell>
          <cell r="G847">
            <v>-4549</v>
          </cell>
        </row>
        <row r="848">
          <cell r="A848" t="str">
            <v>Inar company Private Limited (formaly Tumi Enterprise Pvt Ltd)</v>
          </cell>
          <cell r="B848">
            <v>0</v>
          </cell>
          <cell r="C848">
            <v>3957932</v>
          </cell>
          <cell r="D848">
            <v>4139440</v>
          </cell>
          <cell r="E848">
            <v>-181508</v>
          </cell>
          <cell r="G848">
            <v>-181508</v>
          </cell>
        </row>
        <row r="849">
          <cell r="A849" t="str">
            <v>India Glass House Corporate</v>
          </cell>
          <cell r="B849">
            <v>0</v>
          </cell>
          <cell r="C849">
            <v>0</v>
          </cell>
          <cell r="D849">
            <v>0</v>
          </cell>
          <cell r="E849">
            <v>0</v>
          </cell>
          <cell r="G849">
            <v>0</v>
          </cell>
        </row>
        <row r="850">
          <cell r="A850" t="str">
            <v>Indiaideas.Com Limited- 27AAACI7986C1ZD- Bill Desk</v>
          </cell>
          <cell r="B850">
            <v>0</v>
          </cell>
          <cell r="C850">
            <v>0</v>
          </cell>
          <cell r="D850">
            <v>0</v>
          </cell>
          <cell r="E850">
            <v>0</v>
          </cell>
          <cell r="G850">
            <v>0</v>
          </cell>
        </row>
        <row r="851">
          <cell r="A851" t="str">
            <v>Indian Institute Of Packaging - Ahmedabad</v>
          </cell>
          <cell r="B851">
            <v>11258</v>
          </cell>
          <cell r="C851">
            <v>133010</v>
          </cell>
          <cell r="D851">
            <v>0</v>
          </cell>
          <cell r="E851">
            <v>144268</v>
          </cell>
          <cell r="G851">
            <v>144268</v>
          </cell>
        </row>
        <row r="852">
          <cell r="A852" t="str">
            <v>Indralok Fabrics Pvt Ltd - Purchase</v>
          </cell>
          <cell r="B852">
            <v>-203061.43</v>
          </cell>
          <cell r="C852">
            <v>673461</v>
          </cell>
          <cell r="D852">
            <v>592335</v>
          </cell>
          <cell r="E852">
            <v>-121935.43</v>
          </cell>
          <cell r="G852">
            <v>-121935.43</v>
          </cell>
        </row>
        <row r="853">
          <cell r="A853" t="str">
            <v>Industrial Rubber Company</v>
          </cell>
          <cell r="B853">
            <v>-0.4</v>
          </cell>
          <cell r="C853">
            <v>0</v>
          </cell>
          <cell r="D853">
            <v>0</v>
          </cell>
          <cell r="E853">
            <v>-0.4</v>
          </cell>
          <cell r="G853">
            <v>-0.4</v>
          </cell>
        </row>
        <row r="854">
          <cell r="A854" t="str">
            <v>Innovative Roller Solutions</v>
          </cell>
          <cell r="B854">
            <v>-46545.14</v>
          </cell>
          <cell r="C854">
            <v>47293</v>
          </cell>
          <cell r="D854">
            <v>44132</v>
          </cell>
          <cell r="E854">
            <v>-43384.14</v>
          </cell>
          <cell r="G854">
            <v>-43384.14</v>
          </cell>
        </row>
        <row r="855">
          <cell r="A855" t="str">
            <v>Intact Building Safety Solutions Int Pvt Ltd</v>
          </cell>
          <cell r="B855">
            <v>548427.9</v>
          </cell>
          <cell r="C855">
            <v>0</v>
          </cell>
          <cell r="D855">
            <v>0</v>
          </cell>
          <cell r="E855">
            <v>548427.9</v>
          </cell>
          <cell r="G855">
            <v>548427.9</v>
          </cell>
        </row>
        <row r="856">
          <cell r="A856" t="str">
            <v>J B Enterprise</v>
          </cell>
          <cell r="B856">
            <v>0</v>
          </cell>
          <cell r="C856">
            <v>9440</v>
          </cell>
          <cell r="D856">
            <v>0</v>
          </cell>
          <cell r="E856">
            <v>9440</v>
          </cell>
          <cell r="G856">
            <v>9440</v>
          </cell>
        </row>
        <row r="857">
          <cell r="A857" t="str">
            <v>J Patel Shipping And Logistics</v>
          </cell>
          <cell r="B857">
            <v>-3500</v>
          </cell>
          <cell r="C857">
            <v>4816</v>
          </cell>
          <cell r="D857">
            <v>92596</v>
          </cell>
          <cell r="E857">
            <v>-91280</v>
          </cell>
          <cell r="G857">
            <v>-91280</v>
          </cell>
        </row>
        <row r="858">
          <cell r="A858" t="str">
            <v>J&amp;D Industries</v>
          </cell>
          <cell r="B858">
            <v>0</v>
          </cell>
          <cell r="C858">
            <v>14250</v>
          </cell>
          <cell r="D858">
            <v>0</v>
          </cell>
          <cell r="E858">
            <v>14250</v>
          </cell>
          <cell r="G858">
            <v>14250</v>
          </cell>
        </row>
        <row r="859">
          <cell r="A859" t="str">
            <v>Jaihind Petroleum</v>
          </cell>
          <cell r="B859">
            <v>0</v>
          </cell>
          <cell r="C859">
            <v>0</v>
          </cell>
          <cell r="D859">
            <v>0</v>
          </cell>
          <cell r="E859">
            <v>0</v>
          </cell>
          <cell r="G859">
            <v>0</v>
          </cell>
        </row>
        <row r="860">
          <cell r="A860" t="str">
            <v>Jain Bulk Pack - Rajkot</v>
          </cell>
          <cell r="B860">
            <v>-311880</v>
          </cell>
          <cell r="C860">
            <v>0</v>
          </cell>
          <cell r="D860">
            <v>0</v>
          </cell>
          <cell r="E860">
            <v>-311880</v>
          </cell>
          <cell r="G860">
            <v>-311880</v>
          </cell>
        </row>
        <row r="861">
          <cell r="A861" t="str">
            <v>Jaliyan Enterprise</v>
          </cell>
          <cell r="B861">
            <v>44975</v>
          </cell>
          <cell r="C861">
            <v>0</v>
          </cell>
          <cell r="D861">
            <v>0</v>
          </cell>
          <cell r="E861">
            <v>44975</v>
          </cell>
          <cell r="G861">
            <v>44975</v>
          </cell>
        </row>
        <row r="862">
          <cell r="A862" t="str">
            <v>Jan Marketing</v>
          </cell>
          <cell r="B862">
            <v>0</v>
          </cell>
          <cell r="C862">
            <v>0</v>
          </cell>
          <cell r="D862">
            <v>0</v>
          </cell>
          <cell r="E862">
            <v>0</v>
          </cell>
          <cell r="G862">
            <v>0</v>
          </cell>
        </row>
        <row r="863">
          <cell r="A863" t="str">
            <v>Jay Ambe Industries.-24AXDPP0457E1ZR</v>
          </cell>
          <cell r="B863">
            <v>32398</v>
          </cell>
          <cell r="C863">
            <v>0</v>
          </cell>
          <cell r="D863">
            <v>0</v>
          </cell>
          <cell r="E863">
            <v>32398</v>
          </cell>
          <cell r="G863">
            <v>32398</v>
          </cell>
        </row>
        <row r="864">
          <cell r="A864" t="str">
            <v>Jay Marketing</v>
          </cell>
          <cell r="B864">
            <v>-1442</v>
          </cell>
          <cell r="C864">
            <v>0</v>
          </cell>
          <cell r="D864">
            <v>0</v>
          </cell>
          <cell r="E864">
            <v>-1442</v>
          </cell>
          <cell r="G864">
            <v>-1442</v>
          </cell>
        </row>
        <row r="865">
          <cell r="A865" t="str">
            <v>Jdm Worldwide Freight Solutions Pvt Ltd</v>
          </cell>
          <cell r="B865">
            <v>0</v>
          </cell>
          <cell r="C865">
            <v>35745</v>
          </cell>
          <cell r="D865">
            <v>35745</v>
          </cell>
          <cell r="E865">
            <v>0</v>
          </cell>
          <cell r="G865">
            <v>0</v>
          </cell>
        </row>
        <row r="866">
          <cell r="A866" t="str">
            <v>JR Infomedia</v>
          </cell>
          <cell r="B866">
            <v>0</v>
          </cell>
          <cell r="C866">
            <v>18900</v>
          </cell>
          <cell r="D866">
            <v>0</v>
          </cell>
          <cell r="E866">
            <v>18900</v>
          </cell>
          <cell r="G866">
            <v>18900</v>
          </cell>
        </row>
        <row r="867">
          <cell r="A867" t="str">
            <v>K P Enterprises</v>
          </cell>
          <cell r="B867">
            <v>-16520</v>
          </cell>
          <cell r="C867">
            <v>0</v>
          </cell>
          <cell r="D867">
            <v>0</v>
          </cell>
          <cell r="E867">
            <v>-16520</v>
          </cell>
          <cell r="G867">
            <v>-16520</v>
          </cell>
        </row>
        <row r="868">
          <cell r="A868" t="str">
            <v>K.P. Woven Pvt Ltd - Unit 2 (Nani Chirai) -Purchase</v>
          </cell>
          <cell r="B868">
            <v>16834618.210000001</v>
          </cell>
          <cell r="C868">
            <v>0</v>
          </cell>
          <cell r="D868">
            <v>0</v>
          </cell>
          <cell r="E868">
            <v>16834618.210000001</v>
          </cell>
          <cell r="G868">
            <v>16834618.210000001</v>
          </cell>
        </row>
        <row r="869">
          <cell r="A869" t="str">
            <v>K.P. Woven Pvt Ltd - Unit 2 -Purchase</v>
          </cell>
          <cell r="B869">
            <v>-17148820.5</v>
          </cell>
          <cell r="C869">
            <v>0</v>
          </cell>
          <cell r="D869">
            <v>0</v>
          </cell>
          <cell r="E869">
            <v>-17148820.5</v>
          </cell>
          <cell r="G869">
            <v>-17148820.5</v>
          </cell>
        </row>
        <row r="870">
          <cell r="A870" t="str">
            <v>K.P. Woven Pvt Ltd - Unit 3 -Purchase</v>
          </cell>
          <cell r="B870">
            <v>137982122.58000001</v>
          </cell>
          <cell r="C870">
            <v>1914024.28</v>
          </cell>
          <cell r="D870">
            <v>0</v>
          </cell>
          <cell r="E870">
            <v>139896146.86000001</v>
          </cell>
          <cell r="G870">
            <v>139896146.86000001</v>
          </cell>
        </row>
        <row r="871">
          <cell r="A871" t="str">
            <v>Kanaji Prahladji Thakor</v>
          </cell>
          <cell r="B871">
            <v>-34650</v>
          </cell>
          <cell r="C871">
            <v>106650</v>
          </cell>
          <cell r="D871">
            <v>72000</v>
          </cell>
          <cell r="E871">
            <v>0</v>
          </cell>
          <cell r="G871">
            <v>0</v>
          </cell>
        </row>
        <row r="872">
          <cell r="A872" t="str">
            <v>Kayel Syntex Limited</v>
          </cell>
          <cell r="B872">
            <v>-43641</v>
          </cell>
          <cell r="C872">
            <v>298181.65999999997</v>
          </cell>
          <cell r="D872">
            <v>331224</v>
          </cell>
          <cell r="E872">
            <v>-76683.34</v>
          </cell>
          <cell r="G872">
            <v>-76683.34</v>
          </cell>
        </row>
        <row r="873">
          <cell r="A873" t="str">
            <v>Khodiyar Traders</v>
          </cell>
          <cell r="B873">
            <v>-1782</v>
          </cell>
          <cell r="C873">
            <v>1782</v>
          </cell>
          <cell r="D873">
            <v>0</v>
          </cell>
          <cell r="E873">
            <v>0</v>
          </cell>
          <cell r="G873">
            <v>0</v>
          </cell>
        </row>
        <row r="874">
          <cell r="A874" t="str">
            <v>Kim Enterprise</v>
          </cell>
          <cell r="B874">
            <v>0.44</v>
          </cell>
          <cell r="C874">
            <v>96422</v>
          </cell>
          <cell r="D874">
            <v>96422</v>
          </cell>
          <cell r="E874">
            <v>0.44</v>
          </cell>
          <cell r="G874">
            <v>0.44</v>
          </cell>
        </row>
        <row r="875">
          <cell r="A875" t="str">
            <v>Krishna Insulation</v>
          </cell>
          <cell r="B875">
            <v>0</v>
          </cell>
          <cell r="C875">
            <v>0</v>
          </cell>
          <cell r="D875">
            <v>0</v>
          </cell>
          <cell r="E875">
            <v>0</v>
          </cell>
          <cell r="G875">
            <v>0</v>
          </cell>
        </row>
        <row r="876">
          <cell r="A876" t="str">
            <v>Kuehne Nagel Private Limited</v>
          </cell>
          <cell r="B876">
            <v>3846</v>
          </cell>
          <cell r="C876">
            <v>459664</v>
          </cell>
          <cell r="D876">
            <v>463510</v>
          </cell>
          <cell r="E876">
            <v>0</v>
          </cell>
          <cell r="G876">
            <v>0</v>
          </cell>
        </row>
        <row r="877">
          <cell r="A877" t="str">
            <v>Kush Enterprise</v>
          </cell>
          <cell r="B877">
            <v>-0.28000000000000003</v>
          </cell>
          <cell r="C877">
            <v>0</v>
          </cell>
          <cell r="D877">
            <v>0</v>
          </cell>
          <cell r="E877">
            <v>-0.28000000000000003</v>
          </cell>
          <cell r="G877">
            <v>-0.28000000000000003</v>
          </cell>
        </row>
        <row r="878">
          <cell r="A878" t="str">
            <v>Kushal Cargo Movers</v>
          </cell>
          <cell r="B878">
            <v>0</v>
          </cell>
          <cell r="C878">
            <v>0</v>
          </cell>
          <cell r="D878">
            <v>87000</v>
          </cell>
          <cell r="E878">
            <v>-87000</v>
          </cell>
          <cell r="G878">
            <v>-87000</v>
          </cell>
        </row>
        <row r="879">
          <cell r="A879" t="str">
            <v>La Decore</v>
          </cell>
          <cell r="B879">
            <v>0</v>
          </cell>
          <cell r="C879">
            <v>0</v>
          </cell>
          <cell r="D879">
            <v>0</v>
          </cell>
          <cell r="E879">
            <v>0</v>
          </cell>
          <cell r="G879">
            <v>0</v>
          </cell>
        </row>
        <row r="880">
          <cell r="A880" t="str">
            <v>LAKSH IMPEX-Gujarat</v>
          </cell>
          <cell r="B880">
            <v>-136.63</v>
          </cell>
          <cell r="C880">
            <v>0</v>
          </cell>
          <cell r="D880">
            <v>0</v>
          </cell>
          <cell r="E880">
            <v>-136.63</v>
          </cell>
          <cell r="G880">
            <v>-136.63</v>
          </cell>
        </row>
        <row r="881">
          <cell r="A881" t="str">
            <v>Lion Enterprise</v>
          </cell>
          <cell r="B881">
            <v>0</v>
          </cell>
          <cell r="C881">
            <v>0</v>
          </cell>
          <cell r="D881">
            <v>0</v>
          </cell>
          <cell r="E881">
            <v>0</v>
          </cell>
          <cell r="G881">
            <v>0</v>
          </cell>
        </row>
        <row r="882">
          <cell r="A882" t="str">
            <v>Lohia Corp Limited - Gujarat</v>
          </cell>
          <cell r="B882">
            <v>-21780</v>
          </cell>
          <cell r="C882">
            <v>0</v>
          </cell>
          <cell r="D882">
            <v>0</v>
          </cell>
          <cell r="E882">
            <v>-21780</v>
          </cell>
          <cell r="G882">
            <v>-21780</v>
          </cell>
        </row>
        <row r="883">
          <cell r="A883" t="str">
            <v>Lohia Corp Limited - Kanpur</v>
          </cell>
          <cell r="B883">
            <v>0</v>
          </cell>
          <cell r="C883">
            <v>0</v>
          </cell>
          <cell r="D883">
            <v>0</v>
          </cell>
          <cell r="E883">
            <v>0</v>
          </cell>
          <cell r="G883">
            <v>0</v>
          </cell>
        </row>
        <row r="884">
          <cell r="A884" t="str">
            <v>M/S Liofer India</v>
          </cell>
          <cell r="B884">
            <v>1620</v>
          </cell>
          <cell r="C884">
            <v>0</v>
          </cell>
          <cell r="D884">
            <v>0</v>
          </cell>
          <cell r="E884">
            <v>1620</v>
          </cell>
          <cell r="G884">
            <v>1620</v>
          </cell>
        </row>
        <row r="885">
          <cell r="A885" t="str">
            <v>Madhav Infracon</v>
          </cell>
          <cell r="B885">
            <v>0</v>
          </cell>
          <cell r="C885">
            <v>119000</v>
          </cell>
          <cell r="D885">
            <v>118000</v>
          </cell>
          <cell r="E885">
            <v>1000</v>
          </cell>
          <cell r="G885">
            <v>1000</v>
          </cell>
        </row>
        <row r="886">
          <cell r="A886" t="str">
            <v>Maersk Line India Pvt Ltd</v>
          </cell>
          <cell r="B886">
            <v>-517434.81</v>
          </cell>
          <cell r="C886">
            <v>1246480.6000000001</v>
          </cell>
          <cell r="D886">
            <v>1243692.6000000001</v>
          </cell>
          <cell r="E886">
            <v>-514646.81</v>
          </cell>
          <cell r="G886">
            <v>-514646.81</v>
          </cell>
        </row>
        <row r="887">
          <cell r="A887" t="str">
            <v>Mahavir Marketing</v>
          </cell>
          <cell r="B887">
            <v>0</v>
          </cell>
          <cell r="C887">
            <v>39853</v>
          </cell>
          <cell r="D887">
            <v>39853</v>
          </cell>
          <cell r="E887">
            <v>0</v>
          </cell>
          <cell r="G887">
            <v>0</v>
          </cell>
        </row>
        <row r="888">
          <cell r="A888" t="str">
            <v>Mainfreight India Pvt Ltd 27AAQCM7304J1Z2</v>
          </cell>
          <cell r="B888">
            <v>1491</v>
          </cell>
          <cell r="C888">
            <v>359767</v>
          </cell>
          <cell r="D888">
            <v>366130</v>
          </cell>
          <cell r="E888">
            <v>-4872</v>
          </cell>
          <cell r="G888">
            <v>-4872</v>
          </cell>
        </row>
        <row r="889">
          <cell r="A889" t="str">
            <v>Mak Engineering Works</v>
          </cell>
          <cell r="B889">
            <v>0</v>
          </cell>
          <cell r="C889">
            <v>44722</v>
          </cell>
          <cell r="D889">
            <v>44722</v>
          </cell>
          <cell r="E889">
            <v>0</v>
          </cell>
          <cell r="G889">
            <v>0</v>
          </cell>
        </row>
        <row r="890">
          <cell r="A890" t="str">
            <v>Manish Metals</v>
          </cell>
          <cell r="B890">
            <v>-0.86</v>
          </cell>
          <cell r="C890">
            <v>0</v>
          </cell>
          <cell r="D890">
            <v>0</v>
          </cell>
          <cell r="E890">
            <v>-0.86</v>
          </cell>
          <cell r="G890">
            <v>-0.86</v>
          </cell>
        </row>
        <row r="891">
          <cell r="A891" t="str">
            <v>Mateshwari Sweets</v>
          </cell>
          <cell r="B891">
            <v>-400</v>
          </cell>
          <cell r="C891">
            <v>0</v>
          </cell>
          <cell r="D891">
            <v>0</v>
          </cell>
          <cell r="E891">
            <v>-400</v>
          </cell>
          <cell r="G891">
            <v>-400</v>
          </cell>
        </row>
        <row r="892">
          <cell r="A892" t="str">
            <v>Max Control</v>
          </cell>
          <cell r="B892">
            <v>-31784</v>
          </cell>
          <cell r="C892">
            <v>14750</v>
          </cell>
          <cell r="D892">
            <v>17700</v>
          </cell>
          <cell r="E892">
            <v>-34734</v>
          </cell>
          <cell r="G892">
            <v>-34734</v>
          </cell>
        </row>
        <row r="893">
          <cell r="A893" t="str">
            <v>Mep Enterprise</v>
          </cell>
          <cell r="B893">
            <v>13933</v>
          </cell>
          <cell r="C893">
            <v>0</v>
          </cell>
          <cell r="D893">
            <v>0</v>
          </cell>
          <cell r="E893">
            <v>13933</v>
          </cell>
          <cell r="G893">
            <v>13933</v>
          </cell>
        </row>
        <row r="894">
          <cell r="A894" t="str">
            <v>MK Enterprises</v>
          </cell>
          <cell r="B894">
            <v>0</v>
          </cell>
          <cell r="C894">
            <v>0</v>
          </cell>
          <cell r="D894">
            <v>0</v>
          </cell>
          <cell r="E894">
            <v>0</v>
          </cell>
          <cell r="G894">
            <v>0</v>
          </cell>
        </row>
        <row r="895">
          <cell r="A895" t="str">
            <v>MPKI Packaging Private Limited</v>
          </cell>
          <cell r="B895">
            <v>0</v>
          </cell>
          <cell r="C895">
            <v>0</v>
          </cell>
          <cell r="D895">
            <v>0</v>
          </cell>
          <cell r="E895">
            <v>0</v>
          </cell>
          <cell r="G895">
            <v>0</v>
          </cell>
        </row>
        <row r="896">
          <cell r="A896" t="str">
            <v>Mufg Intime India Private Limited</v>
          </cell>
          <cell r="B896">
            <v>0</v>
          </cell>
          <cell r="C896">
            <v>17700</v>
          </cell>
          <cell r="D896">
            <v>17700</v>
          </cell>
          <cell r="E896">
            <v>0</v>
          </cell>
          <cell r="G896">
            <v>0</v>
          </cell>
        </row>
        <row r="897">
          <cell r="A897" t="str">
            <v>Nagraj Enterprise</v>
          </cell>
          <cell r="B897">
            <v>0</v>
          </cell>
          <cell r="C897">
            <v>0</v>
          </cell>
          <cell r="D897">
            <v>0</v>
          </cell>
          <cell r="E897">
            <v>0</v>
          </cell>
          <cell r="G897">
            <v>0</v>
          </cell>
        </row>
        <row r="898">
          <cell r="A898" t="str">
            <v>Naksh Enterprise</v>
          </cell>
          <cell r="B898">
            <v>0</v>
          </cell>
          <cell r="C898">
            <v>0</v>
          </cell>
          <cell r="D898">
            <v>0</v>
          </cell>
          <cell r="E898">
            <v>0</v>
          </cell>
          <cell r="G898">
            <v>0</v>
          </cell>
        </row>
        <row r="899">
          <cell r="A899" t="str">
            <v>Narayanlal Nainalal Prajapati</v>
          </cell>
          <cell r="B899">
            <v>345500</v>
          </cell>
          <cell r="C899">
            <v>0</v>
          </cell>
          <cell r="D899">
            <v>0</v>
          </cell>
          <cell r="E899">
            <v>345500</v>
          </cell>
          <cell r="G899">
            <v>345500</v>
          </cell>
        </row>
        <row r="900">
          <cell r="A900" t="str">
            <v>Nayra Enterprise</v>
          </cell>
          <cell r="B900">
            <v>-2.2599999999999998</v>
          </cell>
          <cell r="C900">
            <v>0</v>
          </cell>
          <cell r="D900">
            <v>0</v>
          </cell>
          <cell r="E900">
            <v>-2.2599999999999998</v>
          </cell>
          <cell r="G900">
            <v>-2.2599999999999998</v>
          </cell>
        </row>
        <row r="901">
          <cell r="A901" t="str">
            <v>Om Enterprises Sanand</v>
          </cell>
          <cell r="B901">
            <v>0</v>
          </cell>
          <cell r="C901">
            <v>0</v>
          </cell>
          <cell r="D901">
            <v>0</v>
          </cell>
          <cell r="E901">
            <v>0</v>
          </cell>
          <cell r="G901">
            <v>0</v>
          </cell>
        </row>
        <row r="902">
          <cell r="A902" t="str">
            <v>One Stop Services</v>
          </cell>
          <cell r="B902">
            <v>-236204</v>
          </cell>
          <cell r="C902">
            <v>236204</v>
          </cell>
          <cell r="D902">
            <v>0</v>
          </cell>
          <cell r="E902">
            <v>0</v>
          </cell>
          <cell r="G902">
            <v>0</v>
          </cell>
        </row>
        <row r="903">
          <cell r="A903" t="str">
            <v>Panchal Machinery</v>
          </cell>
          <cell r="B903">
            <v>-7128</v>
          </cell>
          <cell r="C903">
            <v>0</v>
          </cell>
          <cell r="D903">
            <v>0</v>
          </cell>
          <cell r="E903">
            <v>-7128</v>
          </cell>
          <cell r="G903">
            <v>-7128</v>
          </cell>
        </row>
        <row r="904">
          <cell r="A904" t="str">
            <v>Paras Paper Mart</v>
          </cell>
          <cell r="B904">
            <v>-970</v>
          </cell>
          <cell r="C904">
            <v>970</v>
          </cell>
          <cell r="D904">
            <v>0</v>
          </cell>
          <cell r="E904">
            <v>0</v>
          </cell>
          <cell r="G904">
            <v>0</v>
          </cell>
        </row>
        <row r="905">
          <cell r="A905" t="str">
            <v>Parekh Bulk Pack - Purchase</v>
          </cell>
          <cell r="B905">
            <v>384450</v>
          </cell>
          <cell r="C905">
            <v>0</v>
          </cell>
          <cell r="D905">
            <v>384450</v>
          </cell>
          <cell r="E905">
            <v>0</v>
          </cell>
          <cell r="G905">
            <v>0</v>
          </cell>
        </row>
        <row r="906">
          <cell r="A906" t="str">
            <v>Patel Electrical Works-Sanand</v>
          </cell>
          <cell r="B906">
            <v>-56901.93</v>
          </cell>
          <cell r="C906">
            <v>71881</v>
          </cell>
          <cell r="D906">
            <v>69350</v>
          </cell>
          <cell r="E906">
            <v>-54370.93</v>
          </cell>
          <cell r="G906">
            <v>-54370.93</v>
          </cell>
        </row>
        <row r="907">
          <cell r="A907" t="str">
            <v>Patel Sales &amp; Services</v>
          </cell>
          <cell r="B907">
            <v>0</v>
          </cell>
          <cell r="C907">
            <v>18585</v>
          </cell>
          <cell r="D907">
            <v>19234</v>
          </cell>
          <cell r="E907">
            <v>-649</v>
          </cell>
          <cell r="G907">
            <v>-649</v>
          </cell>
        </row>
        <row r="908">
          <cell r="A908" t="str">
            <v>Perfect Belts Private Limited</v>
          </cell>
          <cell r="B908">
            <v>1443.13</v>
          </cell>
          <cell r="C908">
            <v>0</v>
          </cell>
          <cell r="D908">
            <v>0</v>
          </cell>
          <cell r="E908">
            <v>1443.13</v>
          </cell>
          <cell r="G908">
            <v>1443.13</v>
          </cell>
        </row>
        <row r="909">
          <cell r="A909" t="str">
            <v>Plastene India ltd - HO-Purchase</v>
          </cell>
          <cell r="B909">
            <v>-10701996.76</v>
          </cell>
          <cell r="C909">
            <v>12000</v>
          </cell>
          <cell r="D909">
            <v>708000</v>
          </cell>
          <cell r="E909">
            <v>-11397996.76</v>
          </cell>
          <cell r="G909">
            <v>-11397996.76</v>
          </cell>
        </row>
        <row r="910">
          <cell r="A910" t="str">
            <v>Plastene India ltd - Unit 1-Purchase</v>
          </cell>
          <cell r="B910">
            <v>-15232000</v>
          </cell>
          <cell r="C910">
            <v>525684600</v>
          </cell>
          <cell r="D910">
            <v>416270996.95999998</v>
          </cell>
          <cell r="E910">
            <v>94181603.040000007</v>
          </cell>
          <cell r="G910">
            <v>94181603.040000007</v>
          </cell>
        </row>
        <row r="911">
          <cell r="A911" t="str">
            <v>Plastene India ltd - Unit 2-Purchase</v>
          </cell>
          <cell r="B911">
            <v>65324336.740000002</v>
          </cell>
          <cell r="C911">
            <v>241745</v>
          </cell>
          <cell r="D911">
            <v>108642714.56999999</v>
          </cell>
          <cell r="E911">
            <v>-43076632.829999998</v>
          </cell>
          <cell r="G911">
            <v>-43076632.829999998</v>
          </cell>
        </row>
        <row r="912">
          <cell r="A912" t="str">
            <v>Plastene India ltd - Unit 4-Purchase</v>
          </cell>
          <cell r="B912">
            <v>0</v>
          </cell>
          <cell r="C912">
            <v>0</v>
          </cell>
          <cell r="D912">
            <v>0</v>
          </cell>
          <cell r="E912">
            <v>0</v>
          </cell>
          <cell r="G912">
            <v>0</v>
          </cell>
        </row>
        <row r="913">
          <cell r="A913" t="str">
            <v>Plastene India ltd - Unit 6-Purchase</v>
          </cell>
          <cell r="B913">
            <v>-800893.59</v>
          </cell>
          <cell r="C913">
            <v>0</v>
          </cell>
          <cell r="D913">
            <v>0</v>
          </cell>
          <cell r="E913">
            <v>-800893.59</v>
          </cell>
          <cell r="G913">
            <v>-800893.59</v>
          </cell>
        </row>
        <row r="914">
          <cell r="A914" t="str">
            <v>Plastene India ltd - Unit 8-Purchase</v>
          </cell>
          <cell r="B914">
            <v>0</v>
          </cell>
          <cell r="C914">
            <v>0</v>
          </cell>
          <cell r="D914">
            <v>0</v>
          </cell>
          <cell r="E914">
            <v>0</v>
          </cell>
          <cell r="G914">
            <v>0</v>
          </cell>
        </row>
        <row r="915">
          <cell r="A915" t="str">
            <v>Plastene Polyfilms Ltd-Purchase</v>
          </cell>
          <cell r="B915">
            <v>50181786.509999998</v>
          </cell>
          <cell r="C915">
            <v>534315</v>
          </cell>
          <cell r="D915">
            <v>52192726.969999999</v>
          </cell>
          <cell r="E915">
            <v>-1476625.46</v>
          </cell>
          <cell r="G915">
            <v>-1476625.46</v>
          </cell>
        </row>
        <row r="916">
          <cell r="A916" t="str">
            <v>Pradip Enterprises</v>
          </cell>
          <cell r="B916">
            <v>0</v>
          </cell>
          <cell r="C916">
            <v>0</v>
          </cell>
          <cell r="D916">
            <v>0</v>
          </cell>
          <cell r="E916">
            <v>0</v>
          </cell>
          <cell r="G916">
            <v>0</v>
          </cell>
        </row>
        <row r="917">
          <cell r="A917" t="str">
            <v>Pranam Hvac Engineering Pvt Ltd</v>
          </cell>
          <cell r="B917">
            <v>44417.64</v>
          </cell>
          <cell r="C917">
            <v>0</v>
          </cell>
          <cell r="D917">
            <v>0</v>
          </cell>
          <cell r="E917">
            <v>44417.64</v>
          </cell>
          <cell r="G917">
            <v>44417.64</v>
          </cell>
        </row>
        <row r="918">
          <cell r="A918" t="str">
            <v>Pratiksha Trading Co</v>
          </cell>
          <cell r="B918">
            <v>-1415.11</v>
          </cell>
          <cell r="C918">
            <v>1415.11</v>
          </cell>
          <cell r="D918">
            <v>0</v>
          </cell>
          <cell r="E918">
            <v>0</v>
          </cell>
          <cell r="G918">
            <v>0</v>
          </cell>
        </row>
        <row r="919">
          <cell r="A919" t="str">
            <v>Protek Enterprises</v>
          </cell>
          <cell r="B919">
            <v>25960</v>
          </cell>
          <cell r="C919">
            <v>0</v>
          </cell>
          <cell r="D919">
            <v>25960</v>
          </cell>
          <cell r="E919">
            <v>0</v>
          </cell>
          <cell r="G919">
            <v>0</v>
          </cell>
        </row>
        <row r="920">
          <cell r="A920" t="str">
            <v>Punit Trading Co</v>
          </cell>
          <cell r="B920">
            <v>0</v>
          </cell>
          <cell r="C920">
            <v>791</v>
          </cell>
          <cell r="D920">
            <v>791</v>
          </cell>
          <cell r="E920">
            <v>0</v>
          </cell>
          <cell r="G920">
            <v>0</v>
          </cell>
        </row>
        <row r="921">
          <cell r="A921" t="str">
            <v>Raj Paint Works</v>
          </cell>
          <cell r="B921">
            <v>0</v>
          </cell>
          <cell r="C921">
            <v>0</v>
          </cell>
          <cell r="D921">
            <v>0</v>
          </cell>
          <cell r="E921">
            <v>0</v>
          </cell>
          <cell r="G921">
            <v>0</v>
          </cell>
        </row>
        <row r="922">
          <cell r="A922" t="str">
            <v>Rajat Impex</v>
          </cell>
          <cell r="B922">
            <v>-43913.23</v>
          </cell>
          <cell r="C922">
            <v>43913</v>
          </cell>
          <cell r="D922">
            <v>0</v>
          </cell>
          <cell r="E922">
            <v>-0.23</v>
          </cell>
          <cell r="G922">
            <v>-0.23</v>
          </cell>
        </row>
        <row r="923">
          <cell r="A923" t="str">
            <v>Rajukhan Munnekhan</v>
          </cell>
          <cell r="B923">
            <v>0</v>
          </cell>
          <cell r="C923">
            <v>0</v>
          </cell>
          <cell r="D923">
            <v>0</v>
          </cell>
          <cell r="E923">
            <v>0</v>
          </cell>
          <cell r="G923">
            <v>0</v>
          </cell>
        </row>
        <row r="924">
          <cell r="A924" t="str">
            <v>Ramdev Metal Industries</v>
          </cell>
          <cell r="B924">
            <v>2400</v>
          </cell>
          <cell r="C924">
            <v>0</v>
          </cell>
          <cell r="D924">
            <v>0</v>
          </cell>
          <cell r="E924">
            <v>2400</v>
          </cell>
          <cell r="G924">
            <v>2400</v>
          </cell>
        </row>
        <row r="925">
          <cell r="A925" t="str">
            <v>Retailez Private Limited 24AALCR3173P1ZT</v>
          </cell>
          <cell r="B925">
            <v>0</v>
          </cell>
          <cell r="C925">
            <v>41899</v>
          </cell>
          <cell r="D925">
            <v>41899</v>
          </cell>
          <cell r="E925">
            <v>0</v>
          </cell>
          <cell r="G925">
            <v>0</v>
          </cell>
        </row>
        <row r="926">
          <cell r="A926" t="str">
            <v>Rex Steam Products Pvt Ltd</v>
          </cell>
          <cell r="B926">
            <v>-0.34</v>
          </cell>
          <cell r="C926">
            <v>0</v>
          </cell>
          <cell r="D926">
            <v>0</v>
          </cell>
          <cell r="E926">
            <v>-0.34</v>
          </cell>
          <cell r="G926">
            <v>-0.34</v>
          </cell>
        </row>
        <row r="927">
          <cell r="A927" t="str">
            <v>Rishabhdev Marketing</v>
          </cell>
          <cell r="B927">
            <v>0</v>
          </cell>
          <cell r="C927">
            <v>47291.32</v>
          </cell>
          <cell r="D927">
            <v>47525</v>
          </cell>
          <cell r="E927">
            <v>-233.68</v>
          </cell>
          <cell r="G927">
            <v>-233.68</v>
          </cell>
        </row>
        <row r="928">
          <cell r="A928" t="str">
            <v>Rivera Bath Ware</v>
          </cell>
          <cell r="B928">
            <v>0</v>
          </cell>
          <cell r="C928">
            <v>0</v>
          </cell>
          <cell r="D928">
            <v>198050</v>
          </cell>
          <cell r="E928">
            <v>-198050</v>
          </cell>
          <cell r="G928">
            <v>-198050</v>
          </cell>
        </row>
        <row r="929">
          <cell r="A929" t="str">
            <v>Robro Systems Private Limited</v>
          </cell>
          <cell r="B929">
            <v>0</v>
          </cell>
          <cell r="C929">
            <v>100000</v>
          </cell>
          <cell r="D929">
            <v>0</v>
          </cell>
          <cell r="E929">
            <v>100000</v>
          </cell>
          <cell r="G929">
            <v>100000</v>
          </cell>
        </row>
        <row r="930">
          <cell r="A930" t="str">
            <v>Roots Multiclean Ltd.</v>
          </cell>
          <cell r="B930">
            <v>0</v>
          </cell>
          <cell r="C930">
            <v>30798</v>
          </cell>
          <cell r="D930">
            <v>30798</v>
          </cell>
          <cell r="E930">
            <v>0</v>
          </cell>
          <cell r="G930">
            <v>0</v>
          </cell>
        </row>
        <row r="931">
          <cell r="A931" t="str">
            <v>RR International</v>
          </cell>
          <cell r="B931">
            <v>-12949</v>
          </cell>
          <cell r="C931">
            <v>72415</v>
          </cell>
          <cell r="D931">
            <v>59466</v>
          </cell>
          <cell r="E931">
            <v>0</v>
          </cell>
          <cell r="G931">
            <v>0</v>
          </cell>
        </row>
        <row r="932">
          <cell r="A932" t="str">
            <v>S S Water Solutions</v>
          </cell>
          <cell r="B932">
            <v>0</v>
          </cell>
          <cell r="C932">
            <v>9086</v>
          </cell>
          <cell r="D932">
            <v>9086</v>
          </cell>
          <cell r="E932">
            <v>0</v>
          </cell>
          <cell r="G932">
            <v>0</v>
          </cell>
        </row>
        <row r="933">
          <cell r="A933" t="str">
            <v>S.A. Airconditining</v>
          </cell>
          <cell r="B933">
            <v>0</v>
          </cell>
          <cell r="C933">
            <v>0</v>
          </cell>
          <cell r="D933">
            <v>0</v>
          </cell>
          <cell r="E933">
            <v>0</v>
          </cell>
          <cell r="G933">
            <v>0</v>
          </cell>
        </row>
        <row r="934">
          <cell r="A934" t="str">
            <v>S.B. AGENCIES</v>
          </cell>
          <cell r="B934">
            <v>-4725</v>
          </cell>
          <cell r="C934">
            <v>0</v>
          </cell>
          <cell r="D934">
            <v>0</v>
          </cell>
          <cell r="E934">
            <v>-4725</v>
          </cell>
          <cell r="G934">
            <v>-4725</v>
          </cell>
        </row>
        <row r="935">
          <cell r="A935" t="str">
            <v>S.M Enterprise</v>
          </cell>
          <cell r="B935">
            <v>-2771100.1</v>
          </cell>
          <cell r="C935">
            <v>6635315</v>
          </cell>
          <cell r="D935">
            <v>4030116.31</v>
          </cell>
          <cell r="E935">
            <v>-165901.41</v>
          </cell>
          <cell r="G935">
            <v>-165901.41</v>
          </cell>
        </row>
        <row r="936">
          <cell r="A936" t="str">
            <v>Sahajanand Transmission</v>
          </cell>
          <cell r="B936">
            <v>0</v>
          </cell>
          <cell r="C936">
            <v>48380</v>
          </cell>
          <cell r="D936">
            <v>48380</v>
          </cell>
          <cell r="E936">
            <v>0</v>
          </cell>
          <cell r="G936">
            <v>0</v>
          </cell>
        </row>
        <row r="937">
          <cell r="A937" t="str">
            <v>Samtaben Bharat Bhai Barad</v>
          </cell>
          <cell r="B937">
            <v>-34000</v>
          </cell>
          <cell r="C937">
            <v>102000</v>
          </cell>
          <cell r="D937">
            <v>68000</v>
          </cell>
          <cell r="E937">
            <v>0</v>
          </cell>
          <cell r="G937">
            <v>0</v>
          </cell>
        </row>
        <row r="938">
          <cell r="A938" t="str">
            <v>Sanjay Trade And Industries</v>
          </cell>
          <cell r="B938">
            <v>0</v>
          </cell>
          <cell r="C938">
            <v>0</v>
          </cell>
          <cell r="D938">
            <v>0</v>
          </cell>
          <cell r="E938">
            <v>0</v>
          </cell>
          <cell r="G938">
            <v>0</v>
          </cell>
        </row>
        <row r="939">
          <cell r="A939" t="str">
            <v>Santosh Kumar</v>
          </cell>
          <cell r="B939">
            <v>0</v>
          </cell>
          <cell r="C939">
            <v>30000</v>
          </cell>
          <cell r="D939">
            <v>0</v>
          </cell>
          <cell r="E939">
            <v>30000</v>
          </cell>
          <cell r="G939">
            <v>30000</v>
          </cell>
        </row>
        <row r="940">
          <cell r="A940" t="str">
            <v>Sarang Agency</v>
          </cell>
          <cell r="B940">
            <v>0</v>
          </cell>
          <cell r="C940">
            <v>32061</v>
          </cell>
          <cell r="D940">
            <v>32061</v>
          </cell>
          <cell r="E940">
            <v>0</v>
          </cell>
          <cell r="G940">
            <v>0</v>
          </cell>
        </row>
        <row r="941">
          <cell r="A941" t="str">
            <v>Sarswati Precision- Crediter</v>
          </cell>
          <cell r="B941">
            <v>-24544</v>
          </cell>
          <cell r="C941">
            <v>74222</v>
          </cell>
          <cell r="D941">
            <v>82779.360000000001</v>
          </cell>
          <cell r="E941">
            <v>-33101.360000000001</v>
          </cell>
          <cell r="G941">
            <v>-33101.360000000001</v>
          </cell>
        </row>
        <row r="942">
          <cell r="A942" t="str">
            <v>Satyam Impex-Gujarat</v>
          </cell>
          <cell r="B942">
            <v>-0.34</v>
          </cell>
          <cell r="C942">
            <v>0</v>
          </cell>
          <cell r="D942">
            <v>0</v>
          </cell>
          <cell r="E942">
            <v>-0.34</v>
          </cell>
          <cell r="G942">
            <v>-0.34</v>
          </cell>
        </row>
        <row r="943">
          <cell r="A943" t="str">
            <v>Satyanarayan Rubplast Private Limited</v>
          </cell>
          <cell r="B943">
            <v>0</v>
          </cell>
          <cell r="C943">
            <v>62658</v>
          </cell>
          <cell r="D943">
            <v>93220</v>
          </cell>
          <cell r="E943">
            <v>-30562</v>
          </cell>
          <cell r="G943">
            <v>-30562</v>
          </cell>
        </row>
        <row r="944">
          <cell r="A944" t="str">
            <v>Semitrone Conchem Pvt Ltd</v>
          </cell>
          <cell r="B944">
            <v>0</v>
          </cell>
          <cell r="C944">
            <v>3677</v>
          </cell>
          <cell r="D944">
            <v>3677</v>
          </cell>
          <cell r="E944">
            <v>0</v>
          </cell>
          <cell r="G944">
            <v>0</v>
          </cell>
        </row>
        <row r="945">
          <cell r="A945" t="str">
            <v>Sensation Pest Control Services</v>
          </cell>
          <cell r="B945">
            <v>-77102</v>
          </cell>
          <cell r="C945">
            <v>79348</v>
          </cell>
          <cell r="D945">
            <v>123428</v>
          </cell>
          <cell r="E945">
            <v>-121182</v>
          </cell>
          <cell r="G945">
            <v>-121182</v>
          </cell>
        </row>
        <row r="946">
          <cell r="A946" t="str">
            <v>Sgs India Private Limited -06AAACS5514Q1Z2</v>
          </cell>
          <cell r="B946">
            <v>-76080</v>
          </cell>
          <cell r="C946">
            <v>83780</v>
          </cell>
          <cell r="D946">
            <v>0</v>
          </cell>
          <cell r="E946">
            <v>7700</v>
          </cell>
          <cell r="G946">
            <v>7700</v>
          </cell>
        </row>
        <row r="947">
          <cell r="A947" t="str">
            <v>Shakti Sarkar Moneral Water Suppliers</v>
          </cell>
          <cell r="B947">
            <v>-5841.8</v>
          </cell>
          <cell r="C947">
            <v>17640</v>
          </cell>
          <cell r="D947">
            <v>12080</v>
          </cell>
          <cell r="E947">
            <v>-281.8</v>
          </cell>
          <cell r="G947">
            <v>-281.8</v>
          </cell>
        </row>
        <row r="948">
          <cell r="A948" t="str">
            <v>Sheetal Enterprises</v>
          </cell>
          <cell r="B948">
            <v>0</v>
          </cell>
          <cell r="C948">
            <v>103840</v>
          </cell>
          <cell r="D948">
            <v>103840</v>
          </cell>
          <cell r="E948">
            <v>0</v>
          </cell>
          <cell r="G948">
            <v>0</v>
          </cell>
        </row>
        <row r="949">
          <cell r="A949" t="str">
            <v>Shiv Stonex</v>
          </cell>
          <cell r="B949">
            <v>-0.46</v>
          </cell>
          <cell r="C949">
            <v>0</v>
          </cell>
          <cell r="D949">
            <v>0</v>
          </cell>
          <cell r="E949">
            <v>-0.46</v>
          </cell>
          <cell r="G949">
            <v>-0.46</v>
          </cell>
        </row>
        <row r="950">
          <cell r="A950" t="str">
            <v>Shivam Logistic</v>
          </cell>
          <cell r="B950">
            <v>-444860</v>
          </cell>
          <cell r="C950">
            <v>614340</v>
          </cell>
          <cell r="D950">
            <v>178180</v>
          </cell>
          <cell r="E950">
            <v>-8700</v>
          </cell>
          <cell r="G950">
            <v>-8700</v>
          </cell>
        </row>
        <row r="951">
          <cell r="A951" t="str">
            <v>Shivshakti Traders</v>
          </cell>
          <cell r="B951">
            <v>-41849.269999999997</v>
          </cell>
          <cell r="C951">
            <v>91703</v>
          </cell>
          <cell r="D951">
            <v>139949</v>
          </cell>
          <cell r="E951">
            <v>-90095.27</v>
          </cell>
          <cell r="G951">
            <v>-90095.27</v>
          </cell>
        </row>
        <row r="952">
          <cell r="A952" t="str">
            <v>Shree Balaji Enterprise - 24BQPPM5472A1ZU</v>
          </cell>
          <cell r="B952">
            <v>0</v>
          </cell>
          <cell r="C952">
            <v>27966</v>
          </cell>
          <cell r="D952">
            <v>27966</v>
          </cell>
          <cell r="E952">
            <v>0</v>
          </cell>
          <cell r="G952">
            <v>0</v>
          </cell>
        </row>
        <row r="953">
          <cell r="A953" t="str">
            <v>Shree Ghanshyam Engineering Works</v>
          </cell>
          <cell r="B953">
            <v>2520</v>
          </cell>
          <cell r="C953">
            <v>0</v>
          </cell>
          <cell r="D953">
            <v>0</v>
          </cell>
          <cell r="E953">
            <v>2520</v>
          </cell>
          <cell r="G953">
            <v>2520</v>
          </cell>
        </row>
        <row r="954">
          <cell r="A954" t="str">
            <v>Shree Kuldevi Traders</v>
          </cell>
          <cell r="B954">
            <v>-3885</v>
          </cell>
          <cell r="C954">
            <v>83759</v>
          </cell>
          <cell r="D954">
            <v>83760</v>
          </cell>
          <cell r="E954">
            <v>-3886</v>
          </cell>
          <cell r="G954">
            <v>-3886</v>
          </cell>
        </row>
        <row r="955">
          <cell r="A955" t="str">
            <v>Shree Navdurga Stone Care</v>
          </cell>
          <cell r="B955">
            <v>0</v>
          </cell>
          <cell r="C955">
            <v>0</v>
          </cell>
          <cell r="D955">
            <v>165714</v>
          </cell>
          <cell r="E955">
            <v>-165714</v>
          </cell>
          <cell r="G955">
            <v>-165714</v>
          </cell>
        </row>
        <row r="956">
          <cell r="A956" t="str">
            <v>Shreeji Engineers- 24AEYPP0488D1Z4</v>
          </cell>
          <cell r="B956">
            <v>0</v>
          </cell>
          <cell r="C956">
            <v>0</v>
          </cell>
          <cell r="D956">
            <v>0</v>
          </cell>
          <cell r="E956">
            <v>0</v>
          </cell>
          <cell r="G956">
            <v>0</v>
          </cell>
        </row>
        <row r="957">
          <cell r="A957" t="str">
            <v>Shreenath Traders</v>
          </cell>
          <cell r="B957">
            <v>-8191.48</v>
          </cell>
          <cell r="C957">
            <v>22200</v>
          </cell>
          <cell r="D957">
            <v>22200</v>
          </cell>
          <cell r="E957">
            <v>-8191.48</v>
          </cell>
          <cell r="G957">
            <v>-8191.48</v>
          </cell>
        </row>
        <row r="958">
          <cell r="A958" t="str">
            <v>Shri Mehta Ceramic</v>
          </cell>
          <cell r="B958">
            <v>-49400</v>
          </cell>
          <cell r="C958">
            <v>49400</v>
          </cell>
          <cell r="D958">
            <v>0</v>
          </cell>
          <cell r="E958">
            <v>0</v>
          </cell>
          <cell r="G958">
            <v>0</v>
          </cell>
        </row>
        <row r="959">
          <cell r="A959" t="str">
            <v>Siddharth Subscription Agency - 27AAAPJ9238K2ZE</v>
          </cell>
          <cell r="B959">
            <v>0</v>
          </cell>
          <cell r="C959">
            <v>14650</v>
          </cell>
          <cell r="D959">
            <v>14650</v>
          </cell>
          <cell r="E959">
            <v>0</v>
          </cell>
          <cell r="G959">
            <v>0</v>
          </cell>
        </row>
        <row r="960">
          <cell r="A960" t="str">
            <v>Simandhar Technology</v>
          </cell>
          <cell r="B960">
            <v>0</v>
          </cell>
          <cell r="C960">
            <v>21240</v>
          </cell>
          <cell r="D960">
            <v>21240</v>
          </cell>
          <cell r="E960">
            <v>0</v>
          </cell>
          <cell r="G960">
            <v>0</v>
          </cell>
        </row>
        <row r="961">
          <cell r="A961" t="str">
            <v>Skill-Tech Servise</v>
          </cell>
          <cell r="B961">
            <v>0</v>
          </cell>
          <cell r="C961">
            <v>18880</v>
          </cell>
          <cell r="D961">
            <v>18880</v>
          </cell>
          <cell r="E961">
            <v>0</v>
          </cell>
          <cell r="G961">
            <v>0</v>
          </cell>
        </row>
        <row r="962">
          <cell r="A962" t="str">
            <v>Smart Loundry Home</v>
          </cell>
          <cell r="B962">
            <v>-1386</v>
          </cell>
          <cell r="C962">
            <v>2670</v>
          </cell>
          <cell r="D962">
            <v>5620</v>
          </cell>
          <cell r="E962">
            <v>-4336</v>
          </cell>
          <cell r="G962">
            <v>-4336</v>
          </cell>
        </row>
        <row r="963">
          <cell r="A963" t="str">
            <v>Solanki Engineering Company</v>
          </cell>
          <cell r="B963">
            <v>0</v>
          </cell>
          <cell r="C963">
            <v>0</v>
          </cell>
          <cell r="D963">
            <v>51212</v>
          </cell>
          <cell r="E963">
            <v>-51212</v>
          </cell>
          <cell r="G963">
            <v>-51212</v>
          </cell>
        </row>
        <row r="964">
          <cell r="A964" t="str">
            <v>Sps Tubes Industries</v>
          </cell>
          <cell r="B964">
            <v>790350</v>
          </cell>
          <cell r="C964">
            <v>0</v>
          </cell>
          <cell r="D964">
            <v>0</v>
          </cell>
          <cell r="E964">
            <v>790350</v>
          </cell>
          <cell r="G964">
            <v>790350</v>
          </cell>
        </row>
        <row r="965">
          <cell r="A965" t="str">
            <v>Star Electric Work</v>
          </cell>
          <cell r="B965">
            <v>-18682.599999999999</v>
          </cell>
          <cell r="C965">
            <v>0</v>
          </cell>
          <cell r="D965">
            <v>0</v>
          </cell>
          <cell r="E965">
            <v>-18682.599999999999</v>
          </cell>
          <cell r="G965">
            <v>-18682.599999999999</v>
          </cell>
        </row>
        <row r="966">
          <cell r="A966" t="str">
            <v>Sunrise Marine</v>
          </cell>
          <cell r="B966">
            <v>-141412</v>
          </cell>
          <cell r="C966">
            <v>229208</v>
          </cell>
          <cell r="D966">
            <v>88580</v>
          </cell>
          <cell r="E966">
            <v>-784</v>
          </cell>
          <cell r="G966">
            <v>-784</v>
          </cell>
        </row>
        <row r="967">
          <cell r="A967" t="str">
            <v>Surneha Services</v>
          </cell>
          <cell r="B967">
            <v>0</v>
          </cell>
          <cell r="C967">
            <v>7875</v>
          </cell>
          <cell r="D967">
            <v>7875</v>
          </cell>
          <cell r="E967">
            <v>0</v>
          </cell>
          <cell r="G967">
            <v>0</v>
          </cell>
        </row>
        <row r="968">
          <cell r="A968" t="str">
            <v>Swayam Shipping Services Private Limited</v>
          </cell>
          <cell r="B968">
            <v>0</v>
          </cell>
          <cell r="C968">
            <v>0</v>
          </cell>
          <cell r="D968">
            <v>0</v>
          </cell>
          <cell r="E968">
            <v>0</v>
          </cell>
          <cell r="G968">
            <v>0</v>
          </cell>
        </row>
        <row r="969">
          <cell r="A969" t="str">
            <v>Tech Plastfeb Private Limited</v>
          </cell>
          <cell r="B969">
            <v>-392656</v>
          </cell>
          <cell r="C969">
            <v>850945</v>
          </cell>
          <cell r="D969">
            <v>458289</v>
          </cell>
          <cell r="E969">
            <v>0</v>
          </cell>
          <cell r="G969">
            <v>0</v>
          </cell>
        </row>
        <row r="970">
          <cell r="A970" t="str">
            <v>Tecno Cooling Services</v>
          </cell>
          <cell r="B970">
            <v>0</v>
          </cell>
          <cell r="C970">
            <v>16095</v>
          </cell>
          <cell r="D970">
            <v>16095</v>
          </cell>
          <cell r="E970">
            <v>0</v>
          </cell>
          <cell r="G970">
            <v>0</v>
          </cell>
        </row>
        <row r="971">
          <cell r="A971" t="str">
            <v>Unique Marketing - 24ABEPK2505M1ZU</v>
          </cell>
          <cell r="B971">
            <v>9031787.25</v>
          </cell>
          <cell r="C971">
            <v>500110</v>
          </cell>
          <cell r="D971">
            <v>468707</v>
          </cell>
          <cell r="E971">
            <v>9063190.25</v>
          </cell>
          <cell r="G971">
            <v>9063190.25</v>
          </cell>
        </row>
        <row r="972">
          <cell r="A972" t="str">
            <v>Upasana Metals</v>
          </cell>
          <cell r="B972">
            <v>0</v>
          </cell>
          <cell r="C972">
            <v>226023</v>
          </cell>
          <cell r="D972">
            <v>226023</v>
          </cell>
          <cell r="E972">
            <v>0</v>
          </cell>
          <cell r="G972">
            <v>0</v>
          </cell>
        </row>
        <row r="973">
          <cell r="A973" t="str">
            <v>Urban Junggle Privet Limited</v>
          </cell>
          <cell r="B973">
            <v>-57819</v>
          </cell>
          <cell r="C973">
            <v>60180</v>
          </cell>
          <cell r="D973">
            <v>40120</v>
          </cell>
          <cell r="E973">
            <v>-37759</v>
          </cell>
          <cell r="G973">
            <v>-37759</v>
          </cell>
        </row>
        <row r="974">
          <cell r="A974" t="str">
            <v>Urvashi Logistics</v>
          </cell>
          <cell r="B974">
            <v>0</v>
          </cell>
          <cell r="C974">
            <v>289922</v>
          </cell>
          <cell r="D974">
            <v>289922</v>
          </cell>
          <cell r="E974">
            <v>0</v>
          </cell>
          <cell r="G974">
            <v>0</v>
          </cell>
        </row>
        <row r="975">
          <cell r="A975" t="str">
            <v>V Trans India Limited  24AAACV1559Q1ZW</v>
          </cell>
          <cell r="B975">
            <v>7118.1</v>
          </cell>
          <cell r="C975">
            <v>0</v>
          </cell>
          <cell r="D975">
            <v>0</v>
          </cell>
          <cell r="E975">
            <v>7118.1</v>
          </cell>
          <cell r="G975">
            <v>7118.1</v>
          </cell>
        </row>
        <row r="976">
          <cell r="A976" t="str">
            <v>V Trans India Limited 08AAACV1559Q1ZQ</v>
          </cell>
          <cell r="B976">
            <v>0</v>
          </cell>
          <cell r="C976">
            <v>0</v>
          </cell>
          <cell r="D976">
            <v>0</v>
          </cell>
          <cell r="E976">
            <v>0</v>
          </cell>
          <cell r="G976">
            <v>0</v>
          </cell>
        </row>
        <row r="977">
          <cell r="A977" t="str">
            <v>Vagheshwari Engineering</v>
          </cell>
          <cell r="B977">
            <v>6162</v>
          </cell>
          <cell r="C977">
            <v>1057307</v>
          </cell>
          <cell r="D977">
            <v>57307</v>
          </cell>
          <cell r="E977">
            <v>1006162</v>
          </cell>
          <cell r="G977">
            <v>1006162</v>
          </cell>
        </row>
        <row r="978">
          <cell r="A978" t="str">
            <v>Vajabhai Nagjibhai Gohel</v>
          </cell>
          <cell r="B978">
            <v>-6200</v>
          </cell>
          <cell r="C978">
            <v>18600</v>
          </cell>
          <cell r="D978">
            <v>18600</v>
          </cell>
          <cell r="E978">
            <v>-6200</v>
          </cell>
          <cell r="G978">
            <v>-6200</v>
          </cell>
        </row>
        <row r="979">
          <cell r="A979" t="str">
            <v>Vasudev Enterprise</v>
          </cell>
          <cell r="B979">
            <v>-17244</v>
          </cell>
          <cell r="C979">
            <v>17244</v>
          </cell>
          <cell r="D979">
            <v>0</v>
          </cell>
          <cell r="E979">
            <v>0</v>
          </cell>
          <cell r="G979">
            <v>0</v>
          </cell>
        </row>
        <row r="980">
          <cell r="A980" t="str">
            <v>Vimla Enterprise</v>
          </cell>
          <cell r="B980">
            <v>-188280.18</v>
          </cell>
          <cell r="C980">
            <v>564800</v>
          </cell>
          <cell r="D980">
            <v>377600</v>
          </cell>
          <cell r="E980">
            <v>-1080.18</v>
          </cell>
          <cell r="G980">
            <v>-1080.18</v>
          </cell>
        </row>
        <row r="981">
          <cell r="A981" t="str">
            <v>Viraj Enterprises</v>
          </cell>
          <cell r="B981">
            <v>8785.2000000000007</v>
          </cell>
          <cell r="C981">
            <v>0</v>
          </cell>
          <cell r="D981">
            <v>0</v>
          </cell>
          <cell r="E981">
            <v>8785.2000000000007</v>
          </cell>
          <cell r="G981">
            <v>8785.2000000000007</v>
          </cell>
        </row>
        <row r="982">
          <cell r="A982" t="str">
            <v>Visatkrupa Bright Steel</v>
          </cell>
          <cell r="B982">
            <v>0</v>
          </cell>
          <cell r="C982">
            <v>100890</v>
          </cell>
          <cell r="D982">
            <v>100890</v>
          </cell>
          <cell r="E982">
            <v>0</v>
          </cell>
          <cell r="G982">
            <v>0</v>
          </cell>
        </row>
        <row r="983">
          <cell r="A983" t="str">
            <v>Vishal Shipping Global Logistics Llp</v>
          </cell>
          <cell r="B983">
            <v>-146216</v>
          </cell>
          <cell r="C983">
            <v>164615</v>
          </cell>
          <cell r="D983">
            <v>40441</v>
          </cell>
          <cell r="E983">
            <v>-22042</v>
          </cell>
          <cell r="G983">
            <v>-22042</v>
          </cell>
        </row>
        <row r="984">
          <cell r="A984" t="str">
            <v>Vishwa Enterprise</v>
          </cell>
          <cell r="B984">
            <v>0</v>
          </cell>
          <cell r="C984">
            <v>0</v>
          </cell>
          <cell r="D984">
            <v>0</v>
          </cell>
          <cell r="E984">
            <v>0</v>
          </cell>
          <cell r="G984">
            <v>0</v>
          </cell>
        </row>
        <row r="985">
          <cell r="A985" t="str">
            <v>Vivid Plus Private Limited</v>
          </cell>
          <cell r="B985">
            <v>65785</v>
          </cell>
          <cell r="C985">
            <v>0</v>
          </cell>
          <cell r="D985">
            <v>0</v>
          </cell>
          <cell r="E985">
            <v>65785</v>
          </cell>
          <cell r="G985">
            <v>65785</v>
          </cell>
        </row>
        <row r="986">
          <cell r="A986" t="str">
            <v>Vk Bricks &amp; MJ Enterprise</v>
          </cell>
          <cell r="B986">
            <v>-6720</v>
          </cell>
          <cell r="C986">
            <v>0</v>
          </cell>
          <cell r="D986">
            <v>0</v>
          </cell>
          <cell r="E986">
            <v>-6720</v>
          </cell>
          <cell r="G986">
            <v>-6720</v>
          </cell>
        </row>
        <row r="987">
          <cell r="A987" t="str">
            <v>Washington Enterprise</v>
          </cell>
          <cell r="B987">
            <v>0</v>
          </cell>
          <cell r="C987">
            <v>14750</v>
          </cell>
          <cell r="D987">
            <v>0</v>
          </cell>
          <cell r="E987">
            <v>14750</v>
          </cell>
          <cell r="G987">
            <v>14750</v>
          </cell>
        </row>
        <row r="988">
          <cell r="A988" t="str">
            <v>Wittmann Battenfeld India Pvt Ltd</v>
          </cell>
          <cell r="B988">
            <v>0</v>
          </cell>
          <cell r="C988">
            <v>0</v>
          </cell>
          <cell r="D988">
            <v>0</v>
          </cell>
          <cell r="E988">
            <v>0</v>
          </cell>
          <cell r="G988">
            <v>0</v>
          </cell>
        </row>
        <row r="989">
          <cell r="A989" t="str">
            <v>Yash Trips</v>
          </cell>
          <cell r="B989">
            <v>0</v>
          </cell>
          <cell r="C989">
            <v>269162</v>
          </cell>
          <cell r="D989">
            <v>474708</v>
          </cell>
          <cell r="E989">
            <v>-205546</v>
          </cell>
          <cell r="G989">
            <v>-205546</v>
          </cell>
        </row>
        <row r="990">
          <cell r="A990" t="str">
            <v>Active Cargo Movers</v>
          </cell>
          <cell r="B990">
            <v>0</v>
          </cell>
          <cell r="C990">
            <v>0</v>
          </cell>
          <cell r="D990">
            <v>0</v>
          </cell>
          <cell r="E990">
            <v>0</v>
          </cell>
          <cell r="G990">
            <v>0</v>
          </cell>
        </row>
        <row r="991">
          <cell r="A991" t="str">
            <v>Adani Ports And Special Economic Zone Limited</v>
          </cell>
          <cell r="B991">
            <v>497669</v>
          </cell>
          <cell r="C991">
            <v>2019</v>
          </cell>
          <cell r="D991">
            <v>117321</v>
          </cell>
          <cell r="E991">
            <v>382367</v>
          </cell>
          <cell r="G991">
            <v>382367</v>
          </cell>
        </row>
        <row r="992">
          <cell r="A992" t="str">
            <v>Ahan Shipping Services-24AAZFA5323K1Z4</v>
          </cell>
          <cell r="B992">
            <v>-1539.42</v>
          </cell>
          <cell r="C992">
            <v>15078</v>
          </cell>
          <cell r="D992">
            <v>15078</v>
          </cell>
          <cell r="E992">
            <v>-1539.42</v>
          </cell>
          <cell r="G992">
            <v>-1539.42</v>
          </cell>
        </row>
        <row r="993">
          <cell r="A993" t="str">
            <v>All-Way Logistics India Private Limited</v>
          </cell>
          <cell r="B993">
            <v>-40</v>
          </cell>
          <cell r="C993">
            <v>0</v>
          </cell>
          <cell r="D993">
            <v>0</v>
          </cell>
          <cell r="E993">
            <v>-40</v>
          </cell>
          <cell r="G993">
            <v>-40</v>
          </cell>
        </row>
        <row r="994">
          <cell r="A994" t="str">
            <v>Arihant Roadlines</v>
          </cell>
          <cell r="B994">
            <v>-2000</v>
          </cell>
          <cell r="C994">
            <v>0</v>
          </cell>
          <cell r="D994">
            <v>0</v>
          </cell>
          <cell r="E994">
            <v>-2000</v>
          </cell>
          <cell r="G994">
            <v>-2000</v>
          </cell>
        </row>
        <row r="995">
          <cell r="A995" t="str">
            <v>Ashapura Forwarders Limited - Ahmedabad</v>
          </cell>
          <cell r="B995">
            <v>0</v>
          </cell>
          <cell r="C995">
            <v>0</v>
          </cell>
          <cell r="D995">
            <v>0</v>
          </cell>
          <cell r="E995">
            <v>0</v>
          </cell>
          <cell r="G995">
            <v>0</v>
          </cell>
        </row>
        <row r="996">
          <cell r="A996" t="str">
            <v>Ashapura Logistics Limited (Ashapura Forwarders Ltd)- 27AADCA4633M1ZJ</v>
          </cell>
          <cell r="B996">
            <v>-8280</v>
          </cell>
          <cell r="C996">
            <v>8280</v>
          </cell>
          <cell r="D996">
            <v>0</v>
          </cell>
          <cell r="E996">
            <v>0</v>
          </cell>
          <cell r="G996">
            <v>0</v>
          </cell>
        </row>
        <row r="997">
          <cell r="A997" t="str">
            <v>Ashapura Roadlines</v>
          </cell>
          <cell r="B997">
            <v>-610</v>
          </cell>
          <cell r="C997">
            <v>610</v>
          </cell>
          <cell r="D997">
            <v>0</v>
          </cell>
          <cell r="E997">
            <v>0</v>
          </cell>
          <cell r="G997">
            <v>0</v>
          </cell>
        </row>
        <row r="998">
          <cell r="A998" t="str">
            <v>B.K. Roadways</v>
          </cell>
          <cell r="B998">
            <v>-59895</v>
          </cell>
          <cell r="C998">
            <v>171895</v>
          </cell>
          <cell r="D998">
            <v>112000</v>
          </cell>
          <cell r="E998">
            <v>0</v>
          </cell>
          <cell r="G998">
            <v>0</v>
          </cell>
        </row>
        <row r="999">
          <cell r="A999" t="str">
            <v>Believe Logistic-Gujarat</v>
          </cell>
          <cell r="B999">
            <v>0</v>
          </cell>
          <cell r="C999">
            <v>0</v>
          </cell>
          <cell r="D999">
            <v>0</v>
          </cell>
          <cell r="E999">
            <v>0</v>
          </cell>
          <cell r="G999">
            <v>0</v>
          </cell>
        </row>
        <row r="1000">
          <cell r="A1000" t="str">
            <v>Blackstone Shipping Private Limited - Gujarat</v>
          </cell>
          <cell r="B1000">
            <v>102</v>
          </cell>
          <cell r="C1000">
            <v>658282</v>
          </cell>
          <cell r="D1000">
            <v>658384</v>
          </cell>
          <cell r="E1000">
            <v>0</v>
          </cell>
          <cell r="G1000">
            <v>0</v>
          </cell>
        </row>
        <row r="1001">
          <cell r="A1001" t="str">
            <v>Blackstone Shipping Private Limited - Maharashtra</v>
          </cell>
          <cell r="B1001">
            <v>445</v>
          </cell>
          <cell r="C1001">
            <v>131063</v>
          </cell>
          <cell r="D1001">
            <v>131508</v>
          </cell>
          <cell r="E1001">
            <v>0</v>
          </cell>
          <cell r="G1001">
            <v>0</v>
          </cell>
        </row>
        <row r="1002">
          <cell r="A1002" t="str">
            <v>Bravin Logistics LLP</v>
          </cell>
          <cell r="B1002">
            <v>-281496</v>
          </cell>
          <cell r="C1002">
            <v>657172</v>
          </cell>
          <cell r="D1002">
            <v>375676</v>
          </cell>
          <cell r="E1002">
            <v>0</v>
          </cell>
          <cell r="G1002">
            <v>0</v>
          </cell>
        </row>
        <row r="1003">
          <cell r="A1003" t="str">
            <v>C B Logistics</v>
          </cell>
          <cell r="B1003">
            <v>-80916</v>
          </cell>
          <cell r="C1003">
            <v>780603</v>
          </cell>
          <cell r="D1003">
            <v>780603</v>
          </cell>
          <cell r="E1003">
            <v>-80916</v>
          </cell>
          <cell r="G1003">
            <v>-80916</v>
          </cell>
        </row>
        <row r="1004">
          <cell r="A1004" t="str">
            <v>Cargo Marketing International Private Limited</v>
          </cell>
          <cell r="B1004">
            <v>0</v>
          </cell>
          <cell r="C1004">
            <v>397976</v>
          </cell>
          <cell r="D1004">
            <v>590492</v>
          </cell>
          <cell r="E1004">
            <v>-192516</v>
          </cell>
          <cell r="G1004">
            <v>-192516</v>
          </cell>
        </row>
        <row r="1005">
          <cell r="A1005" t="str">
            <v>Chinubhai Kalidass &amp; Bros - Gujarat</v>
          </cell>
          <cell r="B1005">
            <v>-38357.480000000003</v>
          </cell>
          <cell r="C1005">
            <v>0</v>
          </cell>
          <cell r="D1005">
            <v>0</v>
          </cell>
          <cell r="E1005">
            <v>-38357.480000000003</v>
          </cell>
          <cell r="G1005">
            <v>-38357.480000000003</v>
          </cell>
        </row>
        <row r="1006">
          <cell r="A1006" t="str">
            <v>Ckb Global Logistic Pvt Ltd-Maharashtra</v>
          </cell>
          <cell r="B1006">
            <v>-4230</v>
          </cell>
          <cell r="C1006">
            <v>0</v>
          </cell>
          <cell r="D1006">
            <v>0</v>
          </cell>
          <cell r="E1006">
            <v>-4230</v>
          </cell>
          <cell r="G1006">
            <v>-4230</v>
          </cell>
        </row>
        <row r="1007">
          <cell r="A1007" t="str">
            <v>Cma Cgm Agencies (India) Pvt Ltd</v>
          </cell>
          <cell r="B1007">
            <v>6313</v>
          </cell>
          <cell r="C1007">
            <v>7788</v>
          </cell>
          <cell r="D1007">
            <v>7788</v>
          </cell>
          <cell r="E1007">
            <v>6313</v>
          </cell>
          <cell r="G1007">
            <v>6313</v>
          </cell>
        </row>
        <row r="1008">
          <cell r="A1008" t="str">
            <v>Cosco Shipping Lines (India) Private Limited - Maharastra</v>
          </cell>
          <cell r="B1008">
            <v>0</v>
          </cell>
          <cell r="C1008">
            <v>0</v>
          </cell>
          <cell r="D1008">
            <v>0</v>
          </cell>
          <cell r="E1008">
            <v>0</v>
          </cell>
          <cell r="G1008">
            <v>0</v>
          </cell>
        </row>
        <row r="1009">
          <cell r="A1009" t="str">
            <v>Dsv Air &amp; Sea Private Limited</v>
          </cell>
          <cell r="B1009">
            <v>-174560</v>
          </cell>
          <cell r="C1009">
            <v>734230.01</v>
          </cell>
          <cell r="D1009">
            <v>514699.01</v>
          </cell>
          <cell r="E1009">
            <v>44971</v>
          </cell>
          <cell r="G1009">
            <v>44971</v>
          </cell>
        </row>
        <row r="1010">
          <cell r="A1010" t="str">
            <v>Dwarkesh Roadways</v>
          </cell>
          <cell r="B1010">
            <v>0</v>
          </cell>
          <cell r="C1010">
            <v>644000</v>
          </cell>
          <cell r="D1010">
            <v>644000</v>
          </cell>
          <cell r="E1010">
            <v>0</v>
          </cell>
          <cell r="G1010">
            <v>0</v>
          </cell>
        </row>
        <row r="1011">
          <cell r="A1011" t="str">
            <v>Evergreen Shipping Agency (India) Pvt Ltd</v>
          </cell>
          <cell r="B1011">
            <v>0</v>
          </cell>
          <cell r="C1011">
            <v>521237.96</v>
          </cell>
          <cell r="D1011">
            <v>258428.98</v>
          </cell>
          <cell r="E1011">
            <v>262808.98</v>
          </cell>
          <cell r="G1011">
            <v>262808.98</v>
          </cell>
        </row>
        <row r="1012">
          <cell r="A1012" t="str">
            <v>Expo Freight Private Limited</v>
          </cell>
          <cell r="B1012">
            <v>1161</v>
          </cell>
          <cell r="C1012">
            <v>67367</v>
          </cell>
          <cell r="D1012">
            <v>68528</v>
          </cell>
          <cell r="E1012">
            <v>0</v>
          </cell>
          <cell r="G1012">
            <v>0</v>
          </cell>
        </row>
        <row r="1013">
          <cell r="A1013" t="str">
            <v>Fast And Fair Shipping And Logistics</v>
          </cell>
          <cell r="B1013">
            <v>0</v>
          </cell>
          <cell r="C1013">
            <v>0</v>
          </cell>
          <cell r="D1013">
            <v>0</v>
          </cell>
          <cell r="E1013">
            <v>0</v>
          </cell>
          <cell r="G1013">
            <v>0</v>
          </cell>
        </row>
        <row r="1014">
          <cell r="A1014" t="str">
            <v>Fortune Shipping Private Limited</v>
          </cell>
          <cell r="B1014">
            <v>-58000</v>
          </cell>
          <cell r="C1014">
            <v>93018</v>
          </cell>
          <cell r="D1014">
            <v>34220</v>
          </cell>
          <cell r="E1014">
            <v>798</v>
          </cell>
          <cell r="G1014">
            <v>798</v>
          </cell>
        </row>
        <row r="1015">
          <cell r="A1015" t="str">
            <v>Fortune Shipping Services Pvt Ltd</v>
          </cell>
          <cell r="B1015">
            <v>0</v>
          </cell>
          <cell r="C1015">
            <v>0</v>
          </cell>
          <cell r="D1015">
            <v>0</v>
          </cell>
          <cell r="E1015">
            <v>0</v>
          </cell>
          <cell r="G1015">
            <v>0</v>
          </cell>
        </row>
        <row r="1016">
          <cell r="A1016" t="str">
            <v>G S Infraport Private Limited</v>
          </cell>
          <cell r="B1016">
            <v>-0.46</v>
          </cell>
          <cell r="C1016">
            <v>0</v>
          </cell>
          <cell r="D1016">
            <v>0</v>
          </cell>
          <cell r="E1016">
            <v>-0.46</v>
          </cell>
          <cell r="G1016">
            <v>-0.46</v>
          </cell>
        </row>
        <row r="1017">
          <cell r="A1017" t="str">
            <v>Girick Shipping Agencies Private Limited</v>
          </cell>
          <cell r="B1017">
            <v>1263</v>
          </cell>
          <cell r="C1017">
            <v>0</v>
          </cell>
          <cell r="D1017">
            <v>0</v>
          </cell>
          <cell r="E1017">
            <v>1263</v>
          </cell>
          <cell r="G1017">
            <v>1263</v>
          </cell>
        </row>
        <row r="1018">
          <cell r="A1018" t="str">
            <v>Globelink WW India Pvt Ltd</v>
          </cell>
          <cell r="B1018">
            <v>-190218</v>
          </cell>
          <cell r="C1018">
            <v>190218</v>
          </cell>
          <cell r="D1018">
            <v>0</v>
          </cell>
          <cell r="E1018">
            <v>0</v>
          </cell>
          <cell r="G1018">
            <v>0</v>
          </cell>
        </row>
        <row r="1019">
          <cell r="A1019" t="str">
            <v>Globus Transitos Pvt Ltd</v>
          </cell>
          <cell r="B1019">
            <v>-105883</v>
          </cell>
          <cell r="C1019">
            <v>202726</v>
          </cell>
          <cell r="D1019">
            <v>96843</v>
          </cell>
          <cell r="E1019">
            <v>0</v>
          </cell>
          <cell r="G1019">
            <v>0</v>
          </cell>
        </row>
        <row r="1020">
          <cell r="A1020" t="str">
            <v>Hasti Petro Chemical And Shipping Ltd.</v>
          </cell>
          <cell r="B1020">
            <v>7280</v>
          </cell>
          <cell r="C1020">
            <v>29330</v>
          </cell>
          <cell r="D1020">
            <v>36750</v>
          </cell>
          <cell r="E1020">
            <v>-140</v>
          </cell>
          <cell r="G1020">
            <v>-140</v>
          </cell>
        </row>
        <row r="1021">
          <cell r="A1021" t="str">
            <v>Hellmann Worldwide Logistics India Private Limited</v>
          </cell>
          <cell r="B1021">
            <v>548</v>
          </cell>
          <cell r="C1021">
            <v>72674</v>
          </cell>
          <cell r="D1021">
            <v>73222</v>
          </cell>
          <cell r="E1021">
            <v>0</v>
          </cell>
          <cell r="G1021">
            <v>0</v>
          </cell>
        </row>
        <row r="1022">
          <cell r="A1022" t="str">
            <v>Hind Carriers Pvt Ltd</v>
          </cell>
          <cell r="B1022">
            <v>0</v>
          </cell>
          <cell r="C1022">
            <v>0</v>
          </cell>
          <cell r="D1022">
            <v>0</v>
          </cell>
          <cell r="E1022">
            <v>0</v>
          </cell>
          <cell r="G1022">
            <v>0</v>
          </cell>
        </row>
        <row r="1023">
          <cell r="A1023" t="str">
            <v>Hindustan Infralog Private Limited</v>
          </cell>
          <cell r="B1023">
            <v>-44936.54</v>
          </cell>
          <cell r="C1023">
            <v>44936.54</v>
          </cell>
          <cell r="D1023">
            <v>0</v>
          </cell>
          <cell r="E1023">
            <v>0</v>
          </cell>
          <cell r="G1023">
            <v>0</v>
          </cell>
        </row>
        <row r="1024">
          <cell r="A1024" t="str">
            <v>Jay Mataji Roadlines</v>
          </cell>
          <cell r="B1024">
            <v>-6000</v>
          </cell>
          <cell r="C1024">
            <v>6000</v>
          </cell>
          <cell r="D1024">
            <v>0</v>
          </cell>
          <cell r="E1024">
            <v>0</v>
          </cell>
          <cell r="G1024">
            <v>0</v>
          </cell>
        </row>
        <row r="1025">
          <cell r="A1025" t="str">
            <v>M R Logistics</v>
          </cell>
          <cell r="B1025">
            <v>0</v>
          </cell>
          <cell r="C1025">
            <v>19500</v>
          </cell>
          <cell r="D1025">
            <v>19500</v>
          </cell>
          <cell r="E1025">
            <v>0</v>
          </cell>
          <cell r="G1025">
            <v>0</v>
          </cell>
        </row>
        <row r="1026">
          <cell r="A1026" t="str">
            <v>Meldi Roadways</v>
          </cell>
          <cell r="B1026">
            <v>0</v>
          </cell>
          <cell r="C1026">
            <v>17000</v>
          </cell>
          <cell r="D1026">
            <v>17000</v>
          </cell>
          <cell r="E1026">
            <v>0</v>
          </cell>
          <cell r="G1026">
            <v>0</v>
          </cell>
        </row>
        <row r="1027">
          <cell r="A1027" t="str">
            <v>Meldi Transport</v>
          </cell>
          <cell r="B1027">
            <v>-10000</v>
          </cell>
          <cell r="C1027">
            <v>21500</v>
          </cell>
          <cell r="D1027">
            <v>21500</v>
          </cell>
          <cell r="E1027">
            <v>-10000</v>
          </cell>
          <cell r="G1027">
            <v>-10000</v>
          </cell>
        </row>
        <row r="1028">
          <cell r="A1028" t="str">
            <v>Mentor Freight International Pvt. Ltd</v>
          </cell>
          <cell r="B1028">
            <v>0</v>
          </cell>
          <cell r="C1028">
            <v>32278</v>
          </cell>
          <cell r="D1028">
            <v>32278</v>
          </cell>
          <cell r="E1028">
            <v>0</v>
          </cell>
          <cell r="G1028">
            <v>0</v>
          </cell>
        </row>
        <row r="1029">
          <cell r="A1029" t="str">
            <v>Msc Mediterranean Shipping Company S.A</v>
          </cell>
          <cell r="B1029">
            <v>-17248</v>
          </cell>
          <cell r="C1029">
            <v>1581613.2</v>
          </cell>
          <cell r="D1029">
            <v>1437921.2</v>
          </cell>
          <cell r="E1029">
            <v>126444</v>
          </cell>
          <cell r="G1029">
            <v>126444</v>
          </cell>
        </row>
        <row r="1030">
          <cell r="A1030" t="str">
            <v>Mundra International Container Terminal Pvt. Ltd.</v>
          </cell>
          <cell r="B1030">
            <v>29840.84</v>
          </cell>
          <cell r="C1030">
            <v>0</v>
          </cell>
          <cell r="D1030">
            <v>0</v>
          </cell>
          <cell r="E1030">
            <v>29840.84</v>
          </cell>
          <cell r="G1030">
            <v>29840.84</v>
          </cell>
        </row>
        <row r="1031">
          <cell r="A1031" t="str">
            <v>New Adani Roadways</v>
          </cell>
          <cell r="B1031">
            <v>-47500</v>
          </cell>
          <cell r="C1031">
            <v>0</v>
          </cell>
          <cell r="D1031">
            <v>0</v>
          </cell>
          <cell r="E1031">
            <v>-47500</v>
          </cell>
          <cell r="G1031">
            <v>-47500</v>
          </cell>
        </row>
        <row r="1032">
          <cell r="A1032" t="str">
            <v>Orient Star Transport International Pvt Ltd</v>
          </cell>
          <cell r="B1032">
            <v>502</v>
          </cell>
          <cell r="C1032">
            <v>95524</v>
          </cell>
          <cell r="D1032">
            <v>96026</v>
          </cell>
          <cell r="E1032">
            <v>0</v>
          </cell>
          <cell r="G1032">
            <v>0</v>
          </cell>
        </row>
        <row r="1033">
          <cell r="A1033" t="str">
            <v>Parker Shipping</v>
          </cell>
          <cell r="B1033">
            <v>0</v>
          </cell>
          <cell r="C1033">
            <v>0</v>
          </cell>
          <cell r="D1033">
            <v>205560</v>
          </cell>
          <cell r="E1033">
            <v>-205560</v>
          </cell>
          <cell r="G1033">
            <v>-205560</v>
          </cell>
        </row>
        <row r="1034">
          <cell r="A1034" t="str">
            <v>Qwik Supply Chain Private Limited</v>
          </cell>
          <cell r="B1034">
            <v>106866.67</v>
          </cell>
          <cell r="C1034">
            <v>54430.34</v>
          </cell>
          <cell r="D1034">
            <v>7210.16</v>
          </cell>
          <cell r="E1034">
            <v>154086.85</v>
          </cell>
          <cell r="G1034">
            <v>154086.85</v>
          </cell>
        </row>
        <row r="1035">
          <cell r="A1035" t="str">
            <v>Rajat Logistics</v>
          </cell>
          <cell r="B1035">
            <v>-14457</v>
          </cell>
          <cell r="C1035">
            <v>14457</v>
          </cell>
          <cell r="D1035">
            <v>0</v>
          </cell>
          <cell r="E1035">
            <v>0</v>
          </cell>
          <cell r="G1035">
            <v>0</v>
          </cell>
        </row>
        <row r="1036">
          <cell r="A1036" t="str">
            <v>Reetu Global Logistics</v>
          </cell>
          <cell r="B1036">
            <v>4172</v>
          </cell>
          <cell r="C1036">
            <v>0</v>
          </cell>
          <cell r="D1036">
            <v>0</v>
          </cell>
          <cell r="E1036">
            <v>4172</v>
          </cell>
          <cell r="G1036">
            <v>4172</v>
          </cell>
        </row>
        <row r="1037">
          <cell r="A1037" t="str">
            <v>Rv Shipping &amp; Logistics-24LPLPS1931R2ZW</v>
          </cell>
          <cell r="B1037">
            <v>-265438</v>
          </cell>
          <cell r="C1037">
            <v>265438</v>
          </cell>
          <cell r="D1037">
            <v>0</v>
          </cell>
          <cell r="E1037">
            <v>0</v>
          </cell>
          <cell r="G1037">
            <v>0</v>
          </cell>
        </row>
        <row r="1038">
          <cell r="A1038" t="str">
            <v>Sanjay Forwarders Pvt LTD</v>
          </cell>
          <cell r="B1038">
            <v>0</v>
          </cell>
          <cell r="C1038">
            <v>643034</v>
          </cell>
          <cell r="D1038">
            <v>643034</v>
          </cell>
          <cell r="E1038">
            <v>0</v>
          </cell>
          <cell r="G1038">
            <v>0</v>
          </cell>
        </row>
        <row r="1039">
          <cell r="A1039" t="str">
            <v>Sar Transport Systems Pvt Ltd - Gujarat</v>
          </cell>
          <cell r="B1039">
            <v>-50</v>
          </cell>
          <cell r="C1039">
            <v>50</v>
          </cell>
          <cell r="D1039">
            <v>0</v>
          </cell>
          <cell r="E1039">
            <v>0</v>
          </cell>
          <cell r="G1039">
            <v>0</v>
          </cell>
        </row>
        <row r="1040">
          <cell r="A1040" t="str">
            <v>Sar Transport Systems Pvt Ltd - Maharastra</v>
          </cell>
          <cell r="B1040">
            <v>-322</v>
          </cell>
          <cell r="C1040">
            <v>95993</v>
          </cell>
          <cell r="D1040">
            <v>180863</v>
          </cell>
          <cell r="E1040">
            <v>-85192</v>
          </cell>
          <cell r="G1040">
            <v>-85192</v>
          </cell>
        </row>
        <row r="1041">
          <cell r="A1041" t="str">
            <v>Seabox Shipping &amp; Logistics Pvt Ltd</v>
          </cell>
          <cell r="B1041">
            <v>-9074.7199999999993</v>
          </cell>
          <cell r="C1041">
            <v>3751</v>
          </cell>
          <cell r="D1041">
            <v>196956</v>
          </cell>
          <cell r="E1041">
            <v>-202279.72</v>
          </cell>
          <cell r="G1041">
            <v>-202279.72</v>
          </cell>
        </row>
        <row r="1042">
          <cell r="A1042" t="str">
            <v>Shivam Transworld</v>
          </cell>
          <cell r="B1042">
            <v>0</v>
          </cell>
          <cell r="C1042">
            <v>6500</v>
          </cell>
          <cell r="D1042">
            <v>23500</v>
          </cell>
          <cell r="E1042">
            <v>-17000</v>
          </cell>
          <cell r="G1042">
            <v>-17000</v>
          </cell>
        </row>
        <row r="1043">
          <cell r="A1043" t="str">
            <v>Shreena Roadways</v>
          </cell>
          <cell r="B1043">
            <v>-98500</v>
          </cell>
          <cell r="C1043">
            <v>440000</v>
          </cell>
          <cell r="D1043">
            <v>341500</v>
          </cell>
          <cell r="E1043">
            <v>0</v>
          </cell>
          <cell r="G1043">
            <v>0</v>
          </cell>
        </row>
        <row r="1044">
          <cell r="A1044" t="str">
            <v>Shreenathji Worldwide Pvt Ltd-Gujarat</v>
          </cell>
          <cell r="B1044">
            <v>-21200</v>
          </cell>
          <cell r="C1044">
            <v>21200</v>
          </cell>
          <cell r="D1044">
            <v>0</v>
          </cell>
          <cell r="E1044">
            <v>0</v>
          </cell>
          <cell r="G1044">
            <v>0</v>
          </cell>
        </row>
        <row r="1045">
          <cell r="A1045" t="str">
            <v>Shyam Shipping Services - 24BNVPS6390A1ZL</v>
          </cell>
          <cell r="B1045">
            <v>0</v>
          </cell>
          <cell r="C1045">
            <v>1089719</v>
          </cell>
          <cell r="D1045">
            <v>1089719</v>
          </cell>
          <cell r="E1045">
            <v>0</v>
          </cell>
          <cell r="G1045">
            <v>0</v>
          </cell>
        </row>
        <row r="1046">
          <cell r="A1046" t="str">
            <v>Sikotar Roadways</v>
          </cell>
          <cell r="B1046">
            <v>0</v>
          </cell>
          <cell r="C1046">
            <v>302000</v>
          </cell>
          <cell r="D1046">
            <v>302000</v>
          </cell>
          <cell r="E1046">
            <v>0</v>
          </cell>
          <cell r="G1046">
            <v>0</v>
          </cell>
        </row>
        <row r="1047">
          <cell r="A1047" t="str">
            <v>Surbhi Shipping &amp; Logistics</v>
          </cell>
          <cell r="B1047">
            <v>-948403.69</v>
          </cell>
          <cell r="C1047">
            <v>1180978</v>
          </cell>
          <cell r="D1047">
            <v>467268</v>
          </cell>
          <cell r="E1047">
            <v>-234693.69</v>
          </cell>
          <cell r="G1047">
            <v>-234693.69</v>
          </cell>
        </row>
        <row r="1048">
          <cell r="A1048" t="str">
            <v>Swarnim Logistics</v>
          </cell>
          <cell r="B1048">
            <v>-14800</v>
          </cell>
          <cell r="C1048">
            <v>14800</v>
          </cell>
          <cell r="D1048">
            <v>0</v>
          </cell>
          <cell r="E1048">
            <v>0</v>
          </cell>
          <cell r="G1048">
            <v>0</v>
          </cell>
        </row>
        <row r="1049">
          <cell r="A1049" t="str">
            <v>Unity Logistic</v>
          </cell>
          <cell r="B1049">
            <v>0</v>
          </cell>
          <cell r="C1049">
            <v>10000</v>
          </cell>
          <cell r="D1049">
            <v>0</v>
          </cell>
          <cell r="E1049">
            <v>10000</v>
          </cell>
          <cell r="G1049">
            <v>10000</v>
          </cell>
        </row>
        <row r="1050">
          <cell r="A1050" t="str">
            <v>V R Logistics Limited</v>
          </cell>
          <cell r="B1050">
            <v>204859</v>
          </cell>
          <cell r="C1050">
            <v>0</v>
          </cell>
          <cell r="D1050">
            <v>0</v>
          </cell>
          <cell r="E1050">
            <v>204859</v>
          </cell>
          <cell r="G1050">
            <v>204859</v>
          </cell>
        </row>
        <row r="1051">
          <cell r="A1051" t="str">
            <v>V-Trans (India) Ltd. - 26Aaacv1559q2zr</v>
          </cell>
          <cell r="B1051">
            <v>1421.19</v>
          </cell>
          <cell r="C1051">
            <v>1624</v>
          </cell>
          <cell r="D1051">
            <v>0</v>
          </cell>
          <cell r="E1051">
            <v>3045.19</v>
          </cell>
          <cell r="G1051">
            <v>3045.19</v>
          </cell>
        </row>
        <row r="1052">
          <cell r="A1052" t="str">
            <v>V-Trans (India) Ltd. - Gujarat</v>
          </cell>
          <cell r="B1052">
            <v>39937.550000000003</v>
          </cell>
          <cell r="C1052">
            <v>4993</v>
          </cell>
          <cell r="D1052">
            <v>0</v>
          </cell>
          <cell r="E1052">
            <v>44930.55</v>
          </cell>
          <cell r="G1052">
            <v>44930.55</v>
          </cell>
        </row>
        <row r="1053">
          <cell r="A1053" t="str">
            <v>V-Trans (India) Ltd. - Karnataka</v>
          </cell>
          <cell r="B1053">
            <v>-2811.03</v>
          </cell>
          <cell r="C1053">
            <v>0</v>
          </cell>
          <cell r="D1053">
            <v>0</v>
          </cell>
          <cell r="E1053">
            <v>-2811.03</v>
          </cell>
          <cell r="G1053">
            <v>-2811.03</v>
          </cell>
        </row>
        <row r="1054">
          <cell r="A1054" t="str">
            <v>V-Trans (India) Ltd. - Rajasthan</v>
          </cell>
          <cell r="B1054">
            <v>18348.53</v>
          </cell>
          <cell r="C1054">
            <v>11032</v>
          </cell>
          <cell r="D1054">
            <v>0</v>
          </cell>
          <cell r="E1054">
            <v>29380.53</v>
          </cell>
          <cell r="G1054">
            <v>29380.53</v>
          </cell>
        </row>
        <row r="1055">
          <cell r="A1055" t="str">
            <v>V-Trans (India) Ltd.-Mp</v>
          </cell>
          <cell r="B1055">
            <v>0</v>
          </cell>
          <cell r="C1055">
            <v>607</v>
          </cell>
          <cell r="D1055">
            <v>0</v>
          </cell>
          <cell r="E1055">
            <v>607</v>
          </cell>
          <cell r="G1055">
            <v>607</v>
          </cell>
        </row>
        <row r="1056">
          <cell r="A1056" t="str">
            <v>Virya Logistics Technologies Private Limited</v>
          </cell>
          <cell r="B1056">
            <v>0</v>
          </cell>
          <cell r="C1056">
            <v>157918</v>
          </cell>
          <cell r="D1056">
            <v>157918</v>
          </cell>
          <cell r="E1056">
            <v>0</v>
          </cell>
          <cell r="G1056">
            <v>0</v>
          </cell>
        </row>
        <row r="1057">
          <cell r="A1057" t="str">
            <v>Virya Logistics Technologies Private Limited-24AAICV0508K1ZD</v>
          </cell>
          <cell r="B1057">
            <v>0</v>
          </cell>
          <cell r="C1057">
            <v>242813</v>
          </cell>
          <cell r="D1057">
            <v>242813</v>
          </cell>
          <cell r="E1057">
            <v>0</v>
          </cell>
          <cell r="G1057">
            <v>0</v>
          </cell>
        </row>
        <row r="1058">
          <cell r="A1058" t="str">
            <v>Vrl Logistics Limited</v>
          </cell>
          <cell r="B1058">
            <v>2480</v>
          </cell>
          <cell r="C1058">
            <v>0</v>
          </cell>
          <cell r="D1058">
            <v>0</v>
          </cell>
          <cell r="E1058">
            <v>2480</v>
          </cell>
          <cell r="G1058">
            <v>2480</v>
          </cell>
        </row>
        <row r="1059">
          <cell r="A1059" t="str">
            <v>Vrl Logistics Limited - 08AABCV3609C1ZN</v>
          </cell>
          <cell r="B1059">
            <v>2290</v>
          </cell>
          <cell r="C1059">
            <v>2140</v>
          </cell>
          <cell r="D1059">
            <v>0</v>
          </cell>
          <cell r="E1059">
            <v>4430</v>
          </cell>
          <cell r="G1059">
            <v>4430</v>
          </cell>
        </row>
        <row r="1060">
          <cell r="A1060" t="str">
            <v>Vs Trans Lojistik Private Limited-Rajasthan</v>
          </cell>
          <cell r="B1060">
            <v>379</v>
          </cell>
          <cell r="C1060">
            <v>21967</v>
          </cell>
          <cell r="D1060">
            <v>22346</v>
          </cell>
          <cell r="E1060">
            <v>0</v>
          </cell>
          <cell r="G1060">
            <v>0</v>
          </cell>
        </row>
        <row r="1061">
          <cell r="A1061" t="str">
            <v>Zim Integrated Shipping Services (I) Pvt Ltd</v>
          </cell>
          <cell r="B1061">
            <v>0</v>
          </cell>
          <cell r="C1061">
            <v>473742</v>
          </cell>
          <cell r="D1061">
            <v>473742</v>
          </cell>
          <cell r="E1061">
            <v>0</v>
          </cell>
          <cell r="G1061">
            <v>0</v>
          </cell>
        </row>
        <row r="1062">
          <cell r="A1062" t="str">
            <v>CC HDFC Anil Goyal 2489</v>
          </cell>
          <cell r="B1062">
            <v>0</v>
          </cell>
          <cell r="C1062">
            <v>0</v>
          </cell>
          <cell r="D1062">
            <v>0</v>
          </cell>
          <cell r="E1062">
            <v>0</v>
          </cell>
          <cell r="G1062">
            <v>0</v>
          </cell>
        </row>
        <row r="1063">
          <cell r="A1063" t="str">
            <v>Cc Hdfc Anil Goyal 2981</v>
          </cell>
          <cell r="B1063">
            <v>-98438</v>
          </cell>
          <cell r="C1063">
            <v>324068</v>
          </cell>
          <cell r="D1063">
            <v>225630</v>
          </cell>
          <cell r="E1063">
            <v>0</v>
          </cell>
          <cell r="G1063">
            <v>0</v>
          </cell>
        </row>
        <row r="1064">
          <cell r="A1064" t="str">
            <v>Cc Hdfc Plastene India Limited 6042</v>
          </cell>
          <cell r="B1064">
            <v>264055.32</v>
          </cell>
          <cell r="C1064">
            <v>0</v>
          </cell>
          <cell r="D1064">
            <v>0</v>
          </cell>
          <cell r="E1064">
            <v>264055.32</v>
          </cell>
          <cell r="G1064">
            <v>264055.32</v>
          </cell>
        </row>
        <row r="1065">
          <cell r="A1065" t="str">
            <v>CC HDFC Prakash Parekh 7800</v>
          </cell>
          <cell r="B1065">
            <v>0</v>
          </cell>
          <cell r="C1065">
            <v>0</v>
          </cell>
          <cell r="D1065">
            <v>0</v>
          </cell>
          <cell r="E1065">
            <v>0</v>
          </cell>
          <cell r="G1065">
            <v>0</v>
          </cell>
        </row>
        <row r="1066">
          <cell r="A1066" t="str">
            <v>CC ICICI Anil Goyal 5007</v>
          </cell>
          <cell r="B1066">
            <v>0</v>
          </cell>
          <cell r="C1066">
            <v>52143</v>
          </cell>
          <cell r="D1066">
            <v>52143</v>
          </cell>
          <cell r="E1066">
            <v>0</v>
          </cell>
          <cell r="G1066">
            <v>0</v>
          </cell>
        </row>
        <row r="1067">
          <cell r="A1067" t="str">
            <v>Cc Rbl Manish Banthia 4035</v>
          </cell>
          <cell r="B1067">
            <v>0</v>
          </cell>
          <cell r="C1067">
            <v>2357740</v>
          </cell>
          <cell r="D1067">
            <v>2357740</v>
          </cell>
          <cell r="E1067">
            <v>0</v>
          </cell>
          <cell r="G1067">
            <v>0</v>
          </cell>
        </row>
        <row r="1068">
          <cell r="A1068" t="str">
            <v>CC SCB Anil Goyal 2769</v>
          </cell>
          <cell r="B1068">
            <v>0</v>
          </cell>
          <cell r="C1068">
            <v>96272</v>
          </cell>
          <cell r="D1068">
            <v>96272</v>
          </cell>
          <cell r="E1068">
            <v>0</v>
          </cell>
          <cell r="G1068">
            <v>0</v>
          </cell>
        </row>
        <row r="1069">
          <cell r="A1069" t="str">
            <v>CC SCB Anil Goyal 5603</v>
          </cell>
          <cell r="B1069">
            <v>5637.6</v>
          </cell>
          <cell r="C1069">
            <v>0</v>
          </cell>
          <cell r="D1069">
            <v>0</v>
          </cell>
          <cell r="E1069">
            <v>5637.6</v>
          </cell>
          <cell r="G1069">
            <v>5637.6</v>
          </cell>
        </row>
        <row r="1070">
          <cell r="A1070" t="str">
            <v>ABT Sourcing And Consulting Llc</v>
          </cell>
          <cell r="B1070">
            <v>-36738.54</v>
          </cell>
          <cell r="C1070">
            <v>0</v>
          </cell>
          <cell r="D1070">
            <v>0</v>
          </cell>
          <cell r="E1070">
            <v>-36738.54</v>
          </cell>
          <cell r="G1070">
            <v>-36738.54</v>
          </cell>
        </row>
        <row r="1071">
          <cell r="A1071" t="str">
            <v>Ameriglobe LLC - Purchase</v>
          </cell>
          <cell r="B1071">
            <v>0</v>
          </cell>
          <cell r="C1071">
            <v>0</v>
          </cell>
          <cell r="D1071">
            <v>0</v>
          </cell>
          <cell r="E1071">
            <v>0</v>
          </cell>
          <cell r="G1071">
            <v>0</v>
          </cell>
        </row>
        <row r="1072">
          <cell r="A1072" t="str">
            <v>ERD - Supplier</v>
          </cell>
          <cell r="B1072">
            <v>-20029488</v>
          </cell>
          <cell r="C1072">
            <v>0</v>
          </cell>
          <cell r="D1072">
            <v>0</v>
          </cell>
          <cell r="E1072">
            <v>-20029488</v>
          </cell>
          <cell r="G1072">
            <v>-20029488</v>
          </cell>
        </row>
        <row r="1073">
          <cell r="A1073" t="str">
            <v>IRO Ab</v>
          </cell>
          <cell r="B1073">
            <v>0</v>
          </cell>
          <cell r="C1073">
            <v>0</v>
          </cell>
          <cell r="D1073">
            <v>0</v>
          </cell>
          <cell r="E1073">
            <v>0</v>
          </cell>
          <cell r="G1073">
            <v>0</v>
          </cell>
        </row>
        <row r="1074">
          <cell r="A1074" t="str">
            <v>Itema (Switzerland) Ltd</v>
          </cell>
          <cell r="B1074">
            <v>0</v>
          </cell>
          <cell r="C1074">
            <v>0</v>
          </cell>
          <cell r="D1074">
            <v>0</v>
          </cell>
          <cell r="E1074">
            <v>0</v>
          </cell>
          <cell r="G1074">
            <v>0</v>
          </cell>
        </row>
        <row r="1075">
          <cell r="A1075" t="str">
            <v>Jose Maria Camargo</v>
          </cell>
          <cell r="B1075">
            <v>0</v>
          </cell>
          <cell r="C1075">
            <v>0</v>
          </cell>
          <cell r="D1075">
            <v>0</v>
          </cell>
          <cell r="E1075">
            <v>0</v>
          </cell>
          <cell r="G1075">
            <v>0</v>
          </cell>
        </row>
        <row r="1076">
          <cell r="A1076" t="str">
            <v>Polymma (Hk) Co. Ltd</v>
          </cell>
          <cell r="B1076">
            <v>0.01</v>
          </cell>
          <cell r="C1076">
            <v>0</v>
          </cell>
          <cell r="D1076">
            <v>0</v>
          </cell>
          <cell r="E1076">
            <v>0.01</v>
          </cell>
          <cell r="G1076">
            <v>0.01</v>
          </cell>
        </row>
        <row r="1077">
          <cell r="A1077" t="str">
            <v>Polytek Makina Dis Ticaret Limited Sirketi</v>
          </cell>
          <cell r="B1077">
            <v>0</v>
          </cell>
          <cell r="C1077">
            <v>0</v>
          </cell>
          <cell r="D1077">
            <v>0</v>
          </cell>
          <cell r="E1077">
            <v>0</v>
          </cell>
          <cell r="G1077">
            <v>0</v>
          </cell>
        </row>
        <row r="1078">
          <cell r="A1078" t="str">
            <v>Advanced Global Marketing Company</v>
          </cell>
          <cell r="B1078">
            <v>-7206296.8700000001</v>
          </cell>
          <cell r="C1078">
            <v>7227000</v>
          </cell>
          <cell r="D1078">
            <v>0</v>
          </cell>
          <cell r="E1078">
            <v>20703.13</v>
          </cell>
          <cell r="G1078">
            <v>20703.13</v>
          </cell>
        </row>
        <row r="1079">
          <cell r="A1079" t="str">
            <v>Alok Master Batches Private Limited- Dadra</v>
          </cell>
          <cell r="B1079">
            <v>0</v>
          </cell>
          <cell r="C1079">
            <v>0</v>
          </cell>
          <cell r="D1079">
            <v>0</v>
          </cell>
          <cell r="E1079">
            <v>0</v>
          </cell>
          <cell r="G1079">
            <v>0</v>
          </cell>
        </row>
        <row r="1080">
          <cell r="A1080" t="str">
            <v>An Thanh Bicsol Jsc</v>
          </cell>
          <cell r="B1080">
            <v>0</v>
          </cell>
          <cell r="C1080">
            <v>0</v>
          </cell>
          <cell r="D1080">
            <v>0</v>
          </cell>
          <cell r="E1080">
            <v>0</v>
          </cell>
          <cell r="G1080">
            <v>0</v>
          </cell>
        </row>
        <row r="1081">
          <cell r="A1081" t="str">
            <v>An Thanh Bicsol Singapore Pte Ltd</v>
          </cell>
          <cell r="B1081">
            <v>0</v>
          </cell>
          <cell r="C1081">
            <v>0</v>
          </cell>
          <cell r="D1081">
            <v>0</v>
          </cell>
          <cell r="E1081">
            <v>0</v>
          </cell>
          <cell r="G1081">
            <v>0</v>
          </cell>
        </row>
        <row r="1082">
          <cell r="A1082" t="str">
            <v>Arv Chemicals</v>
          </cell>
          <cell r="B1082">
            <v>-3007.5</v>
          </cell>
          <cell r="C1082">
            <v>3007.5</v>
          </cell>
          <cell r="D1082">
            <v>0</v>
          </cell>
          <cell r="E1082">
            <v>0</v>
          </cell>
          <cell r="G1082">
            <v>0</v>
          </cell>
        </row>
        <row r="1083">
          <cell r="A1083" t="str">
            <v>Avient Materials India Private Limited- Gujarat</v>
          </cell>
          <cell r="B1083">
            <v>-362124.3</v>
          </cell>
          <cell r="C1083">
            <v>362124.3</v>
          </cell>
          <cell r="D1083">
            <v>152928</v>
          </cell>
          <cell r="E1083">
            <v>-152928</v>
          </cell>
          <cell r="G1083">
            <v>-152928</v>
          </cell>
        </row>
        <row r="1084">
          <cell r="A1084" t="str">
            <v>Basell International Trading Fze</v>
          </cell>
          <cell r="B1084">
            <v>0</v>
          </cell>
          <cell r="C1084">
            <v>0</v>
          </cell>
          <cell r="D1084">
            <v>0</v>
          </cell>
          <cell r="E1084">
            <v>0</v>
          </cell>
          <cell r="G1084">
            <v>0</v>
          </cell>
        </row>
        <row r="1085">
          <cell r="A1085" t="str">
            <v>Big Bag Essentials</v>
          </cell>
          <cell r="B1085">
            <v>0</v>
          </cell>
          <cell r="C1085">
            <v>0</v>
          </cell>
          <cell r="D1085">
            <v>0</v>
          </cell>
          <cell r="E1085">
            <v>0</v>
          </cell>
          <cell r="G1085">
            <v>0</v>
          </cell>
        </row>
        <row r="1086">
          <cell r="A1086" t="str">
            <v>Ever Bags Packaging Private Limited</v>
          </cell>
          <cell r="B1086">
            <v>0</v>
          </cell>
          <cell r="C1086">
            <v>1339302</v>
          </cell>
          <cell r="D1086">
            <v>1339302</v>
          </cell>
          <cell r="E1086">
            <v>0</v>
          </cell>
          <cell r="G1086">
            <v>0</v>
          </cell>
        </row>
        <row r="1087">
          <cell r="A1087" t="str">
            <v>Fortune Polytech Private Limited</v>
          </cell>
          <cell r="B1087">
            <v>-390679</v>
          </cell>
          <cell r="C1087">
            <v>390679</v>
          </cell>
          <cell r="D1087">
            <v>0</v>
          </cell>
          <cell r="E1087">
            <v>0</v>
          </cell>
          <cell r="G1087">
            <v>0</v>
          </cell>
        </row>
        <row r="1088">
          <cell r="A1088" t="str">
            <v>Gopala Polyplast Limited - Purchase</v>
          </cell>
          <cell r="B1088">
            <v>0</v>
          </cell>
          <cell r="C1088">
            <v>0</v>
          </cell>
          <cell r="D1088">
            <v>0</v>
          </cell>
          <cell r="E1088">
            <v>0</v>
          </cell>
          <cell r="G1088">
            <v>0</v>
          </cell>
        </row>
        <row r="1089">
          <cell r="A1089" t="str">
            <v>Grasim Industries Limited</v>
          </cell>
          <cell r="B1089">
            <v>0</v>
          </cell>
          <cell r="C1089">
            <v>3970283</v>
          </cell>
          <cell r="D1089">
            <v>3973650</v>
          </cell>
          <cell r="E1089">
            <v>-3367</v>
          </cell>
          <cell r="G1089">
            <v>-3367</v>
          </cell>
        </row>
        <row r="1090">
          <cell r="A1090" t="str">
            <v>HCP Plastene Bulkpack Ltd (Unit-III) - Purchase</v>
          </cell>
          <cell r="B1090">
            <v>0</v>
          </cell>
          <cell r="C1090">
            <v>0</v>
          </cell>
          <cell r="D1090">
            <v>0</v>
          </cell>
          <cell r="E1090">
            <v>0</v>
          </cell>
          <cell r="G1090">
            <v>0</v>
          </cell>
        </row>
        <row r="1091">
          <cell r="A1091" t="str">
            <v>Hcp Plastene Bulkpack Ltd (Unit-Iv) - Purchase</v>
          </cell>
          <cell r="B1091">
            <v>-113701170.09</v>
          </cell>
          <cell r="C1091">
            <v>14600000</v>
          </cell>
          <cell r="D1091">
            <v>27557474.66</v>
          </cell>
          <cell r="E1091">
            <v>-126658644.75</v>
          </cell>
          <cell r="G1091">
            <v>-126658644.75</v>
          </cell>
        </row>
        <row r="1092">
          <cell r="A1092" t="str">
            <v>Hexagon Globe</v>
          </cell>
          <cell r="B1092">
            <v>0</v>
          </cell>
          <cell r="C1092">
            <v>0</v>
          </cell>
          <cell r="D1092">
            <v>0</v>
          </cell>
          <cell r="E1092">
            <v>0</v>
          </cell>
          <cell r="G1092">
            <v>0</v>
          </cell>
        </row>
        <row r="1093">
          <cell r="A1093" t="str">
            <v>Ishan Plastic LLP</v>
          </cell>
          <cell r="B1093">
            <v>0</v>
          </cell>
          <cell r="C1093">
            <v>4141237.5</v>
          </cell>
          <cell r="D1093">
            <v>4144750</v>
          </cell>
          <cell r="E1093">
            <v>-3512.5</v>
          </cell>
          <cell r="G1093">
            <v>-3512.5</v>
          </cell>
        </row>
        <row r="1094">
          <cell r="A1094" t="str">
            <v>Ivict(Singapore) Pte. Ltd.</v>
          </cell>
          <cell r="B1094">
            <v>0</v>
          </cell>
          <cell r="C1094">
            <v>52356115</v>
          </cell>
          <cell r="D1094">
            <v>0</v>
          </cell>
          <cell r="E1094">
            <v>52356115</v>
          </cell>
          <cell r="G1094">
            <v>52356115</v>
          </cell>
        </row>
        <row r="1095">
          <cell r="A1095" t="str">
            <v>Koco Group Limited</v>
          </cell>
          <cell r="B1095">
            <v>0</v>
          </cell>
          <cell r="C1095">
            <v>0</v>
          </cell>
          <cell r="D1095">
            <v>0</v>
          </cell>
          <cell r="E1095">
            <v>0</v>
          </cell>
          <cell r="G1095">
            <v>0</v>
          </cell>
        </row>
        <row r="1096">
          <cell r="A1096" t="str">
            <v>Macfil Industries - Purchase</v>
          </cell>
          <cell r="B1096">
            <v>0</v>
          </cell>
          <cell r="C1096">
            <v>3540000</v>
          </cell>
          <cell r="D1096">
            <v>0</v>
          </cell>
          <cell r="E1096">
            <v>3540000</v>
          </cell>
          <cell r="G1096">
            <v>3540000</v>
          </cell>
        </row>
        <row r="1097">
          <cell r="A1097" t="str">
            <v>Mayur Straps &amp; Packaging Industries</v>
          </cell>
          <cell r="B1097">
            <v>0</v>
          </cell>
          <cell r="C1097">
            <v>0</v>
          </cell>
          <cell r="D1097">
            <v>0</v>
          </cell>
          <cell r="E1097">
            <v>0</v>
          </cell>
          <cell r="G1097">
            <v>0</v>
          </cell>
        </row>
        <row r="1098">
          <cell r="A1098" t="str">
            <v>OCI (Hongkong) Limited</v>
          </cell>
          <cell r="B1098">
            <v>0.01</v>
          </cell>
          <cell r="C1098">
            <v>0</v>
          </cell>
          <cell r="D1098">
            <v>0</v>
          </cell>
          <cell r="E1098">
            <v>0.01</v>
          </cell>
          <cell r="G1098">
            <v>0.01</v>
          </cell>
        </row>
        <row r="1099">
          <cell r="A1099" t="str">
            <v>Ofb Universal Fze</v>
          </cell>
          <cell r="B1099">
            <v>2177.2800000000002</v>
          </cell>
          <cell r="C1099">
            <v>0</v>
          </cell>
          <cell r="D1099">
            <v>0</v>
          </cell>
          <cell r="E1099">
            <v>2177.2800000000002</v>
          </cell>
          <cell r="G1099">
            <v>2177.2800000000002</v>
          </cell>
        </row>
        <row r="1100">
          <cell r="A1100" t="str">
            <v>Olive Industries</v>
          </cell>
          <cell r="B1100">
            <v>-1349976.14</v>
          </cell>
          <cell r="C1100">
            <v>3335296.94</v>
          </cell>
          <cell r="D1100">
            <v>4210779</v>
          </cell>
          <cell r="E1100">
            <v>-2225458.2000000002</v>
          </cell>
          <cell r="G1100">
            <v>-2225458.2000000002</v>
          </cell>
        </row>
        <row r="1101">
          <cell r="A1101" t="str">
            <v>ONGC Petro Addition Ltd</v>
          </cell>
          <cell r="B1101">
            <v>0</v>
          </cell>
          <cell r="C1101">
            <v>0</v>
          </cell>
          <cell r="D1101">
            <v>0</v>
          </cell>
          <cell r="E1101">
            <v>0</v>
          </cell>
          <cell r="G1101">
            <v>0</v>
          </cell>
        </row>
        <row r="1102">
          <cell r="A1102" t="str">
            <v>Ongc Petro Additions Limited- DTA ( Domestic )</v>
          </cell>
          <cell r="B1102">
            <v>-6093</v>
          </cell>
          <cell r="C1102">
            <v>0</v>
          </cell>
          <cell r="D1102">
            <v>0</v>
          </cell>
          <cell r="E1102">
            <v>-6093</v>
          </cell>
          <cell r="G1102">
            <v>-6093</v>
          </cell>
        </row>
        <row r="1103">
          <cell r="A1103" t="str">
            <v>Oriental Energy (Singapore) International Trading Pte Ltd</v>
          </cell>
          <cell r="B1103">
            <v>-2815223.04</v>
          </cell>
          <cell r="C1103">
            <v>0</v>
          </cell>
          <cell r="D1103">
            <v>0</v>
          </cell>
          <cell r="E1103">
            <v>-2815223.04</v>
          </cell>
          <cell r="G1103">
            <v>-2815223.04</v>
          </cell>
        </row>
        <row r="1104">
          <cell r="A1104" t="str">
            <v>Oswal Commodities Private Limited - Purchase</v>
          </cell>
          <cell r="B1104">
            <v>-60939205.399999999</v>
          </cell>
          <cell r="C1104">
            <v>25711863</v>
          </cell>
          <cell r="D1104">
            <v>18216858.800000001</v>
          </cell>
          <cell r="E1104">
            <v>-53444201.200000003</v>
          </cell>
          <cell r="G1104">
            <v>-53444201.200000003</v>
          </cell>
        </row>
        <row r="1105">
          <cell r="A1105" t="str">
            <v>Oswal Extrusion Ltd- KASEZ-Purchase</v>
          </cell>
          <cell r="B1105">
            <v>121956043.03</v>
          </cell>
          <cell r="C1105">
            <v>20088</v>
          </cell>
          <cell r="D1105">
            <v>114367859.02</v>
          </cell>
          <cell r="E1105">
            <v>7608272.0099999998</v>
          </cell>
          <cell r="G1105">
            <v>7608272.0099999998</v>
          </cell>
        </row>
        <row r="1106">
          <cell r="A1106" t="str">
            <v>Parth Poly Coat Yarn Pvt Ltd</v>
          </cell>
          <cell r="B1106">
            <v>-178274.77</v>
          </cell>
          <cell r="C1106">
            <v>185413.79</v>
          </cell>
          <cell r="D1106">
            <v>128367.69</v>
          </cell>
          <cell r="E1106">
            <v>-121228.67</v>
          </cell>
          <cell r="G1106">
            <v>-121228.67</v>
          </cell>
        </row>
        <row r="1107">
          <cell r="A1107" t="str">
            <v>Platinium Tie-Up Pvt Ltd - Purchase</v>
          </cell>
          <cell r="B1107">
            <v>0</v>
          </cell>
          <cell r="C1107">
            <v>0</v>
          </cell>
          <cell r="D1107">
            <v>0</v>
          </cell>
          <cell r="E1107">
            <v>0</v>
          </cell>
          <cell r="G1107">
            <v>0</v>
          </cell>
        </row>
        <row r="1108">
          <cell r="A1108" t="str">
            <v>Polyone Polymers India Private Limited - Gujarat</v>
          </cell>
          <cell r="B1108">
            <v>-0.16</v>
          </cell>
          <cell r="C1108">
            <v>0</v>
          </cell>
          <cell r="D1108">
            <v>0</v>
          </cell>
          <cell r="E1108">
            <v>-0.16</v>
          </cell>
          <cell r="G1108">
            <v>-0.16</v>
          </cell>
        </row>
        <row r="1109">
          <cell r="A1109" t="str">
            <v>Polytech International Private Limited - Purchase</v>
          </cell>
          <cell r="B1109">
            <v>0</v>
          </cell>
          <cell r="C1109">
            <v>0</v>
          </cell>
          <cell r="D1109">
            <v>0</v>
          </cell>
          <cell r="E1109">
            <v>0</v>
          </cell>
          <cell r="G1109">
            <v>0</v>
          </cell>
        </row>
        <row r="1110">
          <cell r="A1110" t="str">
            <v>Primaplas Private Ltd</v>
          </cell>
          <cell r="B1110">
            <v>-288057.3</v>
          </cell>
          <cell r="C1110">
            <v>27479518.260000002</v>
          </cell>
          <cell r="D1110">
            <v>27922268.98</v>
          </cell>
          <cell r="E1110">
            <v>-730808.02</v>
          </cell>
          <cell r="G1110">
            <v>-730808.02</v>
          </cell>
        </row>
        <row r="1111">
          <cell r="A1111" t="str">
            <v>Reliance Industries Ltd-Gujarat</v>
          </cell>
          <cell r="B1111">
            <v>-3347574.91</v>
          </cell>
          <cell r="C1111">
            <v>0</v>
          </cell>
          <cell r="D1111">
            <v>0</v>
          </cell>
          <cell r="E1111">
            <v>-3347574.91</v>
          </cell>
          <cell r="G1111">
            <v>-3347574.91</v>
          </cell>
        </row>
        <row r="1112">
          <cell r="A1112" t="str">
            <v>Reliance Industries Ltd-Jamnagar SEZ</v>
          </cell>
          <cell r="B1112">
            <v>-4968583.95</v>
          </cell>
          <cell r="C1112">
            <v>5900745.8099999996</v>
          </cell>
          <cell r="D1112">
            <v>1264495.67</v>
          </cell>
          <cell r="E1112">
            <v>-332333.81</v>
          </cell>
          <cell r="G1112">
            <v>-332333.81</v>
          </cell>
        </row>
        <row r="1113">
          <cell r="A1113" t="str">
            <v>Rishi Fibc Solutions Pvt Ltd - Purchase</v>
          </cell>
          <cell r="B1113">
            <v>0</v>
          </cell>
          <cell r="C1113">
            <v>3241696</v>
          </cell>
          <cell r="D1113">
            <v>3241696</v>
          </cell>
          <cell r="E1113">
            <v>0</v>
          </cell>
          <cell r="G1113">
            <v>0</v>
          </cell>
        </row>
        <row r="1114">
          <cell r="A1114" t="str">
            <v>Rudra Plastic</v>
          </cell>
          <cell r="B1114">
            <v>0</v>
          </cell>
          <cell r="C1114">
            <v>0</v>
          </cell>
          <cell r="D1114">
            <v>0</v>
          </cell>
          <cell r="E1114">
            <v>0</v>
          </cell>
          <cell r="G1114">
            <v>0</v>
          </cell>
        </row>
        <row r="1115">
          <cell r="A1115" t="str">
            <v>Sabic Asia Pacific Pte Ltd</v>
          </cell>
          <cell r="B1115">
            <v>397122</v>
          </cell>
          <cell r="C1115">
            <v>0</v>
          </cell>
          <cell r="D1115">
            <v>0</v>
          </cell>
          <cell r="E1115">
            <v>397122</v>
          </cell>
          <cell r="G1115">
            <v>397122</v>
          </cell>
        </row>
        <row r="1116">
          <cell r="A1116" t="str">
            <v>Shree Hari Filament</v>
          </cell>
          <cell r="B1116">
            <v>0</v>
          </cell>
          <cell r="C1116">
            <v>0</v>
          </cell>
          <cell r="D1116">
            <v>0</v>
          </cell>
          <cell r="E1116">
            <v>0</v>
          </cell>
          <cell r="G1116">
            <v>0</v>
          </cell>
        </row>
        <row r="1117">
          <cell r="A1117" t="str">
            <v>Sinopec Chemical Commercial Holding (Hong Kong) Company Limited</v>
          </cell>
          <cell r="B1117">
            <v>9070549</v>
          </cell>
          <cell r="C1117">
            <v>0</v>
          </cell>
          <cell r="D1117">
            <v>0</v>
          </cell>
          <cell r="E1117">
            <v>9070549</v>
          </cell>
          <cell r="G1117">
            <v>9070549</v>
          </cell>
        </row>
        <row r="1118">
          <cell r="A1118" t="str">
            <v>Soltex Petro Products Limited - Silvassa</v>
          </cell>
          <cell r="B1118">
            <v>0</v>
          </cell>
          <cell r="C1118">
            <v>0</v>
          </cell>
          <cell r="D1118">
            <v>0</v>
          </cell>
          <cell r="E1118">
            <v>0</v>
          </cell>
          <cell r="G1118">
            <v>0</v>
          </cell>
        </row>
        <row r="1119">
          <cell r="A1119" t="str">
            <v>Stavian Chemical Joint Stock Company</v>
          </cell>
          <cell r="B1119">
            <v>-9289728</v>
          </cell>
          <cell r="C1119">
            <v>0</v>
          </cell>
          <cell r="D1119">
            <v>0</v>
          </cell>
          <cell r="E1119">
            <v>-9289728</v>
          </cell>
          <cell r="G1119">
            <v>-9289728</v>
          </cell>
        </row>
        <row r="1120">
          <cell r="A1120" t="str">
            <v>Sun Shine International Pvt Limited</v>
          </cell>
          <cell r="B1120">
            <v>15352.4</v>
          </cell>
          <cell r="C1120">
            <v>0</v>
          </cell>
          <cell r="D1120">
            <v>0</v>
          </cell>
          <cell r="E1120">
            <v>15352.4</v>
          </cell>
          <cell r="G1120">
            <v>15352.4</v>
          </cell>
        </row>
        <row r="1121">
          <cell r="A1121" t="str">
            <v>Tradex Petroproducts LLP</v>
          </cell>
          <cell r="B1121">
            <v>3704282.43</v>
          </cell>
          <cell r="C1121">
            <v>958118.04</v>
          </cell>
          <cell r="D1121">
            <v>919735.67</v>
          </cell>
          <cell r="E1121">
            <v>3742664.8</v>
          </cell>
          <cell r="G1121">
            <v>3742664.8</v>
          </cell>
        </row>
        <row r="1122">
          <cell r="A1122" t="str">
            <v>Tricon Dry Chemicals,Llc</v>
          </cell>
          <cell r="B1122">
            <v>-1667849.04</v>
          </cell>
          <cell r="C1122">
            <v>0</v>
          </cell>
          <cell r="D1122">
            <v>0</v>
          </cell>
          <cell r="E1122">
            <v>-1667849.04</v>
          </cell>
          <cell r="G1122">
            <v>-1667849.04</v>
          </cell>
        </row>
        <row r="1123">
          <cell r="A1123" t="str">
            <v>Tulsi Dyechem Pvt Ltd - Purchase</v>
          </cell>
          <cell r="B1123">
            <v>-120912.47</v>
          </cell>
          <cell r="C1123">
            <v>0</v>
          </cell>
          <cell r="D1123">
            <v>0</v>
          </cell>
          <cell r="E1123">
            <v>-120912.47</v>
          </cell>
          <cell r="G1123">
            <v>-120912.47</v>
          </cell>
        </row>
        <row r="1124">
          <cell r="A1124" t="str">
            <v>United Raw Material Pte Ltd</v>
          </cell>
          <cell r="B1124">
            <v>0</v>
          </cell>
          <cell r="C1124">
            <v>0</v>
          </cell>
          <cell r="D1124">
            <v>0</v>
          </cell>
          <cell r="E1124">
            <v>0</v>
          </cell>
          <cell r="G1124">
            <v>0</v>
          </cell>
        </row>
        <row r="1125">
          <cell r="A1125" t="str">
            <v>Variofil Industries</v>
          </cell>
          <cell r="B1125">
            <v>-3.14</v>
          </cell>
          <cell r="C1125">
            <v>0</v>
          </cell>
          <cell r="D1125">
            <v>0</v>
          </cell>
          <cell r="E1125">
            <v>-3.14</v>
          </cell>
          <cell r="G1125">
            <v>-3.14</v>
          </cell>
        </row>
        <row r="1126">
          <cell r="A1126" t="str">
            <v>Vinmar International Llc</v>
          </cell>
          <cell r="B1126">
            <v>6686760.96</v>
          </cell>
          <cell r="C1126">
            <v>0</v>
          </cell>
          <cell r="D1126">
            <v>0</v>
          </cell>
          <cell r="E1126">
            <v>6686760.96</v>
          </cell>
          <cell r="G1126">
            <v>6686760.96</v>
          </cell>
        </row>
        <row r="1127">
          <cell r="A1127" t="str">
            <v>Vishisht Packaging Private Limited</v>
          </cell>
          <cell r="B1127">
            <v>-0.01</v>
          </cell>
          <cell r="C1127">
            <v>0</v>
          </cell>
          <cell r="D1127">
            <v>0</v>
          </cell>
          <cell r="E1127">
            <v>-0.01</v>
          </cell>
          <cell r="G1127">
            <v>-0.01</v>
          </cell>
        </row>
        <row r="1128">
          <cell r="A1128" t="str">
            <v>Vyankatesh Udyog (I) Pvt Ltd - Purchase</v>
          </cell>
          <cell r="B1128">
            <v>-1380670.92</v>
          </cell>
          <cell r="C1128">
            <v>1380670</v>
          </cell>
          <cell r="D1128">
            <v>1198880</v>
          </cell>
          <cell r="E1128">
            <v>-1198880.92</v>
          </cell>
          <cell r="G1128">
            <v>-1198880.92</v>
          </cell>
        </row>
        <row r="1129">
          <cell r="A1129" t="str">
            <v>A D Mehta Clearing Agency</v>
          </cell>
          <cell r="B1129">
            <v>-0.63</v>
          </cell>
          <cell r="C1129">
            <v>0</v>
          </cell>
          <cell r="D1129">
            <v>0</v>
          </cell>
          <cell r="E1129">
            <v>-0.63</v>
          </cell>
          <cell r="G1129">
            <v>-0.63</v>
          </cell>
        </row>
        <row r="1130">
          <cell r="A1130" t="str">
            <v>A.Senthil Nathan</v>
          </cell>
          <cell r="B1130">
            <v>1800</v>
          </cell>
          <cell r="C1130">
            <v>0</v>
          </cell>
          <cell r="D1130">
            <v>0</v>
          </cell>
          <cell r="E1130">
            <v>1800</v>
          </cell>
          <cell r="G1130">
            <v>1800</v>
          </cell>
        </row>
        <row r="1131">
          <cell r="A1131" t="str">
            <v>Abhi Roadline</v>
          </cell>
          <cell r="B1131">
            <v>-44301.5</v>
          </cell>
          <cell r="C1131">
            <v>0</v>
          </cell>
          <cell r="D1131">
            <v>0</v>
          </cell>
          <cell r="E1131">
            <v>-44301.5</v>
          </cell>
          <cell r="G1131">
            <v>-44301.5</v>
          </cell>
        </row>
        <row r="1132">
          <cell r="A1132" t="str">
            <v>Act Logistics</v>
          </cell>
          <cell r="B1132">
            <v>0</v>
          </cell>
          <cell r="C1132">
            <v>0</v>
          </cell>
          <cell r="D1132">
            <v>0</v>
          </cell>
          <cell r="E1132">
            <v>0</v>
          </cell>
          <cell r="G1132">
            <v>0</v>
          </cell>
        </row>
        <row r="1133">
          <cell r="A1133" t="str">
            <v>Active Security &amp; Allied Services Pvt.Ltd.</v>
          </cell>
          <cell r="B1133">
            <v>-25323.73</v>
          </cell>
          <cell r="C1133">
            <v>959013</v>
          </cell>
          <cell r="D1133">
            <v>959013</v>
          </cell>
          <cell r="E1133">
            <v>-25323.73</v>
          </cell>
          <cell r="G1133">
            <v>-25323.73</v>
          </cell>
        </row>
        <row r="1134">
          <cell r="A1134" t="str">
            <v>Adani International Container Terminal Pvt Ltd</v>
          </cell>
          <cell r="B1134">
            <v>30429</v>
          </cell>
          <cell r="C1134">
            <v>0</v>
          </cell>
          <cell r="D1134">
            <v>0</v>
          </cell>
          <cell r="E1134">
            <v>30429</v>
          </cell>
          <cell r="G1134">
            <v>30429</v>
          </cell>
        </row>
        <row r="1135">
          <cell r="A1135" t="str">
            <v>Adani Ports And Special Economic Zone Limited-(Kpw-1)</v>
          </cell>
          <cell r="B1135">
            <v>200000</v>
          </cell>
          <cell r="C1135">
            <v>100000</v>
          </cell>
          <cell r="D1135">
            <v>0</v>
          </cell>
          <cell r="E1135">
            <v>300000</v>
          </cell>
          <cell r="G1135">
            <v>300000</v>
          </cell>
        </row>
        <row r="1136">
          <cell r="A1136" t="str">
            <v>Adinath Enterprise</v>
          </cell>
          <cell r="B1136">
            <v>0</v>
          </cell>
          <cell r="C1136">
            <v>5000</v>
          </cell>
          <cell r="D1136">
            <v>5000</v>
          </cell>
          <cell r="E1136">
            <v>0</v>
          </cell>
          <cell r="G1136">
            <v>0</v>
          </cell>
        </row>
        <row r="1137">
          <cell r="A1137" t="str">
            <v>Akash Industries</v>
          </cell>
          <cell r="B1137">
            <v>7668</v>
          </cell>
          <cell r="C1137">
            <v>0</v>
          </cell>
          <cell r="D1137">
            <v>0</v>
          </cell>
          <cell r="E1137">
            <v>7668</v>
          </cell>
          <cell r="G1137">
            <v>7668</v>
          </cell>
        </row>
        <row r="1138">
          <cell r="A1138" t="str">
            <v>Amanulla Mondal</v>
          </cell>
          <cell r="B1138">
            <v>0</v>
          </cell>
          <cell r="C1138">
            <v>0</v>
          </cell>
          <cell r="D1138">
            <v>0</v>
          </cell>
          <cell r="E1138">
            <v>0</v>
          </cell>
          <cell r="G1138">
            <v>0</v>
          </cell>
        </row>
        <row r="1139">
          <cell r="A1139" t="str">
            <v>Ampere Mepf Consultants Llp</v>
          </cell>
          <cell r="B1139">
            <v>500</v>
          </cell>
          <cell r="C1139">
            <v>116500</v>
          </cell>
          <cell r="D1139">
            <v>118000</v>
          </cell>
          <cell r="E1139">
            <v>-1000</v>
          </cell>
          <cell r="G1139">
            <v>-1000</v>
          </cell>
        </row>
        <row r="1140">
          <cell r="A1140" t="str">
            <v>Ansari Afroz Alam Mo Yunus</v>
          </cell>
          <cell r="B1140">
            <v>-21426</v>
          </cell>
          <cell r="C1140">
            <v>19518</v>
          </cell>
          <cell r="D1140">
            <v>0</v>
          </cell>
          <cell r="E1140">
            <v>-1908</v>
          </cell>
          <cell r="G1140">
            <v>-1908</v>
          </cell>
        </row>
        <row r="1141">
          <cell r="A1141" t="str">
            <v>Arijeet Gandhi and Associates</v>
          </cell>
          <cell r="B1141">
            <v>4000</v>
          </cell>
          <cell r="C1141">
            <v>0</v>
          </cell>
          <cell r="D1141">
            <v>0</v>
          </cell>
          <cell r="E1141">
            <v>4000</v>
          </cell>
          <cell r="G1141">
            <v>4000</v>
          </cell>
        </row>
        <row r="1142">
          <cell r="A1142" t="str">
            <v>Arunkumar Shrikant Singh</v>
          </cell>
          <cell r="B1142">
            <v>-180000</v>
          </cell>
          <cell r="C1142">
            <v>580000</v>
          </cell>
          <cell r="D1142">
            <v>400000</v>
          </cell>
          <cell r="E1142">
            <v>0</v>
          </cell>
          <cell r="G1142">
            <v>0</v>
          </cell>
        </row>
        <row r="1143">
          <cell r="A1143" t="str">
            <v>Ashok Kumar Prajapati</v>
          </cell>
          <cell r="B1143">
            <v>-40406.5</v>
          </cell>
          <cell r="C1143">
            <v>0</v>
          </cell>
          <cell r="D1143">
            <v>0</v>
          </cell>
          <cell r="E1143">
            <v>-40406.5</v>
          </cell>
          <cell r="G1143">
            <v>-40406.5</v>
          </cell>
        </row>
        <row r="1144">
          <cell r="A1144" t="str">
            <v>Bank Of Baroda - 24AAACB1534F2ZB</v>
          </cell>
          <cell r="B1144">
            <v>-0.06</v>
          </cell>
          <cell r="C1144">
            <v>586218.72</v>
          </cell>
          <cell r="D1144">
            <v>586218.72</v>
          </cell>
          <cell r="E1144">
            <v>-0.06</v>
          </cell>
          <cell r="G1144">
            <v>-0.06</v>
          </cell>
        </row>
        <row r="1145">
          <cell r="A1145" t="str">
            <v>Bank Of Baroda - 27AAACB1534F2Z5</v>
          </cell>
          <cell r="B1145">
            <v>-0.45</v>
          </cell>
          <cell r="C1145">
            <v>7796.85</v>
          </cell>
          <cell r="D1145">
            <v>7796.85</v>
          </cell>
          <cell r="E1145">
            <v>-0.45</v>
          </cell>
          <cell r="G1145">
            <v>-0.45</v>
          </cell>
        </row>
        <row r="1146">
          <cell r="A1146" t="str">
            <v>Barad Arunkumar Kanubhai</v>
          </cell>
          <cell r="B1146">
            <v>-54000</v>
          </cell>
          <cell r="C1146">
            <v>177000</v>
          </cell>
          <cell r="D1146">
            <v>123000</v>
          </cell>
          <cell r="E1146">
            <v>0</v>
          </cell>
          <cell r="G1146">
            <v>0</v>
          </cell>
        </row>
        <row r="1147">
          <cell r="A1147" t="str">
            <v>Barad Devikaben Hiteshkumar</v>
          </cell>
          <cell r="B1147">
            <v>-113400</v>
          </cell>
          <cell r="C1147">
            <v>371700</v>
          </cell>
          <cell r="D1147">
            <v>258300</v>
          </cell>
          <cell r="E1147">
            <v>0</v>
          </cell>
          <cell r="G1147">
            <v>0</v>
          </cell>
        </row>
        <row r="1148">
          <cell r="A1148" t="str">
            <v>Barad Shubhamsinh Hitendrasinh</v>
          </cell>
          <cell r="B1148">
            <v>-108000</v>
          </cell>
          <cell r="C1148">
            <v>354000</v>
          </cell>
          <cell r="D1148">
            <v>246000</v>
          </cell>
          <cell r="E1148">
            <v>0</v>
          </cell>
          <cell r="G1148">
            <v>0</v>
          </cell>
        </row>
        <row r="1149">
          <cell r="A1149" t="str">
            <v>Bharat Bhai Ramta Bhai Barad</v>
          </cell>
          <cell r="B1149">
            <v>-34000</v>
          </cell>
          <cell r="C1149">
            <v>102000</v>
          </cell>
          <cell r="D1149">
            <v>68000</v>
          </cell>
          <cell r="E1149">
            <v>0</v>
          </cell>
          <cell r="G1149">
            <v>0</v>
          </cell>
        </row>
        <row r="1150">
          <cell r="A1150" t="str">
            <v>Bhavna Roadways</v>
          </cell>
          <cell r="B1150">
            <v>4256</v>
          </cell>
          <cell r="C1150">
            <v>23448</v>
          </cell>
          <cell r="D1150">
            <v>0</v>
          </cell>
          <cell r="E1150">
            <v>27704</v>
          </cell>
          <cell r="G1150">
            <v>27704</v>
          </cell>
        </row>
        <row r="1151">
          <cell r="A1151" t="str">
            <v>Bhupendra J.Shah &amp; Associates</v>
          </cell>
          <cell r="B1151">
            <v>4000</v>
          </cell>
          <cell r="C1151">
            <v>0</v>
          </cell>
          <cell r="D1151">
            <v>0</v>
          </cell>
          <cell r="E1151">
            <v>4000</v>
          </cell>
          <cell r="G1151">
            <v>4000</v>
          </cell>
        </row>
        <row r="1152">
          <cell r="A1152" t="str">
            <v>Blaze Net Ltd.</v>
          </cell>
          <cell r="B1152">
            <v>-6600</v>
          </cell>
          <cell r="C1152">
            <v>6600</v>
          </cell>
          <cell r="D1152">
            <v>0</v>
          </cell>
          <cell r="E1152">
            <v>0</v>
          </cell>
          <cell r="G1152">
            <v>0</v>
          </cell>
        </row>
        <row r="1153">
          <cell r="A1153" t="str">
            <v>Brush International Mfg Company</v>
          </cell>
          <cell r="B1153">
            <v>-10726</v>
          </cell>
          <cell r="C1153">
            <v>121316</v>
          </cell>
          <cell r="D1153">
            <v>114885</v>
          </cell>
          <cell r="E1153">
            <v>-4295</v>
          </cell>
          <cell r="G1153">
            <v>-4295</v>
          </cell>
        </row>
        <row r="1154">
          <cell r="A1154" t="str">
            <v>Cc Hdfc Plastene Polyfilms Limited 9891</v>
          </cell>
          <cell r="B1154">
            <v>73828</v>
          </cell>
          <cell r="C1154">
            <v>0</v>
          </cell>
          <cell r="D1154">
            <v>0</v>
          </cell>
          <cell r="E1154">
            <v>73828</v>
          </cell>
          <cell r="G1154">
            <v>73828</v>
          </cell>
        </row>
        <row r="1155">
          <cell r="A1155" t="str">
            <v>Cc Icici Manish Banthia 9007</v>
          </cell>
          <cell r="B1155">
            <v>0</v>
          </cell>
          <cell r="C1155">
            <v>0</v>
          </cell>
          <cell r="D1155">
            <v>0</v>
          </cell>
          <cell r="E1155">
            <v>0</v>
          </cell>
          <cell r="G1155">
            <v>0</v>
          </cell>
        </row>
        <row r="1156">
          <cell r="A1156" t="str">
            <v>Cc Icici Tarachand Purohit 8009</v>
          </cell>
          <cell r="B1156">
            <v>-252702.42</v>
          </cell>
          <cell r="C1156">
            <v>12003150.539999999</v>
          </cell>
          <cell r="D1156">
            <v>17225722.280000001</v>
          </cell>
          <cell r="E1156">
            <v>-5475274.1600000001</v>
          </cell>
          <cell r="G1156">
            <v>-5475274.1600000001</v>
          </cell>
        </row>
        <row r="1157">
          <cell r="A1157" t="str">
            <v>Chamunda Travels</v>
          </cell>
          <cell r="B1157">
            <v>-34300</v>
          </cell>
          <cell r="C1157">
            <v>139300</v>
          </cell>
          <cell r="D1157">
            <v>105000</v>
          </cell>
          <cell r="E1157">
            <v>0</v>
          </cell>
          <cell r="G1157">
            <v>0</v>
          </cell>
        </row>
        <row r="1158">
          <cell r="A1158" t="str">
            <v>Charu Agroplast Pvt Ltd Unit -II</v>
          </cell>
          <cell r="B1158">
            <v>0</v>
          </cell>
          <cell r="C1158">
            <v>0</v>
          </cell>
          <cell r="D1158">
            <v>0</v>
          </cell>
          <cell r="E1158">
            <v>0</v>
          </cell>
          <cell r="G1158">
            <v>0</v>
          </cell>
        </row>
        <row r="1159">
          <cell r="A1159" t="str">
            <v>Dabhi Fire &amp; Safety</v>
          </cell>
          <cell r="B1159">
            <v>-38243</v>
          </cell>
          <cell r="C1159">
            <v>38243</v>
          </cell>
          <cell r="D1159">
            <v>0</v>
          </cell>
          <cell r="E1159">
            <v>0</v>
          </cell>
          <cell r="G1159">
            <v>0</v>
          </cell>
        </row>
        <row r="1160">
          <cell r="A1160" t="str">
            <v>Dave Hasumatiben Vasudevbhai</v>
          </cell>
          <cell r="B1160">
            <v>0</v>
          </cell>
          <cell r="C1160">
            <v>100800</v>
          </cell>
          <cell r="D1160">
            <v>100800</v>
          </cell>
          <cell r="E1160">
            <v>0</v>
          </cell>
          <cell r="G1160">
            <v>0</v>
          </cell>
        </row>
        <row r="1161">
          <cell r="A1161" t="str">
            <v>Doctor House</v>
          </cell>
          <cell r="B1161">
            <v>0</v>
          </cell>
          <cell r="C1161">
            <v>20000</v>
          </cell>
          <cell r="D1161">
            <v>20000</v>
          </cell>
          <cell r="E1161">
            <v>0</v>
          </cell>
          <cell r="G1161">
            <v>0</v>
          </cell>
        </row>
        <row r="1162">
          <cell r="A1162" t="str">
            <v>DP World Multimodal Logistics Private Limited</v>
          </cell>
          <cell r="B1162">
            <v>0</v>
          </cell>
          <cell r="C1162">
            <v>0</v>
          </cell>
          <cell r="D1162">
            <v>0</v>
          </cell>
          <cell r="E1162">
            <v>0</v>
          </cell>
          <cell r="G1162">
            <v>0</v>
          </cell>
        </row>
        <row r="1163">
          <cell r="A1163" t="str">
            <v>Export Credit Guarantee Corporation Of India Ltd.</v>
          </cell>
          <cell r="B1163">
            <v>0</v>
          </cell>
          <cell r="C1163">
            <v>1091250</v>
          </cell>
          <cell r="D1163">
            <v>1091250</v>
          </cell>
          <cell r="E1163">
            <v>0</v>
          </cell>
          <cell r="G1163">
            <v>0</v>
          </cell>
        </row>
        <row r="1164">
          <cell r="A1164" t="str">
            <v>Faisalkhan Rajukhan Contractor</v>
          </cell>
          <cell r="B1164">
            <v>63</v>
          </cell>
          <cell r="C1164">
            <v>100732</v>
          </cell>
          <cell r="D1164">
            <v>79429</v>
          </cell>
          <cell r="E1164">
            <v>21366</v>
          </cell>
          <cell r="G1164">
            <v>21366</v>
          </cell>
        </row>
        <row r="1165">
          <cell r="A1165" t="str">
            <v>Food Junction</v>
          </cell>
          <cell r="B1165">
            <v>-29686.23</v>
          </cell>
          <cell r="C1165">
            <v>29686.23</v>
          </cell>
          <cell r="D1165">
            <v>0</v>
          </cell>
          <cell r="E1165">
            <v>0</v>
          </cell>
          <cell r="G1165">
            <v>0</v>
          </cell>
        </row>
        <row r="1166">
          <cell r="A1166" t="str">
            <v>Futuristic Technologies</v>
          </cell>
          <cell r="B1166">
            <v>0</v>
          </cell>
          <cell r="C1166">
            <v>3245</v>
          </cell>
          <cell r="D1166">
            <v>3245</v>
          </cell>
          <cell r="E1166">
            <v>0</v>
          </cell>
          <cell r="G1166">
            <v>0</v>
          </cell>
        </row>
        <row r="1167">
          <cell r="A1167" t="str">
            <v>G - Naam Logistics</v>
          </cell>
          <cell r="B1167">
            <v>0</v>
          </cell>
          <cell r="C1167">
            <v>125385</v>
          </cell>
          <cell r="D1167">
            <v>155000</v>
          </cell>
          <cell r="E1167">
            <v>-29615</v>
          </cell>
          <cell r="G1167">
            <v>-29615</v>
          </cell>
        </row>
        <row r="1168">
          <cell r="A1168" t="str">
            <v>G S Industries</v>
          </cell>
          <cell r="B1168">
            <v>0</v>
          </cell>
          <cell r="C1168">
            <v>0</v>
          </cell>
          <cell r="D1168">
            <v>0</v>
          </cell>
          <cell r="E1168">
            <v>0</v>
          </cell>
          <cell r="G1168">
            <v>0</v>
          </cell>
        </row>
        <row r="1169">
          <cell r="A1169" t="str">
            <v>Gangaram Bhai</v>
          </cell>
          <cell r="B1169">
            <v>-458</v>
          </cell>
          <cell r="C1169">
            <v>0</v>
          </cell>
          <cell r="D1169">
            <v>0</v>
          </cell>
          <cell r="E1169">
            <v>-458</v>
          </cell>
          <cell r="G1169">
            <v>-458</v>
          </cell>
        </row>
        <row r="1170">
          <cell r="A1170" t="str">
            <v>Gaurangkumar Babubhai Co.</v>
          </cell>
          <cell r="B1170">
            <v>-12744</v>
          </cell>
          <cell r="C1170">
            <v>12744</v>
          </cell>
          <cell r="D1170">
            <v>0</v>
          </cell>
          <cell r="E1170">
            <v>0</v>
          </cell>
          <cell r="G1170">
            <v>0</v>
          </cell>
        </row>
        <row r="1171">
          <cell r="A1171" t="str">
            <v>Ghanshyambhai Ramtabhai Barad</v>
          </cell>
          <cell r="B1171">
            <v>-52200</v>
          </cell>
          <cell r="C1171">
            <v>156600</v>
          </cell>
          <cell r="D1171">
            <v>108000</v>
          </cell>
          <cell r="E1171">
            <v>-3600</v>
          </cell>
          <cell r="G1171">
            <v>-3600</v>
          </cell>
        </row>
        <row r="1172">
          <cell r="A1172" t="str">
            <v>GIDC Gandhinagar</v>
          </cell>
          <cell r="B1172">
            <v>31469</v>
          </cell>
          <cell r="C1172">
            <v>321902</v>
          </cell>
          <cell r="D1172">
            <v>679324</v>
          </cell>
          <cell r="E1172">
            <v>-325953</v>
          </cell>
          <cell r="G1172">
            <v>-325953</v>
          </cell>
        </row>
        <row r="1173">
          <cell r="A1173" t="str">
            <v>Green Gene Enviro Protection And Infrastructure</v>
          </cell>
          <cell r="B1173">
            <v>0</v>
          </cell>
          <cell r="C1173">
            <v>50000</v>
          </cell>
          <cell r="D1173">
            <v>69738</v>
          </cell>
          <cell r="E1173">
            <v>-19738</v>
          </cell>
          <cell r="G1173">
            <v>-19738</v>
          </cell>
        </row>
        <row r="1174">
          <cell r="A1174" t="str">
            <v>Gujarat Energy Transmission Corporation Limited</v>
          </cell>
          <cell r="B1174">
            <v>0</v>
          </cell>
          <cell r="C1174">
            <v>206548.18</v>
          </cell>
          <cell r="D1174">
            <v>0</v>
          </cell>
          <cell r="E1174">
            <v>206548.18</v>
          </cell>
          <cell r="G1174">
            <v>206548.18</v>
          </cell>
        </row>
        <row r="1175">
          <cell r="A1175" t="str">
            <v>Gujarat EPM Services</v>
          </cell>
          <cell r="B1175">
            <v>19469</v>
          </cell>
          <cell r="C1175">
            <v>0</v>
          </cell>
          <cell r="D1175">
            <v>0</v>
          </cell>
          <cell r="E1175">
            <v>19469</v>
          </cell>
          <cell r="G1175">
            <v>19469</v>
          </cell>
        </row>
        <row r="1176">
          <cell r="A1176" t="str">
            <v>Happy Express</v>
          </cell>
          <cell r="B1176">
            <v>-41104.67</v>
          </cell>
          <cell r="C1176">
            <v>32643</v>
          </cell>
          <cell r="D1176">
            <v>35474.6</v>
          </cell>
          <cell r="E1176">
            <v>-43936.27</v>
          </cell>
          <cell r="G1176">
            <v>-43936.27</v>
          </cell>
        </row>
        <row r="1177">
          <cell r="A1177" t="str">
            <v>Hari Ratan Singh</v>
          </cell>
          <cell r="B1177">
            <v>0</v>
          </cell>
          <cell r="C1177">
            <v>53100</v>
          </cell>
          <cell r="D1177">
            <v>53100</v>
          </cell>
          <cell r="E1177">
            <v>0</v>
          </cell>
          <cell r="G1177">
            <v>0</v>
          </cell>
        </row>
        <row r="1178">
          <cell r="A1178" t="str">
            <v>Harsiddhi Enterprise</v>
          </cell>
          <cell r="B1178">
            <v>0</v>
          </cell>
          <cell r="C1178">
            <v>0</v>
          </cell>
          <cell r="D1178">
            <v>10450</v>
          </cell>
          <cell r="E1178">
            <v>-10450</v>
          </cell>
          <cell r="G1178">
            <v>-10450</v>
          </cell>
        </row>
        <row r="1179">
          <cell r="A1179" t="str">
            <v>Hasmukh C Patel</v>
          </cell>
          <cell r="B1179">
            <v>0</v>
          </cell>
          <cell r="C1179">
            <v>64800</v>
          </cell>
          <cell r="D1179">
            <v>64800</v>
          </cell>
          <cell r="E1179">
            <v>0</v>
          </cell>
          <cell r="G1179">
            <v>0</v>
          </cell>
        </row>
        <row r="1180">
          <cell r="A1180" t="str">
            <v>Hetalben Ranjitbhai Barad</v>
          </cell>
          <cell r="B1180">
            <v>-45062</v>
          </cell>
          <cell r="C1180">
            <v>144942</v>
          </cell>
          <cell r="D1180">
            <v>99960</v>
          </cell>
          <cell r="E1180">
            <v>-80</v>
          </cell>
          <cell r="G1180">
            <v>-80</v>
          </cell>
        </row>
        <row r="1181">
          <cell r="A1181" t="str">
            <v>Hiteshkumar Bababhai Barad</v>
          </cell>
          <cell r="B1181">
            <v>-81000</v>
          </cell>
          <cell r="C1181">
            <v>265500</v>
          </cell>
          <cell r="D1181">
            <v>184500</v>
          </cell>
          <cell r="E1181">
            <v>0</v>
          </cell>
          <cell r="G1181">
            <v>0</v>
          </cell>
        </row>
        <row r="1182">
          <cell r="A1182" t="str">
            <v>Humongous Labs (Opc) Private Limited</v>
          </cell>
          <cell r="B1182">
            <v>-500</v>
          </cell>
          <cell r="C1182">
            <v>500</v>
          </cell>
          <cell r="D1182">
            <v>0</v>
          </cell>
          <cell r="E1182">
            <v>0</v>
          </cell>
          <cell r="G1182">
            <v>0</v>
          </cell>
        </row>
        <row r="1183">
          <cell r="A1183" t="str">
            <v>Iffco Tokio General Insurance Co. Ltd</v>
          </cell>
          <cell r="B1183">
            <v>0</v>
          </cell>
          <cell r="C1183">
            <v>253200</v>
          </cell>
          <cell r="D1183">
            <v>0</v>
          </cell>
          <cell r="E1183">
            <v>253200</v>
          </cell>
          <cell r="G1183">
            <v>253200</v>
          </cell>
        </row>
        <row r="1184">
          <cell r="A1184" t="str">
            <v>Imperial Logitrans Llp-Gujarat</v>
          </cell>
          <cell r="B1184">
            <v>-129.69999999999999</v>
          </cell>
          <cell r="C1184">
            <v>129.69999999999999</v>
          </cell>
          <cell r="D1184">
            <v>0</v>
          </cell>
          <cell r="E1184">
            <v>0</v>
          </cell>
          <cell r="G1184">
            <v>0</v>
          </cell>
        </row>
        <row r="1185">
          <cell r="A1185" t="str">
            <v>India Factoring And Finance Solutions Private Limited_27AACCI1918C1ZZ</v>
          </cell>
          <cell r="B1185">
            <v>0</v>
          </cell>
          <cell r="C1185">
            <v>170177.29</v>
          </cell>
          <cell r="D1185">
            <v>170177.29</v>
          </cell>
          <cell r="E1185">
            <v>0</v>
          </cell>
          <cell r="G1185">
            <v>0</v>
          </cell>
        </row>
        <row r="1186">
          <cell r="A1186" t="str">
            <v>Indian Institute Of Packaging</v>
          </cell>
          <cell r="B1186">
            <v>1728</v>
          </cell>
          <cell r="C1186">
            <v>0</v>
          </cell>
          <cell r="D1186">
            <v>0</v>
          </cell>
          <cell r="E1186">
            <v>1728</v>
          </cell>
          <cell r="G1186">
            <v>1728</v>
          </cell>
        </row>
        <row r="1187">
          <cell r="A1187" t="str">
            <v>Infomerics Valuation And Rating Pvt. Ltd</v>
          </cell>
          <cell r="B1187">
            <v>2016</v>
          </cell>
          <cell r="C1187">
            <v>0</v>
          </cell>
          <cell r="D1187">
            <v>0</v>
          </cell>
          <cell r="E1187">
            <v>2016</v>
          </cell>
          <cell r="G1187">
            <v>2016</v>
          </cell>
        </row>
        <row r="1188">
          <cell r="A1188" t="str">
            <v>Intertek India Pvt. Ltd-Haryana</v>
          </cell>
          <cell r="B1188">
            <v>0</v>
          </cell>
          <cell r="C1188">
            <v>20060</v>
          </cell>
          <cell r="D1188">
            <v>0</v>
          </cell>
          <cell r="E1188">
            <v>20060</v>
          </cell>
          <cell r="G1188">
            <v>20060</v>
          </cell>
        </row>
        <row r="1189">
          <cell r="A1189" t="str">
            <v>Ir Patel Law Associates</v>
          </cell>
          <cell r="B1189">
            <v>9000</v>
          </cell>
          <cell r="C1189">
            <v>0</v>
          </cell>
          <cell r="D1189">
            <v>0</v>
          </cell>
          <cell r="E1189">
            <v>9000</v>
          </cell>
          <cell r="G1189">
            <v>9000</v>
          </cell>
        </row>
        <row r="1190">
          <cell r="A1190" t="str">
            <v>ISSGF India Private Limited</v>
          </cell>
          <cell r="B1190">
            <v>0</v>
          </cell>
          <cell r="C1190">
            <v>0</v>
          </cell>
          <cell r="D1190">
            <v>0</v>
          </cell>
          <cell r="E1190">
            <v>0</v>
          </cell>
          <cell r="G1190">
            <v>0</v>
          </cell>
        </row>
        <row r="1191">
          <cell r="A1191" t="str">
            <v>J J Plastalloy Pvt Ltd</v>
          </cell>
          <cell r="B1191">
            <v>-1516300</v>
          </cell>
          <cell r="C1191">
            <v>1516300</v>
          </cell>
          <cell r="D1191">
            <v>7523</v>
          </cell>
          <cell r="E1191">
            <v>-7523</v>
          </cell>
          <cell r="G1191">
            <v>-7523</v>
          </cell>
        </row>
        <row r="1192">
          <cell r="A1192" t="str">
            <v>Janakben Ghanshyam Bhai Barad</v>
          </cell>
          <cell r="B1192">
            <v>-48600</v>
          </cell>
          <cell r="C1192">
            <v>156600</v>
          </cell>
          <cell r="D1192">
            <v>108000</v>
          </cell>
          <cell r="E1192">
            <v>0</v>
          </cell>
          <cell r="G1192">
            <v>0</v>
          </cell>
        </row>
        <row r="1193">
          <cell r="A1193" t="str">
            <v>Jay Ambe Engineering</v>
          </cell>
          <cell r="B1193">
            <v>-6504</v>
          </cell>
          <cell r="C1193">
            <v>1416</v>
          </cell>
          <cell r="D1193">
            <v>9322</v>
          </cell>
          <cell r="E1193">
            <v>-14410</v>
          </cell>
          <cell r="G1193">
            <v>-14410</v>
          </cell>
        </row>
        <row r="1194">
          <cell r="A1194" t="str">
            <v>Jay Plastic -  24AQYPT7026M1ZW</v>
          </cell>
          <cell r="B1194">
            <v>-0.4</v>
          </cell>
          <cell r="C1194">
            <v>0</v>
          </cell>
          <cell r="D1194">
            <v>0</v>
          </cell>
          <cell r="E1194">
            <v>-0.4</v>
          </cell>
          <cell r="G1194">
            <v>-0.4</v>
          </cell>
        </row>
        <row r="1195">
          <cell r="A1195" t="str">
            <v>Jaydeep Pandya &amp; Co.</v>
          </cell>
          <cell r="B1195">
            <v>-64800</v>
          </cell>
          <cell r="C1195">
            <v>206400</v>
          </cell>
          <cell r="D1195">
            <v>141600</v>
          </cell>
          <cell r="E1195">
            <v>0</v>
          </cell>
          <cell r="G1195">
            <v>0</v>
          </cell>
        </row>
        <row r="1196">
          <cell r="A1196" t="str">
            <v>K.P Enterprise</v>
          </cell>
          <cell r="B1196">
            <v>-37141</v>
          </cell>
          <cell r="C1196">
            <v>174109</v>
          </cell>
          <cell r="D1196">
            <v>138443</v>
          </cell>
          <cell r="E1196">
            <v>-1475</v>
          </cell>
          <cell r="G1196">
            <v>-1475</v>
          </cell>
        </row>
        <row r="1197">
          <cell r="A1197" t="str">
            <v>Kanubhai Bhikhambhai Solanki</v>
          </cell>
          <cell r="B1197">
            <v>-147150</v>
          </cell>
          <cell r="C1197">
            <v>460200</v>
          </cell>
          <cell r="D1197">
            <v>319800</v>
          </cell>
          <cell r="E1197">
            <v>-6750</v>
          </cell>
          <cell r="G1197">
            <v>-6750</v>
          </cell>
        </row>
        <row r="1198">
          <cell r="A1198" t="str">
            <v>Karnataka Bank - 24AABCT5589K2ZU</v>
          </cell>
          <cell r="B1198">
            <v>-0.6</v>
          </cell>
          <cell r="C1198">
            <v>58141.35</v>
          </cell>
          <cell r="D1198">
            <v>58141.35</v>
          </cell>
          <cell r="E1198">
            <v>-0.6</v>
          </cell>
          <cell r="G1198">
            <v>-0.6</v>
          </cell>
        </row>
        <row r="1199">
          <cell r="A1199" t="str">
            <v>Karnavati Polyblends Pvt Ltd</v>
          </cell>
          <cell r="B1199">
            <v>-365814.01</v>
          </cell>
          <cell r="C1199">
            <v>966215</v>
          </cell>
          <cell r="D1199">
            <v>1113868</v>
          </cell>
          <cell r="E1199">
            <v>-513467.01</v>
          </cell>
          <cell r="G1199">
            <v>-513467.01</v>
          </cell>
        </row>
        <row r="1200">
          <cell r="A1200" t="str">
            <v>Khodabhai C Thakor</v>
          </cell>
          <cell r="B1200">
            <v>-484417.06</v>
          </cell>
          <cell r="C1200">
            <v>1571238</v>
          </cell>
          <cell r="D1200">
            <v>977299.85</v>
          </cell>
          <cell r="E1200">
            <v>109521.09</v>
          </cell>
          <cell r="G1200">
            <v>109521.09</v>
          </cell>
        </row>
        <row r="1201">
          <cell r="A1201" t="str">
            <v>Krishna Electro</v>
          </cell>
          <cell r="B1201">
            <v>-389</v>
          </cell>
          <cell r="C1201">
            <v>0</v>
          </cell>
          <cell r="D1201">
            <v>0</v>
          </cell>
          <cell r="E1201">
            <v>-389</v>
          </cell>
          <cell r="G1201">
            <v>-389</v>
          </cell>
        </row>
        <row r="1202">
          <cell r="A1202" t="str">
            <v>Kundanba Ghelubha Vaghela</v>
          </cell>
          <cell r="B1202">
            <v>-128520</v>
          </cell>
          <cell r="C1202">
            <v>414120</v>
          </cell>
          <cell r="D1202">
            <v>285600</v>
          </cell>
          <cell r="E1202">
            <v>0</v>
          </cell>
          <cell r="G1202">
            <v>0</v>
          </cell>
        </row>
        <row r="1203">
          <cell r="A1203" t="str">
            <v>Kutch Ratnam Roadways</v>
          </cell>
          <cell r="B1203">
            <v>-36315</v>
          </cell>
          <cell r="C1203">
            <v>66315</v>
          </cell>
          <cell r="D1203">
            <v>30000</v>
          </cell>
          <cell r="E1203">
            <v>0</v>
          </cell>
          <cell r="G1203">
            <v>0</v>
          </cell>
        </row>
        <row r="1204">
          <cell r="A1204" t="str">
            <v>Laxman B. Bakutra</v>
          </cell>
          <cell r="B1204">
            <v>0</v>
          </cell>
          <cell r="C1204">
            <v>10000</v>
          </cell>
          <cell r="D1204">
            <v>10000</v>
          </cell>
          <cell r="E1204">
            <v>0</v>
          </cell>
          <cell r="G1204">
            <v>0</v>
          </cell>
        </row>
        <row r="1205">
          <cell r="A1205" t="str">
            <v>Legal Entity Identifier India Limited_27AACCL9508M1Z1</v>
          </cell>
          <cell r="B1205">
            <v>-6431</v>
          </cell>
          <cell r="C1205">
            <v>0</v>
          </cell>
          <cell r="D1205">
            <v>0</v>
          </cell>
          <cell r="E1205">
            <v>-6431</v>
          </cell>
          <cell r="G1205">
            <v>-6431</v>
          </cell>
        </row>
        <row r="1206">
          <cell r="A1206" t="str">
            <v>Lovekush Enterprise</v>
          </cell>
          <cell r="B1206">
            <v>150000</v>
          </cell>
          <cell r="C1206">
            <v>0</v>
          </cell>
          <cell r="D1206">
            <v>0</v>
          </cell>
          <cell r="E1206">
            <v>150000</v>
          </cell>
          <cell r="G1206">
            <v>150000</v>
          </cell>
        </row>
        <row r="1207">
          <cell r="A1207" t="str">
            <v>Macfil Global Private Limited - Purchase</v>
          </cell>
          <cell r="B1207">
            <v>0</v>
          </cell>
          <cell r="C1207">
            <v>0</v>
          </cell>
          <cell r="D1207">
            <v>0</v>
          </cell>
          <cell r="E1207">
            <v>0</v>
          </cell>
          <cell r="G1207">
            <v>0</v>
          </cell>
        </row>
        <row r="1208">
          <cell r="A1208" t="str">
            <v>Macgray Solutions Pvt Ltd</v>
          </cell>
          <cell r="B1208">
            <v>-5311.43</v>
          </cell>
          <cell r="C1208">
            <v>10620</v>
          </cell>
          <cell r="D1208">
            <v>5310</v>
          </cell>
          <cell r="E1208">
            <v>-1.43</v>
          </cell>
          <cell r="G1208">
            <v>-1.43</v>
          </cell>
        </row>
        <row r="1209">
          <cell r="A1209" t="str">
            <v>Mahakali Enterprise 24AAXFM9233E1ZY</v>
          </cell>
          <cell r="B1209">
            <v>-39722</v>
          </cell>
          <cell r="C1209">
            <v>56295</v>
          </cell>
          <cell r="D1209">
            <v>257396</v>
          </cell>
          <cell r="E1209">
            <v>-240823</v>
          </cell>
          <cell r="G1209">
            <v>-240823</v>
          </cell>
        </row>
        <row r="1210">
          <cell r="A1210" t="str">
            <v>Maruti Plastic  24ACBFM1584C1ZM</v>
          </cell>
          <cell r="B1210">
            <v>0</v>
          </cell>
          <cell r="C1210">
            <v>1024</v>
          </cell>
          <cell r="D1210">
            <v>60401</v>
          </cell>
          <cell r="E1210">
            <v>-59377</v>
          </cell>
          <cell r="G1210">
            <v>-59377</v>
          </cell>
        </row>
        <row r="1211">
          <cell r="A1211" t="str">
            <v>Maruti Polymers</v>
          </cell>
          <cell r="B1211">
            <v>-215570</v>
          </cell>
          <cell r="C1211">
            <v>2510</v>
          </cell>
          <cell r="D1211">
            <v>148090</v>
          </cell>
          <cell r="E1211">
            <v>-361150</v>
          </cell>
          <cell r="G1211">
            <v>-361150</v>
          </cell>
        </row>
        <row r="1212">
          <cell r="A1212" t="str">
            <v>Mehboobkhan Daudkhan Pathan</v>
          </cell>
          <cell r="B1212">
            <v>2445855</v>
          </cell>
          <cell r="C1212">
            <v>148500</v>
          </cell>
          <cell r="D1212">
            <v>0</v>
          </cell>
          <cell r="E1212">
            <v>2594355</v>
          </cell>
          <cell r="G1212">
            <v>2594355</v>
          </cell>
        </row>
        <row r="1213">
          <cell r="A1213" t="str">
            <v>Mewad Palace Hotel</v>
          </cell>
          <cell r="B1213">
            <v>-31904</v>
          </cell>
          <cell r="C1213">
            <v>50820</v>
          </cell>
          <cell r="D1213">
            <v>50820</v>
          </cell>
          <cell r="E1213">
            <v>-31904</v>
          </cell>
          <cell r="G1213">
            <v>-31904</v>
          </cell>
        </row>
        <row r="1214">
          <cell r="A1214" t="str">
            <v>Micro Measurement And Calibration System Llp</v>
          </cell>
          <cell r="B1214">
            <v>0</v>
          </cell>
          <cell r="C1214">
            <v>0</v>
          </cell>
          <cell r="D1214">
            <v>1770</v>
          </cell>
          <cell r="E1214">
            <v>-1770</v>
          </cell>
          <cell r="G1214">
            <v>-1770</v>
          </cell>
        </row>
        <row r="1215">
          <cell r="A1215" t="str">
            <v>Midas Yarn Processors Pvt Ltd</v>
          </cell>
          <cell r="B1215">
            <v>0</v>
          </cell>
          <cell r="C1215">
            <v>0</v>
          </cell>
          <cell r="D1215">
            <v>0</v>
          </cell>
          <cell r="E1215">
            <v>0</v>
          </cell>
          <cell r="G1215">
            <v>0</v>
          </cell>
        </row>
        <row r="1216">
          <cell r="A1216" t="str">
            <v>Munahir Khan</v>
          </cell>
          <cell r="B1216">
            <v>0</v>
          </cell>
          <cell r="C1216">
            <v>13190</v>
          </cell>
          <cell r="D1216">
            <v>0</v>
          </cell>
          <cell r="E1216">
            <v>13190</v>
          </cell>
          <cell r="G1216">
            <v>13190</v>
          </cell>
        </row>
        <row r="1217">
          <cell r="A1217" t="str">
            <v>National Security Depository Limited</v>
          </cell>
          <cell r="B1217">
            <v>19410</v>
          </cell>
          <cell r="C1217">
            <v>5900</v>
          </cell>
          <cell r="D1217">
            <v>11800</v>
          </cell>
          <cell r="E1217">
            <v>13510</v>
          </cell>
          <cell r="G1217">
            <v>13510</v>
          </cell>
        </row>
        <row r="1218">
          <cell r="A1218" t="str">
            <v>Niraj R. Sharma</v>
          </cell>
          <cell r="B1218">
            <v>49500</v>
          </cell>
          <cell r="C1218">
            <v>99000</v>
          </cell>
          <cell r="D1218">
            <v>0</v>
          </cell>
          <cell r="E1218">
            <v>148500</v>
          </cell>
          <cell r="G1218">
            <v>148500</v>
          </cell>
        </row>
        <row r="1219">
          <cell r="A1219" t="str">
            <v>Noice Academy Private Limited</v>
          </cell>
          <cell r="B1219">
            <v>30000</v>
          </cell>
          <cell r="C1219">
            <v>0</v>
          </cell>
          <cell r="D1219">
            <v>0</v>
          </cell>
          <cell r="E1219">
            <v>30000</v>
          </cell>
          <cell r="G1219">
            <v>30000</v>
          </cell>
        </row>
        <row r="1220">
          <cell r="A1220" t="str">
            <v>Odex India Solutions Private Limited</v>
          </cell>
          <cell r="B1220">
            <v>21240</v>
          </cell>
          <cell r="C1220">
            <v>0</v>
          </cell>
          <cell r="D1220">
            <v>0</v>
          </cell>
          <cell r="E1220">
            <v>21240</v>
          </cell>
          <cell r="G1220">
            <v>21240</v>
          </cell>
        </row>
        <row r="1221">
          <cell r="A1221" t="str">
            <v>P M Nahta And Co</v>
          </cell>
          <cell r="B1221">
            <v>-47200</v>
          </cell>
          <cell r="C1221">
            <v>47200</v>
          </cell>
          <cell r="D1221">
            <v>0</v>
          </cell>
          <cell r="E1221">
            <v>0</v>
          </cell>
          <cell r="G1221">
            <v>0</v>
          </cell>
        </row>
        <row r="1222">
          <cell r="A1222" t="str">
            <v>P.S. Labour Organisation</v>
          </cell>
          <cell r="B1222">
            <v>-1223853.24</v>
          </cell>
          <cell r="C1222">
            <v>3425490</v>
          </cell>
          <cell r="D1222">
            <v>2099018.2799999998</v>
          </cell>
          <cell r="E1222">
            <v>102618.48</v>
          </cell>
          <cell r="G1222">
            <v>102618.48</v>
          </cell>
        </row>
        <row r="1223">
          <cell r="A1223" t="str">
            <v>Pareshkumar Vasudevbhai Dave</v>
          </cell>
          <cell r="B1223">
            <v>-132120</v>
          </cell>
          <cell r="C1223">
            <v>374400</v>
          </cell>
          <cell r="D1223">
            <v>244800</v>
          </cell>
          <cell r="E1223">
            <v>-2520</v>
          </cell>
          <cell r="G1223">
            <v>-2520</v>
          </cell>
        </row>
        <row r="1224">
          <cell r="A1224" t="str">
            <v>Patel &amp; Mehta</v>
          </cell>
          <cell r="B1224">
            <v>0</v>
          </cell>
          <cell r="C1224">
            <v>590000</v>
          </cell>
          <cell r="D1224">
            <v>590000</v>
          </cell>
          <cell r="E1224">
            <v>0</v>
          </cell>
          <cell r="G1224">
            <v>0</v>
          </cell>
        </row>
        <row r="1225">
          <cell r="A1225" t="str">
            <v>Pci Pest Control Pvt Ltd</v>
          </cell>
          <cell r="B1225">
            <v>48980</v>
          </cell>
          <cell r="C1225">
            <v>0</v>
          </cell>
          <cell r="D1225">
            <v>0</v>
          </cell>
          <cell r="E1225">
            <v>48980</v>
          </cell>
          <cell r="G1225">
            <v>48980</v>
          </cell>
        </row>
        <row r="1226">
          <cell r="A1226" t="str">
            <v>Pooja Enterprise-Sanand</v>
          </cell>
          <cell r="B1226">
            <v>0</v>
          </cell>
          <cell r="C1226">
            <v>0</v>
          </cell>
          <cell r="D1226">
            <v>0</v>
          </cell>
          <cell r="E1226">
            <v>0</v>
          </cell>
          <cell r="G1226">
            <v>0</v>
          </cell>
        </row>
        <row r="1227">
          <cell r="A1227" t="str">
            <v>Pravinbhai D Patel</v>
          </cell>
          <cell r="B1227">
            <v>9874</v>
          </cell>
          <cell r="C1227">
            <v>0</v>
          </cell>
          <cell r="D1227">
            <v>0</v>
          </cell>
          <cell r="E1227">
            <v>9874</v>
          </cell>
          <cell r="G1227">
            <v>9874</v>
          </cell>
        </row>
        <row r="1228">
          <cell r="A1228" t="str">
            <v>Purnimaben Pareshkumar Dave</v>
          </cell>
          <cell r="B1228">
            <v>-132920</v>
          </cell>
          <cell r="C1228">
            <v>374400</v>
          </cell>
          <cell r="D1228">
            <v>244800</v>
          </cell>
          <cell r="E1228">
            <v>-3320</v>
          </cell>
          <cell r="G1228">
            <v>-3320</v>
          </cell>
        </row>
        <row r="1229">
          <cell r="A1229" t="str">
            <v>QVC Certification Services Pvt. Ltd.</v>
          </cell>
          <cell r="B1229">
            <v>0</v>
          </cell>
          <cell r="C1229">
            <v>246035</v>
          </cell>
          <cell r="D1229">
            <v>0</v>
          </cell>
          <cell r="E1229">
            <v>246035</v>
          </cell>
          <cell r="G1229">
            <v>246035</v>
          </cell>
        </row>
        <row r="1230">
          <cell r="A1230" t="str">
            <v>Rajesh Rajendra Gupta</v>
          </cell>
          <cell r="B1230">
            <v>50500</v>
          </cell>
          <cell r="C1230">
            <v>0</v>
          </cell>
          <cell r="D1230">
            <v>0</v>
          </cell>
          <cell r="E1230">
            <v>50500</v>
          </cell>
          <cell r="G1230">
            <v>50500</v>
          </cell>
        </row>
        <row r="1231">
          <cell r="A1231" t="str">
            <v>Raju Ram Jangid</v>
          </cell>
          <cell r="B1231">
            <v>410850</v>
          </cell>
          <cell r="C1231">
            <v>0</v>
          </cell>
          <cell r="D1231">
            <v>0</v>
          </cell>
          <cell r="E1231">
            <v>410850</v>
          </cell>
          <cell r="G1231">
            <v>410850</v>
          </cell>
        </row>
        <row r="1232">
          <cell r="A1232" t="str">
            <v>Rangrej Hasmatbhai Kalyankha</v>
          </cell>
          <cell r="B1232">
            <v>1187000</v>
          </cell>
          <cell r="C1232">
            <v>693000</v>
          </cell>
          <cell r="D1232">
            <v>0</v>
          </cell>
          <cell r="E1232">
            <v>1880000</v>
          </cell>
          <cell r="G1232">
            <v>1880000</v>
          </cell>
        </row>
        <row r="1233">
          <cell r="A1233" t="str">
            <v>Rashmi Crane Service</v>
          </cell>
          <cell r="B1233">
            <v>-1170</v>
          </cell>
          <cell r="C1233">
            <v>0</v>
          </cell>
          <cell r="D1233">
            <v>9440</v>
          </cell>
          <cell r="E1233">
            <v>-10610</v>
          </cell>
          <cell r="G1233">
            <v>-10610</v>
          </cell>
        </row>
        <row r="1234">
          <cell r="A1234" t="str">
            <v>Rathod Yashvardhansinh</v>
          </cell>
          <cell r="B1234">
            <v>-168000</v>
          </cell>
          <cell r="C1234">
            <v>168000</v>
          </cell>
          <cell r="D1234">
            <v>0</v>
          </cell>
          <cell r="E1234">
            <v>0</v>
          </cell>
          <cell r="G1234">
            <v>0</v>
          </cell>
        </row>
        <row r="1235">
          <cell r="A1235" t="str">
            <v>Receivables Exchange Of India Limited - 27AAHCR6707P1ZP</v>
          </cell>
          <cell r="B1235">
            <v>3806.64</v>
          </cell>
          <cell r="C1235">
            <v>0</v>
          </cell>
          <cell r="D1235">
            <v>0</v>
          </cell>
          <cell r="E1235">
            <v>3806.64</v>
          </cell>
          <cell r="G1235">
            <v>3806.64</v>
          </cell>
        </row>
        <row r="1236">
          <cell r="A1236" t="str">
            <v>Reliance Jio Infocomm Limited</v>
          </cell>
          <cell r="B1236">
            <v>0</v>
          </cell>
          <cell r="C1236">
            <v>0</v>
          </cell>
          <cell r="D1236">
            <v>0</v>
          </cell>
          <cell r="E1236">
            <v>0</v>
          </cell>
          <cell r="G1236">
            <v>0</v>
          </cell>
        </row>
        <row r="1237">
          <cell r="A1237" t="str">
            <v>Rinkuben Narendrabhai Barad</v>
          </cell>
          <cell r="B1237">
            <v>-51408</v>
          </cell>
          <cell r="C1237">
            <v>165648</v>
          </cell>
          <cell r="D1237">
            <v>114240</v>
          </cell>
          <cell r="E1237">
            <v>0</v>
          </cell>
          <cell r="G1237">
            <v>0</v>
          </cell>
        </row>
        <row r="1238">
          <cell r="A1238" t="str">
            <v>RSM Astute Consultech Private Limited</v>
          </cell>
          <cell r="B1238">
            <v>0</v>
          </cell>
          <cell r="C1238">
            <v>24375</v>
          </cell>
          <cell r="D1238">
            <v>287626</v>
          </cell>
          <cell r="E1238">
            <v>-263251</v>
          </cell>
          <cell r="G1238">
            <v>-263251</v>
          </cell>
        </row>
        <row r="1239">
          <cell r="A1239" t="str">
            <v>Rubix Data Sciences Private Limited</v>
          </cell>
          <cell r="B1239">
            <v>21121</v>
          </cell>
          <cell r="C1239">
            <v>11210</v>
          </cell>
          <cell r="D1239">
            <v>11210</v>
          </cell>
          <cell r="E1239">
            <v>21121</v>
          </cell>
          <cell r="G1239">
            <v>21121</v>
          </cell>
        </row>
        <row r="1240">
          <cell r="A1240" t="str">
            <v>Sahidul Mondal</v>
          </cell>
          <cell r="B1240">
            <v>9136</v>
          </cell>
          <cell r="C1240">
            <v>0</v>
          </cell>
          <cell r="D1240">
            <v>9136</v>
          </cell>
          <cell r="E1240">
            <v>0</v>
          </cell>
          <cell r="G1240">
            <v>0</v>
          </cell>
        </row>
        <row r="1241">
          <cell r="A1241" t="str">
            <v>Sakalain Khan</v>
          </cell>
          <cell r="B1241">
            <v>0</v>
          </cell>
          <cell r="C1241">
            <v>517025</v>
          </cell>
          <cell r="D1241">
            <v>590795.48</v>
          </cell>
          <cell r="E1241">
            <v>-73770.48</v>
          </cell>
          <cell r="G1241">
            <v>-73770.48</v>
          </cell>
        </row>
        <row r="1242">
          <cell r="A1242" t="str">
            <v>Samsung India Electronics Private Limited</v>
          </cell>
          <cell r="B1242">
            <v>81969</v>
          </cell>
          <cell r="C1242">
            <v>1320</v>
          </cell>
          <cell r="D1242">
            <v>80388</v>
          </cell>
          <cell r="E1242">
            <v>2901</v>
          </cell>
          <cell r="G1242">
            <v>2901</v>
          </cell>
        </row>
        <row r="1243">
          <cell r="A1243" t="str">
            <v>Sanand Industries Association</v>
          </cell>
          <cell r="B1243">
            <v>0</v>
          </cell>
          <cell r="C1243">
            <v>7080</v>
          </cell>
          <cell r="D1243">
            <v>7080</v>
          </cell>
          <cell r="E1243">
            <v>0</v>
          </cell>
          <cell r="G1243">
            <v>0</v>
          </cell>
        </row>
        <row r="1244">
          <cell r="A1244" t="str">
            <v>Savino Del Bene Freight Forwarders (India) Pvt. Ltd.-Gujarat</v>
          </cell>
          <cell r="B1244">
            <v>0</v>
          </cell>
          <cell r="C1244">
            <v>68144</v>
          </cell>
          <cell r="D1244">
            <v>68144</v>
          </cell>
          <cell r="E1244">
            <v>0</v>
          </cell>
          <cell r="G1244">
            <v>0</v>
          </cell>
        </row>
        <row r="1245">
          <cell r="A1245" t="str">
            <v>Sbi General Insurance Co. Ltd.</v>
          </cell>
          <cell r="B1245">
            <v>0</v>
          </cell>
          <cell r="C1245">
            <v>78706</v>
          </cell>
          <cell r="D1245">
            <v>72806</v>
          </cell>
          <cell r="E1245">
            <v>5900</v>
          </cell>
          <cell r="G1245">
            <v>5900</v>
          </cell>
        </row>
        <row r="1246">
          <cell r="A1246" t="str">
            <v>Seema Mishra</v>
          </cell>
          <cell r="B1246">
            <v>-29700</v>
          </cell>
          <cell r="C1246">
            <v>59700</v>
          </cell>
          <cell r="D1246">
            <v>30000</v>
          </cell>
          <cell r="E1246">
            <v>0</v>
          </cell>
          <cell r="G1246">
            <v>0</v>
          </cell>
        </row>
        <row r="1247">
          <cell r="A1247" t="str">
            <v>SGS India Pvt Ltd</v>
          </cell>
          <cell r="B1247">
            <v>0</v>
          </cell>
          <cell r="C1247">
            <v>0</v>
          </cell>
          <cell r="D1247">
            <v>0</v>
          </cell>
          <cell r="E1247">
            <v>0</v>
          </cell>
          <cell r="G1247">
            <v>0</v>
          </cell>
        </row>
        <row r="1248">
          <cell r="A1248" t="str">
            <v>Shah Rajesh Virendrabhai</v>
          </cell>
          <cell r="B1248">
            <v>0</v>
          </cell>
          <cell r="C1248">
            <v>90793</v>
          </cell>
          <cell r="D1248">
            <v>90793</v>
          </cell>
          <cell r="E1248">
            <v>0</v>
          </cell>
          <cell r="G1248">
            <v>0</v>
          </cell>
        </row>
        <row r="1249">
          <cell r="A1249" t="str">
            <v>Shantilal R Prajapati</v>
          </cell>
          <cell r="B1249">
            <v>86828</v>
          </cell>
          <cell r="C1249">
            <v>148500</v>
          </cell>
          <cell r="D1249">
            <v>0</v>
          </cell>
          <cell r="E1249">
            <v>235328</v>
          </cell>
          <cell r="G1249">
            <v>235328</v>
          </cell>
        </row>
        <row r="1250">
          <cell r="A1250" t="str">
            <v>Shinhan Bank - 24AAACC2144A1ZL</v>
          </cell>
          <cell r="B1250">
            <v>-6863.39</v>
          </cell>
          <cell r="C1250">
            <v>0</v>
          </cell>
          <cell r="D1250">
            <v>316333.83</v>
          </cell>
          <cell r="E1250">
            <v>-323197.21999999997</v>
          </cell>
          <cell r="G1250">
            <v>-323197.21999999997</v>
          </cell>
        </row>
        <row r="1251">
          <cell r="A1251" t="str">
            <v>Shravankumar Prajapati</v>
          </cell>
          <cell r="B1251">
            <v>0</v>
          </cell>
          <cell r="C1251">
            <v>31732</v>
          </cell>
          <cell r="D1251">
            <v>36632</v>
          </cell>
          <cell r="E1251">
            <v>-4900</v>
          </cell>
          <cell r="G1251">
            <v>-4900</v>
          </cell>
        </row>
        <row r="1252">
          <cell r="A1252" t="str">
            <v>Shree Ganesh Associates</v>
          </cell>
          <cell r="B1252">
            <v>0</v>
          </cell>
          <cell r="C1252">
            <v>4000</v>
          </cell>
          <cell r="D1252">
            <v>4000</v>
          </cell>
          <cell r="E1252">
            <v>0</v>
          </cell>
          <cell r="G1252">
            <v>0</v>
          </cell>
        </row>
        <row r="1253">
          <cell r="A1253" t="str">
            <v>Shree Raj Industries</v>
          </cell>
          <cell r="B1253">
            <v>0</v>
          </cell>
          <cell r="C1253">
            <v>0</v>
          </cell>
          <cell r="D1253">
            <v>0</v>
          </cell>
          <cell r="E1253">
            <v>0</v>
          </cell>
          <cell r="G1253">
            <v>0</v>
          </cell>
        </row>
        <row r="1254">
          <cell r="A1254" t="str">
            <v>Shree Sai Occupational Health Care</v>
          </cell>
          <cell r="B1254">
            <v>125</v>
          </cell>
          <cell r="C1254">
            <v>3750</v>
          </cell>
          <cell r="D1254">
            <v>6250</v>
          </cell>
          <cell r="E1254">
            <v>-2375</v>
          </cell>
          <cell r="G1254">
            <v>-2375</v>
          </cell>
        </row>
        <row r="1255">
          <cell r="A1255" t="str">
            <v>Smit Enterprise - Sanand</v>
          </cell>
          <cell r="B1255">
            <v>-35425.25</v>
          </cell>
          <cell r="C1255">
            <v>0</v>
          </cell>
          <cell r="D1255">
            <v>0</v>
          </cell>
          <cell r="E1255">
            <v>-35425.25</v>
          </cell>
          <cell r="G1255">
            <v>-35425.25</v>
          </cell>
        </row>
        <row r="1256">
          <cell r="A1256" t="str">
            <v>SMS Integrated Facility Services Private Limited</v>
          </cell>
          <cell r="B1256">
            <v>-31512.92</v>
          </cell>
          <cell r="C1256">
            <v>31513</v>
          </cell>
          <cell r="D1256">
            <v>0</v>
          </cell>
          <cell r="E1256">
            <v>0.08</v>
          </cell>
          <cell r="G1256">
            <v>0.08</v>
          </cell>
        </row>
        <row r="1257">
          <cell r="A1257" t="str">
            <v>Sohanbhai Dhanjibhai Rathod</v>
          </cell>
          <cell r="B1257">
            <v>-11280</v>
          </cell>
          <cell r="C1257">
            <v>11280</v>
          </cell>
          <cell r="D1257">
            <v>0</v>
          </cell>
          <cell r="E1257">
            <v>0</v>
          </cell>
          <cell r="G1257">
            <v>0</v>
          </cell>
        </row>
        <row r="1258">
          <cell r="A1258" t="str">
            <v>Sonusingh Sengar</v>
          </cell>
          <cell r="B1258">
            <v>-153381</v>
          </cell>
          <cell r="C1258">
            <v>209431</v>
          </cell>
          <cell r="D1258">
            <v>398959</v>
          </cell>
          <cell r="E1258">
            <v>-342909</v>
          </cell>
          <cell r="G1258">
            <v>-342909</v>
          </cell>
        </row>
        <row r="1259">
          <cell r="A1259" t="str">
            <v>Soveer Shivram Singh</v>
          </cell>
          <cell r="B1259">
            <v>0</v>
          </cell>
          <cell r="C1259">
            <v>321799</v>
          </cell>
          <cell r="D1259">
            <v>321799</v>
          </cell>
          <cell r="E1259">
            <v>0</v>
          </cell>
          <cell r="G1259">
            <v>0</v>
          </cell>
        </row>
        <row r="1260">
          <cell r="A1260" t="str">
            <v>Sriram Ramnath Rajbhar</v>
          </cell>
          <cell r="B1260">
            <v>350000</v>
          </cell>
          <cell r="C1260">
            <v>0</v>
          </cell>
          <cell r="D1260">
            <v>0</v>
          </cell>
          <cell r="E1260">
            <v>350000</v>
          </cell>
          <cell r="G1260">
            <v>350000</v>
          </cell>
        </row>
        <row r="1261">
          <cell r="A1261" t="str">
            <v>SSP Royal Enterprise</v>
          </cell>
          <cell r="B1261">
            <v>0</v>
          </cell>
          <cell r="C1261">
            <v>0</v>
          </cell>
          <cell r="D1261">
            <v>0</v>
          </cell>
          <cell r="E1261">
            <v>0</v>
          </cell>
          <cell r="G1261">
            <v>0</v>
          </cell>
        </row>
        <row r="1262">
          <cell r="A1262" t="str">
            <v>Suhit Tejas Contractor</v>
          </cell>
          <cell r="B1262">
            <v>0</v>
          </cell>
          <cell r="C1262">
            <v>5100</v>
          </cell>
          <cell r="D1262">
            <v>0</v>
          </cell>
          <cell r="E1262">
            <v>5100</v>
          </cell>
          <cell r="G1262">
            <v>5100</v>
          </cell>
        </row>
        <row r="1263">
          <cell r="A1263" t="str">
            <v>Surjo Enterprise</v>
          </cell>
          <cell r="B1263">
            <v>0</v>
          </cell>
          <cell r="C1263">
            <v>0</v>
          </cell>
          <cell r="D1263">
            <v>0</v>
          </cell>
          <cell r="E1263">
            <v>0</v>
          </cell>
          <cell r="G1263">
            <v>0</v>
          </cell>
        </row>
        <row r="1264">
          <cell r="A1264" t="str">
            <v>Surya Enegy Kutch</v>
          </cell>
          <cell r="B1264">
            <v>-20234.669999999998</v>
          </cell>
          <cell r="C1264">
            <v>1941542</v>
          </cell>
          <cell r="D1264">
            <v>1921308</v>
          </cell>
          <cell r="E1264">
            <v>-0.67</v>
          </cell>
          <cell r="G1264">
            <v>-0.67</v>
          </cell>
        </row>
        <row r="1265">
          <cell r="A1265" t="str">
            <v>The Bombay Textile Research Association</v>
          </cell>
          <cell r="B1265">
            <v>19025</v>
          </cell>
          <cell r="C1265">
            <v>144239</v>
          </cell>
          <cell r="D1265">
            <v>0</v>
          </cell>
          <cell r="E1265">
            <v>163264</v>
          </cell>
          <cell r="G1265">
            <v>163264</v>
          </cell>
        </row>
        <row r="1266">
          <cell r="A1266" t="str">
            <v>The Gandhidham Chamber Of Commerce &amp; Industry</v>
          </cell>
          <cell r="B1266">
            <v>0</v>
          </cell>
          <cell r="C1266">
            <v>2088</v>
          </cell>
          <cell r="D1266">
            <v>708</v>
          </cell>
          <cell r="E1266">
            <v>1380</v>
          </cell>
          <cell r="G1266">
            <v>1380</v>
          </cell>
        </row>
        <row r="1267">
          <cell r="A1267" t="str">
            <v>The Karnataka Bank Limited-29AABCT5589K1ZL</v>
          </cell>
          <cell r="B1267">
            <v>-3581</v>
          </cell>
          <cell r="C1267">
            <v>0</v>
          </cell>
          <cell r="D1267">
            <v>0</v>
          </cell>
          <cell r="E1267">
            <v>-3581</v>
          </cell>
          <cell r="G1267">
            <v>-3581</v>
          </cell>
        </row>
        <row r="1268">
          <cell r="A1268" t="str">
            <v>The Plastics Export Promotion Council</v>
          </cell>
          <cell r="B1268">
            <v>0</v>
          </cell>
          <cell r="C1268">
            <v>0</v>
          </cell>
          <cell r="D1268">
            <v>21476</v>
          </cell>
          <cell r="E1268">
            <v>-21476</v>
          </cell>
          <cell r="G1268">
            <v>-21476</v>
          </cell>
        </row>
        <row r="1269">
          <cell r="A1269" t="str">
            <v>Union Bank Of India-24AAACU0564G2ZM</v>
          </cell>
          <cell r="B1269">
            <v>-0.64</v>
          </cell>
          <cell r="C1269">
            <v>0</v>
          </cell>
          <cell r="D1269">
            <v>0</v>
          </cell>
          <cell r="E1269">
            <v>-0.64</v>
          </cell>
          <cell r="G1269">
            <v>-0.64</v>
          </cell>
        </row>
        <row r="1270">
          <cell r="A1270" t="str">
            <v>Usha Plastic</v>
          </cell>
          <cell r="B1270">
            <v>-146369.48000000001</v>
          </cell>
          <cell r="C1270">
            <v>187290</v>
          </cell>
          <cell r="D1270">
            <v>42775</v>
          </cell>
          <cell r="E1270">
            <v>-1854.48</v>
          </cell>
          <cell r="G1270">
            <v>-1854.48</v>
          </cell>
        </row>
        <row r="1271">
          <cell r="A1271" t="str">
            <v>Uttar Gujarat Vij Company Ltd</v>
          </cell>
          <cell r="B1271">
            <v>-4150455.4</v>
          </cell>
          <cell r="C1271">
            <v>12025574</v>
          </cell>
          <cell r="D1271">
            <v>6944220</v>
          </cell>
          <cell r="E1271">
            <v>930898.6</v>
          </cell>
          <cell r="G1271">
            <v>930898.6</v>
          </cell>
        </row>
        <row r="1272">
          <cell r="A1272" t="str">
            <v>V Trans India Ltd 06AAACV1559Q1ZU</v>
          </cell>
          <cell r="B1272">
            <v>-854</v>
          </cell>
          <cell r="C1272">
            <v>0</v>
          </cell>
          <cell r="D1272">
            <v>0</v>
          </cell>
          <cell r="E1272">
            <v>-854</v>
          </cell>
          <cell r="G1272">
            <v>-854</v>
          </cell>
        </row>
        <row r="1273">
          <cell r="A1273" t="str">
            <v>V-Trans (India) Ltd. - Maharashtra</v>
          </cell>
          <cell r="B1273">
            <v>15853.21</v>
          </cell>
          <cell r="C1273">
            <v>4945</v>
          </cell>
          <cell r="D1273">
            <v>0</v>
          </cell>
          <cell r="E1273">
            <v>20798.21</v>
          </cell>
          <cell r="G1273">
            <v>20798.21</v>
          </cell>
        </row>
        <row r="1274">
          <cell r="A1274" t="str">
            <v>Vihaan Telecommunication Private Limited</v>
          </cell>
          <cell r="B1274">
            <v>0</v>
          </cell>
          <cell r="C1274">
            <v>0</v>
          </cell>
          <cell r="D1274">
            <v>18580</v>
          </cell>
          <cell r="E1274">
            <v>-18580</v>
          </cell>
          <cell r="G1274">
            <v>-18580</v>
          </cell>
        </row>
        <row r="1275">
          <cell r="A1275" t="str">
            <v>Vijaykumar Ghanshyam Chauhan</v>
          </cell>
          <cell r="B1275">
            <v>-52030</v>
          </cell>
          <cell r="C1275">
            <v>0</v>
          </cell>
          <cell r="D1275">
            <v>0</v>
          </cell>
          <cell r="E1275">
            <v>-52030</v>
          </cell>
          <cell r="G1275">
            <v>-52030</v>
          </cell>
        </row>
        <row r="1276">
          <cell r="A1276" t="str">
            <v>Vodafone Idea Limited</v>
          </cell>
          <cell r="B1276">
            <v>0</v>
          </cell>
          <cell r="C1276">
            <v>0</v>
          </cell>
          <cell r="D1276">
            <v>0</v>
          </cell>
          <cell r="E1276">
            <v>0</v>
          </cell>
          <cell r="G1276">
            <v>0</v>
          </cell>
        </row>
        <row r="1277">
          <cell r="A1277" t="str">
            <v>Vodafone Idea Limited - 24AAACB2100P1Z3</v>
          </cell>
          <cell r="B1277">
            <v>-0.46</v>
          </cell>
          <cell r="C1277">
            <v>0</v>
          </cell>
          <cell r="D1277">
            <v>0</v>
          </cell>
          <cell r="E1277">
            <v>-0.46</v>
          </cell>
          <cell r="G1277">
            <v>-0.46</v>
          </cell>
        </row>
        <row r="1278">
          <cell r="A1278" t="str">
            <v>Watair Envisol Consultancy Co</v>
          </cell>
          <cell r="B1278">
            <v>-8850</v>
          </cell>
          <cell r="C1278">
            <v>0</v>
          </cell>
          <cell r="D1278">
            <v>0</v>
          </cell>
          <cell r="E1278">
            <v>-8850</v>
          </cell>
          <cell r="G1278">
            <v>-8850</v>
          </cell>
        </row>
        <row r="1279">
          <cell r="A1279" t="str">
            <v>Webuild Consultants</v>
          </cell>
          <cell r="B1279">
            <v>0</v>
          </cell>
          <cell r="C1279">
            <v>165000</v>
          </cell>
          <cell r="D1279">
            <v>165000</v>
          </cell>
          <cell r="E1279">
            <v>0</v>
          </cell>
          <cell r="G1279">
            <v>0</v>
          </cell>
        </row>
        <row r="1280">
          <cell r="A1280" t="str">
            <v>Westwind Shipping And Logistics Pvt.Ltd</v>
          </cell>
          <cell r="B1280">
            <v>-1770</v>
          </cell>
          <cell r="C1280">
            <v>7080</v>
          </cell>
          <cell r="D1280">
            <v>5310</v>
          </cell>
          <cell r="E1280">
            <v>0</v>
          </cell>
          <cell r="G1280">
            <v>0</v>
          </cell>
        </row>
        <row r="1281">
          <cell r="A1281" t="str">
            <v>Bank Cash Credit BOB 25380500000217</v>
          </cell>
          <cell r="B1281">
            <v>-448828868.54000002</v>
          </cell>
          <cell r="C1281">
            <v>829545554.62</v>
          </cell>
          <cell r="D1281">
            <v>710920563.97000003</v>
          </cell>
          <cell r="E1281">
            <v>-330203877.88999999</v>
          </cell>
          <cell r="G1281">
            <v>-330203877.88999999</v>
          </cell>
        </row>
        <row r="1282">
          <cell r="A1282" t="str">
            <v>Bank Cash Credit PNB 0170108700000235</v>
          </cell>
          <cell r="B1282">
            <v>536708.4</v>
          </cell>
          <cell r="C1282">
            <v>0</v>
          </cell>
          <cell r="D1282">
            <v>274468</v>
          </cell>
          <cell r="E1282">
            <v>262240.40000000002</v>
          </cell>
          <cell r="G1282">
            <v>262240.40000000002</v>
          </cell>
        </row>
        <row r="1283">
          <cell r="A1283" t="str">
            <v>Bank Cash Credit Union Bank 00415010000011</v>
          </cell>
          <cell r="B1283">
            <v>-59604687.869999997</v>
          </cell>
          <cell r="C1283">
            <v>152809130.59999999</v>
          </cell>
          <cell r="D1283">
            <v>151800693.16</v>
          </cell>
          <cell r="E1283">
            <v>-58596250.43</v>
          </cell>
          <cell r="G1283">
            <v>-58596250.43</v>
          </cell>
        </row>
        <row r="1284">
          <cell r="A1284" t="str">
            <v>Bank EPC BOB 25380700000037</v>
          </cell>
          <cell r="B1284">
            <v>-904527117</v>
          </cell>
          <cell r="C1284">
            <v>92911181</v>
          </cell>
          <cell r="D1284">
            <v>104497200</v>
          </cell>
          <cell r="E1284">
            <v>-916113136</v>
          </cell>
          <cell r="G1284">
            <v>-916113136</v>
          </cell>
        </row>
        <row r="1285">
          <cell r="A1285" t="str">
            <v>Bank Epc Bob 25380700000042</v>
          </cell>
          <cell r="B1285">
            <v>-254791622.38</v>
          </cell>
          <cell r="C1285">
            <v>0</v>
          </cell>
          <cell r="D1285">
            <v>0</v>
          </cell>
          <cell r="E1285">
            <v>-254791622.38</v>
          </cell>
          <cell r="G1285">
            <v>-254791622.38</v>
          </cell>
        </row>
        <row r="1286">
          <cell r="A1286" t="str">
            <v>Pcfcy Karnataka 00212600006</v>
          </cell>
          <cell r="B1286">
            <v>0</v>
          </cell>
          <cell r="C1286">
            <v>0</v>
          </cell>
          <cell r="D1286">
            <v>3718520</v>
          </cell>
          <cell r="E1286">
            <v>-3718520</v>
          </cell>
          <cell r="G1286">
            <v>-3718520</v>
          </cell>
        </row>
        <row r="1287">
          <cell r="A1287" t="str">
            <v>Union Bank EPC - 000417220000002</v>
          </cell>
          <cell r="B1287">
            <v>-27509624.390000001</v>
          </cell>
          <cell r="C1287">
            <v>12000000</v>
          </cell>
          <cell r="D1287">
            <v>0</v>
          </cell>
          <cell r="E1287">
            <v>-15509624.390000001</v>
          </cell>
          <cell r="G1287">
            <v>-15509624.390000001</v>
          </cell>
        </row>
        <row r="1288">
          <cell r="A1288" t="str">
            <v>Bank Term Loan BOB 25380600000469</v>
          </cell>
          <cell r="B1288">
            <v>-77618334.810000002</v>
          </cell>
          <cell r="C1288">
            <v>21515724</v>
          </cell>
          <cell r="D1288">
            <v>2104567</v>
          </cell>
          <cell r="E1288">
            <v>-58207177.810000002</v>
          </cell>
          <cell r="G1288">
            <v>-58207177.810000002</v>
          </cell>
        </row>
        <row r="1289">
          <cell r="A1289" t="str">
            <v>Bank Term Loan Bob Ac No. 73280600000058</v>
          </cell>
          <cell r="B1289">
            <v>-17551333.5</v>
          </cell>
          <cell r="C1289">
            <v>1919100.98</v>
          </cell>
          <cell r="D1289">
            <v>414701</v>
          </cell>
          <cell r="E1289">
            <v>-16046933.52</v>
          </cell>
          <cell r="G1289">
            <v>-16046933.52</v>
          </cell>
        </row>
        <row r="1290">
          <cell r="A1290" t="str">
            <v>Bank Term Loan BOB Ac No. 73280600000059</v>
          </cell>
          <cell r="B1290">
            <v>-1755555.59</v>
          </cell>
          <cell r="C1290">
            <v>1048052.33</v>
          </cell>
          <cell r="D1290">
            <v>114719</v>
          </cell>
          <cell r="E1290">
            <v>-822222.26</v>
          </cell>
          <cell r="G1290">
            <v>-822222.26</v>
          </cell>
        </row>
        <row r="1291">
          <cell r="A1291" t="str">
            <v>Bank Term Loan BOB Ac No.73280600000029</v>
          </cell>
          <cell r="B1291">
            <v>-29027778</v>
          </cell>
          <cell r="C1291">
            <v>8525237.6400000006</v>
          </cell>
          <cell r="D1291">
            <v>608571</v>
          </cell>
          <cell r="E1291">
            <v>-21111111.359999999</v>
          </cell>
          <cell r="G1291">
            <v>-21111111.359999999</v>
          </cell>
        </row>
        <row r="1292">
          <cell r="A1292" t="str">
            <v>Bob Loan – 73280600000173</v>
          </cell>
          <cell r="B1292">
            <v>-60000000</v>
          </cell>
          <cell r="C1292">
            <v>1155780</v>
          </cell>
          <cell r="D1292">
            <v>1155780</v>
          </cell>
          <cell r="E1292">
            <v>-60000000</v>
          </cell>
          <cell r="G1292">
            <v>-60000000</v>
          </cell>
        </row>
        <row r="1293">
          <cell r="A1293" t="str">
            <v>The Karnataka Bank Limited Term Loan 0021702600001801</v>
          </cell>
          <cell r="B1293">
            <v>-50000000</v>
          </cell>
          <cell r="C1293">
            <v>811013</v>
          </cell>
          <cell r="D1293">
            <v>811013</v>
          </cell>
          <cell r="E1293">
            <v>-50000000</v>
          </cell>
          <cell r="G1293">
            <v>-50000000</v>
          </cell>
        </row>
        <row r="1294">
          <cell r="A1294" t="str">
            <v>Union Bank Loan – 000416440000030</v>
          </cell>
          <cell r="B1294">
            <v>-50000000</v>
          </cell>
          <cell r="C1294">
            <v>1090526.3999999999</v>
          </cell>
          <cell r="D1294">
            <v>1090526.3999999999</v>
          </cell>
          <cell r="E1294">
            <v>-50000000</v>
          </cell>
          <cell r="G1294">
            <v>-50000000</v>
          </cell>
        </row>
        <row r="1295">
          <cell r="A1295" t="str">
            <v>BOB Forklift Loan Ac 03240600002341_Secured</v>
          </cell>
          <cell r="B1295">
            <v>0</v>
          </cell>
          <cell r="C1295">
            <v>0</v>
          </cell>
          <cell r="D1295">
            <v>0</v>
          </cell>
          <cell r="E1295">
            <v>0</v>
          </cell>
          <cell r="G1295">
            <v>0</v>
          </cell>
        </row>
        <row r="1296">
          <cell r="A1296" t="str">
            <v>HDFC A/c 83098900_Chiller plant</v>
          </cell>
          <cell r="B1296">
            <v>0</v>
          </cell>
          <cell r="C1296">
            <v>0</v>
          </cell>
          <cell r="D1296">
            <v>0</v>
          </cell>
          <cell r="E1296">
            <v>0</v>
          </cell>
          <cell r="G1296">
            <v>0</v>
          </cell>
        </row>
        <row r="1297">
          <cell r="A1297" t="str">
            <v>HDFC A/C 83121232_Chiller plant</v>
          </cell>
          <cell r="B1297">
            <v>0</v>
          </cell>
          <cell r="C1297">
            <v>0</v>
          </cell>
          <cell r="D1297">
            <v>0</v>
          </cell>
          <cell r="E1297">
            <v>0</v>
          </cell>
          <cell r="G1297">
            <v>0</v>
          </cell>
        </row>
        <row r="1298">
          <cell r="A1298" t="str">
            <v>Secured Loan_HDFC A/C 83121235_Forklift</v>
          </cell>
          <cell r="B1298">
            <v>0</v>
          </cell>
          <cell r="C1298">
            <v>0</v>
          </cell>
          <cell r="D1298">
            <v>0</v>
          </cell>
          <cell r="E1298">
            <v>0</v>
          </cell>
          <cell r="G1298">
            <v>0</v>
          </cell>
        </row>
        <row r="1299">
          <cell r="A1299" t="str">
            <v>Karnataka Bank  PCFCY00212500010</v>
          </cell>
          <cell r="B1299">
            <v>-446984.53</v>
          </cell>
          <cell r="C1299">
            <v>0</v>
          </cell>
          <cell r="D1299">
            <v>0</v>
          </cell>
          <cell r="E1299">
            <v>-446984.53</v>
          </cell>
          <cell r="G1299">
            <v>-446984.53</v>
          </cell>
        </row>
        <row r="1300">
          <cell r="A1300" t="str">
            <v>Bank Cash Credit Karnataka Bank 021702400000901</v>
          </cell>
          <cell r="B1300">
            <v>-26668954.620000001</v>
          </cell>
          <cell r="C1300">
            <v>95234509</v>
          </cell>
          <cell r="D1300">
            <v>124404377.68000001</v>
          </cell>
          <cell r="E1300">
            <v>-55838823.299999997</v>
          </cell>
          <cell r="G1300">
            <v>-55838823.299999997</v>
          </cell>
        </row>
        <row r="1301">
          <cell r="A1301" t="str">
            <v>Bank Of Baroda PCFC- 25380700000043</v>
          </cell>
          <cell r="B1301">
            <v>-124620173.98</v>
          </cell>
          <cell r="C1301">
            <v>0</v>
          </cell>
          <cell r="D1301">
            <v>0</v>
          </cell>
          <cell r="E1301">
            <v>-124620173.98</v>
          </cell>
          <cell r="G1301">
            <v>-124620173.98</v>
          </cell>
        </row>
        <row r="1302">
          <cell r="A1302" t="str">
            <v>Bank Overdraft BOB 73280400000010</v>
          </cell>
          <cell r="B1302">
            <v>0</v>
          </cell>
          <cell r="C1302">
            <v>0</v>
          </cell>
          <cell r="D1302">
            <v>0</v>
          </cell>
          <cell r="E1302">
            <v>0</v>
          </cell>
          <cell r="G1302">
            <v>0</v>
          </cell>
        </row>
        <row r="1303">
          <cell r="A1303" t="str">
            <v>Bank PCFC BOB - EURO</v>
          </cell>
          <cell r="B1303">
            <v>0</v>
          </cell>
          <cell r="C1303">
            <v>0</v>
          </cell>
          <cell r="D1303">
            <v>0</v>
          </cell>
          <cell r="E1303">
            <v>0</v>
          </cell>
          <cell r="G1303">
            <v>0</v>
          </cell>
        </row>
        <row r="1304">
          <cell r="A1304" t="str">
            <v>Bank PCFC BOB-25380700000040- USD</v>
          </cell>
          <cell r="B1304">
            <v>0</v>
          </cell>
          <cell r="C1304">
            <v>0</v>
          </cell>
          <cell r="D1304">
            <v>0</v>
          </cell>
          <cell r="E1304">
            <v>0</v>
          </cell>
          <cell r="G1304">
            <v>0</v>
          </cell>
        </row>
        <row r="1305">
          <cell r="A1305" t="str">
            <v>Bill of Exchagne - RXIL Exchange</v>
          </cell>
          <cell r="B1305">
            <v>549499</v>
          </cell>
          <cell r="C1305">
            <v>0</v>
          </cell>
          <cell r="D1305">
            <v>0</v>
          </cell>
          <cell r="E1305">
            <v>549499</v>
          </cell>
          <cell r="G1305">
            <v>549499</v>
          </cell>
        </row>
        <row r="1306">
          <cell r="A1306" t="str">
            <v>Karnataka Bank EPC</v>
          </cell>
          <cell r="B1306">
            <v>-264850888</v>
          </cell>
          <cell r="C1306">
            <v>42480701</v>
          </cell>
          <cell r="D1306">
            <v>22878000</v>
          </cell>
          <cell r="E1306">
            <v>-245248187</v>
          </cell>
          <cell r="G1306">
            <v>-245248187</v>
          </cell>
        </row>
        <row r="1307">
          <cell r="A1307" t="str">
            <v>Karnataka Bank PCFCY00212600008</v>
          </cell>
          <cell r="B1307">
            <v>0</v>
          </cell>
          <cell r="C1307">
            <v>0</v>
          </cell>
          <cell r="D1307">
            <v>7437851</v>
          </cell>
          <cell r="E1307">
            <v>-7437851</v>
          </cell>
          <cell r="G1307">
            <v>-7437851</v>
          </cell>
        </row>
        <row r="1308">
          <cell r="A1308" t="str">
            <v>Karnataka Bank PCFCY00212600009</v>
          </cell>
          <cell r="B1308">
            <v>0</v>
          </cell>
          <cell r="C1308">
            <v>0</v>
          </cell>
          <cell r="D1308">
            <v>6136085</v>
          </cell>
          <cell r="E1308">
            <v>-6136085</v>
          </cell>
          <cell r="G1308">
            <v>-6136085</v>
          </cell>
        </row>
        <row r="1309">
          <cell r="A1309" t="str">
            <v>Pcfc Karnatak 00212500014</v>
          </cell>
          <cell r="B1309">
            <v>-16745374.66</v>
          </cell>
          <cell r="C1309">
            <v>0</v>
          </cell>
          <cell r="D1309">
            <v>0</v>
          </cell>
          <cell r="E1309">
            <v>-16745374.66</v>
          </cell>
          <cell r="G1309">
            <v>-16745374.66</v>
          </cell>
        </row>
        <row r="1310">
          <cell r="A1310" t="str">
            <v>Pcfc Karnatak 00212500015</v>
          </cell>
          <cell r="B1310">
            <v>-3784803.05</v>
          </cell>
          <cell r="C1310">
            <v>0</v>
          </cell>
          <cell r="D1310">
            <v>0</v>
          </cell>
          <cell r="E1310">
            <v>-3784803.05</v>
          </cell>
          <cell r="G1310">
            <v>-3784803.05</v>
          </cell>
        </row>
        <row r="1311">
          <cell r="A1311" t="str">
            <v>Pcfc Karnatak 00212500016</v>
          </cell>
          <cell r="B1311">
            <v>-14538782.1</v>
          </cell>
          <cell r="C1311">
            <v>0</v>
          </cell>
          <cell r="D1311">
            <v>0</v>
          </cell>
          <cell r="E1311">
            <v>-14538782.1</v>
          </cell>
          <cell r="G1311">
            <v>-14538782.1</v>
          </cell>
        </row>
        <row r="1312">
          <cell r="A1312" t="str">
            <v>Pcfcy Karnatak 00212600001</v>
          </cell>
          <cell r="B1312">
            <v>-3103131</v>
          </cell>
          <cell r="C1312">
            <v>0</v>
          </cell>
          <cell r="D1312">
            <v>0</v>
          </cell>
          <cell r="E1312">
            <v>-3103131</v>
          </cell>
          <cell r="G1312">
            <v>-3103131</v>
          </cell>
        </row>
        <row r="1313">
          <cell r="A1313" t="str">
            <v>Pcfcy Karnatak 00212600002</v>
          </cell>
          <cell r="B1313">
            <v>-12629931</v>
          </cell>
          <cell r="C1313">
            <v>0</v>
          </cell>
          <cell r="D1313">
            <v>0</v>
          </cell>
          <cell r="E1313">
            <v>-12629931</v>
          </cell>
          <cell r="G1313">
            <v>-12629931</v>
          </cell>
        </row>
        <row r="1314">
          <cell r="A1314" t="str">
            <v>Sales Bill Discounted Exports - Drip capital</v>
          </cell>
          <cell r="B1314">
            <v>655608.93999999994</v>
          </cell>
          <cell r="C1314">
            <v>0</v>
          </cell>
          <cell r="D1314">
            <v>0</v>
          </cell>
          <cell r="E1314">
            <v>655608.93999999994</v>
          </cell>
          <cell r="G1314">
            <v>655608.93999999994</v>
          </cell>
        </row>
        <row r="1315">
          <cell r="A1315" t="str">
            <v>Sales Bill Discounted Exports - India Factoring</v>
          </cell>
          <cell r="B1315">
            <v>3464.96</v>
          </cell>
          <cell r="C1315">
            <v>71410786.719999999</v>
          </cell>
          <cell r="D1315">
            <v>71410786.719999999</v>
          </cell>
          <cell r="E1315">
            <v>3464.96</v>
          </cell>
          <cell r="G1315">
            <v>3464.96</v>
          </cell>
        </row>
        <row r="1316">
          <cell r="A1316" t="str">
            <v>Sales Bill Discounted Exports - Mogli Labs Asia Private Limited</v>
          </cell>
          <cell r="B1316">
            <v>0</v>
          </cell>
          <cell r="C1316">
            <v>1910824.99</v>
          </cell>
          <cell r="D1316">
            <v>1910824.99</v>
          </cell>
          <cell r="E1316">
            <v>0</v>
          </cell>
          <cell r="G1316">
            <v>0</v>
          </cell>
        </row>
        <row r="1317">
          <cell r="A1317" t="str">
            <v>Sales Bill Discounted Exports - Shinhan</v>
          </cell>
          <cell r="B1317">
            <v>0</v>
          </cell>
          <cell r="C1317">
            <v>0</v>
          </cell>
          <cell r="D1317">
            <v>0</v>
          </cell>
          <cell r="E1317">
            <v>0</v>
          </cell>
          <cell r="G1317">
            <v>0</v>
          </cell>
        </row>
        <row r="1318">
          <cell r="A1318" t="str">
            <v>Union Bank PCFC - 000417220000003</v>
          </cell>
          <cell r="B1318">
            <v>-2618078.6</v>
          </cell>
          <cell r="C1318">
            <v>0</v>
          </cell>
          <cell r="D1318">
            <v>0</v>
          </cell>
          <cell r="E1318">
            <v>-2618078.6</v>
          </cell>
          <cell r="G1318">
            <v>-2618078.6</v>
          </cell>
        </row>
        <row r="1319">
          <cell r="A1319" t="str">
            <v>Union Bank PCFC - 312807220000031</v>
          </cell>
          <cell r="B1319">
            <v>-220384430.65000001</v>
          </cell>
          <cell r="C1319">
            <v>83393760.260000005</v>
          </cell>
          <cell r="D1319">
            <v>95602205</v>
          </cell>
          <cell r="E1319">
            <v>-232592875.38999999</v>
          </cell>
          <cell r="G1319">
            <v>-232592875.38999999</v>
          </cell>
        </row>
        <row r="1320">
          <cell r="A1320" t="str">
            <v>Plastene India ltd - HO-ICD</v>
          </cell>
          <cell r="B1320">
            <v>-817212928.11000001</v>
          </cell>
          <cell r="C1320">
            <v>0</v>
          </cell>
          <cell r="D1320">
            <v>0</v>
          </cell>
          <cell r="E1320">
            <v>-817212928.11000001</v>
          </cell>
          <cell r="G1320">
            <v>-817212928.11000001</v>
          </cell>
        </row>
        <row r="1321">
          <cell r="A1321" t="str">
            <v>Provision For Depreciation</v>
          </cell>
          <cell r="B1321">
            <v>-260850171.12</v>
          </cell>
          <cell r="C1321">
            <v>2246025</v>
          </cell>
          <cell r="D1321">
            <v>12586124</v>
          </cell>
          <cell r="E1321">
            <v>-271190270.12</v>
          </cell>
          <cell r="G1321">
            <v>-271190270.12</v>
          </cell>
        </row>
        <row r="1322">
          <cell r="A1322" t="str">
            <v>Provision For Expenses</v>
          </cell>
          <cell r="B1322">
            <v>-14666932</v>
          </cell>
          <cell r="C1322">
            <v>14658432</v>
          </cell>
          <cell r="D1322">
            <v>14206169.23</v>
          </cell>
          <cell r="E1322">
            <v>-14214669.23</v>
          </cell>
          <cell r="G1322">
            <v>-14214669.23</v>
          </cell>
        </row>
        <row r="1323">
          <cell r="A1323" t="str">
            <v>Provision For Leave Encashment</v>
          </cell>
          <cell r="B1323">
            <v>-1123027</v>
          </cell>
          <cell r="C1323">
            <v>0</v>
          </cell>
          <cell r="D1323">
            <v>0</v>
          </cell>
          <cell r="E1323">
            <v>-1123027</v>
          </cell>
          <cell r="G1323">
            <v>-1123027</v>
          </cell>
        </row>
        <row r="1324">
          <cell r="A1324" t="str">
            <v>Provision For Income Tax</v>
          </cell>
          <cell r="B1324">
            <v>-44079386.990000002</v>
          </cell>
          <cell r="C1324">
            <v>0</v>
          </cell>
          <cell r="D1324">
            <v>0</v>
          </cell>
          <cell r="E1324">
            <v>-44079386.990000002</v>
          </cell>
          <cell r="G1324">
            <v>-44079386.990000002</v>
          </cell>
        </row>
        <row r="1325">
          <cell r="A1325" t="str">
            <v>Profit And Loss Account</v>
          </cell>
          <cell r="B1325">
            <v>30173509.93</v>
          </cell>
          <cell r="C1325">
            <v>0</v>
          </cell>
          <cell r="D1325">
            <v>0.03</v>
          </cell>
          <cell r="E1325">
            <v>30173509.899999999</v>
          </cell>
          <cell r="G1325">
            <v>30173509.899999999</v>
          </cell>
        </row>
        <row r="1326">
          <cell r="A1326"/>
        </row>
        <row r="1330">
          <cell r="C1330">
            <v>13907978.379999999</v>
          </cell>
          <cell r="D1330">
            <v>740140</v>
          </cell>
          <cell r="E1330">
            <v>13167838.379999999</v>
          </cell>
          <cell r="F1330">
            <v>0</v>
          </cell>
          <cell r="G1330">
            <v>13167838.379999999</v>
          </cell>
        </row>
        <row r="1331">
          <cell r="G1331">
            <v>12320313.110000001</v>
          </cell>
        </row>
        <row r="1332">
          <cell r="G1332">
            <v>847525.26999999769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49.49075798611" createdVersion="8" refreshedVersion="8" minRefreshableVersion="3" recordCount="1324" xr:uid="{6AC21B6E-6BFD-435A-ADC6-52EFF4819C5A}">
  <cacheSource type="worksheet">
    <worksheetSource ref="A1:H1325" sheet="JUNE - TB -"/>
  </cacheSource>
  <cacheFields count="8">
    <cacheField name="Perticular" numFmtId="0">
      <sharedItems/>
    </cacheField>
    <cacheField name="Opening" numFmtId="0">
      <sharedItems containsSemiMixedTypes="0" containsString="0" containsNumber="1" minValue="-904527117" maxValue="1205388922.52"/>
    </cacheField>
    <cacheField name="Debit" numFmtId="0">
      <sharedItems containsSemiMixedTypes="0" containsString="0" containsNumber="1" minValue="0" maxValue="829545554.62"/>
    </cacheField>
    <cacheField name="Credit" numFmtId="0">
      <sharedItems containsSemiMixedTypes="0" containsString="0" containsNumber="1" minValue="0" maxValue="710920563.97000003"/>
    </cacheField>
    <cacheField name="Closing" numFmtId="0">
      <sharedItems containsSemiMixedTypes="0" containsString="0" containsNumber="1" minValue="-916113136" maxValue="1327139919.3699999"/>
    </cacheField>
    <cacheField name="Provision" numFmtId="0">
      <sharedItems containsString="0" containsBlank="1" containsNumber="1" containsInteger="1" minValue="-10733989" maxValue="1322071"/>
    </cacheField>
    <cacheField name="Total" numFmtId="0">
      <sharedItems containsSemiMixedTypes="0" containsString="0" containsNumber="1" minValue="-916113136" maxValue="1327139919.3699999"/>
    </cacheField>
    <cacheField name="Title" numFmtId="0">
      <sharedItems count="30">
        <s v="Not Applicable"/>
        <s v="Interest Expense - Other"/>
        <s v="Add: Purchase expenses"/>
        <s v="Other Administrative Expenses"/>
        <s v="Labour charges"/>
        <s v="Power and fuel"/>
        <s v="Jobwork charges "/>
        <s v="Freight Outward and C &amp; F Charges"/>
        <s v="Other Manufacturing Expenses"/>
        <s v="Add: Purchase of raw materials"/>
        <s v="Add: Purchase of packing materials"/>
        <s v="Add: Purchase of Stores, Spares &amp; Consumables"/>
        <s v="Conveyance, vehicle running and traveling expenses"/>
        <s v="Travelling expense"/>
        <s v="Depreciation"/>
        <s v="Staff welfare expenses"/>
        <s v="Contribution to provident and other funds"/>
        <s v="Salaries, wages and  bonus "/>
        <s v="Bank Charges &amp; Commission"/>
        <s v="Exchange Rate Difference"/>
        <s v="Interest on Term Loan"/>
        <s v="Interest on Working Capital &amp; Term Loan"/>
        <s v="Insurance"/>
        <s v="Sale of Finished Goods"/>
        <s v="Income from Jobwork charges"/>
        <s v="Rent Income"/>
        <s v="Sale of traded goods"/>
        <s v="Sales - Waste &amp; Scrape"/>
        <s v="Profit on sale of fixed assets"/>
        <s v="Sundry balance written off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24">
  <r>
    <s v="TDS Receivable 2022-23"/>
    <n v="-418818"/>
    <n v="0"/>
    <n v="0"/>
    <n v="-418818"/>
    <m/>
    <n v="-418818"/>
    <x v="0"/>
  </r>
  <r>
    <s v="TDS Receivable 2023-24"/>
    <n v="66480"/>
    <n v="0"/>
    <n v="0"/>
    <n v="66480"/>
    <m/>
    <n v="66480"/>
    <x v="0"/>
  </r>
  <r>
    <s v="Tds Receivable 2024-25"/>
    <n v="1767704.75"/>
    <n v="0"/>
    <n v="0"/>
    <n v="1767704.75"/>
    <m/>
    <n v="1767704.75"/>
    <x v="0"/>
  </r>
  <r>
    <s v="Tds Receivable 2025-26"/>
    <n v="1324336.43"/>
    <n v="1788.8"/>
    <n v="0"/>
    <n v="1326125.23"/>
    <m/>
    <n v="1326125.23"/>
    <x v="0"/>
  </r>
  <r>
    <s v="Tds Receivable 2026-27"/>
    <n v="0"/>
    <n v="695424.7"/>
    <n v="0"/>
    <n v="695424.7"/>
    <m/>
    <n v="695424.7"/>
    <x v="0"/>
  </r>
  <r>
    <s v="Bank FDR BOB 73280300000558"/>
    <n v="2176060"/>
    <n v="0"/>
    <n v="0"/>
    <n v="2176060"/>
    <m/>
    <n v="2176060"/>
    <x v="0"/>
  </r>
  <r>
    <s v="Bank Fdr Bob 73280300001203"/>
    <n v="2589775"/>
    <n v="0"/>
    <n v="0"/>
    <n v="2589775"/>
    <m/>
    <n v="2589775"/>
    <x v="0"/>
  </r>
  <r>
    <s v="Bank FDR BOB 73280300001224"/>
    <n v="6100000"/>
    <n v="0"/>
    <n v="6177119"/>
    <n v="-77119"/>
    <m/>
    <n v="-77119"/>
    <x v="0"/>
  </r>
  <r>
    <s v="Bank Fdr Bob 73280300001261"/>
    <n v="60017754"/>
    <n v="0"/>
    <n v="60142043"/>
    <n v="-124289"/>
    <m/>
    <n v="-124289"/>
    <x v="0"/>
  </r>
  <r>
    <s v="Bank FDR The Karnataka Bank Ltd - 0021152400022801"/>
    <n v="2300953"/>
    <n v="33543"/>
    <n v="0"/>
    <n v="2334496"/>
    <m/>
    <n v="2334496"/>
    <x v="0"/>
  </r>
  <r>
    <s v="Bank Fdr The Karnataka Bank Ltd - 021152600003001"/>
    <n v="50000000"/>
    <n v="0"/>
    <n v="532910"/>
    <n v="49467090"/>
    <m/>
    <n v="49467090"/>
    <x v="0"/>
  </r>
  <r>
    <s v="Bank Fdr The Karnataka Bank Ltd - 021152600005001"/>
    <n v="13000000"/>
    <n v="0"/>
    <n v="153952"/>
    <n v="12846048"/>
    <m/>
    <n v="12846048"/>
    <x v="0"/>
  </r>
  <r>
    <s v="Bank FDR BOB 73280300000187"/>
    <n v="12658"/>
    <n v="0"/>
    <n v="0"/>
    <n v="12658"/>
    <m/>
    <n v="12658"/>
    <x v="0"/>
  </r>
  <r>
    <s v="Cash in Hand-HO"/>
    <n v="895"/>
    <n v="200000"/>
    <n v="119654"/>
    <n v="81241"/>
    <m/>
    <n v="81241"/>
    <x v="0"/>
  </r>
  <r>
    <s v="Cash in Hand-Factory"/>
    <n v="41258.14"/>
    <n v="900000"/>
    <n v="886216"/>
    <n v="55042.14"/>
    <m/>
    <n v="55042.14"/>
    <x v="0"/>
  </r>
  <r>
    <s v="Investment in Vera Synthetics Ltd"/>
    <n v="5175000"/>
    <n v="0"/>
    <n v="0"/>
    <n v="5175000"/>
    <m/>
    <n v="5175000"/>
    <x v="0"/>
  </r>
  <r>
    <s v="Investment In Mutual Fund (Bank Of Baroda)"/>
    <n v="0"/>
    <n v="0"/>
    <n v="0"/>
    <n v="0"/>
    <m/>
    <n v="0"/>
    <x v="0"/>
  </r>
  <r>
    <s v="Bank CA SBI 32181198198"/>
    <n v="0"/>
    <n v="0"/>
    <n v="0"/>
    <n v="0"/>
    <m/>
    <n v="0"/>
    <x v="0"/>
  </r>
  <r>
    <s v="Bank CA HDFC CE Clarification Pending"/>
    <n v="0.06"/>
    <n v="0"/>
    <n v="0"/>
    <n v="0.06"/>
    <m/>
    <n v="0.06"/>
    <x v="0"/>
  </r>
  <r>
    <s v="Bank CA HDFC 50200024330191"/>
    <n v="0.01"/>
    <n v="0"/>
    <n v="0"/>
    <n v="0.01"/>
    <m/>
    <n v="0.01"/>
    <x v="0"/>
  </r>
  <r>
    <s v="Bank CA BOB EEFC USD 25380200001346"/>
    <n v="1205388922.52"/>
    <n v="169737414.84999999"/>
    <n v="47986418"/>
    <n v="1327139919.3699999"/>
    <m/>
    <n v="1327139919.3699999"/>
    <x v="0"/>
  </r>
  <r>
    <s v="Bank CA BOB 25380200000283"/>
    <n v="0"/>
    <n v="0"/>
    <n v="0"/>
    <n v="0"/>
    <m/>
    <n v="0"/>
    <x v="0"/>
  </r>
  <r>
    <s v="TDS Receivable 2021-22"/>
    <n v="0"/>
    <n v="0"/>
    <n v="0"/>
    <n v="0"/>
    <m/>
    <n v="0"/>
    <x v="0"/>
  </r>
  <r>
    <s v="TDS Receivable 2020-21"/>
    <n v="0"/>
    <n v="0"/>
    <n v="0"/>
    <n v="0"/>
    <m/>
    <n v="0"/>
    <x v="0"/>
  </r>
  <r>
    <s v="CGST Input"/>
    <n v="0"/>
    <n v="27386778.690000001"/>
    <n v="27386913.690000001"/>
    <n v="-135"/>
    <m/>
    <n v="-135"/>
    <x v="0"/>
  </r>
  <r>
    <s v="Tcs On Purchase 25-26"/>
    <n v="1335.22"/>
    <n v="0"/>
    <n v="0"/>
    <n v="1335.22"/>
    <m/>
    <n v="1335.22"/>
    <x v="0"/>
  </r>
  <r>
    <s v="IGST Input"/>
    <n v="1271337"/>
    <n v="14115852.07"/>
    <n v="15387189.07"/>
    <n v="0"/>
    <m/>
    <n v="0"/>
    <x v="0"/>
  </r>
  <r>
    <s v="SGST Input"/>
    <n v="0"/>
    <n v="27386778.789999999"/>
    <n v="27386913.789999999"/>
    <n v="-135"/>
    <m/>
    <n v="-135"/>
    <x v="0"/>
  </r>
  <r>
    <s v="Tcs On Purchase 24-25"/>
    <n v="30286.3"/>
    <n v="0"/>
    <n v="0"/>
    <n v="30286.3"/>
    <m/>
    <n v="30286.3"/>
    <x v="0"/>
  </r>
  <r>
    <s v="TCS On Purchase 23-24"/>
    <n v="1151"/>
    <n v="0"/>
    <n v="0"/>
    <n v="1151"/>
    <m/>
    <n v="1151"/>
    <x v="0"/>
  </r>
  <r>
    <s v="IGST Refund Receivable Under Rebate"/>
    <n v="23664031.890000001"/>
    <n v="23360894.879999999"/>
    <n v="30120313.550000001"/>
    <n v="16904613.219999999"/>
    <m/>
    <n v="16904613.219999999"/>
    <x v="0"/>
  </r>
  <r>
    <s v="K.P. Woven Pvt Ltd - Unit 2 - For Gst Balance Only"/>
    <n v="-26904578.440000001"/>
    <n v="0"/>
    <n v="0"/>
    <n v="-26904578.440000001"/>
    <m/>
    <n v="-26904578.440000001"/>
    <x v="0"/>
  </r>
  <r>
    <s v="K.P. Woven Pvt Ltd - Unit II (Nani Chirai) - For Gst Balance Only"/>
    <n v="-85919.34"/>
    <n v="0"/>
    <n v="0"/>
    <n v="-85919.34"/>
    <m/>
    <n v="-85919.34"/>
    <x v="0"/>
  </r>
  <r>
    <s v="TCS On Purchase 22-23"/>
    <n v="-18585.939999999999"/>
    <n v="0"/>
    <n v="0"/>
    <n v="-18585.939999999999"/>
    <m/>
    <n v="-18585.939999999999"/>
    <x v="0"/>
  </r>
  <r>
    <s v="TCS On Purchase 21-22"/>
    <n v="0"/>
    <n v="0"/>
    <n v="0"/>
    <n v="0"/>
    <m/>
    <n v="0"/>
    <x v="0"/>
  </r>
  <r>
    <s v="TCS On Purchase 20-21"/>
    <n v="0"/>
    <n v="0"/>
    <n v="0"/>
    <n v="0"/>
    <m/>
    <n v="0"/>
    <x v="0"/>
  </r>
  <r>
    <s v="Income Tax Refund Receivable"/>
    <n v="108787"/>
    <n v="0"/>
    <n v="0"/>
    <n v="108787"/>
    <m/>
    <n v="108787"/>
    <x v="0"/>
  </r>
  <r>
    <s v="Income Tax Ay 2016-17"/>
    <n v="2200000"/>
    <n v="0"/>
    <n v="0"/>
    <n v="2200000"/>
    <m/>
    <n v="2200000"/>
    <x v="0"/>
  </r>
  <r>
    <s v="Income Tax Ay 2014-15"/>
    <n v="1607000"/>
    <n v="0"/>
    <n v="0"/>
    <n v="1607000"/>
    <m/>
    <n v="1607000"/>
    <x v="0"/>
  </r>
  <r>
    <s v="Duty Clearing Account"/>
    <n v="0"/>
    <n v="12022374"/>
    <n v="12022374"/>
    <n v="0"/>
    <m/>
    <n v="0"/>
    <x v="0"/>
  </r>
  <r>
    <s v="Security Deposit - GIDC Sanand (Water)"/>
    <n v="222566"/>
    <n v="0"/>
    <n v="0"/>
    <n v="222566"/>
    <m/>
    <n v="222566"/>
    <x v="0"/>
  </r>
  <r>
    <s v="Security Deposit - Tree Plantation"/>
    <n v="173552"/>
    <n v="0"/>
    <n v="0"/>
    <n v="173552"/>
    <m/>
    <n v="173552"/>
    <x v="0"/>
  </r>
  <r>
    <s v="Security Deposit UGVCL - PNB 0170100P00026638"/>
    <n v="1600000"/>
    <n v="0"/>
    <n v="0"/>
    <n v="1600000"/>
    <m/>
    <n v="1600000"/>
    <x v="0"/>
  </r>
  <r>
    <s v="Inventory- Raw Material"/>
    <n v="54931400"/>
    <n v="0"/>
    <n v="0"/>
    <n v="54931400"/>
    <m/>
    <n v="54931400"/>
    <x v="0"/>
  </r>
  <r>
    <s v="Inventory- Packing Material"/>
    <n v="243605.52"/>
    <n v="0"/>
    <n v="0"/>
    <n v="243605.52"/>
    <m/>
    <n v="243605.52"/>
    <x v="0"/>
  </r>
  <r>
    <s v="Inventory- Fg"/>
    <n v="60587491.689999998"/>
    <n v="0"/>
    <n v="0"/>
    <n v="60587491.689999998"/>
    <m/>
    <n v="60587491.689999998"/>
    <x v="0"/>
  </r>
  <r>
    <s v="Raj Singh Shaktawat Kpw - Imprest A/C"/>
    <n v="5100"/>
    <n v="44000"/>
    <n v="45606"/>
    <n v="3494"/>
    <m/>
    <n v="3494"/>
    <x v="0"/>
  </r>
  <r>
    <s v="Inventory- Consumables"/>
    <n v="12166394.48"/>
    <n v="0"/>
    <n v="0"/>
    <n v="12166394.48"/>
    <m/>
    <n v="12166394.48"/>
    <x v="0"/>
  </r>
  <r>
    <s v="RODTEP SCRIPT"/>
    <n v="217112"/>
    <n v="0"/>
    <n v="0"/>
    <n v="217112"/>
    <m/>
    <n v="217112"/>
    <x v="0"/>
  </r>
  <r>
    <s v="Stock In Transit"/>
    <n v="-651515"/>
    <n v="0"/>
    <n v="0"/>
    <n v="-651515"/>
    <m/>
    <n v="-651515"/>
    <x v="0"/>
  </r>
  <r>
    <s v="A.F.Traders"/>
    <n v="107.89"/>
    <n v="0"/>
    <n v="0"/>
    <n v="107.89"/>
    <m/>
    <n v="107.89"/>
    <x v="0"/>
  </r>
  <r>
    <s v="Aarohi Trading Co."/>
    <n v="0"/>
    <n v="0"/>
    <n v="0"/>
    <n v="0"/>
    <m/>
    <n v="0"/>
    <x v="0"/>
  </r>
  <r>
    <s v="Akshay Trading Co"/>
    <n v="51907.76"/>
    <n v="0"/>
    <n v="51907.76"/>
    <n v="0"/>
    <m/>
    <n v="0"/>
    <x v="0"/>
  </r>
  <r>
    <s v="Alpine Fibc Pvt Ltd - Sales"/>
    <n v="-0.2"/>
    <n v="0.2"/>
    <n v="0"/>
    <n v="0"/>
    <m/>
    <n v="0"/>
    <x v="0"/>
  </r>
  <r>
    <s v="Ambica Sales"/>
    <n v="0"/>
    <n v="0"/>
    <n v="0"/>
    <n v="0"/>
    <m/>
    <n v="0"/>
    <x v="0"/>
  </r>
  <r>
    <s v="APB Industries Private Limited"/>
    <n v="-10.19"/>
    <n v="10.19"/>
    <n v="0"/>
    <n v="0"/>
    <m/>
    <n v="0"/>
    <x v="0"/>
  </r>
  <r>
    <s v="Inventory- Wip"/>
    <n v="289971000"/>
    <n v="0"/>
    <n v="0"/>
    <n v="289971000"/>
    <m/>
    <n v="289971000"/>
    <x v="0"/>
  </r>
  <r>
    <s v="Amira Tanna Industries Private Limited"/>
    <n v="120000000"/>
    <n v="0"/>
    <n v="120000000"/>
    <n v="0"/>
    <m/>
    <n v="0"/>
    <x v="0"/>
  </r>
  <r>
    <s v="Shamalbhai Kuberbhai Patel"/>
    <n v="788480"/>
    <n v="0"/>
    <n v="0"/>
    <n v="788480"/>
    <m/>
    <n v="788480"/>
    <x v="0"/>
  </r>
  <r>
    <s v="Unclaimed CGST"/>
    <n v="761067.47"/>
    <n v="246644.52"/>
    <n v="740821.64"/>
    <n v="266890.34999999998"/>
    <m/>
    <n v="266890.34999999998"/>
    <x v="0"/>
  </r>
  <r>
    <s v="Balaji Formalin Private Limited"/>
    <n v="6490.1"/>
    <n v="1518890.1"/>
    <n v="0"/>
    <n v="1525380.2"/>
    <m/>
    <n v="1525380.2"/>
    <x v="0"/>
  </r>
  <r>
    <s v="Unclaimed IGST"/>
    <n v="227369.96"/>
    <n v="186427.62"/>
    <n v="392262.7"/>
    <n v="21534.880000000001"/>
    <m/>
    <n v="21534.880000000001"/>
    <x v="0"/>
  </r>
  <r>
    <s v="Unclaimed SGST"/>
    <n v="761067.47"/>
    <n v="246644.52"/>
    <n v="740821.64"/>
    <n v="266890.34999999998"/>
    <m/>
    <n v="266890.34999999998"/>
    <x v="0"/>
  </r>
  <r>
    <s v="Insurance Claim Receivable"/>
    <n v="-3821334"/>
    <n v="0"/>
    <n v="0"/>
    <n v="-3821334"/>
    <m/>
    <n v="-3821334"/>
    <x v="0"/>
  </r>
  <r>
    <s v="GST Credit-Non Eligible"/>
    <n v="0"/>
    <n v="36033.040000000001"/>
    <n v="36033.040000000001"/>
    <n v="0"/>
    <m/>
    <n v="0"/>
    <x v="0"/>
  </r>
  <r>
    <s v="GST Electronic Cash Ledger"/>
    <n v="1171.99"/>
    <n v="34715983"/>
    <n v="34715980.5"/>
    <n v="1174.49"/>
    <m/>
    <n v="1174.49"/>
    <x v="0"/>
  </r>
  <r>
    <s v="GST Receivable"/>
    <n v="-86936.05"/>
    <n v="72582244.010000005"/>
    <n v="65439925.799999997"/>
    <n v="7055382.1600000001"/>
    <m/>
    <n v="7055382.1600000001"/>
    <x v="0"/>
  </r>
  <r>
    <s v="Emmbi Industries Limited"/>
    <n v="0"/>
    <n v="0"/>
    <n v="0"/>
    <n v="0"/>
    <m/>
    <n v="0"/>
    <x v="0"/>
  </r>
  <r>
    <s v="Flexochem Ventures Private Limited"/>
    <n v="848480.5"/>
    <n v="379434.5"/>
    <n v="989725"/>
    <n v="238190"/>
    <m/>
    <n v="238190"/>
    <x v="0"/>
  </r>
  <r>
    <s v="Export Advance Licence Benifit Accured"/>
    <n v="407065.63"/>
    <n v="0"/>
    <n v="0"/>
    <n v="407065.63"/>
    <m/>
    <n v="407065.63"/>
    <x v="0"/>
  </r>
  <r>
    <s v="Oliva Garden S.A. - ICD"/>
    <n v="7359905.7999999998"/>
    <n v="0"/>
    <n v="0"/>
    <n v="7359905.7999999998"/>
    <m/>
    <n v="7359905.7999999998"/>
    <x v="0"/>
  </r>
  <r>
    <s v="Prepaid Expenses"/>
    <n v="-7246.93"/>
    <n v="220823"/>
    <n v="0"/>
    <n v="213576.07"/>
    <m/>
    <n v="213576.07"/>
    <x v="0"/>
  </r>
  <r>
    <s v="Prepaid Insurance"/>
    <n v="1986677"/>
    <n v="12002"/>
    <n v="342799"/>
    <n v="1655880"/>
    <m/>
    <n v="1655880"/>
    <x v="0"/>
  </r>
  <r>
    <s v="Gujarat Fluorochemicals Limited (EOU)"/>
    <n v="-913045"/>
    <n v="913909.9"/>
    <n v="865"/>
    <n v="-0.1"/>
    <m/>
    <n v="-0.1"/>
    <x v="0"/>
  </r>
  <r>
    <s v="Gujarat Narmada Valley Fertilizers &amp; Chemicals Limited"/>
    <n v="-711.75"/>
    <n v="711.75"/>
    <n v="0"/>
    <n v="0"/>
    <m/>
    <n v="0"/>
    <x v="0"/>
  </r>
  <r>
    <s v="Gujarat State Fertilizer &amp; Chemicals Ltd  24AAACG7996C1ZJ"/>
    <n v="1112150.8999999999"/>
    <n v="0"/>
    <n v="1112150"/>
    <n v="0.9"/>
    <m/>
    <n v="0.9"/>
    <x v="0"/>
  </r>
  <r>
    <s v="Gulbrandsen Private Limited"/>
    <n v="-10480.76"/>
    <n v="0"/>
    <n v="0"/>
    <n v="-10480.76"/>
    <m/>
    <n v="-10480.76"/>
    <x v="0"/>
  </r>
  <r>
    <s v="Gulbrandsen Technologies India Pvt Ltd"/>
    <n v="0.04"/>
    <n v="1398831"/>
    <n v="972261.49"/>
    <n v="426569.55"/>
    <m/>
    <n v="426569.55"/>
    <x v="0"/>
  </r>
  <r>
    <s v="HCP Enterprise Ltd-Sales"/>
    <n v="1886778.93"/>
    <n v="0"/>
    <n v="0"/>
    <n v="1886778.93"/>
    <m/>
    <n v="1886778.93"/>
    <x v="0"/>
  </r>
  <r>
    <s v="HCP Plastene Bulkpack Limited - Sales"/>
    <n v="42723370.759999998"/>
    <n v="68826078.469999999"/>
    <n v="148331676"/>
    <n v="-36782226.770000003"/>
    <m/>
    <n v="-36782226.770000003"/>
    <x v="0"/>
  </r>
  <r>
    <s v="Hcp Plastene Bulkpack Ltd (Unit Iv) - Sales"/>
    <n v="-6977160"/>
    <n v="1279459.81"/>
    <n v="0"/>
    <n v="-5697700.1900000004"/>
    <m/>
    <n v="-5697700.1900000004"/>
    <x v="0"/>
  </r>
  <r>
    <s v="HCP Plastene Bulkpack Ltd (Unit-III) - Sales"/>
    <n v="0"/>
    <n v="0"/>
    <n v="0"/>
    <n v="0"/>
    <m/>
    <n v="0"/>
    <x v="0"/>
  </r>
  <r>
    <s v="Hcp Plastene Bulkpack Ltd Vadodara-Sales"/>
    <n v="19769297.699999999"/>
    <n v="34184464.280000001"/>
    <n v="8145893.4299999997"/>
    <n v="45807868.549999997"/>
    <m/>
    <n v="45807868.549999997"/>
    <x v="0"/>
  </r>
  <r>
    <s v="Hd Microns Limited"/>
    <n v="-0.4"/>
    <n v="0.4"/>
    <n v="0"/>
    <n v="0"/>
    <m/>
    <n v="0"/>
    <x v="0"/>
  </r>
  <r>
    <s v="Hi Tech Speciality Fabrics Export"/>
    <n v="-1888"/>
    <n v="0"/>
    <n v="0"/>
    <n v="-1888"/>
    <m/>
    <n v="-1888"/>
    <x v="0"/>
  </r>
  <r>
    <s v="Indofil Industries Limited - 24AABCI4568D1ZS"/>
    <n v="595"/>
    <n v="702100"/>
    <n v="701505"/>
    <n v="1190"/>
    <m/>
    <n v="1190"/>
    <x v="0"/>
  </r>
  <r>
    <s v="Indofil Industries Limited - 24AABCI4568D2ZR"/>
    <n v="1851351"/>
    <n v="0"/>
    <n v="1848150"/>
    <n v="3201"/>
    <m/>
    <n v="3201"/>
    <x v="0"/>
  </r>
  <r>
    <s v="Indralok Fabrics Pvt Ltd - Sales"/>
    <n v="-0.71"/>
    <n v="0.71"/>
    <n v="0"/>
    <n v="0"/>
    <m/>
    <n v="0"/>
    <x v="0"/>
  </r>
  <r>
    <s v="Isbir Mewar Bulk Bag Private Limited"/>
    <n v="1313148.6599999999"/>
    <n v="1412948.52"/>
    <n v="2503983"/>
    <n v="222114.18"/>
    <m/>
    <n v="222114.18"/>
    <x v="0"/>
  </r>
  <r>
    <s v="RCM - CGST Credit"/>
    <n v="0"/>
    <n v="282473"/>
    <n v="282473"/>
    <n v="0"/>
    <m/>
    <n v="0"/>
    <x v="0"/>
  </r>
  <r>
    <s v="RCM - IGST Credit"/>
    <n v="0"/>
    <n v="1271337"/>
    <n v="1271337"/>
    <n v="0"/>
    <m/>
    <n v="0"/>
    <x v="0"/>
  </r>
  <r>
    <s v="K.P. Woven Pvt Ltd - Unit 2 (Nani Chirai) -Sales"/>
    <n v="-2411133.14"/>
    <n v="0"/>
    <n v="0"/>
    <n v="-2411133.14"/>
    <m/>
    <n v="-2411133.14"/>
    <x v="0"/>
  </r>
  <r>
    <s v="K.P. Woven Pvt Ltd - Unit 2 -Sales"/>
    <n v="59634946.859999999"/>
    <n v="0"/>
    <n v="0"/>
    <n v="59634946.859999999"/>
    <m/>
    <n v="59634946.859999999"/>
    <x v="0"/>
  </r>
  <r>
    <s v="K.P. Woven Pvt Ltd - Unit 3 -Sales"/>
    <n v="-135139036.13"/>
    <n v="0"/>
    <n v="641232.61"/>
    <n v="-135780268.74000001"/>
    <m/>
    <n v="-135780268.74000001"/>
    <x v="0"/>
  </r>
  <r>
    <s v="RCM - SGST Credit"/>
    <n v="0"/>
    <n v="282473"/>
    <n v="282473"/>
    <n v="0"/>
    <m/>
    <n v="0"/>
    <x v="0"/>
  </r>
  <r>
    <s v="Loan -Paresh Tiwari"/>
    <n v="37500"/>
    <n v="200000"/>
    <n v="0"/>
    <n v="237500"/>
    <m/>
    <n v="237500"/>
    <x v="0"/>
  </r>
  <r>
    <s v="Lorenz Snacks India Private Limited"/>
    <n v="0"/>
    <n v="47200"/>
    <n v="47200"/>
    <n v="0"/>
    <m/>
    <n v="0"/>
    <x v="0"/>
  </r>
  <r>
    <s v="M B And Sons"/>
    <n v="9045.1299999999992"/>
    <n v="0"/>
    <n v="0"/>
    <n v="9045.1299999999992"/>
    <m/>
    <n v="9045.1299999999992"/>
    <x v="0"/>
  </r>
  <r>
    <s v="M D PLASTIC"/>
    <n v="0"/>
    <n v="2582010"/>
    <n v="0"/>
    <n v="2582010"/>
    <m/>
    <n v="2582010"/>
    <x v="0"/>
  </r>
  <r>
    <s v="Macfil Global Private Limited - Sales"/>
    <n v="2052.5"/>
    <n v="0"/>
    <n v="0"/>
    <n v="2052.5"/>
    <m/>
    <n v="2052.5"/>
    <x v="0"/>
  </r>
  <r>
    <s v="Macfil Industries - Sales"/>
    <n v="0"/>
    <n v="0"/>
    <n v="3540000"/>
    <n v="-3540000"/>
    <m/>
    <n v="-3540000"/>
    <x v="0"/>
  </r>
  <r>
    <s v="Mahak Plastic Industries Unit-2"/>
    <n v="1698.8"/>
    <n v="0"/>
    <n v="1698.8"/>
    <n v="0"/>
    <m/>
    <n v="0"/>
    <x v="0"/>
  </r>
  <r>
    <s v="Mangal Polysacks Pvt Ltd"/>
    <n v="0"/>
    <n v="0"/>
    <n v="0"/>
    <n v="0"/>
    <m/>
    <n v="0"/>
    <x v="0"/>
  </r>
  <r>
    <s v="Loan -Rakesh Tiwari"/>
    <n v="222030"/>
    <n v="43000"/>
    <n v="43000"/>
    <n v="222030"/>
    <m/>
    <n v="222030"/>
    <x v="0"/>
  </r>
  <r>
    <s v="Staff Loan"/>
    <n v="1475496"/>
    <n v="1397000"/>
    <n v="1016213"/>
    <n v="1856283"/>
    <m/>
    <n v="1856283"/>
    <x v="0"/>
  </r>
  <r>
    <s v="Tushar Prajapati  Imprest A/C"/>
    <n v="5000"/>
    <n v="0"/>
    <n v="0"/>
    <n v="5000"/>
    <m/>
    <n v="5000"/>
    <x v="0"/>
  </r>
  <r>
    <s v="20 Microns Limited- Alwar"/>
    <n v="0"/>
    <n v="0"/>
    <n v="0"/>
    <n v="0"/>
    <m/>
    <n v="0"/>
    <x v="0"/>
  </r>
  <r>
    <s v="Archit Organosys Limited"/>
    <n v="478152.9"/>
    <n v="225380"/>
    <n v="478490"/>
    <n v="225042.9"/>
    <m/>
    <n v="225042.9"/>
    <x v="0"/>
  </r>
  <r>
    <s v="Olive Industries - Sales"/>
    <n v="0"/>
    <n v="62985.3"/>
    <n v="0"/>
    <n v="62985.3"/>
    <m/>
    <n v="62985.3"/>
    <x v="0"/>
  </r>
  <r>
    <s v="Om Shivay Industries Private Limited"/>
    <n v="0"/>
    <n v="3823200"/>
    <n v="0"/>
    <n v="3823200"/>
    <m/>
    <n v="3823200"/>
    <x v="0"/>
  </r>
  <r>
    <s v="Oswal Extrusion Ltd - HO-Sales"/>
    <n v="0"/>
    <n v="0"/>
    <n v="0"/>
    <n v="0"/>
    <m/>
    <n v="0"/>
    <x v="0"/>
  </r>
  <r>
    <s v="Oxipack Industries- 24BRVPP1229D1ZQ"/>
    <n v="419071.58"/>
    <n v="0"/>
    <n v="419071"/>
    <n v="0.57999999999999996"/>
    <m/>
    <n v="0.57999999999999996"/>
    <x v="0"/>
  </r>
  <r>
    <s v="Asia Bulk Sack Pvt Ltd - Sales"/>
    <n v="-1.05"/>
    <n v="1.05"/>
    <n v="0"/>
    <n v="0"/>
    <m/>
    <n v="0"/>
    <x v="0"/>
  </r>
  <r>
    <s v="Avesta Pharma Pvt Ltd"/>
    <n v="0"/>
    <n v="0"/>
    <n v="0"/>
    <n v="0"/>
    <m/>
    <n v="0"/>
    <x v="0"/>
  </r>
  <r>
    <s v="Avira Naturals Pvt Ltd- Sales"/>
    <n v="0"/>
    <n v="0"/>
    <n v="0"/>
    <n v="0"/>
    <m/>
    <n v="0"/>
    <x v="0"/>
  </r>
  <r>
    <s v="Accrued Interest -FDR"/>
    <n v="35987"/>
    <n v="0"/>
    <n v="0"/>
    <n v="35987"/>
    <m/>
    <n v="35987"/>
    <x v="1"/>
  </r>
  <r>
    <s v="Bhagwati Polyweave Private Limited"/>
    <n v="-2088.6999999999998"/>
    <n v="0"/>
    <n v="0"/>
    <n v="-2088.6999999999998"/>
    <m/>
    <n v="-2088.6999999999998"/>
    <x v="0"/>
  </r>
  <r>
    <s v="Bhagwati Products"/>
    <n v="0"/>
    <n v="0"/>
    <n v="0"/>
    <n v="0"/>
    <m/>
    <n v="0"/>
    <x v="0"/>
  </r>
  <r>
    <s v="PI Industries Limited - 24AABCP2183M2ZA"/>
    <n v="675"/>
    <n v="0"/>
    <n v="0"/>
    <n v="675"/>
    <m/>
    <n v="675"/>
    <x v="0"/>
  </r>
  <r>
    <s v="PI Industries Limited - 24AABCP2183M3Z9"/>
    <n v="4692.88"/>
    <n v="0"/>
    <n v="0"/>
    <n v="4692.88"/>
    <m/>
    <n v="4692.88"/>
    <x v="0"/>
  </r>
  <r>
    <s v="PI Polyblendz Private Limited"/>
    <n v="1789930"/>
    <n v="0"/>
    <n v="1300965"/>
    <n v="488965"/>
    <m/>
    <n v="488965"/>
    <x v="0"/>
  </r>
  <r>
    <s v="Plastene India ltd - HO-Sales"/>
    <n v="0"/>
    <n v="0"/>
    <n v="0"/>
    <n v="0"/>
    <m/>
    <n v="0"/>
    <x v="0"/>
  </r>
  <r>
    <s v="Plastene India ltd - Unit 1-Sales"/>
    <n v="-267736696.16"/>
    <n v="398998026.29000002"/>
    <n v="382072625.60000002"/>
    <n v="-250811295.47"/>
    <m/>
    <n v="-250811295.47"/>
    <x v="0"/>
  </r>
  <r>
    <s v="Plastene India ltd - Unit 2-Sales"/>
    <n v="1168786097.95"/>
    <n v="95743360.760000005"/>
    <n v="7700"/>
    <n v="1264521758.71"/>
    <m/>
    <n v="1264521758.71"/>
    <x v="0"/>
  </r>
  <r>
    <s v="Plastene India ltd - Unit 6-Sales"/>
    <n v="438946147.27999997"/>
    <n v="0"/>
    <n v="0"/>
    <n v="438946147.27999997"/>
    <m/>
    <n v="438946147.27999997"/>
    <x v="0"/>
  </r>
  <r>
    <s v="Plastene Polyfilms Ltd-Sales"/>
    <n v="14316309.33"/>
    <n v="49175815.770000003"/>
    <n v="9000000"/>
    <n v="54492125.100000001"/>
    <m/>
    <n v="54492125.100000001"/>
    <x v="0"/>
  </r>
  <r>
    <s v="Polytech International Pvt. Ltd"/>
    <n v="0"/>
    <n v="0"/>
    <n v="0"/>
    <n v="0"/>
    <m/>
    <n v="0"/>
    <x v="0"/>
  </r>
  <r>
    <s v="Raajratna Metal Industries Limited"/>
    <n v="0"/>
    <n v="138296"/>
    <n v="138296"/>
    <n v="0"/>
    <m/>
    <n v="0"/>
    <x v="0"/>
  </r>
  <r>
    <s v="Ratnam Polymers"/>
    <n v="0"/>
    <n v="204912.9"/>
    <n v="204913"/>
    <n v="-0.1"/>
    <m/>
    <n v="-0.1"/>
    <x v="0"/>
  </r>
  <r>
    <s v="Rfbl Flexi Pack Limited"/>
    <n v="-10432411.42"/>
    <n v="9636358.9199999999"/>
    <n v="0"/>
    <n v="-796052.5"/>
    <m/>
    <n v="-796052.5"/>
    <x v="0"/>
  </r>
  <r>
    <s v="Rishi Fibc Solutions Pvt. Ltd - Sales"/>
    <n v="3042335.14"/>
    <n v="9095347.7599999998"/>
    <n v="12417886.210000001"/>
    <n v="-280203.31"/>
    <m/>
    <n v="-280203.31"/>
    <x v="0"/>
  </r>
  <r>
    <s v="Rudra Trading Co."/>
    <n v="4085294.79"/>
    <n v="6592142.7000000002"/>
    <n v="6791091"/>
    <n v="3886346.49"/>
    <m/>
    <n v="3886346.49"/>
    <x v="0"/>
  </r>
  <r>
    <s v="S K Traders"/>
    <n v="0"/>
    <n v="0"/>
    <n v="0"/>
    <n v="0"/>
    <m/>
    <n v="0"/>
    <x v="0"/>
  </r>
  <r>
    <s v="Satguru Enterprises"/>
    <n v="0"/>
    <n v="0"/>
    <n v="0"/>
    <n v="0"/>
    <m/>
    <n v="0"/>
    <x v="0"/>
  </r>
  <r>
    <s v="D S Global"/>
    <n v="-779600"/>
    <n v="779600"/>
    <n v="0"/>
    <n v="0"/>
    <m/>
    <n v="0"/>
    <x v="0"/>
  </r>
  <r>
    <s v="Devatwal Steel"/>
    <n v="0"/>
    <n v="0"/>
    <n v="0"/>
    <n v="0"/>
    <m/>
    <n v="0"/>
    <x v="0"/>
  </r>
  <r>
    <s v="Dhaval Traders"/>
    <n v="0"/>
    <n v="0"/>
    <n v="0"/>
    <n v="0"/>
    <m/>
    <n v="0"/>
    <x v="0"/>
  </r>
  <r>
    <s v="Dhruv Agritechnologies Private Limited"/>
    <n v="61360"/>
    <n v="0"/>
    <n v="61360"/>
    <n v="0"/>
    <m/>
    <n v="0"/>
    <x v="0"/>
  </r>
  <r>
    <s v="Ganesh Plastics"/>
    <n v="0"/>
    <n v="0"/>
    <n v="0"/>
    <n v="0"/>
    <m/>
    <n v="0"/>
    <x v="0"/>
  </r>
  <r>
    <s v="Gipack Tech Llp"/>
    <n v="618393.16"/>
    <n v="842033.26"/>
    <n v="618393.16"/>
    <n v="842033.26"/>
    <m/>
    <n v="842033.26"/>
    <x v="0"/>
  </r>
  <r>
    <s v="Sodium Metal Pvt Ltd"/>
    <n v="0"/>
    <n v="0"/>
    <n v="0"/>
    <n v="0"/>
    <m/>
    <n v="0"/>
    <x v="0"/>
  </r>
  <r>
    <s v="Sukaso Cera Colors Pvt Ltd"/>
    <n v="-1037.4000000000001"/>
    <n v="0"/>
    <n v="0"/>
    <n v="-1037.4000000000001"/>
    <m/>
    <n v="-1037.4000000000001"/>
    <x v="0"/>
  </r>
  <r>
    <s v="Sunglow Colorants Corporation"/>
    <n v="325669.58"/>
    <n v="0"/>
    <n v="0"/>
    <n v="325669.58"/>
    <m/>
    <n v="325669.58"/>
    <x v="0"/>
  </r>
  <r>
    <s v="Swastika Traders"/>
    <n v="0.06"/>
    <n v="0"/>
    <n v="0.06"/>
    <n v="0"/>
    <m/>
    <n v="0"/>
    <x v="0"/>
  </r>
  <r>
    <s v="Swayam Polymer"/>
    <n v="0"/>
    <n v="0"/>
    <n v="0"/>
    <n v="0"/>
    <m/>
    <n v="0"/>
    <x v="0"/>
  </r>
  <r>
    <s v="Tulsi Dyechem Pvt.Ltd - Sales"/>
    <n v="-70355"/>
    <n v="0"/>
    <n v="0"/>
    <n v="-70355"/>
    <m/>
    <n v="-70355"/>
    <x v="0"/>
  </r>
  <r>
    <s v="Umasree Texplast Pvt Ltd - Sales"/>
    <n v="1363.56"/>
    <n v="917500.59"/>
    <n v="474406"/>
    <n v="444458.15"/>
    <m/>
    <n v="444458.15"/>
    <x v="0"/>
  </r>
  <r>
    <s v="Glasnost India"/>
    <n v="0.06"/>
    <n v="0.3"/>
    <n v="0.36"/>
    <n v="0"/>
    <m/>
    <n v="0"/>
    <x v="0"/>
  </r>
  <r>
    <s v="Gopikishan Polyplast Pvt Ltd - Sales"/>
    <n v="0.46"/>
    <n v="0"/>
    <n v="0.46"/>
    <n v="0"/>
    <m/>
    <n v="0"/>
    <x v="0"/>
  </r>
  <r>
    <s v="Jas Exims 24AACPG5586D1ZY"/>
    <n v="0.64"/>
    <n v="0"/>
    <n v="0.64"/>
    <n v="0"/>
    <m/>
    <n v="0"/>
    <x v="0"/>
  </r>
  <r>
    <s v="Agro Alex Group Co. For Agricultural Industrialization Import And Export"/>
    <n v="0"/>
    <n v="0"/>
    <n v="0"/>
    <n v="0"/>
    <m/>
    <n v="0"/>
    <x v="0"/>
  </r>
  <r>
    <s v="Agroszemek Kft"/>
    <n v="0"/>
    <n v="0"/>
    <n v="0"/>
    <n v="0"/>
    <m/>
    <n v="0"/>
    <x v="0"/>
  </r>
  <r>
    <s v="Ameriglobe LLC"/>
    <n v="1180148.46"/>
    <n v="15991833.449999999"/>
    <n v="14845715.869999999"/>
    <n v="2326266.04"/>
    <m/>
    <n v="2326266.04"/>
    <x v="0"/>
  </r>
  <r>
    <s v="Bagwell Supply Ulc."/>
    <n v="-0.01"/>
    <n v="0"/>
    <n v="0"/>
    <n v="-0.01"/>
    <m/>
    <n v="-0.01"/>
    <x v="0"/>
  </r>
  <r>
    <s v="Boxon Bag Ab"/>
    <n v="0"/>
    <n v="2297213.92"/>
    <n v="1829550.24"/>
    <n v="467663.68"/>
    <m/>
    <n v="467663.68"/>
    <x v="0"/>
  </r>
  <r>
    <s v="Boxon Gmbh"/>
    <n v="0.02"/>
    <n v="10649170.130000001"/>
    <n v="55999.38"/>
    <n v="10593170.77"/>
    <m/>
    <n v="10593170.77"/>
    <x v="0"/>
  </r>
  <r>
    <s v="Boxon Oy"/>
    <n v="1607471.88"/>
    <n v="46.75"/>
    <n v="1605902.88"/>
    <n v="1615.75"/>
    <m/>
    <n v="1615.75"/>
    <x v="0"/>
  </r>
  <r>
    <s v="Boxon Sarl, France"/>
    <n v="0"/>
    <n v="0"/>
    <n v="25173.97"/>
    <n v="-25173.97"/>
    <m/>
    <n v="-25173.97"/>
    <x v="0"/>
  </r>
  <r>
    <s v="Bulk Lift International LLC"/>
    <n v="38436340.109999999"/>
    <n v="55497839.060000002"/>
    <n v="68168222.159999996"/>
    <n v="25765957.010000002"/>
    <m/>
    <n v="25765957.010000002"/>
    <x v="0"/>
  </r>
  <r>
    <s v="Carmeuse Majan Llc (Sfz)"/>
    <n v="0"/>
    <n v="340695.71"/>
    <n v="0"/>
    <n v="340695.71"/>
    <m/>
    <n v="340695.71"/>
    <x v="0"/>
  </r>
  <r>
    <s v="Carretta Tessitura S.R.L."/>
    <n v="0"/>
    <n v="0"/>
    <n v="0"/>
    <n v="0"/>
    <m/>
    <n v="0"/>
    <x v="0"/>
  </r>
  <r>
    <s v="Cesur Ambalaj Sanayi Ve Ticaret A.S."/>
    <n v="0.02"/>
    <n v="0"/>
    <n v="0.02"/>
    <n v="0"/>
    <m/>
    <n v="0"/>
    <x v="0"/>
  </r>
  <r>
    <s v="Cesur Usa, Llc"/>
    <n v="0"/>
    <n v="0"/>
    <n v="0"/>
    <n v="0"/>
    <m/>
    <n v="0"/>
    <x v="0"/>
  </r>
  <r>
    <s v="Codefine International SA"/>
    <n v="0"/>
    <n v="0"/>
    <n v="0"/>
    <n v="0"/>
    <m/>
    <n v="0"/>
    <x v="0"/>
  </r>
  <r>
    <s v="Comercial Pra Cafe Ltda - Espirito Santos"/>
    <n v="0"/>
    <n v="0"/>
    <n v="0"/>
    <n v="0"/>
    <m/>
    <n v="0"/>
    <x v="0"/>
  </r>
  <r>
    <s v="Comercial Pra Cafe Ltda - Manaus"/>
    <n v="0"/>
    <n v="0"/>
    <n v="0"/>
    <n v="0"/>
    <m/>
    <n v="0"/>
    <x v="0"/>
  </r>
  <r>
    <s v="Condepols, S.A."/>
    <n v="23898338.870000001"/>
    <n v="6885911.46"/>
    <n v="23796619.629999999"/>
    <n v="6987630.7000000002"/>
    <m/>
    <n v="6987630.7000000002"/>
    <x v="0"/>
  </r>
  <r>
    <s v="Conrop S.R.O."/>
    <n v="9599129.1400000006"/>
    <n v="4165952.69"/>
    <n v="9388302.8900000006"/>
    <n v="4376778.9400000004"/>
    <m/>
    <n v="4376778.9400000004"/>
    <x v="0"/>
  </r>
  <r>
    <s v="Dajusa 2002 S.L."/>
    <n v="0"/>
    <n v="0"/>
    <n v="0"/>
    <n v="0"/>
    <m/>
    <n v="0"/>
    <x v="0"/>
  </r>
  <r>
    <s v="Dead Sea Works Ltd"/>
    <n v="3917952.01"/>
    <n v="0"/>
    <n v="3917952"/>
    <n v="0.01"/>
    <m/>
    <n v="0.01"/>
    <x v="0"/>
  </r>
  <r>
    <s v="El-Fedawy Pack For Import And Export"/>
    <n v="22116.86"/>
    <n v="0"/>
    <n v="22116.86"/>
    <n v="0"/>
    <m/>
    <n v="0"/>
    <x v="0"/>
  </r>
  <r>
    <s v="ERD - Customers"/>
    <n v="25161872"/>
    <n v="1491734"/>
    <n v="25161872"/>
    <n v="1491734"/>
    <m/>
    <n v="1491734"/>
    <x v="0"/>
  </r>
  <r>
    <s v="Exim Handelsonderneming Rotterdam Bv"/>
    <n v="6511336.79"/>
    <n v="32484994.129999999"/>
    <n v="41882011.049999997"/>
    <n v="-2885680.13"/>
    <m/>
    <n v="-2885680.13"/>
    <x v="0"/>
  </r>
  <r>
    <s v="Fibco Plastic Industry Llc"/>
    <n v="44698801.439999998"/>
    <n v="17928170.120000001"/>
    <n v="0"/>
    <n v="62626971.560000002"/>
    <m/>
    <n v="62626971.560000002"/>
    <x v="0"/>
  </r>
  <r>
    <s v="Fintrading S.L."/>
    <n v="3950256.13"/>
    <n v="760.72"/>
    <n v="3915870.09"/>
    <n v="35146.76"/>
    <m/>
    <n v="35146.76"/>
    <x v="0"/>
  </r>
  <r>
    <s v="FPS Flexibles France Sarl"/>
    <n v="13225854.939999999"/>
    <n v="12597996.560000001"/>
    <n v="5490425.0700000003"/>
    <n v="20333426.43"/>
    <m/>
    <n v="20333426.43"/>
    <x v="0"/>
  </r>
  <r>
    <s v="Frelun S.A."/>
    <n v="0"/>
    <n v="0"/>
    <n v="0"/>
    <n v="0"/>
    <m/>
    <n v="0"/>
    <x v="0"/>
  </r>
  <r>
    <s v="Galeb Jameel Dwaikat"/>
    <n v="0.01"/>
    <n v="0"/>
    <n v="0"/>
    <n v="0.01"/>
    <m/>
    <n v="0.01"/>
    <x v="0"/>
  </r>
  <r>
    <s v="Greif Flexibles France Sarl"/>
    <n v="0"/>
    <n v="0"/>
    <n v="0"/>
    <n v="0"/>
    <m/>
    <n v="0"/>
    <x v="0"/>
  </r>
  <r>
    <s v="Growtivation"/>
    <n v="0"/>
    <n v="0"/>
    <n v="0"/>
    <n v="0"/>
    <m/>
    <n v="0"/>
    <x v="0"/>
  </r>
  <r>
    <s v="Hypergrain S A"/>
    <n v="0"/>
    <n v="0"/>
    <n v="0"/>
    <n v="0"/>
    <m/>
    <n v="0"/>
    <x v="0"/>
  </r>
  <r>
    <s v="Inversions 2N LDTA"/>
    <n v="0"/>
    <n v="0"/>
    <n v="0"/>
    <n v="0"/>
    <m/>
    <n v="0"/>
    <x v="0"/>
  </r>
  <r>
    <s v="Jay Viru Plast"/>
    <n v="0"/>
    <n v="0"/>
    <n v="0"/>
    <n v="0"/>
    <m/>
    <n v="0"/>
    <x v="0"/>
  </r>
  <r>
    <s v="Advance Salary Paid"/>
    <n v="-904063.5"/>
    <n v="3423434"/>
    <n v="2433437"/>
    <n v="85933.5"/>
    <m/>
    <n v="85933.5"/>
    <x v="0"/>
  </r>
  <r>
    <s v="N S Traders"/>
    <n v="0"/>
    <n v="0"/>
    <n v="0"/>
    <n v="0"/>
    <m/>
    <n v="0"/>
    <x v="0"/>
  </r>
  <r>
    <s v="Nacl Industries Limited"/>
    <n v="538.08000000000004"/>
    <n v="0"/>
    <n v="0"/>
    <n v="538.08000000000004"/>
    <m/>
    <n v="538.08000000000004"/>
    <x v="0"/>
  </r>
  <r>
    <s v="Nakoda Plastic"/>
    <n v="0"/>
    <n v="0"/>
    <n v="0"/>
    <n v="0"/>
    <m/>
    <n v="0"/>
    <x v="0"/>
  </r>
  <r>
    <s v="Navin Fluorine Advance Science Ltd"/>
    <n v="54870"/>
    <n v="0"/>
    <n v="54870"/>
    <n v="0"/>
    <m/>
    <n v="0"/>
    <x v="0"/>
  </r>
  <r>
    <s v="New Suraj Environmental Facilities"/>
    <n v="0"/>
    <n v="41713"/>
    <n v="41713"/>
    <n v="0"/>
    <m/>
    <n v="0"/>
    <x v="0"/>
  </r>
  <r>
    <s v="Padmanabh Alloys And Polymers Ltd."/>
    <n v="0"/>
    <n v="0"/>
    <n v="0"/>
    <n v="0"/>
    <m/>
    <n v="0"/>
    <x v="0"/>
  </r>
  <r>
    <s v="Padmavati Enterprise"/>
    <n v="-0.2"/>
    <n v="0.2"/>
    <n v="0"/>
    <n v="0"/>
    <m/>
    <n v="0"/>
    <x v="0"/>
  </r>
  <r>
    <s v="Pamnani International"/>
    <n v="0"/>
    <n v="0"/>
    <n v="0"/>
    <n v="0"/>
    <m/>
    <n v="0"/>
    <x v="0"/>
  </r>
  <r>
    <s v="Parekh Bulk Pack - Sales"/>
    <n v="901287.81"/>
    <n v="384450"/>
    <n v="0"/>
    <n v="1285737.81"/>
    <m/>
    <n v="1285737.81"/>
    <x v="0"/>
  </r>
  <r>
    <s v="Parth Poly Coat Yarn Pvt.Ltd. - Debtor"/>
    <n v="0"/>
    <n v="0"/>
    <n v="0"/>
    <n v="0"/>
    <m/>
    <n v="0"/>
    <x v="0"/>
  </r>
  <r>
    <s v="PI Industries Limited - 24AABCP2183M1ZB"/>
    <n v="59633.75"/>
    <n v="0"/>
    <n v="0"/>
    <n v="59633.75"/>
    <m/>
    <n v="59633.75"/>
    <x v="0"/>
  </r>
  <r>
    <s v="Shiv Enterprise - 24CNIPS9979P1ZL"/>
    <n v="0.93"/>
    <n v="0"/>
    <n v="0.93"/>
    <n v="0"/>
    <m/>
    <n v="0"/>
    <x v="0"/>
  </r>
  <r>
    <s v="Shivam Traders - Sales (24AGUPS9760R1ZZ)"/>
    <n v="0"/>
    <n v="0"/>
    <n v="0"/>
    <n v="0"/>
    <m/>
    <n v="0"/>
    <x v="0"/>
  </r>
  <r>
    <s v="Shree Khodiyar Trading Company"/>
    <n v="0"/>
    <n v="0"/>
    <n v="0"/>
    <n v="0"/>
    <m/>
    <n v="0"/>
    <x v="0"/>
  </r>
  <r>
    <s v="Shree Madhav Plastic"/>
    <n v="0"/>
    <n v="0"/>
    <n v="0"/>
    <n v="0"/>
    <m/>
    <n v="0"/>
    <x v="0"/>
  </r>
  <r>
    <s v="Shree Ram India Gums Ltd."/>
    <n v="0"/>
    <n v="795320"/>
    <n v="795320"/>
    <n v="0"/>
    <m/>
    <n v="0"/>
    <x v="0"/>
  </r>
  <r>
    <s v="Sidharth Texo Fab"/>
    <n v="0"/>
    <n v="0"/>
    <n v="0"/>
    <n v="0"/>
    <m/>
    <n v="0"/>
    <x v="0"/>
  </r>
  <r>
    <s v="Veeshna Polypack Pvt Ltd - Sales"/>
    <n v="0"/>
    <n v="0"/>
    <n v="0"/>
    <n v="0"/>
    <m/>
    <n v="0"/>
    <x v="0"/>
  </r>
  <r>
    <s v="Vishal Packaging"/>
    <n v="0"/>
    <n v="0"/>
    <n v="0"/>
    <n v="0"/>
    <m/>
    <n v="0"/>
    <x v="0"/>
  </r>
  <r>
    <s v="Yogi Scrap Trading"/>
    <n v="0"/>
    <n v="35985.599999999999"/>
    <n v="35985"/>
    <n v="0.6"/>
    <m/>
    <n v="0.6"/>
    <x v="0"/>
  </r>
  <r>
    <s v="Khator Technical Textiles Ltd."/>
    <n v="3323083"/>
    <n v="0"/>
    <n v="0"/>
    <n v="3323083"/>
    <m/>
    <n v="3323083"/>
    <x v="0"/>
  </r>
  <r>
    <s v="Labdhi Plastic"/>
    <n v="0.09"/>
    <n v="183596.7"/>
    <n v="183596.79"/>
    <n v="0"/>
    <m/>
    <n v="0"/>
    <x v="0"/>
  </r>
  <r>
    <s v="Jumbostrap Ou"/>
    <n v="0"/>
    <n v="0"/>
    <n v="0"/>
    <n v="0"/>
    <m/>
    <n v="0"/>
    <x v="0"/>
  </r>
  <r>
    <s v="Krzysztof Kasperkiewicz Kasp"/>
    <n v="7765335.1699999999"/>
    <n v="26888.23"/>
    <n v="7443670.4000000004"/>
    <n v="348553"/>
    <m/>
    <n v="348553"/>
    <x v="0"/>
  </r>
  <r>
    <s v="Lorenzati, Ruetsch y Cia SA"/>
    <n v="0"/>
    <n v="12379472.43"/>
    <n v="241213.14"/>
    <n v="12138259.289999999"/>
    <m/>
    <n v="12138259.289999999"/>
    <x v="0"/>
  </r>
  <r>
    <s v="Madi Sp. z.o.o."/>
    <n v="0"/>
    <n v="0"/>
    <n v="0"/>
    <n v="0"/>
    <m/>
    <n v="0"/>
    <x v="0"/>
  </r>
  <r>
    <s v="Norengros Kjosavik As"/>
    <n v="-21173.27"/>
    <n v="30105.17"/>
    <n v="8931.9"/>
    <n v="0"/>
    <m/>
    <n v="0"/>
    <x v="0"/>
  </r>
  <r>
    <s v="Oliva Garden S.A."/>
    <n v="62465541.560000002"/>
    <n v="18990749.030000001"/>
    <n v="0"/>
    <n v="81456290.590000004"/>
    <m/>
    <n v="81456290.590000004"/>
    <x v="0"/>
  </r>
  <r>
    <s v="Oswal Extrusion Ltd- KASEZ-Sales"/>
    <n v="-114518759.02"/>
    <n v="114518759.02"/>
    <n v="0"/>
    <n v="0"/>
    <m/>
    <n v="0"/>
    <x v="0"/>
  </r>
  <r>
    <s v="Passos &amp; Oliveira, Lda."/>
    <n v="23835.5"/>
    <n v="0"/>
    <n v="23835.5"/>
    <n v="0"/>
    <m/>
    <n v="0"/>
    <x v="0"/>
  </r>
  <r>
    <s v="Procon Pacific Llc"/>
    <n v="722637.02"/>
    <n v="177290.83"/>
    <n v="0"/>
    <n v="899927.85"/>
    <m/>
    <n v="899927.85"/>
    <x v="0"/>
  </r>
  <r>
    <s v="Prodeman S.A."/>
    <n v="0"/>
    <n v="0"/>
    <n v="0"/>
    <n v="0"/>
    <m/>
    <n v="0"/>
    <x v="0"/>
  </r>
  <r>
    <s v="Ravitaillement International Inc."/>
    <n v="0"/>
    <n v="0"/>
    <n v="0"/>
    <n v="0"/>
    <m/>
    <n v="0"/>
    <x v="0"/>
  </r>
  <r>
    <s v="Reg Group Ltd T/A Growtivation"/>
    <n v="12145757.09"/>
    <n v="4181580.9"/>
    <n v="16327337.99"/>
    <n v="0"/>
    <m/>
    <n v="0"/>
    <x v="0"/>
  </r>
  <r>
    <s v="Relianz Ag"/>
    <n v="0"/>
    <n v="9537120"/>
    <n v="9537120"/>
    <n v="0"/>
    <m/>
    <n v="0"/>
    <x v="0"/>
  </r>
  <r>
    <s v="Sacos Durcal S.A"/>
    <n v="23454432.829999998"/>
    <n v="25049727.16"/>
    <n v="23474258.620000001"/>
    <n v="25029901.370000001"/>
    <m/>
    <n v="25029901.370000001"/>
    <x v="0"/>
  </r>
  <r>
    <s v="SARL Bazelle"/>
    <n v="-85477.02"/>
    <n v="0"/>
    <n v="15819.87"/>
    <n v="-101296.89"/>
    <m/>
    <n v="-101296.89"/>
    <x v="0"/>
  </r>
  <r>
    <s v="SAS Emballage Industrie Concept - Bazelle"/>
    <n v="7996440.0099999998"/>
    <n v="26314227.25"/>
    <n v="29861240.739999998"/>
    <n v="4449426.5199999996"/>
    <m/>
    <n v="4449426.5199999996"/>
    <x v="0"/>
  </r>
  <r>
    <s v="Satucesa Europa, S.L.U."/>
    <n v="0"/>
    <n v="0"/>
    <n v="0"/>
    <n v="0"/>
    <m/>
    <n v="0"/>
    <x v="0"/>
  </r>
  <r>
    <s v="Serra Sacos Y Gestion Sl"/>
    <n v="26987540.149999999"/>
    <n v="17544801.550000001"/>
    <n v="39246044.350000001"/>
    <n v="5286297.3499999996"/>
    <m/>
    <n v="5286297.3499999996"/>
    <x v="0"/>
  </r>
  <r>
    <s v="Smart Pack Limited"/>
    <n v="17386919.91"/>
    <n v="26635953.93"/>
    <n v="27592440.420000002"/>
    <n v="16430433.42"/>
    <m/>
    <n v="16430433.42"/>
    <x v="0"/>
  </r>
  <r>
    <s v="Smart Pack Pty Ltd"/>
    <n v="325090.24"/>
    <n v="9985503.7799999993"/>
    <n v="2671609.19"/>
    <n v="7638984.8300000001"/>
    <m/>
    <n v="7638984.8300000001"/>
    <x v="0"/>
  </r>
  <r>
    <s v="Somlo-Zsak Kender-Juta Kft"/>
    <n v="0"/>
    <n v="3161785.98"/>
    <n v="3161785.98"/>
    <n v="0"/>
    <m/>
    <n v="0"/>
    <x v="0"/>
  </r>
  <r>
    <s v="Southern Packaging Lp"/>
    <n v="4603883.3099999996"/>
    <n v="14511797.880000001"/>
    <n v="11450438.35"/>
    <n v="7665242.8399999999"/>
    <m/>
    <n v="7665242.8399999999"/>
    <x v="0"/>
  </r>
  <r>
    <s v="Technopac Gmbh"/>
    <n v="7292708.7199999997"/>
    <n v="0"/>
    <n v="4692916.37"/>
    <n v="2599792.35"/>
    <m/>
    <n v="2599792.35"/>
    <x v="0"/>
  </r>
  <r>
    <s v="Tecnopacking"/>
    <n v="5809384"/>
    <n v="0"/>
    <n v="5809384"/>
    <n v="0"/>
    <m/>
    <n v="0"/>
    <x v="0"/>
  </r>
  <r>
    <s v="Tomorrow Symbol Unipessoal Lda"/>
    <n v="0"/>
    <n v="0"/>
    <n v="0"/>
    <n v="0"/>
    <m/>
    <n v="0"/>
    <x v="0"/>
  </r>
  <r>
    <s v="Tsanta."/>
    <n v="6794488.7999999998"/>
    <n v="0"/>
    <n v="6794488.7999999998"/>
    <n v="0"/>
    <m/>
    <n v="0"/>
    <x v="0"/>
  </r>
  <r>
    <s v="Ventas Internacionales S.A."/>
    <n v="0"/>
    <n v="0"/>
    <n v="0"/>
    <n v="0"/>
    <m/>
    <n v="0"/>
    <x v="0"/>
  </r>
  <r>
    <s v="Warner &amp; Warner Inc."/>
    <n v="0"/>
    <n v="0"/>
    <n v="0"/>
    <n v="0"/>
    <m/>
    <n v="0"/>
    <x v="0"/>
  </r>
  <r>
    <s v="Western Grain Trading Inc"/>
    <n v="0"/>
    <n v="0"/>
    <n v="0"/>
    <n v="0"/>
    <m/>
    <n v="0"/>
    <x v="0"/>
  </r>
  <r>
    <s v="Western Packaging Solutions"/>
    <n v="4721686.2300000004"/>
    <n v="0"/>
    <n v="4721686.2"/>
    <n v="0.03"/>
    <m/>
    <n v="0.03"/>
    <x v="0"/>
  </r>
  <r>
    <s v="Yuan Da Plastic Fabric Corporation"/>
    <n v="7201164.3600000003"/>
    <n v="6836040.71"/>
    <n v="9585446.7300000004"/>
    <n v="4451758.34"/>
    <m/>
    <n v="4451758.34"/>
    <x v="0"/>
  </r>
  <r>
    <s v="Zakkencentrale Belgium N.V."/>
    <n v="2690844.76"/>
    <n v="4734124.2"/>
    <n v="7424968.9500000002"/>
    <n v="0.01"/>
    <m/>
    <n v="0.01"/>
    <x v="0"/>
  </r>
  <r>
    <s v="Factory Building - WIP"/>
    <n v="-0.01"/>
    <n v="81035"/>
    <n v="29360"/>
    <n v="51674.99"/>
    <m/>
    <n v="51674.99"/>
    <x v="0"/>
  </r>
  <r>
    <s v="Plant &amp; Machinery Cwip"/>
    <n v="566971"/>
    <n v="0"/>
    <n v="0"/>
    <n v="566971"/>
    <m/>
    <n v="566971"/>
    <x v="0"/>
  </r>
  <r>
    <s v="Furniture &amp; Fixtures"/>
    <n v="5785049.6100000003"/>
    <n v="960855.48"/>
    <n v="0"/>
    <n v="6745905.0899999999"/>
    <m/>
    <n v="6745905.0899999999"/>
    <x v="0"/>
  </r>
  <r>
    <s v="Racks For Rolls/Fg"/>
    <n v="1828000"/>
    <n v="0"/>
    <n v="0"/>
    <n v="1828000"/>
    <m/>
    <n v="1828000"/>
    <x v="0"/>
  </r>
  <r>
    <s v="New Product Dev. and R&amp;D Exp.Pending For Allocation"/>
    <n v="15854746"/>
    <n v="0"/>
    <n v="0"/>
    <n v="15854746"/>
    <m/>
    <n v="15854746"/>
    <x v="0"/>
  </r>
  <r>
    <s v="Building"/>
    <n v="94670795.629999995"/>
    <n v="0"/>
    <n v="0"/>
    <n v="94670795.629999995"/>
    <m/>
    <n v="94670795.629999995"/>
    <x v="0"/>
  </r>
  <r>
    <s v="Land &amp; Developments"/>
    <n v="25694213"/>
    <n v="0"/>
    <n v="0"/>
    <n v="25694213"/>
    <m/>
    <n v="25694213"/>
    <x v="0"/>
  </r>
  <r>
    <s v="Land - Plot No: Pe 82,Sanand"/>
    <n v="173049403.75"/>
    <n v="0"/>
    <n v="0"/>
    <n v="173049403.75"/>
    <m/>
    <n v="173049403.75"/>
    <x v="0"/>
  </r>
  <r>
    <s v="Office Building - HO"/>
    <n v="520299.16"/>
    <n v="0"/>
    <n v="0"/>
    <n v="520299.16"/>
    <m/>
    <n v="520299.16"/>
    <x v="0"/>
  </r>
  <r>
    <s v="Air Curtain"/>
    <n v="23800"/>
    <n v="0"/>
    <n v="0"/>
    <n v="23800"/>
    <m/>
    <n v="23800"/>
    <x v="0"/>
  </r>
  <r>
    <s v="Face &amp; Fingerprint M/C (Punching M/C)"/>
    <n v="24500"/>
    <n v="0"/>
    <n v="0"/>
    <n v="24500"/>
    <m/>
    <n v="24500"/>
    <x v="0"/>
  </r>
  <r>
    <s v="Mobile &amp; Telephone Instrument"/>
    <n v="177117.8"/>
    <n v="0"/>
    <n v="0"/>
    <n v="177117.8"/>
    <m/>
    <n v="177117.8"/>
    <x v="0"/>
  </r>
  <r>
    <s v="Office Equipments"/>
    <n v="2213684.23"/>
    <n v="1471914.32"/>
    <n v="0"/>
    <n v="3685598.55"/>
    <m/>
    <n v="3685598.55"/>
    <x v="0"/>
  </r>
  <r>
    <s v="RO Plant"/>
    <n v="200000"/>
    <n v="0"/>
    <n v="0"/>
    <n v="200000"/>
    <m/>
    <n v="200000"/>
    <x v="0"/>
  </r>
  <r>
    <s v="CTPT Unit"/>
    <n v="112500"/>
    <n v="0"/>
    <n v="0"/>
    <n v="112500"/>
    <m/>
    <n v="112500"/>
    <x v="0"/>
  </r>
  <r>
    <s v="Air Conditioners"/>
    <n v="2749599.1"/>
    <n v="123728.81"/>
    <n v="0"/>
    <n v="2873327.91"/>
    <m/>
    <n v="2873327.91"/>
    <x v="0"/>
  </r>
  <r>
    <s v="Air Handling Unit (AHU)"/>
    <n v="4602992.92"/>
    <n v="0"/>
    <n v="0"/>
    <n v="4602992.92"/>
    <m/>
    <n v="4602992.92"/>
    <x v="0"/>
  </r>
  <r>
    <s v="Dock Leveler"/>
    <n v="598700"/>
    <n v="0"/>
    <n v="0"/>
    <n v="598700"/>
    <m/>
    <n v="598700"/>
    <x v="0"/>
  </r>
  <r>
    <s v="Dock Shelter"/>
    <n v="285980"/>
    <n v="0"/>
    <n v="0"/>
    <n v="285980"/>
    <m/>
    <n v="285980"/>
    <x v="0"/>
  </r>
  <r>
    <s v="Forklift Model No:8Fbe20"/>
    <n v="3462000"/>
    <n v="0"/>
    <n v="0"/>
    <n v="3462000"/>
    <m/>
    <n v="3462000"/>
    <x v="0"/>
  </r>
  <r>
    <s v="Forklift Truck Model No.FDZN30"/>
    <n v="1046000"/>
    <n v="0"/>
    <n v="0"/>
    <n v="1046000"/>
    <m/>
    <n v="1046000"/>
    <x v="0"/>
  </r>
  <r>
    <s v="Peb Built Up"/>
    <n v="519855"/>
    <n v="0"/>
    <n v="0"/>
    <n v="519855"/>
    <m/>
    <n v="519855"/>
    <x v="0"/>
  </r>
  <r>
    <s v="Water Cooler"/>
    <n v="75085.7"/>
    <n v="0"/>
    <n v="0"/>
    <n v="75085.7"/>
    <m/>
    <n v="75085.7"/>
    <x v="0"/>
  </r>
  <r>
    <s v="Almonard H/D Exhaust Fan 24&quot;"/>
    <n v="89971.98"/>
    <n v="0"/>
    <n v="0"/>
    <n v="89971.98"/>
    <m/>
    <n v="89971.98"/>
    <x v="0"/>
  </r>
  <r>
    <s v="Almonard Wall Fan Air Circ.-18&quot;"/>
    <n v="5570.4"/>
    <n v="0"/>
    <n v="0"/>
    <n v="5570.4"/>
    <m/>
    <n v="5570.4"/>
    <x v="0"/>
  </r>
  <r>
    <s v="Cealing Fan"/>
    <n v="12500"/>
    <n v="0"/>
    <n v="0"/>
    <n v="12500"/>
    <m/>
    <n v="12500"/>
    <x v="0"/>
  </r>
  <r>
    <s v="Electrical Installation"/>
    <n v="38680854.859999999"/>
    <n v="320921.96000000002"/>
    <n v="0"/>
    <n v="39001776.82"/>
    <m/>
    <n v="39001776.82"/>
    <x v="0"/>
  </r>
  <r>
    <s v="Fan, Cooler, Heater &amp; Blowers"/>
    <n v="602491"/>
    <n v="0"/>
    <n v="0"/>
    <n v="602491"/>
    <m/>
    <n v="602491"/>
    <x v="0"/>
  </r>
  <r>
    <s v="Panel Cooling Airconditoner"/>
    <n v="121985.1"/>
    <n v="0"/>
    <n v="0"/>
    <n v="121985.1"/>
    <m/>
    <n v="121985.1"/>
    <x v="0"/>
  </r>
  <r>
    <s v="Pumps &amp; Motors"/>
    <n v="84189.4"/>
    <n v="0"/>
    <n v="0"/>
    <n v="84189.4"/>
    <m/>
    <n v="84189.4"/>
    <x v="0"/>
  </r>
  <r>
    <s v="Tublights &amp; Fans"/>
    <n v="188650"/>
    <n v="0"/>
    <n v="0"/>
    <n v="188650"/>
    <m/>
    <n v="188650"/>
    <x v="0"/>
  </r>
  <r>
    <s v="Auto Webbing Cutting M/C"/>
    <n v="315000"/>
    <n v="0"/>
    <n v="0"/>
    <n v="315000"/>
    <m/>
    <n v="315000"/>
    <x v="0"/>
  </r>
  <r>
    <s v="Belt Cutting Machine"/>
    <n v="315000"/>
    <n v="0"/>
    <n v="0"/>
    <n v="315000"/>
    <m/>
    <n v="315000"/>
    <x v="0"/>
  </r>
  <r>
    <s v="Fabric Cutting Machine"/>
    <n v="10284000"/>
    <n v="0"/>
    <n v="0"/>
    <n v="10284000"/>
    <m/>
    <n v="10284000"/>
    <x v="0"/>
  </r>
  <r>
    <s v="Gluing Machine"/>
    <n v="355999.99"/>
    <n v="0"/>
    <n v="0"/>
    <n v="355999.99"/>
    <m/>
    <n v="355999.99"/>
    <x v="0"/>
  </r>
  <r>
    <s v="Hydraulic Baling Machine"/>
    <n v="4900000"/>
    <n v="0"/>
    <n v="0"/>
    <n v="4900000"/>
    <m/>
    <n v="4900000"/>
    <x v="0"/>
  </r>
  <r>
    <s v="Load Testing Machine"/>
    <n v="1920666.88"/>
    <n v="0"/>
    <n v="0"/>
    <n v="1920666.88"/>
    <m/>
    <n v="1920666.88"/>
    <x v="0"/>
  </r>
  <r>
    <s v="Palang, Tables, Trollies For Finishing"/>
    <n v="3838045.93"/>
    <n v="0"/>
    <n v="0"/>
    <n v="3838045.93"/>
    <m/>
    <n v="3838045.93"/>
    <x v="0"/>
  </r>
  <r>
    <s v="Rolling Machine"/>
    <n v="1655000"/>
    <n v="0"/>
    <n v="0"/>
    <n v="1655000"/>
    <m/>
    <n v="1655000"/>
    <x v="0"/>
  </r>
  <r>
    <s v="Stretch Wrapping Machine"/>
    <n v="722000"/>
    <n v="0"/>
    <n v="0"/>
    <n v="722000"/>
    <m/>
    <n v="722000"/>
    <x v="0"/>
  </r>
  <r>
    <s v="Industrial Vaccum Cleaner"/>
    <n v="137000"/>
    <n v="0"/>
    <n v="0"/>
    <n v="137000"/>
    <m/>
    <n v="137000"/>
    <x v="0"/>
  </r>
  <r>
    <s v="Scrubber And Dryer Machine"/>
    <n v="37000"/>
    <n v="0"/>
    <n v="0"/>
    <n v="37000"/>
    <m/>
    <n v="37000"/>
    <x v="0"/>
  </r>
  <r>
    <s v="Laboratory Equipments"/>
    <n v="333354"/>
    <n v="0"/>
    <n v="0"/>
    <n v="333354"/>
    <m/>
    <n v="333354"/>
    <x v="0"/>
  </r>
  <r>
    <s v="Muffle Furnace Testing Machine (Ash Content)"/>
    <n v="55874.5"/>
    <n v="0"/>
    <n v="0"/>
    <n v="55874.5"/>
    <m/>
    <n v="55874.5"/>
    <x v="0"/>
  </r>
  <r>
    <s v="Tensile Testing Machine"/>
    <n v="118000"/>
    <n v="0"/>
    <n v="0"/>
    <n v="118000"/>
    <m/>
    <n v="118000"/>
    <x v="0"/>
  </r>
  <r>
    <s v="Wethering Tester"/>
    <n v="1088169.3"/>
    <n v="0"/>
    <n v="0"/>
    <n v="1088169.3"/>
    <m/>
    <n v="1088169.3"/>
    <x v="0"/>
  </r>
  <r>
    <s v="Lamination Plant Jp 80Cr 1600"/>
    <n v="7569717"/>
    <n v="0"/>
    <n v="0"/>
    <n v="7569717"/>
    <m/>
    <n v="7569717"/>
    <x v="0"/>
  </r>
  <r>
    <s v="Crane-3.0 Tonnes"/>
    <n v="1150000"/>
    <n v="0"/>
    <n v="0"/>
    <n v="1150000"/>
    <m/>
    <n v="1150000"/>
    <x v="0"/>
  </r>
  <r>
    <s v="Hydraulic Hand Pallet Truck"/>
    <n v="262400"/>
    <n v="0"/>
    <n v="0"/>
    <n v="262400"/>
    <m/>
    <n v="262400"/>
    <x v="0"/>
  </r>
  <r>
    <s v="Hydraulic Stacker"/>
    <n v="690000"/>
    <n v="0"/>
    <n v="0"/>
    <n v="690000"/>
    <m/>
    <n v="690000"/>
    <x v="0"/>
  </r>
  <r>
    <s v="Motorised Beam Stacker Model VM 401"/>
    <n v="5025000"/>
    <n v="0"/>
    <n v="0"/>
    <n v="5025000"/>
    <m/>
    <n v="5025000"/>
    <x v="0"/>
  </r>
  <r>
    <s v="S S Trolly"/>
    <n v="115507"/>
    <n v="0"/>
    <n v="0"/>
    <n v="115507"/>
    <m/>
    <n v="115507"/>
    <x v="0"/>
  </r>
  <r>
    <s v="Trolly"/>
    <n v="797721"/>
    <n v="0"/>
    <n v="0"/>
    <n v="797721"/>
    <m/>
    <n v="797721"/>
    <x v="0"/>
  </r>
  <r>
    <s v="Twisting Machine"/>
    <n v="2428500"/>
    <n v="0"/>
    <n v="0"/>
    <n v="2428500"/>
    <m/>
    <n v="2428500"/>
    <x v="0"/>
  </r>
  <r>
    <s v="Creel Stand"/>
    <n v="2379800"/>
    <n v="0"/>
    <n v="0"/>
    <n v="2379800"/>
    <m/>
    <n v="2379800"/>
    <x v="0"/>
  </r>
  <r>
    <s v="Needle Loom Machine"/>
    <n v="3000235.6"/>
    <n v="0"/>
    <n v="0"/>
    <n v="3000235.6"/>
    <m/>
    <n v="3000235.6"/>
    <x v="0"/>
  </r>
  <r>
    <s v="Clutch Motor"/>
    <n v="256800"/>
    <n v="0"/>
    <n v="0"/>
    <n v="256800"/>
    <m/>
    <n v="256800"/>
    <x v="0"/>
  </r>
  <r>
    <s v="Fire Safety Extinguisher"/>
    <n v="298965.82"/>
    <n v="0"/>
    <n v="0"/>
    <n v="298965.82"/>
    <m/>
    <n v="298965.82"/>
    <x v="0"/>
  </r>
  <r>
    <s v="Other Tools &amp; Equipments"/>
    <n v="13830"/>
    <n v="0"/>
    <n v="0"/>
    <n v="13830"/>
    <m/>
    <n v="13830"/>
    <x v="0"/>
  </r>
  <r>
    <s v="Plant &amp; Machinery"/>
    <n v="145950944.11000001"/>
    <n v="1373646.8"/>
    <n v="3316000"/>
    <n v="144008590.91"/>
    <m/>
    <n v="144008590.91"/>
    <x v="0"/>
  </r>
  <r>
    <s v="Sandwich Aluminium Feeder System"/>
    <n v="206006"/>
    <n v="0"/>
    <n v="0"/>
    <n v="206006"/>
    <m/>
    <n v="206006"/>
    <x v="0"/>
  </r>
  <r>
    <s v="Solar Power Plant &amp; Accessories"/>
    <n v="36265015.420000002"/>
    <n v="70375000"/>
    <n v="0"/>
    <n v="106640015.42"/>
    <m/>
    <n v="106640015.42"/>
    <x v="0"/>
  </r>
  <r>
    <s v="Vertical Ms Receiver Tank"/>
    <n v="128000"/>
    <n v="0"/>
    <n v="0"/>
    <n v="128000"/>
    <m/>
    <n v="128000"/>
    <x v="0"/>
  </r>
  <r>
    <s v="Flexographic Printing Machine"/>
    <n v="622000"/>
    <n v="0"/>
    <n v="0"/>
    <n v="622000"/>
    <m/>
    <n v="622000"/>
    <x v="0"/>
  </r>
  <r>
    <s v="Jumbo Bag Printing M/C"/>
    <n v="1600000"/>
    <n v="0"/>
    <n v="0"/>
    <n v="1600000"/>
    <m/>
    <n v="1600000"/>
    <x v="0"/>
  </r>
  <r>
    <s v="Printing Machine Three Colour"/>
    <n v="400000"/>
    <n v="0"/>
    <n v="0"/>
    <n v="400000"/>
    <m/>
    <n v="400000"/>
    <x v="0"/>
  </r>
  <r>
    <s v="Recycling Machine"/>
    <n v="2200000"/>
    <n v="0"/>
    <n v="0"/>
    <n v="2200000"/>
    <m/>
    <n v="2200000"/>
    <x v="0"/>
  </r>
  <r>
    <s v="Stitching Machine"/>
    <n v="6546275.29"/>
    <n v="0"/>
    <n v="0"/>
    <n v="6546275.29"/>
    <m/>
    <n v="6546275.29"/>
    <x v="0"/>
  </r>
  <r>
    <s v="Stitching Machine DR-FT-ST603"/>
    <n v="594227.06999999995"/>
    <n v="0"/>
    <n v="0"/>
    <n v="594227.06999999995"/>
    <m/>
    <n v="594227.06999999995"/>
    <x v="0"/>
  </r>
  <r>
    <s v="Stitching Machine HD502"/>
    <n v="592658"/>
    <n v="0"/>
    <n v="0"/>
    <n v="592658"/>
    <m/>
    <n v="592658"/>
    <x v="0"/>
  </r>
  <r>
    <s v="Stitching Machine Model VMC802"/>
    <n v="434808.08"/>
    <n v="0"/>
    <n v="0"/>
    <n v="434808.08"/>
    <m/>
    <n v="434808.08"/>
    <x v="0"/>
  </r>
  <r>
    <s v="Stitching Machine With Table Orsan-4000H"/>
    <n v="450000"/>
    <n v="0"/>
    <n v="0"/>
    <n v="450000"/>
    <m/>
    <n v="450000"/>
    <x v="0"/>
  </r>
  <r>
    <s v="Accumulators"/>
    <n v="3974330"/>
    <n v="0"/>
    <n v="0"/>
    <n v="3974330"/>
    <m/>
    <n v="3974330"/>
    <x v="0"/>
  </r>
  <r>
    <s v="Sulzer Looms"/>
    <n v="40625001.740000002"/>
    <n v="0"/>
    <n v="0"/>
    <n v="40625001.740000002"/>
    <m/>
    <n v="40625001.740000002"/>
    <x v="0"/>
  </r>
  <r>
    <s v="Tucking Unit"/>
    <n v="375000"/>
    <n v="0"/>
    <n v="0"/>
    <n v="375000"/>
    <m/>
    <n v="375000"/>
    <x v="0"/>
  </r>
  <r>
    <s v="Cheese Pipes (Tape Plant)"/>
    <n v="4790782.28"/>
    <n v="0"/>
    <n v="0"/>
    <n v="4790782.28"/>
    <m/>
    <n v="4790782.28"/>
    <x v="0"/>
  </r>
  <r>
    <s v="Cheese Winders"/>
    <n v="22376520"/>
    <n v="0"/>
    <n v="0"/>
    <n v="22376520"/>
    <m/>
    <n v="22376520"/>
    <x v="0"/>
  </r>
  <r>
    <s v="Gravimetric Dosing Mixing Machine"/>
    <n v="2725000"/>
    <n v="0"/>
    <n v="0"/>
    <n v="2725000"/>
    <m/>
    <n v="2725000"/>
    <x v="0"/>
  </r>
  <r>
    <s v="Hopper Loader"/>
    <n v="231700"/>
    <n v="0"/>
    <n v="0"/>
    <n v="231700"/>
    <m/>
    <n v="231700"/>
    <x v="0"/>
  </r>
  <r>
    <s v="Pnumatic Fabrilation Movable Machine"/>
    <n v="4374015"/>
    <n v="0"/>
    <n v="0"/>
    <n v="4374015"/>
    <m/>
    <n v="4374015"/>
    <x v="0"/>
  </r>
  <r>
    <s v="Tape Extrusion Line Manchine"/>
    <n v="26889466.899999999"/>
    <n v="0"/>
    <n v="0"/>
    <n v="26889466.899999999"/>
    <m/>
    <n v="26889466.899999999"/>
    <x v="0"/>
  </r>
  <r>
    <s v="Pnumatic Strapping Machine"/>
    <n v="15500"/>
    <n v="0"/>
    <n v="0"/>
    <n v="15500"/>
    <m/>
    <n v="15500"/>
    <x v="0"/>
  </r>
  <r>
    <s v="Compressed Air Filter"/>
    <n v="58560"/>
    <n v="0"/>
    <n v="0"/>
    <n v="58560"/>
    <m/>
    <n v="58560"/>
    <x v="0"/>
  </r>
  <r>
    <s v="Rotary Screw Compressor"/>
    <n v="1300000"/>
    <n v="0"/>
    <n v="0"/>
    <n v="1300000"/>
    <m/>
    <n v="1300000"/>
    <x v="0"/>
  </r>
  <r>
    <s v="Refrigeration Dryer"/>
    <n v="603990"/>
    <n v="0"/>
    <n v="0"/>
    <n v="603990"/>
    <m/>
    <n v="603990"/>
    <x v="0"/>
  </r>
  <r>
    <s v="Cooling Tower"/>
    <n v="1041000"/>
    <n v="0"/>
    <n v="0"/>
    <n v="1041000"/>
    <m/>
    <n v="1041000"/>
    <x v="0"/>
  </r>
  <r>
    <s v="Drill Machine A/C"/>
    <n v="5850"/>
    <n v="0"/>
    <n v="0"/>
    <n v="5850"/>
    <m/>
    <n v="5850"/>
    <x v="0"/>
  </r>
  <r>
    <s v="Grinder Machine"/>
    <n v="406900"/>
    <n v="0"/>
    <n v="0"/>
    <n v="406900"/>
    <m/>
    <n v="406900"/>
    <x v="0"/>
  </r>
  <r>
    <s v="Hand Blower"/>
    <n v="1250"/>
    <n v="0"/>
    <n v="0"/>
    <n v="1250"/>
    <m/>
    <n v="1250"/>
    <x v="0"/>
  </r>
  <r>
    <s v="Hand Grinder Machine"/>
    <n v="17770.400000000001"/>
    <n v="0"/>
    <n v="0"/>
    <n v="17770.400000000001"/>
    <m/>
    <n v="17770.400000000001"/>
    <x v="0"/>
  </r>
  <r>
    <s v="Sewage Treatment Plant"/>
    <n v="340500"/>
    <n v="0"/>
    <n v="0"/>
    <n v="340500"/>
    <m/>
    <n v="340500"/>
    <x v="0"/>
  </r>
  <r>
    <s v="Submersible Pump"/>
    <n v="391809.22"/>
    <n v="0"/>
    <n v="0"/>
    <n v="391809.22"/>
    <m/>
    <n v="391809.22"/>
    <x v="0"/>
  </r>
  <r>
    <s v="Water Softner Plant"/>
    <n v="160000"/>
    <n v="0"/>
    <n v="0"/>
    <n v="160000"/>
    <m/>
    <n v="160000"/>
    <x v="0"/>
  </r>
  <r>
    <s v="Water Tank"/>
    <n v="197984.96"/>
    <n v="0"/>
    <n v="0"/>
    <n v="197984.96"/>
    <m/>
    <n v="197984.96"/>
    <x v="0"/>
  </r>
  <r>
    <s v="Weight Bridge A/C"/>
    <n v="760000"/>
    <n v="0"/>
    <n v="0"/>
    <n v="760000"/>
    <m/>
    <n v="760000"/>
    <x v="0"/>
  </r>
  <r>
    <s v="Weightment Scale"/>
    <n v="215561.98"/>
    <n v="0"/>
    <n v="0"/>
    <n v="215561.98"/>
    <m/>
    <n v="215561.98"/>
    <x v="0"/>
  </r>
  <r>
    <s v="Welding Machine"/>
    <n v="33700"/>
    <n v="0"/>
    <n v="0"/>
    <n v="33700"/>
    <m/>
    <n v="33700"/>
    <x v="0"/>
  </r>
  <r>
    <s v="Poly Beamer Machine"/>
    <n v="12250000"/>
    <n v="0"/>
    <n v="0"/>
    <n v="12250000"/>
    <m/>
    <n v="12250000"/>
    <x v="0"/>
  </r>
  <r>
    <s v="Sulzer Beam Flange"/>
    <n v="412201"/>
    <n v="0"/>
    <n v="0"/>
    <n v="412201"/>
    <m/>
    <n v="412201"/>
    <x v="0"/>
  </r>
  <r>
    <s v="Sulzer Beam Pipe"/>
    <n v="280200"/>
    <n v="0"/>
    <n v="0"/>
    <n v="280200"/>
    <m/>
    <n v="280200"/>
    <x v="0"/>
  </r>
  <r>
    <s v="Computers &amp; Printers"/>
    <n v="1613994.5"/>
    <n v="22000"/>
    <n v="33889.83"/>
    <n v="1602104.67"/>
    <m/>
    <n v="1602104.67"/>
    <x v="0"/>
  </r>
  <r>
    <s v="Car - BMW 320D GJ38BC0582"/>
    <n v="0"/>
    <n v="0"/>
    <n v="0"/>
    <n v="0"/>
    <m/>
    <n v="0"/>
    <x v="0"/>
  </r>
  <r>
    <s v="Forklift"/>
    <n v="931740"/>
    <n v="0"/>
    <n v="0"/>
    <n v="931740"/>
    <m/>
    <n v="931740"/>
    <x v="0"/>
  </r>
  <r>
    <s v="Discount &amp; Rate Difference - Purchase"/>
    <n v="0"/>
    <n v="0.23"/>
    <n v="919735.67"/>
    <n v="-919735.44"/>
    <m/>
    <n v="-919735.44"/>
    <x v="2"/>
  </r>
  <r>
    <s v="Packing Forwading &amp; Cartage Expense"/>
    <n v="0"/>
    <n v="4285"/>
    <n v="32075"/>
    <n v="-27790"/>
    <m/>
    <n v="-27790"/>
    <x v="2"/>
  </r>
  <r>
    <s v="Round Off - Purchases"/>
    <n v="0"/>
    <n v="86.97"/>
    <n v="81.7"/>
    <n v="5.27"/>
    <m/>
    <n v="5.27"/>
    <x v="0"/>
  </r>
  <r>
    <s v="C &amp; F  Charges  - Import"/>
    <n v="0"/>
    <n v="6428818.4800000004"/>
    <n v="0"/>
    <n v="6428818.4800000004"/>
    <m/>
    <n v="6428818.4800000004"/>
    <x v="0"/>
  </r>
  <r>
    <s v="Freight Inward Expense (RCM)"/>
    <n v="0"/>
    <n v="531840"/>
    <n v="35000"/>
    <n v="496840"/>
    <m/>
    <n v="496840"/>
    <x v="2"/>
  </r>
  <r>
    <s v="Freight Inward Expense (With GST)"/>
    <n v="0"/>
    <n v="145339.39000000001"/>
    <n v="200"/>
    <n v="145139.39000000001"/>
    <m/>
    <n v="145139.39000000001"/>
    <x v="2"/>
  </r>
  <r>
    <s v="Advance Licence Fee Expense"/>
    <n v="0"/>
    <n v="26500"/>
    <n v="0"/>
    <n v="26500"/>
    <m/>
    <n v="26500"/>
    <x v="0"/>
  </r>
  <r>
    <s v="Factory Expense"/>
    <n v="0"/>
    <n v="341749"/>
    <n v="0"/>
    <n v="341749"/>
    <m/>
    <n v="341749"/>
    <x v="3"/>
  </r>
  <r>
    <s v="Labour Charges"/>
    <n v="0"/>
    <n v="15692281.130000001"/>
    <n v="143904"/>
    <n v="15548377.130000001"/>
    <m/>
    <n v="15548377.130000001"/>
    <x v="4"/>
  </r>
  <r>
    <s v="Power Expense"/>
    <n v="0"/>
    <n v="12340121"/>
    <n v="0"/>
    <n v="12340121"/>
    <n v="1322071"/>
    <n v="13662192"/>
    <x v="5"/>
  </r>
  <r>
    <s v="Rent Expense - Colony"/>
    <n v="0"/>
    <n v="3887100"/>
    <n v="0"/>
    <n v="3887100"/>
    <m/>
    <n v="3887100"/>
    <x v="3"/>
  </r>
  <r>
    <s v="Rent Expenses - Machineries"/>
    <n v="0"/>
    <n v="1450000"/>
    <n v="0"/>
    <n v="1450000"/>
    <m/>
    <n v="1450000"/>
    <x v="3"/>
  </r>
  <r>
    <s v="Exchange Rate Difference - Creditor"/>
    <n v="0"/>
    <n v="313632"/>
    <n v="30486.47"/>
    <n v="283145.53000000003"/>
    <m/>
    <n v="283145.53000000003"/>
    <x v="0"/>
  </r>
  <r>
    <s v="Job Charges"/>
    <n v="0"/>
    <n v="52727872.740000002"/>
    <n v="55384.56"/>
    <n v="52672488.18"/>
    <m/>
    <n v="52672488.18"/>
    <x v="6"/>
  </r>
  <r>
    <s v="Loading &amp; Unloading Expense"/>
    <n v="0"/>
    <n v="181710"/>
    <n v="0"/>
    <n v="181710"/>
    <m/>
    <n v="181710"/>
    <x v="7"/>
  </r>
  <r>
    <s v="Water Charges"/>
    <n v="0"/>
    <n v="644249"/>
    <n v="96272"/>
    <n v="547977"/>
    <m/>
    <n v="547977"/>
    <x v="3"/>
  </r>
  <r>
    <s v="Repairs &amp; Maintenance Exp - Plant &amp; Machinery"/>
    <n v="0"/>
    <n v="1622151.85"/>
    <n v="0"/>
    <n v="1622151.85"/>
    <m/>
    <n v="1622151.85"/>
    <x v="8"/>
  </r>
  <r>
    <s v="Purchase Raw Material - Direct Import"/>
    <n v="0"/>
    <n v="27922269.699999999"/>
    <n v="0"/>
    <n v="27922269.699999999"/>
    <m/>
    <n v="27922269.699999999"/>
    <x v="9"/>
  </r>
  <r>
    <s v="Purchase Withinstate- Packing Material"/>
    <n v="0"/>
    <n v="3903950.5"/>
    <n v="1750"/>
    <n v="3902200.5"/>
    <m/>
    <n v="3902200.5"/>
    <x v="10"/>
  </r>
  <r>
    <s v="Purchase In Transit"/>
    <n v="0"/>
    <n v="0"/>
    <n v="36870023"/>
    <n v="-36870023"/>
    <m/>
    <n v="-36870023"/>
    <x v="0"/>
  </r>
  <r>
    <s v="Purchase Interstate - Raw Material"/>
    <n v="0"/>
    <n v="6530859.4000000004"/>
    <n v="0"/>
    <n v="6530859.4000000004"/>
    <m/>
    <n v="6530859.4000000004"/>
    <x v="9"/>
  </r>
  <r>
    <s v="Purchase Withinstate - Raw Material"/>
    <n v="0"/>
    <n v="235562698.75"/>
    <n v="0"/>
    <n v="235562698.75"/>
    <m/>
    <n v="235562698.75"/>
    <x v="9"/>
  </r>
  <r>
    <s v="Purchase - Urd - Stores, Spares &amp; Consumable"/>
    <n v="0"/>
    <n v="13513"/>
    <n v="0"/>
    <n v="13513"/>
    <m/>
    <n v="13513"/>
    <x v="11"/>
  </r>
  <r>
    <s v="Purchase Interstate- Stores, Spares &amp; Consumable"/>
    <n v="0"/>
    <n v="4199693.8499999996"/>
    <n v="0"/>
    <n v="4199693.8499999996"/>
    <m/>
    <n v="4199693.8499999996"/>
    <x v="11"/>
  </r>
  <r>
    <s v="Purchase Return - Stores, Spares &amp; Consumable"/>
    <n v="0"/>
    <n v="54130"/>
    <n v="48300"/>
    <n v="5830"/>
    <m/>
    <n v="5830"/>
    <x v="11"/>
  </r>
  <r>
    <s v="Purchase Withinstate- Stores, Spares &amp; Consumable"/>
    <n v="0"/>
    <n v="6557054.3300000001"/>
    <n v="0"/>
    <n v="6557054.3300000001"/>
    <m/>
    <n v="6557054.3300000001"/>
    <x v="11"/>
  </r>
  <r>
    <s v="Purchase Raw Material - High Seas"/>
    <n v="0"/>
    <n v="18230800"/>
    <n v="0"/>
    <n v="18230800"/>
    <m/>
    <n v="18230800"/>
    <x v="9"/>
  </r>
  <r>
    <s v="Business Promotion Expense"/>
    <n v="0"/>
    <n v="58000"/>
    <n v="0"/>
    <n v="58000"/>
    <m/>
    <n v="58000"/>
    <x v="3"/>
  </r>
  <r>
    <s v="Conveyance Expenses"/>
    <n v="0"/>
    <n v="103790"/>
    <n v="0"/>
    <n v="103790"/>
    <m/>
    <n v="103790"/>
    <x v="12"/>
  </r>
  <r>
    <s v="Corporate social responsibility"/>
    <n v="0"/>
    <n v="137398"/>
    <n v="0"/>
    <n v="137398"/>
    <m/>
    <n v="137398"/>
    <x v="3"/>
  </r>
  <r>
    <s v="Discount &amp; Rebate On Sale"/>
    <n v="0"/>
    <n v="0"/>
    <n v="1.1100000000000001"/>
    <n v="-1.1100000000000001"/>
    <m/>
    <n v="-1.1100000000000001"/>
    <x v="0"/>
  </r>
  <r>
    <s v="Donation &amp; Charity A/C"/>
    <n v="0"/>
    <n v="100000"/>
    <n v="0"/>
    <n v="100000"/>
    <m/>
    <n v="100000"/>
    <x v="3"/>
  </r>
  <r>
    <s v="Electrical Expense"/>
    <n v="0"/>
    <n v="10000"/>
    <n v="0"/>
    <n v="10000"/>
    <m/>
    <n v="10000"/>
    <x v="3"/>
  </r>
  <r>
    <s v="House Keeping Expense"/>
    <n v="0"/>
    <n v="1476276.2"/>
    <n v="0"/>
    <n v="1476276.2"/>
    <m/>
    <n v="1476276.2"/>
    <x v="8"/>
  </r>
  <r>
    <s v="Membership &amp; Subscription Fees"/>
    <n v="0"/>
    <n v="4550"/>
    <n v="0"/>
    <n v="4550"/>
    <n v="-4550"/>
    <n v="0"/>
    <x v="3"/>
  </r>
  <r>
    <s v="Miscellaneous Expense"/>
    <n v="0"/>
    <n v="70058"/>
    <n v="0"/>
    <n v="70058"/>
    <m/>
    <n v="70058"/>
    <x v="3"/>
  </r>
  <r>
    <s v="Mobile &amp; Telephone Expense"/>
    <n v="0"/>
    <n v="20137"/>
    <n v="0"/>
    <n v="20137"/>
    <m/>
    <n v="20137"/>
    <x v="3"/>
  </r>
  <r>
    <s v="Office Expenses"/>
    <n v="0"/>
    <n v="95576"/>
    <n v="0"/>
    <n v="95576"/>
    <m/>
    <n v="95576"/>
    <x v="3"/>
  </r>
  <r>
    <s v="Petrol &amp; Diesel Expense - Other Vehicles"/>
    <n v="0"/>
    <n v="94290.2"/>
    <n v="0"/>
    <n v="94290.2"/>
    <m/>
    <n v="94290.2"/>
    <x v="12"/>
  </r>
  <r>
    <s v="Postage &amp; Courier Expense"/>
    <n v="0"/>
    <n v="33980"/>
    <n v="0"/>
    <n v="33980"/>
    <m/>
    <n v="33980"/>
    <x v="3"/>
  </r>
  <r>
    <s v="Printing &amp; Stationery Expense"/>
    <n v="0"/>
    <n v="130683"/>
    <n v="0"/>
    <n v="130683"/>
    <m/>
    <n v="130683"/>
    <x v="3"/>
  </r>
  <r>
    <s v="Round Off"/>
    <n v="0"/>
    <n v="69.97"/>
    <n v="57.17"/>
    <n v="12.8"/>
    <m/>
    <n v="12.8"/>
    <x v="0"/>
  </r>
  <r>
    <s v="Security Expenses"/>
    <n v="0"/>
    <n v="1125473"/>
    <n v="287468"/>
    <n v="838005"/>
    <m/>
    <n v="838005"/>
    <x v="3"/>
  </r>
  <r>
    <s v="Travelling Expense"/>
    <n v="0"/>
    <n v="546813"/>
    <n v="0"/>
    <n v="546813"/>
    <m/>
    <n v="546813"/>
    <x v="13"/>
  </r>
  <r>
    <s v="Xerox Expense"/>
    <n v="0"/>
    <n v="4500"/>
    <n v="0"/>
    <n v="4500"/>
    <m/>
    <n v="4500"/>
    <x v="3"/>
  </r>
  <r>
    <s v="Repairs &amp; Maintenance Exp - Building"/>
    <n v="0"/>
    <n v="777961.12"/>
    <n v="0"/>
    <n v="777961.12"/>
    <m/>
    <n v="777961.12"/>
    <x v="3"/>
  </r>
  <r>
    <s v="Repairs &amp; Maintenance Exp - Computer &amp; Printers"/>
    <n v="0"/>
    <n v="10281.36"/>
    <n v="0"/>
    <n v="10281.36"/>
    <m/>
    <n v="10281.36"/>
    <x v="3"/>
  </r>
  <r>
    <s v="Repairs &amp; Maintenance Exp - Electric"/>
    <n v="0"/>
    <n v="53481.96"/>
    <n v="0"/>
    <n v="53481.96"/>
    <m/>
    <n v="53481.96"/>
    <x v="3"/>
  </r>
  <r>
    <s v="Repairs &amp; Maintenance Exp - Motor Cars"/>
    <n v="0"/>
    <n v="50"/>
    <n v="0"/>
    <n v="50"/>
    <m/>
    <n v="50"/>
    <x v="3"/>
  </r>
  <r>
    <s v="Repairs &amp; Maintenance Exp - Others"/>
    <n v="0"/>
    <n v="44688.1"/>
    <n v="2110"/>
    <n v="42578.1"/>
    <m/>
    <n v="42578.1"/>
    <x v="3"/>
  </r>
  <r>
    <s v="Vehicle Hire Charges - RCM"/>
    <n v="0"/>
    <n v="145600"/>
    <n v="0"/>
    <n v="145600"/>
    <m/>
    <n v="145600"/>
    <x v="12"/>
  </r>
  <r>
    <s v="Vehicle Hire Charges - With Gst"/>
    <n v="0"/>
    <n v="320000"/>
    <n v="0"/>
    <n v="320000"/>
    <m/>
    <n v="320000"/>
    <x v="12"/>
  </r>
  <r>
    <s v="Depreciation Expenses"/>
    <n v="0"/>
    <n v="12595510.210000001"/>
    <n v="0"/>
    <n v="12595510.210000001"/>
    <m/>
    <n v="12595510.210000001"/>
    <x v="14"/>
  </r>
  <r>
    <s v="Employees Benefit Expense (Esop)"/>
    <n v="0"/>
    <n v="60245"/>
    <n v="0"/>
    <n v="60245"/>
    <m/>
    <n v="60245"/>
    <x v="15"/>
  </r>
  <r>
    <s v="P.F. Admin. Charge"/>
    <n v="0"/>
    <n v="93158"/>
    <n v="26644"/>
    <n v="66514"/>
    <m/>
    <n v="66514"/>
    <x v="16"/>
  </r>
  <r>
    <s v="P.F. Contribution - Employer"/>
    <n v="0"/>
    <n v="2326749"/>
    <n v="665196"/>
    <n v="1661553"/>
    <m/>
    <n v="1661553"/>
    <x v="16"/>
  </r>
  <r>
    <s v="Allowance - Books &amp; Periodicals"/>
    <n v="0"/>
    <n v="187196"/>
    <n v="0"/>
    <n v="187196"/>
    <m/>
    <n v="187196"/>
    <x v="17"/>
  </r>
  <r>
    <s v="Allowance - Canteen"/>
    <n v="0"/>
    <n v="4810535.7300000004"/>
    <n v="347978"/>
    <n v="4462557.7300000004"/>
    <m/>
    <n v="4462557.7300000004"/>
    <x v="17"/>
  </r>
  <r>
    <s v="Allowance - Children Education &amp; Hostel"/>
    <n v="0"/>
    <n v="12457"/>
    <n v="0"/>
    <n v="12457"/>
    <m/>
    <n v="12457"/>
    <x v="17"/>
  </r>
  <r>
    <s v="Allowance - Conveyance"/>
    <n v="0"/>
    <n v="600"/>
    <n v="0"/>
    <n v="600"/>
    <m/>
    <n v="600"/>
    <x v="17"/>
  </r>
  <r>
    <s v="Allowance - House Rent"/>
    <n v="0"/>
    <n v="9980884"/>
    <n v="0"/>
    <n v="9980884"/>
    <m/>
    <n v="9980884"/>
    <x v="17"/>
  </r>
  <r>
    <s v="Allowance - Leave Travels"/>
    <n v="0"/>
    <n v="884620"/>
    <n v="0"/>
    <n v="884620"/>
    <m/>
    <n v="884620"/>
    <x v="17"/>
  </r>
  <r>
    <s v="Allowance - Medical"/>
    <n v="0"/>
    <n v="410765"/>
    <n v="0"/>
    <n v="410765"/>
    <m/>
    <n v="410765"/>
    <x v="17"/>
  </r>
  <r>
    <s v="Allowance - Other"/>
    <n v="0"/>
    <n v="470369"/>
    <n v="0"/>
    <n v="470369"/>
    <m/>
    <n v="470369"/>
    <x v="17"/>
  </r>
  <r>
    <s v="Allowance - Special"/>
    <n v="0"/>
    <n v="880440"/>
    <n v="0"/>
    <n v="880440"/>
    <m/>
    <n v="880440"/>
    <x v="17"/>
  </r>
  <r>
    <s v="Allowance - Transport"/>
    <n v="0"/>
    <n v="299240"/>
    <n v="0"/>
    <n v="299240"/>
    <m/>
    <n v="299240"/>
    <x v="17"/>
  </r>
  <r>
    <s v="Allowance - Uniform / Attire"/>
    <n v="0"/>
    <n v="924371"/>
    <n v="0"/>
    <n v="924371"/>
    <m/>
    <n v="924371"/>
    <x v="17"/>
  </r>
  <r>
    <s v="Allowance - Vehicle Maintenance"/>
    <n v="0"/>
    <n v="20384"/>
    <n v="0"/>
    <n v="20384"/>
    <m/>
    <n v="20384"/>
    <x v="17"/>
  </r>
  <r>
    <s v="Allowance - Washing"/>
    <n v="0"/>
    <n v="3491391.57"/>
    <n v="0"/>
    <n v="3491391.57"/>
    <m/>
    <n v="3491391.57"/>
    <x v="17"/>
  </r>
  <r>
    <s v="Att. Bonus (Salary Part)"/>
    <n v="0"/>
    <n v="297150"/>
    <n v="0"/>
    <n v="297150"/>
    <m/>
    <n v="297150"/>
    <x v="17"/>
  </r>
  <r>
    <s v="Employers Contribution to ESI"/>
    <n v="0"/>
    <n v="1110240"/>
    <n v="321950"/>
    <n v="788290"/>
    <m/>
    <n v="788290"/>
    <x v="17"/>
  </r>
  <r>
    <s v="Gratuity Expense"/>
    <n v="0"/>
    <n v="923585"/>
    <n v="0"/>
    <n v="923585"/>
    <m/>
    <n v="923585"/>
    <x v="17"/>
  </r>
  <r>
    <s v="Incentive Expense - Attendence"/>
    <n v="0"/>
    <n v="1735919"/>
    <n v="0"/>
    <n v="1735919"/>
    <m/>
    <n v="1735919"/>
    <x v="17"/>
  </r>
  <r>
    <s v="Incentive Expense - Production"/>
    <n v="0"/>
    <n v="5039456"/>
    <n v="0"/>
    <n v="5039456"/>
    <m/>
    <n v="5039456"/>
    <x v="17"/>
  </r>
  <r>
    <s v="Other Deduction"/>
    <n v="0"/>
    <n v="0"/>
    <n v="102409"/>
    <n v="-102409"/>
    <m/>
    <n v="-102409"/>
    <x v="17"/>
  </r>
  <r>
    <s v="Salaries Expense"/>
    <n v="0"/>
    <n v="15507686"/>
    <n v="0"/>
    <n v="15507686"/>
    <m/>
    <n v="15507686"/>
    <x v="17"/>
  </r>
  <r>
    <s v="Salary - Arrears"/>
    <n v="0"/>
    <n v="341631"/>
    <n v="0"/>
    <n v="341631"/>
    <m/>
    <n v="341631"/>
    <x v="17"/>
  </r>
  <r>
    <s v="Salary - Over Time"/>
    <n v="0"/>
    <n v="1238551.5"/>
    <n v="0"/>
    <n v="1238551.5"/>
    <m/>
    <n v="1238551.5"/>
    <x v="17"/>
  </r>
  <r>
    <s v="Canteen Expense - Factory"/>
    <n v="0"/>
    <n v="1064984.24"/>
    <n v="177135"/>
    <n v="887849.24"/>
    <m/>
    <n v="887849.24"/>
    <x v="15"/>
  </r>
  <r>
    <s v="Canteen Expense - Office"/>
    <n v="0"/>
    <n v="480"/>
    <n v="0"/>
    <n v="480"/>
    <m/>
    <n v="480"/>
    <x v="15"/>
  </r>
  <r>
    <s v="Medical Expense"/>
    <n v="0"/>
    <n v="76454"/>
    <n v="0"/>
    <n v="76454"/>
    <m/>
    <n v="76454"/>
    <x v="15"/>
  </r>
  <r>
    <s v="Bank Charges -  Export Collection"/>
    <n v="0"/>
    <n v="676676.76"/>
    <n v="1669.95"/>
    <n v="675006.81"/>
    <m/>
    <n v="675006.81"/>
    <x v="18"/>
  </r>
  <r>
    <s v="Bank Charges -  Inspection"/>
    <n v="0"/>
    <n v="29500"/>
    <n v="0"/>
    <n v="29500"/>
    <m/>
    <n v="29500"/>
    <x v="18"/>
  </r>
  <r>
    <s v="Bank Charges - Export"/>
    <n v="0"/>
    <n v="11254.8"/>
    <n v="0"/>
    <n v="11254.8"/>
    <m/>
    <n v="11254.8"/>
    <x v="18"/>
  </r>
  <r>
    <s v="Bank Charges - Export LC Advising"/>
    <n v="0"/>
    <n v="2360"/>
    <n v="0"/>
    <n v="2360"/>
    <m/>
    <n v="2360"/>
    <x v="18"/>
  </r>
  <r>
    <s v="Bank Charges - Import"/>
    <n v="0"/>
    <n v="76282.12"/>
    <n v="0"/>
    <n v="76282.12"/>
    <m/>
    <n v="76282.12"/>
    <x v="18"/>
  </r>
  <r>
    <s v="Bank Charges - LC"/>
    <n v="0"/>
    <n v="2920"/>
    <n v="0"/>
    <n v="2920"/>
    <m/>
    <n v="2920"/>
    <x v="18"/>
  </r>
  <r>
    <s v="Bank Charges - Postage &amp; Swift"/>
    <n v="0"/>
    <n v="6500"/>
    <n v="0"/>
    <n v="6500"/>
    <m/>
    <n v="6500"/>
    <x v="18"/>
  </r>
  <r>
    <s v="Bank Charges - Processing Fees"/>
    <n v="0"/>
    <n v="276710"/>
    <n v="0"/>
    <n v="276710"/>
    <m/>
    <n v="276710"/>
    <x v="18"/>
  </r>
  <r>
    <s v="Bank Charges- Others"/>
    <n v="0"/>
    <n v="1094172.76"/>
    <n v="708677.28"/>
    <n v="385495.48"/>
    <m/>
    <n v="385495.48"/>
    <x v="18"/>
  </r>
  <r>
    <s v="Exchange Rate Difference - Debtors"/>
    <n v="0"/>
    <n v="25347838.460000001"/>
    <n v="26652179"/>
    <n v="-1304340.54"/>
    <m/>
    <n v="-1304340.54"/>
    <x v="19"/>
  </r>
  <r>
    <s v="Exchange Rate Difference - Finance"/>
    <n v="0"/>
    <n v="39959.89"/>
    <n v="1928685.71"/>
    <n v="-1888725.82"/>
    <m/>
    <n v="-1888725.82"/>
    <x v="0"/>
  </r>
  <r>
    <s v="Interest Expense -  Term Loan"/>
    <n v="0"/>
    <n v="6299488"/>
    <n v="33543"/>
    <n v="6265945"/>
    <m/>
    <n v="6265945"/>
    <x v="20"/>
  </r>
  <r>
    <s v="Factoring Charges"/>
    <n v="0"/>
    <n v="522756.91"/>
    <n v="0"/>
    <n v="522756.91"/>
    <m/>
    <n v="522756.91"/>
    <x v="18"/>
  </r>
  <r>
    <s v="Interest Expense - EPC"/>
    <n v="0"/>
    <n v="7040240.2300000004"/>
    <n v="300091.02"/>
    <n v="6740149.21"/>
    <m/>
    <n v="6740149.21"/>
    <x v="1"/>
  </r>
  <r>
    <s v="Interest Expense - Factoring"/>
    <n v="0"/>
    <n v="1879800.78"/>
    <n v="1241108.68"/>
    <n v="638692.1"/>
    <m/>
    <n v="638692.1"/>
    <x v="1"/>
  </r>
  <r>
    <s v="Interest Expense - Late Payment"/>
    <n v="0"/>
    <n v="31469"/>
    <n v="0"/>
    <n v="31469"/>
    <m/>
    <n v="31469"/>
    <x v="1"/>
  </r>
  <r>
    <s v="Interest Expense - PCFC"/>
    <n v="0"/>
    <n v="3096745.43"/>
    <n v="0"/>
    <n v="3096745.43"/>
    <m/>
    <n v="3096745.43"/>
    <x v="1"/>
  </r>
  <r>
    <s v="Interest Expense - Working Capital"/>
    <n v="0"/>
    <n v="3086716.16"/>
    <n v="19515"/>
    <n v="3067201.16"/>
    <m/>
    <n v="3067201.16"/>
    <x v="21"/>
  </r>
  <r>
    <s v="Interest Expense - Other"/>
    <n v="0"/>
    <n v="560582.78"/>
    <n v="56823"/>
    <n v="503759.78"/>
    <m/>
    <n v="503759.78"/>
    <x v="1"/>
  </r>
  <r>
    <s v="Audit Fees - Statutory Audit"/>
    <n v="0"/>
    <n v="625000"/>
    <n v="500000"/>
    <n v="125000"/>
    <n v="500000"/>
    <n v="625000"/>
    <x v="3"/>
  </r>
  <r>
    <s v="GST Expenses"/>
    <n v="0"/>
    <n v="271.67"/>
    <n v="0"/>
    <n v="271.67"/>
    <m/>
    <n v="271.67"/>
    <x v="0"/>
  </r>
  <r>
    <s v="Interest On GST"/>
    <n v="0"/>
    <n v="370"/>
    <n v="0"/>
    <n v="370"/>
    <m/>
    <n v="370"/>
    <x v="0"/>
  </r>
  <r>
    <s v="Interest On TDS"/>
    <n v="0"/>
    <n v="890"/>
    <n v="0"/>
    <n v="890"/>
    <m/>
    <n v="890"/>
    <x v="0"/>
  </r>
  <r>
    <s v="Stamp Duty Expense"/>
    <n v="0"/>
    <n v="2324615"/>
    <n v="0"/>
    <n v="2324615"/>
    <m/>
    <n v="2324615"/>
    <x v="3"/>
  </r>
  <r>
    <s v="Insurance Expenses - Other"/>
    <n v="0"/>
    <n v="392518.8"/>
    <n v="0"/>
    <n v="392518.8"/>
    <m/>
    <n v="392518.8"/>
    <x v="22"/>
  </r>
  <r>
    <s v="Advocate Fees Expense"/>
    <n v="0"/>
    <n v="4000"/>
    <n v="0"/>
    <n v="4000"/>
    <m/>
    <n v="4000"/>
    <x v="3"/>
  </r>
  <r>
    <s v="Legal Expense"/>
    <n v="0"/>
    <n v="6320"/>
    <n v="0"/>
    <n v="6320"/>
    <m/>
    <n v="6320"/>
    <x v="3"/>
  </r>
  <r>
    <s v="Professional &amp; Consultancy Fees"/>
    <n v="0"/>
    <n v="1449403.97"/>
    <n v="243750"/>
    <n v="1205653.97"/>
    <m/>
    <n v="1205653.97"/>
    <x v="3"/>
  </r>
  <r>
    <s v="Balance Written Off Expense"/>
    <n v="0"/>
    <n v="0.85"/>
    <n v="10.89"/>
    <n v="-10.039999999999999"/>
    <m/>
    <n v="-10.039999999999999"/>
    <x v="3"/>
  </r>
  <r>
    <s v="C &amp; F  Charges - Export"/>
    <n v="0"/>
    <n v="5404414.5999999996"/>
    <n v="4081.36"/>
    <n v="5400333.2400000002"/>
    <m/>
    <n v="5400333.2400000002"/>
    <x v="7"/>
  </r>
  <r>
    <s v="Discount &amp; Rate Difference - Sales"/>
    <n v="0"/>
    <n v="68300.75"/>
    <n v="1.25"/>
    <n v="68299.5"/>
    <m/>
    <n v="68299.5"/>
    <x v="23"/>
  </r>
  <r>
    <s v="Discount -Early Payment - Sales"/>
    <n v="0"/>
    <n v="16073.88"/>
    <n v="0"/>
    <n v="16073.88"/>
    <m/>
    <n v="16073.88"/>
    <x v="7"/>
  </r>
  <r>
    <s v="Export related Certification Charges"/>
    <n v="0"/>
    <n v="3927.6"/>
    <n v="708"/>
    <n v="3219.6"/>
    <m/>
    <n v="3219.6"/>
    <x v="3"/>
  </r>
  <r>
    <s v="Freight Outward Expense  - Export"/>
    <n v="0"/>
    <n v="1143710"/>
    <n v="15711838.41"/>
    <n v="-14568128.41"/>
    <n v="-10733989"/>
    <n v="-3834139.41"/>
    <x v="7"/>
  </r>
  <r>
    <s v="Freight Outward Expense (RCM)"/>
    <n v="0"/>
    <n v="1380000"/>
    <n v="0"/>
    <n v="1380000"/>
    <m/>
    <n v="1380000"/>
    <x v="7"/>
  </r>
  <r>
    <s v="Freight Outward Expense (With GST)"/>
    <n v="0"/>
    <n v="4196295.8899999997"/>
    <n v="11500"/>
    <n v="4184795.89"/>
    <m/>
    <n v="4184795.89"/>
    <x v="7"/>
  </r>
  <r>
    <s v="Fumigation Charges"/>
    <n v="0"/>
    <n v="138600"/>
    <n v="0"/>
    <n v="138600"/>
    <m/>
    <n v="138600"/>
    <x v="7"/>
  </r>
  <r>
    <s v="Ground Rent Charges"/>
    <n v="0"/>
    <n v="29703.9"/>
    <n v="0"/>
    <n v="29703.9"/>
    <m/>
    <n v="29703.9"/>
    <x v="7"/>
  </r>
  <r>
    <s v="Insurance Expense - Ecgc - Pc"/>
    <n v="0"/>
    <n v="2495918.61"/>
    <n v="0"/>
    <n v="2495918.61"/>
    <m/>
    <n v="2495918.61"/>
    <x v="7"/>
  </r>
  <r>
    <s v="Insurance Expenses - Marine"/>
    <n v="0"/>
    <n v="0"/>
    <n v="48754.82"/>
    <n v="-48754.82"/>
    <m/>
    <n v="-48754.82"/>
    <x v="0"/>
  </r>
  <r>
    <s v="Sales - Interstate - Manufactured Goods"/>
    <n v="0"/>
    <n v="0"/>
    <n v="10935409"/>
    <n v="-10935409"/>
    <m/>
    <n v="-10935409"/>
    <x v="23"/>
  </r>
  <r>
    <s v="Sales - Within State  Manufactured Goods"/>
    <n v="0"/>
    <n v="478700.42"/>
    <n v="226305097.66999999"/>
    <n v="-225826397.25"/>
    <m/>
    <n v="-225826397.25"/>
    <x v="23"/>
  </r>
  <r>
    <s v="Sales - Direct Export - Mfg - U/B"/>
    <n v="0"/>
    <n v="0"/>
    <n v="190377922.99000001"/>
    <n v="-190377922.99000001"/>
    <m/>
    <n v="-190377922.99000001"/>
    <x v="23"/>
  </r>
  <r>
    <s v="Sales - Direct Export - Mfg - U/R"/>
    <n v="0"/>
    <n v="0"/>
    <n v="129782724.94"/>
    <n v="-129782724.94"/>
    <m/>
    <n v="-129782724.94"/>
    <x v="23"/>
  </r>
  <r>
    <s v="Job Work Income"/>
    <n v="0"/>
    <n v="0"/>
    <n v="22611020.120000001"/>
    <n v="-22611020.120000001"/>
    <m/>
    <n v="-22611020.120000001"/>
    <x v="24"/>
  </r>
  <r>
    <s v="Rent Income"/>
    <n v="0"/>
    <n v="200000"/>
    <n v="0"/>
    <n v="200000"/>
    <m/>
    <n v="200000"/>
    <x v="25"/>
  </r>
  <r>
    <s v="Sales - Kasez - Trading - U/B"/>
    <n v="0"/>
    <n v="0"/>
    <n v="150900"/>
    <n v="-150900"/>
    <m/>
    <n v="-150900"/>
    <x v="26"/>
  </r>
  <r>
    <s v="Sales - Interstate - Traded Goods"/>
    <n v="0"/>
    <n v="0"/>
    <n v="70944"/>
    <n v="-70944"/>
    <m/>
    <n v="-70944"/>
    <x v="26"/>
  </r>
  <r>
    <s v="Sales - Within State - Traded Goods"/>
    <n v="0"/>
    <n v="0"/>
    <n v="5021576.08"/>
    <n v="-5021576.08"/>
    <m/>
    <n v="-5021576.08"/>
    <x v="26"/>
  </r>
  <r>
    <s v="Sales - Waste &amp; Scrape"/>
    <n v="0"/>
    <n v="0"/>
    <n v="2381880"/>
    <n v="-2381880"/>
    <m/>
    <n v="-2381880"/>
    <x v="27"/>
  </r>
  <r>
    <s v="Miscellaneous Income"/>
    <n v="0"/>
    <n v="8.6300000000000008"/>
    <n v="0"/>
    <n v="8.6300000000000008"/>
    <m/>
    <n v="8.6300000000000008"/>
    <x v="0"/>
  </r>
  <r>
    <s v="Profit Or Loss On Sale Of Fixed Assets"/>
    <n v="0"/>
    <n v="483101"/>
    <n v="170029.59"/>
    <n v="313071.40999999997"/>
    <m/>
    <n v="313071.40999999997"/>
    <x v="28"/>
  </r>
  <r>
    <s v="Balance Written Back Income"/>
    <n v="0"/>
    <n v="0"/>
    <n v="554332.07999999996"/>
    <n v="-554332.07999999996"/>
    <m/>
    <n v="-554332.07999999996"/>
    <x v="29"/>
  </r>
  <r>
    <s v="Deffered Tax Liability A/c"/>
    <n v="-12205204.52"/>
    <n v="0"/>
    <n v="0"/>
    <n v="-12205204.52"/>
    <m/>
    <n v="-12205204.52"/>
    <x v="0"/>
  </r>
  <r>
    <s v="General Reserve"/>
    <n v="-444856832.20999998"/>
    <n v="0"/>
    <n v="0"/>
    <n v="-444856832.20999998"/>
    <m/>
    <n v="-444856832.20999998"/>
    <x v="0"/>
  </r>
  <r>
    <s v="Share Base Payment Reserve (Esop)"/>
    <n v="-1497794"/>
    <n v="0"/>
    <n v="60245"/>
    <n v="-1558039"/>
    <m/>
    <n v="-1558039"/>
    <x v="0"/>
  </r>
  <r>
    <s v="Share Premium"/>
    <n v="-88032460"/>
    <n v="0"/>
    <n v="0"/>
    <n v="-88032460"/>
    <m/>
    <n v="-88032460"/>
    <x v="0"/>
  </r>
  <r>
    <s v="Paid Up Equity Share Capital"/>
    <n v="-3559700"/>
    <n v="0"/>
    <n v="0"/>
    <n v="-3559700"/>
    <m/>
    <n v="-3559700"/>
    <x v="0"/>
  </r>
  <r>
    <s v="CGST Output A/c"/>
    <n v="0"/>
    <n v="22281158.5"/>
    <n v="22281160.300000001"/>
    <n v="-1.8"/>
    <m/>
    <n v="-1.8"/>
    <x v="0"/>
  </r>
  <r>
    <s v="GST Payable A/c"/>
    <n v="-27624138.809999999"/>
    <n v="97397139"/>
    <n v="69772994.760000005"/>
    <n v="5.43"/>
    <m/>
    <n v="5.43"/>
    <x v="0"/>
  </r>
  <r>
    <s v="GST RCM payable A/c"/>
    <n v="-1788030.1"/>
    <n v="2079720.5"/>
    <n v="564946"/>
    <n v="-273255.59999999998"/>
    <m/>
    <n v="-273255.59999999998"/>
    <x v="0"/>
  </r>
  <r>
    <s v="IGST Output A/c"/>
    <n v="0"/>
    <n v="25330074.620000001"/>
    <n v="25330074.620000001"/>
    <n v="0"/>
    <m/>
    <n v="0"/>
    <x v="0"/>
  </r>
  <r>
    <s v="SGST Output A/c"/>
    <n v="0"/>
    <n v="22281158.5"/>
    <n v="22281160.300000001"/>
    <n v="-1.8"/>
    <m/>
    <n v="-1.8"/>
    <x v="0"/>
  </r>
  <r>
    <s v="Professional Tax Liability A/c"/>
    <n v="-128600"/>
    <n v="314800"/>
    <n v="303000"/>
    <n v="-116800"/>
    <m/>
    <n v="-116800"/>
    <x v="0"/>
  </r>
  <r>
    <s v="TCS on Sales 20-21"/>
    <n v="0"/>
    <n v="0"/>
    <n v="0"/>
    <n v="0"/>
    <m/>
    <n v="0"/>
    <x v="0"/>
  </r>
  <r>
    <s v="TCS On Sales 21-22"/>
    <n v="-0.01"/>
    <n v="0"/>
    <n v="0"/>
    <n v="-0.01"/>
    <m/>
    <n v="-0.01"/>
    <x v="0"/>
  </r>
  <r>
    <s v="TCS On Sales 23-24"/>
    <n v="0"/>
    <n v="0"/>
    <n v="0"/>
    <n v="0"/>
    <m/>
    <n v="0"/>
    <x v="0"/>
  </r>
  <r>
    <s v="Tcs On Sales 24-25"/>
    <n v="0.09"/>
    <n v="0"/>
    <n v="0"/>
    <n v="0.09"/>
    <m/>
    <n v="0.09"/>
    <x v="0"/>
  </r>
  <r>
    <s v="Tcs On Sales 25-26"/>
    <n v="-1541.53"/>
    <n v="1542"/>
    <n v="0"/>
    <n v="0.47"/>
    <m/>
    <n v="0.47"/>
    <x v="0"/>
  </r>
  <r>
    <s v="Tcs On Sales 26-27"/>
    <n v="0"/>
    <n v="8870"/>
    <n v="55712.01"/>
    <n v="-46842.01"/>
    <m/>
    <n v="-46842.01"/>
    <x v="0"/>
  </r>
  <r>
    <s v="TDS -192 (Salary)"/>
    <n v="-40000"/>
    <n v="40000"/>
    <n v="40000"/>
    <n v="-40000"/>
    <m/>
    <n v="-40000"/>
    <x v="0"/>
  </r>
  <r>
    <s v="TDS -194C (Contractor)"/>
    <n v="-24187"/>
    <n v="1579315"/>
    <n v="1933128"/>
    <n v="-378000"/>
    <m/>
    <n v="-378000"/>
    <x v="0"/>
  </r>
  <r>
    <s v="TDS -194H (Commission)"/>
    <n v="0"/>
    <n v="0"/>
    <n v="0"/>
    <n v="0"/>
    <m/>
    <n v="0"/>
    <x v="0"/>
  </r>
  <r>
    <s v="TDS -194I (Rent)"/>
    <n v="-4000"/>
    <n v="266000"/>
    <n v="262000"/>
    <n v="0"/>
    <m/>
    <n v="0"/>
    <x v="0"/>
  </r>
  <r>
    <s v="TDS -194J (Professional)"/>
    <n v="-6160.01"/>
    <n v="176106"/>
    <n v="169946"/>
    <n v="-0.01"/>
    <m/>
    <n v="-0.01"/>
    <x v="0"/>
  </r>
  <r>
    <s v="TDS -194Q (Goods)"/>
    <n v="-0.01"/>
    <n v="258717.09"/>
    <n v="252190.07999999999"/>
    <n v="6527"/>
    <m/>
    <n v="6527"/>
    <x v="0"/>
  </r>
  <r>
    <s v="TDS Payable U/S 194"/>
    <n v="-2290689.1800000002"/>
    <n v="4891865"/>
    <n v="4167317.68"/>
    <n v="-1566141.86"/>
    <m/>
    <n v="-1566141.86"/>
    <x v="0"/>
  </r>
  <r>
    <s v="Bonus Payable"/>
    <n v="-870981"/>
    <n v="0"/>
    <n v="0"/>
    <n v="-870981"/>
    <m/>
    <n v="-870981"/>
    <x v="0"/>
  </r>
  <r>
    <s v="Employees Contribution to ESI"/>
    <n v="-43685.8"/>
    <n v="257423"/>
    <n v="181807"/>
    <n v="31930.2"/>
    <m/>
    <n v="31930.2"/>
    <x v="0"/>
  </r>
  <r>
    <s v="Employees Contribution to PF - Factory"/>
    <n v="-1279831.54"/>
    <n v="2235808"/>
    <n v="1592064"/>
    <n v="-636087.54"/>
    <m/>
    <n v="-636087.54"/>
    <x v="0"/>
  </r>
  <r>
    <s v="Full &amp; Final Settlement Payable"/>
    <n v="0"/>
    <n v="100163.12"/>
    <n v="12490"/>
    <n v="87673.12"/>
    <m/>
    <n v="87673.12"/>
    <x v="0"/>
  </r>
  <r>
    <s v="Gratuity Payable"/>
    <n v="-9060315"/>
    <n v="0"/>
    <n v="923585"/>
    <n v="-9983900"/>
    <m/>
    <n v="-9983900"/>
    <x v="0"/>
  </r>
  <r>
    <s v="Salary &amp; Wages Payable"/>
    <n v="-31239162.649999999"/>
    <n v="55135263"/>
    <n v="40115968.799999997"/>
    <n v="-16219868.449999999"/>
    <m/>
    <n v="-16219868.449999999"/>
    <x v="0"/>
  </r>
  <r>
    <s v="Unpaid Salary"/>
    <n v="0"/>
    <n v="1363870"/>
    <n v="1366140"/>
    <n v="-2270"/>
    <m/>
    <n v="-2270"/>
    <x v="0"/>
  </r>
  <r>
    <s v="Interest to MSME Vendors Payable"/>
    <n v="-56823"/>
    <n v="56823"/>
    <n v="225302"/>
    <n v="-225302"/>
    <m/>
    <n v="-225302"/>
    <x v="1"/>
  </r>
  <r>
    <s v="Suspense A/c"/>
    <n v="1"/>
    <n v="0"/>
    <n v="0"/>
    <n v="1"/>
    <m/>
    <n v="1"/>
    <x v="0"/>
  </r>
  <r>
    <s v="Supplier (Provisional)"/>
    <n v="-11132423"/>
    <n v="11132423"/>
    <n v="0"/>
    <n v="0"/>
    <m/>
    <n v="0"/>
    <x v="0"/>
  </r>
  <r>
    <s v="Hafi Elektra Pvt Ltd"/>
    <n v="0"/>
    <n v="19200"/>
    <n v="0"/>
    <n v="19200"/>
    <m/>
    <n v="19200"/>
    <x v="0"/>
  </r>
  <r>
    <s v="Lohia Corp Limited - 29AAKCK2932Q1ZS - Kar"/>
    <n v="0"/>
    <n v="0"/>
    <n v="8078.11"/>
    <n v="-8078.11"/>
    <m/>
    <n v="-8078.11"/>
    <x v="0"/>
  </r>
  <r>
    <s v="Revive System"/>
    <n v="0"/>
    <n v="40179"/>
    <n v="40179"/>
    <n v="0"/>
    <m/>
    <n v="0"/>
    <x v="0"/>
  </r>
  <r>
    <s v="Abhinandan Plastopack"/>
    <n v="-6336"/>
    <n v="6336"/>
    <n v="0"/>
    <n v="0"/>
    <m/>
    <n v="0"/>
    <x v="0"/>
  </r>
  <r>
    <s v="Ashirvad Paper Solution"/>
    <n v="0"/>
    <n v="10535"/>
    <n v="10535"/>
    <n v="0"/>
    <m/>
    <n v="0"/>
    <x v="0"/>
  </r>
  <r>
    <s v="Deluxe Plastic Works"/>
    <n v="-0.2"/>
    <n v="0"/>
    <n v="2773"/>
    <n v="-2773.2"/>
    <m/>
    <n v="-2773.2"/>
    <x v="0"/>
  </r>
  <r>
    <s v="Labbdhi Paper Tubes Pvt Ltd"/>
    <n v="-15147"/>
    <n v="43615"/>
    <n v="38961"/>
    <n v="-10493"/>
    <m/>
    <n v="-10493"/>
    <x v="0"/>
  </r>
  <r>
    <s v="Metro Packaging"/>
    <n v="-135575"/>
    <n v="271150"/>
    <n v="135575"/>
    <n v="0"/>
    <m/>
    <n v="0"/>
    <x v="0"/>
  </r>
  <r>
    <s v="Moral Associates"/>
    <n v="0"/>
    <n v="0"/>
    <n v="0"/>
    <n v="0"/>
    <m/>
    <n v="0"/>
    <x v="0"/>
  </r>
  <r>
    <s v="Pravin Timber Works (Unit II)"/>
    <n v="0"/>
    <n v="0"/>
    <n v="0"/>
    <n v="0"/>
    <m/>
    <n v="0"/>
    <x v="0"/>
  </r>
  <r>
    <s v="Purbanchal Lumbers Pvt Ltd"/>
    <n v="-92736"/>
    <n v="92736"/>
    <n v="0"/>
    <n v="0"/>
    <m/>
    <n v="0"/>
    <x v="0"/>
  </r>
  <r>
    <s v="R G Enterprise"/>
    <n v="0"/>
    <n v="0"/>
    <n v="120741"/>
    <n v="-120741"/>
    <m/>
    <n v="-120741"/>
    <x v="0"/>
  </r>
  <r>
    <s v="Saanvi Pallets"/>
    <n v="0"/>
    <n v="0"/>
    <n v="0"/>
    <n v="0"/>
    <m/>
    <n v="0"/>
    <x v="0"/>
  </r>
  <r>
    <s v="Shiv Shakti Enterprise"/>
    <n v="-633655.30000000005"/>
    <n v="633655"/>
    <n v="0"/>
    <n v="-0.3"/>
    <m/>
    <n v="-0.3"/>
    <x v="0"/>
  </r>
  <r>
    <s v="Shree Rang Packaging"/>
    <n v="-72395.7"/>
    <n v="86909.36"/>
    <n v="14514"/>
    <n v="-0.34"/>
    <m/>
    <n v="-0.34"/>
    <x v="0"/>
  </r>
  <r>
    <s v="Siddheshwar Enterprise"/>
    <n v="-65926.83"/>
    <n v="0"/>
    <n v="0"/>
    <n v="-65926.83"/>
    <m/>
    <n v="-65926.83"/>
    <x v="0"/>
  </r>
  <r>
    <s v="Veeshna Polypack Pvt Ltd - Purchase"/>
    <n v="-479073.48"/>
    <n v="479073.48"/>
    <n v="0"/>
    <n v="0"/>
    <m/>
    <n v="0"/>
    <x v="0"/>
  </r>
  <r>
    <s v="4 A S Enterprises"/>
    <n v="0"/>
    <n v="5040"/>
    <n v="5040"/>
    <n v="0"/>
    <m/>
    <n v="0"/>
    <x v="0"/>
  </r>
  <r>
    <s v="A B Online"/>
    <n v="0"/>
    <n v="0"/>
    <n v="17228"/>
    <n v="-17228"/>
    <m/>
    <n v="-17228"/>
    <x v="0"/>
  </r>
  <r>
    <s v="A C Industries"/>
    <n v="-2985"/>
    <n v="0"/>
    <n v="0"/>
    <n v="-2985"/>
    <m/>
    <n v="-2985"/>
    <x v="0"/>
  </r>
  <r>
    <s v="A One Impex"/>
    <n v="-36573.800000000003"/>
    <n v="27281.599999999999"/>
    <n v="36580"/>
    <n v="-45872.2"/>
    <m/>
    <n v="-45872.2"/>
    <x v="0"/>
  </r>
  <r>
    <s v="A. Chokshi Engineering Pvt Ltd"/>
    <n v="0"/>
    <n v="0"/>
    <n v="0"/>
    <n v="0"/>
    <m/>
    <n v="0"/>
    <x v="0"/>
  </r>
  <r>
    <s v="A.Patel Engineering Works"/>
    <n v="47790"/>
    <n v="0"/>
    <n v="47790"/>
    <n v="0"/>
    <m/>
    <n v="0"/>
    <x v="0"/>
  </r>
  <r>
    <s v="Aarth Industries"/>
    <n v="-133056"/>
    <n v="133056"/>
    <n v="0"/>
    <n v="0"/>
    <m/>
    <n v="0"/>
    <x v="0"/>
  </r>
  <r>
    <s v="Accurate Rub Tech"/>
    <n v="-31860"/>
    <n v="87084"/>
    <n v="55224"/>
    <n v="0"/>
    <m/>
    <n v="0"/>
    <x v="0"/>
  </r>
  <r>
    <s v="Advance Cooling Systems Pvt. Ltd"/>
    <n v="0"/>
    <n v="0"/>
    <n v="0"/>
    <n v="0"/>
    <m/>
    <n v="0"/>
    <x v="0"/>
  </r>
  <r>
    <s v="Agarwal Enterprise"/>
    <n v="0"/>
    <n v="56994"/>
    <n v="82397"/>
    <n v="-25403"/>
    <m/>
    <n v="-25403"/>
    <x v="0"/>
  </r>
  <r>
    <s v="Ahmedabad Cotton Waste Co."/>
    <n v="-45937"/>
    <n v="64312"/>
    <n v="36960"/>
    <n v="-18585"/>
    <m/>
    <n v="-18585"/>
    <x v="0"/>
  </r>
  <r>
    <s v="Airavat Mro"/>
    <n v="0"/>
    <n v="0"/>
    <n v="0"/>
    <n v="0"/>
    <m/>
    <n v="0"/>
    <x v="0"/>
  </r>
  <r>
    <s v="Airmax Pneumatic Automation"/>
    <n v="0"/>
    <n v="44569"/>
    <n v="44569"/>
    <n v="0"/>
    <m/>
    <n v="0"/>
    <x v="0"/>
  </r>
  <r>
    <s v="AJ Technovations Private Limited"/>
    <n v="5168.22"/>
    <n v="88385.71"/>
    <n v="93555"/>
    <n v="-1.07"/>
    <m/>
    <n v="-1.07"/>
    <x v="0"/>
  </r>
  <r>
    <s v="Aksh Enterprise"/>
    <n v="0"/>
    <n v="18874"/>
    <n v="18874"/>
    <n v="0"/>
    <m/>
    <n v="0"/>
    <x v="0"/>
  </r>
  <r>
    <s v="Akshara Graphics - Purchase"/>
    <n v="-390771.28"/>
    <n v="1677910.88"/>
    <n v="2908758.6"/>
    <n v="-1621619"/>
    <m/>
    <n v="-1621619"/>
    <x v="0"/>
  </r>
  <r>
    <s v="Alok Master Batches Private Limited- Surangi"/>
    <n v="-3203522"/>
    <n v="3203522"/>
    <n v="0"/>
    <n v="0"/>
    <m/>
    <n v="0"/>
    <x v="0"/>
  </r>
  <r>
    <s v="Alpha Electricals"/>
    <n v="-1378"/>
    <n v="0"/>
    <n v="0"/>
    <n v="-1378"/>
    <m/>
    <n v="-1378"/>
    <x v="0"/>
  </r>
  <r>
    <s v="Amtek Instruments Pvt Ltd"/>
    <n v="-6785"/>
    <n v="6785"/>
    <n v="2997"/>
    <n v="-2997"/>
    <m/>
    <n v="-2997"/>
    <x v="0"/>
  </r>
  <r>
    <s v="Anison Electronics"/>
    <n v="-0.5"/>
    <n v="0"/>
    <n v="0"/>
    <n v="-0.5"/>
    <m/>
    <n v="-0.5"/>
    <x v="0"/>
  </r>
  <r>
    <s v="Anupam Heaters &amp; Controls Pvt Ltd"/>
    <n v="0"/>
    <n v="0"/>
    <n v="0"/>
    <n v="0"/>
    <m/>
    <n v="0"/>
    <x v="0"/>
  </r>
  <r>
    <s v="Ap Enterprise"/>
    <n v="-6440"/>
    <n v="6440"/>
    <n v="0"/>
    <n v="0"/>
    <m/>
    <n v="0"/>
    <x v="0"/>
  </r>
  <r>
    <s v="Apco Agencies"/>
    <n v="0"/>
    <n v="0"/>
    <n v="0"/>
    <n v="0"/>
    <m/>
    <n v="0"/>
    <x v="0"/>
  </r>
  <r>
    <s v="Apple Powerdrive Pvt. Ltd."/>
    <n v="-11769"/>
    <n v="0"/>
    <n v="0"/>
    <n v="-11769"/>
    <m/>
    <n v="-11769"/>
    <x v="0"/>
  </r>
  <r>
    <s v="Aqua Air Engineering"/>
    <n v="29531.9"/>
    <n v="0"/>
    <n v="0"/>
    <n v="29531.9"/>
    <m/>
    <n v="29531.9"/>
    <x v="0"/>
  </r>
  <r>
    <s v="Arham Cams Pvt Ltd"/>
    <n v="-95975.8"/>
    <n v="96188"/>
    <n v="118933"/>
    <n v="-118720.8"/>
    <m/>
    <n v="-118720.8"/>
    <x v="0"/>
  </r>
  <r>
    <s v="Armstrong"/>
    <n v="-97297.53"/>
    <n v="1541151"/>
    <n v="1530582.95"/>
    <n v="-86729.48"/>
    <m/>
    <n v="-86729.48"/>
    <x v="0"/>
  </r>
  <r>
    <s v="Asha Mica Traders"/>
    <n v="0"/>
    <n v="0"/>
    <n v="0"/>
    <n v="0"/>
    <m/>
    <n v="0"/>
    <x v="0"/>
  </r>
  <r>
    <s v="Ashirwad Infocom"/>
    <n v="0"/>
    <n v="33955"/>
    <n v="33955"/>
    <n v="0"/>
    <m/>
    <n v="0"/>
    <x v="0"/>
  </r>
  <r>
    <s v="Ashok &amp; Co."/>
    <n v="-0.05"/>
    <n v="0"/>
    <n v="0"/>
    <n v="-0.05"/>
    <m/>
    <n v="-0.05"/>
    <x v="0"/>
  </r>
  <r>
    <s v="Ashutosh Power Transbelts Ltd."/>
    <n v="0"/>
    <n v="0"/>
    <n v="9924"/>
    <n v="-9924"/>
    <m/>
    <n v="-9924"/>
    <x v="0"/>
  </r>
  <r>
    <s v="Astha International"/>
    <n v="0"/>
    <n v="0"/>
    <n v="0"/>
    <n v="0"/>
    <m/>
    <n v="0"/>
    <x v="0"/>
  </r>
  <r>
    <s v="Aum Enterprise"/>
    <n v="0"/>
    <n v="0"/>
    <n v="10544"/>
    <n v="-10544"/>
    <m/>
    <n v="-10544"/>
    <x v="0"/>
  </r>
  <r>
    <s v="Aum Polypack"/>
    <n v="0"/>
    <n v="370649"/>
    <n v="800457"/>
    <n v="-429808"/>
    <m/>
    <n v="-429808"/>
    <x v="0"/>
  </r>
  <r>
    <s v="Avee Electro Engineers"/>
    <n v="0.36"/>
    <n v="0"/>
    <n v="0"/>
    <n v="0.36"/>
    <m/>
    <n v="0.36"/>
    <x v="0"/>
  </r>
  <r>
    <s v="Axle Steel &amp; Fasteners"/>
    <n v="-55980.07"/>
    <n v="105511.51"/>
    <n v="98903"/>
    <n v="-49371.56"/>
    <m/>
    <n v="-49371.56"/>
    <x v="0"/>
  </r>
  <r>
    <s v="Axle Steel &amp; Fasteners - Sales"/>
    <n v="0"/>
    <n v="0"/>
    <n v="0"/>
    <n v="0"/>
    <m/>
    <n v="0"/>
    <x v="0"/>
  </r>
  <r>
    <s v="Bagman Machinery Private Limited"/>
    <n v="0"/>
    <n v="0"/>
    <n v="0"/>
    <n v="0"/>
    <m/>
    <n v="0"/>
    <x v="0"/>
  </r>
  <r>
    <s v="Bahucharaji Office Solution"/>
    <n v="-67376.240000000005"/>
    <n v="67376.240000000005"/>
    <n v="0"/>
    <n v="0"/>
    <m/>
    <n v="0"/>
    <x v="0"/>
  </r>
  <r>
    <s v="Baviskar Sales &amp; Service"/>
    <n v="0.2"/>
    <n v="0"/>
    <n v="0"/>
    <n v="0.2"/>
    <m/>
    <n v="0.2"/>
    <x v="0"/>
  </r>
  <r>
    <s v="Beena Industries"/>
    <n v="-16520"/>
    <n v="0"/>
    <n v="0"/>
    <n v="-16520"/>
    <m/>
    <n v="-16520"/>
    <x v="0"/>
  </r>
  <r>
    <s v="Bhavani International"/>
    <n v="0"/>
    <n v="0"/>
    <n v="0"/>
    <n v="0"/>
    <m/>
    <n v="0"/>
    <x v="0"/>
  </r>
  <r>
    <s v="Bhumi Hardware &amp; Electricals"/>
    <n v="-97707"/>
    <n v="125918"/>
    <n v="44302"/>
    <n v="-16091"/>
    <m/>
    <n v="-16091"/>
    <x v="0"/>
  </r>
  <r>
    <s v="BNAL Prefabs Pvt Ltd"/>
    <n v="0"/>
    <n v="0"/>
    <n v="0"/>
    <n v="0"/>
    <m/>
    <n v="0"/>
    <x v="0"/>
  </r>
  <r>
    <s v="Bombay Fire Safety"/>
    <n v="-63981.1"/>
    <n v="134801"/>
    <n v="149571"/>
    <n v="-78751.100000000006"/>
    <m/>
    <n v="-78751.100000000006"/>
    <x v="0"/>
  </r>
  <r>
    <s v="BP Lubricants Pvt Ltd"/>
    <n v="-427455"/>
    <n v="427455"/>
    <n v="87049"/>
    <n v="-87049"/>
    <m/>
    <n v="-87049"/>
    <x v="0"/>
  </r>
  <r>
    <s v="Brahmani Graphics"/>
    <n v="-99775.5"/>
    <n v="71521"/>
    <n v="34148"/>
    <n v="-62402.5"/>
    <m/>
    <n v="-62402.5"/>
    <x v="0"/>
  </r>
  <r>
    <s v="Brahmani Labels"/>
    <n v="-407361.01"/>
    <n v="345087"/>
    <n v="210611"/>
    <n v="-272885.01"/>
    <m/>
    <n v="-272885.01"/>
    <x v="0"/>
  </r>
  <r>
    <s v="Brahmani Printers"/>
    <n v="-1775316.58"/>
    <n v="872245.97"/>
    <n v="73726"/>
    <n v="-976796.61"/>
    <m/>
    <n v="-976796.61"/>
    <x v="0"/>
  </r>
  <r>
    <s v="Bright Rubber"/>
    <n v="-6136"/>
    <n v="3068"/>
    <n v="0"/>
    <n v="-3068"/>
    <m/>
    <n v="-3068"/>
    <x v="0"/>
  </r>
  <r>
    <s v="C.H. Wirenetting Works"/>
    <n v="0"/>
    <n v="0"/>
    <n v="5791"/>
    <n v="-5791"/>
    <m/>
    <n v="-5791"/>
    <x v="0"/>
  </r>
  <r>
    <s v="Chemline India Ltd"/>
    <n v="257505.5"/>
    <n v="0"/>
    <n v="132750"/>
    <n v="124755.5"/>
    <m/>
    <n v="124755.5"/>
    <x v="0"/>
  </r>
  <r>
    <s v="Chirag Engineering Works"/>
    <n v="-29832.6"/>
    <n v="0"/>
    <n v="0"/>
    <n v="-29832.6"/>
    <m/>
    <n v="-29832.6"/>
    <x v="0"/>
  </r>
  <r>
    <s v="CTM Technical Textiles Limited"/>
    <n v="-449535.74"/>
    <n v="1423767"/>
    <n v="974796"/>
    <n v="-564.74"/>
    <m/>
    <n v="-564.74"/>
    <x v="0"/>
  </r>
  <r>
    <s v="Darshan Industries - 24BEVPS1692N1ZI"/>
    <n v="-20650.5"/>
    <n v="20650"/>
    <n v="20650"/>
    <n v="-20650.5"/>
    <m/>
    <n v="-20650.5"/>
    <x v="0"/>
  </r>
  <r>
    <s v="Decoplasticca"/>
    <n v="0"/>
    <n v="14496"/>
    <n v="0"/>
    <n v="14496"/>
    <m/>
    <n v="14496"/>
    <x v="0"/>
  </r>
  <r>
    <s v="DHARMIK REPAIRS AND SERVICE"/>
    <n v="-23187"/>
    <n v="23187"/>
    <n v="0"/>
    <n v="0"/>
    <m/>
    <n v="0"/>
    <x v="0"/>
  </r>
  <r>
    <s v="Dhirubhai And Sons"/>
    <n v="0"/>
    <n v="17700"/>
    <n v="0"/>
    <n v="17700"/>
    <m/>
    <n v="17700"/>
    <x v="0"/>
  </r>
  <r>
    <s v="Dilip Manufacturing And Trading Co"/>
    <n v="-851"/>
    <n v="0"/>
    <n v="0"/>
    <n v="-851"/>
    <m/>
    <n v="-851"/>
    <x v="0"/>
  </r>
  <r>
    <s v="Divya Industries"/>
    <n v="-46728"/>
    <n v="206895"/>
    <n v="239640"/>
    <n v="-79473"/>
    <m/>
    <n v="-79473"/>
    <x v="0"/>
  </r>
  <r>
    <s v="Divya Tex"/>
    <n v="-12095"/>
    <n v="0"/>
    <n v="0"/>
    <n v="-12095"/>
    <m/>
    <n v="-12095"/>
    <x v="0"/>
  </r>
  <r>
    <s v="DPS ELECTRO"/>
    <n v="-1872"/>
    <n v="10207"/>
    <n v="10207"/>
    <n v="-1872"/>
    <m/>
    <n v="-1872"/>
    <x v="0"/>
  </r>
  <r>
    <s v="Dsrmt Health Care Private Limited"/>
    <n v="0"/>
    <n v="0"/>
    <n v="20000"/>
    <n v="-20000"/>
    <m/>
    <n v="-20000"/>
    <x v="0"/>
  </r>
  <r>
    <s v="Dyesun Liva Chemicals"/>
    <n v="0"/>
    <n v="28586"/>
    <n v="28586"/>
    <n v="0"/>
    <m/>
    <n v="0"/>
    <x v="0"/>
  </r>
  <r>
    <s v="Dynamic Wooltex"/>
    <n v="0"/>
    <n v="1092004.1200000001"/>
    <n v="1124559.1200000001"/>
    <n v="-32555"/>
    <m/>
    <n v="-32555"/>
    <x v="0"/>
  </r>
  <r>
    <s v="Enertron Technologies Pvt Ltd"/>
    <n v="-2006"/>
    <n v="2006"/>
    <n v="0"/>
    <n v="0"/>
    <m/>
    <n v="0"/>
    <x v="0"/>
  </r>
  <r>
    <s v="Espee Electricals"/>
    <n v="-55322.5"/>
    <n v="55322.5"/>
    <n v="41094"/>
    <n v="-41094"/>
    <m/>
    <n v="-41094"/>
    <x v="0"/>
  </r>
  <r>
    <s v="Excel Marketing"/>
    <n v="-122909"/>
    <n v="122909"/>
    <n v="0"/>
    <n v="0"/>
    <m/>
    <n v="0"/>
    <x v="0"/>
  </r>
  <r>
    <s v="Excel Office Solution"/>
    <n v="-33816"/>
    <n v="30276"/>
    <n v="17889"/>
    <n v="-21429"/>
    <m/>
    <n v="-21429"/>
    <x v="0"/>
  </r>
  <r>
    <s v="Excellent Material"/>
    <n v="-11800"/>
    <n v="11800"/>
    <n v="0"/>
    <n v="0"/>
    <m/>
    <n v="0"/>
    <x v="0"/>
  </r>
  <r>
    <s v="Finetech Engineers"/>
    <n v="0"/>
    <n v="0"/>
    <n v="0"/>
    <n v="0"/>
    <m/>
    <n v="0"/>
    <x v="0"/>
  </r>
  <r>
    <s v="Firki Wholesale Private Limited"/>
    <n v="0"/>
    <n v="0"/>
    <n v="0"/>
    <n v="0"/>
    <m/>
    <n v="0"/>
    <x v="0"/>
  </r>
  <r>
    <s v="Flesha Paints &amp; Chemicals"/>
    <n v="-16862"/>
    <n v="21181"/>
    <n v="26255"/>
    <n v="-21936"/>
    <m/>
    <n v="-21936"/>
    <x v="0"/>
  </r>
  <r>
    <s v="Gabbar Engineering Co."/>
    <n v="10968.82"/>
    <n v="0"/>
    <n v="11292.26"/>
    <n v="-323.44"/>
    <m/>
    <n v="-323.44"/>
    <x v="0"/>
  </r>
  <r>
    <s v="Galaxy Enterprise"/>
    <n v="-1180"/>
    <n v="5310"/>
    <n v="7434"/>
    <n v="-3304"/>
    <m/>
    <n v="-3304"/>
    <x v="0"/>
  </r>
  <r>
    <s v="Gandhar Oil Refinery India Ltd."/>
    <n v="-50551"/>
    <n v="50551"/>
    <n v="0"/>
    <n v="0"/>
    <m/>
    <n v="0"/>
    <x v="0"/>
  </r>
  <r>
    <s v="Gandhar Oil Refinery India Ltd. - D AND H"/>
    <n v="0"/>
    <n v="70375"/>
    <n v="146697"/>
    <n v="-76322"/>
    <m/>
    <n v="-76322"/>
    <x v="0"/>
  </r>
  <r>
    <s v="Ganesh Poly Graph"/>
    <n v="-13803"/>
    <n v="0"/>
    <n v="4212"/>
    <n v="-18015"/>
    <m/>
    <n v="-18015"/>
    <x v="0"/>
  </r>
  <r>
    <s v="Gaurav Trans Engineers Private Limited"/>
    <n v="-1523"/>
    <n v="5576"/>
    <n v="46568"/>
    <n v="-42515"/>
    <m/>
    <n v="-42515"/>
    <x v="0"/>
  </r>
  <r>
    <s v="Gayatri Engineering Works"/>
    <n v="-17220"/>
    <n v="15930"/>
    <n v="0"/>
    <n v="-1290"/>
    <m/>
    <n v="-1290"/>
    <x v="0"/>
  </r>
  <r>
    <s v="Ginza Machinery Mfg.Co."/>
    <n v="-49192.44"/>
    <n v="80770.52"/>
    <n v="46957.4"/>
    <n v="-15379.32"/>
    <m/>
    <n v="-15379.32"/>
    <x v="0"/>
  </r>
  <r>
    <s v="Global Industries"/>
    <n v="-9803.18"/>
    <n v="40680.400000000001"/>
    <n v="32128.09"/>
    <n v="-1250.8699999999999"/>
    <m/>
    <n v="-1250.8699999999999"/>
    <x v="0"/>
  </r>
  <r>
    <s v="Green Traders"/>
    <n v="-269120.09999999998"/>
    <n v="329036"/>
    <n v="93968"/>
    <n v="-34052.1"/>
    <m/>
    <n v="-34052.1"/>
    <x v="0"/>
  </r>
  <r>
    <s v="Guru Marketing"/>
    <n v="-920"/>
    <n v="920"/>
    <n v="0"/>
    <n v="0"/>
    <m/>
    <n v="0"/>
    <x v="0"/>
  </r>
  <r>
    <s v="Gururaj Engineers Pvt. Ltd."/>
    <n v="5133"/>
    <n v="0"/>
    <n v="0"/>
    <n v="5133"/>
    <m/>
    <n v="5133"/>
    <x v="0"/>
  </r>
  <r>
    <s v="Harsiddhi Creation"/>
    <n v="-108360"/>
    <n v="0"/>
    <n v="120861"/>
    <n v="-229221"/>
    <m/>
    <n v="-229221"/>
    <x v="0"/>
  </r>
  <r>
    <s v="Hi Flex Hydraulics Pvt Ltd"/>
    <n v="0"/>
    <n v="33030.559999999998"/>
    <n v="7849"/>
    <n v="25181.56"/>
    <m/>
    <n v="25181.56"/>
    <x v="0"/>
  </r>
  <r>
    <s v="Himanshu Enterprise"/>
    <n v="-30990"/>
    <n v="57086"/>
    <n v="37728"/>
    <n v="-11632"/>
    <m/>
    <n v="-11632"/>
    <x v="0"/>
  </r>
  <r>
    <s v="Hitco Electricals Pvt Ltd."/>
    <n v="0"/>
    <n v="0"/>
    <n v="0"/>
    <n v="0"/>
    <m/>
    <n v="0"/>
    <x v="0"/>
  </r>
  <r>
    <s v="Honey Water Management"/>
    <n v="0"/>
    <n v="0"/>
    <n v="0"/>
    <n v="0"/>
    <m/>
    <n v="0"/>
    <x v="0"/>
  </r>
  <r>
    <s v="Ideal Gas Springs Pvt Ltd"/>
    <n v="0.2"/>
    <n v="0"/>
    <n v="0"/>
    <n v="0.2"/>
    <m/>
    <n v="0.2"/>
    <x v="0"/>
  </r>
  <r>
    <s v="Ikon Instruments"/>
    <n v="-0.5"/>
    <n v="42782"/>
    <n v="0"/>
    <n v="42781.5"/>
    <m/>
    <n v="42781.5"/>
    <x v="0"/>
  </r>
  <r>
    <s v="Indiana Bearings Private Limited"/>
    <n v="-10684"/>
    <n v="10684"/>
    <n v="0"/>
    <n v="0"/>
    <m/>
    <n v="0"/>
    <x v="0"/>
  </r>
  <r>
    <s v="Infotek Software &amp; Systems Pvt Ltd"/>
    <n v="-11800"/>
    <n v="11800"/>
    <n v="0"/>
    <n v="0"/>
    <m/>
    <n v="0"/>
    <x v="0"/>
  </r>
  <r>
    <s v="J P Extrusiontech Private Limited"/>
    <n v="0"/>
    <n v="0"/>
    <n v="0"/>
    <n v="0"/>
    <m/>
    <n v="0"/>
    <x v="0"/>
  </r>
  <r>
    <s v="Jain Electro Tech"/>
    <n v="-15882.8"/>
    <n v="15882.8"/>
    <n v="0"/>
    <n v="0"/>
    <m/>
    <n v="0"/>
    <x v="0"/>
  </r>
  <r>
    <s v="Jay Ambe Tex Spare"/>
    <n v="-53100"/>
    <n v="143134"/>
    <n v="141364"/>
    <n v="-51330"/>
    <m/>
    <n v="-51330"/>
    <x v="0"/>
  </r>
  <r>
    <s v="Jay Bhavani Electricals &amp; Hardware"/>
    <n v="-8942.01"/>
    <n v="8942.01"/>
    <n v="0"/>
    <n v="0"/>
    <m/>
    <n v="0"/>
    <x v="0"/>
  </r>
  <r>
    <s v="Jay Jagannath Industries - Prop Umeshbhai Kantilal Panchal"/>
    <n v="3337"/>
    <n v="0"/>
    <n v="0"/>
    <n v="3337"/>
    <m/>
    <n v="3337"/>
    <x v="0"/>
  </r>
  <r>
    <s v="Jay Jagannath Industries- 24GKEPP9703F1Z1"/>
    <n v="0"/>
    <n v="22945"/>
    <n v="24373"/>
    <n v="-1428"/>
    <m/>
    <n v="-1428"/>
    <x v="0"/>
  </r>
  <r>
    <s v="Jay Meldi Engineering Works"/>
    <n v="-4528.3999999999996"/>
    <n v="2507"/>
    <n v="0"/>
    <n v="-2021.4"/>
    <m/>
    <n v="-2021.4"/>
    <x v="0"/>
  </r>
  <r>
    <s v="Jaydeep Machinery Pvt. Ltd."/>
    <n v="-500"/>
    <n v="0"/>
    <n v="0"/>
    <n v="-500"/>
    <m/>
    <n v="-500"/>
    <x v="0"/>
  </r>
  <r>
    <s v="Jupiter Scientific"/>
    <n v="0"/>
    <n v="1534"/>
    <n v="1534"/>
    <n v="0"/>
    <m/>
    <n v="0"/>
    <x v="0"/>
  </r>
  <r>
    <s v="K.Patel &amp; Company"/>
    <n v="0"/>
    <n v="0"/>
    <n v="0"/>
    <n v="0"/>
    <m/>
    <n v="0"/>
    <x v="0"/>
  </r>
  <r>
    <s v="Kabra Electricals"/>
    <n v="-130013"/>
    <n v="165979"/>
    <n v="130456"/>
    <n v="-94490"/>
    <m/>
    <n v="-94490"/>
    <x v="0"/>
  </r>
  <r>
    <s v="Kamaldeep Xerox And Stationers"/>
    <n v="-7646.4"/>
    <n v="1947"/>
    <n v="1947"/>
    <n v="-7646.4"/>
    <m/>
    <n v="-7646.4"/>
    <x v="0"/>
  </r>
  <r>
    <s v="Kan Power Rubber Industries"/>
    <n v="-29064"/>
    <n v="9995"/>
    <n v="14160"/>
    <n v="-33229"/>
    <m/>
    <n v="-33229"/>
    <x v="0"/>
  </r>
  <r>
    <s v="Kant Plastology"/>
    <n v="0"/>
    <n v="0"/>
    <n v="0"/>
    <n v="0"/>
    <m/>
    <n v="0"/>
    <x v="0"/>
  </r>
  <r>
    <s v="Kavan Tradelink"/>
    <n v="0"/>
    <n v="3492.8"/>
    <n v="3492.8"/>
    <n v="0"/>
    <m/>
    <n v="0"/>
    <x v="0"/>
  </r>
  <r>
    <s v="KDR Engineers"/>
    <n v="-42959"/>
    <n v="66560"/>
    <n v="23601"/>
    <n v="0"/>
    <m/>
    <n v="0"/>
    <x v="0"/>
  </r>
  <r>
    <s v="Khator Enterprises"/>
    <n v="-3894"/>
    <n v="5841"/>
    <n v="14773.6"/>
    <n v="-12826.6"/>
    <m/>
    <n v="-12826.6"/>
    <x v="0"/>
  </r>
  <r>
    <s v="Kishan Traders - Gandhidham"/>
    <n v="-1357"/>
    <n v="5841"/>
    <n v="2242"/>
    <n v="2242"/>
    <m/>
    <n v="2242"/>
    <x v="0"/>
  </r>
  <r>
    <s v="Kothari Packaging Industries"/>
    <n v="0"/>
    <n v="0"/>
    <n v="0"/>
    <n v="0"/>
    <m/>
    <n v="0"/>
    <x v="0"/>
  </r>
  <r>
    <s v="Krishna Enterprise - Ashram Road, Ahmedabad"/>
    <n v="0"/>
    <n v="0"/>
    <n v="7434"/>
    <n v="-7434"/>
    <m/>
    <n v="-7434"/>
    <x v="0"/>
  </r>
  <r>
    <s v="Krishna Enterprise - Navrangpura"/>
    <n v="-8574"/>
    <n v="23109"/>
    <n v="14535"/>
    <n v="0"/>
    <m/>
    <n v="0"/>
    <x v="0"/>
  </r>
  <r>
    <s v="Kristeel Shinwa Industries Limited - Dadar And Nagar"/>
    <n v="0"/>
    <n v="0"/>
    <n v="0"/>
    <n v="0"/>
    <m/>
    <n v="0"/>
    <x v="0"/>
  </r>
  <r>
    <s v="Krunal Enterprise"/>
    <n v="0"/>
    <n v="5369"/>
    <n v="16107"/>
    <n v="-10738"/>
    <m/>
    <n v="-10738"/>
    <x v="0"/>
  </r>
  <r>
    <s v="Labdhi Engineering Pvt Ltd"/>
    <n v="-11611.8"/>
    <n v="12850"/>
    <n v="2537"/>
    <n v="-1298.8"/>
    <m/>
    <n v="-1298.8"/>
    <x v="0"/>
  </r>
  <r>
    <s v="Lohia Corp Limited - 09AAKCK2932Q1ZU - UP"/>
    <n v="-438567.49"/>
    <n v="468902.39"/>
    <n v="31240.05"/>
    <n v="-905.15"/>
    <m/>
    <n v="-905.15"/>
    <x v="0"/>
  </r>
  <r>
    <s v="Lohia Corp Limited - 24AAKCK2932Q1Z2 - Guj"/>
    <n v="212861.49"/>
    <n v="196093.98"/>
    <n v="20051.16"/>
    <n v="388904.31"/>
    <m/>
    <n v="388904.31"/>
    <x v="0"/>
  </r>
  <r>
    <s v="Lohia Global Solutions - Gujarat - (A Div of Lohia Corp Ltd)"/>
    <n v="0"/>
    <n v="0"/>
    <n v="0"/>
    <n v="0"/>
    <m/>
    <n v="0"/>
    <x v="0"/>
  </r>
  <r>
    <s v="Lohia Global Solutions - Karnataka (Div Of Lohia Corp)"/>
    <n v="0"/>
    <n v="0"/>
    <n v="0"/>
    <n v="0"/>
    <m/>
    <n v="0"/>
    <x v="0"/>
  </r>
  <r>
    <s v="Lohia Global Solutions - UP - (A Div of Lohia Corp Ltd)"/>
    <n v="-0.05"/>
    <n v="0"/>
    <n v="0"/>
    <n v="-0.05"/>
    <m/>
    <n v="-0.05"/>
    <x v="0"/>
  </r>
  <r>
    <s v="Lohia Global Solutions Pvt Ltd, Gujarat"/>
    <n v="0"/>
    <n v="0"/>
    <n v="0"/>
    <n v="0"/>
    <m/>
    <n v="0"/>
    <x v="0"/>
  </r>
  <r>
    <s v="Lubgraf Products"/>
    <n v="0"/>
    <n v="0"/>
    <n v="19475"/>
    <n v="-19475"/>
    <m/>
    <n v="-19475"/>
    <x v="0"/>
  </r>
  <r>
    <s v="M.H.Reeds Reparing Works"/>
    <n v="0"/>
    <n v="0"/>
    <n v="0"/>
    <n v="0"/>
    <m/>
    <n v="0"/>
    <x v="0"/>
  </r>
  <r>
    <s v="Maa Durga Engineering"/>
    <n v="0"/>
    <n v="23010"/>
    <n v="23010"/>
    <n v="0"/>
    <m/>
    <n v="0"/>
    <x v="0"/>
  </r>
  <r>
    <s v="Maa Enterprise 24CFGPP5964K1ZW"/>
    <n v="-0.24"/>
    <n v="0"/>
    <n v="0"/>
    <n v="-0.24"/>
    <m/>
    <n v="-0.24"/>
    <x v="0"/>
  </r>
  <r>
    <s v="Machinery &amp; Tools Centre"/>
    <n v="-8083"/>
    <n v="10738"/>
    <n v="2655"/>
    <n v="0"/>
    <m/>
    <n v="0"/>
    <x v="0"/>
  </r>
  <r>
    <s v="Mahakali Trading Company"/>
    <n v="0.23"/>
    <n v="0"/>
    <n v="0"/>
    <n v="0.23"/>
    <m/>
    <n v="0.23"/>
    <x v="0"/>
  </r>
  <r>
    <s v="Mahalaxmi Sulz Spare"/>
    <n v="-1449"/>
    <n v="274291"/>
    <n v="245912"/>
    <n v="26930"/>
    <m/>
    <n v="26930"/>
    <x v="0"/>
  </r>
  <r>
    <s v="Mahavir Enterprise"/>
    <n v="0"/>
    <n v="0"/>
    <n v="472"/>
    <n v="-472"/>
    <m/>
    <n v="-472"/>
    <x v="0"/>
  </r>
  <r>
    <s v="Mahavir Impex 24AEQPS2981A1ZD"/>
    <n v="0"/>
    <n v="45175"/>
    <n v="155846"/>
    <n v="-110671"/>
    <m/>
    <n v="-110671"/>
    <x v="0"/>
  </r>
  <r>
    <s v="Maheshwari Timber Mart"/>
    <n v="5550"/>
    <n v="0"/>
    <n v="0"/>
    <n v="5550"/>
    <m/>
    <n v="5550"/>
    <x v="0"/>
  </r>
  <r>
    <s v="Max Spare Limited"/>
    <n v="-632"/>
    <n v="14650"/>
    <n v="14018"/>
    <n v="0"/>
    <m/>
    <n v="0"/>
    <x v="0"/>
  </r>
  <r>
    <s v="Mehjal Adhesive Tapes Pvt. Ltd."/>
    <n v="-94425"/>
    <n v="494331"/>
    <n v="568056"/>
    <n v="-168150"/>
    <m/>
    <n v="-168150"/>
    <x v="0"/>
  </r>
  <r>
    <s v="Meshtech India- Creditor"/>
    <n v="-66080"/>
    <n v="66080"/>
    <n v="0"/>
    <n v="0"/>
    <m/>
    <n v="0"/>
    <x v="0"/>
  </r>
  <r>
    <s v="Metalex Agencies"/>
    <n v="0"/>
    <n v="60920"/>
    <n v="60920"/>
    <n v="0"/>
    <m/>
    <n v="0"/>
    <x v="0"/>
  </r>
  <r>
    <s v="Milin Tubes"/>
    <n v="-37760"/>
    <n v="72806"/>
    <n v="58410"/>
    <n v="-23364"/>
    <m/>
    <n v="-23364"/>
    <x v="0"/>
  </r>
  <r>
    <s v="Mukund Steels"/>
    <n v="0"/>
    <n v="11508"/>
    <n v="11508"/>
    <n v="0"/>
    <m/>
    <n v="0"/>
    <x v="0"/>
  </r>
  <r>
    <s v="Multi Enterprise"/>
    <n v="-19540"/>
    <n v="0"/>
    <n v="4200"/>
    <n v="-23740"/>
    <m/>
    <n v="-23740"/>
    <x v="0"/>
  </r>
  <r>
    <s v="Murlidhar Paper Tube"/>
    <n v="0"/>
    <n v="0"/>
    <n v="44816"/>
    <n v="-44816"/>
    <m/>
    <n v="-44816"/>
    <x v="0"/>
  </r>
  <r>
    <s v="Naran Scissors Works &amp; Traders"/>
    <n v="0"/>
    <n v="835"/>
    <n v="0"/>
    <n v="835"/>
    <m/>
    <n v="835"/>
    <x v="0"/>
  </r>
  <r>
    <s v="Navrang Machinery Pvt Ltd"/>
    <n v="-18526"/>
    <n v="18526"/>
    <n v="0"/>
    <n v="0"/>
    <m/>
    <n v="0"/>
    <x v="0"/>
  </r>
  <r>
    <s v="Neha Tex"/>
    <n v="-25960"/>
    <n v="0"/>
    <n v="0"/>
    <n v="-25960"/>
    <m/>
    <n v="-25960"/>
    <x v="0"/>
  </r>
  <r>
    <s v="Neha Tex Fab Pvt Ltd"/>
    <n v="-52156"/>
    <n v="325444"/>
    <n v="304676"/>
    <n v="-31388"/>
    <m/>
    <n v="-31388"/>
    <x v="0"/>
  </r>
  <r>
    <s v="New Arm"/>
    <n v="-59714"/>
    <n v="109904"/>
    <n v="50190"/>
    <n v="0"/>
    <m/>
    <n v="0"/>
    <x v="0"/>
  </r>
  <r>
    <s v="New Raj Fashion"/>
    <n v="-367395"/>
    <n v="712572"/>
    <n v="345177"/>
    <n v="0"/>
    <m/>
    <n v="0"/>
    <x v="0"/>
  </r>
  <r>
    <s v="Nigam Hardware"/>
    <n v="-0.36"/>
    <n v="4779"/>
    <n v="4779"/>
    <n v="-0.36"/>
    <m/>
    <n v="-0.36"/>
    <x v="0"/>
  </r>
  <r>
    <s v="Nikshe Multiproducts Pvt Ltd"/>
    <n v="-12596"/>
    <n v="58584"/>
    <n v="45988"/>
    <n v="0"/>
    <m/>
    <n v="0"/>
    <x v="0"/>
  </r>
  <r>
    <s v="Nishith Enterprise"/>
    <n v="-40380"/>
    <n v="37524"/>
    <n v="81868"/>
    <n v="-84724"/>
    <m/>
    <n v="-84724"/>
    <x v="0"/>
  </r>
  <r>
    <s v="Nrs Industrial Products"/>
    <n v="0"/>
    <n v="0"/>
    <n v="18148"/>
    <n v="-18148"/>
    <m/>
    <n v="-18148"/>
    <x v="0"/>
  </r>
  <r>
    <s v="Oak Tradeklink"/>
    <n v="-11328"/>
    <n v="11328"/>
    <n v="0"/>
    <n v="0"/>
    <m/>
    <n v="0"/>
    <x v="0"/>
  </r>
  <r>
    <s v="Omega Fire &amp; Safety Products"/>
    <n v="-0.2"/>
    <n v="15576"/>
    <n v="15576"/>
    <n v="-0.2"/>
    <m/>
    <n v="-0.2"/>
    <x v="0"/>
  </r>
  <r>
    <s v="Omkar Industries 24BPDPP0620L1Z2"/>
    <n v="-9865"/>
    <n v="9865"/>
    <n v="4932.3999999999996"/>
    <n v="-4932.3999999999996"/>
    <m/>
    <n v="-4932.3999999999996"/>
    <x v="0"/>
  </r>
  <r>
    <s v="Orion Equipment"/>
    <n v="0"/>
    <n v="38409"/>
    <n v="4720"/>
    <n v="33689"/>
    <m/>
    <n v="33689"/>
    <x v="0"/>
  </r>
  <r>
    <s v="Oswal Lumbers Pvt Ltd"/>
    <n v="0"/>
    <n v="0"/>
    <n v="0"/>
    <n v="0"/>
    <m/>
    <n v="0"/>
    <x v="0"/>
  </r>
  <r>
    <s v="Panchvati Tools Co."/>
    <n v="-68342"/>
    <n v="99138"/>
    <n v="113645.01"/>
    <n v="-82849.009999999995"/>
    <m/>
    <n v="-82849.009999999995"/>
    <x v="0"/>
  </r>
  <r>
    <s v="Pavan Electrical &amp; Hardware"/>
    <n v="-1510"/>
    <n v="0"/>
    <n v="0"/>
    <n v="-1510"/>
    <m/>
    <n v="-1510"/>
    <x v="0"/>
  </r>
  <r>
    <s v="Pavan Electricals And Hardware"/>
    <n v="-20387"/>
    <n v="0"/>
    <n v="10432"/>
    <n v="-30819"/>
    <m/>
    <n v="-30819"/>
    <x v="0"/>
  </r>
  <r>
    <s v="Perfect Belts Private Limited (Gujarat)"/>
    <n v="-6263.98"/>
    <n v="25820"/>
    <n v="33025"/>
    <n v="-13468.98"/>
    <m/>
    <n v="-13468.98"/>
    <x v="0"/>
  </r>
  <r>
    <s v="Perfect Engineers Works"/>
    <n v="0"/>
    <n v="16638"/>
    <n v="16638"/>
    <n v="0"/>
    <m/>
    <n v="0"/>
    <x v="0"/>
  </r>
  <r>
    <s v="Plus Logistics Ltd."/>
    <n v="0"/>
    <n v="10033"/>
    <n v="38943"/>
    <n v="-28910"/>
    <m/>
    <n v="-28910"/>
    <x v="0"/>
  </r>
  <r>
    <s v="Pooja Enterprises-Odhav."/>
    <n v="-24824"/>
    <n v="64109"/>
    <n v="64109"/>
    <n v="-24824"/>
    <m/>
    <n v="-24824"/>
    <x v="0"/>
  </r>
  <r>
    <s v="Prabhat Textile Trading Co."/>
    <n v="-216819"/>
    <n v="216819"/>
    <n v="0"/>
    <n v="0"/>
    <m/>
    <n v="0"/>
    <x v="0"/>
  </r>
  <r>
    <s v="Pramukh Enterprise"/>
    <n v="0"/>
    <n v="0"/>
    <n v="0"/>
    <n v="0"/>
    <m/>
    <n v="0"/>
    <x v="0"/>
  </r>
  <r>
    <s v="Premier India Bearing Ltd."/>
    <n v="-9973.26"/>
    <n v="38092.26"/>
    <n v="28119"/>
    <n v="0"/>
    <m/>
    <n v="0"/>
    <x v="0"/>
  </r>
  <r>
    <s v="Procon Technologies Pvt Ltd"/>
    <n v="-26609"/>
    <n v="26609"/>
    <n v="0"/>
    <n v="0"/>
    <m/>
    <n v="0"/>
    <x v="0"/>
  </r>
  <r>
    <s v="Promatech Mfg&amp; Trading Co. Pvt Ltd"/>
    <n v="-36650"/>
    <n v="63294"/>
    <n v="27824"/>
    <n v="-1180"/>
    <m/>
    <n v="-1180"/>
    <x v="0"/>
  </r>
  <r>
    <s v="Puran Electric &amp; Power Tools"/>
    <n v="1162.8"/>
    <n v="991.2"/>
    <n v="0"/>
    <n v="2154"/>
    <m/>
    <n v="2154"/>
    <x v="0"/>
  </r>
  <r>
    <s v="Rabatex Industries"/>
    <n v="-0.54"/>
    <n v="12887.7"/>
    <n v="12887"/>
    <n v="0.16"/>
    <m/>
    <n v="0.16"/>
    <x v="0"/>
  </r>
  <r>
    <s v="Rabatex Industries Private Limited"/>
    <n v="0"/>
    <n v="12887.7"/>
    <n v="12888"/>
    <n v="-0.3"/>
    <m/>
    <n v="-0.3"/>
    <x v="0"/>
  </r>
  <r>
    <s v="Raj Furnishing"/>
    <n v="-38527"/>
    <n v="38527"/>
    <n v="76989"/>
    <n v="-76989"/>
    <m/>
    <n v="-76989"/>
    <x v="0"/>
  </r>
  <r>
    <s v="Rajhans Plastic Machinery Pvt Ltd"/>
    <n v="408.6"/>
    <n v="0"/>
    <n v="0"/>
    <n v="408.6"/>
    <m/>
    <n v="408.6"/>
    <x v="0"/>
  </r>
  <r>
    <s v="Rajratan Electricals Pvt Ltd"/>
    <n v="-44075"/>
    <n v="305381"/>
    <n v="274650"/>
    <n v="-13344"/>
    <m/>
    <n v="-13344"/>
    <x v="0"/>
  </r>
  <r>
    <s v="Ramp Impex Pvt Ltd"/>
    <n v="0"/>
    <n v="0"/>
    <n v="0"/>
    <n v="0"/>
    <m/>
    <n v="0"/>
    <x v="0"/>
  </r>
  <r>
    <s v="Ravi Plast Mold Private Limited"/>
    <n v="0"/>
    <n v="12637.8"/>
    <n v="12637.8"/>
    <n v="0"/>
    <m/>
    <n v="0"/>
    <x v="0"/>
  </r>
  <r>
    <s v="Refresh Air Conditioning"/>
    <n v="0"/>
    <n v="0"/>
    <n v="0"/>
    <n v="0"/>
    <m/>
    <n v="0"/>
    <x v="0"/>
  </r>
  <r>
    <s v="Regency Grani Marmo"/>
    <n v="0"/>
    <n v="142278.04"/>
    <n v="167084.29999999999"/>
    <n v="-24806.26"/>
    <m/>
    <n v="-24806.26"/>
    <x v="0"/>
  </r>
  <r>
    <s v="Rekha Enterprise"/>
    <n v="0"/>
    <n v="13000"/>
    <n v="13324"/>
    <n v="-324"/>
    <m/>
    <n v="-324"/>
    <x v="0"/>
  </r>
  <r>
    <s v="Riddhi Electric Industries"/>
    <n v="-17750"/>
    <n v="0"/>
    <n v="0"/>
    <n v="-17750"/>
    <m/>
    <n v="-17750"/>
    <x v="0"/>
  </r>
  <r>
    <s v="Riddhi Mech-Fab Engineering"/>
    <n v="0"/>
    <n v="61360"/>
    <n v="61360"/>
    <n v="0"/>
    <m/>
    <n v="0"/>
    <x v="0"/>
  </r>
  <r>
    <s v="Roltech Infotech"/>
    <n v="-4790"/>
    <n v="0"/>
    <n v="0"/>
    <n v="-4790"/>
    <m/>
    <n v="-4790"/>
    <x v="0"/>
  </r>
  <r>
    <s v="Rotek Engineers"/>
    <n v="0"/>
    <n v="0"/>
    <n v="0"/>
    <n v="0"/>
    <m/>
    <n v="0"/>
    <x v="0"/>
  </r>
  <r>
    <s v="RSR Trade Link"/>
    <n v="0"/>
    <n v="0"/>
    <n v="0"/>
    <n v="0"/>
    <m/>
    <n v="0"/>
    <x v="0"/>
  </r>
  <r>
    <s v="Rubberking Tyre Pvt Ltd"/>
    <n v="0"/>
    <n v="0"/>
    <n v="0"/>
    <n v="0"/>
    <m/>
    <n v="0"/>
    <x v="0"/>
  </r>
  <r>
    <s v="Rushabh Fastech Llp"/>
    <n v="0"/>
    <n v="0"/>
    <n v="0"/>
    <n v="0"/>
    <m/>
    <n v="0"/>
    <x v="0"/>
  </r>
  <r>
    <s v="S.R.Sewing Tech"/>
    <n v="-242458"/>
    <n v="408818.75"/>
    <n v="333304.75"/>
    <n v="-166944"/>
    <m/>
    <n v="-166944"/>
    <x v="0"/>
  </r>
  <r>
    <s v="Sagar Industries - 24ABEFS4427N1ZW"/>
    <n v="-270397"/>
    <n v="173637"/>
    <n v="60888"/>
    <n v="-157648"/>
    <m/>
    <n v="-157648"/>
    <x v="0"/>
  </r>
  <r>
    <s v="Sahjanand Enterprise"/>
    <n v="0"/>
    <n v="0"/>
    <n v="0"/>
    <n v="0"/>
    <m/>
    <n v="0"/>
    <x v="0"/>
  </r>
  <r>
    <s v="Salasar Sulz Spare Tex"/>
    <n v="-21308.5"/>
    <n v="14998"/>
    <n v="12968"/>
    <n v="-19278.5"/>
    <m/>
    <n v="-19278.5"/>
    <x v="0"/>
  </r>
  <r>
    <s v="Saroj Textiles"/>
    <n v="-1888.5"/>
    <n v="20031"/>
    <n v="25488"/>
    <n v="-7345.5"/>
    <m/>
    <n v="-7345.5"/>
    <x v="0"/>
  </r>
  <r>
    <s v="Satyam Stationery Mart"/>
    <n v="-344330"/>
    <n v="487585"/>
    <n v="208446"/>
    <n v="-65191"/>
    <m/>
    <n v="-65191"/>
    <x v="0"/>
  </r>
  <r>
    <s v="Satyanarayan Rubber And Plastic Industries"/>
    <n v="0"/>
    <n v="0"/>
    <n v="0"/>
    <n v="0"/>
    <m/>
    <n v="0"/>
    <x v="0"/>
  </r>
  <r>
    <s v="Saurabh Enterprise"/>
    <n v="0"/>
    <n v="7222"/>
    <n v="24249"/>
    <n v="-17027"/>
    <m/>
    <n v="-17027"/>
    <x v="0"/>
  </r>
  <r>
    <s v="Sayona Engineers"/>
    <n v="-74340"/>
    <n v="310694"/>
    <n v="461970"/>
    <n v="-225616"/>
    <m/>
    <n v="-225616"/>
    <x v="0"/>
  </r>
  <r>
    <s v="Schepper Enterprise Private Limited"/>
    <n v="0"/>
    <n v="10000"/>
    <n v="0"/>
    <n v="10000"/>
    <m/>
    <n v="10000"/>
    <x v="0"/>
  </r>
  <r>
    <s v="Schmetz India Pvt Ltd"/>
    <n v="0.86"/>
    <n v="0"/>
    <n v="0"/>
    <n v="0.86"/>
    <m/>
    <n v="0.86"/>
    <x v="0"/>
  </r>
  <r>
    <s v="Shah Sewing Machine Co."/>
    <n v="-3000"/>
    <n v="0"/>
    <n v="0"/>
    <n v="-3000"/>
    <m/>
    <n v="-3000"/>
    <x v="0"/>
  </r>
  <r>
    <s v="Shashi Dhawal Hydraulics Pvt Ltd"/>
    <n v="-7446"/>
    <n v="7446"/>
    <n v="0"/>
    <n v="0"/>
    <m/>
    <n v="0"/>
    <x v="0"/>
  </r>
  <r>
    <s v="Sheetal Engineering Services"/>
    <n v="-13539.4"/>
    <n v="0"/>
    <n v="0"/>
    <n v="-13539.4"/>
    <m/>
    <n v="-13539.4"/>
    <x v="0"/>
  </r>
  <r>
    <s v="Shil Technologies Pvt Ltd"/>
    <n v="0"/>
    <n v="0"/>
    <n v="0"/>
    <n v="0"/>
    <m/>
    <n v="0"/>
    <x v="0"/>
  </r>
  <r>
    <s v="Shiv Industrial Products"/>
    <n v="-31860"/>
    <n v="34515"/>
    <n v="46433"/>
    <n v="-43778"/>
    <m/>
    <n v="-43778"/>
    <x v="0"/>
  </r>
  <r>
    <s v="Shiv Trading Co."/>
    <n v="0"/>
    <n v="0"/>
    <n v="5369"/>
    <n v="-5369"/>
    <m/>
    <n v="-5369"/>
    <x v="0"/>
  </r>
  <r>
    <s v="Shivam Enterprise - 24ABSFS6360C1Z1"/>
    <n v="-0.08"/>
    <n v="0"/>
    <n v="0"/>
    <n v="-0.08"/>
    <m/>
    <n v="-0.08"/>
    <x v="0"/>
  </r>
  <r>
    <s v="Shivam Gears"/>
    <n v="3628.6"/>
    <n v="0"/>
    <n v="0"/>
    <n v="3628.6"/>
    <m/>
    <n v="3628.6"/>
    <x v="0"/>
  </r>
  <r>
    <s v="Shree Ganesh Stereo"/>
    <n v="-122795"/>
    <n v="113080"/>
    <n v="60324"/>
    <n v="-70039"/>
    <m/>
    <n v="-70039"/>
    <x v="0"/>
  </r>
  <r>
    <s v="Shree Kdk Enterprise"/>
    <n v="-229003"/>
    <n v="209994"/>
    <n v="0"/>
    <n v="-19009"/>
    <m/>
    <n v="-19009"/>
    <x v="0"/>
  </r>
  <r>
    <s v="Shree Krishna Rubbers"/>
    <n v="0"/>
    <n v="0"/>
    <n v="0"/>
    <n v="0"/>
    <m/>
    <n v="0"/>
    <x v="0"/>
  </r>
  <r>
    <s v="Shree Krishna Transformers"/>
    <n v="-4956"/>
    <n v="4956"/>
    <n v="0"/>
    <n v="0"/>
    <m/>
    <n v="0"/>
    <x v="0"/>
  </r>
  <r>
    <s v="Shree Maruti Spring And Engineers"/>
    <n v="0"/>
    <n v="0"/>
    <n v="1180"/>
    <n v="-1180"/>
    <m/>
    <n v="-1180"/>
    <x v="0"/>
  </r>
  <r>
    <s v="Shree Meter &amp; Heater"/>
    <n v="-108335"/>
    <n v="11434"/>
    <n v="11434"/>
    <n v="-108335"/>
    <m/>
    <n v="-108335"/>
    <x v="0"/>
  </r>
  <r>
    <s v="Shree Nakalang Steel"/>
    <n v="0"/>
    <n v="98087"/>
    <n v="98088"/>
    <n v="-1"/>
    <m/>
    <n v="-1"/>
    <x v="0"/>
  </r>
  <r>
    <s v="Shree Ram Sulz Spares"/>
    <n v="-6903.78"/>
    <n v="31801"/>
    <n v="35612"/>
    <n v="-10714.78"/>
    <m/>
    <n v="-10714.78"/>
    <x v="0"/>
  </r>
  <r>
    <s v="Shree Salareshwar Wood Packers Private Limited."/>
    <n v="-1305516.8500000001"/>
    <n v="2100536.5"/>
    <n v="1699222.94"/>
    <n v="-904203.29"/>
    <m/>
    <n v="-904203.29"/>
    <x v="0"/>
  </r>
  <r>
    <s v="Shree Sharda Impex"/>
    <n v="-19765"/>
    <n v="19765"/>
    <n v="0"/>
    <n v="0"/>
    <m/>
    <n v="0"/>
    <x v="0"/>
  </r>
  <r>
    <s v="Shreeji Plastic-Abed"/>
    <n v="-8200"/>
    <n v="0"/>
    <n v="0"/>
    <n v="-8200"/>
    <m/>
    <n v="-8200"/>
    <x v="0"/>
  </r>
  <r>
    <s v="Shri Nakoda Transmission &amp; Electric Co."/>
    <n v="-300009.86"/>
    <n v="188185"/>
    <n v="160482.01"/>
    <n v="-272306.87"/>
    <m/>
    <n v="-272306.87"/>
    <x v="0"/>
  </r>
  <r>
    <s v="Shubh Engineering"/>
    <n v="-3014.89"/>
    <n v="10089"/>
    <n v="8083"/>
    <n v="-1008.89"/>
    <m/>
    <n v="-1008.89"/>
    <x v="0"/>
  </r>
  <r>
    <s v="Siddharth Subscription Agency"/>
    <n v="-14650"/>
    <n v="0"/>
    <n v="0"/>
    <n v="-14650"/>
    <m/>
    <n v="-14650"/>
    <x v="0"/>
  </r>
  <r>
    <s v="Siddheshwari Industries"/>
    <n v="-5310"/>
    <n v="19322"/>
    <n v="19322"/>
    <n v="-5310"/>
    <m/>
    <n v="-5310"/>
    <x v="0"/>
  </r>
  <r>
    <s v="Sitaram Products"/>
    <n v="173483.6"/>
    <n v="0"/>
    <n v="173484"/>
    <n v="-0.4"/>
    <m/>
    <n v="-0.4"/>
    <x v="0"/>
  </r>
  <r>
    <s v="SMMS Engineering Systems Pvt Ltd"/>
    <n v="12744"/>
    <n v="0"/>
    <n v="12744"/>
    <n v="0"/>
    <m/>
    <n v="0"/>
    <x v="0"/>
  </r>
  <r>
    <s v="Sonal Industries - Amraiwadi"/>
    <n v="-11706"/>
    <n v="69529"/>
    <n v="57823"/>
    <n v="0"/>
    <m/>
    <n v="0"/>
    <x v="0"/>
  </r>
  <r>
    <s v="Soni Graphics"/>
    <n v="-151278"/>
    <n v="76187"/>
    <n v="97232"/>
    <n v="-172323"/>
    <m/>
    <n v="-172323"/>
    <x v="0"/>
  </r>
  <r>
    <s v="Spectrum Lubricants Private Limited"/>
    <n v="-48734"/>
    <n v="112454"/>
    <n v="63720"/>
    <n v="0"/>
    <m/>
    <n v="0"/>
    <x v="0"/>
  </r>
  <r>
    <s v="Star Belting"/>
    <n v="0"/>
    <n v="0"/>
    <n v="0"/>
    <n v="0"/>
    <m/>
    <n v="0"/>
    <x v="0"/>
  </r>
  <r>
    <s v="Star Hardware"/>
    <n v="0"/>
    <n v="8106.6"/>
    <n v="0"/>
    <n v="8106.6"/>
    <m/>
    <n v="8106.6"/>
    <x v="0"/>
  </r>
  <r>
    <s v="Sulz Deck Sales Corporation"/>
    <n v="-38781.4"/>
    <n v="41660"/>
    <n v="8024"/>
    <n v="-5145.3999999999996"/>
    <m/>
    <n v="-5145.3999999999996"/>
    <x v="0"/>
  </r>
  <r>
    <s v="Susmatex Machinery"/>
    <n v="-38242"/>
    <n v="108754"/>
    <n v="70512"/>
    <n v="0"/>
    <m/>
    <n v="0"/>
    <x v="0"/>
  </r>
  <r>
    <s v="Svan Texcon Pvt Ltd"/>
    <n v="4152.88"/>
    <n v="131871.6"/>
    <n v="119654"/>
    <n v="16370.48"/>
    <m/>
    <n v="16370.48"/>
    <x v="0"/>
  </r>
  <r>
    <s v="Swastik Marketing"/>
    <n v="0"/>
    <n v="8177.4"/>
    <n v="8177"/>
    <n v="0.4"/>
    <m/>
    <n v="0.4"/>
    <x v="0"/>
  </r>
  <r>
    <s v="Synpack Slide N Zip Pvt. Ltd."/>
    <n v="-14331"/>
    <n v="0"/>
    <n v="0"/>
    <n v="-14331"/>
    <m/>
    <n v="-14331"/>
    <x v="0"/>
  </r>
  <r>
    <s v="Tanmay Engitech"/>
    <n v="0"/>
    <n v="0"/>
    <n v="9533"/>
    <n v="-9533"/>
    <m/>
    <n v="-9533"/>
    <x v="0"/>
  </r>
  <r>
    <s v="Tashkent Oil Company Pvt Ltd"/>
    <n v="-243959"/>
    <n v="243959"/>
    <n v="483210"/>
    <n v="-483210"/>
    <m/>
    <n v="-483210"/>
    <x v="0"/>
  </r>
  <r>
    <s v="Techwin Electronics"/>
    <n v="-17818"/>
    <n v="17818"/>
    <n v="0"/>
    <n v="0"/>
    <m/>
    <n v="0"/>
    <x v="0"/>
  </r>
  <r>
    <s v="Texpart Marketing"/>
    <n v="0"/>
    <n v="7788"/>
    <n v="7788"/>
    <n v="0"/>
    <m/>
    <n v="0"/>
    <x v="0"/>
  </r>
  <r>
    <s v="Theam Utility Solution"/>
    <n v="0"/>
    <n v="0"/>
    <n v="0"/>
    <n v="0"/>
    <m/>
    <n v="0"/>
    <x v="0"/>
  </r>
  <r>
    <s v="Titan Reeds  &amp; Healds Co."/>
    <n v="-110802"/>
    <n v="110802"/>
    <n v="0"/>
    <n v="0"/>
    <m/>
    <n v="0"/>
    <x v="0"/>
  </r>
  <r>
    <s v="Toyota Material Handling India Pvt Ltd"/>
    <n v="-7.0000000000000007E-2"/>
    <n v="0"/>
    <n v="0"/>
    <n v="-7.0000000000000007E-2"/>
    <m/>
    <n v="-7.0000000000000007E-2"/>
    <x v="0"/>
  </r>
  <r>
    <s v="Tritha Graphics"/>
    <n v="-163695"/>
    <n v="163695"/>
    <n v="833"/>
    <n v="-833"/>
    <m/>
    <n v="-833"/>
    <x v="0"/>
  </r>
  <r>
    <s v="Tulsi Engineering Services"/>
    <n v="-200.6"/>
    <n v="0"/>
    <n v="0"/>
    <n v="-200.6"/>
    <m/>
    <n v="-200.6"/>
    <x v="0"/>
  </r>
  <r>
    <s v="Twin Hydraulics"/>
    <n v="23954"/>
    <n v="84701"/>
    <n v="108655"/>
    <n v="0"/>
    <m/>
    <n v="0"/>
    <x v="0"/>
  </r>
  <r>
    <s v="Uma Steel Traders"/>
    <n v="-219303"/>
    <n v="379134"/>
    <n v="159831"/>
    <n v="0"/>
    <m/>
    <n v="0"/>
    <x v="0"/>
  </r>
  <r>
    <s v="Uni-Tex"/>
    <n v="-236085.4"/>
    <n v="367383"/>
    <n v="342005"/>
    <n v="-210707.4"/>
    <m/>
    <n v="-210707.4"/>
    <x v="0"/>
  </r>
  <r>
    <s v="Unique Techno Services Pvt Ltd"/>
    <n v="-49320.34"/>
    <n v="49320"/>
    <n v="0"/>
    <n v="-0.34"/>
    <m/>
    <n v="-0.34"/>
    <x v="0"/>
  </r>
  <r>
    <s v="United Transmission"/>
    <n v="0"/>
    <n v="9204"/>
    <n v="0"/>
    <n v="9204"/>
    <m/>
    <n v="9204"/>
    <x v="0"/>
  </r>
  <r>
    <s v="V K Print Pack"/>
    <n v="0"/>
    <n v="0"/>
    <n v="4128"/>
    <n v="-4128"/>
    <m/>
    <n v="-4128"/>
    <x v="0"/>
  </r>
  <r>
    <s v="V.S.Enterprise"/>
    <n v="0"/>
    <n v="0"/>
    <n v="0"/>
    <n v="0"/>
    <m/>
    <n v="0"/>
    <x v="0"/>
  </r>
  <r>
    <s v="Valco Melton Engineering India Pvt Ltd"/>
    <n v="-0.01"/>
    <n v="0"/>
    <n v="0"/>
    <n v="-0.01"/>
    <m/>
    <n v="-0.01"/>
    <x v="0"/>
  </r>
  <r>
    <s v="Valley Textile"/>
    <n v="0"/>
    <n v="68502"/>
    <n v="68502"/>
    <n v="0"/>
    <m/>
    <n v="0"/>
    <x v="0"/>
  </r>
  <r>
    <s v="Vashi Integrated Solutions Limited"/>
    <n v="-0.01"/>
    <n v="50598"/>
    <n v="50598"/>
    <n v="-0.01"/>
    <m/>
    <n v="-0.01"/>
    <x v="0"/>
  </r>
  <r>
    <s v="Venture Instrumentation Technologies Pvt Ltd"/>
    <n v="780"/>
    <n v="0"/>
    <n v="0"/>
    <n v="780"/>
    <m/>
    <n v="780"/>
    <x v="0"/>
  </r>
  <r>
    <s v="Vihaana Engineering"/>
    <n v="0"/>
    <n v="15340"/>
    <n v="0"/>
    <n v="15340"/>
    <m/>
    <n v="15340"/>
    <x v="0"/>
  </r>
  <r>
    <s v="Vinayak Enterprises"/>
    <n v="-5283"/>
    <n v="0"/>
    <n v="6656"/>
    <n v="-11939"/>
    <m/>
    <n v="-11939"/>
    <x v="0"/>
  </r>
  <r>
    <s v="Virava Chemicals"/>
    <n v="0.03"/>
    <n v="0"/>
    <n v="0"/>
    <n v="0.03"/>
    <m/>
    <n v="0.03"/>
    <x v="0"/>
  </r>
  <r>
    <s v="Welar Corporation"/>
    <n v="-33075.040000000001"/>
    <n v="89329"/>
    <n v="187796"/>
    <n v="-131542.04"/>
    <m/>
    <n v="-131542.04"/>
    <x v="0"/>
  </r>
  <r>
    <s v="West India Forklift Services"/>
    <n v="-1156"/>
    <n v="1156"/>
    <n v="0"/>
    <n v="0"/>
    <m/>
    <n v="0"/>
    <x v="0"/>
  </r>
  <r>
    <s v="Yen Traders"/>
    <n v="-1510"/>
    <n v="1510"/>
    <n v="0"/>
    <n v="0"/>
    <m/>
    <n v="0"/>
    <x v="0"/>
  </r>
  <r>
    <s v="V Trans India Limited 29AAACV1559Q1ZM"/>
    <n v="0"/>
    <n v="0"/>
    <n v="0"/>
    <n v="0"/>
    <m/>
    <n v="0"/>
    <x v="0"/>
  </r>
  <r>
    <s v="Aanjana Steel Traders"/>
    <n v="-84830"/>
    <n v="164676"/>
    <n v="119771"/>
    <n v="-39925"/>
    <m/>
    <n v="-39925"/>
    <x v="0"/>
  </r>
  <r>
    <s v="Abc Cooling System"/>
    <n v="0"/>
    <n v="47200"/>
    <n v="47200"/>
    <n v="0"/>
    <m/>
    <n v="0"/>
    <x v="0"/>
  </r>
  <r>
    <s v="Abhiram Traction"/>
    <n v="0"/>
    <n v="27848"/>
    <n v="27848"/>
    <n v="0"/>
    <m/>
    <n v="0"/>
    <x v="0"/>
  </r>
  <r>
    <s v="Accord Vitrified Private Limited"/>
    <n v="0.08"/>
    <n v="0"/>
    <n v="0"/>
    <n v="0.08"/>
    <m/>
    <n v="0.08"/>
    <x v="0"/>
  </r>
  <r>
    <s v="Agarwal Collections"/>
    <n v="-45900"/>
    <n v="0"/>
    <n v="0"/>
    <n v="-45900"/>
    <m/>
    <n v="-45900"/>
    <x v="0"/>
  </r>
  <r>
    <s v="Akshar Erector"/>
    <n v="0"/>
    <n v="8850"/>
    <n v="0"/>
    <n v="8850"/>
    <m/>
    <n v="8850"/>
    <x v="0"/>
  </r>
  <r>
    <s v="Alankar Automotives Pvt Ltd"/>
    <n v="0"/>
    <n v="0"/>
    <n v="0"/>
    <n v="0"/>
    <m/>
    <n v="0"/>
    <x v="0"/>
  </r>
  <r>
    <s v="All Scaffolding Rental"/>
    <n v="0"/>
    <n v="32120"/>
    <n v="23600"/>
    <n v="8520"/>
    <m/>
    <n v="8520"/>
    <x v="0"/>
  </r>
  <r>
    <s v="Aman Enterprise"/>
    <n v="-1374524.97"/>
    <n v="4530484"/>
    <n v="3014621.94"/>
    <n v="141337.09"/>
    <m/>
    <n v="141337.09"/>
    <x v="0"/>
  </r>
  <r>
    <s v="Amardeep Pipes"/>
    <n v="0"/>
    <n v="0"/>
    <n v="69892"/>
    <n v="-69892"/>
    <m/>
    <n v="-69892"/>
    <x v="0"/>
  </r>
  <r>
    <s v="Ambica Hardware &amp; Sanitary"/>
    <n v="-39407.160000000003"/>
    <n v="88014"/>
    <n v="48607"/>
    <n v="-0.16"/>
    <m/>
    <n v="-0.16"/>
    <x v="0"/>
  </r>
  <r>
    <s v="Ambica Sales Corporation"/>
    <n v="6931.32"/>
    <n v="0"/>
    <n v="6931"/>
    <n v="0.32"/>
    <m/>
    <n v="0.32"/>
    <x v="0"/>
  </r>
  <r>
    <s v="American Express Banking Corp 06AAGCA9055N1Z8"/>
    <n v="0"/>
    <n v="0"/>
    <n v="9636358.9199999999"/>
    <n v="-9636358.9199999999"/>
    <m/>
    <n v="-9636358.9199999999"/>
    <x v="0"/>
  </r>
  <r>
    <s v="Anshita Trading Co.Pvt Ltd-Purchase"/>
    <n v="0"/>
    <n v="0"/>
    <n v="0"/>
    <n v="0"/>
    <m/>
    <n v="0"/>
    <x v="0"/>
  </r>
  <r>
    <s v="Apple Engineers"/>
    <n v="0"/>
    <n v="35100"/>
    <n v="0"/>
    <n v="35100"/>
    <m/>
    <n v="35100"/>
    <x v="0"/>
  </r>
  <r>
    <s v="Arihant Fire &amp; Safety Services"/>
    <n v="3064.5"/>
    <n v="0"/>
    <n v="0"/>
    <n v="3064.5"/>
    <m/>
    <n v="3064.5"/>
    <x v="0"/>
  </r>
  <r>
    <s v="Ark Furniture Pvt Ltd"/>
    <n v="108708"/>
    <n v="330676.8"/>
    <n v="439385"/>
    <n v="-0.2"/>
    <m/>
    <n v="-0.2"/>
    <x v="0"/>
  </r>
  <r>
    <s v="Ascent Maritime Private Limited-Gujarat"/>
    <n v="5098"/>
    <n v="983023"/>
    <n v="988081"/>
    <n v="40"/>
    <m/>
    <n v="40"/>
    <x v="0"/>
  </r>
  <r>
    <s v="Ashapura Logistics Limited- 24AADCA4633M1ZP"/>
    <n v="-341383"/>
    <n v="9494690.8800000008"/>
    <n v="10275381.08"/>
    <n v="-1122073.2"/>
    <m/>
    <n v="-1122073.2"/>
    <x v="0"/>
  </r>
  <r>
    <s v="Ashapuri Electric Co"/>
    <n v="0"/>
    <n v="42200"/>
    <n v="47200"/>
    <n v="-5000"/>
    <m/>
    <n v="-5000"/>
    <x v="0"/>
  </r>
  <r>
    <s v="Ashirvad Electrical Works- Creditor"/>
    <n v="-53909"/>
    <n v="54359"/>
    <n v="26550"/>
    <n v="-26100"/>
    <m/>
    <n v="-26100"/>
    <x v="0"/>
  </r>
  <r>
    <s v="Ashirwad Electricals &amp; Mechanical Works"/>
    <n v="0"/>
    <n v="0"/>
    <n v="3835"/>
    <n v="-3835"/>
    <m/>
    <n v="-3835"/>
    <x v="0"/>
  </r>
  <r>
    <s v="Bahuchar Petroleum"/>
    <n v="0"/>
    <n v="16216"/>
    <n v="16216"/>
    <n v="0"/>
    <m/>
    <n v="0"/>
    <x v="0"/>
  </r>
  <r>
    <s v="Bhanu Pv Solar Pvt Ltd"/>
    <n v="0"/>
    <n v="44412.5"/>
    <n v="8031375"/>
    <n v="-7986962.5"/>
    <m/>
    <n v="-7986962.5"/>
    <x v="0"/>
  </r>
  <r>
    <s v="Bluestar Storage Solution"/>
    <n v="0"/>
    <n v="223200"/>
    <n v="0"/>
    <n v="223200"/>
    <m/>
    <n v="223200"/>
    <x v="0"/>
  </r>
  <r>
    <s v="Brahmani Enterprise"/>
    <n v="0"/>
    <n v="575461"/>
    <n v="575461"/>
    <n v="0"/>
    <m/>
    <n v="0"/>
    <x v="0"/>
  </r>
  <r>
    <s v="Cartridge Hub"/>
    <n v="-4661"/>
    <n v="6785"/>
    <n v="5900"/>
    <n v="-3776"/>
    <m/>
    <n v="-3776"/>
    <x v="0"/>
  </r>
  <r>
    <s v="CC ICICI Manish Banthia 3009"/>
    <n v="-6072774.5499999998"/>
    <n v="11535113.23"/>
    <n v="5462338.6799999997"/>
    <n v="0"/>
    <m/>
    <n v="0"/>
    <x v="0"/>
  </r>
  <r>
    <s v="CC ICICI Tarachand Purohit 4007"/>
    <n v="-1270766"/>
    <n v="1463586"/>
    <n v="256360"/>
    <n v="-63540"/>
    <m/>
    <n v="-63540"/>
    <x v="0"/>
  </r>
  <r>
    <s v="Cess Automation India LLP"/>
    <n v="0"/>
    <n v="0"/>
    <n v="4720"/>
    <n v="-4720"/>
    <m/>
    <n v="-4720"/>
    <x v="0"/>
  </r>
  <r>
    <s v="Ckb Global Logistics Private Limited"/>
    <n v="-74490.36"/>
    <n v="1112"/>
    <n v="63045"/>
    <n v="-136423.35999999999"/>
    <m/>
    <n v="-136423.35999999999"/>
    <x v="0"/>
  </r>
  <r>
    <s v="Clicktech Retail Private Limited-27AAJCC9783E1Z7"/>
    <n v="0"/>
    <n v="10244"/>
    <n v="10244"/>
    <n v="0"/>
    <m/>
    <n v="0"/>
    <x v="0"/>
  </r>
  <r>
    <s v="D N Enterprise"/>
    <n v="0"/>
    <n v="0"/>
    <n v="5607"/>
    <n v="-5607"/>
    <m/>
    <n v="-5607"/>
    <x v="0"/>
  </r>
  <r>
    <s v="Dapic Electronics And Automation"/>
    <n v="0"/>
    <n v="29500"/>
    <n v="29500"/>
    <n v="0"/>
    <m/>
    <n v="0"/>
    <x v="0"/>
  </r>
  <r>
    <s v="Dayana Polyplast Pvt Ltd"/>
    <n v="-258278"/>
    <n v="258278"/>
    <n v="0"/>
    <n v="0"/>
    <m/>
    <n v="0"/>
    <x v="0"/>
  </r>
  <r>
    <s v="Del Corona &amp; Scardigli India Pvt Ltd"/>
    <n v="579"/>
    <n v="67424"/>
    <n v="68003"/>
    <n v="0"/>
    <m/>
    <n v="0"/>
    <x v="0"/>
  </r>
  <r>
    <s v="Dwarkesh Pan Parlour &amp; General  Store"/>
    <n v="0"/>
    <n v="38440"/>
    <n v="59180"/>
    <n v="-20740"/>
    <m/>
    <n v="-20740"/>
    <x v="0"/>
  </r>
  <r>
    <s v="Elite Foods And Hospitality"/>
    <n v="-283452"/>
    <n v="880991"/>
    <n v="597539"/>
    <n v="0"/>
    <m/>
    <n v="0"/>
    <x v="0"/>
  </r>
  <r>
    <s v="Elite Inks Pvt Ltd-Purchase"/>
    <n v="2601937"/>
    <n v="0"/>
    <n v="0"/>
    <n v="2601937"/>
    <m/>
    <n v="2601937"/>
    <x v="0"/>
  </r>
  <r>
    <s v="Empire Air Conditioning Pvt Ltd"/>
    <n v="0"/>
    <n v="146000.22"/>
    <n v="146000"/>
    <n v="0.22"/>
    <m/>
    <n v="0.22"/>
    <x v="0"/>
  </r>
  <r>
    <s v="Envisafe Enviroment Consultants"/>
    <n v="5500"/>
    <n v="0"/>
    <n v="0"/>
    <n v="5500"/>
    <m/>
    <n v="5500"/>
    <x v="0"/>
  </r>
  <r>
    <s v="Explus Logistics Private Limited"/>
    <n v="1768"/>
    <n v="4137"/>
    <n v="0"/>
    <n v="5905"/>
    <m/>
    <n v="5905"/>
    <x v="0"/>
  </r>
  <r>
    <s v="Eye Kross"/>
    <n v="-40657.5"/>
    <n v="40657.5"/>
    <n v="0"/>
    <n v="0"/>
    <m/>
    <n v="0"/>
    <x v="0"/>
  </r>
  <r>
    <s v="Fcs Itech"/>
    <n v="0"/>
    <n v="14278"/>
    <n v="14278"/>
    <n v="0"/>
    <m/>
    <n v="0"/>
    <x v="0"/>
  </r>
  <r>
    <s v="Featherlite Collections"/>
    <n v="0"/>
    <n v="916092"/>
    <n v="1664162"/>
    <n v="-748070"/>
    <m/>
    <n v="-748070"/>
    <x v="0"/>
  </r>
  <r>
    <s v="Freight Lines India Pvt Ltd 27AAACF0535E1Z5"/>
    <n v="0"/>
    <n v="40352"/>
    <n v="40352"/>
    <n v="0"/>
    <m/>
    <n v="0"/>
    <x v="0"/>
  </r>
  <r>
    <s v="Galaxy Heat Products"/>
    <n v="-62205"/>
    <n v="8638"/>
    <n v="30621"/>
    <n v="-84188"/>
    <m/>
    <n v="-84188"/>
    <x v="0"/>
  </r>
  <r>
    <s v="Gallops Autohaus Pvt. Ltd."/>
    <n v="0"/>
    <n v="0"/>
    <n v="0"/>
    <n v="0"/>
    <m/>
    <n v="0"/>
    <x v="0"/>
  </r>
  <r>
    <s v="Global Accurate Management Private Limited"/>
    <n v="5900"/>
    <n v="0"/>
    <n v="0"/>
    <n v="5900"/>
    <m/>
    <n v="5900"/>
    <x v="0"/>
  </r>
  <r>
    <s v="Gloline Equipments Private Limited"/>
    <n v="0"/>
    <n v="0"/>
    <n v="3742"/>
    <n v="-3742"/>
    <m/>
    <n v="-3742"/>
    <x v="0"/>
  </r>
  <r>
    <s v="Go Green Fze"/>
    <n v="0"/>
    <n v="0"/>
    <n v="0"/>
    <n v="0"/>
    <m/>
    <n v="0"/>
    <x v="0"/>
  </r>
  <r>
    <s v="Grace Renewable Energy Limited"/>
    <n v="9238234"/>
    <n v="47412866"/>
    <n v="68607000"/>
    <n v="-11955900"/>
    <m/>
    <n v="-11955900"/>
    <x v="0"/>
  </r>
  <r>
    <s v="Gujarat Fabrication"/>
    <n v="-0.2"/>
    <n v="16620"/>
    <n v="16620"/>
    <n v="-0.2"/>
    <m/>
    <n v="-0.2"/>
    <x v="0"/>
  </r>
  <r>
    <s v="Gunjan Marketing"/>
    <n v="0"/>
    <n v="119416"/>
    <n v="119416"/>
    <n v="0"/>
    <m/>
    <n v="0"/>
    <x v="0"/>
  </r>
  <r>
    <s v="Hansa Provision Stores"/>
    <n v="0"/>
    <n v="0"/>
    <n v="137398"/>
    <n v="-137398"/>
    <m/>
    <n v="-137398"/>
    <x v="0"/>
  </r>
  <r>
    <s v="Harsh Engineering"/>
    <n v="0"/>
    <n v="0"/>
    <n v="6490"/>
    <n v="-6490"/>
    <m/>
    <n v="-6490"/>
    <x v="0"/>
  </r>
  <r>
    <s v="Haryana Auto Engineering"/>
    <n v="-64110"/>
    <n v="210559"/>
    <n v="157353"/>
    <n v="-10904"/>
    <m/>
    <n v="-10904"/>
    <x v="0"/>
  </r>
  <r>
    <s v="HCP Enterprise Ltd-Purchase"/>
    <n v="42147955.299999997"/>
    <n v="0"/>
    <n v="28623054.600000001"/>
    <n v="13524900.699999999"/>
    <m/>
    <n v="13524900.699999999"/>
    <x v="0"/>
  </r>
  <r>
    <s v="HCP Plastene Bulkpack Limited - Purchase"/>
    <n v="1092151.3400000001"/>
    <n v="205812.8"/>
    <n v="36026876.75"/>
    <n v="-34728912.609999999"/>
    <m/>
    <n v="-34728912.609999999"/>
    <x v="0"/>
  </r>
  <r>
    <s v="Hermione Renewables Private Limited"/>
    <n v="-4548"/>
    <n v="84133"/>
    <n v="84134"/>
    <n v="-4549"/>
    <m/>
    <n v="-4549"/>
    <x v="0"/>
  </r>
  <r>
    <s v="Inar company Private Limited (formaly Tumi Enterprise Pvt Ltd)"/>
    <n v="0"/>
    <n v="3957932"/>
    <n v="4139440"/>
    <n v="-181508"/>
    <m/>
    <n v="-181508"/>
    <x v="0"/>
  </r>
  <r>
    <s v="India Glass House Corporate"/>
    <n v="0"/>
    <n v="0"/>
    <n v="0"/>
    <n v="0"/>
    <m/>
    <n v="0"/>
    <x v="0"/>
  </r>
  <r>
    <s v="Indiaideas.Com Limited- 27AAACI7986C1ZD- Bill Desk"/>
    <n v="0"/>
    <n v="0"/>
    <n v="0"/>
    <n v="0"/>
    <m/>
    <n v="0"/>
    <x v="0"/>
  </r>
  <r>
    <s v="Indian Institute Of Packaging - Ahmedabad"/>
    <n v="11258"/>
    <n v="133010"/>
    <n v="0"/>
    <n v="144268"/>
    <m/>
    <n v="144268"/>
    <x v="0"/>
  </r>
  <r>
    <s v="Indralok Fabrics Pvt Ltd - Purchase"/>
    <n v="-203061.43"/>
    <n v="673461"/>
    <n v="592335"/>
    <n v="-121935.43"/>
    <m/>
    <n v="-121935.43"/>
    <x v="0"/>
  </r>
  <r>
    <s v="Industrial Rubber Company"/>
    <n v="-0.4"/>
    <n v="0"/>
    <n v="0"/>
    <n v="-0.4"/>
    <m/>
    <n v="-0.4"/>
    <x v="0"/>
  </r>
  <r>
    <s v="Innovative Roller Solutions"/>
    <n v="-46545.14"/>
    <n v="47293"/>
    <n v="44132"/>
    <n v="-43384.14"/>
    <m/>
    <n v="-43384.14"/>
    <x v="0"/>
  </r>
  <r>
    <s v="Intact Building Safety Solutions Int Pvt Ltd"/>
    <n v="548427.9"/>
    <n v="0"/>
    <n v="0"/>
    <n v="548427.9"/>
    <m/>
    <n v="548427.9"/>
    <x v="0"/>
  </r>
  <r>
    <s v="J B Enterprise"/>
    <n v="0"/>
    <n v="9440"/>
    <n v="0"/>
    <n v="9440"/>
    <m/>
    <n v="9440"/>
    <x v="0"/>
  </r>
  <r>
    <s v="J Patel Shipping And Logistics"/>
    <n v="-3500"/>
    <n v="4816"/>
    <n v="92596"/>
    <n v="-91280"/>
    <m/>
    <n v="-91280"/>
    <x v="0"/>
  </r>
  <r>
    <s v="J&amp;D Industries"/>
    <n v="0"/>
    <n v="14250"/>
    <n v="0"/>
    <n v="14250"/>
    <m/>
    <n v="14250"/>
    <x v="0"/>
  </r>
  <r>
    <s v="Jaihind Petroleum"/>
    <n v="0"/>
    <n v="0"/>
    <n v="0"/>
    <n v="0"/>
    <m/>
    <n v="0"/>
    <x v="0"/>
  </r>
  <r>
    <s v="Jain Bulk Pack - Rajkot"/>
    <n v="-311880"/>
    <n v="0"/>
    <n v="0"/>
    <n v="-311880"/>
    <m/>
    <n v="-311880"/>
    <x v="0"/>
  </r>
  <r>
    <s v="Jaliyan Enterprise"/>
    <n v="44975"/>
    <n v="0"/>
    <n v="0"/>
    <n v="44975"/>
    <m/>
    <n v="44975"/>
    <x v="0"/>
  </r>
  <r>
    <s v="Jan Marketing"/>
    <n v="0"/>
    <n v="0"/>
    <n v="0"/>
    <n v="0"/>
    <m/>
    <n v="0"/>
    <x v="0"/>
  </r>
  <r>
    <s v="Jay Ambe Industries.-24AXDPP0457E1ZR"/>
    <n v="32398"/>
    <n v="0"/>
    <n v="0"/>
    <n v="32398"/>
    <m/>
    <n v="32398"/>
    <x v="0"/>
  </r>
  <r>
    <s v="Jay Marketing"/>
    <n v="-1442"/>
    <n v="0"/>
    <n v="0"/>
    <n v="-1442"/>
    <m/>
    <n v="-1442"/>
    <x v="0"/>
  </r>
  <r>
    <s v="Jdm Worldwide Freight Solutions Pvt Ltd"/>
    <n v="0"/>
    <n v="35745"/>
    <n v="35745"/>
    <n v="0"/>
    <m/>
    <n v="0"/>
    <x v="0"/>
  </r>
  <r>
    <s v="JR Infomedia"/>
    <n v="0"/>
    <n v="18900"/>
    <n v="0"/>
    <n v="18900"/>
    <m/>
    <n v="18900"/>
    <x v="0"/>
  </r>
  <r>
    <s v="K P Enterprises"/>
    <n v="-16520"/>
    <n v="0"/>
    <n v="0"/>
    <n v="-16520"/>
    <m/>
    <n v="-16520"/>
    <x v="0"/>
  </r>
  <r>
    <s v="K.P. Woven Pvt Ltd - Unit 2 (Nani Chirai) -Purchase"/>
    <n v="16834618.210000001"/>
    <n v="0"/>
    <n v="0"/>
    <n v="16834618.210000001"/>
    <m/>
    <n v="16834618.210000001"/>
    <x v="0"/>
  </r>
  <r>
    <s v="K.P. Woven Pvt Ltd - Unit 2 -Purchase"/>
    <n v="-17148820.5"/>
    <n v="0"/>
    <n v="0"/>
    <n v="-17148820.5"/>
    <m/>
    <n v="-17148820.5"/>
    <x v="0"/>
  </r>
  <r>
    <s v="K.P. Woven Pvt Ltd - Unit 3 -Purchase"/>
    <n v="137982122.58000001"/>
    <n v="1914024.28"/>
    <n v="0"/>
    <n v="139896146.86000001"/>
    <m/>
    <n v="139896146.86000001"/>
    <x v="0"/>
  </r>
  <r>
    <s v="Kanaji Prahladji Thakor"/>
    <n v="-34650"/>
    <n v="106650"/>
    <n v="72000"/>
    <n v="0"/>
    <m/>
    <n v="0"/>
    <x v="0"/>
  </r>
  <r>
    <s v="Kayel Syntex Limited"/>
    <n v="-43641"/>
    <n v="298181.65999999997"/>
    <n v="331224"/>
    <n v="-76683.34"/>
    <m/>
    <n v="-76683.34"/>
    <x v="0"/>
  </r>
  <r>
    <s v="Khodiyar Traders"/>
    <n v="-1782"/>
    <n v="1782"/>
    <n v="0"/>
    <n v="0"/>
    <m/>
    <n v="0"/>
    <x v="0"/>
  </r>
  <r>
    <s v="Kim Enterprise"/>
    <n v="0.44"/>
    <n v="96422"/>
    <n v="96422"/>
    <n v="0.44"/>
    <m/>
    <n v="0.44"/>
    <x v="0"/>
  </r>
  <r>
    <s v="Krishna Insulation"/>
    <n v="0"/>
    <n v="0"/>
    <n v="0"/>
    <n v="0"/>
    <m/>
    <n v="0"/>
    <x v="0"/>
  </r>
  <r>
    <s v="Kuehne Nagel Private Limited"/>
    <n v="3846"/>
    <n v="459664"/>
    <n v="463510"/>
    <n v="0"/>
    <m/>
    <n v="0"/>
    <x v="0"/>
  </r>
  <r>
    <s v="Kush Enterprise"/>
    <n v="-0.28000000000000003"/>
    <n v="0"/>
    <n v="0"/>
    <n v="-0.28000000000000003"/>
    <m/>
    <n v="-0.28000000000000003"/>
    <x v="0"/>
  </r>
  <r>
    <s v="Kushal Cargo Movers"/>
    <n v="0"/>
    <n v="0"/>
    <n v="87000"/>
    <n v="-87000"/>
    <m/>
    <n v="-87000"/>
    <x v="0"/>
  </r>
  <r>
    <s v="La Decore"/>
    <n v="0"/>
    <n v="0"/>
    <n v="0"/>
    <n v="0"/>
    <m/>
    <n v="0"/>
    <x v="0"/>
  </r>
  <r>
    <s v="LAKSH IMPEX-Gujarat"/>
    <n v="-136.63"/>
    <n v="0"/>
    <n v="0"/>
    <n v="-136.63"/>
    <m/>
    <n v="-136.63"/>
    <x v="0"/>
  </r>
  <r>
    <s v="Lion Enterprise"/>
    <n v="0"/>
    <n v="0"/>
    <n v="0"/>
    <n v="0"/>
    <m/>
    <n v="0"/>
    <x v="0"/>
  </r>
  <r>
    <s v="Lohia Corp Limited - Gujarat"/>
    <n v="-21780"/>
    <n v="0"/>
    <n v="0"/>
    <n v="-21780"/>
    <m/>
    <n v="-21780"/>
    <x v="0"/>
  </r>
  <r>
    <s v="Lohia Corp Limited - Kanpur"/>
    <n v="0"/>
    <n v="0"/>
    <n v="0"/>
    <n v="0"/>
    <m/>
    <n v="0"/>
    <x v="0"/>
  </r>
  <r>
    <s v="M/S Liofer India"/>
    <n v="1620"/>
    <n v="0"/>
    <n v="0"/>
    <n v="1620"/>
    <m/>
    <n v="1620"/>
    <x v="0"/>
  </r>
  <r>
    <s v="Madhav Infracon"/>
    <n v="0"/>
    <n v="119000"/>
    <n v="118000"/>
    <n v="1000"/>
    <m/>
    <n v="1000"/>
    <x v="0"/>
  </r>
  <r>
    <s v="Maersk Line India Pvt Ltd"/>
    <n v="-517434.81"/>
    <n v="1246480.6000000001"/>
    <n v="1243692.6000000001"/>
    <n v="-514646.81"/>
    <m/>
    <n v="-514646.81"/>
    <x v="0"/>
  </r>
  <r>
    <s v="Mahavir Marketing"/>
    <n v="0"/>
    <n v="39853"/>
    <n v="39853"/>
    <n v="0"/>
    <m/>
    <n v="0"/>
    <x v="0"/>
  </r>
  <r>
    <s v="Mainfreight India Pvt Ltd 27AAQCM7304J1Z2"/>
    <n v="1491"/>
    <n v="359767"/>
    <n v="366130"/>
    <n v="-4872"/>
    <m/>
    <n v="-4872"/>
    <x v="0"/>
  </r>
  <r>
    <s v="Mak Engineering Works"/>
    <n v="0"/>
    <n v="44722"/>
    <n v="44722"/>
    <n v="0"/>
    <m/>
    <n v="0"/>
    <x v="0"/>
  </r>
  <r>
    <s v="Manish Metals"/>
    <n v="-0.86"/>
    <n v="0"/>
    <n v="0"/>
    <n v="-0.86"/>
    <m/>
    <n v="-0.86"/>
    <x v="0"/>
  </r>
  <r>
    <s v="Mateshwari Sweets"/>
    <n v="-400"/>
    <n v="0"/>
    <n v="0"/>
    <n v="-400"/>
    <m/>
    <n v="-400"/>
    <x v="0"/>
  </r>
  <r>
    <s v="Max Control"/>
    <n v="-31784"/>
    <n v="14750"/>
    <n v="17700"/>
    <n v="-34734"/>
    <m/>
    <n v="-34734"/>
    <x v="0"/>
  </r>
  <r>
    <s v="Mep Enterprise"/>
    <n v="13933"/>
    <n v="0"/>
    <n v="0"/>
    <n v="13933"/>
    <m/>
    <n v="13933"/>
    <x v="0"/>
  </r>
  <r>
    <s v="MK Enterprises"/>
    <n v="0"/>
    <n v="0"/>
    <n v="0"/>
    <n v="0"/>
    <m/>
    <n v="0"/>
    <x v="0"/>
  </r>
  <r>
    <s v="MPKI Packaging Private Limited"/>
    <n v="0"/>
    <n v="0"/>
    <n v="0"/>
    <n v="0"/>
    <m/>
    <n v="0"/>
    <x v="0"/>
  </r>
  <r>
    <s v="Mufg Intime India Private Limited"/>
    <n v="0"/>
    <n v="17700"/>
    <n v="17700"/>
    <n v="0"/>
    <m/>
    <n v="0"/>
    <x v="0"/>
  </r>
  <r>
    <s v="Nagraj Enterprise"/>
    <n v="0"/>
    <n v="0"/>
    <n v="0"/>
    <n v="0"/>
    <m/>
    <n v="0"/>
    <x v="0"/>
  </r>
  <r>
    <s v="Naksh Enterprise"/>
    <n v="0"/>
    <n v="0"/>
    <n v="0"/>
    <n v="0"/>
    <m/>
    <n v="0"/>
    <x v="0"/>
  </r>
  <r>
    <s v="Narayanlal Nainalal Prajapati"/>
    <n v="345500"/>
    <n v="0"/>
    <n v="0"/>
    <n v="345500"/>
    <m/>
    <n v="345500"/>
    <x v="0"/>
  </r>
  <r>
    <s v="Nayra Enterprise"/>
    <n v="-2.2599999999999998"/>
    <n v="0"/>
    <n v="0"/>
    <n v="-2.2599999999999998"/>
    <m/>
    <n v="-2.2599999999999998"/>
    <x v="0"/>
  </r>
  <r>
    <s v="Om Enterprises Sanand"/>
    <n v="0"/>
    <n v="0"/>
    <n v="0"/>
    <n v="0"/>
    <m/>
    <n v="0"/>
    <x v="0"/>
  </r>
  <r>
    <s v="One Stop Services"/>
    <n v="-236204"/>
    <n v="236204"/>
    <n v="0"/>
    <n v="0"/>
    <m/>
    <n v="0"/>
    <x v="0"/>
  </r>
  <r>
    <s v="Panchal Machinery"/>
    <n v="-7128"/>
    <n v="0"/>
    <n v="0"/>
    <n v="-7128"/>
    <m/>
    <n v="-7128"/>
    <x v="0"/>
  </r>
  <r>
    <s v="Paras Paper Mart"/>
    <n v="-970"/>
    <n v="970"/>
    <n v="0"/>
    <n v="0"/>
    <m/>
    <n v="0"/>
    <x v="0"/>
  </r>
  <r>
    <s v="Parekh Bulk Pack - Purchase"/>
    <n v="384450"/>
    <n v="0"/>
    <n v="384450"/>
    <n v="0"/>
    <m/>
    <n v="0"/>
    <x v="0"/>
  </r>
  <r>
    <s v="Patel Electrical Works-Sanand"/>
    <n v="-56901.93"/>
    <n v="71881"/>
    <n v="69350"/>
    <n v="-54370.93"/>
    <m/>
    <n v="-54370.93"/>
    <x v="0"/>
  </r>
  <r>
    <s v="Patel Sales &amp; Services"/>
    <n v="0"/>
    <n v="18585"/>
    <n v="19234"/>
    <n v="-649"/>
    <m/>
    <n v="-649"/>
    <x v="0"/>
  </r>
  <r>
    <s v="Perfect Belts Private Limited"/>
    <n v="1443.13"/>
    <n v="0"/>
    <n v="0"/>
    <n v="1443.13"/>
    <m/>
    <n v="1443.13"/>
    <x v="0"/>
  </r>
  <r>
    <s v="Plastene India ltd - HO-Purchase"/>
    <n v="-10701996.76"/>
    <n v="12000"/>
    <n v="708000"/>
    <n v="-11397996.76"/>
    <m/>
    <n v="-11397996.76"/>
    <x v="0"/>
  </r>
  <r>
    <s v="Plastene India ltd - Unit 1-Purchase"/>
    <n v="-15232000"/>
    <n v="525684600"/>
    <n v="416270996.95999998"/>
    <n v="94181603.040000007"/>
    <m/>
    <n v="94181603.040000007"/>
    <x v="0"/>
  </r>
  <r>
    <s v="Plastene India ltd - Unit 2-Purchase"/>
    <n v="65324336.740000002"/>
    <n v="241745"/>
    <n v="108642714.56999999"/>
    <n v="-43076632.829999998"/>
    <m/>
    <n v="-43076632.829999998"/>
    <x v="0"/>
  </r>
  <r>
    <s v="Plastene India ltd - Unit 4-Purchase"/>
    <n v="0"/>
    <n v="0"/>
    <n v="0"/>
    <n v="0"/>
    <m/>
    <n v="0"/>
    <x v="0"/>
  </r>
  <r>
    <s v="Plastene India ltd - Unit 6-Purchase"/>
    <n v="-800893.59"/>
    <n v="0"/>
    <n v="0"/>
    <n v="-800893.59"/>
    <m/>
    <n v="-800893.59"/>
    <x v="0"/>
  </r>
  <r>
    <s v="Plastene India ltd - Unit 8-Purchase"/>
    <n v="0"/>
    <n v="0"/>
    <n v="0"/>
    <n v="0"/>
    <m/>
    <n v="0"/>
    <x v="0"/>
  </r>
  <r>
    <s v="Plastene Polyfilms Ltd-Purchase"/>
    <n v="50181786.509999998"/>
    <n v="534315"/>
    <n v="52192726.969999999"/>
    <n v="-1476625.46"/>
    <m/>
    <n v="-1476625.46"/>
    <x v="0"/>
  </r>
  <r>
    <s v="Pradip Enterprises"/>
    <n v="0"/>
    <n v="0"/>
    <n v="0"/>
    <n v="0"/>
    <m/>
    <n v="0"/>
    <x v="0"/>
  </r>
  <r>
    <s v="Pranam Hvac Engineering Pvt Ltd"/>
    <n v="44417.64"/>
    <n v="0"/>
    <n v="0"/>
    <n v="44417.64"/>
    <m/>
    <n v="44417.64"/>
    <x v="0"/>
  </r>
  <r>
    <s v="Pratiksha Trading Co"/>
    <n v="-1415.11"/>
    <n v="1415.11"/>
    <n v="0"/>
    <n v="0"/>
    <m/>
    <n v="0"/>
    <x v="0"/>
  </r>
  <r>
    <s v="Protek Enterprises"/>
    <n v="25960"/>
    <n v="0"/>
    <n v="25960"/>
    <n v="0"/>
    <m/>
    <n v="0"/>
    <x v="0"/>
  </r>
  <r>
    <s v="Punit Trading Co"/>
    <n v="0"/>
    <n v="791"/>
    <n v="791"/>
    <n v="0"/>
    <m/>
    <n v="0"/>
    <x v="0"/>
  </r>
  <r>
    <s v="Raj Paint Works"/>
    <n v="0"/>
    <n v="0"/>
    <n v="0"/>
    <n v="0"/>
    <m/>
    <n v="0"/>
    <x v="0"/>
  </r>
  <r>
    <s v="Rajat Impex"/>
    <n v="-43913.23"/>
    <n v="43913"/>
    <n v="0"/>
    <n v="-0.23"/>
    <m/>
    <n v="-0.23"/>
    <x v="0"/>
  </r>
  <r>
    <s v="Rajukhan Munnekhan"/>
    <n v="0"/>
    <n v="0"/>
    <n v="0"/>
    <n v="0"/>
    <m/>
    <n v="0"/>
    <x v="0"/>
  </r>
  <r>
    <s v="Ramdev Metal Industries"/>
    <n v="2400"/>
    <n v="0"/>
    <n v="0"/>
    <n v="2400"/>
    <m/>
    <n v="2400"/>
    <x v="0"/>
  </r>
  <r>
    <s v="Retailez Private Limited 24AALCR3173P1ZT"/>
    <n v="0"/>
    <n v="41899"/>
    <n v="41899"/>
    <n v="0"/>
    <m/>
    <n v="0"/>
    <x v="0"/>
  </r>
  <r>
    <s v="Rex Steam Products Pvt Ltd"/>
    <n v="-0.34"/>
    <n v="0"/>
    <n v="0"/>
    <n v="-0.34"/>
    <m/>
    <n v="-0.34"/>
    <x v="0"/>
  </r>
  <r>
    <s v="Rishabhdev Marketing"/>
    <n v="0"/>
    <n v="47291.32"/>
    <n v="47525"/>
    <n v="-233.68"/>
    <m/>
    <n v="-233.68"/>
    <x v="0"/>
  </r>
  <r>
    <s v="Rivera Bath Ware"/>
    <n v="0"/>
    <n v="0"/>
    <n v="198050"/>
    <n v="-198050"/>
    <m/>
    <n v="-198050"/>
    <x v="0"/>
  </r>
  <r>
    <s v="Robro Systems Private Limited"/>
    <n v="0"/>
    <n v="100000"/>
    <n v="0"/>
    <n v="100000"/>
    <m/>
    <n v="100000"/>
    <x v="0"/>
  </r>
  <r>
    <s v="Roots Multiclean Ltd."/>
    <n v="0"/>
    <n v="30798"/>
    <n v="30798"/>
    <n v="0"/>
    <m/>
    <n v="0"/>
    <x v="0"/>
  </r>
  <r>
    <s v="RR International"/>
    <n v="-12949"/>
    <n v="72415"/>
    <n v="59466"/>
    <n v="0"/>
    <m/>
    <n v="0"/>
    <x v="0"/>
  </r>
  <r>
    <s v="S S Water Solutions"/>
    <n v="0"/>
    <n v="9086"/>
    <n v="9086"/>
    <n v="0"/>
    <m/>
    <n v="0"/>
    <x v="0"/>
  </r>
  <r>
    <s v="S.A. Airconditining"/>
    <n v="0"/>
    <n v="0"/>
    <n v="0"/>
    <n v="0"/>
    <m/>
    <n v="0"/>
    <x v="0"/>
  </r>
  <r>
    <s v="S.B. AGENCIES"/>
    <n v="-4725"/>
    <n v="0"/>
    <n v="0"/>
    <n v="-4725"/>
    <m/>
    <n v="-4725"/>
    <x v="0"/>
  </r>
  <r>
    <s v="S.M Enterprise"/>
    <n v="-2771100.1"/>
    <n v="6635315"/>
    <n v="4030116.31"/>
    <n v="-165901.41"/>
    <m/>
    <n v="-165901.41"/>
    <x v="0"/>
  </r>
  <r>
    <s v="Sahajanand Transmission"/>
    <n v="0"/>
    <n v="48380"/>
    <n v="48380"/>
    <n v="0"/>
    <m/>
    <n v="0"/>
    <x v="0"/>
  </r>
  <r>
    <s v="Samtaben Bharat Bhai Barad"/>
    <n v="-34000"/>
    <n v="102000"/>
    <n v="68000"/>
    <n v="0"/>
    <m/>
    <n v="0"/>
    <x v="0"/>
  </r>
  <r>
    <s v="Sanjay Trade And Industries"/>
    <n v="0"/>
    <n v="0"/>
    <n v="0"/>
    <n v="0"/>
    <m/>
    <n v="0"/>
    <x v="0"/>
  </r>
  <r>
    <s v="Santosh Kumar"/>
    <n v="0"/>
    <n v="30000"/>
    <n v="0"/>
    <n v="30000"/>
    <m/>
    <n v="30000"/>
    <x v="0"/>
  </r>
  <r>
    <s v="Sarang Agency"/>
    <n v="0"/>
    <n v="32061"/>
    <n v="32061"/>
    <n v="0"/>
    <m/>
    <n v="0"/>
    <x v="0"/>
  </r>
  <r>
    <s v="Sarswati Precision- Crediter"/>
    <n v="-24544"/>
    <n v="74222"/>
    <n v="82779.360000000001"/>
    <n v="-33101.360000000001"/>
    <m/>
    <n v="-33101.360000000001"/>
    <x v="0"/>
  </r>
  <r>
    <s v="Satyam Impex-Gujarat"/>
    <n v="-0.34"/>
    <n v="0"/>
    <n v="0"/>
    <n v="-0.34"/>
    <m/>
    <n v="-0.34"/>
    <x v="0"/>
  </r>
  <r>
    <s v="Satyanarayan Rubplast Private Limited"/>
    <n v="0"/>
    <n v="62658"/>
    <n v="93220"/>
    <n v="-30562"/>
    <m/>
    <n v="-30562"/>
    <x v="0"/>
  </r>
  <r>
    <s v="Semitrone Conchem Pvt Ltd"/>
    <n v="0"/>
    <n v="3677"/>
    <n v="3677"/>
    <n v="0"/>
    <m/>
    <n v="0"/>
    <x v="0"/>
  </r>
  <r>
    <s v="Sensation Pest Control Services"/>
    <n v="-77102"/>
    <n v="79348"/>
    <n v="123428"/>
    <n v="-121182"/>
    <m/>
    <n v="-121182"/>
    <x v="0"/>
  </r>
  <r>
    <s v="Sgs India Private Limited -06AAACS5514Q1Z2"/>
    <n v="-76080"/>
    <n v="83780"/>
    <n v="0"/>
    <n v="7700"/>
    <m/>
    <n v="7700"/>
    <x v="0"/>
  </r>
  <r>
    <s v="Shakti Sarkar Moneral Water Suppliers"/>
    <n v="-5841.8"/>
    <n v="17640"/>
    <n v="12080"/>
    <n v="-281.8"/>
    <m/>
    <n v="-281.8"/>
    <x v="0"/>
  </r>
  <r>
    <s v="Sheetal Enterprises"/>
    <n v="0"/>
    <n v="103840"/>
    <n v="103840"/>
    <n v="0"/>
    <m/>
    <n v="0"/>
    <x v="0"/>
  </r>
  <r>
    <s v="Shiv Stonex"/>
    <n v="-0.46"/>
    <n v="0"/>
    <n v="0"/>
    <n v="-0.46"/>
    <m/>
    <n v="-0.46"/>
    <x v="0"/>
  </r>
  <r>
    <s v="Shivam Logistic"/>
    <n v="-444860"/>
    <n v="614340"/>
    <n v="178180"/>
    <n v="-8700"/>
    <m/>
    <n v="-8700"/>
    <x v="0"/>
  </r>
  <r>
    <s v="Shivshakti Traders"/>
    <n v="-41849.269999999997"/>
    <n v="91703"/>
    <n v="139949"/>
    <n v="-90095.27"/>
    <m/>
    <n v="-90095.27"/>
    <x v="0"/>
  </r>
  <r>
    <s v="Shree Balaji Enterprise - 24BQPPM5472A1ZU"/>
    <n v="0"/>
    <n v="27966"/>
    <n v="27966"/>
    <n v="0"/>
    <m/>
    <n v="0"/>
    <x v="0"/>
  </r>
  <r>
    <s v="Shree Ghanshyam Engineering Works"/>
    <n v="2520"/>
    <n v="0"/>
    <n v="0"/>
    <n v="2520"/>
    <m/>
    <n v="2520"/>
    <x v="0"/>
  </r>
  <r>
    <s v="Shree Kuldevi Traders"/>
    <n v="-3885"/>
    <n v="83759"/>
    <n v="83760"/>
    <n v="-3886"/>
    <m/>
    <n v="-3886"/>
    <x v="0"/>
  </r>
  <r>
    <s v="Shree Navdurga Stone Care"/>
    <n v="0"/>
    <n v="0"/>
    <n v="165714"/>
    <n v="-165714"/>
    <m/>
    <n v="-165714"/>
    <x v="0"/>
  </r>
  <r>
    <s v="Shreeji Engineers- 24AEYPP0488D1Z4"/>
    <n v="0"/>
    <n v="0"/>
    <n v="0"/>
    <n v="0"/>
    <m/>
    <n v="0"/>
    <x v="0"/>
  </r>
  <r>
    <s v="Shreenath Traders"/>
    <n v="-8191.48"/>
    <n v="22200"/>
    <n v="22200"/>
    <n v="-8191.48"/>
    <m/>
    <n v="-8191.48"/>
    <x v="0"/>
  </r>
  <r>
    <s v="Shri Mehta Ceramic"/>
    <n v="-49400"/>
    <n v="49400"/>
    <n v="0"/>
    <n v="0"/>
    <m/>
    <n v="0"/>
    <x v="0"/>
  </r>
  <r>
    <s v="Siddharth Subscription Agency - 27AAAPJ9238K2ZE"/>
    <n v="0"/>
    <n v="14650"/>
    <n v="14650"/>
    <n v="0"/>
    <m/>
    <n v="0"/>
    <x v="0"/>
  </r>
  <r>
    <s v="Simandhar Technology"/>
    <n v="0"/>
    <n v="21240"/>
    <n v="21240"/>
    <n v="0"/>
    <m/>
    <n v="0"/>
    <x v="0"/>
  </r>
  <r>
    <s v="Skill-Tech Servise"/>
    <n v="0"/>
    <n v="18880"/>
    <n v="18880"/>
    <n v="0"/>
    <m/>
    <n v="0"/>
    <x v="0"/>
  </r>
  <r>
    <s v="Smart Loundry Home"/>
    <n v="-1386"/>
    <n v="2670"/>
    <n v="5620"/>
    <n v="-4336"/>
    <m/>
    <n v="-4336"/>
    <x v="0"/>
  </r>
  <r>
    <s v="Solanki Engineering Company"/>
    <n v="0"/>
    <n v="0"/>
    <n v="51212"/>
    <n v="-51212"/>
    <m/>
    <n v="-51212"/>
    <x v="0"/>
  </r>
  <r>
    <s v="Sps Tubes Industries"/>
    <n v="790350"/>
    <n v="0"/>
    <n v="0"/>
    <n v="790350"/>
    <m/>
    <n v="790350"/>
    <x v="0"/>
  </r>
  <r>
    <s v="Star Electric Work"/>
    <n v="-18682.599999999999"/>
    <n v="0"/>
    <n v="0"/>
    <n v="-18682.599999999999"/>
    <m/>
    <n v="-18682.599999999999"/>
    <x v="0"/>
  </r>
  <r>
    <s v="Sunrise Marine"/>
    <n v="-141412"/>
    <n v="229208"/>
    <n v="88580"/>
    <n v="-784"/>
    <m/>
    <n v="-784"/>
    <x v="0"/>
  </r>
  <r>
    <s v="Surneha Services"/>
    <n v="0"/>
    <n v="7875"/>
    <n v="7875"/>
    <n v="0"/>
    <m/>
    <n v="0"/>
    <x v="0"/>
  </r>
  <r>
    <s v="Swayam Shipping Services Private Limited"/>
    <n v="0"/>
    <n v="0"/>
    <n v="0"/>
    <n v="0"/>
    <m/>
    <n v="0"/>
    <x v="0"/>
  </r>
  <r>
    <s v="Tech Plastfeb Private Limited"/>
    <n v="-392656"/>
    <n v="850945"/>
    <n v="458289"/>
    <n v="0"/>
    <m/>
    <n v="0"/>
    <x v="0"/>
  </r>
  <r>
    <s v="Tecno Cooling Services"/>
    <n v="0"/>
    <n v="16095"/>
    <n v="16095"/>
    <n v="0"/>
    <m/>
    <n v="0"/>
    <x v="0"/>
  </r>
  <r>
    <s v="Unique Marketing - 24ABEPK2505M1ZU"/>
    <n v="9031787.25"/>
    <n v="500110"/>
    <n v="468707"/>
    <n v="9063190.25"/>
    <m/>
    <n v="9063190.25"/>
    <x v="0"/>
  </r>
  <r>
    <s v="Upasana Metals"/>
    <n v="0"/>
    <n v="226023"/>
    <n v="226023"/>
    <n v="0"/>
    <m/>
    <n v="0"/>
    <x v="0"/>
  </r>
  <r>
    <s v="Urban Junggle Privet Limited"/>
    <n v="-57819"/>
    <n v="60180"/>
    <n v="40120"/>
    <n v="-37759"/>
    <m/>
    <n v="-37759"/>
    <x v="0"/>
  </r>
  <r>
    <s v="Urvashi Logistics"/>
    <n v="0"/>
    <n v="289922"/>
    <n v="289922"/>
    <n v="0"/>
    <m/>
    <n v="0"/>
    <x v="0"/>
  </r>
  <r>
    <s v="V Trans India Limited  24AAACV1559Q1ZW"/>
    <n v="7118.1"/>
    <n v="0"/>
    <n v="0"/>
    <n v="7118.1"/>
    <m/>
    <n v="7118.1"/>
    <x v="0"/>
  </r>
  <r>
    <s v="V Trans India Limited 08AAACV1559Q1ZQ"/>
    <n v="0"/>
    <n v="0"/>
    <n v="0"/>
    <n v="0"/>
    <m/>
    <n v="0"/>
    <x v="0"/>
  </r>
  <r>
    <s v="Vagheshwari Engineering"/>
    <n v="6162"/>
    <n v="1057307"/>
    <n v="57307"/>
    <n v="1006162"/>
    <m/>
    <n v="1006162"/>
    <x v="0"/>
  </r>
  <r>
    <s v="Vajabhai Nagjibhai Gohel"/>
    <n v="-6200"/>
    <n v="18600"/>
    <n v="18600"/>
    <n v="-6200"/>
    <m/>
    <n v="-6200"/>
    <x v="0"/>
  </r>
  <r>
    <s v="Vasudev Enterprise"/>
    <n v="-17244"/>
    <n v="17244"/>
    <n v="0"/>
    <n v="0"/>
    <m/>
    <n v="0"/>
    <x v="0"/>
  </r>
  <r>
    <s v="Vimla Enterprise"/>
    <n v="-188280.18"/>
    <n v="564800"/>
    <n v="377600"/>
    <n v="-1080.18"/>
    <m/>
    <n v="-1080.18"/>
    <x v="0"/>
  </r>
  <r>
    <s v="Viraj Enterprises"/>
    <n v="8785.2000000000007"/>
    <n v="0"/>
    <n v="0"/>
    <n v="8785.2000000000007"/>
    <m/>
    <n v="8785.2000000000007"/>
    <x v="0"/>
  </r>
  <r>
    <s v="Visatkrupa Bright Steel"/>
    <n v="0"/>
    <n v="100890"/>
    <n v="100890"/>
    <n v="0"/>
    <m/>
    <n v="0"/>
    <x v="0"/>
  </r>
  <r>
    <s v="Vishal Shipping Global Logistics Llp"/>
    <n v="-146216"/>
    <n v="164615"/>
    <n v="40441"/>
    <n v="-22042"/>
    <m/>
    <n v="-22042"/>
    <x v="0"/>
  </r>
  <r>
    <s v="Vishwa Enterprise"/>
    <n v="0"/>
    <n v="0"/>
    <n v="0"/>
    <n v="0"/>
    <m/>
    <n v="0"/>
    <x v="0"/>
  </r>
  <r>
    <s v="Vivid Plus Private Limited"/>
    <n v="65785"/>
    <n v="0"/>
    <n v="0"/>
    <n v="65785"/>
    <m/>
    <n v="65785"/>
    <x v="0"/>
  </r>
  <r>
    <s v="Vk Bricks &amp; MJ Enterprise"/>
    <n v="-6720"/>
    <n v="0"/>
    <n v="0"/>
    <n v="-6720"/>
    <m/>
    <n v="-6720"/>
    <x v="0"/>
  </r>
  <r>
    <s v="Washington Enterprise"/>
    <n v="0"/>
    <n v="14750"/>
    <n v="0"/>
    <n v="14750"/>
    <m/>
    <n v="14750"/>
    <x v="0"/>
  </r>
  <r>
    <s v="Wittmann Battenfeld India Pvt Ltd"/>
    <n v="0"/>
    <n v="0"/>
    <n v="0"/>
    <n v="0"/>
    <m/>
    <n v="0"/>
    <x v="0"/>
  </r>
  <r>
    <s v="Yash Trips"/>
    <n v="0"/>
    <n v="269162"/>
    <n v="474708"/>
    <n v="-205546"/>
    <m/>
    <n v="-205546"/>
    <x v="0"/>
  </r>
  <r>
    <s v="Active Cargo Movers"/>
    <n v="0"/>
    <n v="0"/>
    <n v="0"/>
    <n v="0"/>
    <m/>
    <n v="0"/>
    <x v="0"/>
  </r>
  <r>
    <s v="Adani Ports And Special Economic Zone Limited"/>
    <n v="497669"/>
    <n v="2019"/>
    <n v="117321"/>
    <n v="382367"/>
    <m/>
    <n v="382367"/>
    <x v="0"/>
  </r>
  <r>
    <s v="Ahan Shipping Services-24AAZFA5323K1Z4"/>
    <n v="-1539.42"/>
    <n v="15078"/>
    <n v="15078"/>
    <n v="-1539.42"/>
    <m/>
    <n v="-1539.42"/>
    <x v="0"/>
  </r>
  <r>
    <s v="All-Way Logistics India Private Limited"/>
    <n v="-40"/>
    <n v="0"/>
    <n v="0"/>
    <n v="-40"/>
    <m/>
    <n v="-40"/>
    <x v="0"/>
  </r>
  <r>
    <s v="Arihant Roadlines"/>
    <n v="-2000"/>
    <n v="0"/>
    <n v="0"/>
    <n v="-2000"/>
    <m/>
    <n v="-2000"/>
    <x v="0"/>
  </r>
  <r>
    <s v="Ashapura Forwarders Limited - Ahmedabad"/>
    <n v="0"/>
    <n v="0"/>
    <n v="0"/>
    <n v="0"/>
    <m/>
    <n v="0"/>
    <x v="0"/>
  </r>
  <r>
    <s v="Ashapura Logistics Limited (Ashapura Forwarders Ltd)- 27AADCA4633M1ZJ"/>
    <n v="-8280"/>
    <n v="8280"/>
    <n v="0"/>
    <n v="0"/>
    <m/>
    <n v="0"/>
    <x v="0"/>
  </r>
  <r>
    <s v="Ashapura Roadlines"/>
    <n v="-610"/>
    <n v="610"/>
    <n v="0"/>
    <n v="0"/>
    <m/>
    <n v="0"/>
    <x v="0"/>
  </r>
  <r>
    <s v="B.K. Roadways"/>
    <n v="-59895"/>
    <n v="171895"/>
    <n v="112000"/>
    <n v="0"/>
    <m/>
    <n v="0"/>
    <x v="0"/>
  </r>
  <r>
    <s v="Believe Logistic-Gujarat"/>
    <n v="0"/>
    <n v="0"/>
    <n v="0"/>
    <n v="0"/>
    <m/>
    <n v="0"/>
    <x v="0"/>
  </r>
  <r>
    <s v="Blackstone Shipping Private Limited - Gujarat"/>
    <n v="102"/>
    <n v="658282"/>
    <n v="658384"/>
    <n v="0"/>
    <m/>
    <n v="0"/>
    <x v="0"/>
  </r>
  <r>
    <s v="Blackstone Shipping Private Limited - Maharashtra"/>
    <n v="445"/>
    <n v="131063"/>
    <n v="131508"/>
    <n v="0"/>
    <m/>
    <n v="0"/>
    <x v="0"/>
  </r>
  <r>
    <s v="Bravin Logistics LLP"/>
    <n v="-281496"/>
    <n v="657172"/>
    <n v="375676"/>
    <n v="0"/>
    <m/>
    <n v="0"/>
    <x v="0"/>
  </r>
  <r>
    <s v="C B Logistics"/>
    <n v="-80916"/>
    <n v="780603"/>
    <n v="780603"/>
    <n v="-80916"/>
    <m/>
    <n v="-80916"/>
    <x v="0"/>
  </r>
  <r>
    <s v="Cargo Marketing International Private Limited"/>
    <n v="0"/>
    <n v="397976"/>
    <n v="590492"/>
    <n v="-192516"/>
    <m/>
    <n v="-192516"/>
    <x v="0"/>
  </r>
  <r>
    <s v="Chinubhai Kalidass &amp; Bros - Gujarat"/>
    <n v="-38357.480000000003"/>
    <n v="0"/>
    <n v="0"/>
    <n v="-38357.480000000003"/>
    <m/>
    <n v="-38357.480000000003"/>
    <x v="0"/>
  </r>
  <r>
    <s v="Ckb Global Logistic Pvt Ltd-Maharashtra"/>
    <n v="-4230"/>
    <n v="0"/>
    <n v="0"/>
    <n v="-4230"/>
    <m/>
    <n v="-4230"/>
    <x v="0"/>
  </r>
  <r>
    <s v="Cma Cgm Agencies (India) Pvt Ltd"/>
    <n v="6313"/>
    <n v="7788"/>
    <n v="7788"/>
    <n v="6313"/>
    <m/>
    <n v="6313"/>
    <x v="0"/>
  </r>
  <r>
    <s v="Cosco Shipping Lines (India) Private Limited - Maharastra"/>
    <n v="0"/>
    <n v="0"/>
    <n v="0"/>
    <n v="0"/>
    <m/>
    <n v="0"/>
    <x v="0"/>
  </r>
  <r>
    <s v="Dsv Air &amp; Sea Private Limited"/>
    <n v="-174560"/>
    <n v="734230.01"/>
    <n v="514699.01"/>
    <n v="44971"/>
    <m/>
    <n v="44971"/>
    <x v="0"/>
  </r>
  <r>
    <s v="Dwarkesh Roadways"/>
    <n v="0"/>
    <n v="644000"/>
    <n v="644000"/>
    <n v="0"/>
    <m/>
    <n v="0"/>
    <x v="0"/>
  </r>
  <r>
    <s v="Evergreen Shipping Agency (India) Pvt Ltd"/>
    <n v="0"/>
    <n v="521237.96"/>
    <n v="258428.98"/>
    <n v="262808.98"/>
    <m/>
    <n v="262808.98"/>
    <x v="0"/>
  </r>
  <r>
    <s v="Expo Freight Private Limited"/>
    <n v="1161"/>
    <n v="67367"/>
    <n v="68528"/>
    <n v="0"/>
    <m/>
    <n v="0"/>
    <x v="0"/>
  </r>
  <r>
    <s v="Fast And Fair Shipping And Logistics"/>
    <n v="0"/>
    <n v="0"/>
    <n v="0"/>
    <n v="0"/>
    <m/>
    <n v="0"/>
    <x v="0"/>
  </r>
  <r>
    <s v="Fortune Shipping Private Limited"/>
    <n v="-58000"/>
    <n v="93018"/>
    <n v="34220"/>
    <n v="798"/>
    <m/>
    <n v="798"/>
    <x v="0"/>
  </r>
  <r>
    <s v="Fortune Shipping Services Pvt Ltd"/>
    <n v="0"/>
    <n v="0"/>
    <n v="0"/>
    <n v="0"/>
    <m/>
    <n v="0"/>
    <x v="0"/>
  </r>
  <r>
    <s v="G S Infraport Private Limited"/>
    <n v="-0.46"/>
    <n v="0"/>
    <n v="0"/>
    <n v="-0.46"/>
    <m/>
    <n v="-0.46"/>
    <x v="0"/>
  </r>
  <r>
    <s v="Girick Shipping Agencies Private Limited"/>
    <n v="1263"/>
    <n v="0"/>
    <n v="0"/>
    <n v="1263"/>
    <m/>
    <n v="1263"/>
    <x v="0"/>
  </r>
  <r>
    <s v="Globelink WW India Pvt Ltd"/>
    <n v="-190218"/>
    <n v="190218"/>
    <n v="0"/>
    <n v="0"/>
    <m/>
    <n v="0"/>
    <x v="0"/>
  </r>
  <r>
    <s v="Globus Transitos Pvt Ltd"/>
    <n v="-105883"/>
    <n v="202726"/>
    <n v="96843"/>
    <n v="0"/>
    <m/>
    <n v="0"/>
    <x v="0"/>
  </r>
  <r>
    <s v="Hasti Petro Chemical And Shipping Ltd."/>
    <n v="7280"/>
    <n v="29330"/>
    <n v="36750"/>
    <n v="-140"/>
    <m/>
    <n v="-140"/>
    <x v="0"/>
  </r>
  <r>
    <s v="Hellmann Worldwide Logistics India Private Limited"/>
    <n v="548"/>
    <n v="72674"/>
    <n v="73222"/>
    <n v="0"/>
    <m/>
    <n v="0"/>
    <x v="0"/>
  </r>
  <r>
    <s v="Hind Carriers Pvt Ltd"/>
    <n v="0"/>
    <n v="0"/>
    <n v="0"/>
    <n v="0"/>
    <m/>
    <n v="0"/>
    <x v="0"/>
  </r>
  <r>
    <s v="Hindustan Infralog Private Limited"/>
    <n v="-44936.54"/>
    <n v="44936.54"/>
    <n v="0"/>
    <n v="0"/>
    <m/>
    <n v="0"/>
    <x v="0"/>
  </r>
  <r>
    <s v="Jay Mataji Roadlines"/>
    <n v="-6000"/>
    <n v="6000"/>
    <n v="0"/>
    <n v="0"/>
    <m/>
    <n v="0"/>
    <x v="0"/>
  </r>
  <r>
    <s v="M R Logistics"/>
    <n v="0"/>
    <n v="19500"/>
    <n v="19500"/>
    <n v="0"/>
    <m/>
    <n v="0"/>
    <x v="0"/>
  </r>
  <r>
    <s v="Meldi Roadways"/>
    <n v="0"/>
    <n v="17000"/>
    <n v="17000"/>
    <n v="0"/>
    <m/>
    <n v="0"/>
    <x v="0"/>
  </r>
  <r>
    <s v="Meldi Transport"/>
    <n v="-10000"/>
    <n v="21500"/>
    <n v="21500"/>
    <n v="-10000"/>
    <m/>
    <n v="-10000"/>
    <x v="0"/>
  </r>
  <r>
    <s v="Mentor Freight International Pvt. Ltd"/>
    <n v="0"/>
    <n v="32278"/>
    <n v="32278"/>
    <n v="0"/>
    <m/>
    <n v="0"/>
    <x v="0"/>
  </r>
  <r>
    <s v="Msc Mediterranean Shipping Company S.A"/>
    <n v="-17248"/>
    <n v="1581613.2"/>
    <n v="1437921.2"/>
    <n v="126444"/>
    <m/>
    <n v="126444"/>
    <x v="0"/>
  </r>
  <r>
    <s v="Mundra International Container Terminal Pvt. Ltd."/>
    <n v="29840.84"/>
    <n v="0"/>
    <n v="0"/>
    <n v="29840.84"/>
    <m/>
    <n v="29840.84"/>
    <x v="0"/>
  </r>
  <r>
    <s v="New Adani Roadways"/>
    <n v="-47500"/>
    <n v="0"/>
    <n v="0"/>
    <n v="-47500"/>
    <m/>
    <n v="-47500"/>
    <x v="0"/>
  </r>
  <r>
    <s v="Orient Star Transport International Pvt Ltd"/>
    <n v="502"/>
    <n v="95524"/>
    <n v="96026"/>
    <n v="0"/>
    <m/>
    <n v="0"/>
    <x v="0"/>
  </r>
  <r>
    <s v="Parker Shipping"/>
    <n v="0"/>
    <n v="0"/>
    <n v="205560"/>
    <n v="-205560"/>
    <m/>
    <n v="-205560"/>
    <x v="0"/>
  </r>
  <r>
    <s v="Qwik Supply Chain Private Limited"/>
    <n v="106866.67"/>
    <n v="54430.34"/>
    <n v="7210.16"/>
    <n v="154086.85"/>
    <m/>
    <n v="154086.85"/>
    <x v="0"/>
  </r>
  <r>
    <s v="Rajat Logistics"/>
    <n v="-14457"/>
    <n v="14457"/>
    <n v="0"/>
    <n v="0"/>
    <m/>
    <n v="0"/>
    <x v="0"/>
  </r>
  <r>
    <s v="Reetu Global Logistics"/>
    <n v="4172"/>
    <n v="0"/>
    <n v="0"/>
    <n v="4172"/>
    <m/>
    <n v="4172"/>
    <x v="0"/>
  </r>
  <r>
    <s v="Rv Shipping &amp; Logistics-24LPLPS1931R2ZW"/>
    <n v="-265438"/>
    <n v="265438"/>
    <n v="0"/>
    <n v="0"/>
    <m/>
    <n v="0"/>
    <x v="0"/>
  </r>
  <r>
    <s v="Sanjay Forwarders Pvt LTD"/>
    <n v="0"/>
    <n v="643034"/>
    <n v="643034"/>
    <n v="0"/>
    <m/>
    <n v="0"/>
    <x v="0"/>
  </r>
  <r>
    <s v="Sar Transport Systems Pvt Ltd - Gujarat"/>
    <n v="-50"/>
    <n v="50"/>
    <n v="0"/>
    <n v="0"/>
    <m/>
    <n v="0"/>
    <x v="0"/>
  </r>
  <r>
    <s v="Sar Transport Systems Pvt Ltd - Maharastra"/>
    <n v="-322"/>
    <n v="95993"/>
    <n v="180863"/>
    <n v="-85192"/>
    <m/>
    <n v="-85192"/>
    <x v="0"/>
  </r>
  <r>
    <s v="Seabox Shipping &amp; Logistics Pvt Ltd"/>
    <n v="-9074.7199999999993"/>
    <n v="3751"/>
    <n v="196956"/>
    <n v="-202279.72"/>
    <m/>
    <n v="-202279.72"/>
    <x v="0"/>
  </r>
  <r>
    <s v="Shivam Transworld"/>
    <n v="0"/>
    <n v="6500"/>
    <n v="23500"/>
    <n v="-17000"/>
    <m/>
    <n v="-17000"/>
    <x v="0"/>
  </r>
  <r>
    <s v="Shreena Roadways"/>
    <n v="-98500"/>
    <n v="440000"/>
    <n v="341500"/>
    <n v="0"/>
    <m/>
    <n v="0"/>
    <x v="0"/>
  </r>
  <r>
    <s v="Shreenathji Worldwide Pvt Ltd-Gujarat"/>
    <n v="-21200"/>
    <n v="21200"/>
    <n v="0"/>
    <n v="0"/>
    <m/>
    <n v="0"/>
    <x v="0"/>
  </r>
  <r>
    <s v="Shyam Shipping Services - 24BNVPS6390A1ZL"/>
    <n v="0"/>
    <n v="1089719"/>
    <n v="1089719"/>
    <n v="0"/>
    <m/>
    <n v="0"/>
    <x v="0"/>
  </r>
  <r>
    <s v="Sikotar Roadways"/>
    <n v="0"/>
    <n v="302000"/>
    <n v="302000"/>
    <n v="0"/>
    <m/>
    <n v="0"/>
    <x v="0"/>
  </r>
  <r>
    <s v="Surbhi Shipping &amp; Logistics"/>
    <n v="-948403.69"/>
    <n v="1180978"/>
    <n v="467268"/>
    <n v="-234693.69"/>
    <m/>
    <n v="-234693.69"/>
    <x v="0"/>
  </r>
  <r>
    <s v="Swarnim Logistics"/>
    <n v="-14800"/>
    <n v="14800"/>
    <n v="0"/>
    <n v="0"/>
    <m/>
    <n v="0"/>
    <x v="0"/>
  </r>
  <r>
    <s v="Unity Logistic"/>
    <n v="0"/>
    <n v="10000"/>
    <n v="0"/>
    <n v="10000"/>
    <m/>
    <n v="10000"/>
    <x v="0"/>
  </r>
  <r>
    <s v="V R Logistics Limited"/>
    <n v="204859"/>
    <n v="0"/>
    <n v="0"/>
    <n v="204859"/>
    <m/>
    <n v="204859"/>
    <x v="0"/>
  </r>
  <r>
    <s v="V-Trans (India) Ltd. - 26Aaacv1559q2zr"/>
    <n v="1421.19"/>
    <n v="1624"/>
    <n v="0"/>
    <n v="3045.19"/>
    <m/>
    <n v="3045.19"/>
    <x v="0"/>
  </r>
  <r>
    <s v="V-Trans (India) Ltd. - Gujarat"/>
    <n v="39937.550000000003"/>
    <n v="4993"/>
    <n v="0"/>
    <n v="44930.55"/>
    <m/>
    <n v="44930.55"/>
    <x v="0"/>
  </r>
  <r>
    <s v="V-Trans (India) Ltd. - Karnataka"/>
    <n v="-2811.03"/>
    <n v="0"/>
    <n v="0"/>
    <n v="-2811.03"/>
    <m/>
    <n v="-2811.03"/>
    <x v="0"/>
  </r>
  <r>
    <s v="V-Trans (India) Ltd. - Rajasthan"/>
    <n v="18348.53"/>
    <n v="11032"/>
    <n v="0"/>
    <n v="29380.53"/>
    <m/>
    <n v="29380.53"/>
    <x v="0"/>
  </r>
  <r>
    <s v="V-Trans (India) Ltd.-Mp"/>
    <n v="0"/>
    <n v="607"/>
    <n v="0"/>
    <n v="607"/>
    <m/>
    <n v="607"/>
    <x v="0"/>
  </r>
  <r>
    <s v="Virya Logistics Technologies Private Limited"/>
    <n v="0"/>
    <n v="157918"/>
    <n v="157918"/>
    <n v="0"/>
    <m/>
    <n v="0"/>
    <x v="0"/>
  </r>
  <r>
    <s v="Virya Logistics Technologies Private Limited-24AAICV0508K1ZD"/>
    <n v="0"/>
    <n v="242813"/>
    <n v="242813"/>
    <n v="0"/>
    <m/>
    <n v="0"/>
    <x v="0"/>
  </r>
  <r>
    <s v="Vrl Logistics Limited"/>
    <n v="2480"/>
    <n v="0"/>
    <n v="0"/>
    <n v="2480"/>
    <m/>
    <n v="2480"/>
    <x v="0"/>
  </r>
  <r>
    <s v="Vrl Logistics Limited - 08AABCV3609C1ZN"/>
    <n v="2290"/>
    <n v="2140"/>
    <n v="0"/>
    <n v="4430"/>
    <m/>
    <n v="4430"/>
    <x v="0"/>
  </r>
  <r>
    <s v="Vs Trans Lojistik Private Limited-Rajasthan"/>
    <n v="379"/>
    <n v="21967"/>
    <n v="22346"/>
    <n v="0"/>
    <m/>
    <n v="0"/>
    <x v="0"/>
  </r>
  <r>
    <s v="Zim Integrated Shipping Services (I) Pvt Ltd"/>
    <n v="0"/>
    <n v="473742"/>
    <n v="473742"/>
    <n v="0"/>
    <m/>
    <n v="0"/>
    <x v="0"/>
  </r>
  <r>
    <s v="CC HDFC Anil Goyal 2489"/>
    <n v="0"/>
    <n v="0"/>
    <n v="0"/>
    <n v="0"/>
    <m/>
    <n v="0"/>
    <x v="0"/>
  </r>
  <r>
    <s v="Cc Hdfc Anil Goyal 2981"/>
    <n v="-98438"/>
    <n v="324068"/>
    <n v="225630"/>
    <n v="0"/>
    <m/>
    <n v="0"/>
    <x v="0"/>
  </r>
  <r>
    <s v="Cc Hdfc Plastene India Limited 6042"/>
    <n v="264055.32"/>
    <n v="0"/>
    <n v="0"/>
    <n v="264055.32"/>
    <m/>
    <n v="264055.32"/>
    <x v="0"/>
  </r>
  <r>
    <s v="CC HDFC Prakash Parekh 7800"/>
    <n v="0"/>
    <n v="0"/>
    <n v="0"/>
    <n v="0"/>
    <m/>
    <n v="0"/>
    <x v="0"/>
  </r>
  <r>
    <s v="CC ICICI Anil Goyal 5007"/>
    <n v="0"/>
    <n v="52143"/>
    <n v="52143"/>
    <n v="0"/>
    <m/>
    <n v="0"/>
    <x v="0"/>
  </r>
  <r>
    <s v="Cc Rbl Manish Banthia 4035"/>
    <n v="0"/>
    <n v="2357740"/>
    <n v="2357740"/>
    <n v="0"/>
    <m/>
    <n v="0"/>
    <x v="0"/>
  </r>
  <r>
    <s v="CC SCB Anil Goyal 2769"/>
    <n v="0"/>
    <n v="96272"/>
    <n v="96272"/>
    <n v="0"/>
    <m/>
    <n v="0"/>
    <x v="0"/>
  </r>
  <r>
    <s v="CC SCB Anil Goyal 5603"/>
    <n v="5637.6"/>
    <n v="0"/>
    <n v="0"/>
    <n v="5637.6"/>
    <m/>
    <n v="5637.6"/>
    <x v="0"/>
  </r>
  <r>
    <s v="ABT Sourcing And Consulting Llc"/>
    <n v="-36738.54"/>
    <n v="0"/>
    <n v="0"/>
    <n v="-36738.54"/>
    <m/>
    <n v="-36738.54"/>
    <x v="0"/>
  </r>
  <r>
    <s v="Ameriglobe LLC - Purchase"/>
    <n v="0"/>
    <n v="0"/>
    <n v="0"/>
    <n v="0"/>
    <m/>
    <n v="0"/>
    <x v="0"/>
  </r>
  <r>
    <s v="ERD - Supplier"/>
    <n v="-20029488"/>
    <n v="0"/>
    <n v="0"/>
    <n v="-20029488"/>
    <m/>
    <n v="-20029488"/>
    <x v="0"/>
  </r>
  <r>
    <s v="IRO Ab"/>
    <n v="0"/>
    <n v="0"/>
    <n v="0"/>
    <n v="0"/>
    <m/>
    <n v="0"/>
    <x v="0"/>
  </r>
  <r>
    <s v="Itema (Switzerland) Ltd"/>
    <n v="0"/>
    <n v="0"/>
    <n v="0"/>
    <n v="0"/>
    <m/>
    <n v="0"/>
    <x v="0"/>
  </r>
  <r>
    <s v="Jose Maria Camargo"/>
    <n v="0"/>
    <n v="0"/>
    <n v="0"/>
    <n v="0"/>
    <m/>
    <n v="0"/>
    <x v="0"/>
  </r>
  <r>
    <s v="Polymma (Hk) Co. Ltd"/>
    <n v="0.01"/>
    <n v="0"/>
    <n v="0"/>
    <n v="0.01"/>
    <m/>
    <n v="0.01"/>
    <x v="0"/>
  </r>
  <r>
    <s v="Polytek Makina Dis Ticaret Limited Sirketi"/>
    <n v="0"/>
    <n v="0"/>
    <n v="0"/>
    <n v="0"/>
    <m/>
    <n v="0"/>
    <x v="0"/>
  </r>
  <r>
    <s v="Advanced Global Marketing Company"/>
    <n v="-7206296.8700000001"/>
    <n v="7227000"/>
    <n v="0"/>
    <n v="20703.13"/>
    <m/>
    <n v="20703.13"/>
    <x v="0"/>
  </r>
  <r>
    <s v="Alok Master Batches Private Limited- Dadra"/>
    <n v="0"/>
    <n v="0"/>
    <n v="0"/>
    <n v="0"/>
    <m/>
    <n v="0"/>
    <x v="0"/>
  </r>
  <r>
    <s v="An Thanh Bicsol Jsc"/>
    <n v="0"/>
    <n v="0"/>
    <n v="0"/>
    <n v="0"/>
    <m/>
    <n v="0"/>
    <x v="0"/>
  </r>
  <r>
    <s v="An Thanh Bicsol Singapore Pte Ltd"/>
    <n v="0"/>
    <n v="0"/>
    <n v="0"/>
    <n v="0"/>
    <m/>
    <n v="0"/>
    <x v="0"/>
  </r>
  <r>
    <s v="Arv Chemicals"/>
    <n v="-3007.5"/>
    <n v="3007.5"/>
    <n v="0"/>
    <n v="0"/>
    <m/>
    <n v="0"/>
    <x v="0"/>
  </r>
  <r>
    <s v="Avient Materials India Private Limited- Gujarat"/>
    <n v="-362124.3"/>
    <n v="362124.3"/>
    <n v="152928"/>
    <n v="-152928"/>
    <m/>
    <n v="-152928"/>
    <x v="0"/>
  </r>
  <r>
    <s v="Basell International Trading Fze"/>
    <n v="0"/>
    <n v="0"/>
    <n v="0"/>
    <n v="0"/>
    <m/>
    <n v="0"/>
    <x v="0"/>
  </r>
  <r>
    <s v="Big Bag Essentials"/>
    <n v="0"/>
    <n v="0"/>
    <n v="0"/>
    <n v="0"/>
    <m/>
    <n v="0"/>
    <x v="0"/>
  </r>
  <r>
    <s v="Ever Bags Packaging Private Limited"/>
    <n v="0"/>
    <n v="1339302"/>
    <n v="1339302"/>
    <n v="0"/>
    <m/>
    <n v="0"/>
    <x v="0"/>
  </r>
  <r>
    <s v="Fortune Polytech Private Limited"/>
    <n v="-390679"/>
    <n v="390679"/>
    <n v="0"/>
    <n v="0"/>
    <m/>
    <n v="0"/>
    <x v="0"/>
  </r>
  <r>
    <s v="Gopala Polyplast Limited - Purchase"/>
    <n v="0"/>
    <n v="0"/>
    <n v="0"/>
    <n v="0"/>
    <m/>
    <n v="0"/>
    <x v="0"/>
  </r>
  <r>
    <s v="Grasim Industries Limited"/>
    <n v="0"/>
    <n v="3970283"/>
    <n v="3973650"/>
    <n v="-3367"/>
    <m/>
    <n v="-3367"/>
    <x v="0"/>
  </r>
  <r>
    <s v="HCP Plastene Bulkpack Ltd (Unit-III) - Purchase"/>
    <n v="0"/>
    <n v="0"/>
    <n v="0"/>
    <n v="0"/>
    <m/>
    <n v="0"/>
    <x v="0"/>
  </r>
  <r>
    <s v="Hcp Plastene Bulkpack Ltd (Unit-Iv) - Purchase"/>
    <n v="-113701170.09"/>
    <n v="14600000"/>
    <n v="27557474.66"/>
    <n v="-126658644.75"/>
    <m/>
    <n v="-126658644.75"/>
    <x v="0"/>
  </r>
  <r>
    <s v="Hexagon Globe"/>
    <n v="0"/>
    <n v="0"/>
    <n v="0"/>
    <n v="0"/>
    <m/>
    <n v="0"/>
    <x v="0"/>
  </r>
  <r>
    <s v="Ishan Plastic LLP"/>
    <n v="0"/>
    <n v="4141237.5"/>
    <n v="4144750"/>
    <n v="-3512.5"/>
    <m/>
    <n v="-3512.5"/>
    <x v="0"/>
  </r>
  <r>
    <s v="Ivict(Singapore) Pte. Ltd."/>
    <n v="0"/>
    <n v="52356115"/>
    <n v="0"/>
    <n v="52356115"/>
    <m/>
    <n v="52356115"/>
    <x v="0"/>
  </r>
  <r>
    <s v="Koco Group Limited"/>
    <n v="0"/>
    <n v="0"/>
    <n v="0"/>
    <n v="0"/>
    <m/>
    <n v="0"/>
    <x v="0"/>
  </r>
  <r>
    <s v="Macfil Industries - Purchase"/>
    <n v="0"/>
    <n v="3540000"/>
    <n v="0"/>
    <n v="3540000"/>
    <m/>
    <n v="3540000"/>
    <x v="0"/>
  </r>
  <r>
    <s v="Mayur Straps &amp; Packaging Industries"/>
    <n v="0"/>
    <n v="0"/>
    <n v="0"/>
    <n v="0"/>
    <m/>
    <n v="0"/>
    <x v="0"/>
  </r>
  <r>
    <s v="OCI (Hongkong) Limited"/>
    <n v="0.01"/>
    <n v="0"/>
    <n v="0"/>
    <n v="0.01"/>
    <m/>
    <n v="0.01"/>
    <x v="0"/>
  </r>
  <r>
    <s v="Ofb Universal Fze"/>
    <n v="2177.2800000000002"/>
    <n v="0"/>
    <n v="0"/>
    <n v="2177.2800000000002"/>
    <m/>
    <n v="2177.2800000000002"/>
    <x v="0"/>
  </r>
  <r>
    <s v="Olive Industries"/>
    <n v="-1349976.14"/>
    <n v="3335296.94"/>
    <n v="4210779"/>
    <n v="-2225458.2000000002"/>
    <m/>
    <n v="-2225458.2000000002"/>
    <x v="0"/>
  </r>
  <r>
    <s v="ONGC Petro Addition Ltd"/>
    <n v="0"/>
    <n v="0"/>
    <n v="0"/>
    <n v="0"/>
    <m/>
    <n v="0"/>
    <x v="0"/>
  </r>
  <r>
    <s v="Ongc Petro Additions Limited- DTA ( Domestic )"/>
    <n v="-6093"/>
    <n v="0"/>
    <n v="0"/>
    <n v="-6093"/>
    <m/>
    <n v="-6093"/>
    <x v="0"/>
  </r>
  <r>
    <s v="Oriental Energy (Singapore) International Trading Pte Ltd"/>
    <n v="-2815223.04"/>
    <n v="0"/>
    <n v="0"/>
    <n v="-2815223.04"/>
    <m/>
    <n v="-2815223.04"/>
    <x v="0"/>
  </r>
  <r>
    <s v="Oswal Commodities Private Limited - Purchase"/>
    <n v="-60939205.399999999"/>
    <n v="25711863"/>
    <n v="18216858.800000001"/>
    <n v="-53444201.200000003"/>
    <m/>
    <n v="-53444201.200000003"/>
    <x v="0"/>
  </r>
  <r>
    <s v="Oswal Extrusion Ltd- KASEZ-Purchase"/>
    <n v="121956043.03"/>
    <n v="20088"/>
    <n v="114367859.02"/>
    <n v="7608272.0099999998"/>
    <m/>
    <n v="7608272.0099999998"/>
    <x v="0"/>
  </r>
  <r>
    <s v="Parth Poly Coat Yarn Pvt Ltd"/>
    <n v="-178274.77"/>
    <n v="185413.79"/>
    <n v="128367.69"/>
    <n v="-121228.67"/>
    <m/>
    <n v="-121228.67"/>
    <x v="0"/>
  </r>
  <r>
    <s v="Platinium Tie-Up Pvt Ltd - Purchase"/>
    <n v="0"/>
    <n v="0"/>
    <n v="0"/>
    <n v="0"/>
    <m/>
    <n v="0"/>
    <x v="0"/>
  </r>
  <r>
    <s v="Polyone Polymers India Private Limited - Gujarat"/>
    <n v="-0.16"/>
    <n v="0"/>
    <n v="0"/>
    <n v="-0.16"/>
    <m/>
    <n v="-0.16"/>
    <x v="0"/>
  </r>
  <r>
    <s v="Polytech International Private Limited - Purchase"/>
    <n v="0"/>
    <n v="0"/>
    <n v="0"/>
    <n v="0"/>
    <m/>
    <n v="0"/>
    <x v="0"/>
  </r>
  <r>
    <s v="Primaplas Private Ltd"/>
    <n v="-288057.3"/>
    <n v="27479518.260000002"/>
    <n v="27922268.98"/>
    <n v="-730808.02"/>
    <m/>
    <n v="-730808.02"/>
    <x v="0"/>
  </r>
  <r>
    <s v="Reliance Industries Ltd-Gujarat"/>
    <n v="-3347574.91"/>
    <n v="0"/>
    <n v="0"/>
    <n v="-3347574.91"/>
    <m/>
    <n v="-3347574.91"/>
    <x v="0"/>
  </r>
  <r>
    <s v="Reliance Industries Ltd-Jamnagar SEZ"/>
    <n v="-4968583.95"/>
    <n v="5900745.8099999996"/>
    <n v="1264495.67"/>
    <n v="-332333.81"/>
    <m/>
    <n v="-332333.81"/>
    <x v="0"/>
  </r>
  <r>
    <s v="Rishi Fibc Solutions Pvt Ltd - Purchase"/>
    <n v="0"/>
    <n v="3241696"/>
    <n v="3241696"/>
    <n v="0"/>
    <m/>
    <n v="0"/>
    <x v="0"/>
  </r>
  <r>
    <s v="Rudra Plastic"/>
    <n v="0"/>
    <n v="0"/>
    <n v="0"/>
    <n v="0"/>
    <m/>
    <n v="0"/>
    <x v="0"/>
  </r>
  <r>
    <s v="Sabic Asia Pacific Pte Ltd"/>
    <n v="397122"/>
    <n v="0"/>
    <n v="0"/>
    <n v="397122"/>
    <m/>
    <n v="397122"/>
    <x v="0"/>
  </r>
  <r>
    <s v="Shree Hari Filament"/>
    <n v="0"/>
    <n v="0"/>
    <n v="0"/>
    <n v="0"/>
    <m/>
    <n v="0"/>
    <x v="0"/>
  </r>
  <r>
    <s v="Sinopec Chemical Commercial Holding (Hong Kong) Company Limited"/>
    <n v="9070549"/>
    <n v="0"/>
    <n v="0"/>
    <n v="9070549"/>
    <m/>
    <n v="9070549"/>
    <x v="0"/>
  </r>
  <r>
    <s v="Soltex Petro Products Limited - Silvassa"/>
    <n v="0"/>
    <n v="0"/>
    <n v="0"/>
    <n v="0"/>
    <m/>
    <n v="0"/>
    <x v="0"/>
  </r>
  <r>
    <s v="Stavian Chemical Joint Stock Company"/>
    <n v="-9289728"/>
    <n v="0"/>
    <n v="0"/>
    <n v="-9289728"/>
    <m/>
    <n v="-9289728"/>
    <x v="0"/>
  </r>
  <r>
    <s v="Sun Shine International Pvt Limited"/>
    <n v="15352.4"/>
    <n v="0"/>
    <n v="0"/>
    <n v="15352.4"/>
    <m/>
    <n v="15352.4"/>
    <x v="0"/>
  </r>
  <r>
    <s v="Tradex Petroproducts LLP"/>
    <n v="3704282.43"/>
    <n v="958118.04"/>
    <n v="919735.67"/>
    <n v="3742664.8"/>
    <m/>
    <n v="3742664.8"/>
    <x v="0"/>
  </r>
  <r>
    <s v="Tricon Dry Chemicals,Llc"/>
    <n v="-1667849.04"/>
    <n v="0"/>
    <n v="0"/>
    <n v="-1667849.04"/>
    <m/>
    <n v="-1667849.04"/>
    <x v="0"/>
  </r>
  <r>
    <s v="Tulsi Dyechem Pvt Ltd - Purchase"/>
    <n v="-120912.47"/>
    <n v="0"/>
    <n v="0"/>
    <n v="-120912.47"/>
    <m/>
    <n v="-120912.47"/>
    <x v="0"/>
  </r>
  <r>
    <s v="United Raw Material Pte Ltd"/>
    <n v="0"/>
    <n v="0"/>
    <n v="0"/>
    <n v="0"/>
    <m/>
    <n v="0"/>
    <x v="0"/>
  </r>
  <r>
    <s v="Variofil Industries"/>
    <n v="-3.14"/>
    <n v="0"/>
    <n v="0"/>
    <n v="-3.14"/>
    <m/>
    <n v="-3.14"/>
    <x v="0"/>
  </r>
  <r>
    <s v="Vinmar International Llc"/>
    <n v="6686760.96"/>
    <n v="0"/>
    <n v="0"/>
    <n v="6686760.96"/>
    <m/>
    <n v="6686760.96"/>
    <x v="0"/>
  </r>
  <r>
    <s v="Vishisht Packaging Private Limited"/>
    <n v="-0.01"/>
    <n v="0"/>
    <n v="0"/>
    <n v="-0.01"/>
    <m/>
    <n v="-0.01"/>
    <x v="0"/>
  </r>
  <r>
    <s v="Vyankatesh Udyog (I) Pvt Ltd - Purchase"/>
    <n v="-1380670.92"/>
    <n v="1380670"/>
    <n v="1198880"/>
    <n v="-1198880.92"/>
    <m/>
    <n v="-1198880.92"/>
    <x v="0"/>
  </r>
  <r>
    <s v="A D Mehta Clearing Agency"/>
    <n v="-0.63"/>
    <n v="0"/>
    <n v="0"/>
    <n v="-0.63"/>
    <m/>
    <n v="-0.63"/>
    <x v="0"/>
  </r>
  <r>
    <s v="A.Senthil Nathan"/>
    <n v="1800"/>
    <n v="0"/>
    <n v="0"/>
    <n v="1800"/>
    <m/>
    <n v="1800"/>
    <x v="0"/>
  </r>
  <r>
    <s v="Abhi Roadline"/>
    <n v="-44301.5"/>
    <n v="0"/>
    <n v="0"/>
    <n v="-44301.5"/>
    <m/>
    <n v="-44301.5"/>
    <x v="0"/>
  </r>
  <r>
    <s v="Act Logistics"/>
    <n v="0"/>
    <n v="0"/>
    <n v="0"/>
    <n v="0"/>
    <m/>
    <n v="0"/>
    <x v="0"/>
  </r>
  <r>
    <s v="Active Security &amp; Allied Services Pvt.Ltd."/>
    <n v="-25323.73"/>
    <n v="959013"/>
    <n v="959013"/>
    <n v="-25323.73"/>
    <m/>
    <n v="-25323.73"/>
    <x v="0"/>
  </r>
  <r>
    <s v="Adani International Container Terminal Pvt Ltd"/>
    <n v="30429"/>
    <n v="0"/>
    <n v="0"/>
    <n v="30429"/>
    <m/>
    <n v="30429"/>
    <x v="0"/>
  </r>
  <r>
    <s v="Adani Ports And Special Economic Zone Limited-(Kpw-1)"/>
    <n v="200000"/>
    <n v="100000"/>
    <n v="0"/>
    <n v="300000"/>
    <m/>
    <n v="300000"/>
    <x v="0"/>
  </r>
  <r>
    <s v="Adinath Enterprise"/>
    <n v="0"/>
    <n v="5000"/>
    <n v="5000"/>
    <n v="0"/>
    <m/>
    <n v="0"/>
    <x v="0"/>
  </r>
  <r>
    <s v="Akash Industries"/>
    <n v="7668"/>
    <n v="0"/>
    <n v="0"/>
    <n v="7668"/>
    <m/>
    <n v="7668"/>
    <x v="0"/>
  </r>
  <r>
    <s v="Amanulla Mondal"/>
    <n v="0"/>
    <n v="0"/>
    <n v="0"/>
    <n v="0"/>
    <m/>
    <n v="0"/>
    <x v="0"/>
  </r>
  <r>
    <s v="Ampere Mepf Consultants Llp"/>
    <n v="500"/>
    <n v="116500"/>
    <n v="118000"/>
    <n v="-1000"/>
    <m/>
    <n v="-1000"/>
    <x v="0"/>
  </r>
  <r>
    <s v="Ansari Afroz Alam Mo Yunus"/>
    <n v="-21426"/>
    <n v="19518"/>
    <n v="0"/>
    <n v="-1908"/>
    <m/>
    <n v="-1908"/>
    <x v="0"/>
  </r>
  <r>
    <s v="Arijeet Gandhi and Associates"/>
    <n v="4000"/>
    <n v="0"/>
    <n v="0"/>
    <n v="4000"/>
    <m/>
    <n v="4000"/>
    <x v="0"/>
  </r>
  <r>
    <s v="Arunkumar Shrikant Singh"/>
    <n v="-180000"/>
    <n v="580000"/>
    <n v="400000"/>
    <n v="0"/>
    <m/>
    <n v="0"/>
    <x v="0"/>
  </r>
  <r>
    <s v="Ashok Kumar Prajapati"/>
    <n v="-40406.5"/>
    <n v="0"/>
    <n v="0"/>
    <n v="-40406.5"/>
    <m/>
    <n v="-40406.5"/>
    <x v="0"/>
  </r>
  <r>
    <s v="Bank Of Baroda - 24AAACB1534F2ZB"/>
    <n v="-0.06"/>
    <n v="586218.72"/>
    <n v="586218.72"/>
    <n v="-0.06"/>
    <m/>
    <n v="-0.06"/>
    <x v="0"/>
  </r>
  <r>
    <s v="Bank Of Baroda - 27AAACB1534F2Z5"/>
    <n v="-0.45"/>
    <n v="7796.85"/>
    <n v="7796.85"/>
    <n v="-0.45"/>
    <m/>
    <n v="-0.45"/>
    <x v="0"/>
  </r>
  <r>
    <s v="Barad Arunkumar Kanubhai"/>
    <n v="-54000"/>
    <n v="177000"/>
    <n v="123000"/>
    <n v="0"/>
    <m/>
    <n v="0"/>
    <x v="0"/>
  </r>
  <r>
    <s v="Barad Devikaben Hiteshkumar"/>
    <n v="-113400"/>
    <n v="371700"/>
    <n v="258300"/>
    <n v="0"/>
    <m/>
    <n v="0"/>
    <x v="0"/>
  </r>
  <r>
    <s v="Barad Shubhamsinh Hitendrasinh"/>
    <n v="-108000"/>
    <n v="354000"/>
    <n v="246000"/>
    <n v="0"/>
    <m/>
    <n v="0"/>
    <x v="0"/>
  </r>
  <r>
    <s v="Bharat Bhai Ramta Bhai Barad"/>
    <n v="-34000"/>
    <n v="102000"/>
    <n v="68000"/>
    <n v="0"/>
    <m/>
    <n v="0"/>
    <x v="0"/>
  </r>
  <r>
    <s v="Bhavna Roadways"/>
    <n v="4256"/>
    <n v="23448"/>
    <n v="0"/>
    <n v="27704"/>
    <m/>
    <n v="27704"/>
    <x v="0"/>
  </r>
  <r>
    <s v="Bhupendra J.Shah &amp; Associates"/>
    <n v="4000"/>
    <n v="0"/>
    <n v="0"/>
    <n v="4000"/>
    <m/>
    <n v="4000"/>
    <x v="0"/>
  </r>
  <r>
    <s v="Blaze Net Ltd."/>
    <n v="-6600"/>
    <n v="6600"/>
    <n v="0"/>
    <n v="0"/>
    <m/>
    <n v="0"/>
    <x v="0"/>
  </r>
  <r>
    <s v="Brush International Mfg Company"/>
    <n v="-10726"/>
    <n v="121316"/>
    <n v="114885"/>
    <n v="-4295"/>
    <m/>
    <n v="-4295"/>
    <x v="0"/>
  </r>
  <r>
    <s v="Cc Hdfc Plastene Polyfilms Limited 9891"/>
    <n v="73828"/>
    <n v="0"/>
    <n v="0"/>
    <n v="73828"/>
    <m/>
    <n v="73828"/>
    <x v="0"/>
  </r>
  <r>
    <s v="Cc Icici Manish Banthia 9007"/>
    <n v="0"/>
    <n v="0"/>
    <n v="0"/>
    <n v="0"/>
    <m/>
    <n v="0"/>
    <x v="0"/>
  </r>
  <r>
    <s v="Cc Icici Tarachand Purohit 8009"/>
    <n v="-252702.42"/>
    <n v="12003150.539999999"/>
    <n v="17225722.280000001"/>
    <n v="-5475274.1600000001"/>
    <m/>
    <n v="-5475274.1600000001"/>
    <x v="0"/>
  </r>
  <r>
    <s v="Chamunda Travels"/>
    <n v="-34300"/>
    <n v="139300"/>
    <n v="105000"/>
    <n v="0"/>
    <m/>
    <n v="0"/>
    <x v="0"/>
  </r>
  <r>
    <s v="Charu Agroplast Pvt Ltd Unit -II"/>
    <n v="0"/>
    <n v="0"/>
    <n v="0"/>
    <n v="0"/>
    <m/>
    <n v="0"/>
    <x v="0"/>
  </r>
  <r>
    <s v="Dabhi Fire &amp; Safety"/>
    <n v="-38243"/>
    <n v="38243"/>
    <n v="0"/>
    <n v="0"/>
    <m/>
    <n v="0"/>
    <x v="0"/>
  </r>
  <r>
    <s v="Dave Hasumatiben Vasudevbhai"/>
    <n v="0"/>
    <n v="100800"/>
    <n v="100800"/>
    <n v="0"/>
    <m/>
    <n v="0"/>
    <x v="0"/>
  </r>
  <r>
    <s v="Doctor House"/>
    <n v="0"/>
    <n v="20000"/>
    <n v="20000"/>
    <n v="0"/>
    <m/>
    <n v="0"/>
    <x v="0"/>
  </r>
  <r>
    <s v="DP World Multimodal Logistics Private Limited"/>
    <n v="0"/>
    <n v="0"/>
    <n v="0"/>
    <n v="0"/>
    <m/>
    <n v="0"/>
    <x v="0"/>
  </r>
  <r>
    <s v="Export Credit Guarantee Corporation Of India Ltd."/>
    <n v="0"/>
    <n v="1091250"/>
    <n v="1091250"/>
    <n v="0"/>
    <m/>
    <n v="0"/>
    <x v="0"/>
  </r>
  <r>
    <s v="Faisalkhan Rajukhan Contractor"/>
    <n v="63"/>
    <n v="100732"/>
    <n v="79429"/>
    <n v="21366"/>
    <m/>
    <n v="21366"/>
    <x v="0"/>
  </r>
  <r>
    <s v="Food Junction"/>
    <n v="-29686.23"/>
    <n v="29686.23"/>
    <n v="0"/>
    <n v="0"/>
    <m/>
    <n v="0"/>
    <x v="0"/>
  </r>
  <r>
    <s v="Futuristic Technologies"/>
    <n v="0"/>
    <n v="3245"/>
    <n v="3245"/>
    <n v="0"/>
    <m/>
    <n v="0"/>
    <x v="0"/>
  </r>
  <r>
    <s v="G - Naam Logistics"/>
    <n v="0"/>
    <n v="125385"/>
    <n v="155000"/>
    <n v="-29615"/>
    <m/>
    <n v="-29615"/>
    <x v="0"/>
  </r>
  <r>
    <s v="G S Industries"/>
    <n v="0"/>
    <n v="0"/>
    <n v="0"/>
    <n v="0"/>
    <m/>
    <n v="0"/>
    <x v="0"/>
  </r>
  <r>
    <s v="Gangaram Bhai"/>
    <n v="-458"/>
    <n v="0"/>
    <n v="0"/>
    <n v="-458"/>
    <m/>
    <n v="-458"/>
    <x v="0"/>
  </r>
  <r>
    <s v="Gaurangkumar Babubhai Co."/>
    <n v="-12744"/>
    <n v="12744"/>
    <n v="0"/>
    <n v="0"/>
    <m/>
    <n v="0"/>
    <x v="0"/>
  </r>
  <r>
    <s v="Ghanshyambhai Ramtabhai Barad"/>
    <n v="-52200"/>
    <n v="156600"/>
    <n v="108000"/>
    <n v="-3600"/>
    <m/>
    <n v="-3600"/>
    <x v="0"/>
  </r>
  <r>
    <s v="GIDC Gandhinagar"/>
    <n v="31469"/>
    <n v="321902"/>
    <n v="679324"/>
    <n v="-325953"/>
    <m/>
    <n v="-325953"/>
    <x v="3"/>
  </r>
  <r>
    <s v="Green Gene Enviro Protection And Infrastructure"/>
    <n v="0"/>
    <n v="50000"/>
    <n v="69738"/>
    <n v="-19738"/>
    <m/>
    <n v="-19738"/>
    <x v="0"/>
  </r>
  <r>
    <s v="Gujarat Energy Transmission Corporation Limited"/>
    <n v="0"/>
    <n v="206548.18"/>
    <n v="0"/>
    <n v="206548.18"/>
    <m/>
    <n v="206548.18"/>
    <x v="0"/>
  </r>
  <r>
    <s v="Gujarat EPM Services"/>
    <n v="19469"/>
    <n v="0"/>
    <n v="0"/>
    <n v="19469"/>
    <m/>
    <n v="19469"/>
    <x v="0"/>
  </r>
  <r>
    <s v="Happy Express"/>
    <n v="-41104.67"/>
    <n v="32643"/>
    <n v="35474.6"/>
    <n v="-43936.27"/>
    <m/>
    <n v="-43936.27"/>
    <x v="0"/>
  </r>
  <r>
    <s v="Hari Ratan Singh"/>
    <n v="0"/>
    <n v="53100"/>
    <n v="53100"/>
    <n v="0"/>
    <m/>
    <n v="0"/>
    <x v="0"/>
  </r>
  <r>
    <s v="Harsiddhi Enterprise"/>
    <n v="0"/>
    <n v="0"/>
    <n v="10450"/>
    <n v="-10450"/>
    <m/>
    <n v="-10450"/>
    <x v="0"/>
  </r>
  <r>
    <s v="Hasmukh C Patel"/>
    <n v="0"/>
    <n v="64800"/>
    <n v="64800"/>
    <n v="0"/>
    <m/>
    <n v="0"/>
    <x v="0"/>
  </r>
  <r>
    <s v="Hetalben Ranjitbhai Barad"/>
    <n v="-45062"/>
    <n v="144942"/>
    <n v="99960"/>
    <n v="-80"/>
    <m/>
    <n v="-80"/>
    <x v="0"/>
  </r>
  <r>
    <s v="Hiteshkumar Bababhai Barad"/>
    <n v="-81000"/>
    <n v="265500"/>
    <n v="184500"/>
    <n v="0"/>
    <m/>
    <n v="0"/>
    <x v="0"/>
  </r>
  <r>
    <s v="Humongous Labs (Opc) Private Limited"/>
    <n v="-500"/>
    <n v="500"/>
    <n v="0"/>
    <n v="0"/>
    <m/>
    <n v="0"/>
    <x v="0"/>
  </r>
  <r>
    <s v="Iffco Tokio General Insurance Co. Ltd"/>
    <n v="0"/>
    <n v="253200"/>
    <n v="0"/>
    <n v="253200"/>
    <m/>
    <n v="253200"/>
    <x v="0"/>
  </r>
  <r>
    <s v="Imperial Logitrans Llp-Gujarat"/>
    <n v="-129.69999999999999"/>
    <n v="129.69999999999999"/>
    <n v="0"/>
    <n v="0"/>
    <m/>
    <n v="0"/>
    <x v="0"/>
  </r>
  <r>
    <s v="India Factoring And Finance Solutions Private Limited_27AACCI1918C1ZZ"/>
    <n v="0"/>
    <n v="170177.29"/>
    <n v="170177.29"/>
    <n v="0"/>
    <m/>
    <n v="0"/>
    <x v="0"/>
  </r>
  <r>
    <s v="Indian Institute Of Packaging"/>
    <n v="1728"/>
    <n v="0"/>
    <n v="0"/>
    <n v="1728"/>
    <m/>
    <n v="1728"/>
    <x v="0"/>
  </r>
  <r>
    <s v="Infomerics Valuation And Rating Pvt. Ltd"/>
    <n v="2016"/>
    <n v="0"/>
    <n v="0"/>
    <n v="2016"/>
    <m/>
    <n v="2016"/>
    <x v="0"/>
  </r>
  <r>
    <s v="Intertek India Pvt. Ltd-Haryana"/>
    <n v="0"/>
    <n v="20060"/>
    <n v="0"/>
    <n v="20060"/>
    <m/>
    <n v="20060"/>
    <x v="0"/>
  </r>
  <r>
    <s v="Ir Patel Law Associates"/>
    <n v="9000"/>
    <n v="0"/>
    <n v="0"/>
    <n v="9000"/>
    <m/>
    <n v="9000"/>
    <x v="0"/>
  </r>
  <r>
    <s v="ISSGF India Private Limited"/>
    <n v="0"/>
    <n v="0"/>
    <n v="0"/>
    <n v="0"/>
    <m/>
    <n v="0"/>
    <x v="0"/>
  </r>
  <r>
    <s v="J J Plastalloy Pvt Ltd"/>
    <n v="-1516300"/>
    <n v="1516300"/>
    <n v="7523"/>
    <n v="-7523"/>
    <m/>
    <n v="-7523"/>
    <x v="0"/>
  </r>
  <r>
    <s v="Janakben Ghanshyam Bhai Barad"/>
    <n v="-48600"/>
    <n v="156600"/>
    <n v="108000"/>
    <n v="0"/>
    <m/>
    <n v="0"/>
    <x v="0"/>
  </r>
  <r>
    <s v="Jay Ambe Engineering"/>
    <n v="-6504"/>
    <n v="1416"/>
    <n v="9322"/>
    <n v="-14410"/>
    <m/>
    <n v="-14410"/>
    <x v="0"/>
  </r>
  <r>
    <s v="Jay Plastic -  24AQYPT7026M1ZW"/>
    <n v="-0.4"/>
    <n v="0"/>
    <n v="0"/>
    <n v="-0.4"/>
    <m/>
    <n v="-0.4"/>
    <x v="0"/>
  </r>
  <r>
    <s v="Jaydeep Pandya &amp; Co."/>
    <n v="-64800"/>
    <n v="206400"/>
    <n v="141600"/>
    <n v="0"/>
    <m/>
    <n v="0"/>
    <x v="0"/>
  </r>
  <r>
    <s v="K.P Enterprise"/>
    <n v="-37141"/>
    <n v="174109"/>
    <n v="138443"/>
    <n v="-1475"/>
    <m/>
    <n v="-1475"/>
    <x v="0"/>
  </r>
  <r>
    <s v="Kanubhai Bhikhambhai Solanki"/>
    <n v="-147150"/>
    <n v="460200"/>
    <n v="319800"/>
    <n v="-6750"/>
    <m/>
    <n v="-6750"/>
    <x v="0"/>
  </r>
  <r>
    <s v="Karnataka Bank - 24AABCT5589K2ZU"/>
    <n v="-0.6"/>
    <n v="58141.35"/>
    <n v="58141.35"/>
    <n v="-0.6"/>
    <m/>
    <n v="-0.6"/>
    <x v="0"/>
  </r>
  <r>
    <s v="Karnavati Polyblends Pvt Ltd"/>
    <n v="-365814.01"/>
    <n v="966215"/>
    <n v="1113868"/>
    <n v="-513467.01"/>
    <m/>
    <n v="-513467.01"/>
    <x v="0"/>
  </r>
  <r>
    <s v="Khodabhai C Thakor"/>
    <n v="-484417.06"/>
    <n v="1571238"/>
    <n v="977299.85"/>
    <n v="109521.09"/>
    <m/>
    <n v="109521.09"/>
    <x v="0"/>
  </r>
  <r>
    <s v="Krishna Electro"/>
    <n v="-389"/>
    <n v="0"/>
    <n v="0"/>
    <n v="-389"/>
    <m/>
    <n v="-389"/>
    <x v="0"/>
  </r>
  <r>
    <s v="Kundanba Ghelubha Vaghela"/>
    <n v="-128520"/>
    <n v="414120"/>
    <n v="285600"/>
    <n v="0"/>
    <m/>
    <n v="0"/>
    <x v="0"/>
  </r>
  <r>
    <s v="Kutch Ratnam Roadways"/>
    <n v="-36315"/>
    <n v="66315"/>
    <n v="30000"/>
    <n v="0"/>
    <m/>
    <n v="0"/>
    <x v="0"/>
  </r>
  <r>
    <s v="Laxman B. Bakutra"/>
    <n v="0"/>
    <n v="10000"/>
    <n v="10000"/>
    <n v="0"/>
    <m/>
    <n v="0"/>
    <x v="0"/>
  </r>
  <r>
    <s v="Legal Entity Identifier India Limited_27AACCL9508M1Z1"/>
    <n v="-6431"/>
    <n v="0"/>
    <n v="0"/>
    <n v="-6431"/>
    <m/>
    <n v="-6431"/>
    <x v="0"/>
  </r>
  <r>
    <s v="Lovekush Enterprise"/>
    <n v="150000"/>
    <n v="0"/>
    <n v="0"/>
    <n v="150000"/>
    <m/>
    <n v="150000"/>
    <x v="0"/>
  </r>
  <r>
    <s v="Macfil Global Private Limited - Purchase"/>
    <n v="0"/>
    <n v="0"/>
    <n v="0"/>
    <n v="0"/>
    <m/>
    <n v="0"/>
    <x v="0"/>
  </r>
  <r>
    <s v="Macgray Solutions Pvt Ltd"/>
    <n v="-5311.43"/>
    <n v="10620"/>
    <n v="5310"/>
    <n v="-1.43"/>
    <m/>
    <n v="-1.43"/>
    <x v="0"/>
  </r>
  <r>
    <s v="Mahakali Enterprise 24AAXFM9233E1ZY"/>
    <n v="-39722"/>
    <n v="56295"/>
    <n v="257396"/>
    <n v="-240823"/>
    <m/>
    <n v="-240823"/>
    <x v="0"/>
  </r>
  <r>
    <s v="Maruti Plastic  24ACBFM1584C1ZM"/>
    <n v="0"/>
    <n v="1024"/>
    <n v="60401"/>
    <n v="-59377"/>
    <m/>
    <n v="-59377"/>
    <x v="0"/>
  </r>
  <r>
    <s v="Maruti Polymers"/>
    <n v="-215570"/>
    <n v="2510"/>
    <n v="148090"/>
    <n v="-361150"/>
    <m/>
    <n v="-361150"/>
    <x v="0"/>
  </r>
  <r>
    <s v="Mehboobkhan Daudkhan Pathan"/>
    <n v="2445855"/>
    <n v="148500"/>
    <n v="0"/>
    <n v="2594355"/>
    <m/>
    <n v="2594355"/>
    <x v="0"/>
  </r>
  <r>
    <s v="Mewad Palace Hotel"/>
    <n v="-31904"/>
    <n v="50820"/>
    <n v="50820"/>
    <n v="-31904"/>
    <m/>
    <n v="-31904"/>
    <x v="0"/>
  </r>
  <r>
    <s v="Micro Measurement And Calibration System Llp"/>
    <n v="0"/>
    <n v="0"/>
    <n v="1770"/>
    <n v="-1770"/>
    <m/>
    <n v="-1770"/>
    <x v="0"/>
  </r>
  <r>
    <s v="Midas Yarn Processors Pvt Ltd"/>
    <n v="0"/>
    <n v="0"/>
    <n v="0"/>
    <n v="0"/>
    <m/>
    <n v="0"/>
    <x v="0"/>
  </r>
  <r>
    <s v="Munahir Khan"/>
    <n v="0"/>
    <n v="13190"/>
    <n v="0"/>
    <n v="13190"/>
    <m/>
    <n v="13190"/>
    <x v="0"/>
  </r>
  <r>
    <s v="National Security Depository Limited"/>
    <n v="19410"/>
    <n v="5900"/>
    <n v="11800"/>
    <n v="13510"/>
    <m/>
    <n v="13510"/>
    <x v="0"/>
  </r>
  <r>
    <s v="Niraj R. Sharma"/>
    <n v="49500"/>
    <n v="99000"/>
    <n v="0"/>
    <n v="148500"/>
    <m/>
    <n v="148500"/>
    <x v="0"/>
  </r>
  <r>
    <s v="Noice Academy Private Limited"/>
    <n v="30000"/>
    <n v="0"/>
    <n v="0"/>
    <n v="30000"/>
    <m/>
    <n v="30000"/>
    <x v="0"/>
  </r>
  <r>
    <s v="Odex India Solutions Private Limited"/>
    <n v="21240"/>
    <n v="0"/>
    <n v="0"/>
    <n v="21240"/>
    <m/>
    <n v="21240"/>
    <x v="0"/>
  </r>
  <r>
    <s v="P M Nahta And Co"/>
    <n v="-47200"/>
    <n v="47200"/>
    <n v="0"/>
    <n v="0"/>
    <m/>
    <n v="0"/>
    <x v="0"/>
  </r>
  <r>
    <s v="P.S. Labour Organisation"/>
    <n v="-1223853.24"/>
    <n v="3425490"/>
    <n v="2099018.2799999998"/>
    <n v="102618.48"/>
    <m/>
    <n v="102618.48"/>
    <x v="0"/>
  </r>
  <r>
    <s v="Pareshkumar Vasudevbhai Dave"/>
    <n v="-132120"/>
    <n v="374400"/>
    <n v="244800"/>
    <n v="-2520"/>
    <m/>
    <n v="-2520"/>
    <x v="0"/>
  </r>
  <r>
    <s v="Patel &amp; Mehta"/>
    <n v="0"/>
    <n v="590000"/>
    <n v="590000"/>
    <n v="0"/>
    <m/>
    <n v="0"/>
    <x v="0"/>
  </r>
  <r>
    <s v="Pci Pest Control Pvt Ltd"/>
    <n v="48980"/>
    <n v="0"/>
    <n v="0"/>
    <n v="48980"/>
    <m/>
    <n v="48980"/>
    <x v="0"/>
  </r>
  <r>
    <s v="Pooja Enterprise-Sanand"/>
    <n v="0"/>
    <n v="0"/>
    <n v="0"/>
    <n v="0"/>
    <m/>
    <n v="0"/>
    <x v="0"/>
  </r>
  <r>
    <s v="Pravinbhai D Patel"/>
    <n v="9874"/>
    <n v="0"/>
    <n v="0"/>
    <n v="9874"/>
    <m/>
    <n v="9874"/>
    <x v="0"/>
  </r>
  <r>
    <s v="Purnimaben Pareshkumar Dave"/>
    <n v="-132920"/>
    <n v="374400"/>
    <n v="244800"/>
    <n v="-3320"/>
    <m/>
    <n v="-3320"/>
    <x v="0"/>
  </r>
  <r>
    <s v="QVC Certification Services Pvt. Ltd."/>
    <n v="0"/>
    <n v="246035"/>
    <n v="0"/>
    <n v="246035"/>
    <m/>
    <n v="246035"/>
    <x v="0"/>
  </r>
  <r>
    <s v="Rajesh Rajendra Gupta"/>
    <n v="50500"/>
    <n v="0"/>
    <n v="0"/>
    <n v="50500"/>
    <m/>
    <n v="50500"/>
    <x v="0"/>
  </r>
  <r>
    <s v="Raju Ram Jangid"/>
    <n v="410850"/>
    <n v="0"/>
    <n v="0"/>
    <n v="410850"/>
    <m/>
    <n v="410850"/>
    <x v="0"/>
  </r>
  <r>
    <s v="Rangrej Hasmatbhai Kalyankha"/>
    <n v="1187000"/>
    <n v="693000"/>
    <n v="0"/>
    <n v="1880000"/>
    <m/>
    <n v="1880000"/>
    <x v="0"/>
  </r>
  <r>
    <s v="Rashmi Crane Service"/>
    <n v="-1170"/>
    <n v="0"/>
    <n v="9440"/>
    <n v="-10610"/>
    <m/>
    <n v="-10610"/>
    <x v="0"/>
  </r>
  <r>
    <s v="Rathod Yashvardhansinh"/>
    <n v="-168000"/>
    <n v="168000"/>
    <n v="0"/>
    <n v="0"/>
    <m/>
    <n v="0"/>
    <x v="0"/>
  </r>
  <r>
    <s v="Receivables Exchange Of India Limited - 27AAHCR6707P1ZP"/>
    <n v="3806.64"/>
    <n v="0"/>
    <n v="0"/>
    <n v="3806.64"/>
    <m/>
    <n v="3806.64"/>
    <x v="0"/>
  </r>
  <r>
    <s v="Reliance Jio Infocomm Limited"/>
    <n v="0"/>
    <n v="0"/>
    <n v="0"/>
    <n v="0"/>
    <m/>
    <n v="0"/>
    <x v="0"/>
  </r>
  <r>
    <s v="Rinkuben Narendrabhai Barad"/>
    <n v="-51408"/>
    <n v="165648"/>
    <n v="114240"/>
    <n v="0"/>
    <m/>
    <n v="0"/>
    <x v="0"/>
  </r>
  <r>
    <s v="RSM Astute Consultech Private Limited"/>
    <n v="0"/>
    <n v="24375"/>
    <n v="287626"/>
    <n v="-263251"/>
    <m/>
    <n v="-263251"/>
    <x v="0"/>
  </r>
  <r>
    <s v="Rubix Data Sciences Private Limited"/>
    <n v="21121"/>
    <n v="11210"/>
    <n v="11210"/>
    <n v="21121"/>
    <m/>
    <n v="21121"/>
    <x v="0"/>
  </r>
  <r>
    <s v="Sahidul Mondal"/>
    <n v="9136"/>
    <n v="0"/>
    <n v="9136"/>
    <n v="0"/>
    <m/>
    <n v="0"/>
    <x v="0"/>
  </r>
  <r>
    <s v="Sakalain Khan"/>
    <n v="0"/>
    <n v="517025"/>
    <n v="590795.48"/>
    <n v="-73770.48"/>
    <m/>
    <n v="-73770.48"/>
    <x v="0"/>
  </r>
  <r>
    <s v="Samsung India Electronics Private Limited"/>
    <n v="81969"/>
    <n v="1320"/>
    <n v="80388"/>
    <n v="2901"/>
    <m/>
    <n v="2901"/>
    <x v="0"/>
  </r>
  <r>
    <s v="Sanand Industries Association"/>
    <n v="0"/>
    <n v="7080"/>
    <n v="7080"/>
    <n v="0"/>
    <m/>
    <n v="0"/>
    <x v="0"/>
  </r>
  <r>
    <s v="Savino Del Bene Freight Forwarders (India) Pvt. Ltd.-Gujarat"/>
    <n v="0"/>
    <n v="68144"/>
    <n v="68144"/>
    <n v="0"/>
    <m/>
    <n v="0"/>
    <x v="0"/>
  </r>
  <r>
    <s v="Sbi General Insurance Co. Ltd."/>
    <n v="0"/>
    <n v="78706"/>
    <n v="72806"/>
    <n v="5900"/>
    <m/>
    <n v="5900"/>
    <x v="0"/>
  </r>
  <r>
    <s v="Seema Mishra"/>
    <n v="-29700"/>
    <n v="59700"/>
    <n v="30000"/>
    <n v="0"/>
    <m/>
    <n v="0"/>
    <x v="0"/>
  </r>
  <r>
    <s v="SGS India Pvt Ltd"/>
    <n v="0"/>
    <n v="0"/>
    <n v="0"/>
    <n v="0"/>
    <m/>
    <n v="0"/>
    <x v="0"/>
  </r>
  <r>
    <s v="Shah Rajesh Virendrabhai"/>
    <n v="0"/>
    <n v="90793"/>
    <n v="90793"/>
    <n v="0"/>
    <m/>
    <n v="0"/>
    <x v="0"/>
  </r>
  <r>
    <s v="Shantilal R Prajapati"/>
    <n v="86828"/>
    <n v="148500"/>
    <n v="0"/>
    <n v="235328"/>
    <m/>
    <n v="235328"/>
    <x v="0"/>
  </r>
  <r>
    <s v="Shinhan Bank - 24AAACC2144A1ZL"/>
    <n v="-6863.39"/>
    <n v="0"/>
    <n v="316333.83"/>
    <n v="-323197.21999999997"/>
    <m/>
    <n v="-323197.21999999997"/>
    <x v="0"/>
  </r>
  <r>
    <s v="Shravankumar Prajapati"/>
    <n v="0"/>
    <n v="31732"/>
    <n v="36632"/>
    <n v="-4900"/>
    <m/>
    <n v="-4900"/>
    <x v="0"/>
  </r>
  <r>
    <s v="Shree Ganesh Associates"/>
    <n v="0"/>
    <n v="4000"/>
    <n v="4000"/>
    <n v="0"/>
    <m/>
    <n v="0"/>
    <x v="0"/>
  </r>
  <r>
    <s v="Shree Raj Industries"/>
    <n v="0"/>
    <n v="0"/>
    <n v="0"/>
    <n v="0"/>
    <m/>
    <n v="0"/>
    <x v="0"/>
  </r>
  <r>
    <s v="Shree Sai Occupational Health Care"/>
    <n v="125"/>
    <n v="3750"/>
    <n v="6250"/>
    <n v="-2375"/>
    <m/>
    <n v="-2375"/>
    <x v="0"/>
  </r>
  <r>
    <s v="Smit Enterprise - Sanand"/>
    <n v="-35425.25"/>
    <n v="0"/>
    <n v="0"/>
    <n v="-35425.25"/>
    <m/>
    <n v="-35425.25"/>
    <x v="0"/>
  </r>
  <r>
    <s v="SMS Integrated Facility Services Private Limited"/>
    <n v="-31512.92"/>
    <n v="31513"/>
    <n v="0"/>
    <n v="0.08"/>
    <m/>
    <n v="0.08"/>
    <x v="0"/>
  </r>
  <r>
    <s v="Sohanbhai Dhanjibhai Rathod"/>
    <n v="-11280"/>
    <n v="11280"/>
    <n v="0"/>
    <n v="0"/>
    <m/>
    <n v="0"/>
    <x v="0"/>
  </r>
  <r>
    <s v="Sonusingh Sengar"/>
    <n v="-153381"/>
    <n v="209431"/>
    <n v="398959"/>
    <n v="-342909"/>
    <m/>
    <n v="-342909"/>
    <x v="0"/>
  </r>
  <r>
    <s v="Soveer Shivram Singh"/>
    <n v="0"/>
    <n v="321799"/>
    <n v="321799"/>
    <n v="0"/>
    <m/>
    <n v="0"/>
    <x v="0"/>
  </r>
  <r>
    <s v="Sriram Ramnath Rajbhar"/>
    <n v="350000"/>
    <n v="0"/>
    <n v="0"/>
    <n v="350000"/>
    <m/>
    <n v="350000"/>
    <x v="0"/>
  </r>
  <r>
    <s v="SSP Royal Enterprise"/>
    <n v="0"/>
    <n v="0"/>
    <n v="0"/>
    <n v="0"/>
    <m/>
    <n v="0"/>
    <x v="0"/>
  </r>
  <r>
    <s v="Suhit Tejas Contractor"/>
    <n v="0"/>
    <n v="5100"/>
    <n v="0"/>
    <n v="5100"/>
    <m/>
    <n v="5100"/>
    <x v="0"/>
  </r>
  <r>
    <s v="Surjo Enterprise"/>
    <n v="0"/>
    <n v="0"/>
    <n v="0"/>
    <n v="0"/>
    <m/>
    <n v="0"/>
    <x v="0"/>
  </r>
  <r>
    <s v="Surya Enegy Kutch"/>
    <n v="-20234.669999999998"/>
    <n v="1941542"/>
    <n v="1921308"/>
    <n v="-0.67"/>
    <m/>
    <n v="-0.67"/>
    <x v="0"/>
  </r>
  <r>
    <s v="The Bombay Textile Research Association"/>
    <n v="19025"/>
    <n v="144239"/>
    <n v="0"/>
    <n v="163264"/>
    <m/>
    <n v="163264"/>
    <x v="0"/>
  </r>
  <r>
    <s v="The Gandhidham Chamber Of Commerce &amp; Industry"/>
    <n v="0"/>
    <n v="2088"/>
    <n v="708"/>
    <n v="1380"/>
    <m/>
    <n v="1380"/>
    <x v="0"/>
  </r>
  <r>
    <s v="The Karnataka Bank Limited-29AABCT5589K1ZL"/>
    <n v="-3581"/>
    <n v="0"/>
    <n v="0"/>
    <n v="-3581"/>
    <m/>
    <n v="-3581"/>
    <x v="0"/>
  </r>
  <r>
    <s v="The Plastics Export Promotion Council"/>
    <n v="0"/>
    <n v="0"/>
    <n v="21476"/>
    <n v="-21476"/>
    <m/>
    <n v="-21476"/>
    <x v="0"/>
  </r>
  <r>
    <s v="Union Bank Of India-24AAACU0564G2ZM"/>
    <n v="-0.64"/>
    <n v="0"/>
    <n v="0"/>
    <n v="-0.64"/>
    <m/>
    <n v="-0.64"/>
    <x v="0"/>
  </r>
  <r>
    <s v="Usha Plastic"/>
    <n v="-146369.48000000001"/>
    <n v="187290"/>
    <n v="42775"/>
    <n v="-1854.48"/>
    <m/>
    <n v="-1854.48"/>
    <x v="0"/>
  </r>
  <r>
    <s v="Uttar Gujarat Vij Company Ltd"/>
    <n v="-4150455.4"/>
    <n v="12025574"/>
    <n v="6944220"/>
    <n v="930898.6"/>
    <m/>
    <n v="930898.6"/>
    <x v="0"/>
  </r>
  <r>
    <s v="V Trans India Ltd 06AAACV1559Q1ZU"/>
    <n v="-854"/>
    <n v="0"/>
    <n v="0"/>
    <n v="-854"/>
    <m/>
    <n v="-854"/>
    <x v="0"/>
  </r>
  <r>
    <s v="V-Trans (India) Ltd. - Maharashtra"/>
    <n v="15853.21"/>
    <n v="4945"/>
    <n v="0"/>
    <n v="20798.21"/>
    <m/>
    <n v="20798.21"/>
    <x v="0"/>
  </r>
  <r>
    <s v="Vihaan Telecommunication Private Limited"/>
    <n v="0"/>
    <n v="0"/>
    <n v="18580"/>
    <n v="-18580"/>
    <m/>
    <n v="-18580"/>
    <x v="0"/>
  </r>
  <r>
    <s v="Vijaykumar Ghanshyam Chauhan"/>
    <n v="-52030"/>
    <n v="0"/>
    <n v="0"/>
    <n v="-52030"/>
    <m/>
    <n v="-52030"/>
    <x v="0"/>
  </r>
  <r>
    <s v="Vodafone Idea Limited"/>
    <n v="0"/>
    <n v="0"/>
    <n v="0"/>
    <n v="0"/>
    <m/>
    <n v="0"/>
    <x v="0"/>
  </r>
  <r>
    <s v="Vodafone Idea Limited - 24AAACB2100P1Z3"/>
    <n v="-0.46"/>
    <n v="0"/>
    <n v="0"/>
    <n v="-0.46"/>
    <m/>
    <n v="-0.46"/>
    <x v="0"/>
  </r>
  <r>
    <s v="Watair Envisol Consultancy Co"/>
    <n v="-8850"/>
    <n v="0"/>
    <n v="0"/>
    <n v="-8850"/>
    <m/>
    <n v="-8850"/>
    <x v="0"/>
  </r>
  <r>
    <s v="Webuild Consultants"/>
    <n v="0"/>
    <n v="165000"/>
    <n v="165000"/>
    <n v="0"/>
    <m/>
    <n v="0"/>
    <x v="0"/>
  </r>
  <r>
    <s v="Westwind Shipping And Logistics Pvt.Ltd"/>
    <n v="-1770"/>
    <n v="7080"/>
    <n v="5310"/>
    <n v="0"/>
    <m/>
    <n v="0"/>
    <x v="0"/>
  </r>
  <r>
    <s v="Bank Cash Credit BOB 25380500000217"/>
    <n v="-448828868.54000002"/>
    <n v="829545554.62"/>
    <n v="710920563.97000003"/>
    <n v="-330203877.88999999"/>
    <m/>
    <n v="-330203877.88999999"/>
    <x v="0"/>
  </r>
  <r>
    <s v="Bank Cash Credit PNB 0170108700000235"/>
    <n v="536708.4"/>
    <n v="0"/>
    <n v="274468"/>
    <n v="262240.40000000002"/>
    <m/>
    <n v="262240.40000000002"/>
    <x v="0"/>
  </r>
  <r>
    <s v="Bank Cash Credit Union Bank 00415010000011"/>
    <n v="-59604687.869999997"/>
    <n v="152809130.59999999"/>
    <n v="151800693.16"/>
    <n v="-58596250.43"/>
    <m/>
    <n v="-58596250.43"/>
    <x v="0"/>
  </r>
  <r>
    <s v="Bank EPC BOB 25380700000037"/>
    <n v="-904527117"/>
    <n v="92911181"/>
    <n v="104497200"/>
    <n v="-916113136"/>
    <m/>
    <n v="-916113136"/>
    <x v="0"/>
  </r>
  <r>
    <s v="Bank Epc Bob 25380700000042"/>
    <n v="-254791622.38"/>
    <n v="0"/>
    <n v="0"/>
    <n v="-254791622.38"/>
    <m/>
    <n v="-254791622.38"/>
    <x v="0"/>
  </r>
  <r>
    <s v="Pcfcy Karnataka 00212600006"/>
    <n v="0"/>
    <n v="0"/>
    <n v="3718520"/>
    <n v="-3718520"/>
    <m/>
    <n v="-3718520"/>
    <x v="0"/>
  </r>
  <r>
    <s v="Union Bank EPC - 000417220000002"/>
    <n v="-27509624.390000001"/>
    <n v="12000000"/>
    <n v="0"/>
    <n v="-15509624.390000001"/>
    <m/>
    <n v="-15509624.390000001"/>
    <x v="0"/>
  </r>
  <r>
    <s v="Bank Term Loan BOB 25380600000469"/>
    <n v="-77618334.810000002"/>
    <n v="21515724"/>
    <n v="2104567"/>
    <n v="-58207177.810000002"/>
    <m/>
    <n v="-58207177.810000002"/>
    <x v="0"/>
  </r>
  <r>
    <s v="Bank Term Loan Bob Ac No. 73280600000058"/>
    <n v="-17551333.5"/>
    <n v="1919100.98"/>
    <n v="414701"/>
    <n v="-16046933.52"/>
    <m/>
    <n v="-16046933.52"/>
    <x v="0"/>
  </r>
  <r>
    <s v="Bank Term Loan BOB Ac No. 73280600000059"/>
    <n v="-1755555.59"/>
    <n v="1048052.33"/>
    <n v="114719"/>
    <n v="-822222.26"/>
    <m/>
    <n v="-822222.26"/>
    <x v="0"/>
  </r>
  <r>
    <s v="Bank Term Loan BOB Ac No.73280600000029"/>
    <n v="-29027778"/>
    <n v="8525237.6400000006"/>
    <n v="608571"/>
    <n v="-21111111.359999999"/>
    <m/>
    <n v="-21111111.359999999"/>
    <x v="0"/>
  </r>
  <r>
    <s v="Bob Loan – 73280600000173"/>
    <n v="-60000000"/>
    <n v="1155780"/>
    <n v="1155780"/>
    <n v="-60000000"/>
    <m/>
    <n v="-60000000"/>
    <x v="0"/>
  </r>
  <r>
    <s v="The Karnataka Bank Limited Term Loan 0021702600001801"/>
    <n v="-50000000"/>
    <n v="811013"/>
    <n v="811013"/>
    <n v="-50000000"/>
    <m/>
    <n v="-50000000"/>
    <x v="0"/>
  </r>
  <r>
    <s v="Union Bank Loan – 000416440000030"/>
    <n v="-50000000"/>
    <n v="1090526.3999999999"/>
    <n v="1090526.3999999999"/>
    <n v="-50000000"/>
    <m/>
    <n v="-50000000"/>
    <x v="0"/>
  </r>
  <r>
    <s v="BOB Forklift Loan Ac 03240600002341_Secured"/>
    <n v="0"/>
    <n v="0"/>
    <n v="0"/>
    <n v="0"/>
    <m/>
    <n v="0"/>
    <x v="0"/>
  </r>
  <r>
    <s v="HDFC A/c 83098900_Chiller plant"/>
    <n v="0"/>
    <n v="0"/>
    <n v="0"/>
    <n v="0"/>
    <m/>
    <n v="0"/>
    <x v="0"/>
  </r>
  <r>
    <s v="HDFC A/C 83121232_Chiller plant"/>
    <n v="0"/>
    <n v="0"/>
    <n v="0"/>
    <n v="0"/>
    <m/>
    <n v="0"/>
    <x v="0"/>
  </r>
  <r>
    <s v="Secured Loan_HDFC A/C 83121235_Forklift"/>
    <n v="0"/>
    <n v="0"/>
    <n v="0"/>
    <n v="0"/>
    <m/>
    <n v="0"/>
    <x v="0"/>
  </r>
  <r>
    <s v="Karnataka Bank  PCFCY00212500010"/>
    <n v="-446984.53"/>
    <n v="0"/>
    <n v="0"/>
    <n v="-446984.53"/>
    <m/>
    <n v="-446984.53"/>
    <x v="0"/>
  </r>
  <r>
    <s v="Bank Cash Credit Karnataka Bank 021702400000901"/>
    <n v="-26668954.620000001"/>
    <n v="95234509"/>
    <n v="124404377.68000001"/>
    <n v="-55838823.299999997"/>
    <m/>
    <n v="-55838823.299999997"/>
    <x v="0"/>
  </r>
  <r>
    <s v="Bank Of Baroda PCFC- 25380700000043"/>
    <n v="-124620173.98"/>
    <n v="0"/>
    <n v="0"/>
    <n v="-124620173.98"/>
    <m/>
    <n v="-124620173.98"/>
    <x v="0"/>
  </r>
  <r>
    <s v="Bank Overdraft BOB 73280400000010"/>
    <n v="0"/>
    <n v="0"/>
    <n v="0"/>
    <n v="0"/>
    <m/>
    <n v="0"/>
    <x v="0"/>
  </r>
  <r>
    <s v="Bank PCFC BOB - EURO"/>
    <n v="0"/>
    <n v="0"/>
    <n v="0"/>
    <n v="0"/>
    <m/>
    <n v="0"/>
    <x v="0"/>
  </r>
  <r>
    <s v="Bank PCFC BOB-25380700000040- USD"/>
    <n v="0"/>
    <n v="0"/>
    <n v="0"/>
    <n v="0"/>
    <m/>
    <n v="0"/>
    <x v="0"/>
  </r>
  <r>
    <s v="Bill of Exchagne - RXIL Exchange"/>
    <n v="549499"/>
    <n v="0"/>
    <n v="0"/>
    <n v="549499"/>
    <m/>
    <n v="549499"/>
    <x v="0"/>
  </r>
  <r>
    <s v="Karnataka Bank EPC"/>
    <n v="-264850888"/>
    <n v="42480701"/>
    <n v="22878000"/>
    <n v="-245248187"/>
    <m/>
    <n v="-245248187"/>
    <x v="0"/>
  </r>
  <r>
    <s v="Karnataka Bank PCFCY00212600008"/>
    <n v="0"/>
    <n v="0"/>
    <n v="7437851"/>
    <n v="-7437851"/>
    <m/>
    <n v="-7437851"/>
    <x v="0"/>
  </r>
  <r>
    <s v="Karnataka Bank PCFCY00212600009"/>
    <n v="0"/>
    <n v="0"/>
    <n v="6136085"/>
    <n v="-6136085"/>
    <m/>
    <n v="-6136085"/>
    <x v="0"/>
  </r>
  <r>
    <s v="Pcfc Karnatak 00212500014"/>
    <n v="-16745374.66"/>
    <n v="0"/>
    <n v="0"/>
    <n v="-16745374.66"/>
    <m/>
    <n v="-16745374.66"/>
    <x v="0"/>
  </r>
  <r>
    <s v="Pcfc Karnatak 00212500015"/>
    <n v="-3784803.05"/>
    <n v="0"/>
    <n v="0"/>
    <n v="-3784803.05"/>
    <m/>
    <n v="-3784803.05"/>
    <x v="0"/>
  </r>
  <r>
    <s v="Pcfc Karnatak 00212500016"/>
    <n v="-14538782.1"/>
    <n v="0"/>
    <n v="0"/>
    <n v="-14538782.1"/>
    <m/>
    <n v="-14538782.1"/>
    <x v="0"/>
  </r>
  <r>
    <s v="Pcfcy Karnatak 00212600001"/>
    <n v="-3103131"/>
    <n v="0"/>
    <n v="0"/>
    <n v="-3103131"/>
    <m/>
    <n v="-3103131"/>
    <x v="0"/>
  </r>
  <r>
    <s v="Pcfcy Karnatak 00212600002"/>
    <n v="-12629931"/>
    <n v="0"/>
    <n v="0"/>
    <n v="-12629931"/>
    <m/>
    <n v="-12629931"/>
    <x v="0"/>
  </r>
  <r>
    <s v="Sales Bill Discounted Exports - Drip capital"/>
    <n v="655608.93999999994"/>
    <n v="0"/>
    <n v="0"/>
    <n v="655608.93999999994"/>
    <m/>
    <n v="655608.93999999994"/>
    <x v="0"/>
  </r>
  <r>
    <s v="Sales Bill Discounted Exports - India Factoring"/>
    <n v="3464.96"/>
    <n v="71410786.719999999"/>
    <n v="71410786.719999999"/>
    <n v="3464.96"/>
    <m/>
    <n v="3464.96"/>
    <x v="0"/>
  </r>
  <r>
    <s v="Sales Bill Discounted Exports - Mogli Labs Asia Private Limited"/>
    <n v="0"/>
    <n v="1910824.99"/>
    <n v="1910824.99"/>
    <n v="0"/>
    <m/>
    <n v="0"/>
    <x v="0"/>
  </r>
  <r>
    <s v="Sales Bill Discounted Exports - Shinhan"/>
    <n v="0"/>
    <n v="0"/>
    <n v="0"/>
    <n v="0"/>
    <m/>
    <n v="0"/>
    <x v="0"/>
  </r>
  <r>
    <s v="Union Bank PCFC - 000417220000003"/>
    <n v="-2618078.6"/>
    <n v="0"/>
    <n v="0"/>
    <n v="-2618078.6"/>
    <m/>
    <n v="-2618078.6"/>
    <x v="0"/>
  </r>
  <r>
    <s v="Union Bank PCFC - 312807220000031"/>
    <n v="-220384430.65000001"/>
    <n v="83393760.260000005"/>
    <n v="95602205"/>
    <n v="-232592875.38999999"/>
    <m/>
    <n v="-232592875.38999999"/>
    <x v="0"/>
  </r>
  <r>
    <s v="Plastene India ltd - HO-ICD"/>
    <n v="-817212928.11000001"/>
    <n v="0"/>
    <n v="0"/>
    <n v="-817212928.11000001"/>
    <m/>
    <n v="-817212928.11000001"/>
    <x v="0"/>
  </r>
  <r>
    <s v="Provision For Depreciation"/>
    <n v="-260850171.12"/>
    <n v="2246025"/>
    <n v="12586124"/>
    <n v="-271190270.12"/>
    <m/>
    <n v="-271190270.12"/>
    <x v="0"/>
  </r>
  <r>
    <s v="Provision For Expenses"/>
    <n v="-14666932"/>
    <n v="14658432"/>
    <n v="14206169.23"/>
    <n v="-14214669.23"/>
    <m/>
    <n v="-14214669.23"/>
    <x v="0"/>
  </r>
  <r>
    <s v="Provision For Leave Encashment"/>
    <n v="-1123027"/>
    <n v="0"/>
    <n v="0"/>
    <n v="-1123027"/>
    <m/>
    <n v="-1123027"/>
    <x v="0"/>
  </r>
  <r>
    <s v="Provision For Income Tax"/>
    <n v="-44079386.990000002"/>
    <n v="0"/>
    <n v="0"/>
    <n v="-44079386.990000002"/>
    <m/>
    <n v="-44079386.990000002"/>
    <x v="0"/>
  </r>
  <r>
    <s v="Profit And Loss Account"/>
    <n v="30173509.93"/>
    <n v="0"/>
    <n v="0.03"/>
    <n v="30173509.899999999"/>
    <m/>
    <n v="30173509.89999999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F84568-9831-4ED5-BF5C-AF5C2913F41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J1329:K1360" firstHeaderRow="1" firstDataRow="1" firstDataCol="1"/>
  <pivotFields count="8"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31">
        <item x="2"/>
        <item x="10"/>
        <item x="9"/>
        <item x="11"/>
        <item x="18"/>
        <item x="16"/>
        <item x="12"/>
        <item x="14"/>
        <item x="19"/>
        <item x="7"/>
        <item x="24"/>
        <item x="22"/>
        <item x="1"/>
        <item x="20"/>
        <item x="21"/>
        <item x="6"/>
        <item x="4"/>
        <item x="0"/>
        <item x="3"/>
        <item x="8"/>
        <item x="5"/>
        <item x="28"/>
        <item x="25"/>
        <item x="17"/>
        <item x="23"/>
        <item x="26"/>
        <item x="27"/>
        <item x="15"/>
        <item x="29"/>
        <item x="13"/>
        <item t="default"/>
      </items>
    </pivotField>
  </pivotFields>
  <rowFields count="1">
    <field x="7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Sum of Total" fld="6" baseField="0" baseItem="0"/>
  </dataFields>
  <formats count="10">
    <format dxfId="11">
      <pivotArea dataOnly="0" labelOnly="1" fieldPosition="0">
        <references count="1">
          <reference field="7" count="1">
            <x v="8"/>
          </reference>
        </references>
      </pivotArea>
    </format>
    <format dxfId="10">
      <pivotArea dataOnly="0" labelOnly="1" fieldPosition="0">
        <references count="1">
          <reference field="7" count="1">
            <x v="9"/>
          </reference>
        </references>
      </pivotArea>
    </format>
    <format dxfId="9">
      <pivotArea dataOnly="0" labelOnly="1" fieldPosition="0">
        <references count="1">
          <reference field="7" count="1">
            <x v="12"/>
          </reference>
        </references>
      </pivotArea>
    </format>
    <format dxfId="8">
      <pivotArea dataOnly="0" labelOnly="1" fieldPosition="0">
        <references count="1">
          <reference field="7" count="1">
            <x v="18"/>
          </reference>
        </references>
      </pivotArea>
    </format>
    <format dxfId="7">
      <pivotArea dataOnly="0" labelOnly="1" fieldPosition="0">
        <references count="1">
          <reference field="7" count="1">
            <x v="20"/>
          </reference>
        </references>
      </pivotArea>
    </format>
    <format dxfId="6">
      <pivotArea dataOnly="0" labelOnly="1" fieldPosition="0">
        <references count="1">
          <reference field="7" count="1">
            <x v="24"/>
          </reference>
        </references>
      </pivotArea>
    </format>
    <format dxfId="5">
      <pivotArea dataOnly="0" labelOnly="1" fieldPosition="0">
        <references count="1">
          <reference field="7" count="1">
            <x v="4"/>
          </reference>
        </references>
      </pivotArea>
    </format>
    <format dxfId="4">
      <pivotArea collapsedLevelsAreSubtotals="1" fieldPosition="0">
        <references count="1">
          <reference field="7" count="1">
            <x v="23"/>
          </reference>
        </references>
      </pivotArea>
    </format>
    <format dxfId="3">
      <pivotArea collapsedLevelsAreSubtotals="1" fieldPosition="0">
        <references count="1">
          <reference field="7" count="1">
            <x v="5"/>
          </reference>
        </references>
      </pivotArea>
    </format>
    <format dxfId="2">
      <pivotArea collapsedLevelsAreSubtotals="1" fieldPosition="0">
        <references count="1">
          <reference field="7" count="1">
            <x v="27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B3:AJ67"/>
  <sheetViews>
    <sheetView tabSelected="1" zoomScale="70" zoomScaleNormal="70" workbookViewId="0">
      <pane xSplit="2" ySplit="5" topLeftCell="C32" activePane="bottomRight" state="frozen"/>
      <selection activeCell="A3" sqref="A3"/>
      <selection pane="topRight" activeCell="C3" sqref="C3"/>
      <selection pane="bottomLeft" activeCell="A6" sqref="A6"/>
      <selection pane="bottomRight" activeCell="M39" sqref="M39"/>
    </sheetView>
  </sheetViews>
  <sheetFormatPr defaultColWidth="9" defaultRowHeight="13"/>
  <cols>
    <col min="1" max="1" width="0.90625" style="1" customWidth="1"/>
    <col min="2" max="2" width="30.81640625" style="3" customWidth="1"/>
    <col min="3" max="3" width="14.08984375" style="3" customWidth="1"/>
    <col min="4" max="4" width="6.6328125" style="3" customWidth="1"/>
    <col min="5" max="5" width="17" style="3" customWidth="1"/>
    <col min="6" max="6" width="6.453125" style="3" customWidth="1"/>
    <col min="7" max="7" width="13.26953125" style="3" customWidth="1"/>
    <col min="8" max="8" width="6.7265625" style="3" customWidth="1"/>
    <col min="9" max="9" width="14.54296875" style="3" customWidth="1"/>
    <col min="10" max="10" width="6.90625" style="3" customWidth="1"/>
    <col min="11" max="11" width="14.81640625" style="3" customWidth="1"/>
    <col min="12" max="12" width="6.453125" style="3" customWidth="1"/>
    <col min="13" max="13" width="15" style="3" customWidth="1"/>
    <col min="14" max="14" width="6.7265625" style="3" customWidth="1"/>
    <col min="15" max="15" width="17.08984375" style="3" customWidth="1"/>
    <col min="16" max="16" width="6.7265625" style="3" customWidth="1"/>
    <col min="17" max="17" width="13.7265625" style="3" customWidth="1"/>
    <col min="18" max="18" width="6.81640625" style="3" customWidth="1"/>
    <col min="19" max="19" width="16.08984375" style="3" customWidth="1"/>
    <col min="20" max="20" width="6.453125" style="3" customWidth="1"/>
    <col min="21" max="21" width="13.26953125" style="4" customWidth="1"/>
    <col min="22" max="22" width="6.90625" style="1" customWidth="1"/>
    <col min="23" max="23" width="7.90625" style="1" customWidth="1"/>
    <col min="24" max="24" width="38.1796875" style="3" customWidth="1"/>
    <col min="25" max="25" width="15.26953125" style="3" customWidth="1"/>
    <col min="26" max="26" width="16.453125" style="3" customWidth="1"/>
    <col min="27" max="27" width="18.81640625" style="3" customWidth="1"/>
    <col min="28" max="28" width="15.453125" style="3" customWidth="1"/>
    <col min="29" max="29" width="15.453125" style="34" customWidth="1"/>
    <col min="30" max="30" width="2.08984375" style="1" customWidth="1"/>
    <col min="31" max="31" width="9" style="1"/>
    <col min="32" max="35" width="9.6328125" style="1" customWidth="1"/>
    <col min="36" max="36" width="10.453125" style="1" customWidth="1"/>
    <col min="37" max="38" width="17" style="1" customWidth="1"/>
    <col min="39" max="16384" width="9" style="1"/>
  </cols>
  <sheetData>
    <row r="3" spans="2:36" ht="21">
      <c r="B3" s="236" t="s">
        <v>1052</v>
      </c>
      <c r="C3" s="236"/>
      <c r="D3" s="236"/>
      <c r="E3" s="236"/>
      <c r="F3" s="236"/>
      <c r="G3" s="236"/>
      <c r="H3" s="236"/>
      <c r="I3" s="236"/>
      <c r="J3" s="236"/>
      <c r="K3" s="236"/>
      <c r="L3" s="236"/>
      <c r="M3" s="236"/>
      <c r="N3" s="236"/>
      <c r="O3" s="236"/>
      <c r="P3" s="236"/>
      <c r="Q3" s="236"/>
      <c r="R3" s="236"/>
      <c r="S3" s="236"/>
      <c r="T3" s="236"/>
      <c r="U3" s="236"/>
      <c r="V3" s="236"/>
    </row>
    <row r="4" spans="2:36" ht="13.5" thickBot="1"/>
    <row r="5" spans="2:36" ht="13.5" thickBot="1">
      <c r="B5" s="189" t="s">
        <v>0</v>
      </c>
      <c r="C5" s="64" t="s">
        <v>1611</v>
      </c>
      <c r="D5" s="65" t="s">
        <v>1</v>
      </c>
      <c r="E5" s="64" t="s">
        <v>1608</v>
      </c>
      <c r="F5" s="65" t="s">
        <v>1</v>
      </c>
      <c r="G5" s="64" t="s">
        <v>1429</v>
      </c>
      <c r="H5" s="65" t="s">
        <v>1</v>
      </c>
      <c r="I5" s="64" t="s">
        <v>496</v>
      </c>
      <c r="J5" s="65" t="s">
        <v>1</v>
      </c>
      <c r="K5" s="64" t="s">
        <v>493</v>
      </c>
      <c r="L5" s="66" t="s">
        <v>1</v>
      </c>
      <c r="M5" s="185" t="s">
        <v>1612</v>
      </c>
      <c r="N5" s="65" t="s">
        <v>1</v>
      </c>
      <c r="O5" s="185" t="s">
        <v>1609</v>
      </c>
      <c r="P5" s="65" t="s">
        <v>1</v>
      </c>
      <c r="Q5" s="93" t="s">
        <v>1428</v>
      </c>
      <c r="R5" s="65" t="s">
        <v>1</v>
      </c>
      <c r="S5" s="64" t="s">
        <v>1426</v>
      </c>
      <c r="T5" s="65" t="s">
        <v>1</v>
      </c>
      <c r="U5" s="64" t="s">
        <v>492</v>
      </c>
      <c r="V5" s="66" t="s">
        <v>1</v>
      </c>
      <c r="X5" s="25" t="s">
        <v>0</v>
      </c>
      <c r="Y5" s="24" t="s">
        <v>1611</v>
      </c>
      <c r="Z5" s="24" t="s">
        <v>1608</v>
      </c>
      <c r="AA5" s="24" t="s">
        <v>1429</v>
      </c>
      <c r="AB5" s="24" t="s">
        <v>496</v>
      </c>
      <c r="AC5" s="24" t="s">
        <v>493</v>
      </c>
      <c r="AF5" s="24" t="s">
        <v>493</v>
      </c>
      <c r="AG5" s="24" t="s">
        <v>496</v>
      </c>
      <c r="AH5" s="24" t="s">
        <v>1429</v>
      </c>
      <c r="AI5" s="24" t="s">
        <v>1608</v>
      </c>
      <c r="AJ5" s="24" t="s">
        <v>1663</v>
      </c>
    </row>
    <row r="6" spans="2:36">
      <c r="B6" s="190" t="s">
        <v>2</v>
      </c>
      <c r="C6" s="50"/>
      <c r="D6" s="56"/>
      <c r="E6" s="56"/>
      <c r="F6" s="56"/>
      <c r="G6" s="56"/>
      <c r="H6" s="56"/>
      <c r="I6" s="56"/>
      <c r="J6" s="56"/>
      <c r="K6" s="51"/>
      <c r="L6" s="220"/>
      <c r="M6" s="50"/>
      <c r="N6" s="51"/>
      <c r="O6" s="51"/>
      <c r="P6" s="51"/>
      <c r="Q6" s="51"/>
      <c r="R6" s="51"/>
      <c r="S6" s="51"/>
      <c r="T6" s="51"/>
      <c r="U6" s="52"/>
      <c r="V6" s="53"/>
      <c r="X6" s="15" t="s">
        <v>3</v>
      </c>
      <c r="Y6" s="15"/>
      <c r="Z6" s="15"/>
      <c r="AA6" s="15"/>
      <c r="AB6" s="15"/>
      <c r="AC6" s="16"/>
    </row>
    <row r="7" spans="2:36">
      <c r="B7" s="191" t="s">
        <v>4</v>
      </c>
      <c r="C7" s="94">
        <f>M7-O7</f>
        <v>257548811.43999994</v>
      </c>
      <c r="D7" s="22">
        <f>C7/$C$30</f>
        <v>0.86984526889261982</v>
      </c>
      <c r="E7" s="27">
        <f>O7-Q7</f>
        <v>233823282.46999991</v>
      </c>
      <c r="F7" s="22">
        <f>E7/$E$30</f>
        <v>0.93667298237794083</v>
      </c>
      <c r="G7" s="27">
        <f>Q7-S7</f>
        <v>179910972.76000005</v>
      </c>
      <c r="H7" s="22">
        <f>(G7/$G$30)</f>
        <v>0.8992052189108507</v>
      </c>
      <c r="I7" s="27">
        <f>S7-U7</f>
        <v>197915026.18000001</v>
      </c>
      <c r="J7" s="22">
        <f>(I7/$I$30)</f>
        <v>0.97072984320890976</v>
      </c>
      <c r="K7" s="27">
        <f>U7</f>
        <v>179028155.74000001</v>
      </c>
      <c r="L7" s="49">
        <f>(K7/$K$30)</f>
        <v>0.97738123720878478</v>
      </c>
      <c r="M7" s="94">
        <f>-SUMIF('AUGUST - TB'!H:H,EBIDTA!B7,'AUGUST - TB'!G:G)</f>
        <v>1048226248.5899999</v>
      </c>
      <c r="N7" s="22">
        <f>M7/$M$30</f>
        <v>0.92530075894671615</v>
      </c>
      <c r="O7" s="27">
        <f>-SUMIF('JULY-TB'!H:H,EBIDTA!B7,'JULY-TB'!G:G)</f>
        <v>790677437.14999998</v>
      </c>
      <c r="P7" s="22">
        <f>O7/$O$30</f>
        <v>0.94492348721732522</v>
      </c>
      <c r="Q7" s="27">
        <f>-SUMIF('JUNE - TB -'!H:H,EBIDTA!B7,'JUNE - TB -'!G:G)</f>
        <v>556854154.68000007</v>
      </c>
      <c r="R7" s="22">
        <f>(Q7/$Q$30)</f>
        <v>0.94843136720988641</v>
      </c>
      <c r="S7" s="27">
        <f>-SUMIF('MAY- TB - '!H:H,EBIDTA!B7,'MAY- TB - '!E:E)</f>
        <v>376943181.92000002</v>
      </c>
      <c r="T7" s="22">
        <f>(S7/$S$30)</f>
        <v>0.97387758058137575</v>
      </c>
      <c r="U7" s="7">
        <f>-SUMIF('APRIL - TB -'!H:H,EBIDTA!B7,'APRIL - TB -'!G:G)</f>
        <v>179028155.74000001</v>
      </c>
      <c r="V7" s="49">
        <f>(U7/$U$30)</f>
        <v>0.97738123720878478</v>
      </c>
      <c r="X7" s="17" t="s">
        <v>5</v>
      </c>
      <c r="Y7" s="46">
        <f>Z7</f>
        <v>78409106.046199992</v>
      </c>
      <c r="Z7" s="46">
        <f>AA7</f>
        <v>78409106.046199992</v>
      </c>
      <c r="AA7" s="46">
        <f>AB7</f>
        <v>78409106.046199992</v>
      </c>
      <c r="AB7" s="46">
        <f>AC7</f>
        <v>78409106.046199992</v>
      </c>
      <c r="AC7" s="46">
        <f>'Stock Sheet - KPW'!O5</f>
        <v>78409106.046199992</v>
      </c>
    </row>
    <row r="8" spans="2:36">
      <c r="B8" s="191" t="s">
        <v>6</v>
      </c>
      <c r="C8" s="94">
        <f>M8-O8</f>
        <v>3350474.0699999994</v>
      </c>
      <c r="D8" s="22">
        <f t="shared" ref="D8:D9" si="0">C8/$C$30</f>
        <v>1.1315889993986068E-2</v>
      </c>
      <c r="E8" s="27">
        <f>O8-Q8</f>
        <v>919114.45000000019</v>
      </c>
      <c r="F8" s="22">
        <f>E8/$E$30</f>
        <v>3.6818817353597697E-3</v>
      </c>
      <c r="G8" s="27">
        <f>Q8-S8</f>
        <v>443540</v>
      </c>
      <c r="H8" s="22">
        <f>(G8/$G$30)</f>
        <v>2.2168380098069934E-3</v>
      </c>
      <c r="I8" s="27">
        <f>S8-U8</f>
        <v>691772.73</v>
      </c>
      <c r="J8" s="22">
        <f>(I8/$I$30)</f>
        <v>3.3929936836547244E-3</v>
      </c>
      <c r="K8" s="27">
        <f>U8</f>
        <v>4108107.35</v>
      </c>
      <c r="L8" s="49">
        <f>(K8/$K$30)</f>
        <v>2.2427684783619735E-2</v>
      </c>
      <c r="M8" s="94">
        <f>-SUMIF('AUGUST - TB'!H:H,EBIDTA!B8,'AUGUST - TB'!G:G)</f>
        <v>9513008.5999999996</v>
      </c>
      <c r="N8" s="22">
        <f t="shared" ref="N8:N9" si="1">M8/$M$30</f>
        <v>8.3974181044283117E-3</v>
      </c>
      <c r="O8" s="27">
        <f>-SUMIF('JULY-TB'!H:H,EBIDTA!B8,'JULY-TB'!G:G)</f>
        <v>6162534.5300000003</v>
      </c>
      <c r="P8" s="22">
        <f>O8/$O$30</f>
        <v>7.3647271878330735E-3</v>
      </c>
      <c r="Q8" s="27">
        <f>-SUMIF('JUNE - TB -'!H:H,EBIDTA!B8,'JUNE - TB -'!G:G)</f>
        <v>5243420.08</v>
      </c>
      <c r="R8" s="22">
        <f>(Q8/$Q$30)</f>
        <v>8.9305683248209825E-3</v>
      </c>
      <c r="S8" s="27">
        <f>-SUMIF('MAY- TB - '!H:H,EBIDTA!B8,'MAY- TB - '!E:E)</f>
        <v>4799880.08</v>
      </c>
      <c r="T8" s="22">
        <f>(S8/$S$30)</f>
        <v>1.240106154880187E-2</v>
      </c>
      <c r="U8" s="7">
        <f>-SUMIF('APRIL - TB -'!H:H,EBIDTA!B8,'APRIL - TB -'!G:G)</f>
        <v>4108107.35</v>
      </c>
      <c r="V8" s="49">
        <f>(U8/$U$30)</f>
        <v>2.2427684783619735E-2</v>
      </c>
      <c r="X8" s="17" t="s">
        <v>7</v>
      </c>
      <c r="Y8" s="17"/>
      <c r="Z8" s="17"/>
      <c r="AA8" s="17"/>
      <c r="AB8" s="17"/>
      <c r="AC8" s="13">
        <v>0</v>
      </c>
    </row>
    <row r="9" spans="2:36">
      <c r="B9" s="192" t="s">
        <v>8</v>
      </c>
      <c r="C9" s="95">
        <f>SUM(C7:C8)</f>
        <v>260899285.50999993</v>
      </c>
      <c r="D9" s="22">
        <f t="shared" si="0"/>
        <v>0.88116115888660584</v>
      </c>
      <c r="E9" s="39">
        <f>SUM(E7:E8)</f>
        <v>234742396.9199999</v>
      </c>
      <c r="F9" s="22">
        <f>E9/$E$30</f>
        <v>0.94035486411330049</v>
      </c>
      <c r="G9" s="39">
        <f>SUM(G7:G8)</f>
        <v>180354512.76000005</v>
      </c>
      <c r="H9" s="22">
        <f>(G9/$G$30)</f>
        <v>0.90142205692065769</v>
      </c>
      <c r="I9" s="39">
        <f>SUM(I7:I8)</f>
        <v>198606798.91</v>
      </c>
      <c r="J9" s="22">
        <f>(I9/$I$30)</f>
        <v>0.9741228368925644</v>
      </c>
      <c r="K9" s="39">
        <f>SUM(K7:K8)</f>
        <v>183136263.09</v>
      </c>
      <c r="L9" s="49">
        <f>(K9/$K$30)</f>
        <v>0.99980892199240445</v>
      </c>
      <c r="M9" s="39">
        <f>SUM(M7:M8)</f>
        <v>1057739257.1899999</v>
      </c>
      <c r="N9" s="22">
        <f t="shared" si="1"/>
        <v>0.93369817705114444</v>
      </c>
      <c r="O9" s="39">
        <f>SUM(O7:O8)</f>
        <v>796839971.67999995</v>
      </c>
      <c r="P9" s="22">
        <f>O9/$O$30</f>
        <v>0.95228821440515832</v>
      </c>
      <c r="Q9" s="39">
        <f>SUM(Q7:Q8)</f>
        <v>562097574.76000011</v>
      </c>
      <c r="R9" s="22">
        <f>(Q9/$Q$30)</f>
        <v>0.9573619355347075</v>
      </c>
      <c r="S9" s="39">
        <f>SUM(S7:S8)</f>
        <v>381743062</v>
      </c>
      <c r="T9" s="22">
        <f>(S9/$S$30)</f>
        <v>0.98627864213017757</v>
      </c>
      <c r="U9" s="39">
        <f>SUM(U7:U8)</f>
        <v>183136263.09</v>
      </c>
      <c r="V9" s="49">
        <f>(U9/$U$30)</f>
        <v>0.99980892199240445</v>
      </c>
      <c r="X9" s="17"/>
      <c r="Y9" s="17"/>
      <c r="Z9" s="17"/>
      <c r="AA9" s="17"/>
      <c r="AB9" s="17"/>
      <c r="AC9" s="13"/>
    </row>
    <row r="10" spans="2:36">
      <c r="B10" s="192"/>
      <c r="C10" s="47"/>
      <c r="D10" s="55"/>
      <c r="E10" s="55"/>
      <c r="F10" s="22"/>
      <c r="G10" s="55"/>
      <c r="H10" s="55"/>
      <c r="I10" s="55"/>
      <c r="J10" s="5"/>
      <c r="K10" s="5"/>
      <c r="L10" s="217"/>
      <c r="M10" s="47"/>
      <c r="N10" s="5"/>
      <c r="O10" s="5"/>
      <c r="P10" s="22"/>
      <c r="Q10" s="5"/>
      <c r="R10" s="5"/>
      <c r="S10" s="5"/>
      <c r="T10" s="5"/>
      <c r="U10" s="6"/>
      <c r="V10" s="48"/>
      <c r="X10" s="17" t="s">
        <v>9</v>
      </c>
      <c r="Y10" s="17">
        <f>SUMIF('AUGUST - TB'!H:H,EBIDTA!X10,'AUGUST - TB'!G:G)</f>
        <v>682906352.04999995</v>
      </c>
      <c r="Z10" s="17">
        <f>SUMIF('JULY-TB'!H:H,EBIDTA!X10,'JULY-TB'!G:G)</f>
        <v>480887067.61000001</v>
      </c>
      <c r="AA10" s="17">
        <f>SUMIF('JUNE - TB -'!H1:H1325,EBIDTA!X10,'JUNE - TB -'!G1:G1325)</f>
        <v>288246627.85000002</v>
      </c>
      <c r="AB10" s="17">
        <f>SUMIF('MAY- TB - '!H1:H1317,EBIDTA!X10,'MAY- TB - '!G1:G1317)</f>
        <v>176968504.00999999</v>
      </c>
      <c r="AC10" s="13">
        <f ca="1">SUMIF('APRIL - TB -'!H2:H1238,EBIDTA!X10,'APRIL - TB -'!G2:G1231)</f>
        <v>120642836.48999999</v>
      </c>
      <c r="AF10" s="33">
        <f ca="1">AC10/10^7</f>
        <v>12.064283649</v>
      </c>
      <c r="AG10" s="33">
        <f ca="1">(AB10-AF10)/10^7</f>
        <v>17.696849194571634</v>
      </c>
      <c r="AH10" s="178">
        <f>(AA10-AB10)/10^7</f>
        <v>11.127812384000004</v>
      </c>
      <c r="AI10" s="178">
        <f>(Z10-AA10)/10^7</f>
        <v>19.264043976</v>
      </c>
      <c r="AJ10" s="178">
        <f>(Y10-Z10)/10^7</f>
        <v>20.201928443999993</v>
      </c>
    </row>
    <row r="11" spans="2:36">
      <c r="B11" s="191" t="s">
        <v>10</v>
      </c>
      <c r="C11" s="94">
        <f>M11-O11</f>
        <v>34912345.489999995</v>
      </c>
      <c r="D11" s="81"/>
      <c r="E11" s="27">
        <f>O11-Q11</f>
        <v>13688318.830000002</v>
      </c>
      <c r="F11" s="22"/>
      <c r="G11" s="27">
        <f>Q11-S11</f>
        <v>17493444.109999999</v>
      </c>
      <c r="H11" s="81"/>
      <c r="I11" s="27">
        <f t="shared" ref="I11:I16" si="2">S11-U11</f>
        <v>5117576.01</v>
      </c>
      <c r="J11" s="8"/>
      <c r="K11" s="27">
        <f>U11</f>
        <v>0</v>
      </c>
      <c r="L11" s="218"/>
      <c r="M11" s="94">
        <f>-SUMIF('AUGUST - TB'!H:H,EBIDTA!B11,'AUGUST - TB'!G:G)</f>
        <v>71211684.439999998</v>
      </c>
      <c r="N11" s="8"/>
      <c r="O11" s="27">
        <f>-SUMIF('JULY-TB'!H:H,EBIDTA!B11,'JULY-TB'!G:G)</f>
        <v>36299338.950000003</v>
      </c>
      <c r="P11" s="22"/>
      <c r="Q11" s="27">
        <f>-SUMIF('JUNE - TB -'!H:H,EBIDTA!B11,'JUNE - TB -'!G:G)</f>
        <v>22611020.120000001</v>
      </c>
      <c r="R11" s="8"/>
      <c r="S11" s="27">
        <f>-SUMIF('MAY- TB - '!H:H,EBIDTA!B11,'MAY- TB - '!E:E)</f>
        <v>5117576.01</v>
      </c>
      <c r="T11" s="8"/>
      <c r="U11" s="7">
        <f>-SUMIF('APRIL - TB -'!H:H,EBIDTA!B11,'APRIL - TB -'!G:G)</f>
        <v>0</v>
      </c>
      <c r="V11" s="48"/>
      <c r="X11" s="17" t="s">
        <v>11</v>
      </c>
      <c r="Y11" s="17">
        <f>SUMIF('AUGUST - TB'!H:H,EBIDTA!X11,'AUGUST - TB'!G:G)</f>
        <v>7638900.9299999997</v>
      </c>
      <c r="Z11" s="17">
        <f>SUMIF('JULY-TB'!H:H,EBIDTA!X11,'JULY-TB'!G:G)</f>
        <v>6188686.3300000001</v>
      </c>
      <c r="AA11" s="17">
        <f>SUMIF('JUNE - TB -'!H2:H1326,EBIDTA!X11,'JUNE - TB -'!G2:G1326)</f>
        <v>3902200.5</v>
      </c>
      <c r="AB11" s="17">
        <f>SUMIF('MAY- TB - '!H2:H1318,EBIDTA!X11,'MAY- TB - '!G2:G1318)</f>
        <v>2830055.7</v>
      </c>
      <c r="AC11" s="13">
        <f ca="1">SUMIF('APRIL - TB -'!H3:H1239,EBIDTA!X11,'APRIL - TB -'!G3:G1232)</f>
        <v>1127244.8</v>
      </c>
      <c r="AF11" s="179">
        <f t="shared" ref="AF11:AF13" ca="1" si="3">AC11/10^7</f>
        <v>0.11272448</v>
      </c>
      <c r="AG11" s="179">
        <f t="shared" ref="AG11:AG13" ca="1" si="4">(AB11-AF11)/10^7</f>
        <v>0.28300555872755201</v>
      </c>
      <c r="AH11" s="179">
        <f t="shared" ref="AH11:AH13" si="5">(AA11-AB11)/10^7</f>
        <v>0.10721447999999999</v>
      </c>
      <c r="AI11" s="179">
        <f t="shared" ref="AI11:AI13" si="6">(Z11-AA11)/10^7</f>
        <v>0.22864858300000002</v>
      </c>
      <c r="AJ11" s="230">
        <f t="shared" ref="AJ11:AJ13" si="7">(Y11-Z11)/10^7</f>
        <v>0.14502145999999996</v>
      </c>
    </row>
    <row r="12" spans="2:36">
      <c r="B12" s="192" t="s">
        <v>12</v>
      </c>
      <c r="C12" s="95">
        <f>SUM(C10:C11)</f>
        <v>34912345.489999995</v>
      </c>
      <c r="D12" s="22">
        <f>C12/$C$30</f>
        <v>0.11791294388285643</v>
      </c>
      <c r="E12" s="39">
        <f>SUM(E10:E11)</f>
        <v>13688318.830000002</v>
      </c>
      <c r="F12" s="22">
        <f>E12/$E$30</f>
        <v>5.483405367847085E-2</v>
      </c>
      <c r="G12" s="39">
        <f>SUM(G10:G11)</f>
        <v>17493444.109999999</v>
      </c>
      <c r="H12" s="73">
        <f>(G12/$G$30)</f>
        <v>8.7433223216580855E-2</v>
      </c>
      <c r="I12" s="39">
        <f>SUM(I10:I11)</f>
        <v>5117576.01</v>
      </c>
      <c r="J12" s="22">
        <f t="shared" ref="J12" si="8">(I12/$I$30)</f>
        <v>2.5100589145156022E-2</v>
      </c>
      <c r="K12" s="39">
        <f>SUM(K10:K11)</f>
        <v>0</v>
      </c>
      <c r="L12" s="49">
        <f t="shared" ref="L12" si="9">(K12/$K$30)</f>
        <v>0</v>
      </c>
      <c r="M12" s="39">
        <f>SUM(M10:M11)</f>
        <v>71211684.439999998</v>
      </c>
      <c r="N12" s="22">
        <f>M12/$M$30</f>
        <v>6.286069037752072E-2</v>
      </c>
      <c r="O12" s="39">
        <f>SUM(O10:O11)</f>
        <v>36299338.950000003</v>
      </c>
      <c r="P12" s="22">
        <f>O12/$O$30</f>
        <v>4.3380645928069637E-2</v>
      </c>
      <c r="Q12" s="39">
        <f>SUM(Q10:Q11)</f>
        <v>22611020.120000001</v>
      </c>
      <c r="R12" s="22"/>
      <c r="S12" s="39">
        <f>SUM(S10:S11)</f>
        <v>5117576.01</v>
      </c>
      <c r="T12" s="22">
        <f>(S12/$S$30)</f>
        <v>1.322186680144765E-2</v>
      </c>
      <c r="U12" s="39">
        <f>SUM(U10:U11)</f>
        <v>0</v>
      </c>
      <c r="V12" s="49">
        <f t="shared" ref="V12" si="10">(U12/$U$30)</f>
        <v>0</v>
      </c>
      <c r="X12" s="17" t="s">
        <v>13</v>
      </c>
      <c r="Y12" s="17">
        <f>SUMIF('AUGUST - TB'!H:H,EBIDTA!X12,'AUGUST - TB'!G:G)</f>
        <v>6533679.1300000008</v>
      </c>
      <c r="Z12" s="17">
        <f>SUMIF('JULY-TB'!H:H,EBIDTA!X12,'JULY-TB'!G:G)</f>
        <v>5898962.8100000005</v>
      </c>
      <c r="AA12" s="17">
        <f>SUMIF('JUNE - TB -'!H3:H1329,EBIDTA!X12,'JUNE - TB -'!G3:G1329)</f>
        <v>6340260.4300000006</v>
      </c>
      <c r="AB12" s="17">
        <f>SUMIF('MAY- TB - '!H3:H1319,EBIDTA!X12,'MAY- TB - '!G3:G1319)</f>
        <v>5936506.0499999998</v>
      </c>
      <c r="AC12" s="13">
        <f ca="1">SUMIF('APRIL - TB -'!H4:H1240,EBIDTA!X12,'APRIL - TB -'!G4:G1233)</f>
        <v>3603365.7</v>
      </c>
      <c r="AF12" s="179">
        <f t="shared" ca="1" si="3"/>
        <v>0.36033657000000002</v>
      </c>
      <c r="AG12" s="179">
        <f t="shared" ca="1" si="4"/>
        <v>0.59365056896634294</v>
      </c>
      <c r="AH12" s="179">
        <f t="shared" si="5"/>
        <v>4.0375438000000083E-2</v>
      </c>
      <c r="AI12" s="179">
        <f t="shared" si="6"/>
        <v>-4.412976200000001E-2</v>
      </c>
      <c r="AJ12" s="230">
        <f t="shared" si="7"/>
        <v>6.3471632000000028E-2</v>
      </c>
    </row>
    <row r="13" spans="2:36">
      <c r="B13" s="192" t="s">
        <v>14</v>
      </c>
      <c r="C13" s="47"/>
      <c r="D13" s="55"/>
      <c r="E13" s="55"/>
      <c r="F13" s="22"/>
      <c r="G13" s="27">
        <f t="shared" ref="G13:G15" si="11">Q13-S13</f>
        <v>0</v>
      </c>
      <c r="H13" s="55"/>
      <c r="I13" s="27">
        <f t="shared" si="2"/>
        <v>0</v>
      </c>
      <c r="J13" s="5"/>
      <c r="K13" s="5"/>
      <c r="L13" s="217"/>
      <c r="M13" s="47"/>
      <c r="N13" s="5"/>
      <c r="O13" s="5"/>
      <c r="P13" s="22"/>
      <c r="Q13" s="27">
        <f>-SUMIF('JUNE - TB -'!H:H,EBIDTA!B13,'JUNE - TB -'!G:G)</f>
        <v>0</v>
      </c>
      <c r="R13" s="5"/>
      <c r="S13" s="5"/>
      <c r="T13" s="5"/>
      <c r="U13" s="7">
        <f>-SUMIF('APRIL - TB -'!H:H,EBIDTA!B13,'APRIL - TB -'!G:G)</f>
        <v>0</v>
      </c>
      <c r="V13" s="48"/>
      <c r="X13" s="17" t="s">
        <v>15</v>
      </c>
      <c r="Y13" s="17">
        <f>'Stock Sheet - KPW'!T5</f>
        <v>111686422.02410002</v>
      </c>
      <c r="Z13" s="17">
        <f>'Stock Sheet - KPW'!S5</f>
        <v>84892888.841809601</v>
      </c>
      <c r="AA13" s="17">
        <f>'Stock Sheet - KPW'!R5</f>
        <v>63882998.176800013</v>
      </c>
      <c r="AB13" s="17">
        <f>'Stock Sheet - KPW'!Q5</f>
        <v>78548384.208799988</v>
      </c>
      <c r="AC13" s="13">
        <f>'Stock Sheet - KPW'!P5</f>
        <v>116699016.81299999</v>
      </c>
      <c r="AF13" s="179">
        <f t="shared" si="3"/>
        <v>11.669901681299999</v>
      </c>
      <c r="AG13" s="179">
        <f t="shared" si="4"/>
        <v>7.8548372538898308</v>
      </c>
      <c r="AH13" s="179">
        <f t="shared" si="5"/>
        <v>-1.4665386031999976</v>
      </c>
      <c r="AI13" s="179">
        <f t="shared" si="6"/>
        <v>2.1009890665009587</v>
      </c>
      <c r="AJ13" s="230">
        <f t="shared" si="7"/>
        <v>2.6793533182290421</v>
      </c>
    </row>
    <row r="14" spans="2:36">
      <c r="B14" s="191" t="s">
        <v>16</v>
      </c>
      <c r="C14" s="94">
        <f t="shared" ref="C14:C16" si="12">M14-O14</f>
        <v>0</v>
      </c>
      <c r="D14" s="81"/>
      <c r="E14" s="81"/>
      <c r="F14" s="22"/>
      <c r="G14" s="27">
        <f t="shared" si="11"/>
        <v>0</v>
      </c>
      <c r="H14" s="81"/>
      <c r="I14" s="27">
        <f t="shared" si="2"/>
        <v>0</v>
      </c>
      <c r="J14" s="8"/>
      <c r="K14" s="27">
        <f t="shared" ref="K14:K16" si="13">U14</f>
        <v>0</v>
      </c>
      <c r="L14" s="218"/>
      <c r="M14" s="94">
        <f>-SUMIF('AUGUST - TB'!H:H,EBIDTA!B14,'AUGUST - TB'!G:G)</f>
        <v>0</v>
      </c>
      <c r="N14" s="8"/>
      <c r="O14" s="27">
        <f>-SUMIF('JULY-TB'!H:H,EBIDTA!B14,'JULY-TB'!G:G)</f>
        <v>0</v>
      </c>
      <c r="P14" s="22"/>
      <c r="Q14" s="27">
        <f>-SUMIF('JUNE - TB -'!H:H,EBIDTA!B14,'JUNE - TB -'!G:G)</f>
        <v>0</v>
      </c>
      <c r="R14" s="8"/>
      <c r="S14" s="27">
        <f>-SUMIF('MAY- TB - '!H:H,EBIDTA!B14,'MAY- TB - '!E:E)</f>
        <v>0</v>
      </c>
      <c r="T14" s="8"/>
      <c r="U14" s="7">
        <f>-SUMIF('APRIL - TB -'!H:H,EBIDTA!B14,'APRIL - TB -'!G:G)</f>
        <v>0</v>
      </c>
      <c r="V14" s="48"/>
      <c r="X14" s="17" t="s">
        <v>17</v>
      </c>
      <c r="Y14" s="17"/>
      <c r="Z14" s="17"/>
      <c r="AA14" s="17"/>
      <c r="AB14" s="13">
        <v>0</v>
      </c>
      <c r="AC14" s="13">
        <v>0</v>
      </c>
    </row>
    <row r="15" spans="2:36">
      <c r="B15" s="191" t="s">
        <v>18</v>
      </c>
      <c r="C15" s="94">
        <f t="shared" si="12"/>
        <v>0</v>
      </c>
      <c r="D15" s="81"/>
      <c r="E15" s="81"/>
      <c r="F15" s="22"/>
      <c r="G15" s="27">
        <f t="shared" si="11"/>
        <v>0</v>
      </c>
      <c r="H15" s="81"/>
      <c r="I15" s="27">
        <f t="shared" si="2"/>
        <v>0</v>
      </c>
      <c r="J15" s="8"/>
      <c r="K15" s="27">
        <f t="shared" si="13"/>
        <v>0</v>
      </c>
      <c r="L15" s="218"/>
      <c r="M15" s="94">
        <f>-SUMIF('AUGUST - TB'!H:H,EBIDTA!B15,'AUGUST - TB'!G:G)</f>
        <v>0</v>
      </c>
      <c r="N15" s="8"/>
      <c r="O15" s="27">
        <f>-SUMIF('JULY-TB'!H:H,EBIDTA!B15,'JULY-TB'!G:G)</f>
        <v>0</v>
      </c>
      <c r="P15" s="22"/>
      <c r="Q15" s="27">
        <f>-SUMIF('JUNE - TB -'!H:H,EBIDTA!B15,'JUNE - TB -'!G:G)</f>
        <v>0</v>
      </c>
      <c r="R15" s="8"/>
      <c r="S15" s="27">
        <f>-SUMIF('MAY- TB - '!H:H,EBIDTA!B15,'MAY- TB - '!E:E)</f>
        <v>0</v>
      </c>
      <c r="T15" s="8"/>
      <c r="U15" s="7">
        <f>-SUMIF('APRIL - TB -'!H:H,EBIDTA!B15,'APRIL - TB -'!G:G)</f>
        <v>0</v>
      </c>
      <c r="V15" s="48"/>
      <c r="X15" s="15" t="s">
        <v>19</v>
      </c>
      <c r="Y15" s="39">
        <f>Y7+Y8+Y10+Y11+Y12-Y13</f>
        <v>663801616.13209987</v>
      </c>
      <c r="Z15" s="39">
        <f>Z7+Z8+Z10+Z11+Z12-Z13</f>
        <v>486490933.95439041</v>
      </c>
      <c r="AA15" s="39">
        <f>AA7+AA8+AA10+AA11+AA12-AA13</f>
        <v>313015196.6494</v>
      </c>
      <c r="AB15" s="39">
        <f>AB7+AB8+AB10+AB11+AB12-AB13</f>
        <v>185595787.59739998</v>
      </c>
      <c r="AC15" s="39">
        <f ca="1">AC7+AC8+AC10+AC11+AC12-AC13</f>
        <v>87083536.223199993</v>
      </c>
      <c r="AF15" s="184">
        <f t="shared" ref="AF15" ca="1" si="14">AC15/10^7</f>
        <v>8.7083536223199989</v>
      </c>
      <c r="AG15" s="184">
        <f t="shared" ref="AG15" ca="1" si="15">(AB15-AF15)/10^7</f>
        <v>18.559577888904638</v>
      </c>
      <c r="AH15" s="184">
        <f t="shared" ref="AH15" si="16">(AA15-AB15)/10^7</f>
        <v>12.741940905200002</v>
      </c>
      <c r="AI15" s="184">
        <f t="shared" ref="AI15" si="17">(Z15-AA15)/10^7</f>
        <v>17.34757373049904</v>
      </c>
      <c r="AJ15" s="184">
        <f>(Y15-Z15)/10^7</f>
        <v>17.731068217770947</v>
      </c>
    </row>
    <row r="16" spans="2:36">
      <c r="B16" s="193" t="s">
        <v>20</v>
      </c>
      <c r="C16" s="94">
        <f t="shared" si="12"/>
        <v>274145</v>
      </c>
      <c r="D16" s="82"/>
      <c r="E16" s="27">
        <f>O16-Q16</f>
        <v>814311.70000000019</v>
      </c>
      <c r="F16" s="22"/>
      <c r="G16" s="27">
        <f>Q16-S16</f>
        <v>1988550</v>
      </c>
      <c r="H16" s="82"/>
      <c r="I16" s="27">
        <f t="shared" si="2"/>
        <v>358330</v>
      </c>
      <c r="J16" s="23"/>
      <c r="K16" s="27">
        <f t="shared" si="13"/>
        <v>35000</v>
      </c>
      <c r="L16" s="221"/>
      <c r="M16" s="94">
        <f>-SUMIF('AUGUST - TB'!H:H,EBIDTA!B16,'AUGUST - TB'!G:G)</f>
        <v>3470336.7</v>
      </c>
      <c r="N16" s="23"/>
      <c r="O16" s="27">
        <f>-SUMIF('JULY-TB'!H:H,EBIDTA!B16,'JULY-TB'!G:G)</f>
        <v>3196191.7</v>
      </c>
      <c r="P16" s="22"/>
      <c r="Q16" s="27">
        <f>-SUMIF('JUNE - TB -'!H:H,EBIDTA!B16,'JUNE - TB -'!G:G)</f>
        <v>2381880</v>
      </c>
      <c r="R16" s="23"/>
      <c r="S16" s="27">
        <f>-SUMIF('MAY- TB - '!H:H,EBIDTA!B16,'MAY- TB - '!E:E)</f>
        <v>393330</v>
      </c>
      <c r="T16" s="23"/>
      <c r="U16" s="7">
        <f>-SUMIF('APRIL - TB -'!H:H,EBIDTA!B16,'APRIL - TB -'!G:G)</f>
        <v>35000</v>
      </c>
      <c r="V16" s="49"/>
      <c r="X16" s="17"/>
      <c r="Y16" s="17"/>
      <c r="Z16" s="17"/>
      <c r="AA16" s="17"/>
      <c r="AB16" s="17"/>
      <c r="AC16" s="13"/>
    </row>
    <row r="17" spans="2:36" s="91" customFormat="1" ht="19.5" customHeight="1">
      <c r="B17" s="192" t="s">
        <v>21</v>
      </c>
      <c r="C17" s="96">
        <f>SUM(C14:C16)</f>
        <v>274145</v>
      </c>
      <c r="D17" s="73">
        <f>C17/$C$30</f>
        <v>9.258972305376806E-4</v>
      </c>
      <c r="E17" s="72">
        <f>SUM(E14:E16)</f>
        <v>814311.70000000019</v>
      </c>
      <c r="F17" s="73">
        <f>E17/$E$30</f>
        <v>3.2620522668529088E-3</v>
      </c>
      <c r="G17" s="72">
        <f>SUM(G14:G16)</f>
        <v>1988550</v>
      </c>
      <c r="H17" s="73">
        <f>(G17/$G$30)</f>
        <v>9.9388853866656836E-3</v>
      </c>
      <c r="I17" s="72">
        <f>SUM(I14:I16)</f>
        <v>358330</v>
      </c>
      <c r="J17" s="73">
        <f t="shared" ref="J17" si="18">(I17/$I$30)</f>
        <v>1.7575301452891869E-3</v>
      </c>
      <c r="K17" s="72">
        <f>SUM(K14:K16)</f>
        <v>35000</v>
      </c>
      <c r="L17" s="74">
        <f t="shared" ref="L17" si="19">(K17/$K$30)</f>
        <v>1.910780075955636E-4</v>
      </c>
      <c r="M17" s="72">
        <f>SUM(M14:M16)</f>
        <v>3470336.7</v>
      </c>
      <c r="N17" s="22">
        <f>M17/$M$30</f>
        <v>3.0633703235632527E-3</v>
      </c>
      <c r="O17" s="72">
        <f>SUM(O14:O16)</f>
        <v>3196191.7</v>
      </c>
      <c r="P17" s="73">
        <f>O17/$O$30</f>
        <v>3.8197075888054149E-3</v>
      </c>
      <c r="Q17" s="72">
        <f>SUM(Q14:Q16)</f>
        <v>2381880</v>
      </c>
      <c r="R17" s="201">
        <f>(Q17/$Q$30)</f>
        <v>4.0568067705772301E-3</v>
      </c>
      <c r="S17" s="72">
        <f>SUM(S14:S16)</f>
        <v>393330</v>
      </c>
      <c r="T17" s="73">
        <f>(S17/$S$30)</f>
        <v>1.0162148757246118E-3</v>
      </c>
      <c r="U17" s="72">
        <f>SUM(U14:U16)</f>
        <v>35000</v>
      </c>
      <c r="V17" s="74">
        <f t="shared" ref="V17" si="20">(U17/$U$30)</f>
        <v>1.910780075955636E-4</v>
      </c>
      <c r="X17" s="18" t="s">
        <v>22</v>
      </c>
      <c r="Y17" s="18"/>
      <c r="Z17" s="18"/>
      <c r="AA17" s="18"/>
      <c r="AB17" s="18"/>
      <c r="AC17" s="19"/>
    </row>
    <row r="18" spans="2:36">
      <c r="B18" s="192" t="s">
        <v>23</v>
      </c>
      <c r="C18" s="47"/>
      <c r="D18" s="55"/>
      <c r="E18" s="55"/>
      <c r="F18" s="22"/>
      <c r="G18" s="55"/>
      <c r="H18" s="55"/>
      <c r="I18" s="55"/>
      <c r="J18" s="5"/>
      <c r="K18" s="5"/>
      <c r="L18" s="217"/>
      <c r="M18" s="47"/>
      <c r="N18" s="5"/>
      <c r="O18" s="5"/>
      <c r="P18" s="22"/>
      <c r="Q18" s="5"/>
      <c r="R18" s="5"/>
      <c r="S18" s="5"/>
      <c r="T18" s="5"/>
      <c r="U18" s="6"/>
      <c r="V18" s="48"/>
      <c r="X18" s="17" t="s">
        <v>3</v>
      </c>
      <c r="Y18" s="17"/>
      <c r="Z18" s="17"/>
      <c r="AA18" s="17"/>
      <c r="AB18" s="17"/>
      <c r="AC18" s="13"/>
    </row>
    <row r="19" spans="2:36">
      <c r="B19" s="191" t="s">
        <v>24</v>
      </c>
      <c r="C19" s="94">
        <f t="shared" ref="C19:C27" si="21">M19-O19</f>
        <v>0</v>
      </c>
      <c r="D19" s="81"/>
      <c r="E19" s="27">
        <f t="shared" ref="E19:E27" si="22">O19-Q19</f>
        <v>0</v>
      </c>
      <c r="F19" s="22"/>
      <c r="G19" s="27">
        <f t="shared" ref="G19:G27" si="23">Q19-S19</f>
        <v>0</v>
      </c>
      <c r="H19" s="81"/>
      <c r="I19" s="27">
        <f t="shared" ref="I19:I27" si="24">S19-U19</f>
        <v>0</v>
      </c>
      <c r="J19" s="8"/>
      <c r="K19" s="8"/>
      <c r="L19" s="218"/>
      <c r="M19" s="94">
        <f>-SUMIF('AUGUST - TB'!H:H,EBIDTA!B19,'AUGUST - TB'!G:G)</f>
        <v>0</v>
      </c>
      <c r="N19" s="8"/>
      <c r="O19" s="27">
        <f>-SUMIF('JULY-TB'!H:H,EBIDTA!B19,'JULY-TB'!G:G)</f>
        <v>0</v>
      </c>
      <c r="P19" s="22"/>
      <c r="Q19" s="27">
        <f>-SUMIF('JUNE - TB -'!H:H,EBIDTA!B19,'JUNE - TB -'!G:G)</f>
        <v>0</v>
      </c>
      <c r="R19" s="8"/>
      <c r="S19" s="27">
        <f>-SUMIF('MAY- TB - '!H:H,EBIDTA!B19,'MAY- TB - '!E:E)</f>
        <v>0</v>
      </c>
      <c r="T19" s="8"/>
      <c r="U19" s="7">
        <f>-SUMIF('APRIL - TB -'!H:H,EBIDTA!B19,'APRIL - TB -'!G:G)</f>
        <v>0</v>
      </c>
      <c r="V19" s="48"/>
      <c r="X19" s="17" t="s">
        <v>25</v>
      </c>
      <c r="Y19" s="46">
        <v>0</v>
      </c>
      <c r="Z19" s="46">
        <v>0</v>
      </c>
      <c r="AA19" s="46">
        <v>0</v>
      </c>
      <c r="AB19" s="46">
        <v>0</v>
      </c>
      <c r="AC19" s="46">
        <v>0</v>
      </c>
    </row>
    <row r="20" spans="2:36">
      <c r="B20" s="191" t="s">
        <v>26</v>
      </c>
      <c r="C20" s="94">
        <f t="shared" si="21"/>
        <v>0</v>
      </c>
      <c r="D20" s="81"/>
      <c r="E20" s="27">
        <f t="shared" si="22"/>
        <v>0</v>
      </c>
      <c r="F20" s="22"/>
      <c r="G20" s="27">
        <f t="shared" si="23"/>
        <v>0</v>
      </c>
      <c r="H20" s="81"/>
      <c r="I20" s="27">
        <f t="shared" si="24"/>
        <v>0</v>
      </c>
      <c r="J20" s="8"/>
      <c r="K20" s="27">
        <f t="shared" ref="K20:K27" si="25">U20</f>
        <v>0</v>
      </c>
      <c r="L20" s="218"/>
      <c r="M20" s="94">
        <f>-SUMIF('AUGUST - TB'!H:H,EBIDTA!B20,'AUGUST - TB'!G:G)</f>
        <v>0</v>
      </c>
      <c r="N20" s="8"/>
      <c r="O20" s="27">
        <f>-SUMIF('JULY-TB'!H:H,EBIDTA!B20,'JULY-TB'!G:G)</f>
        <v>0</v>
      </c>
      <c r="P20" s="22"/>
      <c r="Q20" s="27">
        <f>-SUMIF('JUNE - TB -'!H:H,EBIDTA!B20,'JUNE - TB -'!G:G)</f>
        <v>0</v>
      </c>
      <c r="R20" s="8"/>
      <c r="S20" s="27">
        <f>-SUMIF('MAY- TB - '!H:H,EBIDTA!B20,'MAY- TB - '!E:E)</f>
        <v>0</v>
      </c>
      <c r="T20" s="8"/>
      <c r="U20" s="7">
        <f>-SUMIF('APRIL - TB -'!H:H,EBIDTA!B20,'APRIL - TB -'!G:G)</f>
        <v>0</v>
      </c>
      <c r="V20" s="48"/>
      <c r="X20" s="17" t="s">
        <v>27</v>
      </c>
      <c r="Y20" s="77">
        <f>Z20</f>
        <v>206446721.26140001</v>
      </c>
      <c r="Z20" s="77">
        <f>AA20</f>
        <v>206446721.26140001</v>
      </c>
      <c r="AA20" s="77">
        <f>AB20</f>
        <v>206446721.26140001</v>
      </c>
      <c r="AB20" s="77">
        <f>AC20</f>
        <v>206446721.26140001</v>
      </c>
      <c r="AC20" s="13">
        <f>'Stock Sheet - KPW'!O10</f>
        <v>206446721.26140001</v>
      </c>
      <c r="AF20" s="179">
        <f t="shared" ref="AF20" si="26">AC20/10^7</f>
        <v>20.644672126140001</v>
      </c>
      <c r="AG20" s="179">
        <v>20.644672126140001</v>
      </c>
      <c r="AH20" s="179">
        <v>20.644672126140001</v>
      </c>
      <c r="AI20" s="179">
        <v>20.644672126140001</v>
      </c>
      <c r="AJ20" s="179">
        <v>20.644672126140001</v>
      </c>
    </row>
    <row r="21" spans="2:36">
      <c r="B21" s="194" t="s">
        <v>28</v>
      </c>
      <c r="C21" s="94">
        <f t="shared" si="21"/>
        <v>0</v>
      </c>
      <c r="D21" s="83"/>
      <c r="E21" s="27">
        <f t="shared" si="22"/>
        <v>0</v>
      </c>
      <c r="F21" s="22"/>
      <c r="G21" s="27">
        <f t="shared" si="23"/>
        <v>0</v>
      </c>
      <c r="H21" s="83"/>
      <c r="I21" s="27">
        <f t="shared" si="24"/>
        <v>0</v>
      </c>
      <c r="J21" s="10"/>
      <c r="K21" s="27">
        <f t="shared" si="25"/>
        <v>0</v>
      </c>
      <c r="L21" s="222"/>
      <c r="M21" s="94">
        <f>-SUMIF('AUGUST - TB'!H:H,EBIDTA!B21,'AUGUST - TB'!G:G)</f>
        <v>0</v>
      </c>
      <c r="N21" s="10"/>
      <c r="O21" s="27">
        <f>-SUMIF('JULY-TB'!H:H,EBIDTA!B21,'JULY-TB'!G:G)</f>
        <v>0</v>
      </c>
      <c r="P21" s="22"/>
      <c r="Q21" s="27">
        <f>-SUMIF('JUNE - TB -'!H:H,EBIDTA!B21,'JUNE - TB -'!G:G)</f>
        <v>0</v>
      </c>
      <c r="R21" s="10"/>
      <c r="S21" s="27">
        <f>-SUMIF('MAY- TB - '!H:H,EBIDTA!B21,'MAY- TB - '!E:E)</f>
        <v>0</v>
      </c>
      <c r="T21" s="10"/>
      <c r="U21" s="7">
        <f>-SUMIF('APRIL - TB -'!H:H,EBIDTA!B21,'APRIL - TB -'!G:G)</f>
        <v>0</v>
      </c>
      <c r="V21" s="48"/>
      <c r="X21" s="17"/>
      <c r="Y21" s="17"/>
      <c r="Z21" s="17"/>
      <c r="AA21" s="17"/>
      <c r="AB21" s="17"/>
      <c r="AC21" s="13"/>
    </row>
    <row r="22" spans="2:36">
      <c r="B22" s="191" t="s">
        <v>29</v>
      </c>
      <c r="C22" s="94">
        <f t="shared" si="21"/>
        <v>0</v>
      </c>
      <c r="D22" s="81"/>
      <c r="E22" s="27">
        <f t="shared" si="22"/>
        <v>0</v>
      </c>
      <c r="F22" s="22"/>
      <c r="G22" s="27">
        <f t="shared" si="23"/>
        <v>0</v>
      </c>
      <c r="H22" s="81"/>
      <c r="I22" s="27">
        <f t="shared" si="24"/>
        <v>-200000</v>
      </c>
      <c r="J22" s="8"/>
      <c r="K22" s="27">
        <f t="shared" si="25"/>
        <v>0</v>
      </c>
      <c r="L22" s="218"/>
      <c r="M22" s="94">
        <f>-SUMIF('AUGUST - TB'!H:H,EBIDTA!B22,'AUGUST - TB'!G:G)</f>
        <v>-200000</v>
      </c>
      <c r="N22" s="8"/>
      <c r="O22" s="27">
        <f>-SUMIF('JULY-TB'!H:H,EBIDTA!B22,'JULY-TB'!G:G)</f>
        <v>-200000</v>
      </c>
      <c r="P22" s="22"/>
      <c r="Q22" s="27">
        <f>-SUMIF('JUNE - TB -'!H:H,EBIDTA!B22,'JUNE - TB -'!G:G)</f>
        <v>-200000</v>
      </c>
      <c r="R22" s="8"/>
      <c r="S22" s="27">
        <f>-SUMIF('MAY- TB - '!H:H,EBIDTA!B22,'MAY- TB - '!E:E)</f>
        <v>-200000</v>
      </c>
      <c r="T22" s="8"/>
      <c r="U22" s="7">
        <f>-SUMIF('APRIL - TB -'!H:H,EBIDTA!B22,'APRIL - TB -'!G:G)</f>
        <v>0</v>
      </c>
      <c r="V22" s="48"/>
      <c r="X22" s="15" t="s">
        <v>30</v>
      </c>
      <c r="Y22" s="15"/>
      <c r="Z22" s="15"/>
      <c r="AA22" s="15"/>
      <c r="AB22" s="15"/>
      <c r="AC22" s="16"/>
    </row>
    <row r="23" spans="2:36">
      <c r="B23" s="191" t="s">
        <v>31</v>
      </c>
      <c r="C23" s="94">
        <f t="shared" si="21"/>
        <v>0</v>
      </c>
      <c r="D23" s="81"/>
      <c r="E23" s="27">
        <f t="shared" si="22"/>
        <v>0</v>
      </c>
      <c r="F23" s="22"/>
      <c r="G23" s="27">
        <f t="shared" si="23"/>
        <v>0</v>
      </c>
      <c r="H23" s="81"/>
      <c r="I23" s="27">
        <f t="shared" si="24"/>
        <v>0</v>
      </c>
      <c r="J23" s="8"/>
      <c r="K23" s="27">
        <f t="shared" si="25"/>
        <v>0</v>
      </c>
      <c r="L23" s="218"/>
      <c r="M23" s="94">
        <f>-SUMIF('AUGUST - TB'!H:H,EBIDTA!B23,'AUGUST - TB'!G:G)</f>
        <v>0</v>
      </c>
      <c r="N23" s="8"/>
      <c r="O23" s="27">
        <f>-SUMIF('JULY-TB'!H:H,EBIDTA!B23,'JULY-TB'!G:G)</f>
        <v>0</v>
      </c>
      <c r="P23" s="22"/>
      <c r="Q23" s="27">
        <f>-SUMIF('JUNE - TB -'!H:H,EBIDTA!B23,'JUNE - TB -'!G:G)</f>
        <v>0</v>
      </c>
      <c r="R23" s="8"/>
      <c r="S23" s="27">
        <f>-SUMIF('MAY- TB - '!H:H,EBIDTA!B23,'MAY- TB - '!E:E)</f>
        <v>0</v>
      </c>
      <c r="T23" s="8"/>
      <c r="U23" s="7">
        <f>-SUMIF('APRIL - TB -'!H:H,EBIDTA!B23,'APRIL - TB -'!G:G)</f>
        <v>0</v>
      </c>
      <c r="V23" s="48"/>
      <c r="X23" s="3" t="s">
        <v>32</v>
      </c>
      <c r="Y23" s="8">
        <f>'Stock Sheet - KPW'!T10</f>
        <v>173942759.69000018</v>
      </c>
      <c r="Z23" s="8">
        <f>'Stock Sheet - KPW'!S10</f>
        <v>175032955.89000005</v>
      </c>
      <c r="AA23" s="8">
        <f>'Stock Sheet - KPW'!R10</f>
        <v>186098860.05500001</v>
      </c>
      <c r="AB23" s="8">
        <f>'Stock Sheet - KPW'!Q10</f>
        <v>172286352.00600007</v>
      </c>
      <c r="AC23" s="13">
        <f>'Stock Sheet - KPW'!P10</f>
        <v>171447347.72360006</v>
      </c>
      <c r="AF23" s="179">
        <f>(AC20-AC23)/10^7</f>
        <v>3.4999373537799956</v>
      </c>
      <c r="AG23" s="179">
        <f>(AB23-AC23)/10^7</f>
        <v>8.3900428240001199E-2</v>
      </c>
      <c r="AH23" s="179">
        <f t="shared" ref="AH23" si="27">(AA23-AB23)/10^7</f>
        <v>1.3812508048999936</v>
      </c>
      <c r="AI23" s="179">
        <f t="shared" ref="AI23" si="28">(Z23-AA23)/10^7</f>
        <v>-1.1065904164999962</v>
      </c>
      <c r="AJ23" s="230">
        <f t="shared" ref="AJ23" si="29">(Y23-Z23)/10^7</f>
        <v>-0.10901961999998688</v>
      </c>
    </row>
    <row r="24" spans="2:36">
      <c r="B24" s="191" t="s">
        <v>33</v>
      </c>
      <c r="C24" s="94">
        <f t="shared" si="21"/>
        <v>0</v>
      </c>
      <c r="D24" s="81"/>
      <c r="E24" s="27">
        <f t="shared" si="22"/>
        <v>386687</v>
      </c>
      <c r="F24" s="22"/>
      <c r="G24" s="27">
        <f t="shared" si="23"/>
        <v>-313071.40999999997</v>
      </c>
      <c r="H24" s="81"/>
      <c r="I24" s="27">
        <f t="shared" si="24"/>
        <v>0</v>
      </c>
      <c r="J24" s="8"/>
      <c r="K24" s="27">
        <f t="shared" si="25"/>
        <v>0</v>
      </c>
      <c r="L24" s="218"/>
      <c r="M24" s="94">
        <f>-SUMIF('AUGUST - TB'!H:H,EBIDTA!B24,'AUGUST - TB'!G:G)</f>
        <v>73615.59</v>
      </c>
      <c r="N24" s="8"/>
      <c r="O24" s="27">
        <f>-SUMIF('JULY-TB'!H:H,EBIDTA!B24,'JULY-TB'!G:G)</f>
        <v>73615.59</v>
      </c>
      <c r="P24" s="22"/>
      <c r="Q24" s="27">
        <f>-SUMIF('JUNE - TB -'!H:H,EBIDTA!B24,'JUNE - TB -'!G:G)</f>
        <v>-313071.40999999997</v>
      </c>
      <c r="R24" s="8"/>
      <c r="S24" s="27">
        <f>-SUMIF('MAY- TB - '!H:H,EBIDTA!B24,'MAY- TB - '!E:E)</f>
        <v>0</v>
      </c>
      <c r="T24" s="8"/>
      <c r="U24" s="7">
        <f>-SUMIF('APRIL - TB -'!H:H,EBIDTA!B24,'APRIL - TB -'!G:G)</f>
        <v>0</v>
      </c>
      <c r="V24" s="48"/>
      <c r="X24" s="17" t="s">
        <v>32</v>
      </c>
      <c r="Y24" s="17"/>
      <c r="Z24" s="17"/>
      <c r="AA24" s="17"/>
      <c r="AB24" s="17"/>
      <c r="AC24" s="13"/>
    </row>
    <row r="25" spans="2:36">
      <c r="B25" s="191" t="s">
        <v>34</v>
      </c>
      <c r="C25" s="94">
        <f t="shared" si="21"/>
        <v>0</v>
      </c>
      <c r="D25" s="81"/>
      <c r="E25" s="27">
        <f t="shared" si="22"/>
        <v>0</v>
      </c>
      <c r="F25" s="22"/>
      <c r="G25" s="27">
        <f t="shared" si="23"/>
        <v>0</v>
      </c>
      <c r="H25" s="81"/>
      <c r="I25" s="27">
        <f t="shared" si="24"/>
        <v>0</v>
      </c>
      <c r="J25" s="8"/>
      <c r="K25" s="27">
        <f t="shared" si="25"/>
        <v>0</v>
      </c>
      <c r="L25" s="218"/>
      <c r="M25" s="94">
        <f>-SUMIF('AUGUST - TB'!H:H,EBIDTA!B25,'AUGUST - TB'!G:G)</f>
        <v>0</v>
      </c>
      <c r="N25" s="8"/>
      <c r="O25" s="27">
        <f>-SUMIF('JULY-TB'!H:H,EBIDTA!B25,'JULY-TB'!G:G)</f>
        <v>0</v>
      </c>
      <c r="P25" s="8"/>
      <c r="Q25" s="27">
        <f>-SUMIF('JUNE - TB -'!H:H,EBIDTA!B25,'JUNE - TB -'!G:G)</f>
        <v>0</v>
      </c>
      <c r="R25" s="8"/>
      <c r="S25" s="27">
        <f>-SUMIF('MAY- TB - '!H:H,EBIDTA!B25,'MAY- TB - '!E:E)</f>
        <v>0</v>
      </c>
      <c r="T25" s="8"/>
      <c r="U25" s="7">
        <f>-SUMIF('APRIL - TB -'!H:H,EBIDTA!B25,'APRIL - TB -'!G:G)</f>
        <v>0</v>
      </c>
      <c r="V25" s="48"/>
      <c r="X25" s="15" t="s">
        <v>35</v>
      </c>
      <c r="Y25" s="45">
        <f>(Y19+Y20)-(Y23+Y24)</f>
        <v>32503961.571399838</v>
      </c>
      <c r="Z25" s="45">
        <f>(Z19+Z20)-(Z23+Z24)</f>
        <v>31413765.371399969</v>
      </c>
      <c r="AA25" s="45">
        <f>(AA19+AA20)-(AA23+AA24)</f>
        <v>20347861.206400007</v>
      </c>
      <c r="AB25" s="45">
        <f>(AB19+AB20)-(AB23+AB24)</f>
        <v>34160369.255399942</v>
      </c>
      <c r="AC25" s="45">
        <f>(AC19+AC20)-(AC23+AC24)</f>
        <v>34999373.537799954</v>
      </c>
      <c r="AF25" s="184">
        <f t="shared" ref="AF25" si="30">AC25/10^7</f>
        <v>3.4999373537799956</v>
      </c>
      <c r="AG25" s="184">
        <f t="shared" ref="AG25" si="31">(AB25-AF25)/10^7</f>
        <v>3.4160365755462587</v>
      </c>
      <c r="AH25" s="184">
        <f t="shared" ref="AH25" si="32">(AA25-AB25)/10^7</f>
        <v>-1.3812508048999936</v>
      </c>
      <c r="AI25" s="184">
        <f t="shared" ref="AI25" si="33">(Z25-AA25)/10^7</f>
        <v>1.1065904164999962</v>
      </c>
      <c r="AJ25" s="184">
        <f>(Y25-Z25)/10^7</f>
        <v>0.10901961999998688</v>
      </c>
    </row>
    <row r="26" spans="2:36">
      <c r="B26" s="191" t="s">
        <v>36</v>
      </c>
      <c r="C26" s="94">
        <f t="shared" si="21"/>
        <v>0</v>
      </c>
      <c r="D26" s="81"/>
      <c r="E26" s="27">
        <f t="shared" si="22"/>
        <v>0</v>
      </c>
      <c r="F26" s="22"/>
      <c r="G26" s="27">
        <f t="shared" si="23"/>
        <v>554332.07999999996</v>
      </c>
      <c r="H26" s="8"/>
      <c r="I26" s="27">
        <f t="shared" si="24"/>
        <v>0</v>
      </c>
      <c r="J26" s="8"/>
      <c r="K26" s="27">
        <f t="shared" si="25"/>
        <v>0</v>
      </c>
      <c r="L26" s="218"/>
      <c r="M26" s="94">
        <f>-SUMIF('AUGUST - TB'!H:H,EBIDTA!B26,'AUGUST - TB'!G:G)</f>
        <v>554332.07999999996</v>
      </c>
      <c r="N26" s="8"/>
      <c r="O26" s="27">
        <f>-SUMIF('JULY-TB'!H:H,EBIDTA!B26,'JULY-TB'!G:G)</f>
        <v>554332.07999999996</v>
      </c>
      <c r="P26" s="22"/>
      <c r="Q26" s="27">
        <f>-SUMIF('JUNE - TB -'!H:H,EBIDTA!B26,'JUNE - TB -'!G:G)</f>
        <v>554332.07999999996</v>
      </c>
      <c r="R26" s="8"/>
      <c r="S26" s="27">
        <f>-SUMIF('MAY- TB - '!H:H,EBIDTA!B26,'MAY- TB - '!E:E)</f>
        <v>0</v>
      </c>
      <c r="T26" s="8"/>
      <c r="U26" s="7">
        <f>-SUMIF('APRIL - TB -'!H:H,EBIDTA!B26,'APRIL - TB -'!G:G)</f>
        <v>0</v>
      </c>
      <c r="V26" s="48"/>
      <c r="X26" s="17"/>
      <c r="Y26" s="17"/>
      <c r="Z26" s="17"/>
      <c r="AA26" s="17"/>
      <c r="AB26" s="17"/>
      <c r="AC26" s="13"/>
    </row>
    <row r="27" spans="2:36">
      <c r="B27" s="191" t="s">
        <v>37</v>
      </c>
      <c r="C27" s="94">
        <f t="shared" si="21"/>
        <v>0</v>
      </c>
      <c r="D27" s="81"/>
      <c r="E27" s="27">
        <f t="shared" si="22"/>
        <v>0</v>
      </c>
      <c r="F27" s="22"/>
      <c r="G27" s="27">
        <f t="shared" si="23"/>
        <v>0</v>
      </c>
      <c r="H27" s="8"/>
      <c r="I27" s="27">
        <f t="shared" si="24"/>
        <v>0</v>
      </c>
      <c r="J27" s="8"/>
      <c r="K27" s="27">
        <f t="shared" si="25"/>
        <v>0</v>
      </c>
      <c r="L27" s="218"/>
      <c r="M27" s="94">
        <f>-SUMIF('AUGUST - TB'!H:H,EBIDTA!B27,'AUGUST - TB'!G:G)</f>
        <v>0</v>
      </c>
      <c r="N27" s="8"/>
      <c r="O27" s="27">
        <f>-SUMIF('JULY-TB'!H:H,EBIDTA!B27,'JULY-TB'!G:G)</f>
        <v>0</v>
      </c>
      <c r="P27" s="22"/>
      <c r="Q27" s="27">
        <f>-SUMIF('JUNE - TB -'!H:H,EBIDTA!B27,'JUNE - TB -'!G:G)</f>
        <v>0</v>
      </c>
      <c r="R27" s="8"/>
      <c r="S27" s="27">
        <f>-SUMIF('MAY- TB - '!H:H,EBIDTA!B27,'MAY- TB - '!E:E)</f>
        <v>0</v>
      </c>
      <c r="T27" s="8"/>
      <c r="U27" s="7">
        <f>-SUMIF('APRIL - TB -'!H:H,EBIDTA!B27,'APRIL - TB -'!G:G)</f>
        <v>0</v>
      </c>
      <c r="V27" s="48"/>
      <c r="X27" s="12" t="s">
        <v>38</v>
      </c>
      <c r="Y27" s="12"/>
      <c r="Z27" s="12"/>
      <c r="AA27" s="12"/>
      <c r="AB27" s="12"/>
      <c r="AC27" s="11"/>
    </row>
    <row r="28" spans="2:36">
      <c r="B28" s="192" t="s">
        <v>39</v>
      </c>
      <c r="C28" s="95">
        <f>SUM(C19:C27)</f>
        <v>0</v>
      </c>
      <c r="D28" s="22">
        <f>C28/$C$30</f>
        <v>0</v>
      </c>
      <c r="E28" s="39">
        <f>SUM(E19:E27)</f>
        <v>386687</v>
      </c>
      <c r="F28" s="22">
        <f>E28/$E$30</f>
        <v>1.5490299413757048E-3</v>
      </c>
      <c r="G28" s="39">
        <f>SUM(G19:G27)</f>
        <v>241260.66999999998</v>
      </c>
      <c r="H28" s="73">
        <f>(G28/$G$30)</f>
        <v>1.2058344760957338E-3</v>
      </c>
      <c r="I28" s="39">
        <f>SUM(I19:I27)</f>
        <v>-200000</v>
      </c>
      <c r="J28" s="73">
        <f t="shared" ref="J28" si="34">(I28/$I$30)</f>
        <v>-9.8095618300962075E-4</v>
      </c>
      <c r="K28" s="39">
        <f>SUM(K19:K27)</f>
        <v>0</v>
      </c>
      <c r="L28" s="74">
        <f t="shared" ref="L28" si="35">(K28/$K$30)</f>
        <v>0</v>
      </c>
      <c r="M28" s="39">
        <f>SUM(M19:M27)</f>
        <v>427947.66999999993</v>
      </c>
      <c r="N28" s="22">
        <f>M28/$M$30</f>
        <v>3.7776224777153172E-4</v>
      </c>
      <c r="O28" s="39">
        <f>SUM(O19:O27)</f>
        <v>427947.66999999993</v>
      </c>
      <c r="P28" s="22">
        <f>O28/$O$30</f>
        <v>5.1143207796659849E-4</v>
      </c>
      <c r="Q28" s="39">
        <f>SUM(Q19:Q27)</f>
        <v>41260.669999999984</v>
      </c>
      <c r="R28" s="201">
        <f>(Q28/$Q$30)</f>
        <v>7.0274978342549889E-5</v>
      </c>
      <c r="S28" s="39">
        <f>SUM(S19:S27)</f>
        <v>-200000</v>
      </c>
      <c r="T28" s="73">
        <f>(S28/$S$30)</f>
        <v>-5.1672380734986488E-4</v>
      </c>
      <c r="U28" s="39">
        <f>SUM(U19:U27)</f>
        <v>0</v>
      </c>
      <c r="V28" s="74">
        <f t="shared" ref="V28" si="36">(U28/$U$30)</f>
        <v>0</v>
      </c>
      <c r="X28" s="17" t="s">
        <v>3</v>
      </c>
      <c r="Y28" s="17"/>
      <c r="Z28" s="17"/>
      <c r="AA28" s="17"/>
      <c r="AB28" s="17"/>
      <c r="AC28" s="13"/>
    </row>
    <row r="29" spans="2:36" ht="13.5" thickBot="1">
      <c r="B29" s="195"/>
      <c r="C29" s="60"/>
      <c r="D29" s="85"/>
      <c r="E29" s="85"/>
      <c r="F29" s="85"/>
      <c r="G29" s="223"/>
      <c r="H29" s="224"/>
      <c r="I29" s="223"/>
      <c r="J29" s="225"/>
      <c r="K29" s="61"/>
      <c r="L29" s="226"/>
      <c r="M29" s="205"/>
      <c r="N29" s="206"/>
      <c r="O29" s="206"/>
      <c r="P29" s="62"/>
      <c r="Q29" s="61"/>
      <c r="R29" s="206"/>
      <c r="S29" s="61"/>
      <c r="T29" s="207"/>
      <c r="U29" s="61"/>
      <c r="V29" s="208"/>
      <c r="X29" s="17"/>
      <c r="Y29" s="17"/>
      <c r="Z29" s="17"/>
      <c r="AA29" s="17"/>
      <c r="AB29" s="17"/>
      <c r="AC29" s="13"/>
    </row>
    <row r="30" spans="2:36" ht="13.5" thickBot="1">
      <c r="B30" s="196" t="s">
        <v>40</v>
      </c>
      <c r="C30" s="202">
        <f>C9+C12+C17+C28</f>
        <v>296085775.99999994</v>
      </c>
      <c r="D30" s="87">
        <f>C30/$C$30</f>
        <v>1</v>
      </c>
      <c r="E30" s="202">
        <f>E9+E12+E17+E28</f>
        <v>249631714.4499999</v>
      </c>
      <c r="F30" s="87">
        <f>E30/$E$30</f>
        <v>1</v>
      </c>
      <c r="G30" s="202">
        <f>G9+G12+G17+G28</f>
        <v>200077767.54000005</v>
      </c>
      <c r="H30" s="87">
        <f>(G30/$G$30)</f>
        <v>1</v>
      </c>
      <c r="I30" s="202">
        <f>I9+I12+I17+I28</f>
        <v>203882704.91999999</v>
      </c>
      <c r="J30" s="87">
        <f>(I30/$I$30)</f>
        <v>1</v>
      </c>
      <c r="K30" s="202">
        <f>K9+K12+K17+K28</f>
        <v>183171263.09</v>
      </c>
      <c r="L30" s="92">
        <f>(K30/$K$30)</f>
        <v>1</v>
      </c>
      <c r="M30" s="202">
        <f>M9+M12+M17+M28</f>
        <v>1132849226</v>
      </c>
      <c r="N30" s="203">
        <f>M30/$M$30</f>
        <v>1</v>
      </c>
      <c r="O30" s="202">
        <f>O9+O12+O17+O28</f>
        <v>836763450</v>
      </c>
      <c r="P30" s="203">
        <f>(O30/$O$30)</f>
        <v>1</v>
      </c>
      <c r="Q30" s="202">
        <f>Q9+Q12+Q17+Q28</f>
        <v>587131735.55000007</v>
      </c>
      <c r="R30" s="203">
        <f>(Q30/$Q$30)</f>
        <v>1</v>
      </c>
      <c r="S30" s="202">
        <f>S9+S12+S17+S28</f>
        <v>387053968.00999999</v>
      </c>
      <c r="T30" s="203">
        <f>(S30/$S$30)</f>
        <v>1</v>
      </c>
      <c r="U30" s="202">
        <f>U9+U12+U17+U28</f>
        <v>183171263.09</v>
      </c>
      <c r="V30" s="204">
        <f>(U30/$U$30)</f>
        <v>1</v>
      </c>
      <c r="X30" s="17" t="s">
        <v>41</v>
      </c>
      <c r="Y30" s="77">
        <f>Z30</f>
        <v>12898280.02</v>
      </c>
      <c r="Z30" s="77">
        <f>AA30</f>
        <v>12898280.02</v>
      </c>
      <c r="AA30" s="77">
        <f>AB30</f>
        <v>12898280.02</v>
      </c>
      <c r="AB30" s="77">
        <f>AC30</f>
        <v>12898280.02</v>
      </c>
      <c r="AC30" s="13">
        <f>'Stock Sheet - KPW'!O16</f>
        <v>12898280.02</v>
      </c>
      <c r="AF30" s="179">
        <f>(AC27-AC30)/10^7</f>
        <v>-1.2898280019999999</v>
      </c>
      <c r="AG30" s="179">
        <f>(AB30-AC30)/10^7</f>
        <v>0</v>
      </c>
      <c r="AH30" s="179">
        <f t="shared" ref="AH30" si="37">(AA30-AB30)/10^7</f>
        <v>0</v>
      </c>
      <c r="AI30" s="179">
        <f t="shared" ref="AI30" si="38">(Z30-AA30)/10^7</f>
        <v>0</v>
      </c>
    </row>
    <row r="31" spans="2:36">
      <c r="B31" s="197" t="s">
        <v>42</v>
      </c>
      <c r="C31" s="68"/>
      <c r="D31" s="69"/>
      <c r="E31" s="69"/>
      <c r="F31" s="69"/>
      <c r="G31" s="69"/>
      <c r="H31" s="69"/>
      <c r="I31" s="69"/>
      <c r="J31" s="70"/>
      <c r="K31" s="70"/>
      <c r="L31" s="216"/>
      <c r="M31" s="69"/>
      <c r="N31" s="70"/>
      <c r="O31" s="69"/>
      <c r="P31" s="70"/>
      <c r="Q31" s="69"/>
      <c r="R31" s="70"/>
      <c r="S31" s="70"/>
      <c r="T31" s="70"/>
      <c r="U31" s="71"/>
      <c r="V31" s="53"/>
      <c r="X31" s="17"/>
      <c r="Y31" s="17"/>
      <c r="Z31" s="17"/>
      <c r="AA31" s="17"/>
      <c r="AB31" s="17"/>
      <c r="AC31" s="13"/>
    </row>
    <row r="32" spans="2:36">
      <c r="B32" s="191" t="s">
        <v>43</v>
      </c>
      <c r="C32" s="94">
        <f>M32-O32</f>
        <v>177310682.17770946</v>
      </c>
      <c r="D32" s="73">
        <f>C32/$C$30</f>
        <v>0.59884903818449386</v>
      </c>
      <c r="E32" s="27">
        <f>O32-Q32</f>
        <v>173475737.30499041</v>
      </c>
      <c r="F32" s="73">
        <f>E32/$E$30</f>
        <v>0.69492667503085559</v>
      </c>
      <c r="G32" s="27">
        <f t="shared" ref="G32:G35" si="39">Q32-S32</f>
        <v>127419409.05200002</v>
      </c>
      <c r="H32" s="22">
        <f>(G32/$G$30)</f>
        <v>0.63684941419853658</v>
      </c>
      <c r="I32" s="27">
        <f t="shared" ref="I32:I35" ca="1" si="40">S32-U32</f>
        <v>98512251.374199986</v>
      </c>
      <c r="J32" s="22">
        <f t="shared" ref="J32:J36" ca="1" si="41">(I32/$I$30)</f>
        <v>0.4831810104385974</v>
      </c>
      <c r="K32" s="27">
        <f t="shared" ref="K32:K35" ca="1" si="42">U32</f>
        <v>87083536.223199993</v>
      </c>
      <c r="L32" s="49">
        <f t="shared" ref="L32:L36" ca="1" si="43">(K32/$K$30)</f>
        <v>0.47542138845443277</v>
      </c>
      <c r="M32" s="186">
        <f>Y15</f>
        <v>663801616.13209987</v>
      </c>
      <c r="N32" s="22">
        <f>M32/$M$30</f>
        <v>0.58595760220972237</v>
      </c>
      <c r="O32" s="186">
        <f>Z15</f>
        <v>486490933.95439041</v>
      </c>
      <c r="P32" s="22">
        <f>O32/$O$30</f>
        <v>0.58139601335884161</v>
      </c>
      <c r="Q32" s="76">
        <f>AA15</f>
        <v>313015196.6494</v>
      </c>
      <c r="R32" s="22">
        <f>(Q32/$Q$30)</f>
        <v>0.53312600511396413</v>
      </c>
      <c r="S32" s="76">
        <f>AB15</f>
        <v>185595787.59739998</v>
      </c>
      <c r="T32" s="22">
        <f>(S32/$S$30)</f>
        <v>0.47950880997712675</v>
      </c>
      <c r="U32" s="13">
        <f ca="1">AC15</f>
        <v>87083536.223199993</v>
      </c>
      <c r="V32" s="49">
        <f ca="1">(U32/$U$30)</f>
        <v>0.47542138845443277</v>
      </c>
      <c r="X32" s="17" t="s">
        <v>44</v>
      </c>
      <c r="Y32" s="17">
        <f>SUMIF('AUGUST - TB'!H:H,EBIDTA!X32,'AUGUST - TB'!G:G)</f>
        <v>18737646.670000002</v>
      </c>
      <c r="Z32" s="17">
        <f>SUMIF('JULY-TB'!H:H,EBIDTA!X32,'JULY-TB'!G:G)</f>
        <v>14206509.66</v>
      </c>
      <c r="AA32" s="17">
        <f>SUMIF('JUNE - TB -'!H23:H1349,EBIDTA!X32,'JUNE - TB -'!G23:G1349)</f>
        <v>10776091.18</v>
      </c>
      <c r="AB32" s="17">
        <f>SUMIF('MAY- TB - '!H23:H1339,EBIDTA!X32,'MAY- TB - '!G23:G1339)</f>
        <v>7002670.8500000006</v>
      </c>
      <c r="AC32" s="13">
        <f ca="1">SUMIF('APRIL - TB -'!H2:H1232,EBIDTA!X32,'APRIL - TB -'!G2:G1231)</f>
        <v>3866573.43</v>
      </c>
      <c r="AD32" s="33"/>
      <c r="AF32" s="179">
        <f ca="1">(AC29-AC32)/10^7</f>
        <v>-0.38665734300000004</v>
      </c>
      <c r="AG32" s="179">
        <f ca="1">(AB32-AC32)/10^7</f>
        <v>0.31360974200000002</v>
      </c>
      <c r="AH32" s="179">
        <f t="shared" ref="AH32" si="44">(AA32-AB32)/10^7</f>
        <v>0.37734203299999991</v>
      </c>
      <c r="AI32" s="179">
        <f t="shared" ref="AI32" si="45">(Z32-AA32)/10^7</f>
        <v>0.34304184800000004</v>
      </c>
      <c r="AJ32" s="179">
        <v>20.644672126140001</v>
      </c>
    </row>
    <row r="33" spans="2:36">
      <c r="B33" s="191" t="s">
        <v>45</v>
      </c>
      <c r="C33" s="94">
        <f t="shared" ref="C33:C35" si="46">M33-O33</f>
        <v>0</v>
      </c>
      <c r="D33" s="73">
        <f t="shared" ref="D33:D36" si="47">C33/$C$30</f>
        <v>0</v>
      </c>
      <c r="E33" s="27">
        <f>O33-Q33</f>
        <v>0</v>
      </c>
      <c r="F33" s="73">
        <f>E33/$E$30</f>
        <v>0</v>
      </c>
      <c r="G33" s="27">
        <f t="shared" si="39"/>
        <v>0</v>
      </c>
      <c r="H33" s="22">
        <f t="shared" ref="H33:H36" si="48">(G33/$G$30)</f>
        <v>0</v>
      </c>
      <c r="I33" s="27">
        <f t="shared" si="40"/>
        <v>0</v>
      </c>
      <c r="J33" s="22">
        <f t="shared" si="41"/>
        <v>0</v>
      </c>
      <c r="K33" s="27">
        <f t="shared" si="42"/>
        <v>0</v>
      </c>
      <c r="L33" s="49">
        <f t="shared" si="43"/>
        <v>0</v>
      </c>
      <c r="M33" s="187">
        <v>0</v>
      </c>
      <c r="N33" s="22">
        <f t="shared" ref="N33:N36" si="49">M33/$M$30</f>
        <v>0</v>
      </c>
      <c r="O33" s="187">
        <v>0</v>
      </c>
      <c r="P33" s="22">
        <f>O33/$O$30</f>
        <v>0</v>
      </c>
      <c r="Q33" s="6">
        <v>0</v>
      </c>
      <c r="R33" s="22">
        <f>(Q33/$Q$30)</f>
        <v>0</v>
      </c>
      <c r="S33" s="6">
        <v>0</v>
      </c>
      <c r="T33" s="22">
        <f t="shared" ref="T33:T36" si="50">(S33/$S$30)</f>
        <v>0</v>
      </c>
      <c r="U33" s="6">
        <v>0</v>
      </c>
      <c r="V33" s="49">
        <f>(U33/$U$30)</f>
        <v>0</v>
      </c>
      <c r="X33" s="17"/>
      <c r="Y33" s="17"/>
      <c r="Z33" s="17"/>
      <c r="AA33" s="17"/>
      <c r="AB33" s="17"/>
      <c r="AC33" s="13"/>
    </row>
    <row r="34" spans="2:36">
      <c r="B34" s="191" t="s">
        <v>22</v>
      </c>
      <c r="C34" s="94">
        <f t="shared" si="46"/>
        <v>1090196.1999998689</v>
      </c>
      <c r="D34" s="73">
        <f t="shared" si="47"/>
        <v>3.6820282781833773E-3</v>
      </c>
      <c r="E34" s="27">
        <f>O34-Q34</f>
        <v>11065904.164999962</v>
      </c>
      <c r="F34" s="73">
        <f>E34/$E$30</f>
        <v>4.4328919461939648E-2</v>
      </c>
      <c r="G34" s="80">
        <f t="shared" si="39"/>
        <v>-13812508.048999935</v>
      </c>
      <c r="H34" s="22">
        <f t="shared" si="48"/>
        <v>-6.9035696563529994E-2</v>
      </c>
      <c r="I34" s="80">
        <f t="shared" si="40"/>
        <v>-839004.28240001202</v>
      </c>
      <c r="J34" s="22">
        <f t="shared" si="41"/>
        <v>-4.1151321919592086E-3</v>
      </c>
      <c r="K34" s="27">
        <f t="shared" si="42"/>
        <v>34999373.537799954</v>
      </c>
      <c r="L34" s="49">
        <f t="shared" si="43"/>
        <v>0.19107458750559164</v>
      </c>
      <c r="M34" s="186">
        <f>Y25</f>
        <v>32503961.571399838</v>
      </c>
      <c r="N34" s="22">
        <f t="shared" si="49"/>
        <v>2.8692222076338196E-2</v>
      </c>
      <c r="O34" s="186">
        <f>Z25</f>
        <v>31413765.371399969</v>
      </c>
      <c r="P34" s="22">
        <f>O34/$O$30</f>
        <v>3.7541990357489882E-2</v>
      </c>
      <c r="Q34" s="76">
        <f>AA25</f>
        <v>20347861.206400007</v>
      </c>
      <c r="R34" s="22">
        <f>(Q34/$Q$30)</f>
        <v>3.4656381139641507E-2</v>
      </c>
      <c r="S34" s="76">
        <f>AB25</f>
        <v>34160369.255399942</v>
      </c>
      <c r="T34" s="22">
        <f t="shared" si="50"/>
        <v>8.8257380310637637E-2</v>
      </c>
      <c r="U34" s="13">
        <f>AC25</f>
        <v>34999373.537799954</v>
      </c>
      <c r="V34" s="49">
        <f>(U34/$U$30)</f>
        <v>0.19107458750559164</v>
      </c>
      <c r="X34" s="17" t="s">
        <v>46</v>
      </c>
      <c r="Y34" s="17"/>
      <c r="Z34" s="17"/>
      <c r="AA34" s="17"/>
      <c r="AB34" s="17"/>
      <c r="AC34" s="13"/>
    </row>
    <row r="35" spans="2:36">
      <c r="B35" s="191" t="s">
        <v>38</v>
      </c>
      <c r="C35" s="94">
        <f t="shared" si="46"/>
        <v>3771955.3500000034</v>
      </c>
      <c r="D35" s="73">
        <f t="shared" si="47"/>
        <v>1.2739400726902883E-2</v>
      </c>
      <c r="E35" s="27">
        <f>O35-Q35</f>
        <v>4435366.6099999994</v>
      </c>
      <c r="F35" s="73">
        <f>E35/$E$30</f>
        <v>1.7767640701311545E-2</v>
      </c>
      <c r="G35" s="27">
        <f t="shared" si="39"/>
        <v>5023463.76</v>
      </c>
      <c r="H35" s="22">
        <f t="shared" si="48"/>
        <v>2.5107556035658465E-2</v>
      </c>
      <c r="I35" s="27">
        <f t="shared" ca="1" si="40"/>
        <v>1896959.7700000014</v>
      </c>
      <c r="J35" s="22">
        <f t="shared" ca="1" si="41"/>
        <v>9.304172076510046E-3</v>
      </c>
      <c r="K35" s="27">
        <f t="shared" ca="1" si="42"/>
        <v>829101.06999999844</v>
      </c>
      <c r="L35" s="49">
        <f t="shared" ca="1" si="43"/>
        <v>4.5263708728842745E-3</v>
      </c>
      <c r="M35" s="186">
        <f>Y36</f>
        <v>15956846.560000002</v>
      </c>
      <c r="N35" s="22">
        <f t="shared" si="49"/>
        <v>1.4085587202404994E-2</v>
      </c>
      <c r="O35" s="186">
        <f>Z36</f>
        <v>12184891.209999999</v>
      </c>
      <c r="P35" s="22">
        <f>O35/$O$30</f>
        <v>1.4561930507361428E-2</v>
      </c>
      <c r="Q35" s="76">
        <f>AA36</f>
        <v>7749524.5999999996</v>
      </c>
      <c r="R35" s="22">
        <f>(Q35/$Q$30)</f>
        <v>1.3198953711368666E-2</v>
      </c>
      <c r="S35" s="76">
        <f>AB36</f>
        <v>2726060.84</v>
      </c>
      <c r="T35" s="22">
        <f t="shared" si="50"/>
        <v>7.0431026815608536E-3</v>
      </c>
      <c r="U35" s="13">
        <f ca="1">AC36</f>
        <v>829101.06999999844</v>
      </c>
      <c r="V35" s="49">
        <f ca="1">(U35/$U$30)</f>
        <v>4.5263708728842745E-3</v>
      </c>
      <c r="X35" s="17" t="s">
        <v>47</v>
      </c>
      <c r="Y35" s="17">
        <f>'Stock Sheet - KPW'!T16</f>
        <v>15679080.129999999</v>
      </c>
      <c r="Z35" s="17">
        <f>'Stock Sheet - KPW'!S16</f>
        <v>14919898.470000001</v>
      </c>
      <c r="AA35" s="17">
        <f>'Stock Sheet - KPW'!R16</f>
        <v>15924846.6</v>
      </c>
      <c r="AB35" s="17">
        <f>+'Stock Sheet - KPW'!Q16</f>
        <v>17174890.030000001</v>
      </c>
      <c r="AC35" s="13">
        <f>'Stock Sheet - KPW'!P16</f>
        <v>15935752.380000001</v>
      </c>
      <c r="AD35" s="33"/>
      <c r="AF35" s="179">
        <f>AC35/10^7</f>
        <v>1.5935752380000001</v>
      </c>
      <c r="AG35" s="179">
        <f>(AB35-AC35)/10^7</f>
        <v>0.12391376500000004</v>
      </c>
      <c r="AH35" s="179">
        <f>(AA35-AB35)/10^7</f>
        <v>-0.12500434300000016</v>
      </c>
      <c r="AI35" s="179">
        <f>(Z35-AA35)/10^7</f>
        <v>-0.10049481299999989</v>
      </c>
      <c r="AJ35" s="179">
        <v>20.644672126140001</v>
      </c>
    </row>
    <row r="36" spans="2:36">
      <c r="B36" s="192" t="s">
        <v>48</v>
      </c>
      <c r="C36" s="95">
        <f>C32+C34+C35+C33</f>
        <v>182172833.72770932</v>
      </c>
      <c r="D36" s="73">
        <f t="shared" si="47"/>
        <v>0.61527046718958012</v>
      </c>
      <c r="E36" s="39">
        <f>E32+E34+E35+E33</f>
        <v>188977008.07999039</v>
      </c>
      <c r="F36" s="73">
        <f>E36/$E$30</f>
        <v>0.75702323519410686</v>
      </c>
      <c r="G36" s="39">
        <f>G32+G34+G35+G33</f>
        <v>118630364.76300009</v>
      </c>
      <c r="H36" s="22">
        <f t="shared" si="48"/>
        <v>0.59292127367066516</v>
      </c>
      <c r="I36" s="39">
        <f ca="1">I32+I34+I35+I33</f>
        <v>99570206.86179997</v>
      </c>
      <c r="J36" s="22">
        <f t="shared" ca="1" si="41"/>
        <v>0.48837005032314823</v>
      </c>
      <c r="K36" s="39">
        <f ca="1">K32+K34+K35+K33</f>
        <v>122912010.83099994</v>
      </c>
      <c r="L36" s="49">
        <f t="shared" ca="1" si="43"/>
        <v>0.67102234683290862</v>
      </c>
      <c r="M36" s="39">
        <f>M32+M34+M35+M33</f>
        <v>712262424.26349974</v>
      </c>
      <c r="N36" s="22">
        <f t="shared" si="49"/>
        <v>0.62873541148846557</v>
      </c>
      <c r="O36" s="39">
        <f>O32+O34+O35+O33</f>
        <v>530089590.53579038</v>
      </c>
      <c r="P36" s="22">
        <f>O36/$O$30</f>
        <v>0.633499934223693</v>
      </c>
      <c r="Q36" s="39">
        <f>Q32+Q34+Q35+Q33</f>
        <v>341112582.45580006</v>
      </c>
      <c r="R36" s="22">
        <f>(Q36/$Q$30)</f>
        <v>0.58098133996497447</v>
      </c>
      <c r="S36" s="39">
        <f>S32+S34+S35+S33</f>
        <v>222482217.69279993</v>
      </c>
      <c r="T36" s="22">
        <f t="shared" si="50"/>
        <v>0.57480929296932526</v>
      </c>
      <c r="U36" s="39">
        <f ca="1">U32+U34+U35+U33</f>
        <v>122912010.83099994</v>
      </c>
      <c r="V36" s="49">
        <f ca="1">(U36/$U$30)</f>
        <v>0.67102234683290862</v>
      </c>
      <c r="X36" s="15" t="s">
        <v>49</v>
      </c>
      <c r="Y36" s="39">
        <f t="shared" ref="Y36:AC36" si="51">Y30+Y32-Y35</f>
        <v>15956846.560000002</v>
      </c>
      <c r="Z36" s="39">
        <f t="shared" si="51"/>
        <v>12184891.209999999</v>
      </c>
      <c r="AA36" s="39">
        <f t="shared" si="51"/>
        <v>7749524.5999999996</v>
      </c>
      <c r="AB36" s="39">
        <f t="shared" si="51"/>
        <v>2726060.84</v>
      </c>
      <c r="AC36" s="39">
        <f t="shared" ca="1" si="51"/>
        <v>829101.06999999844</v>
      </c>
      <c r="AF36" s="184">
        <f t="shared" ref="AF36" ca="1" si="52">AC36/10^7</f>
        <v>8.2910106999999844E-2</v>
      </c>
      <c r="AG36" s="184">
        <f t="shared" ref="AG36" ca="1" si="53">(AB36-AF36)/10^7</f>
        <v>0.27260607570898926</v>
      </c>
      <c r="AH36" s="184">
        <f t="shared" ref="AH36" si="54">(AA36-AB36)/10^7</f>
        <v>0.50234637599999998</v>
      </c>
      <c r="AI36" s="184">
        <f t="shared" ref="AI36" si="55">(Z36-AA36)/10^7</f>
        <v>0.44353666099999994</v>
      </c>
      <c r="AJ36" s="184">
        <f>(Y36-Z36)/10^7</f>
        <v>0.37719553500000036</v>
      </c>
    </row>
    <row r="37" spans="2:36">
      <c r="B37" s="192" t="s">
        <v>50</v>
      </c>
      <c r="C37" s="47"/>
      <c r="D37" s="55"/>
      <c r="E37" s="55"/>
      <c r="F37" s="55"/>
      <c r="G37" s="55"/>
      <c r="H37" s="55"/>
      <c r="I37" s="55"/>
      <c r="J37" s="5"/>
      <c r="K37" s="5"/>
      <c r="L37" s="217"/>
      <c r="M37" s="55"/>
      <c r="N37" s="5"/>
      <c r="O37" s="55"/>
      <c r="P37" s="5"/>
      <c r="Q37" s="5"/>
      <c r="R37" s="5"/>
      <c r="S37" s="5"/>
      <c r="T37" s="5"/>
      <c r="U37" s="6"/>
      <c r="V37" s="48"/>
    </row>
    <row r="38" spans="2:36">
      <c r="B38" s="191" t="s">
        <v>51</v>
      </c>
      <c r="C38" s="94">
        <f t="shared" ref="C38:C42" si="56">M38-O38</f>
        <v>20556497</v>
      </c>
      <c r="D38" s="81"/>
      <c r="E38" s="27">
        <f>O38-Q38</f>
        <v>15351917</v>
      </c>
      <c r="F38" s="81"/>
      <c r="G38" s="27">
        <f t="shared" ref="G38:G42" si="57">Q38-S38</f>
        <v>17889551.199999996</v>
      </c>
      <c r="H38" s="22"/>
      <c r="I38" s="27">
        <f t="shared" ref="I38:I42" si="58">S38-U38</f>
        <v>14699524.700000003</v>
      </c>
      <c r="J38" s="8"/>
      <c r="K38" s="27">
        <f t="shared" ref="K38:K42" si="59">U38</f>
        <v>15495082.899999999</v>
      </c>
      <c r="L38" s="218"/>
      <c r="M38" s="81">
        <f>SUMIF('AUGUST - TB'!H:H,EBIDTA!B38,'AUGUST - TB'!G:G)</f>
        <v>83992572.799999997</v>
      </c>
      <c r="N38" s="8"/>
      <c r="O38" s="81">
        <f>SUMIF('JULY-TB'!H:H,EBIDTA!B38,'JULY-TB'!G:G)</f>
        <v>63436075.799999997</v>
      </c>
      <c r="P38" s="8"/>
      <c r="Q38" s="27">
        <f>SUMIF('JUNE - TB -'!H:H,EBIDTA!B38,'JUNE - TB -'!G:G)</f>
        <v>48084158.799999997</v>
      </c>
      <c r="R38" s="86"/>
      <c r="S38" s="27">
        <f>SUMIF('MAY- TB - '!H:H,EBIDTA!B38,'MAY- TB - '!G:G)</f>
        <v>30194607.600000001</v>
      </c>
      <c r="T38" s="8"/>
      <c r="U38" s="7">
        <f>SUMIF('APRIL - TB -'!H:H,EBIDTA!B38,'APRIL - TB -'!G:G)</f>
        <v>15495082.899999999</v>
      </c>
      <c r="V38" s="49"/>
      <c r="AB38" s="9"/>
    </row>
    <row r="39" spans="2:36">
      <c r="B39" s="191" t="s">
        <v>52</v>
      </c>
      <c r="C39" s="94">
        <f t="shared" si="56"/>
        <v>793099</v>
      </c>
      <c r="D39" s="81"/>
      <c r="E39" s="27">
        <f>O39-Q39</f>
        <v>715987</v>
      </c>
      <c r="F39" s="81"/>
      <c r="G39" s="27">
        <f t="shared" si="57"/>
        <v>645056</v>
      </c>
      <c r="H39" s="22"/>
      <c r="I39" s="27">
        <f t="shared" si="58"/>
        <v>518741</v>
      </c>
      <c r="J39" s="8"/>
      <c r="K39" s="27">
        <f t="shared" si="59"/>
        <v>564270</v>
      </c>
      <c r="L39" s="218"/>
      <c r="M39" s="81">
        <f>SUMIF('AUGUST - TB'!H:H,EBIDTA!B39,'AUGUST - TB'!G:G)</f>
        <v>3237153</v>
      </c>
      <c r="N39" s="8"/>
      <c r="O39" s="81">
        <f>SUMIF('JULY-TB'!H:H,EBIDTA!B39,'JULY-TB'!G:G)</f>
        <v>2444054</v>
      </c>
      <c r="P39" s="8"/>
      <c r="Q39" s="27">
        <f>SUMIF('JUNE - TB -'!H:H,EBIDTA!B39,'JUNE - TB -'!G:G)</f>
        <v>1728067</v>
      </c>
      <c r="R39" s="86"/>
      <c r="S39" s="27">
        <f>SUMIF('MAY- TB - '!H:H,EBIDTA!B39,'MAY- TB - '!G:G)</f>
        <v>1083011</v>
      </c>
      <c r="T39" s="59"/>
      <c r="U39" s="7">
        <f>SUMIF('APRIL - TB -'!H:H,EBIDTA!B39,'APRIL - TB -'!G:G)</f>
        <v>564270</v>
      </c>
      <c r="V39" s="49"/>
      <c r="X39" s="44"/>
      <c r="Y39" s="44"/>
      <c r="Z39" s="44"/>
      <c r="AB39" s="9"/>
    </row>
    <row r="40" spans="2:36">
      <c r="B40" s="191" t="s">
        <v>53</v>
      </c>
      <c r="C40" s="94">
        <f t="shared" si="56"/>
        <v>0</v>
      </c>
      <c r="D40" s="81"/>
      <c r="E40" s="27">
        <f>O40-Q40</f>
        <v>0</v>
      </c>
      <c r="F40" s="81"/>
      <c r="G40" s="27">
        <f t="shared" si="57"/>
        <v>0</v>
      </c>
      <c r="H40" s="22"/>
      <c r="I40" s="27">
        <f t="shared" si="58"/>
        <v>0</v>
      </c>
      <c r="J40" s="8"/>
      <c r="K40" s="27">
        <f t="shared" si="59"/>
        <v>0</v>
      </c>
      <c r="L40" s="218"/>
      <c r="M40" s="81">
        <f>SUMIF('AUGUST - TB'!H:H,EBIDTA!B40,'AUGUST - TB'!G:G)</f>
        <v>0</v>
      </c>
      <c r="N40" s="8"/>
      <c r="O40" s="81">
        <f>SUMIF('JULY-TB'!H:H,EBIDTA!B40,'JULY-TB'!G:G)</f>
        <v>0</v>
      </c>
      <c r="P40" s="8"/>
      <c r="Q40" s="27">
        <f>SUMIF('JUNE - TB -'!H:H,EBIDTA!B40,'JUNE - TB -'!G:G)</f>
        <v>0</v>
      </c>
      <c r="R40" s="86"/>
      <c r="S40" s="27">
        <f>SUMIF('MAY- TB - '!H:H,EBIDTA!B40,'MAY- TB - '!G:G)</f>
        <v>0</v>
      </c>
      <c r="T40" s="59"/>
      <c r="U40" s="7">
        <f>SUMIF('APRIL - TB -'!H:H,EBIDTA!B40,'APRIL - TB -'!G:G)</f>
        <v>0</v>
      </c>
      <c r="V40" s="49"/>
      <c r="X40" s="9"/>
      <c r="Y40" s="9"/>
      <c r="Z40" s="9"/>
      <c r="AB40" s="9"/>
    </row>
    <row r="41" spans="2:36">
      <c r="B41" s="191" t="s">
        <v>54</v>
      </c>
      <c r="C41" s="94">
        <f t="shared" si="56"/>
        <v>621764.74</v>
      </c>
      <c r="D41" s="81"/>
      <c r="E41" s="27">
        <f>O41-Q41</f>
        <v>233643</v>
      </c>
      <c r="F41" s="81"/>
      <c r="G41" s="27">
        <f t="shared" si="57"/>
        <v>759802</v>
      </c>
      <c r="H41" s="22"/>
      <c r="I41" s="27">
        <f t="shared" si="58"/>
        <v>255704.24</v>
      </c>
      <c r="J41" s="8"/>
      <c r="K41" s="27">
        <f t="shared" si="59"/>
        <v>9522</v>
      </c>
      <c r="L41" s="218"/>
      <c r="M41" s="81">
        <f>SUMIF('AUGUST - TB'!H:H,EBIDTA!B41,'AUGUST - TB'!G:G)</f>
        <v>1880435.98</v>
      </c>
      <c r="N41" s="8"/>
      <c r="O41" s="81">
        <f>SUMIF('JULY-TB'!H:H,EBIDTA!B41,'JULY-TB'!G:G)</f>
        <v>1258671.24</v>
      </c>
      <c r="P41" s="8"/>
      <c r="Q41" s="27">
        <f>SUMIF('JUNE - TB -'!H:H,EBIDTA!B41,'JUNE - TB -'!G:G)</f>
        <v>1025028.24</v>
      </c>
      <c r="R41" s="86"/>
      <c r="S41" s="27">
        <f>SUMIF('MAY- TB - '!H:H,EBIDTA!B41,'MAY- TB - '!G:G)</f>
        <v>265226.23999999999</v>
      </c>
      <c r="T41" s="59"/>
      <c r="U41" s="7">
        <f>SUMIF('APRIL - TB -'!H:H,EBIDTA!B41,'APRIL - TB -'!G:G)</f>
        <v>9522</v>
      </c>
      <c r="V41" s="49"/>
      <c r="AB41" s="9"/>
    </row>
    <row r="42" spans="2:36">
      <c r="B42" s="191" t="s">
        <v>55</v>
      </c>
      <c r="C42" s="94">
        <f t="shared" si="56"/>
        <v>8448378</v>
      </c>
      <c r="D42" s="81"/>
      <c r="E42" s="27">
        <f>O42-Q42</f>
        <v>7287531.9499999974</v>
      </c>
      <c r="F42" s="81"/>
      <c r="G42" s="27">
        <f t="shared" si="57"/>
        <v>5896886.7500000019</v>
      </c>
      <c r="H42" s="22"/>
      <c r="I42" s="27">
        <f t="shared" si="58"/>
        <v>5108656.379999999</v>
      </c>
      <c r="J42" s="8"/>
      <c r="K42" s="27">
        <f t="shared" si="59"/>
        <v>4542834</v>
      </c>
      <c r="L42" s="218"/>
      <c r="M42" s="81">
        <f>SUMIF('AUGUST - TB'!H:H,EBIDTA!B42,'AUGUST - TB'!G:G)</f>
        <v>31284287.079999998</v>
      </c>
      <c r="N42" s="8"/>
      <c r="O42" s="81">
        <f>SUMIF('JULY-TB'!H:H,EBIDTA!B42,'JULY-TB'!G:G)</f>
        <v>22835909.079999998</v>
      </c>
      <c r="P42" s="8"/>
      <c r="Q42" s="27">
        <f>SUMIF('JUNE - TB -'!H:H,EBIDTA!B42,'JUNE - TB -'!G:G)</f>
        <v>15548377.130000001</v>
      </c>
      <c r="R42" s="86"/>
      <c r="S42" s="27">
        <f>SUMIF('MAY- TB - '!H:H,EBIDTA!B42,'MAY- TB - '!G:G)</f>
        <v>9651490.379999999</v>
      </c>
      <c r="T42" s="59"/>
      <c r="U42" s="7">
        <f>SUMIF('APRIL - TB -'!H:H,EBIDTA!B42,'APRIL - TB -'!G:G)</f>
        <v>4542834</v>
      </c>
      <c r="V42" s="49"/>
      <c r="AB42" s="9"/>
    </row>
    <row r="43" spans="2:36">
      <c r="B43" s="192" t="s">
        <v>56</v>
      </c>
      <c r="C43" s="95">
        <f>SUM(C38:C42)</f>
        <v>30419738.739999998</v>
      </c>
      <c r="D43" s="73">
        <f t="shared" ref="D43" si="60">C43/$C$30</f>
        <v>0.10273961536065145</v>
      </c>
      <c r="E43" s="39">
        <f>SUM(E38:E42)</f>
        <v>23589078.949999996</v>
      </c>
      <c r="F43" s="73">
        <f>E43/$E$30</f>
        <v>9.44955211399022E-2</v>
      </c>
      <c r="G43" s="39">
        <f>SUM(G38:G42)</f>
        <v>25191295.949999996</v>
      </c>
      <c r="H43" s="22">
        <f t="shared" ref="H43" si="61">(G43/$G$30)</f>
        <v>0.12590752215867107</v>
      </c>
      <c r="I43" s="39">
        <f>SUM(I38:I42)</f>
        <v>20582626.32</v>
      </c>
      <c r="J43" s="22">
        <f t="shared" ref="J43" si="62">(I43/$I$30)</f>
        <v>0.10095327275590278</v>
      </c>
      <c r="K43" s="39">
        <f>SUM(K38:K42)</f>
        <v>20611708.899999999</v>
      </c>
      <c r="L43" s="49">
        <f t="shared" ref="L43" si="63">(K43/$K$30)</f>
        <v>0.11252697913576416</v>
      </c>
      <c r="M43" s="39">
        <f>SUM(M38:M42)</f>
        <v>120394448.86</v>
      </c>
      <c r="N43" s="22">
        <f t="shared" ref="N43" si="64">M43/$M$30</f>
        <v>0.10627579213264167</v>
      </c>
      <c r="O43" s="39">
        <f>SUM(O38:O42)</f>
        <v>89974710.11999999</v>
      </c>
      <c r="P43" s="22">
        <f>O43/$O$30</f>
        <v>0.10752705572883231</v>
      </c>
      <c r="Q43" s="39">
        <f>SUM(Q38:Q42)</f>
        <v>66385631.170000002</v>
      </c>
      <c r="R43" s="75">
        <f>(Q43/$Q$30)</f>
        <v>0.11306769358636824</v>
      </c>
      <c r="S43" s="39">
        <f>SUM(S38:S42)</f>
        <v>41194335.219999999</v>
      </c>
      <c r="T43" s="22">
        <f t="shared" ref="T43" si="65">(S43/$S$30)</f>
        <v>0.10643046868062517</v>
      </c>
      <c r="U43" s="39">
        <f>SUM(U38:U42)</f>
        <v>20611708.899999999</v>
      </c>
      <c r="V43" s="49">
        <f>(U43/$U$30)</f>
        <v>0.11252697913576416</v>
      </c>
      <c r="AB43" s="9"/>
    </row>
    <row r="44" spans="2:36">
      <c r="B44" s="192" t="s">
        <v>57</v>
      </c>
      <c r="C44" s="47"/>
      <c r="D44" s="55"/>
      <c r="E44" s="55"/>
      <c r="F44" s="55"/>
      <c r="G44" s="55"/>
      <c r="H44" s="55"/>
      <c r="I44" s="55"/>
      <c r="J44" s="5"/>
      <c r="K44" s="5"/>
      <c r="L44" s="217"/>
      <c r="M44" s="55"/>
      <c r="N44" s="5"/>
      <c r="O44" s="55"/>
      <c r="P44" s="5"/>
      <c r="Q44" s="5"/>
      <c r="S44" s="5"/>
      <c r="T44" s="78"/>
      <c r="U44" s="6"/>
      <c r="V44" s="48"/>
      <c r="X44" s="9"/>
      <c r="Y44" s="9"/>
      <c r="Z44" s="9"/>
      <c r="AA44" s="9"/>
      <c r="AB44" s="9"/>
    </row>
    <row r="45" spans="2:36">
      <c r="B45" s="191" t="s">
        <v>58</v>
      </c>
      <c r="C45" s="94">
        <f t="shared" ref="C45:C47" si="66">M45-O45</f>
        <v>5358995</v>
      </c>
      <c r="D45" s="81"/>
      <c r="E45" s="27">
        <f>O45-Q45</f>
        <v>3174501</v>
      </c>
      <c r="F45" s="81"/>
      <c r="G45" s="27">
        <f>Q45-S45</f>
        <v>4366664</v>
      </c>
      <c r="H45" s="22"/>
      <c r="I45" s="27">
        <f t="shared" ref="I45:I47" si="67">S45-U45</f>
        <v>4642624</v>
      </c>
      <c r="J45" s="8"/>
      <c r="K45" s="27">
        <f t="shared" ref="K45:K47" si="68">U45</f>
        <v>4652904</v>
      </c>
      <c r="L45" s="218"/>
      <c r="M45" s="81">
        <f>SUMIF('AUGUST - TB'!H:H,EBIDTA!B45,'AUGUST - TB'!G:G)</f>
        <v>22195688</v>
      </c>
      <c r="N45" s="8"/>
      <c r="O45" s="81">
        <f>SUMIF('JULY-TB'!H:H,EBIDTA!B45,'JULY-TB'!G:G)</f>
        <v>16836693</v>
      </c>
      <c r="P45" s="8"/>
      <c r="Q45" s="27">
        <f>SUMIF('JUNE - TB -'!H:H,EBIDTA!B45,'JUNE - TB -'!G:G)</f>
        <v>13662192</v>
      </c>
      <c r="R45" s="8"/>
      <c r="S45" s="27">
        <f>SUMIF('MAY- TB - '!H:H,EBIDTA!B45,'MAY- TB - '!G:G)</f>
        <v>9295528</v>
      </c>
      <c r="T45" s="59"/>
      <c r="U45" s="7">
        <f>SUMIF('APRIL - TB -'!H:H,EBIDTA!B45,'APRIL - TB -'!G:G)</f>
        <v>4652904</v>
      </c>
      <c r="V45" s="49"/>
      <c r="AB45" s="9"/>
    </row>
    <row r="46" spans="2:36">
      <c r="B46" s="191" t="s">
        <v>59</v>
      </c>
      <c r="C46" s="94">
        <f t="shared" si="66"/>
        <v>942445.98000000417</v>
      </c>
      <c r="D46" s="81"/>
      <c r="E46" s="27">
        <f>O46-Q46</f>
        <v>2235709.3999999985</v>
      </c>
      <c r="F46" s="81"/>
      <c r="G46" s="27">
        <f>Q46-S46</f>
        <v>14718244.600000001</v>
      </c>
      <c r="H46" s="22"/>
      <c r="I46" s="27">
        <f t="shared" si="67"/>
        <v>26979617.109999999</v>
      </c>
      <c r="J46" s="8"/>
      <c r="K46" s="27">
        <f t="shared" si="68"/>
        <v>10974626.470000001</v>
      </c>
      <c r="L46" s="218"/>
      <c r="M46" s="81">
        <f>SUMIF('AUGUST - TB'!H:H,EBIDTA!B46,'AUGUST - TB'!G:G)</f>
        <v>55850643.560000002</v>
      </c>
      <c r="N46" s="8"/>
      <c r="O46" s="81">
        <f>SUMIF('JULY-TB'!H:H,EBIDTA!B46,'JULY-TB'!G:G)</f>
        <v>54908197.579999998</v>
      </c>
      <c r="P46" s="8"/>
      <c r="Q46" s="27">
        <f>SUMIF('JUNE - TB -'!H:H,EBIDTA!B46,'JUNE - TB -'!G:G)</f>
        <v>52672488.18</v>
      </c>
      <c r="R46" s="8"/>
      <c r="S46" s="27">
        <f>SUMIF('MAY- TB - '!H:H,EBIDTA!B46,'MAY- TB - '!G:G)</f>
        <v>37954243.579999998</v>
      </c>
      <c r="T46" s="59"/>
      <c r="U46" s="7">
        <f>SUMIF('APRIL - TB -'!H:H,EBIDTA!B46,'APRIL - TB -'!G:G)</f>
        <v>10974626.470000001</v>
      </c>
      <c r="V46" s="49"/>
      <c r="AB46" s="9"/>
    </row>
    <row r="47" spans="2:36">
      <c r="B47" s="191" t="s">
        <v>60</v>
      </c>
      <c r="C47" s="94">
        <f t="shared" si="66"/>
        <v>1222751.6800000002</v>
      </c>
      <c r="D47" s="81"/>
      <c r="E47" s="27">
        <f>O47-Q47</f>
        <v>727506.60000000009</v>
      </c>
      <c r="F47" s="81"/>
      <c r="G47" s="27">
        <f>Q47-S47</f>
        <v>1008694.9399999997</v>
      </c>
      <c r="H47" s="22"/>
      <c r="I47" s="27">
        <f t="shared" si="67"/>
        <v>299882.8600000001</v>
      </c>
      <c r="J47" s="8"/>
      <c r="K47" s="27">
        <f t="shared" si="68"/>
        <v>1789850.25</v>
      </c>
      <c r="L47" s="218"/>
      <c r="M47" s="81">
        <f>SUMIF('AUGUST - TB'!H:H,EBIDTA!B47,'AUGUST - TB'!G:G)</f>
        <v>5048686.33</v>
      </c>
      <c r="N47" s="8"/>
      <c r="O47" s="81">
        <f>SUMIF('JULY-TB'!H:H,EBIDTA!B47,'JULY-TB'!G:G)</f>
        <v>3825934.65</v>
      </c>
      <c r="P47" s="8"/>
      <c r="Q47" s="27">
        <f>SUMIF('JUNE - TB -'!H:H,EBIDTA!B47,'JUNE - TB -'!G:G)</f>
        <v>3098428.05</v>
      </c>
      <c r="S47" s="27">
        <f>SUMIF('MAY- TB - '!H:H,EBIDTA!B47,'MAY- TB - '!G:G)</f>
        <v>2089733.11</v>
      </c>
      <c r="T47" s="59"/>
      <c r="U47" s="7">
        <f>SUMIF('APRIL - TB -'!H:H,EBIDTA!B47,'APRIL - TB -'!G:G)</f>
        <v>1789850.25</v>
      </c>
      <c r="V47" s="49"/>
      <c r="X47" s="9"/>
      <c r="Y47" s="9"/>
      <c r="Z47" s="9"/>
      <c r="AA47" s="9"/>
      <c r="AB47" s="9"/>
    </row>
    <row r="48" spans="2:36">
      <c r="B48" s="192" t="s">
        <v>61</v>
      </c>
      <c r="C48" s="95">
        <f>SUM(C45:C47)</f>
        <v>7524192.6600000039</v>
      </c>
      <c r="D48" s="73">
        <f t="shared" ref="D48" si="69">C48/$C$30</f>
        <v>2.5412205752160164E-2</v>
      </c>
      <c r="E48" s="39">
        <f>SUM(E45:E47)</f>
        <v>6137716.9999999981</v>
      </c>
      <c r="F48" s="73">
        <f>E48/$E$30</f>
        <v>2.4587088277316444E-2</v>
      </c>
      <c r="G48" s="39">
        <f>SUM(G45:G47)</f>
        <v>20093603.540000003</v>
      </c>
      <c r="H48" s="22">
        <f t="shared" ref="H48" si="70">(G48/$G$30)</f>
        <v>0.10042896713140724</v>
      </c>
      <c r="I48" s="39">
        <f>SUM(I45:I47)</f>
        <v>31922123.969999999</v>
      </c>
      <c r="J48" s="22">
        <f t="shared" ref="J48" si="71">(I48/$I$30)</f>
        <v>0.1565710244158556</v>
      </c>
      <c r="K48" s="39">
        <f>SUM(K45:K47)</f>
        <v>17417380.719999999</v>
      </c>
      <c r="L48" s="49">
        <f t="shared" ref="L48" si="72">(K48/$K$30)</f>
        <v>9.5087954443170933E-2</v>
      </c>
      <c r="M48" s="39">
        <f>SUM(M45:M47)</f>
        <v>83095017.890000001</v>
      </c>
      <c r="N48" s="22">
        <f t="shared" ref="N48" si="73">M48/$M$30</f>
        <v>7.3350465342507984E-2</v>
      </c>
      <c r="O48" s="39">
        <f>SUM(O45:O47)</f>
        <v>75570825.230000004</v>
      </c>
      <c r="P48" s="22">
        <f>O48/$O$30</f>
        <v>9.0313248302133664E-2</v>
      </c>
      <c r="Q48" s="39">
        <f>SUM(Q45:Q47)</f>
        <v>69433108.230000004</v>
      </c>
      <c r="R48" s="75">
        <f>(Q48/$Q$30)</f>
        <v>0.11825814212709523</v>
      </c>
      <c r="S48" s="39">
        <f>SUM(S45:S47)</f>
        <v>49339504.689999998</v>
      </c>
      <c r="T48" s="22">
        <f t="shared" ref="T48" si="74">(S48/$S$30)</f>
        <v>0.12747448358086658</v>
      </c>
      <c r="U48" s="39">
        <f>SUM(U45:U47)</f>
        <v>17417380.719999999</v>
      </c>
      <c r="V48" s="49">
        <f>(U48/$U$30)</f>
        <v>9.5087954443170933E-2</v>
      </c>
      <c r="X48" s="14"/>
      <c r="Y48" s="14"/>
      <c r="Z48" s="14"/>
      <c r="AA48" s="14"/>
      <c r="AB48" s="9"/>
      <c r="AC48" s="14"/>
    </row>
    <row r="49" spans="2:29">
      <c r="B49" s="192" t="s">
        <v>62</v>
      </c>
      <c r="C49" s="47"/>
      <c r="D49" s="55"/>
      <c r="E49" s="55"/>
      <c r="F49" s="55"/>
      <c r="G49" s="55"/>
      <c r="H49" s="55"/>
      <c r="I49" s="5"/>
      <c r="J49" s="5"/>
      <c r="K49" s="5"/>
      <c r="L49" s="217"/>
      <c r="M49" s="55"/>
      <c r="N49" s="5"/>
      <c r="O49" s="55"/>
      <c r="P49" s="5"/>
      <c r="Q49" s="5"/>
      <c r="R49" s="5"/>
      <c r="S49" s="5"/>
      <c r="T49" s="78"/>
      <c r="U49" s="6"/>
      <c r="V49" s="48"/>
      <c r="X49" s="20"/>
      <c r="Y49" s="20"/>
      <c r="Z49" s="20"/>
      <c r="AA49" s="20"/>
      <c r="AB49" s="9"/>
      <c r="AC49" s="20"/>
    </row>
    <row r="50" spans="2:29">
      <c r="B50" s="191" t="s">
        <v>63</v>
      </c>
      <c r="C50" s="94">
        <f t="shared" ref="C50:C54" si="75">M50-O50</f>
        <v>0</v>
      </c>
      <c r="D50" s="81"/>
      <c r="E50" s="27">
        <f>O50-Q50</f>
        <v>18000</v>
      </c>
      <c r="F50" s="81"/>
      <c r="G50" s="27">
        <f t="shared" ref="G50:G54" si="76">Q50-S50</f>
        <v>0</v>
      </c>
      <c r="H50" s="81"/>
      <c r="I50" s="27">
        <f t="shared" ref="I50:I54" si="77">S50-U50</f>
        <v>0</v>
      </c>
      <c r="J50" s="8"/>
      <c r="K50" s="27">
        <f t="shared" ref="K50:K54" si="78">U50</f>
        <v>0</v>
      </c>
      <c r="L50" s="218"/>
      <c r="M50" s="81">
        <f>SUMIF('AUGUST - TB'!H:H,EBIDTA!B50,'AUGUST - TB'!G:G)</f>
        <v>18000</v>
      </c>
      <c r="N50" s="8"/>
      <c r="O50" s="81">
        <f>SUMIF('JULY-TB'!H:H,EBIDTA!B50,'JULY-TB'!G:G)</f>
        <v>18000</v>
      </c>
      <c r="P50" s="8"/>
      <c r="Q50" s="27">
        <f>SUMIF('JUNE - TB -'!H:H,EBIDTA!B50,'JUNE - TB -'!G:G)</f>
        <v>0</v>
      </c>
      <c r="R50" s="8"/>
      <c r="S50" s="27">
        <f>SUMIF('MAY- TB - '!H:H,EBIDTA!B50,'MAY- TB - '!G:G)</f>
        <v>0</v>
      </c>
      <c r="T50" s="59"/>
      <c r="U50" s="7">
        <f>SUMIF('APRIL - TB -'!H:H,EBIDTA!B50,'APRIL - TB -'!G:G)</f>
        <v>0</v>
      </c>
      <c r="V50" s="48"/>
      <c r="X50" s="20"/>
      <c r="Y50" s="20"/>
      <c r="Z50" s="20"/>
      <c r="AA50" s="20"/>
      <c r="AB50" s="9"/>
      <c r="AC50" s="20"/>
    </row>
    <row r="51" spans="2:29">
      <c r="B51" s="191" t="s">
        <v>64</v>
      </c>
      <c r="C51" s="94">
        <f t="shared" si="75"/>
        <v>4940</v>
      </c>
      <c r="D51" s="81"/>
      <c r="E51" s="27">
        <f>O51-Q51</f>
        <v>-120788</v>
      </c>
      <c r="F51" s="81"/>
      <c r="G51" s="27">
        <f t="shared" si="76"/>
        <v>43944</v>
      </c>
      <c r="H51" s="81"/>
      <c r="I51" s="27">
        <f t="shared" si="77"/>
        <v>16273</v>
      </c>
      <c r="J51" s="8"/>
      <c r="K51" s="27">
        <f t="shared" si="78"/>
        <v>486596</v>
      </c>
      <c r="L51" s="218"/>
      <c r="M51" s="81">
        <f>SUMIF('AUGUST - TB'!H:H,EBIDTA!B51,'AUGUST - TB'!G:G)</f>
        <v>430965</v>
      </c>
      <c r="N51" s="8"/>
      <c r="O51" s="81">
        <f>SUMIF('JULY-TB'!H:H,EBIDTA!B51,'JULY-TB'!G:G)</f>
        <v>426025</v>
      </c>
      <c r="P51" s="8"/>
      <c r="Q51" s="27">
        <f>SUMIF('JUNE - TB -'!H:H,EBIDTA!B51,'JUNE - TB -'!G:G)</f>
        <v>546813</v>
      </c>
      <c r="R51" s="8"/>
      <c r="S51" s="27">
        <f>SUMIF('MAY- TB - '!H:H,EBIDTA!B51,'MAY- TB - '!G:G)</f>
        <v>502869</v>
      </c>
      <c r="T51" s="59"/>
      <c r="U51" s="7">
        <f>SUMIF('APRIL - TB -'!H:H,EBIDTA!B51,'APRIL - TB -'!G:G)</f>
        <v>486596</v>
      </c>
      <c r="V51" s="48"/>
      <c r="X51" s="20"/>
      <c r="Y51" s="20"/>
      <c r="Z51" s="20"/>
      <c r="AA51" s="20"/>
      <c r="AB51" s="9"/>
      <c r="AC51" s="20"/>
    </row>
    <row r="52" spans="2:29">
      <c r="B52" s="191" t="s">
        <v>65</v>
      </c>
      <c r="C52" s="94">
        <f t="shared" si="75"/>
        <v>0</v>
      </c>
      <c r="D52" s="81"/>
      <c r="E52" s="27">
        <f>O52-Q52</f>
        <v>0</v>
      </c>
      <c r="F52" s="81"/>
      <c r="G52" s="27">
        <f t="shared" si="76"/>
        <v>0</v>
      </c>
      <c r="H52" s="81"/>
      <c r="I52" s="27">
        <f t="shared" si="77"/>
        <v>0</v>
      </c>
      <c r="J52" s="8"/>
      <c r="K52" s="27">
        <f t="shared" si="78"/>
        <v>0</v>
      </c>
      <c r="L52" s="218"/>
      <c r="M52" s="81">
        <f>SUMIF('AUGUST - TB'!H:H,EBIDTA!B52,'AUGUST - TB'!G:G)</f>
        <v>0</v>
      </c>
      <c r="N52" s="8"/>
      <c r="O52" s="81">
        <f>SUMIF('JULY-TB'!H:H,EBIDTA!B52,'JULY-TB'!G:G)</f>
        <v>0</v>
      </c>
      <c r="P52" s="8"/>
      <c r="Q52" s="27">
        <f>SUMIF('JUNE - TB -'!H:H,EBIDTA!B52,'JUNE - TB -'!G:G)</f>
        <v>0</v>
      </c>
      <c r="R52" s="8"/>
      <c r="S52" s="27">
        <f>SUMIF('MAY- TB - '!H:H,EBIDTA!B52,'MAY- TB - '!G:G)</f>
        <v>0</v>
      </c>
      <c r="T52" s="59"/>
      <c r="U52" s="7">
        <f>SUMIF('APRIL - TB -'!H:H,EBIDTA!B52,'APRIL - TB -'!G:G)</f>
        <v>0</v>
      </c>
      <c r="V52" s="49"/>
      <c r="X52" s="21"/>
      <c r="Y52" s="21"/>
      <c r="Z52" s="21"/>
      <c r="AA52" s="21"/>
      <c r="AB52" s="9"/>
      <c r="AC52" s="35"/>
    </row>
    <row r="53" spans="2:29">
      <c r="B53" s="191" t="s">
        <v>66</v>
      </c>
      <c r="C53" s="94">
        <f t="shared" si="75"/>
        <v>268975</v>
      </c>
      <c r="D53" s="81"/>
      <c r="E53" s="27">
        <f>O53-Q53</f>
        <v>541081</v>
      </c>
      <c r="F53" s="81"/>
      <c r="G53" s="27">
        <f t="shared" si="76"/>
        <v>343372.19999999995</v>
      </c>
      <c r="H53" s="81"/>
      <c r="I53" s="27">
        <f t="shared" si="77"/>
        <v>256995</v>
      </c>
      <c r="J53" s="8"/>
      <c r="K53" s="27">
        <f t="shared" si="78"/>
        <v>63313</v>
      </c>
      <c r="L53" s="218"/>
      <c r="M53" s="81">
        <f>SUMIF('AUGUST - TB'!H:H,EBIDTA!B53,'AUGUST - TB'!G:G)</f>
        <v>1473736.2</v>
      </c>
      <c r="N53" s="8"/>
      <c r="O53" s="81">
        <f>SUMIF('JULY-TB'!H:H,EBIDTA!B53,'JULY-TB'!G:G)</f>
        <v>1204761.2</v>
      </c>
      <c r="P53" s="8"/>
      <c r="Q53" s="27">
        <f>SUMIF('JUNE - TB -'!H:H,EBIDTA!B53,'JUNE - TB -'!G:G)</f>
        <v>663680.19999999995</v>
      </c>
      <c r="R53" s="8"/>
      <c r="S53" s="27">
        <f>SUMIF('MAY- TB - '!H:H,EBIDTA!B53,'MAY- TB - '!G:G)</f>
        <v>320308</v>
      </c>
      <c r="T53" s="59"/>
      <c r="U53" s="7">
        <f>SUMIF('APRIL - TB -'!H:H,EBIDTA!B53,'APRIL - TB -'!G:G)</f>
        <v>63313</v>
      </c>
      <c r="V53" s="49"/>
      <c r="AB53" s="9"/>
      <c r="AC53" s="35"/>
    </row>
    <row r="54" spans="2:29">
      <c r="B54" s="191" t="s">
        <v>67</v>
      </c>
      <c r="C54" s="94">
        <f t="shared" si="75"/>
        <v>2223454.9399999995</v>
      </c>
      <c r="D54" s="81"/>
      <c r="E54" s="27">
        <f>O54-Q54</f>
        <v>5791198.5099999998</v>
      </c>
      <c r="F54" s="73"/>
      <c r="G54" s="27">
        <f t="shared" si="76"/>
        <v>5316801.5299999993</v>
      </c>
      <c r="H54" s="81"/>
      <c r="I54" s="27">
        <f t="shared" si="77"/>
        <v>1077057.0700000008</v>
      </c>
      <c r="J54" s="8"/>
      <c r="K54" s="27">
        <f t="shared" si="78"/>
        <v>3599137.5099999993</v>
      </c>
      <c r="L54" s="218"/>
      <c r="M54" s="81">
        <f>SUMIF('AUGUST - TB'!H:H,EBIDTA!B54,'AUGUST - TB'!G:G)</f>
        <v>18007649.559999999</v>
      </c>
      <c r="N54" s="8"/>
      <c r="O54" s="81">
        <f>SUMIF('JULY-TB'!H:H,EBIDTA!B54,'JULY-TB'!G:G)</f>
        <v>15784194.619999999</v>
      </c>
      <c r="P54" s="8"/>
      <c r="Q54" s="27">
        <f>SUMIF('JUNE - TB -'!H:H,EBIDTA!B54,'JUNE - TB -'!G:G)</f>
        <v>9992996.1099999994</v>
      </c>
      <c r="R54" s="8"/>
      <c r="S54" s="27">
        <f>SUMIF('MAY- TB - '!H:H,EBIDTA!B54,'MAY- TB - '!G:G)</f>
        <v>4676194.58</v>
      </c>
      <c r="T54" s="59"/>
      <c r="U54" s="7">
        <f>SUMIF('APRIL - TB -'!H:H,EBIDTA!B54,'APRIL - TB -'!G:G)</f>
        <v>3599137.5099999993</v>
      </c>
      <c r="V54" s="49"/>
      <c r="X54" s="20"/>
      <c r="Y54" s="20"/>
      <c r="Z54" s="20"/>
      <c r="AA54" s="20"/>
      <c r="AB54" s="9"/>
      <c r="AC54" s="20"/>
    </row>
    <row r="55" spans="2:29">
      <c r="B55" s="192" t="s">
        <v>68</v>
      </c>
      <c r="C55" s="95">
        <f>SUM(C50:C54)</f>
        <v>2497369.9399999995</v>
      </c>
      <c r="D55" s="73">
        <f t="shared" ref="D55" si="79">C55/$C$30</f>
        <v>8.4346163930549643E-3</v>
      </c>
      <c r="E55" s="39">
        <f>SUM(E50:E54)</f>
        <v>6229491.5099999998</v>
      </c>
      <c r="F55" s="73">
        <f>E55/$E$30</f>
        <v>2.4954727902763086E-2</v>
      </c>
      <c r="G55" s="39">
        <f>SUM(G50:G54)</f>
        <v>5704117.7299999995</v>
      </c>
      <c r="H55" s="22">
        <f t="shared" ref="H55" si="80">(G55/$G$30)</f>
        <v>2.8509503080394068E-2</v>
      </c>
      <c r="I55" s="39">
        <f>SUM(I50:I54)</f>
        <v>1350325.0700000008</v>
      </c>
      <c r="J55" s="22">
        <f t="shared" ref="J55" si="81">(I55/$I$30)</f>
        <v>6.6230486324469979E-3</v>
      </c>
      <c r="K55" s="39">
        <f>SUM(K50:K54)</f>
        <v>4149046.5099999993</v>
      </c>
      <c r="L55" s="49">
        <f t="shared" ref="L55" si="82">(K55/$K$30)</f>
        <v>2.2651186872917901E-2</v>
      </c>
      <c r="M55" s="39">
        <f>SUM(M50:M54)</f>
        <v>19930350.759999998</v>
      </c>
      <c r="N55" s="22">
        <f t="shared" ref="N55" si="83">M55/$M$30</f>
        <v>1.7593118574457143E-2</v>
      </c>
      <c r="O55" s="39">
        <f>SUM(O50:O54)</f>
        <v>17432980.82</v>
      </c>
      <c r="P55" s="22">
        <f>O55/$O$30</f>
        <v>2.083382205568372E-2</v>
      </c>
      <c r="Q55" s="39">
        <f>SUM(Q50:Q54)</f>
        <v>11203489.309999999</v>
      </c>
      <c r="R55" s="75">
        <f>(Q55/$Q$30)</f>
        <v>1.9081730098450642E-2</v>
      </c>
      <c r="S55" s="39">
        <f>SUM(S50:S54)</f>
        <v>5499371.5800000001</v>
      </c>
      <c r="T55" s="22">
        <f t="shared" ref="T55" si="84">(S55/$S$30)</f>
        <v>1.420828110424621E-2</v>
      </c>
      <c r="U55" s="39">
        <f>SUM(U50:U54)</f>
        <v>4149046.5099999993</v>
      </c>
      <c r="V55" s="49">
        <f>(U55/$U$30)</f>
        <v>2.2651186872917901E-2</v>
      </c>
      <c r="X55" s="20"/>
      <c r="Y55" s="20"/>
      <c r="Z55" s="20"/>
      <c r="AA55" s="20"/>
      <c r="AB55" s="9"/>
      <c r="AC55" s="20"/>
    </row>
    <row r="56" spans="2:29">
      <c r="B56" s="192" t="s">
        <v>69</v>
      </c>
      <c r="C56" s="47"/>
      <c r="D56" s="55"/>
      <c r="E56" s="55"/>
      <c r="F56" s="55"/>
      <c r="G56" s="55"/>
      <c r="H56" s="55"/>
      <c r="I56" s="5"/>
      <c r="J56" s="5"/>
      <c r="K56" s="5"/>
      <c r="L56" s="217"/>
      <c r="M56" s="55"/>
      <c r="N56" s="5"/>
      <c r="O56" s="55"/>
      <c r="P56" s="5"/>
      <c r="Q56" s="5"/>
      <c r="R56" s="5"/>
      <c r="S56" s="5"/>
      <c r="T56" s="78"/>
      <c r="U56" s="6"/>
      <c r="V56" s="48"/>
      <c r="X56" s="20"/>
      <c r="Y56" s="20"/>
      <c r="Z56" s="20"/>
      <c r="AA56" s="20"/>
      <c r="AB56" s="9"/>
      <c r="AC56" s="20"/>
    </row>
    <row r="57" spans="2:29">
      <c r="B57" s="191" t="s">
        <v>70</v>
      </c>
      <c r="C57" s="94">
        <f t="shared" ref="C57:C60" si="85">M57-O57</f>
        <v>0</v>
      </c>
      <c r="D57" s="81"/>
      <c r="E57" s="27">
        <f>O57-Q57</f>
        <v>164606.00000000006</v>
      </c>
      <c r="F57" s="81"/>
      <c r="G57" s="27">
        <f>Q57-S57</f>
        <v>-317080.2</v>
      </c>
      <c r="H57" s="81"/>
      <c r="I57" s="27">
        <f t="shared" ref="I57:I60" si="86">S57-U57</f>
        <v>183400</v>
      </c>
      <c r="J57" s="8"/>
      <c r="K57" s="27">
        <f t="shared" ref="K57:K60" si="87">U57</f>
        <v>526199</v>
      </c>
      <c r="L57" s="218"/>
      <c r="M57" s="81">
        <f>SUMIF('AUGUST - TB'!H:H,EBIDTA!B57,'AUGUST - TB'!G:G)</f>
        <v>557124.80000000005</v>
      </c>
      <c r="N57" s="8"/>
      <c r="O57" s="150">
        <f>SUMIF('JULY-TB'!H:H,EBIDTA!B57,'JULY-TB'!G:G)</f>
        <v>557124.80000000005</v>
      </c>
      <c r="P57" s="8"/>
      <c r="Q57" s="27">
        <f>SUMIF('JUNE - TB -'!H:H,EBIDTA!B57,'JUNE - TB -'!G:G)</f>
        <v>392518.8</v>
      </c>
      <c r="R57" s="8"/>
      <c r="S57" s="27">
        <f>SUMIF('MAY- TB - '!H:H,EBIDTA!B57,'MAY- TB - '!G:G)</f>
        <v>709599</v>
      </c>
      <c r="T57" s="59"/>
      <c r="U57" s="7">
        <f>SUMIF('APRIL - TB -'!H:H,EBIDTA!B57,'APRIL - TB -'!G:G)</f>
        <v>526199</v>
      </c>
      <c r="V57" s="49"/>
      <c r="X57" s="20"/>
      <c r="Y57" s="20"/>
      <c r="Z57" s="20"/>
      <c r="AA57" s="20"/>
      <c r="AB57" s="9"/>
      <c r="AC57" s="20"/>
    </row>
    <row r="58" spans="2:29">
      <c r="B58" s="191" t="s">
        <v>71</v>
      </c>
      <c r="C58" s="94">
        <f t="shared" si="85"/>
        <v>2370449.1199999992</v>
      </c>
      <c r="D58" s="81"/>
      <c r="E58" s="27">
        <f>O58-Q58</f>
        <v>2747544.74</v>
      </c>
      <c r="F58" s="81"/>
      <c r="G58" s="27">
        <f t="shared" ref="G58:G60" si="88">Q58-S58</f>
        <v>6037504.6100000003</v>
      </c>
      <c r="H58" s="81"/>
      <c r="I58" s="27">
        <f t="shared" si="86"/>
        <v>4439632.04</v>
      </c>
      <c r="J58" s="8"/>
      <c r="K58" s="27">
        <f t="shared" si="87"/>
        <v>1975224.42</v>
      </c>
      <c r="L58" s="218"/>
      <c r="M58" s="81">
        <f>SUMIF('AUGUST - TB'!H:H,EBIDTA!B58,'AUGUST - TB'!G:G)</f>
        <v>17570354.93</v>
      </c>
      <c r="N58" s="8"/>
      <c r="O58" s="150">
        <f>SUMIF('JULY-TB'!H:H,EBIDTA!B58,'JULY-TB'!G:G)</f>
        <v>15199905.810000001</v>
      </c>
      <c r="P58" s="8"/>
      <c r="Q58" s="150">
        <f>SUMIF('JUNE - TB -'!H:H,EBIDTA!B58,'JUNE - TB -'!G:G)</f>
        <v>12452361.07</v>
      </c>
      <c r="R58" s="8"/>
      <c r="S58" s="27">
        <f>SUMIF('MAY- TB - '!H:H,EBIDTA!B58,'MAY- TB - '!G:G)</f>
        <v>6414856.46</v>
      </c>
      <c r="T58" s="59"/>
      <c r="U58" s="7">
        <f>SUMIF('APRIL - TB -'!H:H,EBIDTA!B58,'APRIL - TB -'!G:G)</f>
        <v>1975224.42</v>
      </c>
      <c r="V58" s="49"/>
      <c r="AA58" s="20"/>
      <c r="AB58" s="9"/>
      <c r="AC58" s="20"/>
    </row>
    <row r="59" spans="2:29">
      <c r="B59" s="191" t="s">
        <v>72</v>
      </c>
      <c r="C59" s="94">
        <f t="shared" si="85"/>
        <v>0</v>
      </c>
      <c r="D59" s="81"/>
      <c r="E59" s="27">
        <f>O59-Q59</f>
        <v>0</v>
      </c>
      <c r="F59" s="81"/>
      <c r="G59" s="27">
        <f t="shared" si="88"/>
        <v>0</v>
      </c>
      <c r="H59" s="81"/>
      <c r="I59" s="27">
        <f t="shared" si="86"/>
        <v>0</v>
      </c>
      <c r="J59" s="8"/>
      <c r="K59" s="27">
        <f t="shared" si="87"/>
        <v>0</v>
      </c>
      <c r="L59" s="218"/>
      <c r="M59" s="81">
        <f>SUMIF('AUGUST - TB'!H:H,EBIDTA!B59,'AUGUST - TB'!G:G)</f>
        <v>0</v>
      </c>
      <c r="N59" s="8"/>
      <c r="O59" s="150"/>
      <c r="P59" s="8"/>
      <c r="Q59" s="150"/>
      <c r="R59" s="8"/>
      <c r="S59" s="27"/>
      <c r="T59" s="59"/>
      <c r="U59" s="7"/>
      <c r="V59" s="49"/>
      <c r="X59" s="20"/>
      <c r="Y59" s="20"/>
      <c r="Z59" s="20"/>
      <c r="AA59" s="20"/>
      <c r="AB59" s="9"/>
    </row>
    <row r="60" spans="2:29">
      <c r="B60" s="198" t="s">
        <v>73</v>
      </c>
      <c r="C60" s="94">
        <f t="shared" si="85"/>
        <v>-1876018.5600000024</v>
      </c>
      <c r="D60" s="84"/>
      <c r="E60" s="27">
        <f>O60-Q60</f>
        <v>-2844374.7899999991</v>
      </c>
      <c r="F60" s="84"/>
      <c r="G60" s="27">
        <f t="shared" si="88"/>
        <v>-19478595.759999998</v>
      </c>
      <c r="H60" s="84"/>
      <c r="I60" s="27">
        <f t="shared" si="86"/>
        <v>-4668659.6400000015</v>
      </c>
      <c r="J60" s="57"/>
      <c r="K60" s="27">
        <f t="shared" si="87"/>
        <v>-3924537.4300000006</v>
      </c>
      <c r="L60" s="219"/>
      <c r="M60" s="81">
        <f>SUMIF('AUGUST - TB'!H:H,EBIDTA!B60,'AUGUST - TB'!G:G)</f>
        <v>-32792186.18</v>
      </c>
      <c r="N60" s="57"/>
      <c r="O60" s="188">
        <f>SUMIF('JULY-TB'!H:H,EBIDTA!B60,'JULY-TB'!G:G)</f>
        <v>-30916167.619999997</v>
      </c>
      <c r="P60" s="57"/>
      <c r="Q60" s="151">
        <f>SUMIF('JUNE - TB -'!H:H,EBIDTA!B60,'JUNE - TB -'!G:G)</f>
        <v>-28071792.829999998</v>
      </c>
      <c r="R60" s="57"/>
      <c r="S60" s="80">
        <f>SUMIF('MAY- TB - '!H:H,EBIDTA!B60,'MAY- TB - '!G:G)</f>
        <v>-8593197.0700000022</v>
      </c>
      <c r="T60" s="79"/>
      <c r="U60" s="138">
        <f>SUMIF('APRIL - TB -'!H:H,EBIDTA!B60,'APRIL - TB -'!G:G)</f>
        <v>-3924537.4300000006</v>
      </c>
      <c r="V60" s="49"/>
      <c r="AB60" s="9"/>
    </row>
    <row r="61" spans="2:29">
      <c r="B61" s="192" t="s">
        <v>74</v>
      </c>
      <c r="C61" s="95">
        <f>SUM(C57:C60)</f>
        <v>494430.5599999968</v>
      </c>
      <c r="D61" s="73">
        <f t="shared" ref="D61" si="89">C61/$C$30</f>
        <v>1.6698896065848057E-3</v>
      </c>
      <c r="E61" s="39">
        <f>SUM(E57:E60)</f>
        <v>67775.950000001118</v>
      </c>
      <c r="F61" s="73">
        <f>E61/$E$30</f>
        <v>2.7150376365169871E-4</v>
      </c>
      <c r="G61" s="39">
        <f>SUM(G57:G60)</f>
        <v>-13758171.349999998</v>
      </c>
      <c r="H61" s="22">
        <f t="shared" ref="H61:H63" si="90">(G61/$G$30)</f>
        <v>-6.8764118668254479E-2</v>
      </c>
      <c r="I61" s="39">
        <f>SUM(I57:I60)</f>
        <v>-45627.60000000149</v>
      </c>
      <c r="J61" s="22">
        <f t="shared" ref="J61:J63" si="91">(I61/$I$30)</f>
        <v>-2.2379338167945615E-4</v>
      </c>
      <c r="K61" s="39">
        <f>SUM(K57:K60)</f>
        <v>-1423114.0100000007</v>
      </c>
      <c r="L61" s="49">
        <f t="shared" ref="L61:L63" si="92">(K61/$K$30)</f>
        <v>-7.7693082746323749E-3</v>
      </c>
      <c r="M61" s="39">
        <f>SUM(M57:M60)</f>
        <v>-14664706.449999999</v>
      </c>
      <c r="N61" s="22">
        <f t="shared" ref="N61" si="93">M61/$M$30</f>
        <v>-1.2944976359987379E-2</v>
      </c>
      <c r="O61" s="39">
        <f>SUM(O57:O60)</f>
        <v>-15159137.009999996</v>
      </c>
      <c r="P61" s="22">
        <f>O61/$O$30</f>
        <v>-1.8116394794729616E-2</v>
      </c>
      <c r="Q61" s="39">
        <f>SUM(Q57:Q60)</f>
        <v>-15226912.959999997</v>
      </c>
      <c r="R61" s="75">
        <f>(Q61/$Q$30)</f>
        <v>-2.5934406263589331E-2</v>
      </c>
      <c r="S61" s="39">
        <f>SUM(S57:S60)</f>
        <v>-1468741.6100000022</v>
      </c>
      <c r="T61" s="22">
        <f t="shared" ref="T61:T65" si="94">(S61/$S$30)</f>
        <v>-3.7946687836618574E-3</v>
      </c>
      <c r="U61" s="39">
        <f>SUM(U57:U60)</f>
        <v>-1423114.0100000007</v>
      </c>
      <c r="V61" s="49">
        <f>(U61/$U$30)</f>
        <v>-7.7693082746323749E-3</v>
      </c>
      <c r="AB61" s="9"/>
    </row>
    <row r="62" spans="2:29" ht="13.5" thickBot="1">
      <c r="B62" s="195"/>
      <c r="C62" s="60"/>
      <c r="D62" s="85"/>
      <c r="E62" s="85"/>
      <c r="F62" s="85"/>
      <c r="G62" s="85"/>
      <c r="H62" s="85"/>
      <c r="I62" s="61"/>
      <c r="J62" s="62"/>
      <c r="K62" s="61"/>
      <c r="L62" s="63"/>
      <c r="M62" s="171"/>
      <c r="N62" s="62"/>
      <c r="O62" s="171"/>
      <c r="P62" s="62"/>
      <c r="Q62" s="171"/>
      <c r="R62" s="62"/>
      <c r="S62" s="61"/>
      <c r="T62" s="62"/>
      <c r="U62" s="61"/>
      <c r="V62" s="63"/>
      <c r="AB62" s="9"/>
    </row>
    <row r="63" spans="2:29" ht="13.5" thickBot="1">
      <c r="B63" s="196" t="s">
        <v>75</v>
      </c>
      <c r="C63" s="67">
        <f>C36+C43+C48+C55+C61</f>
        <v>223108565.62770933</v>
      </c>
      <c r="D63" s="152">
        <f>C63/$C$30</f>
        <v>0.75352679430203151</v>
      </c>
      <c r="E63" s="67">
        <f>E36+E43+E48+E55+E61</f>
        <v>225001071.48999035</v>
      </c>
      <c r="F63" s="152">
        <f>(E63/$E$30)</f>
        <v>0.90133207627774015</v>
      </c>
      <c r="G63" s="67">
        <f>G36+G43+G48+G55+G61</f>
        <v>155861210.63300008</v>
      </c>
      <c r="H63" s="152">
        <f t="shared" si="90"/>
        <v>0.7790031473728829</v>
      </c>
      <c r="I63" s="67">
        <f ca="1">I36+I43+I48+I55+I61</f>
        <v>153379654.62179998</v>
      </c>
      <c r="J63" s="153">
        <f t="shared" ca="1" si="91"/>
        <v>0.75229360274567414</v>
      </c>
      <c r="K63" s="67">
        <f ca="1">K36+K43+K48+K55+K61</f>
        <v>163667032.95099995</v>
      </c>
      <c r="L63" s="154">
        <f t="shared" ca="1" si="92"/>
        <v>0.89351915901012935</v>
      </c>
      <c r="M63" s="67">
        <f>M36+M43+M48+M55+M61</f>
        <v>921017535.32349968</v>
      </c>
      <c r="N63" s="153">
        <f t="shared" ref="N63:N65" si="95">M63/$M$30</f>
        <v>0.81300981117808491</v>
      </c>
      <c r="O63" s="67">
        <f>O36+O43+O48+O55+O61</f>
        <v>697908969.69579041</v>
      </c>
      <c r="P63" s="153">
        <f>(O63/$O$30)</f>
        <v>0.83405766551561311</v>
      </c>
      <c r="Q63" s="67">
        <f>Q36+Q43+Q48+Q55+Q61</f>
        <v>472907898.20580012</v>
      </c>
      <c r="R63" s="153">
        <f>(Q63/$Q$30)</f>
        <v>0.80545449951329928</v>
      </c>
      <c r="S63" s="67">
        <f>S36+S43+S48+S55+S61</f>
        <v>317046687.57279986</v>
      </c>
      <c r="T63" s="153">
        <f t="shared" si="94"/>
        <v>0.81912785755140116</v>
      </c>
      <c r="U63" s="67">
        <f ca="1">U36+U43+U48+U55+U61</f>
        <v>163667032.95099995</v>
      </c>
      <c r="V63" s="154">
        <f ca="1">(U63/$U$30)</f>
        <v>0.89351915901012935</v>
      </c>
      <c r="AB63" s="9"/>
    </row>
    <row r="64" spans="2:29" ht="13.5" thickBot="1">
      <c r="B64" s="199"/>
      <c r="C64" s="155"/>
      <c r="D64" s="156"/>
      <c r="E64" s="156"/>
      <c r="F64" s="156"/>
      <c r="G64" s="156"/>
      <c r="H64" s="156"/>
      <c r="I64" s="157"/>
      <c r="J64" s="158"/>
      <c r="K64" s="157"/>
      <c r="L64" s="161"/>
      <c r="M64" s="58"/>
      <c r="N64" s="22"/>
      <c r="O64" s="159"/>
      <c r="P64" s="158"/>
      <c r="Q64" s="159"/>
      <c r="R64" s="160"/>
      <c r="S64" s="157"/>
      <c r="T64" s="158"/>
      <c r="U64" s="157"/>
      <c r="V64" s="161"/>
      <c r="AB64" s="9"/>
    </row>
    <row r="65" spans="2:28" ht="13.5" thickBot="1">
      <c r="B65" s="200" t="s">
        <v>76</v>
      </c>
      <c r="C65" s="162">
        <f>C30-C63</f>
        <v>72977210.372290611</v>
      </c>
      <c r="D65" s="235">
        <f t="shared" ref="D65" si="96">C65/$C$30</f>
        <v>0.24647320569796852</v>
      </c>
      <c r="E65" s="162">
        <f>E30-E63</f>
        <v>24630642.960009545</v>
      </c>
      <c r="F65" s="235">
        <f>(E65/$E$30)</f>
        <v>9.8667923722259868E-2</v>
      </c>
      <c r="G65" s="162">
        <f>G30-G63</f>
        <v>44216556.906999975</v>
      </c>
      <c r="H65" s="235">
        <f>(G65/$G$30)</f>
        <v>0.22099685262711705</v>
      </c>
      <c r="I65" s="162">
        <f ca="1">I30-I63</f>
        <v>50503050.298200011</v>
      </c>
      <c r="J65" s="235">
        <f ca="1">(I65/$I$30)</f>
        <v>0.24770639725432583</v>
      </c>
      <c r="K65" s="162">
        <f ca="1">K30-K63</f>
        <v>19504230.139000058</v>
      </c>
      <c r="L65" s="234">
        <f ca="1">(K65/$K$30)</f>
        <v>0.10648084098987068</v>
      </c>
      <c r="M65" s="162">
        <f>M30-M63</f>
        <v>211831690.67650032</v>
      </c>
      <c r="N65" s="234">
        <f t="shared" si="95"/>
        <v>0.18699018882191507</v>
      </c>
      <c r="O65" s="162">
        <f>O30-O63</f>
        <v>138854480.30420959</v>
      </c>
      <c r="P65" s="234">
        <f>(O65/$O$30)</f>
        <v>0.16594233448438694</v>
      </c>
      <c r="Q65" s="162">
        <f>Q30-Q63</f>
        <v>114223837.34419996</v>
      </c>
      <c r="R65" s="234">
        <f>(Q65/$Q$30)</f>
        <v>0.19454550048670069</v>
      </c>
      <c r="S65" s="162">
        <f>S30-S63</f>
        <v>70007280.437200129</v>
      </c>
      <c r="T65" s="234">
        <f t="shared" si="94"/>
        <v>0.18087214244859881</v>
      </c>
      <c r="U65" s="162">
        <f ca="1">U30-U63</f>
        <v>19504230.139000058</v>
      </c>
      <c r="V65" s="234">
        <f ca="1">(U65/$U$30)</f>
        <v>0.10648084098987068</v>
      </c>
      <c r="AB65" s="9"/>
    </row>
    <row r="67" spans="2:28"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</row>
  </sheetData>
  <mergeCells count="1">
    <mergeCell ref="B3:V3"/>
  </mergeCells>
  <conditionalFormatting sqref="B21 D21 H21 J21">
    <cfRule type="expression" dxfId="1" priority="4" stopIfTrue="1">
      <formula>AND(COUNTIF(#REF!,B21)+COUNTIF(#REF!,B21)&gt;1,NOT(ISBLANK(B21)))</formula>
    </cfRule>
  </conditionalFormatting>
  <conditionalFormatting sqref="L21 N21 R21 T21">
    <cfRule type="expression" dxfId="0" priority="9" stopIfTrue="1">
      <formula>AND(COUNTIF(#REF!,L21)+COUNTIF(#REF!,L21)&gt;1,NOT(ISBLANK(L21)))</formula>
    </cfRule>
  </conditionalFormatting>
  <pageMargins left="0.11811023622047245" right="0.31496062992125984" top="0.78740157480314965" bottom="0.15748031496062992" header="0.31496062992125984" footer="0.31496062992125984"/>
  <pageSetup paperSize="9" scale="6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B1:AA21"/>
  <sheetViews>
    <sheetView workbookViewId="0">
      <selection activeCell="R16" sqref="R16"/>
    </sheetView>
  </sheetViews>
  <sheetFormatPr defaultColWidth="9" defaultRowHeight="13"/>
  <cols>
    <col min="1" max="1" width="5.453125" style="1" customWidth="1"/>
    <col min="2" max="2" width="31.7265625" style="1" customWidth="1"/>
    <col min="3" max="3" width="28.81640625" style="1" hidden="1" customWidth="1"/>
    <col min="4" max="4" width="10.7265625" style="30" hidden="1" customWidth="1"/>
    <col min="5" max="5" width="10.7265625" style="1" hidden="1" customWidth="1"/>
    <col min="6" max="6" width="10.7265625" style="30" hidden="1" customWidth="1"/>
    <col min="7" max="7" width="12" style="1" hidden="1" customWidth="1"/>
    <col min="8" max="8" width="11.7265625" style="30" hidden="1" customWidth="1"/>
    <col min="9" max="9" width="10.7265625" style="1" hidden="1" customWidth="1"/>
    <col min="10" max="10" width="12" style="1" hidden="1" customWidth="1"/>
    <col min="11" max="11" width="12.54296875" style="1" hidden="1" customWidth="1"/>
    <col min="12" max="12" width="14.26953125" style="30" hidden="1" customWidth="1"/>
    <col min="13" max="13" width="13.26953125" style="1" hidden="1" customWidth="1"/>
    <col min="14" max="14" width="11" style="1" hidden="1" customWidth="1"/>
    <col min="15" max="15" width="15.26953125" style="1" bestFit="1" customWidth="1"/>
    <col min="16" max="16" width="13.54296875" style="1" customWidth="1"/>
    <col min="17" max="17" width="12.81640625" style="1" customWidth="1"/>
    <col min="18" max="18" width="12.54296875" style="1" customWidth="1"/>
    <col min="19" max="19" width="11.54296875" style="1" customWidth="1"/>
    <col min="20" max="20" width="12.1796875" style="1" customWidth="1"/>
    <col min="21" max="21" width="11.1796875" style="1" customWidth="1"/>
    <col min="22" max="22" width="12.7265625" style="1" customWidth="1"/>
    <col min="23" max="23" width="12.81640625" style="1" customWidth="1"/>
    <col min="24" max="24" width="11.81640625" style="30" customWidth="1"/>
    <col min="25" max="25" width="11.7265625" style="1" customWidth="1"/>
    <col min="26" max="26" width="12" style="1" customWidth="1"/>
    <col min="27" max="27" width="13.26953125" style="30" customWidth="1"/>
    <col min="28" max="16384" width="9" style="1"/>
  </cols>
  <sheetData>
    <row r="1" spans="2:27">
      <c r="C1" s="1" t="s">
        <v>391</v>
      </c>
    </row>
    <row r="3" spans="2:27" ht="18.5">
      <c r="B3" s="41" t="s">
        <v>77</v>
      </c>
      <c r="C3" s="32"/>
      <c r="O3" s="38" t="s">
        <v>494</v>
      </c>
      <c r="P3" s="33"/>
      <c r="Q3" s="33"/>
      <c r="R3" s="33"/>
      <c r="S3" s="33"/>
      <c r="T3" s="33"/>
    </row>
    <row r="4" spans="2:27" s="90" customFormat="1">
      <c r="B4" s="26" t="s">
        <v>78</v>
      </c>
      <c r="C4" s="88">
        <v>45383</v>
      </c>
      <c r="D4" s="36" t="s">
        <v>409</v>
      </c>
      <c r="E4" s="88">
        <v>45444</v>
      </c>
      <c r="F4" s="36" t="s">
        <v>410</v>
      </c>
      <c r="G4" s="88">
        <v>45505</v>
      </c>
      <c r="H4" s="88">
        <v>45536</v>
      </c>
      <c r="I4" s="88">
        <v>45566</v>
      </c>
      <c r="J4" s="88">
        <v>45597</v>
      </c>
      <c r="K4" s="88">
        <v>45627</v>
      </c>
      <c r="L4" s="88">
        <v>45658</v>
      </c>
      <c r="M4" s="88">
        <v>45689</v>
      </c>
      <c r="N4" s="88">
        <v>45717</v>
      </c>
      <c r="O4" s="26" t="s">
        <v>495</v>
      </c>
      <c r="P4" s="89">
        <v>46113</v>
      </c>
      <c r="Q4" s="31" t="s">
        <v>496</v>
      </c>
      <c r="R4" s="89">
        <v>46174</v>
      </c>
      <c r="S4" s="31" t="s">
        <v>1610</v>
      </c>
      <c r="T4" s="89">
        <v>46235</v>
      </c>
      <c r="U4" s="89">
        <v>46266</v>
      </c>
      <c r="V4" s="89">
        <v>46296</v>
      </c>
      <c r="W4" s="89">
        <v>46327</v>
      </c>
      <c r="X4" s="89">
        <v>46357</v>
      </c>
      <c r="Y4" s="89">
        <v>46388</v>
      </c>
      <c r="Z4" s="89">
        <v>46419</v>
      </c>
      <c r="AA4" s="89">
        <v>46447</v>
      </c>
    </row>
    <row r="5" spans="2:27" ht="15.5">
      <c r="B5" s="29"/>
      <c r="C5" s="29">
        <v>40885501.605000012</v>
      </c>
      <c r="D5" s="29">
        <v>44690514.835000008</v>
      </c>
      <c r="E5" s="28">
        <v>59879822.875000007</v>
      </c>
      <c r="F5" s="29">
        <v>58718632.770800009</v>
      </c>
      <c r="G5" s="2">
        <v>60867855.018399999</v>
      </c>
      <c r="H5" s="29">
        <v>58655299.173999995</v>
      </c>
      <c r="I5" s="37">
        <v>49973632</v>
      </c>
      <c r="J5" s="2">
        <v>52326500.23300001</v>
      </c>
      <c r="K5" s="37">
        <v>51493051.423</v>
      </c>
      <c r="L5" s="29">
        <v>44011789.521000005</v>
      </c>
      <c r="M5" s="29">
        <v>61248777.813530013</v>
      </c>
      <c r="N5" s="2">
        <v>59069209.876000002</v>
      </c>
      <c r="O5" s="40">
        <v>78409106.046199992</v>
      </c>
      <c r="P5" s="29">
        <v>116699016.81299999</v>
      </c>
      <c r="Q5" s="29">
        <v>78548384.208799988</v>
      </c>
      <c r="R5" s="29">
        <v>63882998.176800013</v>
      </c>
      <c r="S5" s="209">
        <v>84892888.841809601</v>
      </c>
      <c r="T5" s="29">
        <v>111686422.02410002</v>
      </c>
      <c r="U5" s="29"/>
      <c r="V5" s="29"/>
      <c r="W5" s="29"/>
      <c r="X5" s="29"/>
      <c r="Y5" s="29"/>
      <c r="Z5" s="29"/>
      <c r="AA5" s="29"/>
    </row>
    <row r="6" spans="2:27"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"/>
      <c r="P6" s="2"/>
      <c r="Q6" s="2"/>
      <c r="R6" s="29"/>
      <c r="S6" s="2"/>
      <c r="T6" s="2"/>
      <c r="U6" s="2"/>
      <c r="V6" s="2"/>
      <c r="W6" s="2"/>
      <c r="X6" s="29"/>
      <c r="Y6" s="2"/>
      <c r="Z6" s="2"/>
      <c r="AA6" s="29"/>
    </row>
    <row r="7" spans="2:27">
      <c r="R7" s="33"/>
    </row>
    <row r="8" spans="2:27" ht="18.5">
      <c r="B8" s="41" t="s">
        <v>1427</v>
      </c>
      <c r="C8" s="32"/>
    </row>
    <row r="9" spans="2:27" s="90" customFormat="1">
      <c r="B9" s="26" t="s">
        <v>78</v>
      </c>
      <c r="C9" s="88">
        <v>45383</v>
      </c>
      <c r="D9" s="36" t="s">
        <v>409</v>
      </c>
      <c r="E9" s="88">
        <v>45444</v>
      </c>
      <c r="F9" s="36" t="s">
        <v>410</v>
      </c>
      <c r="G9" s="88">
        <v>45505</v>
      </c>
      <c r="H9" s="88">
        <v>45536</v>
      </c>
      <c r="I9" s="88">
        <v>45566</v>
      </c>
      <c r="J9" s="88">
        <v>45597</v>
      </c>
      <c r="K9" s="88">
        <v>45627</v>
      </c>
      <c r="L9" s="88">
        <v>45658</v>
      </c>
      <c r="M9" s="88">
        <v>45689</v>
      </c>
      <c r="N9" s="88">
        <v>45717</v>
      </c>
      <c r="O9" s="26" t="s">
        <v>495</v>
      </c>
      <c r="P9" s="89">
        <v>46113</v>
      </c>
      <c r="Q9" s="31" t="s">
        <v>496</v>
      </c>
      <c r="R9" s="89">
        <v>46174</v>
      </c>
      <c r="S9" s="31" t="s">
        <v>1610</v>
      </c>
      <c r="T9" s="89">
        <v>46235</v>
      </c>
      <c r="U9" s="89">
        <v>46266</v>
      </c>
      <c r="V9" s="89">
        <v>46296</v>
      </c>
      <c r="W9" s="89">
        <v>46327</v>
      </c>
      <c r="X9" s="89">
        <v>46357</v>
      </c>
      <c r="Y9" s="89">
        <v>46388</v>
      </c>
      <c r="Z9" s="89">
        <v>46419</v>
      </c>
      <c r="AA9" s="89">
        <v>46447</v>
      </c>
    </row>
    <row r="10" spans="2:27" ht="15.5">
      <c r="B10" s="29"/>
      <c r="C10" s="29">
        <v>76985433.601999998</v>
      </c>
      <c r="D10" s="29">
        <v>73682752.429999992</v>
      </c>
      <c r="E10" s="28">
        <v>84421688.929999977</v>
      </c>
      <c r="F10" s="29">
        <v>87270138.169999987</v>
      </c>
      <c r="G10" s="2">
        <v>98165149.530000001</v>
      </c>
      <c r="H10" s="29">
        <v>114814124.31000002</v>
      </c>
      <c r="I10" s="37">
        <v>109540747</v>
      </c>
      <c r="J10" s="2">
        <v>92932582.599999994</v>
      </c>
      <c r="K10" s="37">
        <v>108764369.09000003</v>
      </c>
      <c r="L10" s="29">
        <v>116927959.07750003</v>
      </c>
      <c r="M10" s="37">
        <v>120356295.24000001</v>
      </c>
      <c r="N10" s="2">
        <v>124090516.08</v>
      </c>
      <c r="O10" s="40">
        <v>206446721.26140001</v>
      </c>
      <c r="P10" s="29">
        <v>171447347.72360006</v>
      </c>
      <c r="Q10" s="29">
        <v>172286352.00600007</v>
      </c>
      <c r="R10" s="29">
        <v>186098860.05500001</v>
      </c>
      <c r="S10" s="29">
        <v>175032955.89000005</v>
      </c>
      <c r="T10" s="29">
        <v>173942759.69000018</v>
      </c>
      <c r="U10" s="2"/>
      <c r="V10" s="29"/>
      <c r="W10" s="29"/>
      <c r="X10" s="29"/>
      <c r="Y10" s="29"/>
      <c r="Z10" s="29"/>
      <c r="AA10" s="29"/>
    </row>
    <row r="11" spans="2:27" s="30" customFormat="1"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"/>
      <c r="Q11" s="2"/>
      <c r="R11" s="29"/>
      <c r="S11" s="2"/>
      <c r="T11" s="2"/>
      <c r="U11" s="2"/>
      <c r="V11" s="2"/>
      <c r="W11" s="2"/>
      <c r="X11" s="29"/>
      <c r="Y11" s="2"/>
      <c r="Z11" s="2"/>
      <c r="AA11" s="29"/>
    </row>
    <row r="12" spans="2:27">
      <c r="R12" s="33"/>
    </row>
    <row r="13" spans="2:27" ht="21">
      <c r="B13" s="42" t="s">
        <v>79</v>
      </c>
      <c r="C13" s="32"/>
    </row>
    <row r="14" spans="2:27" s="90" customFormat="1">
      <c r="B14" s="26" t="s">
        <v>78</v>
      </c>
      <c r="C14" s="88">
        <v>45383</v>
      </c>
      <c r="D14" s="36" t="s">
        <v>409</v>
      </c>
      <c r="E14" s="88">
        <v>45444</v>
      </c>
      <c r="F14" s="36" t="s">
        <v>410</v>
      </c>
      <c r="G14" s="88">
        <v>45505</v>
      </c>
      <c r="H14" s="88">
        <v>45536</v>
      </c>
      <c r="I14" s="88">
        <v>45566</v>
      </c>
      <c r="J14" s="88">
        <v>45597</v>
      </c>
      <c r="K14" s="88">
        <v>45627</v>
      </c>
      <c r="L14" s="88">
        <v>45658</v>
      </c>
      <c r="M14" s="88">
        <v>45689</v>
      </c>
      <c r="N14" s="88">
        <v>45717</v>
      </c>
      <c r="O14" s="26" t="s">
        <v>495</v>
      </c>
      <c r="P14" s="89">
        <v>46113</v>
      </c>
      <c r="Q14" s="31" t="s">
        <v>496</v>
      </c>
      <c r="R14" s="89">
        <v>46174</v>
      </c>
      <c r="S14" s="31" t="s">
        <v>1610</v>
      </c>
      <c r="T14" s="89">
        <v>46235</v>
      </c>
      <c r="U14" s="89">
        <v>46266</v>
      </c>
      <c r="V14" s="89">
        <v>46296</v>
      </c>
      <c r="W14" s="89">
        <v>46327</v>
      </c>
      <c r="X14" s="89">
        <v>46357</v>
      </c>
      <c r="Y14" s="89">
        <v>46388</v>
      </c>
      <c r="Z14" s="89">
        <v>46419</v>
      </c>
      <c r="AA14" s="89">
        <v>46447</v>
      </c>
    </row>
    <row r="15" spans="2:27">
      <c r="B15" s="2"/>
      <c r="C15" s="2"/>
      <c r="D15" s="29"/>
      <c r="E15" s="2"/>
      <c r="F15" s="29"/>
      <c r="G15" s="2"/>
      <c r="H15" s="29"/>
      <c r="I15" s="2"/>
      <c r="J15" s="2"/>
      <c r="K15" s="2"/>
      <c r="L15" s="29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9"/>
      <c r="Y15" s="2"/>
      <c r="Z15" s="2"/>
      <c r="AA15" s="29"/>
    </row>
    <row r="16" spans="2:27" s="30" customFormat="1" ht="15.5">
      <c r="B16" s="29"/>
      <c r="C16" s="29">
        <v>11212573.930000002</v>
      </c>
      <c r="D16" s="29">
        <v>11398462.649999999</v>
      </c>
      <c r="E16" s="29">
        <v>11966097.779999999</v>
      </c>
      <c r="F16" s="29">
        <v>11807893</v>
      </c>
      <c r="G16" s="29">
        <v>12281942.99</v>
      </c>
      <c r="H16" s="29">
        <v>11290715.950000001</v>
      </c>
      <c r="I16" s="29">
        <v>11937270</v>
      </c>
      <c r="J16" s="29">
        <v>11725252.43</v>
      </c>
      <c r="K16" s="29">
        <v>11462964.34</v>
      </c>
      <c r="L16" s="29">
        <v>10929458.960000001</v>
      </c>
      <c r="M16" s="29">
        <v>11096994.66</v>
      </c>
      <c r="N16" s="29">
        <v>10973563.710000001</v>
      </c>
      <c r="O16" s="40">
        <v>12898280.02</v>
      </c>
      <c r="P16" s="29">
        <v>15935752.380000001</v>
      </c>
      <c r="Q16" s="29">
        <v>17174890.030000001</v>
      </c>
      <c r="R16" s="29">
        <v>15924846.6</v>
      </c>
      <c r="S16" s="29">
        <v>14919898.470000001</v>
      </c>
      <c r="T16" s="29">
        <v>15679080.129999999</v>
      </c>
      <c r="U16" s="2"/>
      <c r="V16" s="29"/>
      <c r="W16" s="29"/>
      <c r="X16" s="29"/>
      <c r="Y16" s="29"/>
      <c r="Z16" s="29"/>
      <c r="AA16" s="29"/>
    </row>
    <row r="18" spans="2:16">
      <c r="B18" s="33"/>
      <c r="C18" s="33"/>
      <c r="J18" s="33"/>
      <c r="K18" s="33"/>
    </row>
    <row r="19" spans="2:16">
      <c r="O19" s="33"/>
      <c r="P19" s="30"/>
    </row>
    <row r="20" spans="2:16">
      <c r="K20" s="33"/>
      <c r="O20" s="33"/>
    </row>
    <row r="21" spans="2:16">
      <c r="P21" s="33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82957-012B-464A-9D1A-14006AEA2A5B}">
  <sheetPr>
    <tabColor rgb="FFFFFF00"/>
  </sheetPr>
  <dimension ref="A1:T1240"/>
  <sheetViews>
    <sheetView topLeftCell="E1" zoomScale="80" zoomScaleNormal="80" workbookViewId="0">
      <pane ySplit="2" topLeftCell="A1227" activePane="bottomLeft" state="frozen"/>
      <selection pane="bottomLeft" activeCell="L1236" sqref="L1236"/>
    </sheetView>
  </sheetViews>
  <sheetFormatPr defaultRowHeight="14.5"/>
  <cols>
    <col min="1" max="1" width="44.1796875" style="108" customWidth="1"/>
    <col min="2" max="2" width="12.453125" style="108" bestFit="1" customWidth="1"/>
    <col min="3" max="4" width="11.81640625" style="108" bestFit="1" customWidth="1"/>
    <col min="5" max="7" width="14.36328125" style="108" customWidth="1"/>
    <col min="8" max="8" width="43.08984375" style="109" customWidth="1"/>
    <col min="9" max="9" width="16" style="108" customWidth="1"/>
    <col min="10" max="10" width="12" style="108" customWidth="1"/>
    <col min="11" max="18" width="8.7265625" style="108"/>
    <col min="19" max="19" width="11.81640625" style="108" customWidth="1"/>
    <col min="20" max="16384" width="8.7265625" style="108"/>
  </cols>
  <sheetData>
    <row r="1" spans="1:9">
      <c r="A1" s="237" t="s">
        <v>1533</v>
      </c>
      <c r="B1" s="237"/>
      <c r="C1" s="237"/>
      <c r="D1" s="237"/>
      <c r="E1" s="237"/>
      <c r="F1" s="237"/>
      <c r="G1" s="237"/>
      <c r="H1" s="237"/>
      <c r="I1" s="237"/>
    </row>
    <row r="2" spans="1:9" s="107" customFormat="1" ht="22.5" customHeight="1">
      <c r="A2" s="106" t="s">
        <v>530</v>
      </c>
      <c r="B2" s="106" t="s">
        <v>497</v>
      </c>
      <c r="C2" s="106" t="s">
        <v>499</v>
      </c>
      <c r="D2" s="106" t="s">
        <v>500</v>
      </c>
      <c r="E2" s="106" t="s">
        <v>498</v>
      </c>
      <c r="F2" s="106" t="s">
        <v>1517</v>
      </c>
      <c r="G2" s="106" t="s">
        <v>518</v>
      </c>
      <c r="H2" s="106" t="s">
        <v>1607</v>
      </c>
    </row>
    <row r="3" spans="1:9">
      <c r="A3" s="108" t="s">
        <v>328</v>
      </c>
      <c r="B3" s="108">
        <v>0</v>
      </c>
      <c r="C3" s="108">
        <v>100</v>
      </c>
      <c r="D3" s="108">
        <v>0</v>
      </c>
      <c r="E3" s="108">
        <v>100</v>
      </c>
      <c r="G3" s="108">
        <f t="shared" ref="G3:G66" si="0">E3+F3</f>
        <v>100</v>
      </c>
      <c r="H3" s="109" t="s">
        <v>13</v>
      </c>
    </row>
    <row r="4" spans="1:9">
      <c r="A4" s="108" t="s">
        <v>347</v>
      </c>
      <c r="B4" s="108">
        <v>0</v>
      </c>
      <c r="C4" s="108">
        <v>177110</v>
      </c>
      <c r="D4" s="108">
        <v>0</v>
      </c>
      <c r="E4" s="108">
        <v>177110</v>
      </c>
      <c r="G4" s="108">
        <f t="shared" si="0"/>
        <v>177110</v>
      </c>
      <c r="H4" s="109" t="s">
        <v>13</v>
      </c>
    </row>
    <row r="5" spans="1:9">
      <c r="A5" s="108" t="s">
        <v>348</v>
      </c>
      <c r="B5" s="108">
        <v>0</v>
      </c>
      <c r="C5" s="108">
        <v>62503.7</v>
      </c>
      <c r="D5" s="108">
        <v>0</v>
      </c>
      <c r="E5" s="108">
        <v>62503.7</v>
      </c>
      <c r="G5" s="108">
        <f t="shared" si="0"/>
        <v>62503.7</v>
      </c>
      <c r="H5" s="109" t="s">
        <v>13</v>
      </c>
    </row>
    <row r="6" spans="1:9">
      <c r="A6" s="108" t="s">
        <v>322</v>
      </c>
      <c r="B6" s="108">
        <v>0</v>
      </c>
      <c r="C6" s="108">
        <v>1127244.8</v>
      </c>
      <c r="D6" s="108">
        <v>0</v>
      </c>
      <c r="E6" s="108">
        <v>1127244.8</v>
      </c>
      <c r="G6" s="108">
        <f t="shared" si="0"/>
        <v>1127244.8</v>
      </c>
      <c r="H6" s="109" t="s">
        <v>11</v>
      </c>
    </row>
    <row r="7" spans="1:9">
      <c r="A7" s="108" t="s">
        <v>319</v>
      </c>
      <c r="B7" s="108">
        <v>0</v>
      </c>
      <c r="C7" s="108">
        <v>27922269.699999999</v>
      </c>
      <c r="D7" s="108">
        <v>0</v>
      </c>
      <c r="E7" s="108">
        <v>27922269.699999999</v>
      </c>
      <c r="G7" s="108">
        <f t="shared" si="0"/>
        <v>27922269.699999999</v>
      </c>
      <c r="H7" s="109" t="s">
        <v>9</v>
      </c>
    </row>
    <row r="8" spans="1:9">
      <c r="A8" s="108" t="s">
        <v>317</v>
      </c>
      <c r="B8" s="108">
        <v>0</v>
      </c>
      <c r="C8" s="108">
        <v>2231224.4</v>
      </c>
      <c r="D8" s="108">
        <v>0</v>
      </c>
      <c r="E8" s="108">
        <v>2231224.4</v>
      </c>
      <c r="G8" s="108">
        <f t="shared" si="0"/>
        <v>2231224.4</v>
      </c>
      <c r="H8" s="109" t="s">
        <v>9</v>
      </c>
    </row>
    <row r="9" spans="1:9">
      <c r="A9" s="108" t="s">
        <v>321</v>
      </c>
      <c r="B9" s="108">
        <v>0</v>
      </c>
      <c r="C9" s="108">
        <v>73330942.390000001</v>
      </c>
      <c r="D9" s="108">
        <v>0</v>
      </c>
      <c r="E9" s="108">
        <v>73330942.390000001</v>
      </c>
      <c r="G9" s="108">
        <f t="shared" si="0"/>
        <v>73330942.390000001</v>
      </c>
      <c r="H9" s="109" t="s">
        <v>9</v>
      </c>
    </row>
    <row r="10" spans="1:9">
      <c r="A10" s="108" t="s">
        <v>320</v>
      </c>
      <c r="B10" s="108">
        <v>0</v>
      </c>
      <c r="C10" s="108">
        <v>17158400</v>
      </c>
      <c r="D10" s="108">
        <v>0</v>
      </c>
      <c r="E10" s="108">
        <v>17158400</v>
      </c>
      <c r="G10" s="108">
        <f t="shared" si="0"/>
        <v>17158400</v>
      </c>
      <c r="H10" s="109" t="s">
        <v>9</v>
      </c>
    </row>
    <row r="11" spans="1:9">
      <c r="A11" s="108" t="s">
        <v>318</v>
      </c>
      <c r="B11" s="108">
        <v>0</v>
      </c>
      <c r="C11" s="108">
        <v>1436233.5</v>
      </c>
      <c r="D11" s="108">
        <v>0</v>
      </c>
      <c r="E11" s="108">
        <v>1436233.5</v>
      </c>
      <c r="G11" s="108">
        <f t="shared" si="0"/>
        <v>1436233.5</v>
      </c>
      <c r="H11" s="109" t="s">
        <v>44</v>
      </c>
    </row>
    <row r="12" spans="1:9">
      <c r="A12" s="108" t="s">
        <v>475</v>
      </c>
      <c r="B12" s="108">
        <v>0</v>
      </c>
      <c r="C12" s="108">
        <v>54130</v>
      </c>
      <c r="D12" s="108">
        <v>0</v>
      </c>
      <c r="E12" s="108">
        <v>54130</v>
      </c>
      <c r="G12" s="108">
        <f t="shared" si="0"/>
        <v>54130</v>
      </c>
      <c r="H12" s="109" t="s">
        <v>44</v>
      </c>
    </row>
    <row r="13" spans="1:9">
      <c r="A13" s="108" t="s">
        <v>323</v>
      </c>
      <c r="B13" s="108">
        <v>0</v>
      </c>
      <c r="C13" s="108">
        <v>2376209.9300000002</v>
      </c>
      <c r="D13" s="108">
        <v>0</v>
      </c>
      <c r="E13" s="108">
        <v>2376209.9300000002</v>
      </c>
      <c r="G13" s="108">
        <f t="shared" si="0"/>
        <v>2376209.9300000002</v>
      </c>
      <c r="H13" s="109" t="s">
        <v>44</v>
      </c>
    </row>
    <row r="14" spans="1:9">
      <c r="A14" s="108" t="s">
        <v>359</v>
      </c>
      <c r="B14" s="108">
        <v>0</v>
      </c>
      <c r="C14" s="108">
        <v>350726.34</v>
      </c>
      <c r="D14" s="108">
        <v>1669.95</v>
      </c>
      <c r="E14" s="108">
        <v>349056.39</v>
      </c>
      <c r="G14" s="108">
        <f t="shared" si="0"/>
        <v>349056.39</v>
      </c>
      <c r="H14" s="109" t="s">
        <v>1054</v>
      </c>
    </row>
    <row r="15" spans="1:9">
      <c r="A15" s="108" t="s">
        <v>1043</v>
      </c>
      <c r="B15" s="108">
        <v>0</v>
      </c>
      <c r="C15" s="108">
        <v>17700</v>
      </c>
      <c r="D15" s="108">
        <v>0</v>
      </c>
      <c r="E15" s="108">
        <v>17700</v>
      </c>
      <c r="G15" s="108">
        <f t="shared" si="0"/>
        <v>17700</v>
      </c>
      <c r="H15" s="109" t="s">
        <v>1054</v>
      </c>
    </row>
    <row r="16" spans="1:9">
      <c r="A16" s="108" t="s">
        <v>711</v>
      </c>
      <c r="B16" s="108">
        <v>0</v>
      </c>
      <c r="C16" s="108">
        <v>11254.8</v>
      </c>
      <c r="D16" s="108">
        <v>0</v>
      </c>
      <c r="E16" s="108">
        <v>11254.8</v>
      </c>
      <c r="G16" s="108">
        <f t="shared" si="0"/>
        <v>11254.8</v>
      </c>
      <c r="H16" s="109" t="s">
        <v>1054</v>
      </c>
    </row>
    <row r="17" spans="1:8">
      <c r="A17" s="108" t="s">
        <v>712</v>
      </c>
      <c r="B17" s="108">
        <v>0</v>
      </c>
      <c r="C17" s="108">
        <v>2360</v>
      </c>
      <c r="D17" s="108">
        <v>0</v>
      </c>
      <c r="E17" s="108">
        <v>2360</v>
      </c>
      <c r="G17" s="108">
        <f t="shared" si="0"/>
        <v>2360</v>
      </c>
      <c r="H17" s="109" t="s">
        <v>1054</v>
      </c>
    </row>
    <row r="18" spans="1:8">
      <c r="A18" s="108" t="s">
        <v>360</v>
      </c>
      <c r="B18" s="108">
        <v>0</v>
      </c>
      <c r="C18" s="108">
        <v>17381.66</v>
      </c>
      <c r="D18" s="108">
        <v>0</v>
      </c>
      <c r="E18" s="108">
        <v>17381.66</v>
      </c>
      <c r="G18" s="108">
        <f t="shared" si="0"/>
        <v>17381.66</v>
      </c>
      <c r="H18" s="109" t="s">
        <v>1054</v>
      </c>
    </row>
    <row r="19" spans="1:8">
      <c r="A19" s="108" t="s">
        <v>414</v>
      </c>
      <c r="B19" s="108">
        <v>0</v>
      </c>
      <c r="C19" s="108">
        <v>2920</v>
      </c>
      <c r="D19" s="108">
        <v>0</v>
      </c>
      <c r="E19" s="108">
        <v>2920</v>
      </c>
      <c r="G19" s="108">
        <f t="shared" si="0"/>
        <v>2920</v>
      </c>
      <c r="H19" s="109" t="s">
        <v>1054</v>
      </c>
    </row>
    <row r="20" spans="1:8">
      <c r="A20" s="108" t="s">
        <v>361</v>
      </c>
      <c r="B20" s="108">
        <v>0</v>
      </c>
      <c r="C20" s="108">
        <v>5500</v>
      </c>
      <c r="D20" s="108">
        <v>0</v>
      </c>
      <c r="E20" s="108">
        <v>5500</v>
      </c>
      <c r="G20" s="108">
        <f t="shared" si="0"/>
        <v>5500</v>
      </c>
      <c r="H20" s="109" t="s">
        <v>1054</v>
      </c>
    </row>
    <row r="21" spans="1:8">
      <c r="A21" s="108" t="s">
        <v>713</v>
      </c>
      <c r="B21" s="108">
        <v>0</v>
      </c>
      <c r="C21" s="108">
        <v>2360</v>
      </c>
      <c r="D21" s="108">
        <v>0</v>
      </c>
      <c r="E21" s="108">
        <v>2360</v>
      </c>
      <c r="G21" s="108">
        <f t="shared" si="0"/>
        <v>2360</v>
      </c>
      <c r="H21" s="109" t="s">
        <v>1054</v>
      </c>
    </row>
    <row r="22" spans="1:8">
      <c r="A22" s="108" t="s">
        <v>362</v>
      </c>
      <c r="B22" s="108">
        <v>0</v>
      </c>
      <c r="C22" s="108">
        <v>708839.71</v>
      </c>
      <c r="D22" s="108">
        <v>708676.28</v>
      </c>
      <c r="E22" s="108">
        <v>163.43</v>
      </c>
      <c r="G22" s="108">
        <f t="shared" si="0"/>
        <v>163.43</v>
      </c>
      <c r="H22" s="109" t="s">
        <v>1054</v>
      </c>
    </row>
    <row r="23" spans="1:8">
      <c r="A23" s="108" t="s">
        <v>346</v>
      </c>
      <c r="B23" s="108">
        <v>0</v>
      </c>
      <c r="C23" s="108">
        <v>208120.64</v>
      </c>
      <c r="D23" s="108">
        <v>0</v>
      </c>
      <c r="E23" s="108">
        <v>208120.64</v>
      </c>
      <c r="G23" s="108">
        <f t="shared" si="0"/>
        <v>208120.64</v>
      </c>
      <c r="H23" s="109" t="s">
        <v>1054</v>
      </c>
    </row>
    <row r="24" spans="1:8">
      <c r="A24" s="108" t="s">
        <v>329</v>
      </c>
      <c r="B24" s="108">
        <v>0</v>
      </c>
      <c r="C24" s="108">
        <v>26644</v>
      </c>
      <c r="D24" s="108">
        <v>26644</v>
      </c>
      <c r="E24" s="108">
        <v>0</v>
      </c>
      <c r="F24" s="116">
        <v>21728</v>
      </c>
      <c r="G24" s="108">
        <f t="shared" si="0"/>
        <v>21728</v>
      </c>
      <c r="H24" s="109" t="s">
        <v>52</v>
      </c>
    </row>
    <row r="25" spans="1:8">
      <c r="A25" s="108" t="s">
        <v>330</v>
      </c>
      <c r="B25" s="108">
        <v>0</v>
      </c>
      <c r="C25" s="108">
        <v>665196</v>
      </c>
      <c r="D25" s="108">
        <v>665196</v>
      </c>
      <c r="E25" s="108">
        <v>0</v>
      </c>
      <c r="F25" s="116">
        <v>542542</v>
      </c>
      <c r="G25" s="108">
        <f t="shared" si="0"/>
        <v>542542</v>
      </c>
      <c r="H25" s="109" t="s">
        <v>52</v>
      </c>
    </row>
    <row r="26" spans="1:8">
      <c r="A26" s="108" t="s">
        <v>355</v>
      </c>
      <c r="B26" s="108">
        <v>0</v>
      </c>
      <c r="C26" s="108">
        <v>5017</v>
      </c>
      <c r="D26" s="108">
        <v>0</v>
      </c>
      <c r="E26" s="108">
        <v>5017</v>
      </c>
      <c r="G26" s="108">
        <f t="shared" si="0"/>
        <v>5017</v>
      </c>
      <c r="H26" s="109" t="s">
        <v>66</v>
      </c>
    </row>
    <row r="27" spans="1:8">
      <c r="A27" s="108" t="s">
        <v>331</v>
      </c>
      <c r="B27" s="108">
        <v>0</v>
      </c>
      <c r="C27" s="108">
        <v>58296</v>
      </c>
      <c r="D27" s="108">
        <v>0</v>
      </c>
      <c r="E27" s="108">
        <v>58296</v>
      </c>
      <c r="G27" s="108">
        <f t="shared" si="0"/>
        <v>58296</v>
      </c>
      <c r="H27" s="109" t="s">
        <v>66</v>
      </c>
    </row>
    <row r="28" spans="1:8">
      <c r="A28" s="170" t="s">
        <v>357</v>
      </c>
      <c r="B28" s="108">
        <v>0</v>
      </c>
      <c r="C28" s="108">
        <v>25161872</v>
      </c>
      <c r="D28" s="108">
        <v>3916167.82</v>
      </c>
      <c r="E28" s="108">
        <v>21245704.18</v>
      </c>
      <c r="F28" s="108">
        <v>-25161872</v>
      </c>
      <c r="G28" s="108">
        <f t="shared" si="0"/>
        <v>-3916167.8200000003</v>
      </c>
      <c r="H28" s="109" t="s">
        <v>73</v>
      </c>
    </row>
    <row r="29" spans="1:8">
      <c r="A29" s="108" t="s">
        <v>343</v>
      </c>
      <c r="B29" s="108">
        <v>0</v>
      </c>
      <c r="C29" s="108">
        <v>23680</v>
      </c>
      <c r="D29" s="108">
        <v>0</v>
      </c>
      <c r="E29" s="108">
        <v>23680</v>
      </c>
      <c r="F29" s="108">
        <v>100000</v>
      </c>
      <c r="G29" s="108">
        <f t="shared" si="0"/>
        <v>123680</v>
      </c>
      <c r="H29" s="109" t="s">
        <v>67</v>
      </c>
    </row>
    <row r="30" spans="1:8">
      <c r="A30" s="108" t="s">
        <v>354</v>
      </c>
      <c r="B30" s="108">
        <v>0</v>
      </c>
      <c r="C30" s="108">
        <v>972314.89</v>
      </c>
      <c r="D30" s="108">
        <v>0</v>
      </c>
      <c r="E30" s="108">
        <v>972314.89</v>
      </c>
      <c r="F30" s="108">
        <v>500000</v>
      </c>
      <c r="G30" s="108">
        <f t="shared" si="0"/>
        <v>1472314.8900000001</v>
      </c>
      <c r="H30" s="132" t="s">
        <v>67</v>
      </c>
    </row>
    <row r="31" spans="1:8">
      <c r="A31" s="108" t="s">
        <v>718</v>
      </c>
      <c r="B31" s="108">
        <v>0</v>
      </c>
      <c r="C31" s="108">
        <v>16073.88</v>
      </c>
      <c r="D31" s="108">
        <v>0</v>
      </c>
      <c r="E31" s="108">
        <v>16073.88</v>
      </c>
      <c r="G31" s="108">
        <f t="shared" si="0"/>
        <v>16073.88</v>
      </c>
      <c r="H31" s="109" t="s">
        <v>67</v>
      </c>
    </row>
    <row r="32" spans="1:8">
      <c r="A32" s="142" t="s">
        <v>349</v>
      </c>
      <c r="B32" s="108">
        <v>0</v>
      </c>
      <c r="C32" s="108">
        <v>298850</v>
      </c>
      <c r="D32" s="112">
        <f>12556110.47</f>
        <v>12556110.470000001</v>
      </c>
      <c r="E32" s="108">
        <f>C32-D32</f>
        <v>-12257260.470000001</v>
      </c>
      <c r="F32" s="108">
        <v>-10733989</v>
      </c>
      <c r="G32" s="108">
        <f>E32-F32</f>
        <v>-1523271.4700000007</v>
      </c>
      <c r="H32" s="143" t="s">
        <v>67</v>
      </c>
    </row>
    <row r="33" spans="1:8">
      <c r="A33" s="108" t="s">
        <v>350</v>
      </c>
      <c r="B33" s="108">
        <v>0</v>
      </c>
      <c r="C33" s="108">
        <v>529500</v>
      </c>
      <c r="D33" s="108">
        <v>0</v>
      </c>
      <c r="E33" s="108">
        <v>529500</v>
      </c>
      <c r="G33" s="108">
        <f t="shared" si="0"/>
        <v>529500</v>
      </c>
      <c r="H33" s="132" t="s">
        <v>67</v>
      </c>
    </row>
    <row r="34" spans="1:8">
      <c r="A34" s="108" t="s">
        <v>351</v>
      </c>
      <c r="B34" s="108">
        <v>0</v>
      </c>
      <c r="C34" s="108">
        <v>2102133.6</v>
      </c>
      <c r="D34" s="108">
        <v>1200</v>
      </c>
      <c r="E34" s="108">
        <v>2100933.6</v>
      </c>
      <c r="F34" s="108">
        <v>500000</v>
      </c>
      <c r="G34" s="108">
        <f t="shared" si="0"/>
        <v>2600933.6</v>
      </c>
      <c r="H34" s="109" t="s">
        <v>67</v>
      </c>
    </row>
    <row r="35" spans="1:8">
      <c r="A35" s="119" t="s">
        <v>719</v>
      </c>
      <c r="B35" s="108">
        <v>0</v>
      </c>
      <c r="C35" s="108">
        <v>379906.61</v>
      </c>
      <c r="D35" s="108">
        <v>0</v>
      </c>
      <c r="E35" s="108">
        <v>379906.61</v>
      </c>
      <c r="G35" s="108">
        <f t="shared" si="0"/>
        <v>379906.61</v>
      </c>
      <c r="H35" s="109" t="s">
        <v>67</v>
      </c>
    </row>
    <row r="36" spans="1:8">
      <c r="A36" s="119" t="s">
        <v>337</v>
      </c>
      <c r="B36" s="108">
        <v>0</v>
      </c>
      <c r="C36" s="108">
        <v>342799</v>
      </c>
      <c r="D36" s="108">
        <v>0</v>
      </c>
      <c r="E36" s="108">
        <v>342799</v>
      </c>
      <c r="F36" s="108">
        <f>2200800/12</f>
        <v>183400</v>
      </c>
      <c r="G36" s="108">
        <f t="shared" si="0"/>
        <v>526199</v>
      </c>
      <c r="H36" s="109" t="s">
        <v>70</v>
      </c>
    </row>
    <row r="37" spans="1:8">
      <c r="A37" s="108" t="s">
        <v>554</v>
      </c>
      <c r="B37" s="108">
        <v>35987</v>
      </c>
      <c r="C37" s="108">
        <v>0</v>
      </c>
      <c r="D37" s="108">
        <v>0</v>
      </c>
      <c r="E37" s="108">
        <v>35987</v>
      </c>
      <c r="G37" s="108">
        <f t="shared" si="0"/>
        <v>35987</v>
      </c>
      <c r="H37" s="109" t="s">
        <v>339</v>
      </c>
    </row>
    <row r="38" spans="1:8">
      <c r="A38" s="108" t="s">
        <v>715</v>
      </c>
      <c r="B38" s="108">
        <v>0</v>
      </c>
      <c r="C38" s="108">
        <v>2289146.4</v>
      </c>
      <c r="D38" s="108">
        <v>14014.17</v>
      </c>
      <c r="E38" s="108">
        <v>2275132.23</v>
      </c>
      <c r="G38" s="108">
        <f t="shared" si="0"/>
        <v>2275132.23</v>
      </c>
      <c r="H38" s="109" t="s">
        <v>339</v>
      </c>
    </row>
    <row r="39" spans="1:8">
      <c r="A39" s="108" t="s">
        <v>338</v>
      </c>
      <c r="B39" s="108">
        <v>0</v>
      </c>
      <c r="C39" s="108">
        <v>562528.38</v>
      </c>
      <c r="D39" s="108">
        <v>171590.28</v>
      </c>
      <c r="E39" s="108">
        <v>390938.1</v>
      </c>
      <c r="G39" s="108">
        <f t="shared" si="0"/>
        <v>390938.1</v>
      </c>
      <c r="H39" s="109" t="s">
        <v>339</v>
      </c>
    </row>
    <row r="40" spans="1:8">
      <c r="A40" s="108" t="s">
        <v>716</v>
      </c>
      <c r="B40" s="108">
        <v>0</v>
      </c>
      <c r="C40" s="108">
        <v>1081387.5900000001</v>
      </c>
      <c r="D40" s="108">
        <v>0</v>
      </c>
      <c r="E40" s="108">
        <v>1081387.5900000001</v>
      </c>
      <c r="G40" s="108">
        <f t="shared" si="0"/>
        <v>1081387.5900000001</v>
      </c>
      <c r="H40" s="109" t="s">
        <v>339</v>
      </c>
    </row>
    <row r="41" spans="1:8">
      <c r="A41" s="108" t="s">
        <v>339</v>
      </c>
      <c r="B41" s="108">
        <v>0</v>
      </c>
      <c r="C41" s="108">
        <v>137378.57</v>
      </c>
      <c r="D41" s="108">
        <v>56823</v>
      </c>
      <c r="E41" s="108">
        <v>80555.570000000007</v>
      </c>
      <c r="G41" s="108">
        <f t="shared" si="0"/>
        <v>80555.570000000007</v>
      </c>
      <c r="H41" s="109" t="s">
        <v>339</v>
      </c>
    </row>
    <row r="42" spans="1:8">
      <c r="A42" s="108" t="s">
        <v>732</v>
      </c>
      <c r="B42" s="108">
        <v>-56823</v>
      </c>
      <c r="C42" s="108">
        <v>56823</v>
      </c>
      <c r="D42" s="108">
        <v>0</v>
      </c>
      <c r="E42" s="108">
        <v>0</v>
      </c>
      <c r="G42" s="108">
        <f t="shared" si="0"/>
        <v>0</v>
      </c>
      <c r="H42" s="109" t="s">
        <v>339</v>
      </c>
    </row>
    <row r="43" spans="1:8">
      <c r="A43" s="108" t="s">
        <v>1044</v>
      </c>
      <c r="B43" s="108">
        <v>0</v>
      </c>
      <c r="C43" s="108">
        <v>2113806</v>
      </c>
      <c r="D43" s="108">
        <v>0</v>
      </c>
      <c r="E43" s="108">
        <v>2113806</v>
      </c>
      <c r="G43" s="108">
        <f t="shared" si="0"/>
        <v>2113806</v>
      </c>
      <c r="H43" s="109" t="s">
        <v>1055</v>
      </c>
    </row>
    <row r="44" spans="1:8">
      <c r="A44" s="108" t="s">
        <v>717</v>
      </c>
      <c r="B44" s="108">
        <v>0</v>
      </c>
      <c r="C44" s="108">
        <v>1096147</v>
      </c>
      <c r="D44" s="108">
        <v>0</v>
      </c>
      <c r="E44" s="108">
        <v>1096147</v>
      </c>
      <c r="G44" s="108">
        <f t="shared" si="0"/>
        <v>1096147</v>
      </c>
      <c r="H44" s="109" t="s">
        <v>1056</v>
      </c>
    </row>
    <row r="45" spans="1:8">
      <c r="A45" s="108" t="s">
        <v>340</v>
      </c>
      <c r="B45" s="108">
        <v>0</v>
      </c>
      <c r="C45" s="108">
        <v>11030011.029999999</v>
      </c>
      <c r="D45" s="108">
        <v>55384.56</v>
      </c>
      <c r="E45" s="108">
        <v>10974626.470000001</v>
      </c>
      <c r="G45" s="108">
        <f t="shared" si="0"/>
        <v>10974626.470000001</v>
      </c>
      <c r="H45" s="109" t="s">
        <v>59</v>
      </c>
    </row>
    <row r="46" spans="1:8">
      <c r="A46" s="108" t="s">
        <v>341</v>
      </c>
      <c r="B46" s="108">
        <v>0</v>
      </c>
      <c r="C46" s="108">
        <v>129973</v>
      </c>
      <c r="D46" s="108">
        <v>129973</v>
      </c>
      <c r="E46" s="108">
        <v>0</v>
      </c>
      <c r="F46" s="116">
        <f>4436290+106544</f>
        <v>4542834</v>
      </c>
      <c r="G46" s="108">
        <f t="shared" si="0"/>
        <v>4542834</v>
      </c>
      <c r="H46" s="109" t="s">
        <v>55</v>
      </c>
    </row>
    <row r="47" spans="1:8">
      <c r="A47" s="108" t="s">
        <v>94</v>
      </c>
      <c r="B47" s="108">
        <v>0</v>
      </c>
      <c r="C47" s="108">
        <v>5144478</v>
      </c>
      <c r="D47" s="108">
        <v>5144478</v>
      </c>
      <c r="E47" s="108">
        <v>0</v>
      </c>
      <c r="G47" s="108">
        <f t="shared" si="0"/>
        <v>0</v>
      </c>
      <c r="H47" s="109" t="s">
        <v>80</v>
      </c>
    </row>
    <row r="48" spans="1:8">
      <c r="A48" s="108" t="s">
        <v>531</v>
      </c>
      <c r="B48" s="108">
        <v>1607000</v>
      </c>
      <c r="C48" s="108">
        <v>0</v>
      </c>
      <c r="D48" s="108">
        <v>0</v>
      </c>
      <c r="E48" s="108">
        <v>1607000</v>
      </c>
      <c r="G48" s="108">
        <f t="shared" si="0"/>
        <v>1607000</v>
      </c>
      <c r="H48" s="109" t="s">
        <v>80</v>
      </c>
    </row>
    <row r="49" spans="1:8">
      <c r="A49" s="108" t="s">
        <v>532</v>
      </c>
      <c r="B49" s="108">
        <v>2200000</v>
      </c>
      <c r="C49" s="108">
        <v>0</v>
      </c>
      <c r="D49" s="108">
        <v>0</v>
      </c>
      <c r="E49" s="108">
        <v>2200000</v>
      </c>
      <c r="G49" s="108">
        <f t="shared" si="0"/>
        <v>2200000</v>
      </c>
      <c r="H49" s="109" t="s">
        <v>80</v>
      </c>
    </row>
    <row r="50" spans="1:8">
      <c r="A50" s="108" t="s">
        <v>533</v>
      </c>
      <c r="B50" s="108">
        <v>108787</v>
      </c>
      <c r="C50" s="108">
        <v>0</v>
      </c>
      <c r="D50" s="108">
        <v>0</v>
      </c>
      <c r="E50" s="108">
        <v>108787</v>
      </c>
      <c r="G50" s="108">
        <f t="shared" si="0"/>
        <v>108787</v>
      </c>
      <c r="H50" s="109" t="s">
        <v>80</v>
      </c>
    </row>
    <row r="51" spans="1:8">
      <c r="A51" s="108" t="s">
        <v>1063</v>
      </c>
      <c r="B51" s="108">
        <v>0</v>
      </c>
      <c r="C51" s="108">
        <v>0</v>
      </c>
      <c r="D51" s="108">
        <v>0</v>
      </c>
      <c r="E51" s="108">
        <v>0</v>
      </c>
      <c r="G51" s="108">
        <f t="shared" si="0"/>
        <v>0</v>
      </c>
      <c r="H51" s="109" t="s">
        <v>80</v>
      </c>
    </row>
    <row r="52" spans="1:8">
      <c r="A52" s="108" t="s">
        <v>1062</v>
      </c>
      <c r="B52" s="108">
        <v>0</v>
      </c>
      <c r="C52" s="108">
        <v>0</v>
      </c>
      <c r="D52" s="108">
        <v>0</v>
      </c>
      <c r="E52" s="108">
        <v>0</v>
      </c>
      <c r="G52" s="108">
        <f t="shared" si="0"/>
        <v>0</v>
      </c>
      <c r="H52" s="109" t="s">
        <v>80</v>
      </c>
    </row>
    <row r="53" spans="1:8">
      <c r="A53" s="108" t="s">
        <v>143</v>
      </c>
      <c r="B53" s="108">
        <v>-18585.939999999999</v>
      </c>
      <c r="C53" s="108">
        <v>0</v>
      </c>
      <c r="D53" s="108">
        <v>0</v>
      </c>
      <c r="E53" s="108">
        <v>-18585.939999999999</v>
      </c>
      <c r="G53" s="108">
        <f t="shared" si="0"/>
        <v>-18585.939999999999</v>
      </c>
      <c r="H53" s="109" t="s">
        <v>80</v>
      </c>
    </row>
    <row r="54" spans="1:8">
      <c r="A54" s="108" t="s">
        <v>144</v>
      </c>
      <c r="B54" s="108">
        <v>1151</v>
      </c>
      <c r="C54" s="108">
        <v>0</v>
      </c>
      <c r="D54" s="108">
        <v>0</v>
      </c>
      <c r="E54" s="108">
        <v>1151</v>
      </c>
      <c r="G54" s="108">
        <f t="shared" si="0"/>
        <v>1151</v>
      </c>
      <c r="H54" s="109" t="s">
        <v>80</v>
      </c>
    </row>
    <row r="55" spans="1:8">
      <c r="A55" s="108" t="s">
        <v>430</v>
      </c>
      <c r="B55" s="108">
        <v>30286.3</v>
      </c>
      <c r="C55" s="108">
        <v>0</v>
      </c>
      <c r="D55" s="108">
        <v>0</v>
      </c>
      <c r="E55" s="108">
        <v>30286.3</v>
      </c>
      <c r="G55" s="108">
        <f t="shared" si="0"/>
        <v>30286.3</v>
      </c>
      <c r="H55" s="109" t="s">
        <v>80</v>
      </c>
    </row>
    <row r="56" spans="1:8">
      <c r="A56" s="108" t="s">
        <v>448</v>
      </c>
      <c r="B56" s="108">
        <v>1335.22</v>
      </c>
      <c r="C56" s="108">
        <v>0</v>
      </c>
      <c r="D56" s="108">
        <v>0</v>
      </c>
      <c r="E56" s="108">
        <v>1335.22</v>
      </c>
      <c r="G56" s="108">
        <f t="shared" si="0"/>
        <v>1335.22</v>
      </c>
      <c r="H56" s="109" t="s">
        <v>80</v>
      </c>
    </row>
    <row r="57" spans="1:8">
      <c r="A57" s="108" t="s">
        <v>1060</v>
      </c>
      <c r="B57" s="108">
        <v>0</v>
      </c>
      <c r="C57" s="108">
        <v>0</v>
      </c>
      <c r="D57" s="108">
        <v>0</v>
      </c>
      <c r="E57" s="108">
        <v>0</v>
      </c>
      <c r="G57" s="108">
        <f t="shared" si="0"/>
        <v>0</v>
      </c>
      <c r="H57" s="109" t="s">
        <v>80</v>
      </c>
    </row>
    <row r="58" spans="1:8">
      <c r="A58" s="108" t="s">
        <v>145</v>
      </c>
      <c r="B58" s="108">
        <v>-418818</v>
      </c>
      <c r="C58" s="108">
        <v>0</v>
      </c>
      <c r="D58" s="108">
        <v>0</v>
      </c>
      <c r="E58" s="108">
        <v>-418818</v>
      </c>
      <c r="G58" s="108">
        <f t="shared" si="0"/>
        <v>-418818</v>
      </c>
      <c r="H58" s="109" t="s">
        <v>80</v>
      </c>
    </row>
    <row r="59" spans="1:8">
      <c r="A59" s="108" t="s">
        <v>146</v>
      </c>
      <c r="B59" s="108">
        <v>66480</v>
      </c>
      <c r="C59" s="108">
        <v>0</v>
      </c>
      <c r="D59" s="108">
        <v>0</v>
      </c>
      <c r="E59" s="108">
        <v>66480</v>
      </c>
      <c r="G59" s="108">
        <f t="shared" si="0"/>
        <v>66480</v>
      </c>
      <c r="H59" s="109" t="s">
        <v>80</v>
      </c>
    </row>
    <row r="60" spans="1:8">
      <c r="A60" s="108" t="s">
        <v>392</v>
      </c>
      <c r="B60" s="108">
        <v>1767704.75</v>
      </c>
      <c r="C60" s="108">
        <v>0</v>
      </c>
      <c r="D60" s="108">
        <v>0</v>
      </c>
      <c r="E60" s="108">
        <v>1767704.75</v>
      </c>
      <c r="G60" s="108">
        <f t="shared" si="0"/>
        <v>1767704.75</v>
      </c>
      <c r="H60" s="109" t="s">
        <v>80</v>
      </c>
    </row>
    <row r="61" spans="1:8">
      <c r="A61" s="108" t="s">
        <v>431</v>
      </c>
      <c r="B61" s="108">
        <v>1324336.43</v>
      </c>
      <c r="C61" s="108">
        <v>1698.8</v>
      </c>
      <c r="D61" s="108">
        <v>0</v>
      </c>
      <c r="E61" s="108">
        <v>1326035.23</v>
      </c>
      <c r="G61" s="108">
        <f t="shared" si="0"/>
        <v>1326035.23</v>
      </c>
      <c r="H61" s="109" t="s">
        <v>80</v>
      </c>
    </row>
    <row r="62" spans="1:8">
      <c r="A62" s="108" t="s">
        <v>501</v>
      </c>
      <c r="B62" s="108">
        <v>0</v>
      </c>
      <c r="C62" s="108">
        <v>105634.36</v>
      </c>
      <c r="D62" s="108">
        <v>0</v>
      </c>
      <c r="E62" s="108">
        <v>105634.36</v>
      </c>
      <c r="G62" s="108">
        <f t="shared" si="0"/>
        <v>105634.36</v>
      </c>
      <c r="H62" s="109" t="s">
        <v>80</v>
      </c>
    </row>
    <row r="63" spans="1:8">
      <c r="A63" s="108" t="s">
        <v>1059</v>
      </c>
      <c r="B63" s="108">
        <v>0</v>
      </c>
      <c r="C63" s="108">
        <v>0</v>
      </c>
      <c r="D63" s="108">
        <v>0</v>
      </c>
      <c r="E63" s="108">
        <v>0</v>
      </c>
      <c r="G63" s="108">
        <f t="shared" si="0"/>
        <v>0</v>
      </c>
      <c r="H63" s="109" t="s">
        <v>80</v>
      </c>
    </row>
    <row r="64" spans="1:8">
      <c r="A64" s="108" t="s">
        <v>534</v>
      </c>
      <c r="B64" s="108">
        <v>1205388922.52</v>
      </c>
      <c r="C64" s="108">
        <v>48341044</v>
      </c>
      <c r="D64" s="108">
        <v>8735490</v>
      </c>
      <c r="E64" s="108">
        <v>1244994476.52</v>
      </c>
      <c r="G64" s="108">
        <f t="shared" si="0"/>
        <v>1244994476.52</v>
      </c>
      <c r="H64" s="109" t="s">
        <v>80</v>
      </c>
    </row>
    <row r="65" spans="1:8">
      <c r="A65" s="108" t="s">
        <v>535</v>
      </c>
      <c r="B65" s="108">
        <v>0.01</v>
      </c>
      <c r="C65" s="108">
        <v>0</v>
      </c>
      <c r="D65" s="108">
        <v>0</v>
      </c>
      <c r="E65" s="108">
        <v>0.01</v>
      </c>
      <c r="G65" s="108">
        <f t="shared" si="0"/>
        <v>0.01</v>
      </c>
      <c r="H65" s="109" t="s">
        <v>80</v>
      </c>
    </row>
    <row r="66" spans="1:8">
      <c r="A66" s="108" t="s">
        <v>536</v>
      </c>
      <c r="B66" s="108">
        <v>0.06</v>
      </c>
      <c r="C66" s="108">
        <v>0</v>
      </c>
      <c r="D66" s="108">
        <v>0</v>
      </c>
      <c r="E66" s="108">
        <v>0.06</v>
      </c>
      <c r="G66" s="108">
        <f t="shared" si="0"/>
        <v>0.06</v>
      </c>
      <c r="H66" s="109" t="s">
        <v>80</v>
      </c>
    </row>
    <row r="67" spans="1:8">
      <c r="A67" s="108" t="s">
        <v>1058</v>
      </c>
      <c r="B67" s="108">
        <v>0</v>
      </c>
      <c r="C67" s="108">
        <v>0</v>
      </c>
      <c r="D67" s="108">
        <v>0</v>
      </c>
      <c r="E67" s="108">
        <v>0</v>
      </c>
      <c r="G67" s="108">
        <f t="shared" ref="G67:G130" si="1">E67+F67</f>
        <v>0</v>
      </c>
      <c r="H67" s="109" t="s">
        <v>80</v>
      </c>
    </row>
    <row r="68" spans="1:8">
      <c r="A68" s="108" t="s">
        <v>84</v>
      </c>
      <c r="B68" s="108">
        <v>41258.14</v>
      </c>
      <c r="C68" s="108">
        <v>300000</v>
      </c>
      <c r="D68" s="108">
        <v>276151</v>
      </c>
      <c r="E68" s="108">
        <v>65107.14</v>
      </c>
      <c r="G68" s="108">
        <f t="shared" si="1"/>
        <v>65107.14</v>
      </c>
      <c r="H68" s="109" t="s">
        <v>80</v>
      </c>
    </row>
    <row r="69" spans="1:8">
      <c r="A69" s="108" t="s">
        <v>85</v>
      </c>
      <c r="B69" s="108">
        <v>895</v>
      </c>
      <c r="C69" s="108">
        <v>100000</v>
      </c>
      <c r="D69" s="108">
        <v>47480</v>
      </c>
      <c r="E69" s="108">
        <v>53415</v>
      </c>
      <c r="G69" s="108">
        <f t="shared" si="1"/>
        <v>53415</v>
      </c>
      <c r="H69" s="109" t="s">
        <v>80</v>
      </c>
    </row>
    <row r="70" spans="1:8">
      <c r="A70" s="108" t="s">
        <v>537</v>
      </c>
      <c r="B70" s="108">
        <v>12658</v>
      </c>
      <c r="C70" s="108">
        <v>0</v>
      </c>
      <c r="D70" s="108">
        <v>0</v>
      </c>
      <c r="E70" s="108">
        <v>12658</v>
      </c>
      <c r="G70" s="108">
        <f t="shared" si="1"/>
        <v>12658</v>
      </c>
      <c r="H70" s="109" t="s">
        <v>80</v>
      </c>
    </row>
    <row r="71" spans="1:8">
      <c r="A71" s="108" t="s">
        <v>538</v>
      </c>
      <c r="B71" s="108">
        <v>2176060</v>
      </c>
      <c r="C71" s="108">
        <v>0</v>
      </c>
      <c r="D71" s="108">
        <v>0</v>
      </c>
      <c r="E71" s="108">
        <v>2176060</v>
      </c>
      <c r="G71" s="108">
        <f t="shared" si="1"/>
        <v>2176060</v>
      </c>
      <c r="H71" s="109" t="s">
        <v>80</v>
      </c>
    </row>
    <row r="72" spans="1:8">
      <c r="A72" s="108" t="s">
        <v>539</v>
      </c>
      <c r="B72" s="108">
        <v>2589775</v>
      </c>
      <c r="C72" s="108">
        <v>0</v>
      </c>
      <c r="D72" s="108">
        <v>0</v>
      </c>
      <c r="E72" s="108">
        <v>2589775</v>
      </c>
      <c r="G72" s="108">
        <f t="shared" si="1"/>
        <v>2589775</v>
      </c>
      <c r="H72" s="109" t="s">
        <v>80</v>
      </c>
    </row>
    <row r="73" spans="1:8">
      <c r="A73" s="108" t="s">
        <v>540</v>
      </c>
      <c r="B73" s="108">
        <v>6100000</v>
      </c>
      <c r="C73" s="108">
        <v>0</v>
      </c>
      <c r="D73" s="108">
        <v>0</v>
      </c>
      <c r="E73" s="108">
        <v>6100000</v>
      </c>
      <c r="G73" s="108">
        <f t="shared" si="1"/>
        <v>6100000</v>
      </c>
      <c r="H73" s="109" t="s">
        <v>80</v>
      </c>
    </row>
    <row r="74" spans="1:8">
      <c r="A74" s="108" t="s">
        <v>541</v>
      </c>
      <c r="B74" s="108">
        <v>60017754</v>
      </c>
      <c r="C74" s="108">
        <v>0</v>
      </c>
      <c r="D74" s="108">
        <v>60142043</v>
      </c>
      <c r="E74" s="108">
        <v>-124289</v>
      </c>
      <c r="G74" s="108">
        <f t="shared" si="1"/>
        <v>-124289</v>
      </c>
      <c r="H74" s="109" t="s">
        <v>80</v>
      </c>
    </row>
    <row r="75" spans="1:8">
      <c r="A75" s="108" t="s">
        <v>542</v>
      </c>
      <c r="B75" s="108">
        <v>2300953</v>
      </c>
      <c r="C75" s="108">
        <v>0</v>
      </c>
      <c r="D75" s="108">
        <v>0</v>
      </c>
      <c r="E75" s="108">
        <v>2300953</v>
      </c>
      <c r="G75" s="108">
        <f t="shared" si="1"/>
        <v>2300953</v>
      </c>
      <c r="H75" s="109" t="s">
        <v>80</v>
      </c>
    </row>
    <row r="76" spans="1:8">
      <c r="A76" s="108" t="s">
        <v>543</v>
      </c>
      <c r="B76" s="108">
        <v>50000000</v>
      </c>
      <c r="C76" s="108">
        <v>0</v>
      </c>
      <c r="D76" s="108">
        <v>0</v>
      </c>
      <c r="E76" s="108">
        <v>50000000</v>
      </c>
      <c r="G76" s="108">
        <f t="shared" si="1"/>
        <v>50000000</v>
      </c>
      <c r="H76" s="109" t="s">
        <v>80</v>
      </c>
    </row>
    <row r="77" spans="1:8">
      <c r="A77" s="108" t="s">
        <v>544</v>
      </c>
      <c r="B77" s="108">
        <v>13000000</v>
      </c>
      <c r="C77" s="108">
        <v>0</v>
      </c>
      <c r="D77" s="108">
        <v>0</v>
      </c>
      <c r="E77" s="108">
        <v>13000000</v>
      </c>
      <c r="G77" s="108">
        <f t="shared" si="1"/>
        <v>13000000</v>
      </c>
      <c r="H77" s="109" t="s">
        <v>80</v>
      </c>
    </row>
    <row r="78" spans="1:8">
      <c r="A78" s="108" t="s">
        <v>519</v>
      </c>
      <c r="B78" s="108">
        <v>217112</v>
      </c>
      <c r="C78" s="108">
        <v>0</v>
      </c>
      <c r="D78" s="108">
        <v>0</v>
      </c>
      <c r="E78" s="108">
        <v>217112</v>
      </c>
      <c r="G78" s="108">
        <f t="shared" si="1"/>
        <v>217112</v>
      </c>
      <c r="H78" s="109" t="s">
        <v>80</v>
      </c>
    </row>
    <row r="79" spans="1:8">
      <c r="A79" s="108" t="s">
        <v>545</v>
      </c>
      <c r="B79" s="108">
        <v>12166394.48</v>
      </c>
      <c r="C79" s="108">
        <v>0</v>
      </c>
      <c r="D79" s="108">
        <v>0</v>
      </c>
      <c r="E79" s="108">
        <v>12166394.48</v>
      </c>
      <c r="G79" s="108">
        <f t="shared" si="1"/>
        <v>12166394.48</v>
      </c>
      <c r="H79" s="109" t="s">
        <v>80</v>
      </c>
    </row>
    <row r="80" spans="1:8">
      <c r="A80" s="108" t="s">
        <v>546</v>
      </c>
      <c r="B80" s="108">
        <v>60587491.689999998</v>
      </c>
      <c r="C80" s="108">
        <v>0</v>
      </c>
      <c r="D80" s="108">
        <v>0</v>
      </c>
      <c r="E80" s="108">
        <v>60587491.689999998</v>
      </c>
      <c r="G80" s="108">
        <f t="shared" si="1"/>
        <v>60587491.689999998</v>
      </c>
      <c r="H80" s="109" t="s">
        <v>80</v>
      </c>
    </row>
    <row r="81" spans="1:8">
      <c r="A81" s="108" t="s">
        <v>547</v>
      </c>
      <c r="B81" s="108">
        <v>243605.52</v>
      </c>
      <c r="C81" s="108">
        <v>0</v>
      </c>
      <c r="D81" s="108">
        <v>0</v>
      </c>
      <c r="E81" s="108">
        <v>243605.52</v>
      </c>
      <c r="G81" s="108">
        <f t="shared" si="1"/>
        <v>243605.52</v>
      </c>
      <c r="H81" s="109" t="s">
        <v>80</v>
      </c>
    </row>
    <row r="82" spans="1:8">
      <c r="A82" s="108" t="s">
        <v>548</v>
      </c>
      <c r="B82" s="108">
        <v>54931400</v>
      </c>
      <c r="C82" s="108">
        <v>0</v>
      </c>
      <c r="D82" s="108">
        <v>0</v>
      </c>
      <c r="E82" s="108">
        <v>54931400</v>
      </c>
      <c r="G82" s="108">
        <f t="shared" si="1"/>
        <v>54931400</v>
      </c>
      <c r="H82" s="109" t="s">
        <v>80</v>
      </c>
    </row>
    <row r="83" spans="1:8">
      <c r="A83" s="108" t="s">
        <v>549</v>
      </c>
      <c r="B83" s="108">
        <v>-651515</v>
      </c>
      <c r="C83" s="108">
        <v>0</v>
      </c>
      <c r="D83" s="108">
        <v>0</v>
      </c>
      <c r="E83" s="108">
        <v>-651515</v>
      </c>
      <c r="G83" s="108">
        <f t="shared" si="1"/>
        <v>-651515</v>
      </c>
      <c r="H83" s="109" t="s">
        <v>80</v>
      </c>
    </row>
    <row r="84" spans="1:8">
      <c r="A84" s="108" t="s">
        <v>550</v>
      </c>
      <c r="B84" s="108">
        <v>289971000</v>
      </c>
      <c r="C84" s="108">
        <v>0</v>
      </c>
      <c r="D84" s="108">
        <v>0</v>
      </c>
      <c r="E84" s="108">
        <v>289971000</v>
      </c>
      <c r="G84" s="108">
        <f t="shared" si="1"/>
        <v>289971000</v>
      </c>
      <c r="H84" s="109" t="s">
        <v>80</v>
      </c>
    </row>
    <row r="85" spans="1:8">
      <c r="A85" s="108" t="s">
        <v>551</v>
      </c>
      <c r="B85" s="108">
        <v>5175000</v>
      </c>
      <c r="C85" s="108">
        <v>0</v>
      </c>
      <c r="D85" s="108">
        <v>0</v>
      </c>
      <c r="E85" s="108">
        <v>5175000</v>
      </c>
      <c r="G85" s="108">
        <f t="shared" si="1"/>
        <v>5175000</v>
      </c>
      <c r="H85" s="109" t="s">
        <v>80</v>
      </c>
    </row>
    <row r="86" spans="1:8">
      <c r="A86" s="108" t="s">
        <v>1057</v>
      </c>
      <c r="B86" s="108">
        <v>0</v>
      </c>
      <c r="C86" s="108">
        <v>0</v>
      </c>
      <c r="D86" s="108">
        <v>0</v>
      </c>
      <c r="E86" s="108">
        <v>0</v>
      </c>
      <c r="G86" s="108">
        <f t="shared" si="1"/>
        <v>0</v>
      </c>
      <c r="H86" s="109" t="s">
        <v>80</v>
      </c>
    </row>
    <row r="87" spans="1:8">
      <c r="A87" s="108" t="s">
        <v>552</v>
      </c>
      <c r="B87" s="108">
        <v>120000000</v>
      </c>
      <c r="C87" s="108">
        <v>0</v>
      </c>
      <c r="D87" s="108">
        <v>110000000</v>
      </c>
      <c r="E87" s="108">
        <v>10000000</v>
      </c>
      <c r="G87" s="108">
        <f t="shared" si="1"/>
        <v>10000000</v>
      </c>
      <c r="H87" s="109" t="s">
        <v>80</v>
      </c>
    </row>
    <row r="88" spans="1:8">
      <c r="A88" s="108" t="s">
        <v>553</v>
      </c>
      <c r="B88" s="108">
        <v>788480</v>
      </c>
      <c r="C88" s="108">
        <v>0</v>
      </c>
      <c r="D88" s="108">
        <v>0</v>
      </c>
      <c r="E88" s="108">
        <v>788480</v>
      </c>
      <c r="G88" s="108">
        <f t="shared" si="1"/>
        <v>788480</v>
      </c>
      <c r="H88" s="109" t="s">
        <v>80</v>
      </c>
    </row>
    <row r="89" spans="1:8">
      <c r="A89" s="108" t="s">
        <v>555</v>
      </c>
      <c r="B89" s="108">
        <v>761067.47</v>
      </c>
      <c r="C89" s="108">
        <v>5103.75</v>
      </c>
      <c r="D89" s="108">
        <v>710794.47</v>
      </c>
      <c r="E89" s="108">
        <v>55376.75</v>
      </c>
      <c r="G89" s="108">
        <f t="shared" si="1"/>
        <v>55376.75</v>
      </c>
      <c r="H89" s="109" t="s">
        <v>80</v>
      </c>
    </row>
    <row r="90" spans="1:8">
      <c r="A90" s="108" t="s">
        <v>556</v>
      </c>
      <c r="B90" s="108">
        <v>227369.96</v>
      </c>
      <c r="C90" s="108">
        <v>100892.7</v>
      </c>
      <c r="D90" s="108">
        <v>239710.9</v>
      </c>
      <c r="E90" s="108">
        <v>88551.76</v>
      </c>
      <c r="G90" s="108">
        <f t="shared" si="1"/>
        <v>88551.76</v>
      </c>
      <c r="H90" s="109" t="s">
        <v>80</v>
      </c>
    </row>
    <row r="91" spans="1:8">
      <c r="A91" s="108" t="s">
        <v>557</v>
      </c>
      <c r="B91" s="108">
        <v>761067.47</v>
      </c>
      <c r="C91" s="108">
        <v>5103.75</v>
      </c>
      <c r="D91" s="108">
        <v>710794.47</v>
      </c>
      <c r="E91" s="108">
        <v>55376.75</v>
      </c>
      <c r="G91" s="108">
        <f t="shared" si="1"/>
        <v>55376.75</v>
      </c>
      <c r="H91" s="109" t="s">
        <v>80</v>
      </c>
    </row>
    <row r="92" spans="1:8">
      <c r="A92" s="108" t="s">
        <v>558</v>
      </c>
      <c r="B92" s="108">
        <v>-3821334</v>
      </c>
      <c r="C92" s="108">
        <v>0</v>
      </c>
      <c r="D92" s="108">
        <v>0</v>
      </c>
      <c r="E92" s="108">
        <v>-3821334</v>
      </c>
      <c r="G92" s="108">
        <f t="shared" si="1"/>
        <v>-3821334</v>
      </c>
      <c r="H92" s="109" t="s">
        <v>80</v>
      </c>
    </row>
    <row r="93" spans="1:8">
      <c r="A93" s="108" t="s">
        <v>87</v>
      </c>
      <c r="B93" s="108">
        <v>0</v>
      </c>
      <c r="C93" s="108">
        <v>5220650.03</v>
      </c>
      <c r="D93" s="108">
        <v>5220785.03</v>
      </c>
      <c r="E93" s="108">
        <v>-135</v>
      </c>
      <c r="G93" s="108">
        <f t="shared" si="1"/>
        <v>-135</v>
      </c>
      <c r="H93" s="109" t="s">
        <v>80</v>
      </c>
    </row>
    <row r="94" spans="1:8">
      <c r="A94" s="108" t="s">
        <v>105</v>
      </c>
      <c r="B94" s="108">
        <v>0</v>
      </c>
      <c r="C94" s="108">
        <v>5450</v>
      </c>
      <c r="D94" s="108">
        <v>2725</v>
      </c>
      <c r="E94" s="108">
        <v>2725</v>
      </c>
      <c r="G94" s="108">
        <f t="shared" si="1"/>
        <v>2725</v>
      </c>
      <c r="H94" s="109" t="s">
        <v>80</v>
      </c>
    </row>
    <row r="95" spans="1:8">
      <c r="A95" s="108" t="s">
        <v>1061</v>
      </c>
      <c r="B95" s="108">
        <v>1271337</v>
      </c>
      <c r="C95" s="108">
        <v>5844029.3799999999</v>
      </c>
      <c r="D95" s="108">
        <v>7115366.3799999999</v>
      </c>
      <c r="E95" s="108">
        <v>0</v>
      </c>
      <c r="G95" s="108">
        <f t="shared" si="1"/>
        <v>0</v>
      </c>
      <c r="H95" s="109" t="s">
        <v>80</v>
      </c>
    </row>
    <row r="96" spans="1:8">
      <c r="A96" s="108" t="s">
        <v>135</v>
      </c>
      <c r="B96" s="108">
        <v>0</v>
      </c>
      <c r="C96" s="108">
        <v>5220650.03</v>
      </c>
      <c r="D96" s="108">
        <v>5220785.03</v>
      </c>
      <c r="E96" s="108">
        <v>-135</v>
      </c>
      <c r="G96" s="108">
        <f t="shared" si="1"/>
        <v>-135</v>
      </c>
      <c r="H96" s="109" t="s">
        <v>80</v>
      </c>
    </row>
    <row r="97" spans="1:8">
      <c r="A97" s="108" t="s">
        <v>559</v>
      </c>
      <c r="B97" s="108">
        <v>1171.99</v>
      </c>
      <c r="C97" s="108">
        <v>28140833</v>
      </c>
      <c r="D97" s="108">
        <v>28140833</v>
      </c>
      <c r="E97" s="108">
        <v>1171.99</v>
      </c>
      <c r="G97" s="108">
        <f t="shared" si="1"/>
        <v>1171.99</v>
      </c>
      <c r="H97" s="109" t="s">
        <v>80</v>
      </c>
    </row>
    <row r="98" spans="1:8">
      <c r="A98" s="108" t="s">
        <v>560</v>
      </c>
      <c r="B98" s="108">
        <v>-86936.05</v>
      </c>
      <c r="C98" s="108">
        <v>19250527.559999999</v>
      </c>
      <c r="D98" s="108">
        <v>19250528.199999999</v>
      </c>
      <c r="E98" s="108">
        <v>-86936.69</v>
      </c>
      <c r="G98" s="108">
        <f t="shared" si="1"/>
        <v>-86936.69</v>
      </c>
      <c r="H98" s="109" t="s">
        <v>80</v>
      </c>
    </row>
    <row r="99" spans="1:8">
      <c r="A99" s="108" t="s">
        <v>112</v>
      </c>
      <c r="B99" s="108">
        <v>23664031.890000001</v>
      </c>
      <c r="C99" s="108">
        <v>5066827.5599999996</v>
      </c>
      <c r="D99" s="108">
        <v>1178207</v>
      </c>
      <c r="E99" s="108">
        <v>27552652.449999999</v>
      </c>
      <c r="G99" s="108">
        <f t="shared" si="1"/>
        <v>27552652.449999999</v>
      </c>
      <c r="H99" s="109" t="s">
        <v>80</v>
      </c>
    </row>
    <row r="100" spans="1:8">
      <c r="A100" s="108" t="s">
        <v>561</v>
      </c>
      <c r="B100" s="108">
        <v>-26904578.440000001</v>
      </c>
      <c r="C100" s="108">
        <v>0</v>
      </c>
      <c r="D100" s="108">
        <v>0</v>
      </c>
      <c r="E100" s="108">
        <v>-26904578.440000001</v>
      </c>
      <c r="G100" s="108">
        <f t="shared" si="1"/>
        <v>-26904578.440000001</v>
      </c>
      <c r="H100" s="109" t="s">
        <v>80</v>
      </c>
    </row>
    <row r="101" spans="1:8">
      <c r="A101" s="108" t="s">
        <v>562</v>
      </c>
      <c r="B101" s="108">
        <v>-85919.34</v>
      </c>
      <c r="C101" s="108">
        <v>0</v>
      </c>
      <c r="D101" s="108">
        <v>0</v>
      </c>
      <c r="E101" s="108">
        <v>-85919.34</v>
      </c>
      <c r="G101" s="108">
        <f t="shared" si="1"/>
        <v>-85919.34</v>
      </c>
      <c r="H101" s="109" t="s">
        <v>80</v>
      </c>
    </row>
    <row r="102" spans="1:8">
      <c r="A102" s="108" t="s">
        <v>96</v>
      </c>
      <c r="B102" s="108">
        <v>407065.63</v>
      </c>
      <c r="C102" s="108">
        <v>0</v>
      </c>
      <c r="D102" s="108">
        <v>0</v>
      </c>
      <c r="E102" s="108">
        <v>407065.63</v>
      </c>
      <c r="G102" s="108">
        <f t="shared" si="1"/>
        <v>407065.63</v>
      </c>
      <c r="H102" s="109" t="s">
        <v>80</v>
      </c>
    </row>
    <row r="103" spans="1:8">
      <c r="A103" s="108" t="s">
        <v>563</v>
      </c>
      <c r="B103" s="108">
        <v>7359905.7999999998</v>
      </c>
      <c r="C103" s="108">
        <v>0</v>
      </c>
      <c r="D103" s="108">
        <v>0</v>
      </c>
      <c r="E103" s="108">
        <v>7359905.7999999998</v>
      </c>
      <c r="G103" s="108">
        <f t="shared" si="1"/>
        <v>7359905.7999999998</v>
      </c>
      <c r="H103" s="109" t="s">
        <v>80</v>
      </c>
    </row>
    <row r="104" spans="1:8">
      <c r="A104" s="108" t="s">
        <v>564</v>
      </c>
      <c r="B104" s="108">
        <v>-7246.93</v>
      </c>
      <c r="C104" s="108">
        <v>0</v>
      </c>
      <c r="D104" s="108">
        <v>0</v>
      </c>
      <c r="E104" s="108">
        <v>-7246.93</v>
      </c>
      <c r="G104" s="108">
        <f t="shared" si="1"/>
        <v>-7246.93</v>
      </c>
      <c r="H104" s="109" t="s">
        <v>80</v>
      </c>
    </row>
    <row r="105" spans="1:8">
      <c r="A105" s="108" t="s">
        <v>129</v>
      </c>
      <c r="B105" s="108">
        <v>1986677</v>
      </c>
      <c r="C105" s="108">
        <v>0</v>
      </c>
      <c r="D105" s="108">
        <v>342799</v>
      </c>
      <c r="E105" s="108">
        <v>1643878</v>
      </c>
      <c r="G105" s="108">
        <f t="shared" si="1"/>
        <v>1643878</v>
      </c>
      <c r="H105" s="109" t="s">
        <v>80</v>
      </c>
    </row>
    <row r="106" spans="1:8">
      <c r="A106" s="108" t="s">
        <v>565</v>
      </c>
      <c r="B106" s="108">
        <v>0</v>
      </c>
      <c r="C106" s="108">
        <v>17665.25</v>
      </c>
      <c r="D106" s="108">
        <v>17665.25</v>
      </c>
      <c r="E106" s="108">
        <v>0</v>
      </c>
      <c r="G106" s="108">
        <f t="shared" si="1"/>
        <v>0</v>
      </c>
      <c r="H106" s="109" t="s">
        <v>80</v>
      </c>
    </row>
    <row r="107" spans="1:8">
      <c r="A107" s="108" t="s">
        <v>566</v>
      </c>
      <c r="B107" s="108">
        <v>0</v>
      </c>
      <c r="C107" s="108">
        <v>1271337</v>
      </c>
      <c r="D107" s="108">
        <v>1271337</v>
      </c>
      <c r="E107" s="108">
        <v>0</v>
      </c>
      <c r="G107" s="108">
        <f t="shared" si="1"/>
        <v>0</v>
      </c>
      <c r="H107" s="109" t="s">
        <v>80</v>
      </c>
    </row>
    <row r="108" spans="1:8">
      <c r="A108" s="108" t="s">
        <v>567</v>
      </c>
      <c r="B108" s="108">
        <v>0</v>
      </c>
      <c r="C108" s="108">
        <v>17665.25</v>
      </c>
      <c r="D108" s="108">
        <v>17665.25</v>
      </c>
      <c r="E108" s="108">
        <v>0</v>
      </c>
      <c r="G108" s="108">
        <f t="shared" si="1"/>
        <v>0</v>
      </c>
      <c r="H108" s="109" t="s">
        <v>80</v>
      </c>
    </row>
    <row r="109" spans="1:8">
      <c r="A109" s="108" t="s">
        <v>568</v>
      </c>
      <c r="B109" s="108">
        <v>222566</v>
      </c>
      <c r="C109" s="108">
        <v>0</v>
      </c>
      <c r="D109" s="108">
        <v>0</v>
      </c>
      <c r="E109" s="108">
        <v>222566</v>
      </c>
      <c r="G109" s="108">
        <f t="shared" si="1"/>
        <v>222566</v>
      </c>
      <c r="H109" s="109" t="s">
        <v>80</v>
      </c>
    </row>
    <row r="110" spans="1:8">
      <c r="A110" s="108" t="s">
        <v>569</v>
      </c>
      <c r="B110" s="108">
        <v>173552</v>
      </c>
      <c r="C110" s="108">
        <v>0</v>
      </c>
      <c r="D110" s="108">
        <v>0</v>
      </c>
      <c r="E110" s="108">
        <v>173552</v>
      </c>
      <c r="G110" s="108">
        <f t="shared" si="1"/>
        <v>173552</v>
      </c>
      <c r="H110" s="109" t="s">
        <v>80</v>
      </c>
    </row>
    <row r="111" spans="1:8">
      <c r="A111" s="108" t="s">
        <v>570</v>
      </c>
      <c r="B111" s="108">
        <v>1600000</v>
      </c>
      <c r="C111" s="108">
        <v>0</v>
      </c>
      <c r="D111" s="108">
        <v>0</v>
      </c>
      <c r="E111" s="108">
        <v>1600000</v>
      </c>
      <c r="G111" s="108">
        <f t="shared" si="1"/>
        <v>1600000</v>
      </c>
      <c r="H111" s="109" t="s">
        <v>80</v>
      </c>
    </row>
    <row r="112" spans="1:8">
      <c r="A112" s="108" t="s">
        <v>81</v>
      </c>
      <c r="B112" s="108">
        <v>-904063.5</v>
      </c>
      <c r="C112" s="108">
        <v>1833000</v>
      </c>
      <c r="D112" s="108">
        <v>904317</v>
      </c>
      <c r="E112" s="108">
        <v>24619.5</v>
      </c>
      <c r="G112" s="108">
        <f t="shared" si="1"/>
        <v>24619.5</v>
      </c>
      <c r="H112" s="109" t="s">
        <v>80</v>
      </c>
    </row>
    <row r="113" spans="1:8">
      <c r="A113" s="108" t="s">
        <v>571</v>
      </c>
      <c r="B113" s="108">
        <v>37500</v>
      </c>
      <c r="C113" s="108">
        <v>0</v>
      </c>
      <c r="D113" s="108">
        <v>0</v>
      </c>
      <c r="E113" s="108">
        <v>37500</v>
      </c>
      <c r="G113" s="108">
        <f t="shared" si="1"/>
        <v>37500</v>
      </c>
      <c r="H113" s="109" t="s">
        <v>80</v>
      </c>
    </row>
    <row r="114" spans="1:8">
      <c r="A114" s="108" t="s">
        <v>572</v>
      </c>
      <c r="B114" s="108">
        <v>222030</v>
      </c>
      <c r="C114" s="108">
        <v>0</v>
      </c>
      <c r="D114" s="108">
        <v>0</v>
      </c>
      <c r="E114" s="108">
        <v>222030</v>
      </c>
      <c r="G114" s="108">
        <f t="shared" si="1"/>
        <v>222030</v>
      </c>
      <c r="H114" s="109" t="s">
        <v>80</v>
      </c>
    </row>
    <row r="115" spans="1:8">
      <c r="A115" s="108" t="s">
        <v>573</v>
      </c>
      <c r="B115" s="108">
        <v>5100</v>
      </c>
      <c r="C115" s="108">
        <v>4000</v>
      </c>
      <c r="D115" s="108">
        <v>10000</v>
      </c>
      <c r="E115" s="108">
        <v>-900</v>
      </c>
      <c r="G115" s="108">
        <f t="shared" si="1"/>
        <v>-900</v>
      </c>
      <c r="H115" s="109" t="s">
        <v>80</v>
      </c>
    </row>
    <row r="116" spans="1:8">
      <c r="A116" s="108" t="s">
        <v>139</v>
      </c>
      <c r="B116" s="108">
        <v>1475496</v>
      </c>
      <c r="C116" s="108">
        <v>652000</v>
      </c>
      <c r="D116" s="108">
        <v>290444</v>
      </c>
      <c r="E116" s="108">
        <v>1837052</v>
      </c>
      <c r="G116" s="108">
        <f t="shared" si="1"/>
        <v>1837052</v>
      </c>
      <c r="H116" s="109" t="s">
        <v>80</v>
      </c>
    </row>
    <row r="117" spans="1:8">
      <c r="A117" s="108" t="s">
        <v>1041</v>
      </c>
      <c r="B117" s="108">
        <v>5000</v>
      </c>
      <c r="C117" s="108">
        <v>0</v>
      </c>
      <c r="D117" s="108">
        <v>0</v>
      </c>
      <c r="E117" s="108">
        <v>5000</v>
      </c>
      <c r="G117" s="108">
        <f t="shared" si="1"/>
        <v>5000</v>
      </c>
      <c r="H117" s="109" t="s">
        <v>80</v>
      </c>
    </row>
    <row r="118" spans="1:8">
      <c r="A118" s="108" t="s">
        <v>1075</v>
      </c>
      <c r="B118" s="108">
        <v>0</v>
      </c>
      <c r="C118" s="108">
        <v>0</v>
      </c>
      <c r="D118" s="108">
        <v>0</v>
      </c>
      <c r="E118" s="108">
        <v>0</v>
      </c>
      <c r="G118" s="108">
        <f t="shared" si="1"/>
        <v>0</v>
      </c>
      <c r="H118" s="109" t="s">
        <v>80</v>
      </c>
    </row>
    <row r="119" spans="1:8">
      <c r="A119" s="108" t="s">
        <v>502</v>
      </c>
      <c r="B119" s="108">
        <v>107.89</v>
      </c>
      <c r="C119" s="108">
        <v>0</v>
      </c>
      <c r="D119" s="108">
        <v>0</v>
      </c>
      <c r="E119" s="108">
        <v>107.89</v>
      </c>
      <c r="G119" s="108">
        <f t="shared" si="1"/>
        <v>107.89</v>
      </c>
      <c r="H119" s="109" t="s">
        <v>80</v>
      </c>
    </row>
    <row r="120" spans="1:8">
      <c r="A120" s="108" t="s">
        <v>1064</v>
      </c>
      <c r="B120" s="108">
        <v>0</v>
      </c>
      <c r="C120" s="108">
        <v>0</v>
      </c>
      <c r="D120" s="108">
        <v>0</v>
      </c>
      <c r="E120" s="108">
        <v>0</v>
      </c>
      <c r="G120" s="108">
        <f t="shared" si="1"/>
        <v>0</v>
      </c>
      <c r="H120" s="109" t="s">
        <v>80</v>
      </c>
    </row>
    <row r="121" spans="1:8">
      <c r="A121" s="108" t="s">
        <v>1370</v>
      </c>
      <c r="B121" s="108">
        <v>0</v>
      </c>
      <c r="C121" s="108">
        <v>0</v>
      </c>
      <c r="D121" s="108">
        <v>0</v>
      </c>
      <c r="E121" s="108">
        <v>0</v>
      </c>
      <c r="G121" s="108">
        <f t="shared" si="1"/>
        <v>0</v>
      </c>
      <c r="H121" s="109" t="s">
        <v>80</v>
      </c>
    </row>
    <row r="122" spans="1:8">
      <c r="A122" s="108" t="s">
        <v>1371</v>
      </c>
      <c r="B122" s="108">
        <v>0</v>
      </c>
      <c r="C122" s="108">
        <v>0</v>
      </c>
      <c r="D122" s="108">
        <v>0</v>
      </c>
      <c r="E122" s="108">
        <v>0</v>
      </c>
      <c r="G122" s="108">
        <f t="shared" si="1"/>
        <v>0</v>
      </c>
      <c r="H122" s="109" t="s">
        <v>80</v>
      </c>
    </row>
    <row r="123" spans="1:8">
      <c r="A123" s="108" t="s">
        <v>1372</v>
      </c>
      <c r="B123" s="108">
        <v>0</v>
      </c>
      <c r="C123" s="108">
        <v>0</v>
      </c>
      <c r="D123" s="108">
        <v>0</v>
      </c>
      <c r="E123" s="108">
        <v>0</v>
      </c>
      <c r="G123" s="108">
        <f t="shared" si="1"/>
        <v>0</v>
      </c>
      <c r="H123" s="109" t="s">
        <v>80</v>
      </c>
    </row>
    <row r="124" spans="1:8">
      <c r="A124" s="108" t="s">
        <v>574</v>
      </c>
      <c r="B124" s="108">
        <v>51907.76</v>
      </c>
      <c r="C124" s="108">
        <v>0</v>
      </c>
      <c r="D124" s="108">
        <v>51907</v>
      </c>
      <c r="E124" s="108">
        <v>0.76</v>
      </c>
      <c r="G124" s="108">
        <f t="shared" si="1"/>
        <v>0.76</v>
      </c>
      <c r="H124" s="109" t="s">
        <v>80</v>
      </c>
    </row>
    <row r="125" spans="1:8">
      <c r="A125" s="108" t="s">
        <v>482</v>
      </c>
      <c r="B125" s="108">
        <v>-0.2</v>
      </c>
      <c r="C125" s="108">
        <v>0</v>
      </c>
      <c r="D125" s="108">
        <v>0</v>
      </c>
      <c r="E125" s="108">
        <v>-0.2</v>
      </c>
      <c r="G125" s="108">
        <f t="shared" si="1"/>
        <v>-0.2</v>
      </c>
      <c r="H125" s="109" t="s">
        <v>80</v>
      </c>
    </row>
    <row r="126" spans="1:8">
      <c r="A126" s="108" t="s">
        <v>1065</v>
      </c>
      <c r="B126" s="108">
        <v>0</v>
      </c>
      <c r="C126" s="108">
        <v>0</v>
      </c>
      <c r="D126" s="108">
        <v>0</v>
      </c>
      <c r="E126" s="108">
        <v>0</v>
      </c>
      <c r="G126" s="108">
        <f t="shared" si="1"/>
        <v>0</v>
      </c>
      <c r="H126" s="109" t="s">
        <v>80</v>
      </c>
    </row>
    <row r="127" spans="1:8">
      <c r="A127" s="108" t="s">
        <v>83</v>
      </c>
      <c r="B127" s="108">
        <v>-10.19</v>
      </c>
      <c r="C127" s="108">
        <v>0</v>
      </c>
      <c r="D127" s="108">
        <v>0</v>
      </c>
      <c r="E127" s="108">
        <v>-10.19</v>
      </c>
      <c r="G127" s="108">
        <f t="shared" si="1"/>
        <v>-10.19</v>
      </c>
      <c r="H127" s="109" t="s">
        <v>80</v>
      </c>
    </row>
    <row r="128" spans="1:8">
      <c r="A128" s="108" t="s">
        <v>1373</v>
      </c>
      <c r="B128" s="108">
        <v>0</v>
      </c>
      <c r="C128" s="108">
        <v>0</v>
      </c>
      <c r="D128" s="108">
        <v>0</v>
      </c>
      <c r="E128" s="108">
        <v>0</v>
      </c>
      <c r="G128" s="108">
        <f t="shared" si="1"/>
        <v>0</v>
      </c>
      <c r="H128" s="109" t="s">
        <v>80</v>
      </c>
    </row>
    <row r="129" spans="1:8">
      <c r="A129" s="108" t="s">
        <v>575</v>
      </c>
      <c r="B129" s="108">
        <v>478152.9</v>
      </c>
      <c r="C129" s="108">
        <v>0</v>
      </c>
      <c r="D129" s="108">
        <v>0</v>
      </c>
      <c r="E129" s="108">
        <v>478152.9</v>
      </c>
      <c r="G129" s="108">
        <f t="shared" si="1"/>
        <v>478152.9</v>
      </c>
      <c r="H129" s="109" t="s">
        <v>80</v>
      </c>
    </row>
    <row r="130" spans="1:8">
      <c r="A130" s="108" t="s">
        <v>1076</v>
      </c>
      <c r="B130" s="108">
        <v>0</v>
      </c>
      <c r="C130" s="108">
        <v>0</v>
      </c>
      <c r="D130" s="108">
        <v>0</v>
      </c>
      <c r="E130" s="108">
        <v>0</v>
      </c>
      <c r="G130" s="108">
        <f t="shared" si="1"/>
        <v>0</v>
      </c>
      <c r="H130" s="109" t="s">
        <v>80</v>
      </c>
    </row>
    <row r="131" spans="1:8">
      <c r="A131" s="108" t="s">
        <v>520</v>
      </c>
      <c r="B131" s="108">
        <v>-1.05</v>
      </c>
      <c r="C131" s="108">
        <v>0</v>
      </c>
      <c r="D131" s="108">
        <v>0</v>
      </c>
      <c r="E131" s="108">
        <v>-1.05</v>
      </c>
      <c r="G131" s="108">
        <f t="shared" ref="G131:G194" si="2">E131+F131</f>
        <v>-1.05</v>
      </c>
      <c r="H131" s="109" t="s">
        <v>80</v>
      </c>
    </row>
    <row r="132" spans="1:8">
      <c r="A132" s="108" t="s">
        <v>1079</v>
      </c>
      <c r="B132" s="108">
        <v>0</v>
      </c>
      <c r="C132" s="108">
        <v>0</v>
      </c>
      <c r="D132" s="108">
        <v>0</v>
      </c>
      <c r="E132" s="108">
        <v>0</v>
      </c>
      <c r="G132" s="108">
        <f t="shared" si="2"/>
        <v>0</v>
      </c>
      <c r="H132" s="109" t="s">
        <v>80</v>
      </c>
    </row>
    <row r="133" spans="1:8">
      <c r="A133" s="108" t="s">
        <v>1080</v>
      </c>
      <c r="B133" s="108">
        <v>0</v>
      </c>
      <c r="C133" s="108">
        <v>0</v>
      </c>
      <c r="D133" s="108">
        <v>0</v>
      </c>
      <c r="E133" s="108">
        <v>0</v>
      </c>
      <c r="G133" s="108">
        <f t="shared" si="2"/>
        <v>0</v>
      </c>
      <c r="H133" s="109" t="s">
        <v>80</v>
      </c>
    </row>
    <row r="134" spans="1:8">
      <c r="A134" s="108" t="s">
        <v>1066</v>
      </c>
      <c r="B134" s="108">
        <v>0</v>
      </c>
      <c r="C134" s="108">
        <v>0</v>
      </c>
      <c r="D134" s="108">
        <v>0</v>
      </c>
      <c r="E134" s="108">
        <v>0</v>
      </c>
      <c r="G134" s="108">
        <f t="shared" si="2"/>
        <v>0</v>
      </c>
      <c r="H134" s="109" t="s">
        <v>80</v>
      </c>
    </row>
    <row r="135" spans="1:8">
      <c r="A135" s="108" t="s">
        <v>576</v>
      </c>
      <c r="B135" s="108">
        <v>6490.1</v>
      </c>
      <c r="C135" s="108">
        <v>0</v>
      </c>
      <c r="D135" s="108">
        <v>0</v>
      </c>
      <c r="E135" s="108">
        <v>6490.1</v>
      </c>
      <c r="G135" s="108">
        <f t="shared" si="2"/>
        <v>6490.1</v>
      </c>
      <c r="H135" s="109" t="s">
        <v>80</v>
      </c>
    </row>
    <row r="136" spans="1:8">
      <c r="A136" s="108" t="s">
        <v>577</v>
      </c>
      <c r="B136" s="108">
        <v>-2088.6999999999998</v>
      </c>
      <c r="C136" s="108">
        <v>0</v>
      </c>
      <c r="D136" s="108">
        <v>0</v>
      </c>
      <c r="E136" s="108">
        <v>-2088.6999999999998</v>
      </c>
      <c r="G136" s="108">
        <f t="shared" si="2"/>
        <v>-2088.6999999999998</v>
      </c>
      <c r="H136" s="109" t="s">
        <v>80</v>
      </c>
    </row>
    <row r="137" spans="1:8">
      <c r="A137" s="108" t="s">
        <v>1081</v>
      </c>
      <c r="B137" s="108">
        <v>0</v>
      </c>
      <c r="C137" s="108">
        <v>0</v>
      </c>
      <c r="D137" s="108">
        <v>0</v>
      </c>
      <c r="E137" s="108">
        <v>0</v>
      </c>
      <c r="G137" s="108">
        <f t="shared" si="2"/>
        <v>0</v>
      </c>
      <c r="H137" s="109" t="s">
        <v>80</v>
      </c>
    </row>
    <row r="138" spans="1:8">
      <c r="A138" s="108" t="s">
        <v>1067</v>
      </c>
      <c r="B138" s="108">
        <v>0</v>
      </c>
      <c r="C138" s="108">
        <v>0</v>
      </c>
      <c r="D138" s="108">
        <v>0</v>
      </c>
      <c r="E138" s="108">
        <v>0</v>
      </c>
      <c r="G138" s="108">
        <f t="shared" si="2"/>
        <v>0</v>
      </c>
      <c r="H138" s="109" t="s">
        <v>80</v>
      </c>
    </row>
    <row r="139" spans="1:8">
      <c r="A139" s="108" t="s">
        <v>1374</v>
      </c>
      <c r="B139" s="108">
        <v>0</v>
      </c>
      <c r="C139" s="108">
        <v>0</v>
      </c>
      <c r="D139" s="108">
        <v>0</v>
      </c>
      <c r="E139" s="108">
        <v>0</v>
      </c>
      <c r="G139" s="108">
        <f t="shared" si="2"/>
        <v>0</v>
      </c>
      <c r="H139" s="109" t="s">
        <v>80</v>
      </c>
    </row>
    <row r="140" spans="1:8">
      <c r="A140" s="108" t="s">
        <v>1375</v>
      </c>
      <c r="B140" s="108">
        <v>0</v>
      </c>
      <c r="C140" s="108">
        <v>0</v>
      </c>
      <c r="D140" s="108">
        <v>0</v>
      </c>
      <c r="E140" s="108">
        <v>0</v>
      </c>
      <c r="G140" s="108">
        <f t="shared" si="2"/>
        <v>0</v>
      </c>
      <c r="H140" s="109" t="s">
        <v>80</v>
      </c>
    </row>
    <row r="141" spans="1:8">
      <c r="A141" s="108" t="s">
        <v>578</v>
      </c>
      <c r="B141" s="108">
        <v>-779600</v>
      </c>
      <c r="C141" s="108">
        <v>779600</v>
      </c>
      <c r="D141" s="108">
        <v>0</v>
      </c>
      <c r="E141" s="108">
        <v>0</v>
      </c>
      <c r="G141" s="108">
        <f t="shared" si="2"/>
        <v>0</v>
      </c>
      <c r="H141" s="109" t="s">
        <v>80</v>
      </c>
    </row>
    <row r="142" spans="1:8">
      <c r="A142" s="108" t="s">
        <v>1084</v>
      </c>
      <c r="B142" s="108">
        <v>0</v>
      </c>
      <c r="C142" s="108">
        <v>0</v>
      </c>
      <c r="D142" s="108">
        <v>0</v>
      </c>
      <c r="E142" s="108">
        <v>0</v>
      </c>
      <c r="G142" s="108">
        <f t="shared" si="2"/>
        <v>0</v>
      </c>
      <c r="H142" s="109" t="s">
        <v>80</v>
      </c>
    </row>
    <row r="143" spans="1:8">
      <c r="A143" s="108" t="s">
        <v>1085</v>
      </c>
      <c r="B143" s="108">
        <v>0</v>
      </c>
      <c r="C143" s="108">
        <v>0</v>
      </c>
      <c r="D143" s="108">
        <v>0</v>
      </c>
      <c r="E143" s="108">
        <v>0</v>
      </c>
      <c r="G143" s="108">
        <f t="shared" si="2"/>
        <v>0</v>
      </c>
      <c r="H143" s="109" t="s">
        <v>80</v>
      </c>
    </row>
    <row r="144" spans="1:8">
      <c r="A144" s="108" t="s">
        <v>1086</v>
      </c>
      <c r="B144" s="108">
        <v>0</v>
      </c>
      <c r="C144" s="108">
        <v>0</v>
      </c>
      <c r="D144" s="108">
        <v>0</v>
      </c>
      <c r="E144" s="108">
        <v>0</v>
      </c>
      <c r="G144" s="108">
        <f t="shared" si="2"/>
        <v>0</v>
      </c>
      <c r="H144" s="109" t="s">
        <v>80</v>
      </c>
    </row>
    <row r="145" spans="1:8">
      <c r="A145" s="108" t="s">
        <v>579</v>
      </c>
      <c r="B145" s="108">
        <v>61360</v>
      </c>
      <c r="C145" s="108">
        <v>0</v>
      </c>
      <c r="D145" s="108">
        <v>0</v>
      </c>
      <c r="E145" s="108">
        <v>61360</v>
      </c>
      <c r="G145" s="108">
        <f t="shared" si="2"/>
        <v>61360</v>
      </c>
      <c r="H145" s="109" t="s">
        <v>80</v>
      </c>
    </row>
    <row r="146" spans="1:8">
      <c r="A146" s="108" t="s">
        <v>1087</v>
      </c>
      <c r="B146" s="108">
        <v>0</v>
      </c>
      <c r="C146" s="108">
        <v>0</v>
      </c>
      <c r="D146" s="108">
        <v>0</v>
      </c>
      <c r="E146" s="108">
        <v>0</v>
      </c>
      <c r="G146" s="108">
        <f t="shared" si="2"/>
        <v>0</v>
      </c>
      <c r="H146" s="109" t="s">
        <v>80</v>
      </c>
    </row>
    <row r="147" spans="1:8">
      <c r="A147" s="108" t="s">
        <v>1068</v>
      </c>
      <c r="B147" s="108">
        <v>0</v>
      </c>
      <c r="C147" s="108">
        <v>0</v>
      </c>
      <c r="D147" s="108">
        <v>0</v>
      </c>
      <c r="E147" s="108">
        <v>0</v>
      </c>
      <c r="G147" s="108">
        <f t="shared" si="2"/>
        <v>0</v>
      </c>
      <c r="H147" s="109" t="s">
        <v>80</v>
      </c>
    </row>
    <row r="148" spans="1:8">
      <c r="A148" s="108" t="s">
        <v>1069</v>
      </c>
      <c r="B148" s="108">
        <v>0</v>
      </c>
      <c r="C148" s="108">
        <v>0</v>
      </c>
      <c r="D148" s="108">
        <v>0</v>
      </c>
      <c r="E148" s="108">
        <v>0</v>
      </c>
      <c r="G148" s="108">
        <f t="shared" si="2"/>
        <v>0</v>
      </c>
      <c r="H148" s="109" t="s">
        <v>80</v>
      </c>
    </row>
    <row r="149" spans="1:8">
      <c r="A149" s="108" t="s">
        <v>580</v>
      </c>
      <c r="B149" s="108">
        <v>848480.5</v>
      </c>
      <c r="C149" s="108">
        <v>0</v>
      </c>
      <c r="D149" s="108">
        <v>849600</v>
      </c>
      <c r="E149" s="108">
        <v>-1119.5</v>
      </c>
      <c r="G149" s="108">
        <f t="shared" si="2"/>
        <v>-1119.5</v>
      </c>
      <c r="H149" s="109" t="s">
        <v>80</v>
      </c>
    </row>
    <row r="150" spans="1:8">
      <c r="A150" s="108" t="s">
        <v>1120</v>
      </c>
      <c r="B150" s="108">
        <v>0</v>
      </c>
      <c r="C150" s="108">
        <v>0</v>
      </c>
      <c r="D150" s="108">
        <v>0</v>
      </c>
      <c r="E150" s="108">
        <v>0</v>
      </c>
      <c r="G150" s="108">
        <f t="shared" si="2"/>
        <v>0</v>
      </c>
      <c r="H150" s="109" t="s">
        <v>80</v>
      </c>
    </row>
    <row r="151" spans="1:8">
      <c r="A151" s="108" t="s">
        <v>1376</v>
      </c>
      <c r="B151" s="108">
        <v>0</v>
      </c>
      <c r="C151" s="108">
        <v>0</v>
      </c>
      <c r="D151" s="108">
        <v>0</v>
      </c>
      <c r="E151" s="108">
        <v>0</v>
      </c>
      <c r="G151" s="108">
        <f t="shared" si="2"/>
        <v>0</v>
      </c>
      <c r="H151" s="109" t="s">
        <v>80</v>
      </c>
    </row>
    <row r="152" spans="1:8">
      <c r="A152" s="108" t="s">
        <v>581</v>
      </c>
      <c r="B152" s="108">
        <v>618393.16</v>
      </c>
      <c r="C152" s="108">
        <v>0</v>
      </c>
      <c r="D152" s="108">
        <v>0</v>
      </c>
      <c r="E152" s="108">
        <v>618393.16</v>
      </c>
      <c r="G152" s="108">
        <f t="shared" si="2"/>
        <v>618393.16</v>
      </c>
      <c r="H152" s="109" t="s">
        <v>80</v>
      </c>
    </row>
    <row r="153" spans="1:8">
      <c r="A153" s="108" t="s">
        <v>582</v>
      </c>
      <c r="B153" s="108">
        <v>0.06</v>
      </c>
      <c r="C153" s="108">
        <v>0</v>
      </c>
      <c r="D153" s="108">
        <v>0</v>
      </c>
      <c r="E153" s="108">
        <v>0.06</v>
      </c>
      <c r="G153" s="108">
        <f t="shared" si="2"/>
        <v>0.06</v>
      </c>
      <c r="H153" s="109" t="s">
        <v>80</v>
      </c>
    </row>
    <row r="154" spans="1:8">
      <c r="A154" s="108" t="s">
        <v>1377</v>
      </c>
      <c r="B154" s="108">
        <v>0</v>
      </c>
      <c r="C154" s="108">
        <v>0</v>
      </c>
      <c r="D154" s="108">
        <v>0</v>
      </c>
      <c r="E154" s="108">
        <v>0</v>
      </c>
      <c r="G154" s="108">
        <f t="shared" si="2"/>
        <v>0</v>
      </c>
      <c r="H154" s="109" t="s">
        <v>80</v>
      </c>
    </row>
    <row r="155" spans="1:8">
      <c r="A155" s="108" t="s">
        <v>436</v>
      </c>
      <c r="B155" s="108">
        <v>0.46</v>
      </c>
      <c r="C155" s="108">
        <v>0</v>
      </c>
      <c r="D155" s="108">
        <v>0</v>
      </c>
      <c r="E155" s="108">
        <v>0.46</v>
      </c>
      <c r="G155" s="108">
        <f t="shared" si="2"/>
        <v>0.46</v>
      </c>
      <c r="H155" s="109" t="s">
        <v>80</v>
      </c>
    </row>
    <row r="156" spans="1:8">
      <c r="A156" s="108" t="s">
        <v>583</v>
      </c>
      <c r="B156" s="108">
        <v>-913045</v>
      </c>
      <c r="C156" s="108">
        <v>904770.9</v>
      </c>
      <c r="D156" s="108">
        <v>0</v>
      </c>
      <c r="E156" s="108">
        <v>-8274.1</v>
      </c>
      <c r="G156" s="108">
        <f t="shared" si="2"/>
        <v>-8274.1</v>
      </c>
      <c r="H156" s="109" t="s">
        <v>80</v>
      </c>
    </row>
    <row r="157" spans="1:8">
      <c r="A157" s="108" t="s">
        <v>584</v>
      </c>
      <c r="B157" s="108">
        <v>-711.75</v>
      </c>
      <c r="C157" s="108">
        <v>0</v>
      </c>
      <c r="D157" s="108">
        <v>0</v>
      </c>
      <c r="E157" s="108">
        <v>-711.75</v>
      </c>
      <c r="G157" s="108">
        <f t="shared" si="2"/>
        <v>-711.75</v>
      </c>
      <c r="H157" s="109" t="s">
        <v>80</v>
      </c>
    </row>
    <row r="158" spans="1:8">
      <c r="A158" s="108" t="s">
        <v>1042</v>
      </c>
      <c r="B158" s="108">
        <v>1112150.8999999999</v>
      </c>
      <c r="C158" s="108">
        <v>0</v>
      </c>
      <c r="D158" s="108">
        <v>1112150</v>
      </c>
      <c r="E158" s="108">
        <v>0.9</v>
      </c>
      <c r="G158" s="108">
        <f t="shared" si="2"/>
        <v>0.9</v>
      </c>
      <c r="H158" s="109" t="s">
        <v>80</v>
      </c>
    </row>
    <row r="159" spans="1:8">
      <c r="A159" s="108" t="s">
        <v>585</v>
      </c>
      <c r="B159" s="108">
        <v>-10480.76</v>
      </c>
      <c r="C159" s="108">
        <v>0</v>
      </c>
      <c r="D159" s="108">
        <v>0</v>
      </c>
      <c r="E159" s="108">
        <v>-10480.76</v>
      </c>
      <c r="G159" s="108">
        <f t="shared" si="2"/>
        <v>-10480.76</v>
      </c>
      <c r="H159" s="109" t="s">
        <v>80</v>
      </c>
    </row>
    <row r="160" spans="1:8">
      <c r="A160" s="108" t="s">
        <v>586</v>
      </c>
      <c r="B160" s="108">
        <v>0.04</v>
      </c>
      <c r="C160" s="108">
        <v>50504</v>
      </c>
      <c r="D160" s="108">
        <v>0</v>
      </c>
      <c r="E160" s="108">
        <v>50504.04</v>
      </c>
      <c r="G160" s="108">
        <f t="shared" si="2"/>
        <v>50504.04</v>
      </c>
      <c r="H160" s="109" t="s">
        <v>80</v>
      </c>
    </row>
    <row r="161" spans="1:8">
      <c r="A161" s="108" t="s">
        <v>107</v>
      </c>
      <c r="B161" s="108">
        <v>1886778.93</v>
      </c>
      <c r="C161" s="108">
        <v>0</v>
      </c>
      <c r="D161" s="108">
        <v>0</v>
      </c>
      <c r="E161" s="108">
        <v>1886778.93</v>
      </c>
      <c r="G161" s="108">
        <f t="shared" si="2"/>
        <v>1886778.93</v>
      </c>
      <c r="H161" s="109" t="s">
        <v>80</v>
      </c>
    </row>
    <row r="162" spans="1:8">
      <c r="A162" s="108" t="s">
        <v>108</v>
      </c>
      <c r="B162" s="108">
        <v>42723370.759999998</v>
      </c>
      <c r="C162" s="108">
        <v>31084015.18</v>
      </c>
      <c r="D162" s="108">
        <v>30500000</v>
      </c>
      <c r="E162" s="108">
        <v>43307385.939999998</v>
      </c>
      <c r="G162" s="108">
        <f t="shared" si="2"/>
        <v>43307385.939999998</v>
      </c>
      <c r="H162" s="109" t="s">
        <v>80</v>
      </c>
    </row>
    <row r="163" spans="1:8">
      <c r="A163" s="108" t="s">
        <v>429</v>
      </c>
      <c r="B163" s="108">
        <v>-6977160</v>
      </c>
      <c r="C163" s="108">
        <v>721340.55</v>
      </c>
      <c r="D163" s="108">
        <v>0</v>
      </c>
      <c r="E163" s="108">
        <v>-6255819.4500000002</v>
      </c>
      <c r="G163" s="108">
        <f t="shared" si="2"/>
        <v>-6255819.4500000002</v>
      </c>
      <c r="H163" s="109" t="s">
        <v>80</v>
      </c>
    </row>
    <row r="164" spans="1:8">
      <c r="A164" s="108" t="s">
        <v>1070</v>
      </c>
      <c r="B164" s="108">
        <v>0</v>
      </c>
      <c r="C164" s="108">
        <v>0</v>
      </c>
      <c r="D164" s="108">
        <v>0</v>
      </c>
      <c r="E164" s="108">
        <v>0</v>
      </c>
      <c r="G164" s="108">
        <f t="shared" si="2"/>
        <v>0</v>
      </c>
      <c r="H164" s="109" t="s">
        <v>80</v>
      </c>
    </row>
    <row r="165" spans="1:8">
      <c r="A165" s="108" t="s">
        <v>1071</v>
      </c>
      <c r="B165" s="108">
        <v>19769297.699999999</v>
      </c>
      <c r="C165" s="108">
        <v>19044993.09</v>
      </c>
      <c r="D165" s="108">
        <v>4037787.15</v>
      </c>
      <c r="E165" s="108">
        <v>34776503.640000001</v>
      </c>
      <c r="G165" s="108">
        <f t="shared" si="2"/>
        <v>34776503.640000001</v>
      </c>
      <c r="H165" s="109" t="s">
        <v>80</v>
      </c>
    </row>
    <row r="166" spans="1:8">
      <c r="A166" s="108" t="s">
        <v>376</v>
      </c>
      <c r="B166" s="108">
        <v>-0.4</v>
      </c>
      <c r="C166" s="108">
        <v>0</v>
      </c>
      <c r="D166" s="108">
        <v>0</v>
      </c>
      <c r="E166" s="108">
        <v>-0.4</v>
      </c>
      <c r="G166" s="108">
        <f t="shared" si="2"/>
        <v>-0.4</v>
      </c>
      <c r="H166" s="109" t="s">
        <v>80</v>
      </c>
    </row>
    <row r="167" spans="1:8">
      <c r="A167" s="108" t="s">
        <v>1072</v>
      </c>
      <c r="B167" s="108">
        <v>0</v>
      </c>
      <c r="C167" s="108">
        <v>0</v>
      </c>
      <c r="D167" s="108">
        <v>0</v>
      </c>
      <c r="E167" s="108">
        <v>0</v>
      </c>
      <c r="G167" s="108">
        <f t="shared" si="2"/>
        <v>0</v>
      </c>
      <c r="H167" s="109" t="s">
        <v>80</v>
      </c>
    </row>
    <row r="168" spans="1:8">
      <c r="A168" s="108" t="s">
        <v>587</v>
      </c>
      <c r="B168" s="108">
        <v>-1888</v>
      </c>
      <c r="C168" s="108">
        <v>0</v>
      </c>
      <c r="D168" s="108">
        <v>0</v>
      </c>
      <c r="E168" s="108">
        <v>-1888</v>
      </c>
      <c r="G168" s="108">
        <f t="shared" si="2"/>
        <v>-1888</v>
      </c>
      <c r="H168" s="109" t="s">
        <v>80</v>
      </c>
    </row>
    <row r="169" spans="1:8">
      <c r="A169" s="108" t="s">
        <v>1378</v>
      </c>
      <c r="B169" s="108">
        <v>0</v>
      </c>
      <c r="C169" s="108">
        <v>0</v>
      </c>
      <c r="D169" s="108">
        <v>0</v>
      </c>
      <c r="E169" s="108">
        <v>0</v>
      </c>
      <c r="G169" s="108">
        <f t="shared" si="2"/>
        <v>0</v>
      </c>
      <c r="H169" s="109" t="s">
        <v>80</v>
      </c>
    </row>
    <row r="170" spans="1:8">
      <c r="A170" s="108" t="s">
        <v>588</v>
      </c>
      <c r="B170" s="108">
        <v>595</v>
      </c>
      <c r="C170" s="108">
        <v>702100</v>
      </c>
      <c r="D170" s="108">
        <v>0</v>
      </c>
      <c r="E170" s="108">
        <v>702695</v>
      </c>
      <c r="G170" s="108">
        <f t="shared" si="2"/>
        <v>702695</v>
      </c>
      <c r="H170" s="109" t="s">
        <v>80</v>
      </c>
    </row>
    <row r="171" spans="1:8">
      <c r="A171" s="108" t="s">
        <v>589</v>
      </c>
      <c r="B171" s="108">
        <v>1851351</v>
      </c>
      <c r="C171" s="108">
        <v>0</v>
      </c>
      <c r="D171" s="108">
        <v>0</v>
      </c>
      <c r="E171" s="108">
        <v>1851351</v>
      </c>
      <c r="G171" s="108">
        <f t="shared" si="2"/>
        <v>1851351</v>
      </c>
      <c r="H171" s="109" t="s">
        <v>80</v>
      </c>
    </row>
    <row r="172" spans="1:8">
      <c r="A172" s="108" t="s">
        <v>113</v>
      </c>
      <c r="B172" s="108">
        <v>-0.71</v>
      </c>
      <c r="C172" s="108">
        <v>0</v>
      </c>
      <c r="D172" s="108">
        <v>0</v>
      </c>
      <c r="E172" s="108">
        <v>-0.71</v>
      </c>
      <c r="G172" s="108">
        <f t="shared" si="2"/>
        <v>-0.71</v>
      </c>
      <c r="H172" s="109" t="s">
        <v>80</v>
      </c>
    </row>
    <row r="173" spans="1:8">
      <c r="A173" s="108" t="s">
        <v>503</v>
      </c>
      <c r="B173" s="108">
        <v>1313148.6599999999</v>
      </c>
      <c r="C173" s="108">
        <v>453042.12</v>
      </c>
      <c r="D173" s="108">
        <v>1313148</v>
      </c>
      <c r="E173" s="108">
        <v>453042.78</v>
      </c>
      <c r="G173" s="108">
        <f t="shared" si="2"/>
        <v>453042.78</v>
      </c>
      <c r="H173" s="109" t="s">
        <v>80</v>
      </c>
    </row>
    <row r="174" spans="1:8">
      <c r="A174" s="108" t="s">
        <v>447</v>
      </c>
      <c r="B174" s="108">
        <v>0.64</v>
      </c>
      <c r="C174" s="108">
        <v>0</v>
      </c>
      <c r="D174" s="108">
        <v>0</v>
      </c>
      <c r="E174" s="108">
        <v>0.64</v>
      </c>
      <c r="G174" s="108">
        <f t="shared" si="2"/>
        <v>0.64</v>
      </c>
      <c r="H174" s="109" t="s">
        <v>80</v>
      </c>
    </row>
    <row r="175" spans="1:8">
      <c r="A175" s="108" t="s">
        <v>1379</v>
      </c>
      <c r="B175" s="108">
        <v>0</v>
      </c>
      <c r="C175" s="108">
        <v>0</v>
      </c>
      <c r="D175" s="108">
        <v>0</v>
      </c>
      <c r="E175" s="108">
        <v>0</v>
      </c>
      <c r="G175" s="108">
        <f t="shared" si="2"/>
        <v>0</v>
      </c>
      <c r="H175" s="109" t="s">
        <v>80</v>
      </c>
    </row>
    <row r="176" spans="1:8">
      <c r="A176" s="108" t="s">
        <v>1380</v>
      </c>
      <c r="B176" s="108">
        <v>0</v>
      </c>
      <c r="C176" s="108">
        <v>0</v>
      </c>
      <c r="D176" s="108">
        <v>0</v>
      </c>
      <c r="E176" s="108">
        <v>0</v>
      </c>
      <c r="G176" s="108">
        <f t="shared" si="2"/>
        <v>0</v>
      </c>
      <c r="H176" s="109" t="s">
        <v>80</v>
      </c>
    </row>
    <row r="177" spans="1:8">
      <c r="A177" s="108" t="s">
        <v>1088</v>
      </c>
      <c r="B177" s="108">
        <v>0</v>
      </c>
      <c r="C177" s="108">
        <v>0</v>
      </c>
      <c r="D177" s="108">
        <v>0</v>
      </c>
      <c r="E177" s="108">
        <v>0</v>
      </c>
      <c r="G177" s="108">
        <f t="shared" si="2"/>
        <v>0</v>
      </c>
      <c r="H177" s="109" t="s">
        <v>80</v>
      </c>
    </row>
    <row r="178" spans="1:8">
      <c r="A178" s="108" t="s">
        <v>590</v>
      </c>
      <c r="B178" s="108">
        <v>-2411133.14</v>
      </c>
      <c r="C178" s="108">
        <v>0</v>
      </c>
      <c r="D178" s="108">
        <v>0</v>
      </c>
      <c r="E178" s="108">
        <v>-2411133.14</v>
      </c>
      <c r="G178" s="108">
        <f t="shared" si="2"/>
        <v>-2411133.14</v>
      </c>
      <c r="H178" s="109" t="s">
        <v>80</v>
      </c>
    </row>
    <row r="179" spans="1:8">
      <c r="A179" s="108" t="s">
        <v>114</v>
      </c>
      <c r="B179" s="108">
        <v>59634946.859999999</v>
      </c>
      <c r="C179" s="108">
        <v>0</v>
      </c>
      <c r="D179" s="108">
        <v>0</v>
      </c>
      <c r="E179" s="108">
        <v>59634946.859999999</v>
      </c>
      <c r="G179" s="108">
        <f t="shared" si="2"/>
        <v>59634946.859999999</v>
      </c>
      <c r="H179" s="109" t="s">
        <v>80</v>
      </c>
    </row>
    <row r="180" spans="1:8">
      <c r="A180" s="108" t="s">
        <v>115</v>
      </c>
      <c r="B180" s="108">
        <v>-135139036.13</v>
      </c>
      <c r="C180" s="108">
        <v>0</v>
      </c>
      <c r="D180" s="108">
        <v>294195.78000000003</v>
      </c>
      <c r="E180" s="108">
        <v>-135433231.91</v>
      </c>
      <c r="G180" s="108">
        <f t="shared" si="2"/>
        <v>-135433231.91</v>
      </c>
      <c r="H180" s="109" t="s">
        <v>80</v>
      </c>
    </row>
    <row r="181" spans="1:8">
      <c r="A181" s="108" t="s">
        <v>1074</v>
      </c>
      <c r="B181" s="108">
        <v>0</v>
      </c>
      <c r="C181" s="108">
        <v>0</v>
      </c>
      <c r="D181" s="108">
        <v>0</v>
      </c>
      <c r="E181" s="108">
        <v>0</v>
      </c>
      <c r="G181" s="108">
        <f t="shared" si="2"/>
        <v>0</v>
      </c>
      <c r="H181" s="109" t="s">
        <v>80</v>
      </c>
    </row>
    <row r="182" spans="1:8">
      <c r="A182" s="108" t="s">
        <v>1089</v>
      </c>
      <c r="B182" s="108">
        <v>0</v>
      </c>
      <c r="C182" s="108">
        <v>0</v>
      </c>
      <c r="D182" s="108">
        <v>0</v>
      </c>
      <c r="E182" s="108">
        <v>0</v>
      </c>
      <c r="G182" s="108">
        <f t="shared" si="2"/>
        <v>0</v>
      </c>
      <c r="H182" s="109" t="s">
        <v>80</v>
      </c>
    </row>
    <row r="183" spans="1:8">
      <c r="A183" s="108" t="s">
        <v>1381</v>
      </c>
      <c r="B183" s="108">
        <v>0</v>
      </c>
      <c r="C183" s="108">
        <v>0</v>
      </c>
      <c r="D183" s="108">
        <v>0</v>
      </c>
      <c r="E183" s="108">
        <v>0</v>
      </c>
      <c r="G183" s="108">
        <f t="shared" si="2"/>
        <v>0</v>
      </c>
      <c r="H183" s="109" t="s">
        <v>80</v>
      </c>
    </row>
    <row r="184" spans="1:8">
      <c r="A184" s="108" t="s">
        <v>591</v>
      </c>
      <c r="B184" s="108">
        <v>3323083</v>
      </c>
      <c r="C184" s="108">
        <v>0</v>
      </c>
      <c r="D184" s="108">
        <v>0</v>
      </c>
      <c r="E184" s="108">
        <v>3323083</v>
      </c>
      <c r="G184" s="108">
        <f t="shared" si="2"/>
        <v>3323083</v>
      </c>
      <c r="H184" s="109" t="s">
        <v>80</v>
      </c>
    </row>
    <row r="185" spans="1:8">
      <c r="A185" s="108" t="s">
        <v>1382</v>
      </c>
      <c r="B185" s="108">
        <v>0</v>
      </c>
      <c r="C185" s="108">
        <v>0</v>
      </c>
      <c r="D185" s="108">
        <v>0</v>
      </c>
      <c r="E185" s="108">
        <v>0</v>
      </c>
      <c r="G185" s="108">
        <f t="shared" si="2"/>
        <v>0</v>
      </c>
      <c r="H185" s="109" t="s">
        <v>80</v>
      </c>
    </row>
    <row r="186" spans="1:8">
      <c r="A186" s="108" t="s">
        <v>1383</v>
      </c>
      <c r="B186" s="108">
        <v>0</v>
      </c>
      <c r="C186" s="108">
        <v>0</v>
      </c>
      <c r="D186" s="108">
        <v>0</v>
      </c>
      <c r="E186" s="108">
        <v>0</v>
      </c>
      <c r="G186" s="108">
        <f t="shared" si="2"/>
        <v>0</v>
      </c>
      <c r="H186" s="109" t="s">
        <v>80</v>
      </c>
    </row>
    <row r="187" spans="1:8">
      <c r="A187" s="108" t="s">
        <v>1095</v>
      </c>
      <c r="B187" s="108">
        <v>0</v>
      </c>
      <c r="C187" s="108">
        <v>0</v>
      </c>
      <c r="D187" s="108">
        <v>0</v>
      </c>
      <c r="E187" s="108">
        <v>0</v>
      </c>
      <c r="G187" s="108">
        <f t="shared" si="2"/>
        <v>0</v>
      </c>
      <c r="H187" s="109" t="s">
        <v>80</v>
      </c>
    </row>
    <row r="188" spans="1:8">
      <c r="A188" s="108" t="s">
        <v>1384</v>
      </c>
      <c r="B188" s="108">
        <v>0</v>
      </c>
      <c r="C188" s="108">
        <v>0</v>
      </c>
      <c r="D188" s="108">
        <v>0</v>
      </c>
      <c r="E188" s="108">
        <v>0</v>
      </c>
      <c r="G188" s="108">
        <f t="shared" si="2"/>
        <v>0</v>
      </c>
      <c r="H188" s="109" t="s">
        <v>80</v>
      </c>
    </row>
    <row r="189" spans="1:8">
      <c r="A189" s="108" t="s">
        <v>116</v>
      </c>
      <c r="B189" s="108">
        <v>0.09</v>
      </c>
      <c r="C189" s="108">
        <v>0</v>
      </c>
      <c r="D189" s="108">
        <v>0</v>
      </c>
      <c r="E189" s="108">
        <v>0.09</v>
      </c>
      <c r="G189" s="108">
        <f t="shared" si="2"/>
        <v>0.09</v>
      </c>
      <c r="H189" s="109" t="s">
        <v>80</v>
      </c>
    </row>
    <row r="190" spans="1:8">
      <c r="A190" s="108" t="s">
        <v>504</v>
      </c>
      <c r="B190" s="108">
        <v>0</v>
      </c>
      <c r="C190" s="108">
        <v>0</v>
      </c>
      <c r="D190" s="108">
        <v>47200</v>
      </c>
      <c r="E190" s="108">
        <v>-47200</v>
      </c>
      <c r="G190" s="108">
        <f t="shared" si="2"/>
        <v>-47200</v>
      </c>
      <c r="H190" s="109" t="s">
        <v>80</v>
      </c>
    </row>
    <row r="191" spans="1:8">
      <c r="A191" s="108" t="s">
        <v>117</v>
      </c>
      <c r="B191" s="108">
        <v>9045.1299999999992</v>
      </c>
      <c r="C191" s="108">
        <v>0</v>
      </c>
      <c r="D191" s="108">
        <v>0</v>
      </c>
      <c r="E191" s="108">
        <v>9045.1299999999992</v>
      </c>
      <c r="G191" s="108">
        <f t="shared" si="2"/>
        <v>9045.1299999999992</v>
      </c>
      <c r="H191" s="109" t="s">
        <v>80</v>
      </c>
    </row>
    <row r="192" spans="1:8">
      <c r="A192" s="108" t="s">
        <v>592</v>
      </c>
      <c r="B192" s="108">
        <v>2052.5</v>
      </c>
      <c r="C192" s="108">
        <v>0</v>
      </c>
      <c r="D192" s="108">
        <v>0</v>
      </c>
      <c r="E192" s="108">
        <v>2052.5</v>
      </c>
      <c r="G192" s="108">
        <f t="shared" si="2"/>
        <v>2052.5</v>
      </c>
      <c r="H192" s="109" t="s">
        <v>80</v>
      </c>
    </row>
    <row r="193" spans="1:8">
      <c r="A193" s="108" t="s">
        <v>593</v>
      </c>
      <c r="B193" s="108">
        <v>1698.8</v>
      </c>
      <c r="C193" s="108">
        <v>0</v>
      </c>
      <c r="D193" s="108">
        <v>1698.8</v>
      </c>
      <c r="E193" s="108">
        <v>0</v>
      </c>
      <c r="G193" s="108">
        <f t="shared" si="2"/>
        <v>0</v>
      </c>
      <c r="H193" s="109" t="s">
        <v>80</v>
      </c>
    </row>
    <row r="194" spans="1:8">
      <c r="A194" s="108" t="s">
        <v>1386</v>
      </c>
      <c r="B194" s="108">
        <v>0</v>
      </c>
      <c r="C194" s="108">
        <v>0</v>
      </c>
      <c r="D194" s="108">
        <v>0</v>
      </c>
      <c r="E194" s="108">
        <v>0</v>
      </c>
      <c r="G194" s="108">
        <f t="shared" si="2"/>
        <v>0</v>
      </c>
      <c r="H194" s="109" t="s">
        <v>80</v>
      </c>
    </row>
    <row r="195" spans="1:8">
      <c r="A195" s="108" t="s">
        <v>1096</v>
      </c>
      <c r="B195" s="108">
        <v>0</v>
      </c>
      <c r="C195" s="108">
        <v>0</v>
      </c>
      <c r="D195" s="108">
        <v>0</v>
      </c>
      <c r="E195" s="108">
        <v>0</v>
      </c>
      <c r="G195" s="108">
        <f t="shared" ref="G195:G258" si="3">E195+F195</f>
        <v>0</v>
      </c>
      <c r="H195" s="109" t="s">
        <v>80</v>
      </c>
    </row>
    <row r="196" spans="1:8">
      <c r="A196" s="108" t="s">
        <v>1097</v>
      </c>
      <c r="B196" s="108">
        <v>0</v>
      </c>
      <c r="C196" s="108">
        <v>0</v>
      </c>
      <c r="D196" s="108">
        <v>0</v>
      </c>
      <c r="E196" s="108">
        <v>0</v>
      </c>
      <c r="G196" s="108">
        <f t="shared" si="3"/>
        <v>0</v>
      </c>
      <c r="H196" s="109" t="s">
        <v>80</v>
      </c>
    </row>
    <row r="197" spans="1:8">
      <c r="A197" s="108" t="s">
        <v>594</v>
      </c>
      <c r="B197" s="108">
        <v>538.08000000000004</v>
      </c>
      <c r="C197" s="108">
        <v>0</v>
      </c>
      <c r="D197" s="108">
        <v>0</v>
      </c>
      <c r="E197" s="108">
        <v>538.08000000000004</v>
      </c>
      <c r="G197" s="108">
        <f t="shared" si="3"/>
        <v>538.08000000000004</v>
      </c>
      <c r="H197" s="109" t="s">
        <v>80</v>
      </c>
    </row>
    <row r="198" spans="1:8">
      <c r="A198" s="108" t="s">
        <v>595</v>
      </c>
      <c r="B198" s="108">
        <v>54870</v>
      </c>
      <c r="C198" s="108">
        <v>0</v>
      </c>
      <c r="D198" s="108">
        <v>54870</v>
      </c>
      <c r="E198" s="108">
        <v>0</v>
      </c>
      <c r="G198" s="108">
        <f t="shared" si="3"/>
        <v>0</v>
      </c>
      <c r="H198" s="109" t="s">
        <v>80</v>
      </c>
    </row>
    <row r="199" spans="1:8">
      <c r="A199" s="108" t="s">
        <v>596</v>
      </c>
      <c r="B199" s="108">
        <v>0</v>
      </c>
      <c r="C199" s="108">
        <v>41713</v>
      </c>
      <c r="D199" s="108">
        <v>41713</v>
      </c>
      <c r="E199" s="108">
        <v>0</v>
      </c>
      <c r="G199" s="108">
        <f t="shared" si="3"/>
        <v>0</v>
      </c>
      <c r="H199" s="109" t="s">
        <v>80</v>
      </c>
    </row>
    <row r="200" spans="1:8">
      <c r="A200" s="108" t="s">
        <v>1082</v>
      </c>
      <c r="B200" s="108">
        <v>0</v>
      </c>
      <c r="C200" s="108">
        <v>0</v>
      </c>
      <c r="D200" s="108">
        <v>0</v>
      </c>
      <c r="E200" s="108">
        <v>0</v>
      </c>
      <c r="G200" s="108">
        <f t="shared" si="3"/>
        <v>0</v>
      </c>
      <c r="H200" s="109" t="s">
        <v>80</v>
      </c>
    </row>
    <row r="201" spans="1:8">
      <c r="A201" s="108" t="s">
        <v>1083</v>
      </c>
      <c r="B201" s="108">
        <v>0</v>
      </c>
      <c r="C201" s="108">
        <v>0</v>
      </c>
      <c r="D201" s="108">
        <v>0</v>
      </c>
      <c r="E201" s="108">
        <v>0</v>
      </c>
      <c r="G201" s="108">
        <f t="shared" si="3"/>
        <v>0</v>
      </c>
      <c r="H201" s="109" t="s">
        <v>80</v>
      </c>
    </row>
    <row r="202" spans="1:8">
      <c r="A202" s="108" t="s">
        <v>597</v>
      </c>
      <c r="B202" s="108">
        <v>419071.58</v>
      </c>
      <c r="C202" s="108">
        <v>0</v>
      </c>
      <c r="D202" s="108">
        <v>0</v>
      </c>
      <c r="E202" s="108">
        <v>419071.58</v>
      </c>
      <c r="G202" s="108">
        <f t="shared" si="3"/>
        <v>419071.58</v>
      </c>
      <c r="H202" s="109" t="s">
        <v>80</v>
      </c>
    </row>
    <row r="203" spans="1:8">
      <c r="A203" s="108" t="s">
        <v>1098</v>
      </c>
      <c r="B203" s="108">
        <v>0</v>
      </c>
      <c r="C203" s="108">
        <v>0</v>
      </c>
      <c r="D203" s="108">
        <v>0</v>
      </c>
      <c r="E203" s="108">
        <v>0</v>
      </c>
      <c r="G203" s="108">
        <f t="shared" si="3"/>
        <v>0</v>
      </c>
      <c r="H203" s="109" t="s">
        <v>80</v>
      </c>
    </row>
    <row r="204" spans="1:8">
      <c r="A204" s="108" t="s">
        <v>598</v>
      </c>
      <c r="B204" s="108">
        <v>-0.2</v>
      </c>
      <c r="C204" s="108">
        <v>0</v>
      </c>
      <c r="D204" s="108">
        <v>0</v>
      </c>
      <c r="E204" s="108">
        <v>-0.2</v>
      </c>
      <c r="G204" s="108">
        <f t="shared" si="3"/>
        <v>-0.2</v>
      </c>
      <c r="H204" s="109" t="s">
        <v>80</v>
      </c>
    </row>
    <row r="205" spans="1:8">
      <c r="A205" s="108" t="s">
        <v>1099</v>
      </c>
      <c r="B205" s="108">
        <v>0</v>
      </c>
      <c r="C205" s="108">
        <v>0</v>
      </c>
      <c r="D205" s="108">
        <v>0</v>
      </c>
      <c r="E205" s="108">
        <v>0</v>
      </c>
      <c r="G205" s="108">
        <f t="shared" si="3"/>
        <v>0</v>
      </c>
      <c r="H205" s="109" t="s">
        <v>80</v>
      </c>
    </row>
    <row r="206" spans="1:8">
      <c r="A206" s="108" t="s">
        <v>123</v>
      </c>
      <c r="B206" s="108">
        <v>901287.81</v>
      </c>
      <c r="C206" s="108">
        <v>384450</v>
      </c>
      <c r="D206" s="108">
        <v>0</v>
      </c>
      <c r="E206" s="108">
        <v>1285737.81</v>
      </c>
      <c r="G206" s="108">
        <f t="shared" si="3"/>
        <v>1285737.81</v>
      </c>
      <c r="H206" s="109" t="s">
        <v>80</v>
      </c>
    </row>
    <row r="207" spans="1:8">
      <c r="A207" s="108" t="s">
        <v>1387</v>
      </c>
      <c r="B207" s="108">
        <v>0</v>
      </c>
      <c r="C207" s="108">
        <v>0</v>
      </c>
      <c r="D207" s="108">
        <v>0</v>
      </c>
      <c r="E207" s="108">
        <v>0</v>
      </c>
      <c r="G207" s="108">
        <f t="shared" si="3"/>
        <v>0</v>
      </c>
      <c r="H207" s="109" t="s">
        <v>80</v>
      </c>
    </row>
    <row r="208" spans="1:8">
      <c r="A208" s="108" t="s">
        <v>1388</v>
      </c>
      <c r="B208" s="108">
        <v>0</v>
      </c>
      <c r="C208" s="108">
        <v>0</v>
      </c>
      <c r="D208" s="108">
        <v>0</v>
      </c>
      <c r="E208" s="108">
        <v>0</v>
      </c>
      <c r="G208" s="108">
        <f t="shared" si="3"/>
        <v>0</v>
      </c>
      <c r="H208" s="109" t="s">
        <v>80</v>
      </c>
    </row>
    <row r="209" spans="1:8">
      <c r="A209" s="108" t="s">
        <v>1389</v>
      </c>
      <c r="B209" s="108">
        <v>0</v>
      </c>
      <c r="C209" s="108">
        <v>0</v>
      </c>
      <c r="D209" s="108">
        <v>0</v>
      </c>
      <c r="E209" s="108">
        <v>0</v>
      </c>
      <c r="G209" s="108">
        <f t="shared" si="3"/>
        <v>0</v>
      </c>
      <c r="H209" s="109" t="s">
        <v>80</v>
      </c>
    </row>
    <row r="210" spans="1:8">
      <c r="A210" s="108" t="s">
        <v>599</v>
      </c>
      <c r="B210" s="108">
        <v>59633.75</v>
      </c>
      <c r="C210" s="108">
        <v>0</v>
      </c>
      <c r="D210" s="108">
        <v>0</v>
      </c>
      <c r="E210" s="108">
        <v>59633.75</v>
      </c>
      <c r="G210" s="108">
        <f t="shared" si="3"/>
        <v>59633.75</v>
      </c>
      <c r="H210" s="109" t="s">
        <v>80</v>
      </c>
    </row>
    <row r="211" spans="1:8">
      <c r="A211" s="108" t="s">
        <v>600</v>
      </c>
      <c r="B211" s="108">
        <v>675</v>
      </c>
      <c r="C211" s="108">
        <v>0</v>
      </c>
      <c r="D211" s="108">
        <v>0</v>
      </c>
      <c r="E211" s="108">
        <v>675</v>
      </c>
      <c r="G211" s="108">
        <f t="shared" si="3"/>
        <v>675</v>
      </c>
      <c r="H211" s="109" t="s">
        <v>80</v>
      </c>
    </row>
    <row r="212" spans="1:8">
      <c r="A212" s="108" t="s">
        <v>601</v>
      </c>
      <c r="B212" s="108">
        <v>4692.88</v>
      </c>
      <c r="C212" s="108">
        <v>0</v>
      </c>
      <c r="D212" s="108">
        <v>0</v>
      </c>
      <c r="E212" s="108">
        <v>4692.88</v>
      </c>
      <c r="G212" s="108">
        <f t="shared" si="3"/>
        <v>4692.88</v>
      </c>
      <c r="H212" s="109" t="s">
        <v>80</v>
      </c>
    </row>
    <row r="213" spans="1:8">
      <c r="A213" s="108" t="s">
        <v>415</v>
      </c>
      <c r="B213" s="108">
        <v>1789930</v>
      </c>
      <c r="C213" s="108">
        <v>0</v>
      </c>
      <c r="D213" s="108">
        <v>0</v>
      </c>
      <c r="E213" s="108">
        <v>1789930</v>
      </c>
      <c r="G213" s="108">
        <f t="shared" si="3"/>
        <v>1789930</v>
      </c>
      <c r="H213" s="109" t="s">
        <v>80</v>
      </c>
    </row>
    <row r="214" spans="1:8">
      <c r="A214" s="108" t="s">
        <v>1132</v>
      </c>
      <c r="B214" s="108">
        <v>0</v>
      </c>
      <c r="C214" s="108">
        <v>0</v>
      </c>
      <c r="D214" s="108">
        <v>0</v>
      </c>
      <c r="E214" s="108">
        <v>0</v>
      </c>
      <c r="G214" s="108">
        <f t="shared" si="3"/>
        <v>0</v>
      </c>
      <c r="H214" s="109" t="s">
        <v>80</v>
      </c>
    </row>
    <row r="215" spans="1:8">
      <c r="A215" s="108" t="s">
        <v>126</v>
      </c>
      <c r="B215" s="108">
        <v>-267736696.16</v>
      </c>
      <c r="C215" s="108">
        <v>23378707.539999999</v>
      </c>
      <c r="D215" s="108">
        <v>150990741.06</v>
      </c>
      <c r="E215" s="108">
        <v>-395348729.68000001</v>
      </c>
      <c r="G215" s="108">
        <f t="shared" si="3"/>
        <v>-395348729.68000001</v>
      </c>
      <c r="H215" s="109" t="s">
        <v>80</v>
      </c>
    </row>
    <row r="216" spans="1:8">
      <c r="A216" s="108" t="s">
        <v>602</v>
      </c>
      <c r="B216" s="108">
        <v>1168786097.95</v>
      </c>
      <c r="C216" s="108">
        <v>25252233.789999999</v>
      </c>
      <c r="D216" s="108">
        <v>0</v>
      </c>
      <c r="E216" s="108">
        <v>1194038331.74</v>
      </c>
      <c r="G216" s="108">
        <f t="shared" si="3"/>
        <v>1194038331.74</v>
      </c>
      <c r="H216" s="109" t="s">
        <v>80</v>
      </c>
    </row>
    <row r="217" spans="1:8">
      <c r="A217" s="108" t="s">
        <v>127</v>
      </c>
      <c r="B217" s="108">
        <v>438946147.27999997</v>
      </c>
      <c r="C217" s="108">
        <v>0</v>
      </c>
      <c r="D217" s="108">
        <v>0</v>
      </c>
      <c r="E217" s="108">
        <v>438946147.27999997</v>
      </c>
      <c r="G217" s="108">
        <f t="shared" si="3"/>
        <v>438946147.27999997</v>
      </c>
      <c r="H217" s="109" t="s">
        <v>80</v>
      </c>
    </row>
    <row r="218" spans="1:8">
      <c r="A218" s="108" t="s">
        <v>128</v>
      </c>
      <c r="B218" s="108">
        <v>14316309.33</v>
      </c>
      <c r="C218" s="108">
        <v>23744042.420000002</v>
      </c>
      <c r="D218" s="108">
        <v>0</v>
      </c>
      <c r="E218" s="108">
        <v>38060351.75</v>
      </c>
      <c r="G218" s="108">
        <f t="shared" si="3"/>
        <v>38060351.75</v>
      </c>
      <c r="H218" s="109" t="s">
        <v>80</v>
      </c>
    </row>
    <row r="219" spans="1:8">
      <c r="A219" s="108" t="s">
        <v>1090</v>
      </c>
      <c r="B219" s="108">
        <v>0</v>
      </c>
      <c r="C219" s="108">
        <v>0</v>
      </c>
      <c r="D219" s="108">
        <v>0</v>
      </c>
      <c r="E219" s="108">
        <v>0</v>
      </c>
      <c r="G219" s="108">
        <f t="shared" si="3"/>
        <v>0</v>
      </c>
      <c r="H219" s="109" t="s">
        <v>80</v>
      </c>
    </row>
    <row r="220" spans="1:8">
      <c r="A220" s="108" t="s">
        <v>1091</v>
      </c>
      <c r="B220" s="108">
        <v>0</v>
      </c>
      <c r="C220" s="108">
        <v>0</v>
      </c>
      <c r="D220" s="108">
        <v>0</v>
      </c>
      <c r="E220" s="108">
        <v>0</v>
      </c>
      <c r="G220" s="108">
        <f t="shared" si="3"/>
        <v>0</v>
      </c>
      <c r="H220" s="109" t="s">
        <v>80</v>
      </c>
    </row>
    <row r="221" spans="1:8">
      <c r="A221" s="108" t="s">
        <v>1390</v>
      </c>
      <c r="B221" s="108">
        <v>0</v>
      </c>
      <c r="C221" s="108">
        <v>0</v>
      </c>
      <c r="D221" s="108">
        <v>0</v>
      </c>
      <c r="E221" s="108">
        <v>0</v>
      </c>
      <c r="G221" s="108">
        <f t="shared" si="3"/>
        <v>0</v>
      </c>
      <c r="H221" s="109" t="s">
        <v>80</v>
      </c>
    </row>
    <row r="222" spans="1:8">
      <c r="A222" s="108" t="s">
        <v>1092</v>
      </c>
      <c r="B222" s="108">
        <v>0</v>
      </c>
      <c r="C222" s="108">
        <v>0</v>
      </c>
      <c r="D222" s="108">
        <v>0</v>
      </c>
      <c r="E222" s="108">
        <v>0</v>
      </c>
      <c r="G222" s="108">
        <f t="shared" si="3"/>
        <v>0</v>
      </c>
      <c r="H222" s="109" t="s">
        <v>80</v>
      </c>
    </row>
    <row r="223" spans="1:8">
      <c r="A223" s="108" t="s">
        <v>416</v>
      </c>
      <c r="B223" s="108">
        <v>-10432411.42</v>
      </c>
      <c r="C223" s="108">
        <v>9636358.9199999999</v>
      </c>
      <c r="D223" s="108">
        <v>0</v>
      </c>
      <c r="E223" s="108">
        <v>-796052.5</v>
      </c>
      <c r="G223" s="108">
        <f t="shared" si="3"/>
        <v>-796052.5</v>
      </c>
      <c r="H223" s="109" t="s">
        <v>80</v>
      </c>
    </row>
    <row r="224" spans="1:8">
      <c r="A224" s="108" t="s">
        <v>603</v>
      </c>
      <c r="B224" s="108">
        <v>3042335.14</v>
      </c>
      <c r="C224" s="108">
        <v>1530684.92</v>
      </c>
      <c r="D224" s="108">
        <v>0</v>
      </c>
      <c r="E224" s="108">
        <v>4573020.0599999996</v>
      </c>
      <c r="G224" s="108">
        <f t="shared" si="3"/>
        <v>4573020.0599999996</v>
      </c>
      <c r="H224" s="109" t="s">
        <v>80</v>
      </c>
    </row>
    <row r="225" spans="1:8">
      <c r="A225" s="108" t="s">
        <v>1391</v>
      </c>
      <c r="B225" s="108">
        <v>0</v>
      </c>
      <c r="C225" s="108">
        <v>0</v>
      </c>
      <c r="D225" s="108">
        <v>0</v>
      </c>
      <c r="E225" s="108">
        <v>0</v>
      </c>
      <c r="G225" s="108">
        <f t="shared" si="3"/>
        <v>0</v>
      </c>
      <c r="H225" s="109" t="s">
        <v>80</v>
      </c>
    </row>
    <row r="226" spans="1:8">
      <c r="A226" s="108" t="s">
        <v>1392</v>
      </c>
      <c r="B226" s="108">
        <v>0</v>
      </c>
      <c r="C226" s="108">
        <v>0</v>
      </c>
      <c r="D226" s="108">
        <v>0</v>
      </c>
      <c r="E226" s="108">
        <v>0</v>
      </c>
      <c r="G226" s="108">
        <f t="shared" si="3"/>
        <v>0</v>
      </c>
      <c r="H226" s="109" t="s">
        <v>80</v>
      </c>
    </row>
    <row r="227" spans="1:8">
      <c r="A227" s="108" t="s">
        <v>604</v>
      </c>
      <c r="B227" s="108">
        <v>4085294.79</v>
      </c>
      <c r="C227" s="108">
        <v>1268014.5</v>
      </c>
      <c r="D227" s="108">
        <v>4090425</v>
      </c>
      <c r="E227" s="108">
        <v>1262884.29</v>
      </c>
      <c r="G227" s="108">
        <f t="shared" si="3"/>
        <v>1262884.29</v>
      </c>
      <c r="H227" s="109" t="s">
        <v>80</v>
      </c>
    </row>
    <row r="228" spans="1:8">
      <c r="A228" s="108" t="s">
        <v>1093</v>
      </c>
      <c r="B228" s="108">
        <v>0</v>
      </c>
      <c r="C228" s="108">
        <v>0</v>
      </c>
      <c r="D228" s="108">
        <v>0</v>
      </c>
      <c r="E228" s="108">
        <v>0</v>
      </c>
      <c r="G228" s="108">
        <f t="shared" si="3"/>
        <v>0</v>
      </c>
      <c r="H228" s="109" t="s">
        <v>80</v>
      </c>
    </row>
    <row r="229" spans="1:8">
      <c r="A229" s="108" t="s">
        <v>1094</v>
      </c>
      <c r="B229" s="108">
        <v>0</v>
      </c>
      <c r="C229" s="108">
        <v>0</v>
      </c>
      <c r="D229" s="108">
        <v>0</v>
      </c>
      <c r="E229" s="108">
        <v>0</v>
      </c>
      <c r="G229" s="108">
        <f t="shared" si="3"/>
        <v>0</v>
      </c>
      <c r="H229" s="109" t="s">
        <v>80</v>
      </c>
    </row>
    <row r="230" spans="1:8">
      <c r="A230" s="108" t="s">
        <v>136</v>
      </c>
      <c r="B230" s="108">
        <v>0.93</v>
      </c>
      <c r="C230" s="108">
        <v>0</v>
      </c>
      <c r="D230" s="108">
        <v>0</v>
      </c>
      <c r="E230" s="108">
        <v>0.93</v>
      </c>
      <c r="G230" s="108">
        <f t="shared" si="3"/>
        <v>0.93</v>
      </c>
      <c r="H230" s="109" t="s">
        <v>80</v>
      </c>
    </row>
    <row r="231" spans="1:8">
      <c r="A231" s="108" t="s">
        <v>1121</v>
      </c>
      <c r="B231" s="108">
        <v>0</v>
      </c>
      <c r="C231" s="108">
        <v>0</v>
      </c>
      <c r="D231" s="108">
        <v>0</v>
      </c>
      <c r="E231" s="108">
        <v>0</v>
      </c>
      <c r="G231" s="108">
        <f t="shared" si="3"/>
        <v>0</v>
      </c>
      <c r="H231" s="109" t="s">
        <v>80</v>
      </c>
    </row>
    <row r="232" spans="1:8">
      <c r="A232" s="108" t="s">
        <v>1393</v>
      </c>
      <c r="B232" s="108">
        <v>0</v>
      </c>
      <c r="C232" s="108">
        <v>0</v>
      </c>
      <c r="D232" s="108">
        <v>0</v>
      </c>
      <c r="E232" s="108">
        <v>0</v>
      </c>
      <c r="G232" s="108">
        <f t="shared" si="3"/>
        <v>0</v>
      </c>
      <c r="H232" s="109" t="s">
        <v>80</v>
      </c>
    </row>
    <row r="233" spans="1:8">
      <c r="A233" s="108" t="s">
        <v>1122</v>
      </c>
      <c r="B233" s="108">
        <v>0</v>
      </c>
      <c r="C233" s="108">
        <v>0</v>
      </c>
      <c r="D233" s="108">
        <v>0</v>
      </c>
      <c r="E233" s="108">
        <v>0</v>
      </c>
      <c r="G233" s="108">
        <f t="shared" si="3"/>
        <v>0</v>
      </c>
      <c r="H233" s="109" t="s">
        <v>80</v>
      </c>
    </row>
    <row r="234" spans="1:8">
      <c r="A234" s="108" t="s">
        <v>1123</v>
      </c>
      <c r="B234" s="108">
        <v>0</v>
      </c>
      <c r="C234" s="108">
        <v>0</v>
      </c>
      <c r="D234" s="108">
        <v>0</v>
      </c>
      <c r="E234" s="108">
        <v>0</v>
      </c>
      <c r="G234" s="108">
        <f t="shared" si="3"/>
        <v>0</v>
      </c>
      <c r="H234" s="109" t="s">
        <v>80</v>
      </c>
    </row>
    <row r="235" spans="1:8">
      <c r="A235" s="108" t="s">
        <v>1124</v>
      </c>
      <c r="B235" s="108">
        <v>0</v>
      </c>
      <c r="C235" s="108">
        <v>0</v>
      </c>
      <c r="D235" s="108">
        <v>0</v>
      </c>
      <c r="E235" s="108">
        <v>0</v>
      </c>
      <c r="G235" s="108">
        <f t="shared" si="3"/>
        <v>0</v>
      </c>
      <c r="H235" s="109" t="s">
        <v>80</v>
      </c>
    </row>
    <row r="236" spans="1:8">
      <c r="A236" s="108" t="s">
        <v>1125</v>
      </c>
      <c r="B236" s="108">
        <v>0</v>
      </c>
      <c r="C236" s="108">
        <v>0</v>
      </c>
      <c r="D236" s="108">
        <v>0</v>
      </c>
      <c r="E236" s="108">
        <v>0</v>
      </c>
      <c r="G236" s="108">
        <f t="shared" si="3"/>
        <v>0</v>
      </c>
      <c r="H236" s="109" t="s">
        <v>80</v>
      </c>
    </row>
    <row r="237" spans="1:8">
      <c r="A237" s="108" t="s">
        <v>1394</v>
      </c>
      <c r="B237" s="108">
        <v>0</v>
      </c>
      <c r="C237" s="108">
        <v>0</v>
      </c>
      <c r="D237" s="108">
        <v>0</v>
      </c>
      <c r="E237" s="108">
        <v>0</v>
      </c>
      <c r="G237" s="108">
        <f t="shared" si="3"/>
        <v>0</v>
      </c>
      <c r="H237" s="109" t="s">
        <v>80</v>
      </c>
    </row>
    <row r="238" spans="1:8">
      <c r="A238" s="108" t="s">
        <v>605</v>
      </c>
      <c r="B238" s="108">
        <v>0</v>
      </c>
      <c r="C238" s="108">
        <v>795320</v>
      </c>
      <c r="D238" s="108">
        <v>795320</v>
      </c>
      <c r="E238" s="108">
        <v>0</v>
      </c>
      <c r="G238" s="108">
        <f t="shared" si="3"/>
        <v>0</v>
      </c>
      <c r="H238" s="109" t="s">
        <v>80</v>
      </c>
    </row>
    <row r="239" spans="1:8">
      <c r="A239" s="108" t="s">
        <v>1126</v>
      </c>
      <c r="B239" s="108">
        <v>0</v>
      </c>
      <c r="C239" s="108">
        <v>0</v>
      </c>
      <c r="D239" s="108">
        <v>0</v>
      </c>
      <c r="E239" s="108">
        <v>0</v>
      </c>
      <c r="G239" s="108">
        <f t="shared" si="3"/>
        <v>0</v>
      </c>
      <c r="H239" s="109" t="s">
        <v>80</v>
      </c>
    </row>
    <row r="240" spans="1:8">
      <c r="A240" s="108" t="s">
        <v>1395</v>
      </c>
      <c r="B240" s="108">
        <v>0</v>
      </c>
      <c r="C240" s="108">
        <v>0</v>
      </c>
      <c r="D240" s="108">
        <v>0</v>
      </c>
      <c r="E240" s="108">
        <v>0</v>
      </c>
      <c r="G240" s="108">
        <f t="shared" si="3"/>
        <v>0</v>
      </c>
      <c r="H240" s="109" t="s">
        <v>80</v>
      </c>
    </row>
    <row r="241" spans="1:8">
      <c r="A241" s="108" t="s">
        <v>1396</v>
      </c>
      <c r="B241" s="108">
        <v>0</v>
      </c>
      <c r="C241" s="108">
        <v>0</v>
      </c>
      <c r="D241" s="108">
        <v>0</v>
      </c>
      <c r="E241" s="108">
        <v>0</v>
      </c>
      <c r="G241" s="108">
        <f t="shared" si="3"/>
        <v>0</v>
      </c>
      <c r="H241" s="109" t="s">
        <v>80</v>
      </c>
    </row>
    <row r="242" spans="1:8">
      <c r="A242" s="108" t="s">
        <v>1397</v>
      </c>
      <c r="B242" s="108">
        <v>0</v>
      </c>
      <c r="C242" s="108">
        <v>0</v>
      </c>
      <c r="D242" s="108">
        <v>0</v>
      </c>
      <c r="E242" s="108">
        <v>0</v>
      </c>
      <c r="G242" s="108">
        <f t="shared" si="3"/>
        <v>0</v>
      </c>
      <c r="H242" s="109" t="s">
        <v>80</v>
      </c>
    </row>
    <row r="243" spans="1:8">
      <c r="A243" s="108" t="s">
        <v>1127</v>
      </c>
      <c r="B243" s="108">
        <v>0</v>
      </c>
      <c r="C243" s="108">
        <v>0</v>
      </c>
      <c r="D243" s="108">
        <v>0</v>
      </c>
      <c r="E243" s="108">
        <v>0</v>
      </c>
      <c r="G243" s="108">
        <f t="shared" si="3"/>
        <v>0</v>
      </c>
      <c r="H243" s="109" t="s">
        <v>80</v>
      </c>
    </row>
    <row r="244" spans="1:8">
      <c r="A244" s="108" t="s">
        <v>1128</v>
      </c>
      <c r="B244" s="108">
        <v>0</v>
      </c>
      <c r="C244" s="108">
        <v>0</v>
      </c>
      <c r="D244" s="108">
        <v>0</v>
      </c>
      <c r="E244" s="108">
        <v>0</v>
      </c>
      <c r="G244" s="108">
        <f t="shared" si="3"/>
        <v>0</v>
      </c>
      <c r="H244" s="109" t="s">
        <v>80</v>
      </c>
    </row>
    <row r="245" spans="1:8">
      <c r="A245" s="108" t="s">
        <v>1129</v>
      </c>
      <c r="B245" s="108">
        <v>0</v>
      </c>
      <c r="C245" s="108">
        <v>0</v>
      </c>
      <c r="D245" s="108">
        <v>0</v>
      </c>
      <c r="E245" s="108">
        <v>0</v>
      </c>
      <c r="G245" s="108">
        <f t="shared" si="3"/>
        <v>0</v>
      </c>
      <c r="H245" s="109" t="s">
        <v>80</v>
      </c>
    </row>
    <row r="246" spans="1:8">
      <c r="A246" s="108" t="s">
        <v>1399</v>
      </c>
      <c r="B246" s="108">
        <v>0</v>
      </c>
      <c r="C246" s="108">
        <v>0</v>
      </c>
      <c r="D246" s="108">
        <v>0</v>
      </c>
      <c r="E246" s="108">
        <v>0</v>
      </c>
      <c r="G246" s="108">
        <f t="shared" si="3"/>
        <v>0</v>
      </c>
      <c r="H246" s="109" t="s">
        <v>80</v>
      </c>
    </row>
    <row r="247" spans="1:8">
      <c r="A247" s="108" t="s">
        <v>1100</v>
      </c>
      <c r="B247" s="108">
        <v>0</v>
      </c>
      <c r="C247" s="108">
        <v>0</v>
      </c>
      <c r="D247" s="108">
        <v>0</v>
      </c>
      <c r="E247" s="108">
        <v>0</v>
      </c>
      <c r="G247" s="108">
        <f t="shared" si="3"/>
        <v>0</v>
      </c>
      <c r="H247" s="109" t="s">
        <v>80</v>
      </c>
    </row>
    <row r="248" spans="1:8">
      <c r="A248" s="108" t="s">
        <v>606</v>
      </c>
      <c r="B248" s="108">
        <v>-1037.4000000000001</v>
      </c>
      <c r="C248" s="108">
        <v>0</v>
      </c>
      <c r="D248" s="108">
        <v>0</v>
      </c>
      <c r="E248" s="108">
        <v>-1037.4000000000001</v>
      </c>
      <c r="G248" s="108">
        <f t="shared" si="3"/>
        <v>-1037.4000000000001</v>
      </c>
      <c r="H248" s="109" t="s">
        <v>80</v>
      </c>
    </row>
    <row r="249" spans="1:8">
      <c r="A249" s="108" t="s">
        <v>383</v>
      </c>
      <c r="B249" s="108">
        <v>325669.58</v>
      </c>
      <c r="C249" s="108">
        <v>0</v>
      </c>
      <c r="D249" s="108">
        <v>0</v>
      </c>
      <c r="E249" s="108">
        <v>325669.58</v>
      </c>
      <c r="G249" s="108">
        <f t="shared" si="3"/>
        <v>325669.58</v>
      </c>
      <c r="H249" s="109" t="s">
        <v>80</v>
      </c>
    </row>
    <row r="250" spans="1:8">
      <c r="A250" s="108" t="s">
        <v>1101</v>
      </c>
      <c r="B250" s="108">
        <v>0</v>
      </c>
      <c r="C250" s="108">
        <v>0</v>
      </c>
      <c r="D250" s="108">
        <v>0</v>
      </c>
      <c r="E250" s="108">
        <v>0</v>
      </c>
      <c r="G250" s="108">
        <f t="shared" si="3"/>
        <v>0</v>
      </c>
      <c r="H250" s="109" t="s">
        <v>80</v>
      </c>
    </row>
    <row r="251" spans="1:8">
      <c r="A251" s="108" t="s">
        <v>607</v>
      </c>
      <c r="B251" s="108">
        <v>0.06</v>
      </c>
      <c r="C251" s="108">
        <v>0</v>
      </c>
      <c r="D251" s="108">
        <v>0</v>
      </c>
      <c r="E251" s="108">
        <v>0.06</v>
      </c>
      <c r="G251" s="108">
        <f t="shared" si="3"/>
        <v>0.06</v>
      </c>
      <c r="H251" s="109" t="s">
        <v>80</v>
      </c>
    </row>
    <row r="252" spans="1:8">
      <c r="A252" s="108" t="s">
        <v>1401</v>
      </c>
      <c r="B252" s="108">
        <v>0</v>
      </c>
      <c r="C252" s="108">
        <v>0</v>
      </c>
      <c r="D252" s="108">
        <v>0</v>
      </c>
      <c r="E252" s="108">
        <v>0</v>
      </c>
      <c r="G252" s="108">
        <f t="shared" si="3"/>
        <v>0</v>
      </c>
      <c r="H252" s="109" t="s">
        <v>80</v>
      </c>
    </row>
    <row r="253" spans="1:8">
      <c r="A253" s="108" t="s">
        <v>526</v>
      </c>
      <c r="B253" s="108">
        <v>-70355</v>
      </c>
      <c r="C253" s="108">
        <v>0</v>
      </c>
      <c r="D253" s="108">
        <v>0</v>
      </c>
      <c r="E253" s="108">
        <v>-70355</v>
      </c>
      <c r="G253" s="108">
        <f t="shared" si="3"/>
        <v>-70355</v>
      </c>
      <c r="H253" s="109" t="s">
        <v>80</v>
      </c>
    </row>
    <row r="254" spans="1:8">
      <c r="A254" s="108" t="s">
        <v>505</v>
      </c>
      <c r="B254" s="108">
        <v>1363.56</v>
      </c>
      <c r="C254" s="108">
        <v>0</v>
      </c>
      <c r="D254" s="108">
        <v>0</v>
      </c>
      <c r="E254" s="108">
        <v>1363.56</v>
      </c>
      <c r="G254" s="108">
        <f t="shared" si="3"/>
        <v>1363.56</v>
      </c>
      <c r="H254" s="109" t="s">
        <v>80</v>
      </c>
    </row>
    <row r="255" spans="1:8">
      <c r="A255" s="108" t="s">
        <v>1102</v>
      </c>
      <c r="B255" s="108">
        <v>0</v>
      </c>
      <c r="C255" s="108">
        <v>0</v>
      </c>
      <c r="D255" s="108">
        <v>0</v>
      </c>
      <c r="E255" s="108">
        <v>0</v>
      </c>
      <c r="G255" s="108">
        <f t="shared" si="3"/>
        <v>0</v>
      </c>
      <c r="H255" s="109" t="s">
        <v>80</v>
      </c>
    </row>
    <row r="256" spans="1:8">
      <c r="A256" s="108" t="s">
        <v>1130</v>
      </c>
      <c r="B256" s="108">
        <v>0</v>
      </c>
      <c r="C256" s="108">
        <v>0</v>
      </c>
      <c r="D256" s="108">
        <v>0</v>
      </c>
      <c r="E256" s="108">
        <v>0</v>
      </c>
      <c r="G256" s="108">
        <f t="shared" si="3"/>
        <v>0</v>
      </c>
      <c r="H256" s="109" t="s">
        <v>80</v>
      </c>
    </row>
    <row r="257" spans="1:8">
      <c r="A257" s="108" t="s">
        <v>1131</v>
      </c>
      <c r="B257" s="108">
        <v>0</v>
      </c>
      <c r="C257" s="108">
        <v>0</v>
      </c>
      <c r="D257" s="108">
        <v>0</v>
      </c>
      <c r="E257" s="108">
        <v>0</v>
      </c>
      <c r="G257" s="108">
        <f t="shared" si="3"/>
        <v>0</v>
      </c>
      <c r="H257" s="109" t="s">
        <v>80</v>
      </c>
    </row>
    <row r="258" spans="1:8">
      <c r="A258" s="108" t="s">
        <v>1104</v>
      </c>
      <c r="B258" s="108">
        <v>0</v>
      </c>
      <c r="C258" s="108">
        <v>0</v>
      </c>
      <c r="D258" s="108">
        <v>0</v>
      </c>
      <c r="E258" s="108">
        <v>0</v>
      </c>
      <c r="G258" s="108">
        <f t="shared" si="3"/>
        <v>0</v>
      </c>
      <c r="H258" s="109" t="s">
        <v>80</v>
      </c>
    </row>
    <row r="259" spans="1:8">
      <c r="A259" s="108" t="s">
        <v>1105</v>
      </c>
      <c r="B259" s="108">
        <v>0</v>
      </c>
      <c r="C259" s="108">
        <v>0</v>
      </c>
      <c r="D259" s="108">
        <v>0</v>
      </c>
      <c r="E259" s="108">
        <v>0</v>
      </c>
      <c r="G259" s="108">
        <f t="shared" ref="G259:G322" si="4">E259+F259</f>
        <v>0</v>
      </c>
      <c r="H259" s="109" t="s">
        <v>80</v>
      </c>
    </row>
    <row r="260" spans="1:8">
      <c r="A260" s="108" t="s">
        <v>608</v>
      </c>
      <c r="B260" s="108">
        <v>1180148.46</v>
      </c>
      <c r="C260" s="108">
        <v>7753610.7300000004</v>
      </c>
      <c r="D260" s="108">
        <v>374096</v>
      </c>
      <c r="E260" s="108">
        <v>8559663.1899999995</v>
      </c>
      <c r="G260" s="108">
        <f t="shared" si="4"/>
        <v>8559663.1899999995</v>
      </c>
      <c r="H260" s="109" t="s">
        <v>80</v>
      </c>
    </row>
    <row r="261" spans="1:8">
      <c r="A261" s="108" t="s">
        <v>609</v>
      </c>
      <c r="B261" s="108">
        <v>-0.01</v>
      </c>
      <c r="C261" s="108">
        <v>0</v>
      </c>
      <c r="D261" s="108">
        <v>0</v>
      </c>
      <c r="E261" s="108">
        <v>-0.01</v>
      </c>
      <c r="G261" s="108">
        <f t="shared" si="4"/>
        <v>-0.01</v>
      </c>
      <c r="H261" s="109" t="s">
        <v>80</v>
      </c>
    </row>
    <row r="262" spans="1:8">
      <c r="A262" s="108" t="s">
        <v>610</v>
      </c>
      <c r="B262" s="108">
        <v>0</v>
      </c>
      <c r="C262" s="108">
        <v>2286937.7999999998</v>
      </c>
      <c r="D262" s="108">
        <v>0</v>
      </c>
      <c r="E262" s="108">
        <v>2286937.7999999998</v>
      </c>
      <c r="G262" s="108">
        <f t="shared" si="4"/>
        <v>2286937.7999999998</v>
      </c>
      <c r="H262" s="109" t="s">
        <v>80</v>
      </c>
    </row>
    <row r="263" spans="1:8">
      <c r="A263" s="108" t="s">
        <v>611</v>
      </c>
      <c r="B263" s="108">
        <v>0.02</v>
      </c>
      <c r="C263" s="108">
        <v>0</v>
      </c>
      <c r="D263" s="108">
        <v>0</v>
      </c>
      <c r="E263" s="108">
        <v>0.02</v>
      </c>
      <c r="G263" s="108">
        <f t="shared" si="4"/>
        <v>0.02</v>
      </c>
      <c r="H263" s="109" t="s">
        <v>80</v>
      </c>
    </row>
    <row r="264" spans="1:8">
      <c r="A264" s="108" t="s">
        <v>612</v>
      </c>
      <c r="B264" s="108">
        <v>1607471.88</v>
      </c>
      <c r="C264" s="108">
        <v>0</v>
      </c>
      <c r="D264" s="108">
        <v>1605902.88</v>
      </c>
      <c r="E264" s="108">
        <v>1569</v>
      </c>
      <c r="G264" s="108">
        <f t="shared" si="4"/>
        <v>1569</v>
      </c>
      <c r="H264" s="109" t="s">
        <v>80</v>
      </c>
    </row>
    <row r="265" spans="1:8">
      <c r="A265" s="108" t="s">
        <v>1106</v>
      </c>
      <c r="B265" s="108">
        <v>0</v>
      </c>
      <c r="C265" s="108">
        <v>0</v>
      </c>
      <c r="D265" s="108">
        <v>0</v>
      </c>
      <c r="E265" s="108">
        <v>0</v>
      </c>
      <c r="G265" s="108">
        <f t="shared" si="4"/>
        <v>0</v>
      </c>
      <c r="H265" s="109" t="s">
        <v>80</v>
      </c>
    </row>
    <row r="266" spans="1:8">
      <c r="A266" s="108" t="s">
        <v>613</v>
      </c>
      <c r="B266" s="108">
        <v>38436340.109999999</v>
      </c>
      <c r="C266" s="108">
        <v>4812774.03</v>
      </c>
      <c r="D266" s="108">
        <v>25562757.739999998</v>
      </c>
      <c r="E266" s="108">
        <v>17686356.399999999</v>
      </c>
      <c r="G266" s="108">
        <f t="shared" si="4"/>
        <v>17686356.399999999</v>
      </c>
      <c r="H266" s="109" t="s">
        <v>80</v>
      </c>
    </row>
    <row r="267" spans="1:8">
      <c r="A267" s="108" t="s">
        <v>1107</v>
      </c>
      <c r="B267" s="108">
        <v>0</v>
      </c>
      <c r="C267" s="108">
        <v>0</v>
      </c>
      <c r="D267" s="108">
        <v>0</v>
      </c>
      <c r="E267" s="108">
        <v>0</v>
      </c>
      <c r="G267" s="108">
        <f t="shared" si="4"/>
        <v>0</v>
      </c>
      <c r="H267" s="109" t="s">
        <v>80</v>
      </c>
    </row>
    <row r="268" spans="1:8">
      <c r="A268" s="108" t="s">
        <v>1108</v>
      </c>
      <c r="B268" s="108">
        <v>0</v>
      </c>
      <c r="C268" s="108">
        <v>0</v>
      </c>
      <c r="D268" s="108">
        <v>0</v>
      </c>
      <c r="E268" s="108">
        <v>0</v>
      </c>
      <c r="G268" s="108">
        <f t="shared" si="4"/>
        <v>0</v>
      </c>
      <c r="H268" s="109" t="s">
        <v>80</v>
      </c>
    </row>
    <row r="269" spans="1:8">
      <c r="A269" s="108" t="s">
        <v>86</v>
      </c>
      <c r="B269" s="108">
        <v>0.02</v>
      </c>
      <c r="C269" s="108">
        <v>0</v>
      </c>
      <c r="D269" s="108">
        <v>0</v>
      </c>
      <c r="E269" s="108">
        <v>0.02</v>
      </c>
      <c r="G269" s="108">
        <f t="shared" si="4"/>
        <v>0.02</v>
      </c>
      <c r="H269" s="109" t="s">
        <v>80</v>
      </c>
    </row>
    <row r="270" spans="1:8">
      <c r="A270" s="108" t="s">
        <v>1109</v>
      </c>
      <c r="B270" s="108">
        <v>0</v>
      </c>
      <c r="C270" s="108">
        <v>0</v>
      </c>
      <c r="D270" s="108">
        <v>0</v>
      </c>
      <c r="E270" s="108">
        <v>0</v>
      </c>
      <c r="G270" s="108">
        <f t="shared" si="4"/>
        <v>0</v>
      </c>
      <c r="H270" s="109" t="s">
        <v>80</v>
      </c>
    </row>
    <row r="271" spans="1:8">
      <c r="A271" s="108" t="s">
        <v>1110</v>
      </c>
      <c r="B271" s="108">
        <v>0</v>
      </c>
      <c r="C271" s="108">
        <v>0</v>
      </c>
      <c r="D271" s="108">
        <v>0</v>
      </c>
      <c r="E271" s="108">
        <v>0</v>
      </c>
      <c r="G271" s="108">
        <f t="shared" si="4"/>
        <v>0</v>
      </c>
      <c r="H271" s="109" t="s">
        <v>80</v>
      </c>
    </row>
    <row r="272" spans="1:8">
      <c r="A272" s="108" t="s">
        <v>1111</v>
      </c>
      <c r="B272" s="108">
        <v>0</v>
      </c>
      <c r="C272" s="108">
        <v>0</v>
      </c>
      <c r="D272" s="108">
        <v>0</v>
      </c>
      <c r="E272" s="108">
        <v>0</v>
      </c>
      <c r="G272" s="108">
        <f t="shared" si="4"/>
        <v>0</v>
      </c>
      <c r="H272" s="109" t="s">
        <v>80</v>
      </c>
    </row>
    <row r="273" spans="1:8">
      <c r="A273" s="108" t="s">
        <v>92</v>
      </c>
      <c r="B273" s="108">
        <v>23898338.870000001</v>
      </c>
      <c r="C273" s="108">
        <v>2895668.1</v>
      </c>
      <c r="D273" s="108">
        <v>11415554.07</v>
      </c>
      <c r="E273" s="108">
        <v>15378452.9</v>
      </c>
      <c r="G273" s="108">
        <f t="shared" si="4"/>
        <v>15378452.9</v>
      </c>
      <c r="H273" s="109" t="s">
        <v>80</v>
      </c>
    </row>
    <row r="274" spans="1:8">
      <c r="A274" s="108" t="s">
        <v>614</v>
      </c>
      <c r="B274" s="108">
        <v>9599129.1400000006</v>
      </c>
      <c r="C274" s="108">
        <v>0</v>
      </c>
      <c r="D274" s="108">
        <v>6227028.7599999998</v>
      </c>
      <c r="E274" s="108">
        <v>3372100.38</v>
      </c>
      <c r="G274" s="108">
        <f t="shared" si="4"/>
        <v>3372100.38</v>
      </c>
      <c r="H274" s="109" t="s">
        <v>80</v>
      </c>
    </row>
    <row r="275" spans="1:8">
      <c r="A275" s="108" t="s">
        <v>1112</v>
      </c>
      <c r="B275" s="108">
        <v>0</v>
      </c>
      <c r="C275" s="108">
        <v>0</v>
      </c>
      <c r="D275" s="108">
        <v>0</v>
      </c>
      <c r="E275" s="108">
        <v>0</v>
      </c>
      <c r="G275" s="108">
        <f t="shared" si="4"/>
        <v>0</v>
      </c>
      <c r="H275" s="109" t="s">
        <v>80</v>
      </c>
    </row>
    <row r="276" spans="1:8">
      <c r="A276" s="108" t="s">
        <v>615</v>
      </c>
      <c r="B276" s="108">
        <v>3917952.01</v>
      </c>
      <c r="C276" s="108">
        <v>0</v>
      </c>
      <c r="D276" s="108">
        <v>0</v>
      </c>
      <c r="E276" s="108">
        <v>3917952.01</v>
      </c>
      <c r="G276" s="108">
        <f t="shared" si="4"/>
        <v>3917952.01</v>
      </c>
      <c r="H276" s="109" t="s">
        <v>80</v>
      </c>
    </row>
    <row r="277" spans="1:8">
      <c r="A277" s="108" t="s">
        <v>95</v>
      </c>
      <c r="B277" s="108">
        <v>22116.86</v>
      </c>
      <c r="C277" s="108">
        <v>0</v>
      </c>
      <c r="D277" s="108">
        <v>22116.86</v>
      </c>
      <c r="E277" s="108">
        <v>0</v>
      </c>
      <c r="G277" s="108">
        <f t="shared" si="4"/>
        <v>0</v>
      </c>
      <c r="H277" s="109" t="s">
        <v>80</v>
      </c>
    </row>
    <row r="278" spans="1:8">
      <c r="A278" s="108" t="s">
        <v>616</v>
      </c>
      <c r="B278" s="108">
        <v>25161872</v>
      </c>
      <c r="C278" s="108">
        <v>0</v>
      </c>
      <c r="D278" s="108">
        <v>25161872</v>
      </c>
      <c r="E278" s="108">
        <v>0</v>
      </c>
      <c r="G278" s="108">
        <f t="shared" si="4"/>
        <v>0</v>
      </c>
      <c r="H278" s="109" t="s">
        <v>80</v>
      </c>
    </row>
    <row r="279" spans="1:8">
      <c r="A279" s="108" t="s">
        <v>99</v>
      </c>
      <c r="B279" s="108">
        <v>6511336.79</v>
      </c>
      <c r="C279" s="108">
        <v>8588702.6099999994</v>
      </c>
      <c r="D279" s="108">
        <v>14088653.42</v>
      </c>
      <c r="E279" s="108">
        <v>1011385.98</v>
      </c>
      <c r="G279" s="108">
        <f t="shared" si="4"/>
        <v>1011385.98</v>
      </c>
      <c r="H279" s="109" t="s">
        <v>80</v>
      </c>
    </row>
    <row r="280" spans="1:8">
      <c r="A280" s="108" t="s">
        <v>102</v>
      </c>
      <c r="B280" s="108">
        <v>44698801.439999998</v>
      </c>
      <c r="C280" s="108">
        <v>4252588.5599999996</v>
      </c>
      <c r="D280" s="108">
        <v>0</v>
      </c>
      <c r="E280" s="108">
        <v>48951390</v>
      </c>
      <c r="G280" s="108">
        <f t="shared" si="4"/>
        <v>48951390</v>
      </c>
      <c r="H280" s="109" t="s">
        <v>80</v>
      </c>
    </row>
    <row r="281" spans="1:8">
      <c r="A281" s="108" t="s">
        <v>617</v>
      </c>
      <c r="B281" s="108">
        <v>3950256.13</v>
      </c>
      <c r="C281" s="108">
        <v>0</v>
      </c>
      <c r="D281" s="108">
        <v>0</v>
      </c>
      <c r="E281" s="108">
        <v>3950256.13</v>
      </c>
      <c r="G281" s="108">
        <f t="shared" si="4"/>
        <v>3950256.13</v>
      </c>
      <c r="H281" s="109" t="s">
        <v>80</v>
      </c>
    </row>
    <row r="282" spans="1:8">
      <c r="A282" s="108" t="s">
        <v>618</v>
      </c>
      <c r="B282" s="108">
        <v>13225854.939999999</v>
      </c>
      <c r="C282" s="108">
        <v>0</v>
      </c>
      <c r="D282" s="108">
        <v>0</v>
      </c>
      <c r="E282" s="108">
        <v>13225854.939999999</v>
      </c>
      <c r="G282" s="108">
        <f t="shared" si="4"/>
        <v>13225854.939999999</v>
      </c>
      <c r="H282" s="109" t="s">
        <v>80</v>
      </c>
    </row>
    <row r="283" spans="1:8">
      <c r="A283" s="108" t="s">
        <v>1113</v>
      </c>
      <c r="B283" s="108">
        <v>0</v>
      </c>
      <c r="C283" s="108">
        <v>0</v>
      </c>
      <c r="D283" s="108">
        <v>0</v>
      </c>
      <c r="E283" s="108">
        <v>0</v>
      </c>
      <c r="G283" s="108">
        <f t="shared" si="4"/>
        <v>0</v>
      </c>
      <c r="H283" s="109" t="s">
        <v>80</v>
      </c>
    </row>
    <row r="284" spans="1:8">
      <c r="A284" s="108" t="s">
        <v>1114</v>
      </c>
      <c r="B284" s="108">
        <v>0.01</v>
      </c>
      <c r="C284" s="108">
        <v>0</v>
      </c>
      <c r="D284" s="108">
        <v>0</v>
      </c>
      <c r="E284" s="108">
        <v>0.01</v>
      </c>
      <c r="G284" s="108">
        <f t="shared" si="4"/>
        <v>0.01</v>
      </c>
      <c r="H284" s="109" t="s">
        <v>80</v>
      </c>
    </row>
    <row r="285" spans="1:8">
      <c r="A285" s="108" t="s">
        <v>1115</v>
      </c>
      <c r="B285" s="108">
        <v>0</v>
      </c>
      <c r="C285" s="108">
        <v>0</v>
      </c>
      <c r="D285" s="108">
        <v>0</v>
      </c>
      <c r="E285" s="108">
        <v>0</v>
      </c>
      <c r="G285" s="108">
        <f t="shared" si="4"/>
        <v>0</v>
      </c>
      <c r="H285" s="109" t="s">
        <v>80</v>
      </c>
    </row>
    <row r="286" spans="1:8">
      <c r="A286" s="108" t="s">
        <v>1116</v>
      </c>
      <c r="B286" s="108">
        <v>0</v>
      </c>
      <c r="C286" s="108">
        <v>0</v>
      </c>
      <c r="D286" s="108">
        <v>0</v>
      </c>
      <c r="E286" s="108">
        <v>0</v>
      </c>
      <c r="G286" s="108">
        <f t="shared" si="4"/>
        <v>0</v>
      </c>
      <c r="H286" s="109" t="s">
        <v>80</v>
      </c>
    </row>
    <row r="287" spans="1:8">
      <c r="A287" s="108" t="s">
        <v>1117</v>
      </c>
      <c r="B287" s="108">
        <v>0</v>
      </c>
      <c r="C287" s="108">
        <v>0</v>
      </c>
      <c r="D287" s="108">
        <v>0</v>
      </c>
      <c r="E287" s="108">
        <v>0</v>
      </c>
      <c r="G287" s="108">
        <f t="shared" si="4"/>
        <v>0</v>
      </c>
      <c r="H287" s="109" t="s">
        <v>80</v>
      </c>
    </row>
    <row r="288" spans="1:8">
      <c r="A288" s="108" t="s">
        <v>1118</v>
      </c>
      <c r="B288" s="108">
        <v>0</v>
      </c>
      <c r="C288" s="108">
        <v>0</v>
      </c>
      <c r="D288" s="108">
        <v>0</v>
      </c>
      <c r="E288" s="108">
        <v>0</v>
      </c>
      <c r="G288" s="108">
        <f t="shared" si="4"/>
        <v>0</v>
      </c>
      <c r="H288" s="109" t="s">
        <v>80</v>
      </c>
    </row>
    <row r="289" spans="1:8">
      <c r="A289" s="108" t="s">
        <v>1119</v>
      </c>
      <c r="B289" s="108">
        <v>0</v>
      </c>
      <c r="C289" s="108">
        <v>0</v>
      </c>
      <c r="D289" s="108">
        <v>0</v>
      </c>
      <c r="E289" s="108">
        <v>0</v>
      </c>
      <c r="G289" s="108">
        <f t="shared" si="4"/>
        <v>0</v>
      </c>
      <c r="H289" s="109" t="s">
        <v>80</v>
      </c>
    </row>
    <row r="290" spans="1:8">
      <c r="A290" s="108" t="s">
        <v>619</v>
      </c>
      <c r="B290" s="108">
        <v>7765335.1699999999</v>
      </c>
      <c r="C290" s="108">
        <v>0</v>
      </c>
      <c r="D290" s="108">
        <v>0</v>
      </c>
      <c r="E290" s="108">
        <v>7765335.1699999999</v>
      </c>
      <c r="G290" s="108">
        <f t="shared" si="4"/>
        <v>7765335.1699999999</v>
      </c>
      <c r="H290" s="109" t="s">
        <v>80</v>
      </c>
    </row>
    <row r="291" spans="1:8">
      <c r="A291" s="108" t="s">
        <v>1134</v>
      </c>
      <c r="B291" s="108">
        <v>0</v>
      </c>
      <c r="C291" s="108">
        <v>0</v>
      </c>
      <c r="D291" s="108">
        <v>0</v>
      </c>
      <c r="E291" s="108">
        <v>0</v>
      </c>
      <c r="G291" s="108">
        <f t="shared" si="4"/>
        <v>0</v>
      </c>
      <c r="H291" s="109" t="s">
        <v>80</v>
      </c>
    </row>
    <row r="292" spans="1:8">
      <c r="A292" s="108" t="s">
        <v>620</v>
      </c>
      <c r="B292" s="108">
        <v>-21173.27</v>
      </c>
      <c r="C292" s="108">
        <v>30105.17</v>
      </c>
      <c r="D292" s="108">
        <v>8931.9</v>
      </c>
      <c r="E292" s="108">
        <v>0</v>
      </c>
      <c r="G292" s="108">
        <f t="shared" si="4"/>
        <v>0</v>
      </c>
      <c r="H292" s="109" t="s">
        <v>80</v>
      </c>
    </row>
    <row r="293" spans="1:8">
      <c r="A293" s="108" t="s">
        <v>121</v>
      </c>
      <c r="B293" s="108">
        <v>62465541.560000002</v>
      </c>
      <c r="C293" s="108">
        <v>3941015</v>
      </c>
      <c r="D293" s="108">
        <v>0</v>
      </c>
      <c r="E293" s="108">
        <v>66406556.560000002</v>
      </c>
      <c r="G293" s="108">
        <f t="shared" si="4"/>
        <v>66406556.560000002</v>
      </c>
      <c r="H293" s="109" t="s">
        <v>80</v>
      </c>
    </row>
    <row r="294" spans="1:8">
      <c r="A294" s="108" t="s">
        <v>122</v>
      </c>
      <c r="B294" s="108">
        <v>-114518759.02</v>
      </c>
      <c r="C294" s="108">
        <v>60900</v>
      </c>
      <c r="D294" s="108">
        <v>0</v>
      </c>
      <c r="E294" s="108">
        <v>-114457859.02</v>
      </c>
      <c r="G294" s="108">
        <f t="shared" si="4"/>
        <v>-114457859.02</v>
      </c>
      <c r="H294" s="109" t="s">
        <v>80</v>
      </c>
    </row>
    <row r="295" spans="1:8">
      <c r="A295" s="108" t="s">
        <v>124</v>
      </c>
      <c r="B295" s="108">
        <v>23835.5</v>
      </c>
      <c r="C295" s="108">
        <v>0</v>
      </c>
      <c r="D295" s="108">
        <v>0</v>
      </c>
      <c r="E295" s="108">
        <v>23835.5</v>
      </c>
      <c r="G295" s="108">
        <f t="shared" si="4"/>
        <v>23835.5</v>
      </c>
      <c r="H295" s="109" t="s">
        <v>80</v>
      </c>
    </row>
    <row r="296" spans="1:8">
      <c r="A296" s="108" t="s">
        <v>130</v>
      </c>
      <c r="B296" s="108">
        <v>722637.02</v>
      </c>
      <c r="C296" s="108">
        <v>0</v>
      </c>
      <c r="D296" s="108">
        <v>0</v>
      </c>
      <c r="E296" s="108">
        <v>722637.02</v>
      </c>
      <c r="G296" s="108">
        <f t="shared" si="4"/>
        <v>722637.02</v>
      </c>
      <c r="H296" s="109" t="s">
        <v>80</v>
      </c>
    </row>
    <row r="297" spans="1:8">
      <c r="A297" s="108" t="s">
        <v>1135</v>
      </c>
      <c r="B297" s="108">
        <v>0</v>
      </c>
      <c r="C297" s="108">
        <v>0</v>
      </c>
      <c r="D297" s="108">
        <v>0</v>
      </c>
      <c r="E297" s="108">
        <v>0</v>
      </c>
      <c r="G297" s="108">
        <f t="shared" si="4"/>
        <v>0</v>
      </c>
      <c r="H297" s="109" t="s">
        <v>80</v>
      </c>
    </row>
    <row r="298" spans="1:8">
      <c r="A298" s="108" t="s">
        <v>1136</v>
      </c>
      <c r="B298" s="108">
        <v>0</v>
      </c>
      <c r="C298" s="108">
        <v>0</v>
      </c>
      <c r="D298" s="108">
        <v>0</v>
      </c>
      <c r="E298" s="108">
        <v>0</v>
      </c>
      <c r="G298" s="108">
        <f t="shared" si="4"/>
        <v>0</v>
      </c>
      <c r="H298" s="109" t="s">
        <v>80</v>
      </c>
    </row>
    <row r="299" spans="1:8">
      <c r="A299" s="108" t="s">
        <v>621</v>
      </c>
      <c r="B299" s="108">
        <v>12145757.09</v>
      </c>
      <c r="C299" s="108">
        <v>4181580.9</v>
      </c>
      <c r="D299" s="108">
        <v>7982841.4299999997</v>
      </c>
      <c r="E299" s="108">
        <v>8344496.5599999996</v>
      </c>
      <c r="G299" s="108">
        <f t="shared" si="4"/>
        <v>8344496.5599999996</v>
      </c>
      <c r="H299" s="109" t="s">
        <v>80</v>
      </c>
    </row>
    <row r="300" spans="1:8">
      <c r="A300" s="108" t="s">
        <v>477</v>
      </c>
      <c r="B300" s="108">
        <v>23454432.829999998</v>
      </c>
      <c r="C300" s="108">
        <v>0</v>
      </c>
      <c r="D300" s="108">
        <v>7813341</v>
      </c>
      <c r="E300" s="108">
        <v>15641091.83</v>
      </c>
      <c r="G300" s="108">
        <f t="shared" si="4"/>
        <v>15641091.83</v>
      </c>
      <c r="H300" s="109" t="s">
        <v>80</v>
      </c>
    </row>
    <row r="301" spans="1:8">
      <c r="A301" s="108" t="s">
        <v>132</v>
      </c>
      <c r="B301" s="108">
        <v>-85477.02</v>
      </c>
      <c r="C301" s="108">
        <v>0</v>
      </c>
      <c r="D301" s="108">
        <v>0</v>
      </c>
      <c r="E301" s="108">
        <v>-85477.02</v>
      </c>
      <c r="G301" s="108">
        <f t="shared" si="4"/>
        <v>-85477.02</v>
      </c>
      <c r="H301" s="109" t="s">
        <v>80</v>
      </c>
    </row>
    <row r="302" spans="1:8">
      <c r="A302" s="108" t="s">
        <v>133</v>
      </c>
      <c r="B302" s="108">
        <v>7996440.0099999998</v>
      </c>
      <c r="C302" s="108">
        <v>13532459.85</v>
      </c>
      <c r="D302" s="108">
        <v>7996439.9800000004</v>
      </c>
      <c r="E302" s="108">
        <v>13532459.880000001</v>
      </c>
      <c r="G302" s="108">
        <f t="shared" si="4"/>
        <v>13532459.880000001</v>
      </c>
      <c r="H302" s="109" t="s">
        <v>80</v>
      </c>
    </row>
    <row r="303" spans="1:8">
      <c r="A303" s="108" t="s">
        <v>1138</v>
      </c>
      <c r="B303" s="108">
        <v>0</v>
      </c>
      <c r="C303" s="108">
        <v>0</v>
      </c>
      <c r="D303" s="108">
        <v>0</v>
      </c>
      <c r="E303" s="108">
        <v>0</v>
      </c>
      <c r="G303" s="108">
        <f t="shared" si="4"/>
        <v>0</v>
      </c>
      <c r="H303" s="109" t="s">
        <v>80</v>
      </c>
    </row>
    <row r="304" spans="1:8">
      <c r="A304" s="108" t="s">
        <v>134</v>
      </c>
      <c r="B304" s="108">
        <v>26987540.149999999</v>
      </c>
      <c r="C304" s="108">
        <v>8016814.7300000004</v>
      </c>
      <c r="D304" s="108">
        <v>6763455.6299999999</v>
      </c>
      <c r="E304" s="108">
        <v>28240899.25</v>
      </c>
      <c r="G304" s="108">
        <f t="shared" si="4"/>
        <v>28240899.25</v>
      </c>
      <c r="H304" s="109" t="s">
        <v>80</v>
      </c>
    </row>
    <row r="305" spans="1:8">
      <c r="A305" s="108" t="s">
        <v>622</v>
      </c>
      <c r="B305" s="108">
        <v>17386919.91</v>
      </c>
      <c r="C305" s="108">
        <v>6795372.8300000001</v>
      </c>
      <c r="D305" s="108">
        <v>7961062.3700000001</v>
      </c>
      <c r="E305" s="108">
        <v>16221230.369999999</v>
      </c>
      <c r="G305" s="108">
        <f t="shared" si="4"/>
        <v>16221230.369999999</v>
      </c>
      <c r="H305" s="109" t="s">
        <v>80</v>
      </c>
    </row>
    <row r="306" spans="1:8">
      <c r="A306" s="108" t="s">
        <v>623</v>
      </c>
      <c r="B306" s="108">
        <v>325090.24</v>
      </c>
      <c r="C306" s="108">
        <v>0</v>
      </c>
      <c r="D306" s="108">
        <v>146746.38</v>
      </c>
      <c r="E306" s="108">
        <v>178343.86</v>
      </c>
      <c r="G306" s="108">
        <f t="shared" si="4"/>
        <v>178343.86</v>
      </c>
      <c r="H306" s="109" t="s">
        <v>80</v>
      </c>
    </row>
    <row r="307" spans="1:8">
      <c r="A307" s="108" t="s">
        <v>138</v>
      </c>
      <c r="B307" s="108">
        <v>0</v>
      </c>
      <c r="C307" s="108">
        <v>3161785.98</v>
      </c>
      <c r="D307" s="108">
        <v>0</v>
      </c>
      <c r="E307" s="108">
        <v>3161785.98</v>
      </c>
      <c r="G307" s="108">
        <f t="shared" si="4"/>
        <v>3161785.98</v>
      </c>
      <c r="H307" s="109" t="s">
        <v>80</v>
      </c>
    </row>
    <row r="308" spans="1:8">
      <c r="A308" s="108" t="s">
        <v>624</v>
      </c>
      <c r="B308" s="108">
        <v>4603883.3099999996</v>
      </c>
      <c r="C308" s="108">
        <v>0</v>
      </c>
      <c r="D308" s="108">
        <v>6843187.9500000002</v>
      </c>
      <c r="E308" s="108">
        <v>-2239304.64</v>
      </c>
      <c r="G308" s="108">
        <f t="shared" si="4"/>
        <v>-2239304.64</v>
      </c>
      <c r="H308" s="109" t="s">
        <v>80</v>
      </c>
    </row>
    <row r="309" spans="1:8">
      <c r="A309" s="108" t="s">
        <v>1402</v>
      </c>
      <c r="B309" s="108">
        <v>0</v>
      </c>
      <c r="C309" s="108">
        <v>0</v>
      </c>
      <c r="D309" s="108">
        <v>0</v>
      </c>
      <c r="E309" s="108">
        <v>0</v>
      </c>
      <c r="G309" s="108">
        <f t="shared" si="4"/>
        <v>0</v>
      </c>
      <c r="H309" s="109" t="s">
        <v>80</v>
      </c>
    </row>
    <row r="310" spans="1:8">
      <c r="A310" s="108" t="s">
        <v>147</v>
      </c>
      <c r="B310" s="108">
        <v>7292708.7199999997</v>
      </c>
      <c r="C310" s="108">
        <v>0</v>
      </c>
      <c r="D310" s="108">
        <v>3905937.78</v>
      </c>
      <c r="E310" s="108">
        <v>3386770.94</v>
      </c>
      <c r="G310" s="108">
        <f t="shared" si="4"/>
        <v>3386770.94</v>
      </c>
      <c r="H310" s="109" t="s">
        <v>80</v>
      </c>
    </row>
    <row r="311" spans="1:8">
      <c r="A311" s="108" t="s">
        <v>625</v>
      </c>
      <c r="B311" s="108">
        <v>5809384</v>
      </c>
      <c r="C311" s="108">
        <v>0</v>
      </c>
      <c r="D311" s="108">
        <v>5809384</v>
      </c>
      <c r="E311" s="108">
        <v>0</v>
      </c>
      <c r="G311" s="108">
        <f t="shared" si="4"/>
        <v>0</v>
      </c>
      <c r="H311" s="109" t="s">
        <v>80</v>
      </c>
    </row>
    <row r="312" spans="1:8">
      <c r="A312" s="108" t="s">
        <v>1139</v>
      </c>
      <c r="B312" s="108">
        <v>0</v>
      </c>
      <c r="C312" s="108">
        <v>0</v>
      </c>
      <c r="D312" s="108">
        <v>0</v>
      </c>
      <c r="E312" s="108">
        <v>0</v>
      </c>
      <c r="G312" s="108">
        <f t="shared" si="4"/>
        <v>0</v>
      </c>
      <c r="H312" s="109" t="s">
        <v>80</v>
      </c>
    </row>
    <row r="313" spans="1:8">
      <c r="A313" s="108" t="s">
        <v>626</v>
      </c>
      <c r="B313" s="108">
        <v>6794488.7999999998</v>
      </c>
      <c r="C313" s="108">
        <v>0</v>
      </c>
      <c r="D313" s="108">
        <v>3310243.2</v>
      </c>
      <c r="E313" s="108">
        <v>3484245.6</v>
      </c>
      <c r="G313" s="108">
        <f t="shared" si="4"/>
        <v>3484245.6</v>
      </c>
      <c r="H313" s="109" t="s">
        <v>80</v>
      </c>
    </row>
    <row r="314" spans="1:8">
      <c r="A314" s="108" t="s">
        <v>1140</v>
      </c>
      <c r="B314" s="108">
        <v>0</v>
      </c>
      <c r="C314" s="108">
        <v>0</v>
      </c>
      <c r="D314" s="108">
        <v>0</v>
      </c>
      <c r="E314" s="108">
        <v>0</v>
      </c>
      <c r="G314" s="108">
        <f t="shared" si="4"/>
        <v>0</v>
      </c>
      <c r="H314" s="109" t="s">
        <v>80</v>
      </c>
    </row>
    <row r="315" spans="1:8">
      <c r="A315" s="108" t="s">
        <v>1141</v>
      </c>
      <c r="B315" s="108">
        <v>0</v>
      </c>
      <c r="C315" s="108">
        <v>0</v>
      </c>
      <c r="D315" s="108">
        <v>0</v>
      </c>
      <c r="E315" s="108">
        <v>0</v>
      </c>
      <c r="G315" s="108">
        <f t="shared" si="4"/>
        <v>0</v>
      </c>
      <c r="H315" s="109" t="s">
        <v>80</v>
      </c>
    </row>
    <row r="316" spans="1:8">
      <c r="A316" s="108" t="s">
        <v>1142</v>
      </c>
      <c r="B316" s="108">
        <v>0</v>
      </c>
      <c r="C316" s="108">
        <v>0</v>
      </c>
      <c r="D316" s="108">
        <v>0</v>
      </c>
      <c r="E316" s="108">
        <v>0</v>
      </c>
      <c r="G316" s="108">
        <f t="shared" si="4"/>
        <v>0</v>
      </c>
      <c r="H316" s="109" t="s">
        <v>80</v>
      </c>
    </row>
    <row r="317" spans="1:8">
      <c r="A317" s="108" t="s">
        <v>627</v>
      </c>
      <c r="B317" s="108">
        <v>4721686.2300000004</v>
      </c>
      <c r="C317" s="108">
        <v>0</v>
      </c>
      <c r="D317" s="108">
        <v>4721686.2</v>
      </c>
      <c r="E317" s="108">
        <v>0.03</v>
      </c>
      <c r="G317" s="108">
        <f t="shared" si="4"/>
        <v>0.03</v>
      </c>
      <c r="H317" s="109" t="s">
        <v>80</v>
      </c>
    </row>
    <row r="318" spans="1:8">
      <c r="A318" s="108" t="s">
        <v>151</v>
      </c>
      <c r="B318" s="108">
        <v>7201164.3600000003</v>
      </c>
      <c r="C318" s="108">
        <v>0</v>
      </c>
      <c r="D318" s="108">
        <v>3386040.96</v>
      </c>
      <c r="E318" s="108">
        <v>3815123.4</v>
      </c>
      <c r="G318" s="108">
        <f t="shared" si="4"/>
        <v>3815123.4</v>
      </c>
      <c r="H318" s="109" t="s">
        <v>80</v>
      </c>
    </row>
    <row r="319" spans="1:8">
      <c r="A319" s="108" t="s">
        <v>628</v>
      </c>
      <c r="B319" s="108">
        <v>2690844.76</v>
      </c>
      <c r="C319" s="108">
        <v>4734124.2</v>
      </c>
      <c r="D319" s="108">
        <v>2690844.75</v>
      </c>
      <c r="E319" s="108">
        <v>4734124.21</v>
      </c>
      <c r="G319" s="108">
        <f t="shared" si="4"/>
        <v>4734124.21</v>
      </c>
      <c r="H319" s="109" t="s">
        <v>80</v>
      </c>
    </row>
    <row r="320" spans="1:8">
      <c r="A320" s="108" t="s">
        <v>100</v>
      </c>
      <c r="B320" s="108">
        <v>-0.01</v>
      </c>
      <c r="C320" s="108">
        <v>58720</v>
      </c>
      <c r="D320" s="108">
        <v>29360</v>
      </c>
      <c r="E320" s="108">
        <v>29359.99</v>
      </c>
      <c r="G320" s="108">
        <f t="shared" si="4"/>
        <v>29359.99</v>
      </c>
      <c r="H320" s="109" t="s">
        <v>80</v>
      </c>
    </row>
    <row r="321" spans="1:8">
      <c r="A321" s="108" t="s">
        <v>629</v>
      </c>
      <c r="B321" s="108">
        <v>566971</v>
      </c>
      <c r="C321" s="108">
        <v>0</v>
      </c>
      <c r="D321" s="108">
        <v>0</v>
      </c>
      <c r="E321" s="108">
        <v>566971</v>
      </c>
      <c r="G321" s="108">
        <f t="shared" si="4"/>
        <v>566971</v>
      </c>
      <c r="H321" s="109" t="s">
        <v>80</v>
      </c>
    </row>
    <row r="322" spans="1:8">
      <c r="A322" s="108" t="s">
        <v>104</v>
      </c>
      <c r="B322" s="108">
        <v>5785049.6100000003</v>
      </c>
      <c r="C322" s="108">
        <v>30752.1</v>
      </c>
      <c r="D322" s="108">
        <v>0</v>
      </c>
      <c r="E322" s="108">
        <v>5815801.71</v>
      </c>
      <c r="G322" s="108">
        <f t="shared" si="4"/>
        <v>5815801.71</v>
      </c>
      <c r="H322" s="109" t="s">
        <v>80</v>
      </c>
    </row>
    <row r="323" spans="1:8">
      <c r="A323" s="108" t="s">
        <v>630</v>
      </c>
      <c r="B323" s="108">
        <v>1828000</v>
      </c>
      <c r="C323" s="108">
        <v>0</v>
      </c>
      <c r="D323" s="108">
        <v>0</v>
      </c>
      <c r="E323" s="108">
        <v>1828000</v>
      </c>
      <c r="G323" s="108">
        <f t="shared" ref="G323:G386" si="5">E323+F323</f>
        <v>1828000</v>
      </c>
      <c r="H323" s="109" t="s">
        <v>80</v>
      </c>
    </row>
    <row r="324" spans="1:8">
      <c r="A324" s="108" t="s">
        <v>631</v>
      </c>
      <c r="B324" s="108">
        <v>15854746</v>
      </c>
      <c r="C324" s="108">
        <v>0</v>
      </c>
      <c r="D324" s="108">
        <v>0</v>
      </c>
      <c r="E324" s="108">
        <v>15854746</v>
      </c>
      <c r="G324" s="108">
        <f t="shared" si="5"/>
        <v>15854746</v>
      </c>
      <c r="H324" s="109" t="s">
        <v>80</v>
      </c>
    </row>
    <row r="325" spans="1:8">
      <c r="A325" s="108" t="s">
        <v>632</v>
      </c>
      <c r="B325" s="108">
        <v>94670795.629999995</v>
      </c>
      <c r="C325" s="108">
        <v>0</v>
      </c>
      <c r="D325" s="108">
        <v>0</v>
      </c>
      <c r="E325" s="108">
        <v>94670795.629999995</v>
      </c>
      <c r="G325" s="108">
        <f t="shared" si="5"/>
        <v>94670795.629999995</v>
      </c>
      <c r="H325" s="109" t="s">
        <v>80</v>
      </c>
    </row>
    <row r="326" spans="1:8">
      <c r="A326" s="108" t="s">
        <v>633</v>
      </c>
      <c r="B326" s="108">
        <v>25694213</v>
      </c>
      <c r="C326" s="108">
        <v>0</v>
      </c>
      <c r="D326" s="108">
        <v>0</v>
      </c>
      <c r="E326" s="108">
        <v>25694213</v>
      </c>
      <c r="G326" s="108">
        <f t="shared" si="5"/>
        <v>25694213</v>
      </c>
      <c r="H326" s="109" t="s">
        <v>80</v>
      </c>
    </row>
    <row r="327" spans="1:8">
      <c r="A327" s="108" t="s">
        <v>634</v>
      </c>
      <c r="B327" s="108">
        <v>173049403.75</v>
      </c>
      <c r="C327" s="108">
        <v>0</v>
      </c>
      <c r="D327" s="108">
        <v>0</v>
      </c>
      <c r="E327" s="108">
        <v>173049403.75</v>
      </c>
      <c r="G327" s="108">
        <f t="shared" si="5"/>
        <v>173049403.75</v>
      </c>
      <c r="H327" s="109" t="s">
        <v>80</v>
      </c>
    </row>
    <row r="328" spans="1:8">
      <c r="A328" s="108" t="s">
        <v>635</v>
      </c>
      <c r="B328" s="108">
        <v>520299.16</v>
      </c>
      <c r="C328" s="108">
        <v>0</v>
      </c>
      <c r="D328" s="108">
        <v>0</v>
      </c>
      <c r="E328" s="108">
        <v>520299.16</v>
      </c>
      <c r="G328" s="108">
        <f t="shared" si="5"/>
        <v>520299.16</v>
      </c>
      <c r="H328" s="109" t="s">
        <v>80</v>
      </c>
    </row>
    <row r="329" spans="1:8">
      <c r="A329" s="108" t="s">
        <v>636</v>
      </c>
      <c r="B329" s="108">
        <v>23800</v>
      </c>
      <c r="C329" s="108">
        <v>0</v>
      </c>
      <c r="D329" s="108">
        <v>0</v>
      </c>
      <c r="E329" s="108">
        <v>23800</v>
      </c>
      <c r="G329" s="108">
        <f t="shared" si="5"/>
        <v>23800</v>
      </c>
      <c r="H329" s="109" t="s">
        <v>80</v>
      </c>
    </row>
    <row r="330" spans="1:8">
      <c r="A330" s="108" t="s">
        <v>98</v>
      </c>
      <c r="B330" s="108">
        <v>24500</v>
      </c>
      <c r="C330" s="108">
        <v>0</v>
      </c>
      <c r="D330" s="108">
        <v>0</v>
      </c>
      <c r="E330" s="108">
        <v>24500</v>
      </c>
      <c r="G330" s="108">
        <f t="shared" si="5"/>
        <v>24500</v>
      </c>
      <c r="H330" s="109" t="s">
        <v>80</v>
      </c>
    </row>
    <row r="331" spans="1:8">
      <c r="A331" s="108" t="s">
        <v>118</v>
      </c>
      <c r="B331" s="108">
        <v>177117.8</v>
      </c>
      <c r="C331" s="108">
        <v>0</v>
      </c>
      <c r="D331" s="108">
        <v>0</v>
      </c>
      <c r="E331" s="108">
        <v>177117.8</v>
      </c>
      <c r="G331" s="108">
        <f t="shared" si="5"/>
        <v>177117.8</v>
      </c>
      <c r="H331" s="109" t="s">
        <v>80</v>
      </c>
    </row>
    <row r="332" spans="1:8">
      <c r="A332" s="108" t="s">
        <v>120</v>
      </c>
      <c r="B332" s="108">
        <v>2213684.23</v>
      </c>
      <c r="C332" s="108">
        <v>12287.28</v>
      </c>
      <c r="D332" s="108">
        <v>0</v>
      </c>
      <c r="E332" s="108">
        <v>2225971.5099999998</v>
      </c>
      <c r="G332" s="108">
        <f t="shared" si="5"/>
        <v>2225971.5099999998</v>
      </c>
      <c r="H332" s="109" t="s">
        <v>80</v>
      </c>
    </row>
    <row r="333" spans="1:8">
      <c r="A333" s="108" t="s">
        <v>131</v>
      </c>
      <c r="B333" s="108">
        <v>200000</v>
      </c>
      <c r="C333" s="108">
        <v>0</v>
      </c>
      <c r="D333" s="108">
        <v>0</v>
      </c>
      <c r="E333" s="108">
        <v>200000</v>
      </c>
      <c r="G333" s="108">
        <f t="shared" si="5"/>
        <v>200000</v>
      </c>
      <c r="H333" s="109" t="s">
        <v>80</v>
      </c>
    </row>
    <row r="334" spans="1:8">
      <c r="A334" s="108" t="s">
        <v>637</v>
      </c>
      <c r="B334" s="108">
        <v>112500</v>
      </c>
      <c r="C334" s="108">
        <v>0</v>
      </c>
      <c r="D334" s="108">
        <v>0</v>
      </c>
      <c r="E334" s="108">
        <v>112500</v>
      </c>
      <c r="G334" s="108">
        <f t="shared" si="5"/>
        <v>112500</v>
      </c>
      <c r="H334" s="109" t="s">
        <v>80</v>
      </c>
    </row>
    <row r="335" spans="1:8">
      <c r="A335" s="108" t="s">
        <v>82</v>
      </c>
      <c r="B335" s="108">
        <v>2749599.1</v>
      </c>
      <c r="C335" s="108">
        <v>0</v>
      </c>
      <c r="D335" s="108">
        <v>0</v>
      </c>
      <c r="E335" s="108">
        <v>2749599.1</v>
      </c>
      <c r="G335" s="108">
        <f t="shared" si="5"/>
        <v>2749599.1</v>
      </c>
      <c r="H335" s="109" t="s">
        <v>80</v>
      </c>
    </row>
    <row r="336" spans="1:8">
      <c r="A336" s="108" t="s">
        <v>638</v>
      </c>
      <c r="B336" s="108">
        <v>4602992.92</v>
      </c>
      <c r="C336" s="108">
        <v>0</v>
      </c>
      <c r="D336" s="108">
        <v>0</v>
      </c>
      <c r="E336" s="108">
        <v>4602992.92</v>
      </c>
      <c r="G336" s="108">
        <f t="shared" si="5"/>
        <v>4602992.92</v>
      </c>
      <c r="H336" s="109" t="s">
        <v>80</v>
      </c>
    </row>
    <row r="337" spans="1:8">
      <c r="A337" s="108" t="s">
        <v>639</v>
      </c>
      <c r="B337" s="108">
        <v>598700</v>
      </c>
      <c r="C337" s="108">
        <v>0</v>
      </c>
      <c r="D337" s="108">
        <v>0</v>
      </c>
      <c r="E337" s="108">
        <v>598700</v>
      </c>
      <c r="G337" s="108">
        <f t="shared" si="5"/>
        <v>598700</v>
      </c>
      <c r="H337" s="109" t="s">
        <v>80</v>
      </c>
    </row>
    <row r="338" spans="1:8">
      <c r="A338" s="108" t="s">
        <v>640</v>
      </c>
      <c r="B338" s="108">
        <v>285980</v>
      </c>
      <c r="C338" s="108">
        <v>0</v>
      </c>
      <c r="D338" s="108">
        <v>0</v>
      </c>
      <c r="E338" s="108">
        <v>285980</v>
      </c>
      <c r="G338" s="108">
        <f t="shared" si="5"/>
        <v>285980</v>
      </c>
      <c r="H338" s="109" t="s">
        <v>80</v>
      </c>
    </row>
    <row r="339" spans="1:8">
      <c r="A339" s="108" t="s">
        <v>641</v>
      </c>
      <c r="B339" s="108">
        <v>3462000</v>
      </c>
      <c r="C339" s="108">
        <v>0</v>
      </c>
      <c r="D339" s="108">
        <v>0</v>
      </c>
      <c r="E339" s="108">
        <v>3462000</v>
      </c>
      <c r="G339" s="108">
        <f t="shared" si="5"/>
        <v>3462000</v>
      </c>
      <c r="H339" s="109" t="s">
        <v>80</v>
      </c>
    </row>
    <row r="340" spans="1:8">
      <c r="A340" s="108" t="s">
        <v>642</v>
      </c>
      <c r="B340" s="108">
        <v>1046000</v>
      </c>
      <c r="C340" s="108">
        <v>0</v>
      </c>
      <c r="D340" s="108">
        <v>0</v>
      </c>
      <c r="E340" s="108">
        <v>1046000</v>
      </c>
      <c r="G340" s="108">
        <f t="shared" si="5"/>
        <v>1046000</v>
      </c>
      <c r="H340" s="109" t="s">
        <v>80</v>
      </c>
    </row>
    <row r="341" spans="1:8">
      <c r="A341" s="108" t="s">
        <v>643</v>
      </c>
      <c r="B341" s="108">
        <v>519855</v>
      </c>
      <c r="C341" s="108">
        <v>0</v>
      </c>
      <c r="D341" s="108">
        <v>0</v>
      </c>
      <c r="E341" s="108">
        <v>519855</v>
      </c>
      <c r="G341" s="108">
        <f t="shared" si="5"/>
        <v>519855</v>
      </c>
      <c r="H341" s="109" t="s">
        <v>80</v>
      </c>
    </row>
    <row r="342" spans="1:8">
      <c r="A342" s="108" t="s">
        <v>644</v>
      </c>
      <c r="B342" s="108">
        <v>75085.7</v>
      </c>
      <c r="C342" s="108">
        <v>0</v>
      </c>
      <c r="D342" s="108">
        <v>0</v>
      </c>
      <c r="E342" s="108">
        <v>75085.7</v>
      </c>
      <c r="G342" s="108">
        <f t="shared" si="5"/>
        <v>75085.7</v>
      </c>
      <c r="H342" s="109" t="s">
        <v>80</v>
      </c>
    </row>
    <row r="343" spans="1:8">
      <c r="A343" s="108" t="s">
        <v>645</v>
      </c>
      <c r="B343" s="108">
        <v>89971.98</v>
      </c>
      <c r="C343" s="108">
        <v>0</v>
      </c>
      <c r="D343" s="108">
        <v>0</v>
      </c>
      <c r="E343" s="108">
        <v>89971.98</v>
      </c>
      <c r="G343" s="108">
        <f t="shared" si="5"/>
        <v>89971.98</v>
      </c>
      <c r="H343" s="109" t="s">
        <v>80</v>
      </c>
    </row>
    <row r="344" spans="1:8">
      <c r="A344" s="108" t="s">
        <v>646</v>
      </c>
      <c r="B344" s="108">
        <v>5570.4</v>
      </c>
      <c r="C344" s="108">
        <v>0</v>
      </c>
      <c r="D344" s="108">
        <v>0</v>
      </c>
      <c r="E344" s="108">
        <v>5570.4</v>
      </c>
      <c r="G344" s="108">
        <f t="shared" si="5"/>
        <v>5570.4</v>
      </c>
      <c r="H344" s="109" t="s">
        <v>80</v>
      </c>
    </row>
    <row r="345" spans="1:8">
      <c r="A345" s="108" t="s">
        <v>647</v>
      </c>
      <c r="B345" s="108">
        <v>12500</v>
      </c>
      <c r="C345" s="108">
        <v>0</v>
      </c>
      <c r="D345" s="108">
        <v>0</v>
      </c>
      <c r="E345" s="108">
        <v>12500</v>
      </c>
      <c r="G345" s="108">
        <f t="shared" si="5"/>
        <v>12500</v>
      </c>
      <c r="H345" s="109" t="s">
        <v>80</v>
      </c>
    </row>
    <row r="346" spans="1:8">
      <c r="A346" s="108" t="s">
        <v>648</v>
      </c>
      <c r="B346" s="108">
        <v>38680854.859999999</v>
      </c>
      <c r="C346" s="108">
        <v>0</v>
      </c>
      <c r="D346" s="108">
        <v>0</v>
      </c>
      <c r="E346" s="108">
        <v>38680854.859999999</v>
      </c>
      <c r="G346" s="108">
        <f t="shared" si="5"/>
        <v>38680854.859999999</v>
      </c>
      <c r="H346" s="109" t="s">
        <v>80</v>
      </c>
    </row>
    <row r="347" spans="1:8">
      <c r="A347" s="108" t="s">
        <v>1143</v>
      </c>
      <c r="B347" s="108">
        <v>0</v>
      </c>
      <c r="C347" s="108">
        <v>0</v>
      </c>
      <c r="D347" s="108">
        <v>0</v>
      </c>
      <c r="E347" s="108">
        <v>0</v>
      </c>
      <c r="G347" s="108">
        <f t="shared" si="5"/>
        <v>0</v>
      </c>
      <c r="H347" s="109" t="s">
        <v>80</v>
      </c>
    </row>
    <row r="348" spans="1:8">
      <c r="A348" s="108" t="s">
        <v>101</v>
      </c>
      <c r="B348" s="108">
        <v>602491</v>
      </c>
      <c r="C348" s="108">
        <v>0</v>
      </c>
      <c r="D348" s="108">
        <v>0</v>
      </c>
      <c r="E348" s="108">
        <v>602491</v>
      </c>
      <c r="G348" s="108">
        <f t="shared" si="5"/>
        <v>602491</v>
      </c>
      <c r="H348" s="109" t="s">
        <v>80</v>
      </c>
    </row>
    <row r="349" spans="1:8">
      <c r="A349" s="108" t="s">
        <v>649</v>
      </c>
      <c r="B349" s="108">
        <v>121985.1</v>
      </c>
      <c r="C349" s="108">
        <v>0</v>
      </c>
      <c r="D349" s="108">
        <v>0</v>
      </c>
      <c r="E349" s="108">
        <v>121985.1</v>
      </c>
      <c r="G349" s="108">
        <f t="shared" si="5"/>
        <v>121985.1</v>
      </c>
      <c r="H349" s="109" t="s">
        <v>80</v>
      </c>
    </row>
    <row r="350" spans="1:8">
      <c r="A350" s="108" t="s">
        <v>650</v>
      </c>
      <c r="B350" s="108">
        <v>84189.4</v>
      </c>
      <c r="C350" s="108">
        <v>0</v>
      </c>
      <c r="D350" s="108">
        <v>0</v>
      </c>
      <c r="E350" s="108">
        <v>84189.4</v>
      </c>
      <c r="G350" s="108">
        <f t="shared" si="5"/>
        <v>84189.4</v>
      </c>
      <c r="H350" s="109" t="s">
        <v>80</v>
      </c>
    </row>
    <row r="351" spans="1:8">
      <c r="A351" s="108" t="s">
        <v>651</v>
      </c>
      <c r="B351" s="108">
        <v>188650</v>
      </c>
      <c r="C351" s="108">
        <v>0</v>
      </c>
      <c r="D351" s="108">
        <v>0</v>
      </c>
      <c r="E351" s="108">
        <v>188650</v>
      </c>
      <c r="G351" s="108">
        <f t="shared" si="5"/>
        <v>188650</v>
      </c>
      <c r="H351" s="109" t="s">
        <v>80</v>
      </c>
    </row>
    <row r="352" spans="1:8">
      <c r="A352" s="108" t="s">
        <v>652</v>
      </c>
      <c r="B352" s="108">
        <v>315000</v>
      </c>
      <c r="C352" s="108">
        <v>0</v>
      </c>
      <c r="D352" s="108">
        <v>0</v>
      </c>
      <c r="E352" s="108">
        <v>315000</v>
      </c>
      <c r="G352" s="108">
        <f t="shared" si="5"/>
        <v>315000</v>
      </c>
      <c r="H352" s="109" t="s">
        <v>80</v>
      </c>
    </row>
    <row r="353" spans="1:8">
      <c r="A353" s="108" t="s">
        <v>653</v>
      </c>
      <c r="B353" s="108">
        <v>315000</v>
      </c>
      <c r="C353" s="108">
        <v>0</v>
      </c>
      <c r="D353" s="108">
        <v>0</v>
      </c>
      <c r="E353" s="108">
        <v>315000</v>
      </c>
      <c r="G353" s="108">
        <f t="shared" si="5"/>
        <v>315000</v>
      </c>
      <c r="H353" s="109" t="s">
        <v>80</v>
      </c>
    </row>
    <row r="354" spans="1:8">
      <c r="A354" s="108" t="s">
        <v>97</v>
      </c>
      <c r="B354" s="108">
        <v>10284000</v>
      </c>
      <c r="C354" s="108">
        <v>0</v>
      </c>
      <c r="D354" s="108">
        <v>0</v>
      </c>
      <c r="E354" s="108">
        <v>10284000</v>
      </c>
      <c r="G354" s="108">
        <f t="shared" si="5"/>
        <v>10284000</v>
      </c>
      <c r="H354" s="109" t="s">
        <v>80</v>
      </c>
    </row>
    <row r="355" spans="1:8">
      <c r="A355" s="108" t="s">
        <v>654</v>
      </c>
      <c r="B355" s="108">
        <v>355999.99</v>
      </c>
      <c r="C355" s="108">
        <v>0</v>
      </c>
      <c r="D355" s="108">
        <v>0</v>
      </c>
      <c r="E355" s="108">
        <v>355999.99</v>
      </c>
      <c r="G355" s="108">
        <f t="shared" si="5"/>
        <v>355999.99</v>
      </c>
      <c r="H355" s="109" t="s">
        <v>80</v>
      </c>
    </row>
    <row r="356" spans="1:8">
      <c r="A356" s="108" t="s">
        <v>110</v>
      </c>
      <c r="B356" s="108">
        <v>4900000</v>
      </c>
      <c r="C356" s="108">
        <v>0</v>
      </c>
      <c r="D356" s="108">
        <v>0</v>
      </c>
      <c r="E356" s="108">
        <v>4900000</v>
      </c>
      <c r="G356" s="108">
        <f t="shared" si="5"/>
        <v>4900000</v>
      </c>
      <c r="H356" s="109" t="s">
        <v>80</v>
      </c>
    </row>
    <row r="357" spans="1:8">
      <c r="A357" s="108" t="s">
        <v>655</v>
      </c>
      <c r="B357" s="108">
        <v>1920666.88</v>
      </c>
      <c r="C357" s="108">
        <v>0</v>
      </c>
      <c r="D357" s="108">
        <v>0</v>
      </c>
      <c r="E357" s="108">
        <v>1920666.88</v>
      </c>
      <c r="G357" s="108">
        <f t="shared" si="5"/>
        <v>1920666.88</v>
      </c>
      <c r="H357" s="109" t="s">
        <v>80</v>
      </c>
    </row>
    <row r="358" spans="1:8">
      <c r="A358" s="108" t="s">
        <v>656</v>
      </c>
      <c r="B358" s="108">
        <v>3838045.93</v>
      </c>
      <c r="C358" s="108">
        <v>0</v>
      </c>
      <c r="D358" s="108">
        <v>0</v>
      </c>
      <c r="E358" s="108">
        <v>3838045.93</v>
      </c>
      <c r="G358" s="108">
        <f t="shared" si="5"/>
        <v>3838045.93</v>
      </c>
      <c r="H358" s="109" t="s">
        <v>80</v>
      </c>
    </row>
    <row r="359" spans="1:8">
      <c r="A359" s="108" t="s">
        <v>657</v>
      </c>
      <c r="B359" s="108">
        <v>1655000</v>
      </c>
      <c r="C359" s="108">
        <v>0</v>
      </c>
      <c r="D359" s="108">
        <v>0</v>
      </c>
      <c r="E359" s="108">
        <v>1655000</v>
      </c>
      <c r="G359" s="108">
        <f t="shared" si="5"/>
        <v>1655000</v>
      </c>
      <c r="H359" s="109" t="s">
        <v>80</v>
      </c>
    </row>
    <row r="360" spans="1:8">
      <c r="A360" s="108" t="s">
        <v>142</v>
      </c>
      <c r="B360" s="108">
        <v>722000</v>
      </c>
      <c r="C360" s="108">
        <v>0</v>
      </c>
      <c r="D360" s="108">
        <v>0</v>
      </c>
      <c r="E360" s="108">
        <v>722000</v>
      </c>
      <c r="G360" s="108">
        <f t="shared" si="5"/>
        <v>722000</v>
      </c>
      <c r="H360" s="109" t="s">
        <v>80</v>
      </c>
    </row>
    <row r="361" spans="1:8">
      <c r="A361" s="108" t="s">
        <v>658</v>
      </c>
      <c r="B361" s="108">
        <v>137000</v>
      </c>
      <c r="C361" s="108">
        <v>0</v>
      </c>
      <c r="D361" s="108">
        <v>0</v>
      </c>
      <c r="E361" s="108">
        <v>137000</v>
      </c>
      <c r="G361" s="108">
        <f t="shared" si="5"/>
        <v>137000</v>
      </c>
      <c r="H361" s="109" t="s">
        <v>80</v>
      </c>
    </row>
    <row r="362" spans="1:8">
      <c r="A362" s="108" t="s">
        <v>659</v>
      </c>
      <c r="B362" s="108">
        <v>37000</v>
      </c>
      <c r="C362" s="108">
        <v>0</v>
      </c>
      <c r="D362" s="108">
        <v>0</v>
      </c>
      <c r="E362" s="108">
        <v>37000</v>
      </c>
      <c r="G362" s="108">
        <f t="shared" si="5"/>
        <v>37000</v>
      </c>
      <c r="H362" s="109" t="s">
        <v>80</v>
      </c>
    </row>
    <row r="363" spans="1:8">
      <c r="A363" s="108" t="s">
        <v>660</v>
      </c>
      <c r="B363" s="108">
        <v>333354</v>
      </c>
      <c r="C363" s="108">
        <v>0</v>
      </c>
      <c r="D363" s="108">
        <v>0</v>
      </c>
      <c r="E363" s="108">
        <v>333354</v>
      </c>
      <c r="G363" s="108">
        <f t="shared" si="5"/>
        <v>333354</v>
      </c>
      <c r="H363" s="109" t="s">
        <v>80</v>
      </c>
    </row>
    <row r="364" spans="1:8">
      <c r="A364" s="108" t="s">
        <v>661</v>
      </c>
      <c r="B364" s="108">
        <v>55874.5</v>
      </c>
      <c r="C364" s="108">
        <v>0</v>
      </c>
      <c r="D364" s="108">
        <v>0</v>
      </c>
      <c r="E364" s="108">
        <v>55874.5</v>
      </c>
      <c r="G364" s="108">
        <f t="shared" si="5"/>
        <v>55874.5</v>
      </c>
      <c r="H364" s="109" t="s">
        <v>80</v>
      </c>
    </row>
    <row r="365" spans="1:8">
      <c r="A365" s="108" t="s">
        <v>662</v>
      </c>
      <c r="B365" s="108">
        <v>118000</v>
      </c>
      <c r="C365" s="108">
        <v>0</v>
      </c>
      <c r="D365" s="108">
        <v>0</v>
      </c>
      <c r="E365" s="108">
        <v>118000</v>
      </c>
      <c r="G365" s="108">
        <f t="shared" si="5"/>
        <v>118000</v>
      </c>
      <c r="H365" s="109" t="s">
        <v>80</v>
      </c>
    </row>
    <row r="366" spans="1:8">
      <c r="A366" s="108" t="s">
        <v>663</v>
      </c>
      <c r="B366" s="108">
        <v>1088169.3</v>
      </c>
      <c r="C366" s="108">
        <v>0</v>
      </c>
      <c r="D366" s="108">
        <v>0</v>
      </c>
      <c r="E366" s="108">
        <v>1088169.3</v>
      </c>
      <c r="G366" s="108">
        <f t="shared" si="5"/>
        <v>1088169.3</v>
      </c>
      <c r="H366" s="109" t="s">
        <v>80</v>
      </c>
    </row>
    <row r="367" spans="1:8">
      <c r="A367" s="108" t="s">
        <v>664</v>
      </c>
      <c r="B367" s="108">
        <v>7569717</v>
      </c>
      <c r="C367" s="108">
        <v>0</v>
      </c>
      <c r="D367" s="108">
        <v>0</v>
      </c>
      <c r="E367" s="108">
        <v>7569717</v>
      </c>
      <c r="G367" s="108">
        <f t="shared" si="5"/>
        <v>7569717</v>
      </c>
      <c r="H367" s="109" t="s">
        <v>80</v>
      </c>
    </row>
    <row r="368" spans="1:8">
      <c r="A368" s="108" t="s">
        <v>665</v>
      </c>
      <c r="B368" s="108">
        <v>1150000</v>
      </c>
      <c r="C368" s="108">
        <v>0</v>
      </c>
      <c r="D368" s="108">
        <v>0</v>
      </c>
      <c r="E368" s="108">
        <v>1150000</v>
      </c>
      <c r="G368" s="108">
        <f t="shared" si="5"/>
        <v>1150000</v>
      </c>
      <c r="H368" s="109" t="s">
        <v>80</v>
      </c>
    </row>
    <row r="369" spans="1:8">
      <c r="A369" s="108" t="s">
        <v>111</v>
      </c>
      <c r="B369" s="108">
        <v>262400</v>
      </c>
      <c r="C369" s="108">
        <v>0</v>
      </c>
      <c r="D369" s="108">
        <v>0</v>
      </c>
      <c r="E369" s="108">
        <v>262400</v>
      </c>
      <c r="G369" s="108">
        <f t="shared" si="5"/>
        <v>262400</v>
      </c>
      <c r="H369" s="109" t="s">
        <v>80</v>
      </c>
    </row>
    <row r="370" spans="1:8">
      <c r="A370" s="108" t="s">
        <v>666</v>
      </c>
      <c r="B370" s="108">
        <v>690000</v>
      </c>
      <c r="C370" s="108">
        <v>0</v>
      </c>
      <c r="D370" s="108">
        <v>0</v>
      </c>
      <c r="E370" s="108">
        <v>690000</v>
      </c>
      <c r="G370" s="108">
        <f t="shared" si="5"/>
        <v>690000</v>
      </c>
      <c r="H370" s="109" t="s">
        <v>80</v>
      </c>
    </row>
    <row r="371" spans="1:8">
      <c r="A371" s="108" t="s">
        <v>667</v>
      </c>
      <c r="B371" s="108">
        <v>5025000</v>
      </c>
      <c r="C371" s="108">
        <v>0</v>
      </c>
      <c r="D371" s="108">
        <v>0</v>
      </c>
      <c r="E371" s="108">
        <v>5025000</v>
      </c>
      <c r="G371" s="108">
        <f t="shared" si="5"/>
        <v>5025000</v>
      </c>
      <c r="H371" s="109" t="s">
        <v>80</v>
      </c>
    </row>
    <row r="372" spans="1:8">
      <c r="A372" s="108" t="s">
        <v>668</v>
      </c>
      <c r="B372" s="108">
        <v>115507</v>
      </c>
      <c r="C372" s="108">
        <v>0</v>
      </c>
      <c r="D372" s="108">
        <v>0</v>
      </c>
      <c r="E372" s="108">
        <v>115507</v>
      </c>
      <c r="G372" s="108">
        <f t="shared" si="5"/>
        <v>115507</v>
      </c>
      <c r="H372" s="109" t="s">
        <v>80</v>
      </c>
    </row>
    <row r="373" spans="1:8">
      <c r="A373" s="108" t="s">
        <v>669</v>
      </c>
      <c r="B373" s="108">
        <v>797721</v>
      </c>
      <c r="C373" s="108">
        <v>0</v>
      </c>
      <c r="D373" s="108">
        <v>0</v>
      </c>
      <c r="E373" s="108">
        <v>797721</v>
      </c>
      <c r="G373" s="108">
        <f t="shared" si="5"/>
        <v>797721</v>
      </c>
      <c r="H373" s="109" t="s">
        <v>80</v>
      </c>
    </row>
    <row r="374" spans="1:8">
      <c r="A374" s="108" t="s">
        <v>670</v>
      </c>
      <c r="B374" s="108">
        <v>2428500</v>
      </c>
      <c r="C374" s="108">
        <v>0</v>
      </c>
      <c r="D374" s="108">
        <v>0</v>
      </c>
      <c r="E374" s="108">
        <v>2428500</v>
      </c>
      <c r="G374" s="108">
        <f t="shared" si="5"/>
        <v>2428500</v>
      </c>
      <c r="H374" s="109" t="s">
        <v>80</v>
      </c>
    </row>
    <row r="375" spans="1:8">
      <c r="A375" s="108" t="s">
        <v>671</v>
      </c>
      <c r="B375" s="108">
        <v>2379800</v>
      </c>
      <c r="C375" s="108">
        <v>0</v>
      </c>
      <c r="D375" s="108">
        <v>0</v>
      </c>
      <c r="E375" s="108">
        <v>2379800</v>
      </c>
      <c r="G375" s="108">
        <f t="shared" si="5"/>
        <v>2379800</v>
      </c>
      <c r="H375" s="109" t="s">
        <v>80</v>
      </c>
    </row>
    <row r="376" spans="1:8">
      <c r="A376" s="108" t="s">
        <v>119</v>
      </c>
      <c r="B376" s="108">
        <v>3000235.6</v>
      </c>
      <c r="C376" s="108">
        <v>0</v>
      </c>
      <c r="D376" s="108">
        <v>0</v>
      </c>
      <c r="E376" s="108">
        <v>3000235.6</v>
      </c>
      <c r="G376" s="108">
        <f t="shared" si="5"/>
        <v>3000235.6</v>
      </c>
      <c r="H376" s="109" t="s">
        <v>80</v>
      </c>
    </row>
    <row r="377" spans="1:8">
      <c r="A377" s="108" t="s">
        <v>90</v>
      </c>
      <c r="B377" s="108">
        <v>256800</v>
      </c>
      <c r="C377" s="108">
        <v>0</v>
      </c>
      <c r="D377" s="108">
        <v>0</v>
      </c>
      <c r="E377" s="108">
        <v>256800</v>
      </c>
      <c r="G377" s="108">
        <f t="shared" si="5"/>
        <v>256800</v>
      </c>
      <c r="H377" s="109" t="s">
        <v>80</v>
      </c>
    </row>
    <row r="378" spans="1:8">
      <c r="A378" s="108" t="s">
        <v>103</v>
      </c>
      <c r="B378" s="108">
        <v>298965.82</v>
      </c>
      <c r="C378" s="108">
        <v>0</v>
      </c>
      <c r="D378" s="108">
        <v>0</v>
      </c>
      <c r="E378" s="108">
        <v>298965.82</v>
      </c>
      <c r="G378" s="108">
        <f t="shared" si="5"/>
        <v>298965.82</v>
      </c>
      <c r="H378" s="109" t="s">
        <v>80</v>
      </c>
    </row>
    <row r="379" spans="1:8">
      <c r="A379" s="108" t="s">
        <v>672</v>
      </c>
      <c r="B379" s="108">
        <v>13830</v>
      </c>
      <c r="C379" s="108">
        <v>0</v>
      </c>
      <c r="D379" s="108">
        <v>0</v>
      </c>
      <c r="E379" s="108">
        <v>13830</v>
      </c>
      <c r="G379" s="108">
        <f t="shared" si="5"/>
        <v>13830</v>
      </c>
      <c r="H379" s="109" t="s">
        <v>80</v>
      </c>
    </row>
    <row r="380" spans="1:8">
      <c r="A380" s="108" t="s">
        <v>125</v>
      </c>
      <c r="B380" s="108">
        <v>145950944.11000001</v>
      </c>
      <c r="C380" s="108">
        <v>25000</v>
      </c>
      <c r="D380" s="108">
        <v>0</v>
      </c>
      <c r="E380" s="108">
        <v>145975944.11000001</v>
      </c>
      <c r="G380" s="108">
        <f t="shared" si="5"/>
        <v>145975944.11000001</v>
      </c>
      <c r="H380" s="109" t="s">
        <v>80</v>
      </c>
    </row>
    <row r="381" spans="1:8">
      <c r="A381" s="108" t="s">
        <v>673</v>
      </c>
      <c r="B381" s="108">
        <v>206006</v>
      </c>
      <c r="C381" s="108">
        <v>0</v>
      </c>
      <c r="D381" s="108">
        <v>0</v>
      </c>
      <c r="E381" s="108">
        <v>206006</v>
      </c>
      <c r="G381" s="108">
        <f t="shared" si="5"/>
        <v>206006</v>
      </c>
      <c r="H381" s="109" t="s">
        <v>80</v>
      </c>
    </row>
    <row r="382" spans="1:8">
      <c r="A382" s="108" t="s">
        <v>137</v>
      </c>
      <c r="B382" s="108">
        <v>36265015.420000002</v>
      </c>
      <c r="C382" s="108">
        <v>0</v>
      </c>
      <c r="D382" s="108">
        <v>0</v>
      </c>
      <c r="E382" s="108">
        <v>36265015.420000002</v>
      </c>
      <c r="G382" s="108">
        <f t="shared" si="5"/>
        <v>36265015.420000002</v>
      </c>
      <c r="H382" s="109" t="s">
        <v>80</v>
      </c>
    </row>
    <row r="383" spans="1:8">
      <c r="A383" s="108" t="s">
        <v>674</v>
      </c>
      <c r="B383" s="108">
        <v>128000</v>
      </c>
      <c r="C383" s="108">
        <v>0</v>
      </c>
      <c r="D383" s="108">
        <v>0</v>
      </c>
      <c r="E383" s="108">
        <v>128000</v>
      </c>
      <c r="G383" s="108">
        <f t="shared" si="5"/>
        <v>128000</v>
      </c>
      <c r="H383" s="109" t="s">
        <v>80</v>
      </c>
    </row>
    <row r="384" spans="1:8">
      <c r="A384" s="108" t="s">
        <v>675</v>
      </c>
      <c r="B384" s="108">
        <v>622000</v>
      </c>
      <c r="C384" s="108">
        <v>0</v>
      </c>
      <c r="D384" s="108">
        <v>0</v>
      </c>
      <c r="E384" s="108">
        <v>622000</v>
      </c>
      <c r="G384" s="108">
        <f t="shared" si="5"/>
        <v>622000</v>
      </c>
      <c r="H384" s="109" t="s">
        <v>80</v>
      </c>
    </row>
    <row r="385" spans="1:8">
      <c r="A385" s="108" t="s">
        <v>676</v>
      </c>
      <c r="B385" s="108">
        <v>1600000</v>
      </c>
      <c r="C385" s="108">
        <v>0</v>
      </c>
      <c r="D385" s="108">
        <v>0</v>
      </c>
      <c r="E385" s="108">
        <v>1600000</v>
      </c>
      <c r="G385" s="108">
        <f t="shared" si="5"/>
        <v>1600000</v>
      </c>
      <c r="H385" s="109" t="s">
        <v>80</v>
      </c>
    </row>
    <row r="386" spans="1:8">
      <c r="A386" s="108" t="s">
        <v>677</v>
      </c>
      <c r="B386" s="108">
        <v>400000</v>
      </c>
      <c r="C386" s="108">
        <v>0</v>
      </c>
      <c r="D386" s="108">
        <v>0</v>
      </c>
      <c r="E386" s="108">
        <v>400000</v>
      </c>
      <c r="G386" s="108">
        <f t="shared" si="5"/>
        <v>400000</v>
      </c>
      <c r="H386" s="109" t="s">
        <v>80</v>
      </c>
    </row>
    <row r="387" spans="1:8">
      <c r="A387" s="108" t="s">
        <v>678</v>
      </c>
      <c r="B387" s="108">
        <v>2200000</v>
      </c>
      <c r="C387" s="108">
        <v>0</v>
      </c>
      <c r="D387" s="108">
        <v>0</v>
      </c>
      <c r="E387" s="108">
        <v>2200000</v>
      </c>
      <c r="F387" s="115"/>
      <c r="G387" s="108">
        <f t="shared" ref="G387:G450" si="6">E387+F387</f>
        <v>2200000</v>
      </c>
      <c r="H387" s="109" t="s">
        <v>80</v>
      </c>
    </row>
    <row r="388" spans="1:8">
      <c r="A388" s="108" t="s">
        <v>140</v>
      </c>
      <c r="B388" s="108">
        <v>6546275.29</v>
      </c>
      <c r="C388" s="108">
        <v>0</v>
      </c>
      <c r="D388" s="108">
        <v>0</v>
      </c>
      <c r="E388" s="108">
        <v>6546275.29</v>
      </c>
      <c r="G388" s="108">
        <f t="shared" si="6"/>
        <v>6546275.29</v>
      </c>
      <c r="H388" s="109" t="s">
        <v>80</v>
      </c>
    </row>
    <row r="389" spans="1:8">
      <c r="A389" s="108" t="s">
        <v>679</v>
      </c>
      <c r="B389" s="108">
        <v>594227.06999999995</v>
      </c>
      <c r="C389" s="108">
        <v>0</v>
      </c>
      <c r="D389" s="108">
        <v>0</v>
      </c>
      <c r="E389" s="108">
        <v>594227.06999999995</v>
      </c>
      <c r="G389" s="108">
        <f t="shared" si="6"/>
        <v>594227.06999999995</v>
      </c>
      <c r="H389" s="109" t="s">
        <v>80</v>
      </c>
    </row>
    <row r="390" spans="1:8">
      <c r="A390" s="108" t="s">
        <v>680</v>
      </c>
      <c r="B390" s="108">
        <v>592658</v>
      </c>
      <c r="C390" s="108">
        <v>0</v>
      </c>
      <c r="D390" s="108">
        <v>0</v>
      </c>
      <c r="E390" s="108">
        <v>592658</v>
      </c>
      <c r="G390" s="108">
        <f t="shared" si="6"/>
        <v>592658</v>
      </c>
      <c r="H390" s="109" t="s">
        <v>80</v>
      </c>
    </row>
    <row r="391" spans="1:8">
      <c r="A391" s="108" t="s">
        <v>681</v>
      </c>
      <c r="B391" s="108">
        <v>434808.08</v>
      </c>
      <c r="C391" s="108">
        <v>0</v>
      </c>
      <c r="D391" s="108">
        <v>0</v>
      </c>
      <c r="E391" s="108">
        <v>434808.08</v>
      </c>
      <c r="G391" s="108">
        <f t="shared" si="6"/>
        <v>434808.08</v>
      </c>
      <c r="H391" s="109" t="s">
        <v>80</v>
      </c>
    </row>
    <row r="392" spans="1:8">
      <c r="A392" s="108" t="s">
        <v>141</v>
      </c>
      <c r="B392" s="108">
        <v>450000</v>
      </c>
      <c r="C392" s="108">
        <v>0</v>
      </c>
      <c r="D392" s="108">
        <v>0</v>
      </c>
      <c r="E392" s="108">
        <v>450000</v>
      </c>
      <c r="G392" s="108">
        <f t="shared" si="6"/>
        <v>450000</v>
      </c>
      <c r="H392" s="109" t="s">
        <v>80</v>
      </c>
    </row>
    <row r="393" spans="1:8">
      <c r="A393" s="108" t="s">
        <v>682</v>
      </c>
      <c r="B393" s="108">
        <v>3974330</v>
      </c>
      <c r="C393" s="108">
        <v>0</v>
      </c>
      <c r="D393" s="108">
        <v>0</v>
      </c>
      <c r="E393" s="108">
        <v>3974330</v>
      </c>
      <c r="G393" s="108">
        <f t="shared" si="6"/>
        <v>3974330</v>
      </c>
      <c r="H393" s="109" t="s">
        <v>80</v>
      </c>
    </row>
    <row r="394" spans="1:8">
      <c r="A394" s="108" t="s">
        <v>683</v>
      </c>
      <c r="B394" s="108">
        <v>40625001.740000002</v>
      </c>
      <c r="C394" s="108">
        <v>0</v>
      </c>
      <c r="D394" s="108">
        <v>0</v>
      </c>
      <c r="E394" s="108">
        <v>40625001.740000002</v>
      </c>
      <c r="G394" s="108">
        <f t="shared" si="6"/>
        <v>40625001.740000002</v>
      </c>
      <c r="H394" s="109" t="s">
        <v>80</v>
      </c>
    </row>
    <row r="395" spans="1:8">
      <c r="A395" s="108" t="s">
        <v>684</v>
      </c>
      <c r="B395" s="108">
        <v>375000</v>
      </c>
      <c r="C395" s="108">
        <v>0</v>
      </c>
      <c r="D395" s="108">
        <v>0</v>
      </c>
      <c r="E395" s="108">
        <v>375000</v>
      </c>
      <c r="G395" s="108">
        <f t="shared" si="6"/>
        <v>375000</v>
      </c>
      <c r="H395" s="109" t="s">
        <v>80</v>
      </c>
    </row>
    <row r="396" spans="1:8">
      <c r="A396" s="108" t="s">
        <v>88</v>
      </c>
      <c r="B396" s="108">
        <v>4790782.28</v>
      </c>
      <c r="C396" s="108">
        <v>0</v>
      </c>
      <c r="D396" s="108">
        <v>0</v>
      </c>
      <c r="E396" s="108">
        <v>4790782.28</v>
      </c>
      <c r="G396" s="108">
        <f t="shared" si="6"/>
        <v>4790782.28</v>
      </c>
      <c r="H396" s="109" t="s">
        <v>80</v>
      </c>
    </row>
    <row r="397" spans="1:8">
      <c r="A397" s="108" t="s">
        <v>89</v>
      </c>
      <c r="B397" s="108">
        <v>22376520</v>
      </c>
      <c r="C397" s="108">
        <v>0</v>
      </c>
      <c r="D397" s="108">
        <v>0</v>
      </c>
      <c r="E397" s="108">
        <v>22376520</v>
      </c>
      <c r="G397" s="108">
        <f t="shared" si="6"/>
        <v>22376520</v>
      </c>
      <c r="H397" s="109" t="s">
        <v>80</v>
      </c>
    </row>
    <row r="398" spans="1:8">
      <c r="A398" s="108" t="s">
        <v>685</v>
      </c>
      <c r="B398" s="108">
        <v>2725000</v>
      </c>
      <c r="C398" s="108">
        <v>0</v>
      </c>
      <c r="D398" s="108">
        <v>0</v>
      </c>
      <c r="E398" s="108">
        <v>2725000</v>
      </c>
      <c r="G398" s="108">
        <f t="shared" si="6"/>
        <v>2725000</v>
      </c>
      <c r="H398" s="109" t="s">
        <v>80</v>
      </c>
    </row>
    <row r="399" spans="1:8">
      <c r="A399" s="108" t="s">
        <v>109</v>
      </c>
      <c r="B399" s="108">
        <v>231700</v>
      </c>
      <c r="C399" s="108">
        <v>0</v>
      </c>
      <c r="D399" s="108">
        <v>0</v>
      </c>
      <c r="E399" s="108">
        <v>231700</v>
      </c>
      <c r="G399" s="108">
        <f t="shared" si="6"/>
        <v>231700</v>
      </c>
      <c r="H399" s="109" t="s">
        <v>80</v>
      </c>
    </row>
    <row r="400" spans="1:8">
      <c r="A400" s="108" t="s">
        <v>686</v>
      </c>
      <c r="B400" s="108">
        <v>4374015</v>
      </c>
      <c r="C400" s="108">
        <v>0</v>
      </c>
      <c r="D400" s="108">
        <v>0</v>
      </c>
      <c r="E400" s="108">
        <v>4374015</v>
      </c>
      <c r="G400" s="108">
        <f t="shared" si="6"/>
        <v>4374015</v>
      </c>
      <c r="H400" s="109" t="s">
        <v>80</v>
      </c>
    </row>
    <row r="401" spans="1:8">
      <c r="A401" s="108" t="s">
        <v>687</v>
      </c>
      <c r="B401" s="108">
        <v>26889466.899999999</v>
      </c>
      <c r="C401" s="108">
        <v>0</v>
      </c>
      <c r="D401" s="108">
        <v>0</v>
      </c>
      <c r="E401" s="108">
        <v>26889466.899999999</v>
      </c>
      <c r="G401" s="108">
        <f t="shared" si="6"/>
        <v>26889466.899999999</v>
      </c>
      <c r="H401" s="109" t="s">
        <v>80</v>
      </c>
    </row>
    <row r="402" spans="1:8">
      <c r="A402" s="108" t="s">
        <v>688</v>
      </c>
      <c r="B402" s="108">
        <v>15500</v>
      </c>
      <c r="C402" s="108">
        <v>0</v>
      </c>
      <c r="D402" s="108">
        <v>0</v>
      </c>
      <c r="E402" s="108">
        <v>15500</v>
      </c>
      <c r="G402" s="108">
        <f t="shared" si="6"/>
        <v>15500</v>
      </c>
      <c r="H402" s="109" t="s">
        <v>80</v>
      </c>
    </row>
    <row r="403" spans="1:8">
      <c r="A403" s="108" t="s">
        <v>689</v>
      </c>
      <c r="B403" s="108">
        <v>58560</v>
      </c>
      <c r="C403" s="108">
        <v>0</v>
      </c>
      <c r="D403" s="108">
        <v>0</v>
      </c>
      <c r="E403" s="108">
        <v>58560</v>
      </c>
      <c r="G403" s="108">
        <f t="shared" si="6"/>
        <v>58560</v>
      </c>
      <c r="H403" s="109" t="s">
        <v>80</v>
      </c>
    </row>
    <row r="404" spans="1:8">
      <c r="A404" s="108" t="s">
        <v>690</v>
      </c>
      <c r="B404" s="108">
        <v>1300000</v>
      </c>
      <c r="C404" s="108">
        <v>0</v>
      </c>
      <c r="D404" s="108">
        <v>0</v>
      </c>
      <c r="E404" s="108">
        <v>1300000</v>
      </c>
      <c r="G404" s="108">
        <f t="shared" si="6"/>
        <v>1300000</v>
      </c>
      <c r="H404" s="109" t="s">
        <v>80</v>
      </c>
    </row>
    <row r="405" spans="1:8">
      <c r="A405" s="108" t="s">
        <v>691</v>
      </c>
      <c r="B405" s="108">
        <v>603990</v>
      </c>
      <c r="C405" s="108">
        <v>0</v>
      </c>
      <c r="D405" s="108">
        <v>0</v>
      </c>
      <c r="E405" s="108">
        <v>603990</v>
      </c>
      <c r="G405" s="108">
        <f t="shared" si="6"/>
        <v>603990</v>
      </c>
      <c r="H405" s="109" t="s">
        <v>80</v>
      </c>
    </row>
    <row r="406" spans="1:8">
      <c r="A406" s="108" t="s">
        <v>692</v>
      </c>
      <c r="B406" s="108">
        <v>1041000</v>
      </c>
      <c r="C406" s="108">
        <v>0</v>
      </c>
      <c r="D406" s="108">
        <v>0</v>
      </c>
      <c r="E406" s="108">
        <v>1041000</v>
      </c>
      <c r="G406" s="108">
        <f t="shared" si="6"/>
        <v>1041000</v>
      </c>
      <c r="H406" s="109" t="s">
        <v>80</v>
      </c>
    </row>
    <row r="407" spans="1:8">
      <c r="A407" s="108" t="s">
        <v>93</v>
      </c>
      <c r="B407" s="108">
        <v>5850</v>
      </c>
      <c r="C407" s="108">
        <v>0</v>
      </c>
      <c r="D407" s="108">
        <v>0</v>
      </c>
      <c r="E407" s="108">
        <v>5850</v>
      </c>
      <c r="G407" s="108">
        <f t="shared" si="6"/>
        <v>5850</v>
      </c>
      <c r="H407" s="109" t="s">
        <v>80</v>
      </c>
    </row>
    <row r="408" spans="1:8">
      <c r="A408" s="108" t="s">
        <v>693</v>
      </c>
      <c r="B408" s="108">
        <v>406900</v>
      </c>
      <c r="C408" s="108">
        <v>0</v>
      </c>
      <c r="D408" s="108">
        <v>0</v>
      </c>
      <c r="E408" s="108">
        <v>406900</v>
      </c>
      <c r="G408" s="108">
        <f t="shared" si="6"/>
        <v>406900</v>
      </c>
      <c r="H408" s="109" t="s">
        <v>80</v>
      </c>
    </row>
    <row r="409" spans="1:8">
      <c r="A409" s="108" t="s">
        <v>694</v>
      </c>
      <c r="B409" s="108">
        <v>1250</v>
      </c>
      <c r="C409" s="108">
        <v>0</v>
      </c>
      <c r="D409" s="108">
        <v>0</v>
      </c>
      <c r="E409" s="108">
        <v>1250</v>
      </c>
      <c r="G409" s="108">
        <f t="shared" si="6"/>
        <v>1250</v>
      </c>
      <c r="H409" s="109" t="s">
        <v>80</v>
      </c>
    </row>
    <row r="410" spans="1:8">
      <c r="A410" s="108" t="s">
        <v>106</v>
      </c>
      <c r="B410" s="108">
        <v>17770.400000000001</v>
      </c>
      <c r="C410" s="108">
        <v>0</v>
      </c>
      <c r="D410" s="108">
        <v>0</v>
      </c>
      <c r="E410" s="108">
        <v>17770.400000000001</v>
      </c>
      <c r="G410" s="108">
        <f t="shared" si="6"/>
        <v>17770.400000000001</v>
      </c>
      <c r="H410" s="109" t="s">
        <v>80</v>
      </c>
    </row>
    <row r="411" spans="1:8">
      <c r="A411" s="108" t="s">
        <v>695</v>
      </c>
      <c r="B411" s="108">
        <v>340500</v>
      </c>
      <c r="C411" s="108">
        <v>0</v>
      </c>
      <c r="D411" s="108">
        <v>0</v>
      </c>
      <c r="E411" s="108">
        <v>340500</v>
      </c>
      <c r="G411" s="108">
        <f t="shared" si="6"/>
        <v>340500</v>
      </c>
      <c r="H411" s="109" t="s">
        <v>80</v>
      </c>
    </row>
    <row r="412" spans="1:8">
      <c r="A412" s="108" t="s">
        <v>696</v>
      </c>
      <c r="B412" s="108">
        <v>391809.22</v>
      </c>
      <c r="C412" s="108">
        <v>0</v>
      </c>
      <c r="D412" s="108">
        <v>0</v>
      </c>
      <c r="E412" s="108">
        <v>391809.22</v>
      </c>
      <c r="G412" s="108">
        <f t="shared" si="6"/>
        <v>391809.22</v>
      </c>
      <c r="H412" s="109" t="s">
        <v>80</v>
      </c>
    </row>
    <row r="413" spans="1:8">
      <c r="A413" s="108" t="s">
        <v>697</v>
      </c>
      <c r="B413" s="108">
        <v>160000</v>
      </c>
      <c r="C413" s="108">
        <v>0</v>
      </c>
      <c r="D413" s="108">
        <v>0</v>
      </c>
      <c r="E413" s="108">
        <v>160000</v>
      </c>
      <c r="G413" s="108">
        <f t="shared" si="6"/>
        <v>160000</v>
      </c>
      <c r="H413" s="109" t="s">
        <v>80</v>
      </c>
    </row>
    <row r="414" spans="1:8">
      <c r="A414" s="108" t="s">
        <v>148</v>
      </c>
      <c r="B414" s="108">
        <v>197984.96</v>
      </c>
      <c r="C414" s="108">
        <v>0</v>
      </c>
      <c r="D414" s="108">
        <v>0</v>
      </c>
      <c r="E414" s="108">
        <v>197984.96</v>
      </c>
      <c r="G414" s="108">
        <f t="shared" si="6"/>
        <v>197984.96</v>
      </c>
      <c r="H414" s="109" t="s">
        <v>80</v>
      </c>
    </row>
    <row r="415" spans="1:8">
      <c r="A415" s="108" t="s">
        <v>698</v>
      </c>
      <c r="B415" s="108">
        <v>760000</v>
      </c>
      <c r="C415" s="108">
        <v>0</v>
      </c>
      <c r="D415" s="108">
        <v>0</v>
      </c>
      <c r="E415" s="108">
        <v>760000</v>
      </c>
      <c r="G415" s="108">
        <f t="shared" si="6"/>
        <v>760000</v>
      </c>
      <c r="H415" s="109" t="s">
        <v>80</v>
      </c>
    </row>
    <row r="416" spans="1:8">
      <c r="A416" s="108" t="s">
        <v>149</v>
      </c>
      <c r="B416" s="108">
        <v>215561.98</v>
      </c>
      <c r="C416" s="108">
        <v>0</v>
      </c>
      <c r="D416" s="108">
        <v>0</v>
      </c>
      <c r="E416" s="108">
        <v>215561.98</v>
      </c>
      <c r="G416" s="108">
        <f t="shared" si="6"/>
        <v>215561.98</v>
      </c>
      <c r="H416" s="109" t="s">
        <v>80</v>
      </c>
    </row>
    <row r="417" spans="1:8">
      <c r="A417" s="108" t="s">
        <v>150</v>
      </c>
      <c r="B417" s="108">
        <v>33700</v>
      </c>
      <c r="C417" s="108">
        <v>0</v>
      </c>
      <c r="D417" s="108">
        <v>0</v>
      </c>
      <c r="E417" s="108">
        <v>33700</v>
      </c>
      <c r="F417" s="115"/>
      <c r="G417" s="108">
        <f t="shared" si="6"/>
        <v>33700</v>
      </c>
      <c r="H417" s="109" t="s">
        <v>80</v>
      </c>
    </row>
    <row r="418" spans="1:8">
      <c r="A418" s="108" t="s">
        <v>699</v>
      </c>
      <c r="B418" s="108">
        <v>12250000</v>
      </c>
      <c r="C418" s="108">
        <v>0</v>
      </c>
      <c r="D418" s="108">
        <v>0</v>
      </c>
      <c r="E418" s="108">
        <v>12250000</v>
      </c>
      <c r="F418" s="115"/>
      <c r="G418" s="108">
        <f t="shared" si="6"/>
        <v>12250000</v>
      </c>
      <c r="H418" s="109" t="s">
        <v>80</v>
      </c>
    </row>
    <row r="419" spans="1:8">
      <c r="A419" s="108" t="s">
        <v>700</v>
      </c>
      <c r="B419" s="108">
        <v>412201</v>
      </c>
      <c r="C419" s="108">
        <v>0</v>
      </c>
      <c r="D419" s="108">
        <v>0</v>
      </c>
      <c r="E419" s="108">
        <v>412201</v>
      </c>
      <c r="G419" s="108">
        <f t="shared" si="6"/>
        <v>412201</v>
      </c>
      <c r="H419" s="109" t="s">
        <v>80</v>
      </c>
    </row>
    <row r="420" spans="1:8">
      <c r="A420" s="108" t="s">
        <v>701</v>
      </c>
      <c r="B420" s="108">
        <v>280200</v>
      </c>
      <c r="C420" s="108">
        <v>0</v>
      </c>
      <c r="D420" s="108">
        <v>0</v>
      </c>
      <c r="E420" s="108">
        <v>280200</v>
      </c>
      <c r="G420" s="108">
        <f t="shared" si="6"/>
        <v>280200</v>
      </c>
      <c r="H420" s="109" t="s">
        <v>80</v>
      </c>
    </row>
    <row r="421" spans="1:8">
      <c r="A421" s="108" t="s">
        <v>91</v>
      </c>
      <c r="B421" s="108">
        <v>1613994.5</v>
      </c>
      <c r="C421" s="108">
        <v>0</v>
      </c>
      <c r="D421" s="108">
        <v>0</v>
      </c>
      <c r="E421" s="108">
        <v>1613994.5</v>
      </c>
      <c r="G421" s="108">
        <f t="shared" si="6"/>
        <v>1613994.5</v>
      </c>
      <c r="H421" s="109" t="s">
        <v>80</v>
      </c>
    </row>
    <row r="422" spans="1:8">
      <c r="A422" s="108" t="s">
        <v>1144</v>
      </c>
      <c r="B422" s="108">
        <v>0</v>
      </c>
      <c r="C422" s="108">
        <v>0</v>
      </c>
      <c r="D422" s="108">
        <v>0</v>
      </c>
      <c r="E422" s="108">
        <v>0</v>
      </c>
      <c r="G422" s="108">
        <f t="shared" si="6"/>
        <v>0</v>
      </c>
      <c r="H422" s="109" t="s">
        <v>80</v>
      </c>
    </row>
    <row r="423" spans="1:8">
      <c r="A423" s="108" t="s">
        <v>702</v>
      </c>
      <c r="B423" s="108">
        <v>931740</v>
      </c>
      <c r="C423" s="108">
        <v>0</v>
      </c>
      <c r="D423" s="108">
        <v>0</v>
      </c>
      <c r="E423" s="108">
        <v>931740</v>
      </c>
      <c r="G423" s="108">
        <f t="shared" si="6"/>
        <v>931740</v>
      </c>
      <c r="H423" s="109" t="s">
        <v>80</v>
      </c>
    </row>
    <row r="424" spans="1:8">
      <c r="A424" s="108" t="s">
        <v>316</v>
      </c>
      <c r="B424" s="108">
        <v>0</v>
      </c>
      <c r="C424" s="108">
        <v>23.71</v>
      </c>
      <c r="D424" s="108">
        <v>19.05</v>
      </c>
      <c r="E424" s="108">
        <v>4.66</v>
      </c>
      <c r="G424" s="108">
        <f t="shared" si="6"/>
        <v>4.66</v>
      </c>
      <c r="H424" s="109" t="s">
        <v>80</v>
      </c>
    </row>
    <row r="425" spans="1:8">
      <c r="A425" s="108" t="s">
        <v>472</v>
      </c>
      <c r="B425" s="108">
        <v>0</v>
      </c>
      <c r="C425" s="108">
        <v>3000</v>
      </c>
      <c r="D425" s="108">
        <v>0</v>
      </c>
      <c r="E425" s="108">
        <v>3000</v>
      </c>
      <c r="G425" s="108">
        <f t="shared" si="6"/>
        <v>3000</v>
      </c>
      <c r="H425" s="109" t="s">
        <v>80</v>
      </c>
    </row>
    <row r="426" spans="1:8">
      <c r="A426" s="165" t="s">
        <v>356</v>
      </c>
      <c r="B426" s="108">
        <v>0</v>
      </c>
      <c r="C426" s="108">
        <v>0</v>
      </c>
      <c r="D426" s="108">
        <v>30486.47</v>
      </c>
      <c r="E426" s="108">
        <v>-30486.47</v>
      </c>
      <c r="G426" s="108">
        <f t="shared" si="6"/>
        <v>-30486.47</v>
      </c>
      <c r="H426" s="140" t="s">
        <v>73</v>
      </c>
    </row>
    <row r="427" spans="1:8">
      <c r="A427" s="108" t="s">
        <v>704</v>
      </c>
      <c r="B427" s="108">
        <v>0</v>
      </c>
      <c r="C427" s="108">
        <v>0</v>
      </c>
      <c r="D427" s="108">
        <v>36870023</v>
      </c>
      <c r="E427" s="108">
        <v>-36870023</v>
      </c>
      <c r="G427" s="108">
        <f t="shared" si="6"/>
        <v>-36870023</v>
      </c>
      <c r="H427" s="109" t="s">
        <v>80</v>
      </c>
    </row>
    <row r="428" spans="1:8">
      <c r="A428" s="108" t="s">
        <v>315</v>
      </c>
      <c r="B428" s="108">
        <v>0</v>
      </c>
      <c r="C428" s="108">
        <v>11.18</v>
      </c>
      <c r="D428" s="108">
        <v>2.7</v>
      </c>
      <c r="E428" s="108">
        <v>8.48</v>
      </c>
      <c r="G428" s="108">
        <f t="shared" si="6"/>
        <v>8.48</v>
      </c>
      <c r="H428" s="109" t="s">
        <v>80</v>
      </c>
    </row>
    <row r="429" spans="1:8">
      <c r="A429" s="165" t="s">
        <v>714</v>
      </c>
      <c r="B429" s="108">
        <v>0</v>
      </c>
      <c r="C429" s="108">
        <v>22116.86</v>
      </c>
      <c r="D429" s="108">
        <v>0</v>
      </c>
      <c r="E429" s="108">
        <v>22116.86</v>
      </c>
      <c r="G429" s="108">
        <f t="shared" si="6"/>
        <v>22116.86</v>
      </c>
      <c r="H429" s="140" t="s">
        <v>73</v>
      </c>
    </row>
    <row r="430" spans="1:8">
      <c r="A430" s="139" t="s">
        <v>1441</v>
      </c>
      <c r="B430" s="108">
        <v>0</v>
      </c>
      <c r="C430" s="108">
        <v>0</v>
      </c>
      <c r="D430" s="108">
        <v>500000</v>
      </c>
      <c r="E430" s="108">
        <v>-500000</v>
      </c>
      <c r="G430" s="108">
        <f t="shared" si="6"/>
        <v>-500000</v>
      </c>
      <c r="H430" s="109" t="s">
        <v>71</v>
      </c>
    </row>
    <row r="431" spans="1:8">
      <c r="A431" s="141" t="s">
        <v>336</v>
      </c>
      <c r="B431" s="108">
        <v>0</v>
      </c>
      <c r="C431" s="108">
        <v>0</v>
      </c>
      <c r="D431" s="108">
        <v>14872.89</v>
      </c>
      <c r="E431" s="108">
        <v>-14872.89</v>
      </c>
      <c r="G431" s="108">
        <f t="shared" si="6"/>
        <v>-14872.89</v>
      </c>
      <c r="H431" s="109" t="s">
        <v>80</v>
      </c>
    </row>
    <row r="432" spans="1:8">
      <c r="A432" s="108" t="s">
        <v>720</v>
      </c>
      <c r="B432" s="108">
        <v>0</v>
      </c>
      <c r="C432" s="108">
        <v>8.6300000000000008</v>
      </c>
      <c r="D432" s="108">
        <v>0</v>
      </c>
      <c r="E432" s="108">
        <v>8.6300000000000008</v>
      </c>
      <c r="G432" s="108">
        <f t="shared" si="6"/>
        <v>8.6300000000000008</v>
      </c>
      <c r="H432" s="109" t="s">
        <v>80</v>
      </c>
    </row>
    <row r="433" spans="1:8">
      <c r="A433" s="108" t="s">
        <v>721</v>
      </c>
      <c r="B433" s="108">
        <v>-12205204.52</v>
      </c>
      <c r="C433" s="108">
        <v>0</v>
      </c>
      <c r="D433" s="108">
        <v>0</v>
      </c>
      <c r="E433" s="108">
        <v>-12205204.52</v>
      </c>
      <c r="G433" s="108">
        <f t="shared" si="6"/>
        <v>-12205204.52</v>
      </c>
      <c r="H433" s="109" t="s">
        <v>80</v>
      </c>
    </row>
    <row r="434" spans="1:8">
      <c r="A434" s="108" t="s">
        <v>722</v>
      </c>
      <c r="B434" s="108">
        <v>-444856832.20999998</v>
      </c>
      <c r="C434" s="108">
        <v>0</v>
      </c>
      <c r="D434" s="108">
        <v>0</v>
      </c>
      <c r="E434" s="108">
        <v>-444856832.20999998</v>
      </c>
      <c r="G434" s="108">
        <f t="shared" si="6"/>
        <v>-444856832.20999998</v>
      </c>
      <c r="H434" s="109" t="s">
        <v>80</v>
      </c>
    </row>
    <row r="435" spans="1:8">
      <c r="A435" s="108" t="s">
        <v>723</v>
      </c>
      <c r="B435" s="108">
        <v>-1497794</v>
      </c>
      <c r="C435" s="108">
        <v>0</v>
      </c>
      <c r="D435" s="108">
        <v>0</v>
      </c>
      <c r="E435" s="108">
        <v>-1497794</v>
      </c>
      <c r="G435" s="108">
        <f t="shared" si="6"/>
        <v>-1497794</v>
      </c>
      <c r="H435" s="109" t="s">
        <v>80</v>
      </c>
    </row>
    <row r="436" spans="1:8">
      <c r="A436" s="108" t="s">
        <v>724</v>
      </c>
      <c r="B436" s="108">
        <v>-88032460</v>
      </c>
      <c r="C436" s="108">
        <v>0</v>
      </c>
      <c r="D436" s="108">
        <v>0</v>
      </c>
      <c r="E436" s="108">
        <v>-88032460</v>
      </c>
      <c r="G436" s="108">
        <f t="shared" si="6"/>
        <v>-88032460</v>
      </c>
      <c r="H436" s="109" t="s">
        <v>80</v>
      </c>
    </row>
    <row r="437" spans="1:8">
      <c r="A437" s="108" t="s">
        <v>725</v>
      </c>
      <c r="B437" s="108">
        <v>-3559700</v>
      </c>
      <c r="C437" s="108">
        <v>0</v>
      </c>
      <c r="D437" s="108">
        <v>0</v>
      </c>
      <c r="E437" s="108">
        <v>-3559700</v>
      </c>
      <c r="G437" s="108">
        <f t="shared" si="6"/>
        <v>-3559700</v>
      </c>
      <c r="H437" s="109" t="s">
        <v>80</v>
      </c>
    </row>
    <row r="438" spans="1:8">
      <c r="A438" s="108" t="s">
        <v>272</v>
      </c>
      <c r="B438" s="108">
        <v>0</v>
      </c>
      <c r="C438" s="108">
        <v>9348779.7699999996</v>
      </c>
      <c r="D438" s="108">
        <v>9348781.5700000003</v>
      </c>
      <c r="E438" s="108">
        <v>-1.8</v>
      </c>
      <c r="G438" s="108">
        <f t="shared" si="6"/>
        <v>-1.8</v>
      </c>
      <c r="H438" s="109" t="s">
        <v>80</v>
      </c>
    </row>
    <row r="439" spans="1:8">
      <c r="A439" s="108" t="s">
        <v>726</v>
      </c>
      <c r="B439" s="108">
        <v>-27624138.809999999</v>
      </c>
      <c r="C439" s="108">
        <v>46763567</v>
      </c>
      <c r="D439" s="108">
        <v>24151174.440000001</v>
      </c>
      <c r="E439" s="108">
        <v>-5011746.25</v>
      </c>
      <c r="G439" s="108">
        <f t="shared" si="6"/>
        <v>-5011746.25</v>
      </c>
      <c r="H439" s="109" t="s">
        <v>80</v>
      </c>
    </row>
    <row r="440" spans="1:8">
      <c r="A440" s="108" t="s">
        <v>727</v>
      </c>
      <c r="B440" s="108">
        <v>-1788030.1</v>
      </c>
      <c r="C440" s="108">
        <v>516694</v>
      </c>
      <c r="D440" s="108">
        <v>35330.5</v>
      </c>
      <c r="E440" s="108">
        <v>-1306666.6000000001</v>
      </c>
      <c r="G440" s="108">
        <f t="shared" si="6"/>
        <v>-1306666.6000000001</v>
      </c>
      <c r="H440" s="109" t="s">
        <v>80</v>
      </c>
    </row>
    <row r="441" spans="1:8">
      <c r="A441" s="108" t="s">
        <v>243</v>
      </c>
      <c r="B441" s="108">
        <v>0</v>
      </c>
      <c r="C441" s="108">
        <v>5450845.6799999997</v>
      </c>
      <c r="D441" s="108">
        <v>5450845.6799999997</v>
      </c>
      <c r="E441" s="108">
        <v>0</v>
      </c>
      <c r="G441" s="108">
        <f t="shared" si="6"/>
        <v>0</v>
      </c>
      <c r="H441" s="109" t="s">
        <v>80</v>
      </c>
    </row>
    <row r="442" spans="1:8">
      <c r="A442" s="108" t="s">
        <v>180</v>
      </c>
      <c r="B442" s="108">
        <v>0</v>
      </c>
      <c r="C442" s="108">
        <v>9348779.7699999996</v>
      </c>
      <c r="D442" s="108">
        <v>9348781.5700000003</v>
      </c>
      <c r="E442" s="108">
        <v>-1.8</v>
      </c>
      <c r="G442" s="108">
        <f t="shared" si="6"/>
        <v>-1.8</v>
      </c>
      <c r="H442" s="109" t="s">
        <v>80</v>
      </c>
    </row>
    <row r="443" spans="1:8">
      <c r="A443" s="108" t="s">
        <v>202</v>
      </c>
      <c r="B443" s="108">
        <v>-128600</v>
      </c>
      <c r="C443" s="108">
        <v>128800</v>
      </c>
      <c r="D443" s="108">
        <v>94800</v>
      </c>
      <c r="E443" s="108">
        <v>-94600</v>
      </c>
      <c r="G443" s="108">
        <f t="shared" si="6"/>
        <v>-94600</v>
      </c>
      <c r="H443" s="109" t="s">
        <v>80</v>
      </c>
    </row>
    <row r="444" spans="1:8">
      <c r="A444" s="108" t="s">
        <v>1165</v>
      </c>
      <c r="B444" s="108">
        <v>0</v>
      </c>
      <c r="C444" s="108">
        <v>0</v>
      </c>
      <c r="D444" s="108">
        <v>0</v>
      </c>
      <c r="E444" s="108">
        <v>0</v>
      </c>
      <c r="G444" s="108">
        <f t="shared" si="6"/>
        <v>0</v>
      </c>
      <c r="H444" s="109" t="s">
        <v>80</v>
      </c>
    </row>
    <row r="445" spans="1:8">
      <c r="A445" s="108" t="s">
        <v>1166</v>
      </c>
      <c r="B445" s="108">
        <v>0</v>
      </c>
      <c r="C445" s="108">
        <v>0</v>
      </c>
      <c r="D445" s="108">
        <v>0</v>
      </c>
      <c r="E445" s="108">
        <v>0</v>
      </c>
      <c r="G445" s="108">
        <f t="shared" si="6"/>
        <v>0</v>
      </c>
      <c r="H445" s="109" t="s">
        <v>80</v>
      </c>
    </row>
    <row r="446" spans="1:8">
      <c r="A446" s="108" t="s">
        <v>1167</v>
      </c>
      <c r="B446" s="108">
        <v>0</v>
      </c>
      <c r="C446" s="108">
        <v>0</v>
      </c>
      <c r="D446" s="108">
        <v>0</v>
      </c>
      <c r="E446" s="108">
        <v>0</v>
      </c>
      <c r="G446" s="108">
        <f t="shared" si="6"/>
        <v>0</v>
      </c>
      <c r="H446" s="109" t="s">
        <v>80</v>
      </c>
    </row>
    <row r="447" spans="1:8">
      <c r="A447" s="108" t="s">
        <v>1168</v>
      </c>
      <c r="B447" s="108">
        <v>0</v>
      </c>
      <c r="C447" s="108">
        <v>0</v>
      </c>
      <c r="D447" s="108">
        <v>0</v>
      </c>
      <c r="E447" s="108">
        <v>0</v>
      </c>
      <c r="G447" s="108">
        <f t="shared" si="6"/>
        <v>0</v>
      </c>
      <c r="H447" s="109" t="s">
        <v>80</v>
      </c>
    </row>
    <row r="448" spans="1:8">
      <c r="A448" s="108" t="s">
        <v>476</v>
      </c>
      <c r="B448" s="108">
        <v>0.09</v>
      </c>
      <c r="C448" s="108">
        <v>0</v>
      </c>
      <c r="D448" s="108">
        <v>0</v>
      </c>
      <c r="E448" s="108">
        <v>0.09</v>
      </c>
      <c r="G448" s="108">
        <f t="shared" si="6"/>
        <v>0.09</v>
      </c>
      <c r="H448" s="109" t="s">
        <v>80</v>
      </c>
    </row>
    <row r="449" spans="1:8">
      <c r="A449" s="108" t="s">
        <v>432</v>
      </c>
      <c r="B449" s="108">
        <v>-1541.53</v>
      </c>
      <c r="C449" s="108">
        <v>1542</v>
      </c>
      <c r="D449" s="108">
        <v>0</v>
      </c>
      <c r="E449" s="108">
        <v>0.47</v>
      </c>
      <c r="G449" s="108">
        <f t="shared" si="6"/>
        <v>0.47</v>
      </c>
      <c r="H449" s="109" t="s">
        <v>80</v>
      </c>
    </row>
    <row r="450" spans="1:8">
      <c r="A450" s="108" t="s">
        <v>506</v>
      </c>
      <c r="B450" s="108">
        <v>0</v>
      </c>
      <c r="C450" s="108">
        <v>0</v>
      </c>
      <c r="D450" s="108">
        <v>413</v>
      </c>
      <c r="E450" s="108">
        <v>-413</v>
      </c>
      <c r="G450" s="108">
        <f t="shared" si="6"/>
        <v>-413</v>
      </c>
      <c r="H450" s="109" t="s">
        <v>80</v>
      </c>
    </row>
    <row r="451" spans="1:8">
      <c r="A451" s="108" t="s">
        <v>161</v>
      </c>
      <c r="B451" s="108">
        <v>-40000</v>
      </c>
      <c r="C451" s="108">
        <v>40000</v>
      </c>
      <c r="D451" s="108">
        <v>20000</v>
      </c>
      <c r="E451" s="108">
        <v>-20000</v>
      </c>
      <c r="G451" s="108">
        <f t="shared" ref="G451:G514" si="7">E451+F451</f>
        <v>-20000</v>
      </c>
      <c r="H451" s="109" t="s">
        <v>80</v>
      </c>
    </row>
    <row r="452" spans="1:8">
      <c r="A452" s="108" t="s">
        <v>162</v>
      </c>
      <c r="B452" s="108">
        <v>-24187</v>
      </c>
      <c r="C452" s="108">
        <v>1107.69</v>
      </c>
      <c r="D452" s="108">
        <v>277551</v>
      </c>
      <c r="E452" s="108">
        <v>-300630.31</v>
      </c>
      <c r="G452" s="108">
        <f t="shared" si="7"/>
        <v>-300630.31</v>
      </c>
      <c r="H452" s="109" t="s">
        <v>80</v>
      </c>
    </row>
    <row r="453" spans="1:8">
      <c r="A453" s="108" t="s">
        <v>1169</v>
      </c>
      <c r="B453" s="108">
        <v>0</v>
      </c>
      <c r="C453" s="108">
        <v>0</v>
      </c>
      <c r="D453" s="108">
        <v>0</v>
      </c>
      <c r="E453" s="108">
        <v>0</v>
      </c>
      <c r="G453" s="108">
        <f t="shared" si="7"/>
        <v>0</v>
      </c>
      <c r="H453" s="109" t="s">
        <v>80</v>
      </c>
    </row>
    <row r="454" spans="1:8">
      <c r="A454" s="108" t="s">
        <v>412</v>
      </c>
      <c r="B454" s="108">
        <v>-4000</v>
      </c>
      <c r="C454" s="108">
        <v>0</v>
      </c>
      <c r="D454" s="108">
        <v>20000</v>
      </c>
      <c r="E454" s="108">
        <v>-24000</v>
      </c>
      <c r="G454" s="108">
        <f t="shared" si="7"/>
        <v>-24000</v>
      </c>
      <c r="H454" s="109" t="s">
        <v>80</v>
      </c>
    </row>
    <row r="455" spans="1:8">
      <c r="A455" s="108" t="s">
        <v>163</v>
      </c>
      <c r="B455" s="108">
        <v>-6160</v>
      </c>
      <c r="C455" s="108">
        <v>0</v>
      </c>
      <c r="D455" s="108">
        <v>6000</v>
      </c>
      <c r="E455" s="108">
        <v>-12160</v>
      </c>
      <c r="G455" s="108">
        <f t="shared" si="7"/>
        <v>-12160</v>
      </c>
      <c r="H455" s="109" t="s">
        <v>80</v>
      </c>
    </row>
    <row r="456" spans="1:8">
      <c r="A456" s="108" t="s">
        <v>164</v>
      </c>
      <c r="B456" s="108">
        <v>-0.01</v>
      </c>
      <c r="C456" s="108">
        <v>25737</v>
      </c>
      <c r="D456" s="108">
        <v>64772.75</v>
      </c>
      <c r="E456" s="108">
        <v>-39035.760000000002</v>
      </c>
      <c r="G456" s="108">
        <f t="shared" si="7"/>
        <v>-39035.760000000002</v>
      </c>
      <c r="H456" s="109" t="s">
        <v>80</v>
      </c>
    </row>
    <row r="457" spans="1:8">
      <c r="A457" s="108" t="s">
        <v>728</v>
      </c>
      <c r="B457" s="108">
        <v>-2290689.1800000002</v>
      </c>
      <c r="C457" s="108">
        <v>2317740</v>
      </c>
      <c r="D457" s="108">
        <v>0</v>
      </c>
      <c r="E457" s="108">
        <v>27050.82</v>
      </c>
      <c r="G457" s="108">
        <f t="shared" si="7"/>
        <v>27050.82</v>
      </c>
      <c r="H457" s="109" t="s">
        <v>80</v>
      </c>
    </row>
    <row r="458" spans="1:8">
      <c r="A458" s="108" t="s">
        <v>277</v>
      </c>
      <c r="B458" s="108">
        <v>-870981</v>
      </c>
      <c r="C458" s="108">
        <v>0</v>
      </c>
      <c r="D458" s="108">
        <v>0</v>
      </c>
      <c r="E458" s="108">
        <v>-870981</v>
      </c>
      <c r="G458" s="108">
        <f t="shared" si="7"/>
        <v>-870981</v>
      </c>
      <c r="H458" s="109" t="s">
        <v>80</v>
      </c>
    </row>
    <row r="459" spans="1:8">
      <c r="A459" s="108" t="s">
        <v>729</v>
      </c>
      <c r="B459" s="108">
        <v>-43685.8</v>
      </c>
      <c r="C459" s="108">
        <v>74628</v>
      </c>
      <c r="D459" s="108">
        <v>59869</v>
      </c>
      <c r="E459" s="108">
        <v>-28926.799999999999</v>
      </c>
      <c r="G459" s="108">
        <f t="shared" si="7"/>
        <v>-28926.799999999999</v>
      </c>
      <c r="H459" s="181" t="s">
        <v>80</v>
      </c>
    </row>
    <row r="460" spans="1:8">
      <c r="A460" s="108" t="s">
        <v>264</v>
      </c>
      <c r="B460" s="108">
        <v>-1279831.54</v>
      </c>
      <c r="C460" s="108">
        <v>639455</v>
      </c>
      <c r="D460" s="108">
        <v>517852</v>
      </c>
      <c r="E460" s="108">
        <v>-1158228.54</v>
      </c>
      <c r="G460" s="108">
        <f t="shared" si="7"/>
        <v>-1158228.54</v>
      </c>
      <c r="H460" s="109" t="s">
        <v>80</v>
      </c>
    </row>
    <row r="461" spans="1:8">
      <c r="A461" s="108" t="s">
        <v>258</v>
      </c>
      <c r="B461" s="108">
        <v>0</v>
      </c>
      <c r="C461" s="108">
        <v>12490</v>
      </c>
      <c r="D461" s="108">
        <v>12490</v>
      </c>
      <c r="E461" s="108">
        <v>0</v>
      </c>
      <c r="G461" s="108">
        <f t="shared" si="7"/>
        <v>0</v>
      </c>
      <c r="H461" s="109" t="s">
        <v>80</v>
      </c>
    </row>
    <row r="462" spans="1:8">
      <c r="A462" s="108" t="s">
        <v>730</v>
      </c>
      <c r="B462" s="108">
        <v>-9060315</v>
      </c>
      <c r="C462" s="108">
        <v>0</v>
      </c>
      <c r="D462" s="108">
        <v>0</v>
      </c>
      <c r="E462" s="108">
        <v>-9060315</v>
      </c>
      <c r="G462" s="108">
        <f t="shared" si="7"/>
        <v>-9060315</v>
      </c>
      <c r="H462" s="109" t="s">
        <v>80</v>
      </c>
    </row>
    <row r="463" spans="1:8">
      <c r="A463" s="108" t="s">
        <v>192</v>
      </c>
      <c r="B463" s="108">
        <v>-31239162.649999999</v>
      </c>
      <c r="C463" s="108">
        <v>29384046</v>
      </c>
      <c r="D463" s="108">
        <v>12893474.9</v>
      </c>
      <c r="E463" s="108">
        <v>-14748591.550000001</v>
      </c>
      <c r="G463" s="108">
        <f t="shared" si="7"/>
        <v>-14748591.550000001</v>
      </c>
      <c r="H463" s="109" t="s">
        <v>80</v>
      </c>
    </row>
    <row r="464" spans="1:8">
      <c r="A464" s="108" t="s">
        <v>731</v>
      </c>
      <c r="B464" s="108">
        <v>0</v>
      </c>
      <c r="C464" s="108">
        <v>335151</v>
      </c>
      <c r="D464" s="108">
        <v>335151</v>
      </c>
      <c r="E464" s="108">
        <v>0</v>
      </c>
      <c r="G464" s="108">
        <f t="shared" si="7"/>
        <v>0</v>
      </c>
      <c r="H464" s="109" t="s">
        <v>80</v>
      </c>
    </row>
    <row r="465" spans="1:8">
      <c r="A465" s="108" t="s">
        <v>733</v>
      </c>
      <c r="B465" s="108">
        <v>1</v>
      </c>
      <c r="C465" s="108">
        <v>0</v>
      </c>
      <c r="D465" s="108">
        <v>0</v>
      </c>
      <c r="E465" s="108">
        <v>1</v>
      </c>
      <c r="G465" s="108">
        <f t="shared" si="7"/>
        <v>1</v>
      </c>
      <c r="H465" s="109" t="s">
        <v>80</v>
      </c>
    </row>
    <row r="466" spans="1:8">
      <c r="A466" s="108" t="s">
        <v>734</v>
      </c>
      <c r="B466" s="108">
        <v>-11132423</v>
      </c>
      <c r="C466" s="108">
        <v>11132423</v>
      </c>
      <c r="D466" s="108">
        <v>0</v>
      </c>
      <c r="E466" s="108">
        <v>0</v>
      </c>
      <c r="G466" s="108">
        <f t="shared" si="7"/>
        <v>0</v>
      </c>
      <c r="H466" s="109" t="s">
        <v>80</v>
      </c>
    </row>
    <row r="467" spans="1:8">
      <c r="A467" s="108" t="s">
        <v>1170</v>
      </c>
      <c r="B467" s="108">
        <v>0</v>
      </c>
      <c r="C467" s="108">
        <v>0</v>
      </c>
      <c r="D467" s="108">
        <v>0</v>
      </c>
      <c r="E467" s="108">
        <v>0</v>
      </c>
      <c r="G467" s="108">
        <f t="shared" si="7"/>
        <v>0</v>
      </c>
      <c r="H467" s="109" t="s">
        <v>80</v>
      </c>
    </row>
    <row r="468" spans="1:8">
      <c r="A468" s="108" t="s">
        <v>735</v>
      </c>
      <c r="B468" s="108">
        <v>-6336</v>
      </c>
      <c r="C468" s="108">
        <v>0</v>
      </c>
      <c r="D468" s="108">
        <v>0</v>
      </c>
      <c r="E468" s="108">
        <v>-6336</v>
      </c>
      <c r="G468" s="108">
        <f t="shared" si="7"/>
        <v>-6336</v>
      </c>
      <c r="H468" s="109" t="s">
        <v>80</v>
      </c>
    </row>
    <row r="469" spans="1:8">
      <c r="A469" s="108" t="s">
        <v>483</v>
      </c>
      <c r="B469" s="108">
        <v>0</v>
      </c>
      <c r="C469" s="108">
        <v>0</v>
      </c>
      <c r="D469" s="108">
        <v>10535</v>
      </c>
      <c r="E469" s="108">
        <v>-10535</v>
      </c>
      <c r="G469" s="108">
        <f t="shared" si="7"/>
        <v>-10535</v>
      </c>
      <c r="H469" s="109" t="s">
        <v>80</v>
      </c>
    </row>
    <row r="470" spans="1:8">
      <c r="A470" s="108" t="s">
        <v>267</v>
      </c>
      <c r="B470" s="108">
        <v>-0.2</v>
      </c>
      <c r="C470" s="108">
        <v>0</v>
      </c>
      <c r="D470" s="108">
        <v>0</v>
      </c>
      <c r="E470" s="108">
        <v>-0.2</v>
      </c>
      <c r="G470" s="108">
        <f t="shared" si="7"/>
        <v>-0.2</v>
      </c>
      <c r="H470" s="109" t="s">
        <v>80</v>
      </c>
    </row>
    <row r="471" spans="1:8">
      <c r="A471" s="108" t="s">
        <v>227</v>
      </c>
      <c r="B471" s="108">
        <v>-15147</v>
      </c>
      <c r="C471" s="108">
        <v>15147</v>
      </c>
      <c r="D471" s="108">
        <v>28468</v>
      </c>
      <c r="E471" s="108">
        <v>-28468</v>
      </c>
      <c r="G471" s="108">
        <f t="shared" si="7"/>
        <v>-28468</v>
      </c>
      <c r="H471" s="109" t="s">
        <v>80</v>
      </c>
    </row>
    <row r="472" spans="1:8">
      <c r="A472" s="108" t="s">
        <v>736</v>
      </c>
      <c r="B472" s="108">
        <v>-135575</v>
      </c>
      <c r="C472" s="108">
        <v>135575</v>
      </c>
      <c r="D472" s="108">
        <v>135575</v>
      </c>
      <c r="E472" s="108">
        <v>-135575</v>
      </c>
      <c r="G472" s="108">
        <f t="shared" si="7"/>
        <v>-135575</v>
      </c>
      <c r="H472" s="109" t="s">
        <v>80</v>
      </c>
    </row>
    <row r="473" spans="1:8">
      <c r="A473" s="108" t="s">
        <v>1405</v>
      </c>
      <c r="B473" s="108">
        <v>0</v>
      </c>
      <c r="C473" s="108">
        <v>0</v>
      </c>
      <c r="D473" s="108">
        <v>0</v>
      </c>
      <c r="E473" s="108">
        <v>0</v>
      </c>
      <c r="G473" s="108">
        <f t="shared" si="7"/>
        <v>0</v>
      </c>
      <c r="H473" s="109" t="s">
        <v>80</v>
      </c>
    </row>
    <row r="474" spans="1:8">
      <c r="A474" s="108" t="s">
        <v>1174</v>
      </c>
      <c r="B474" s="108">
        <v>0</v>
      </c>
      <c r="C474" s="108">
        <v>0</v>
      </c>
      <c r="D474" s="108">
        <v>0</v>
      </c>
      <c r="E474" s="108">
        <v>0</v>
      </c>
      <c r="G474" s="108">
        <f t="shared" si="7"/>
        <v>0</v>
      </c>
      <c r="H474" s="109" t="s">
        <v>80</v>
      </c>
    </row>
    <row r="475" spans="1:8">
      <c r="A475" s="108" t="s">
        <v>200</v>
      </c>
      <c r="B475" s="108">
        <v>-92736</v>
      </c>
      <c r="C475" s="108">
        <v>92736</v>
      </c>
      <c r="D475" s="108">
        <v>0</v>
      </c>
      <c r="E475" s="108">
        <v>0</v>
      </c>
      <c r="G475" s="108">
        <f t="shared" si="7"/>
        <v>0</v>
      </c>
      <c r="H475" s="109" t="s">
        <v>80</v>
      </c>
    </row>
    <row r="476" spans="1:8">
      <c r="A476" s="108" t="s">
        <v>1175</v>
      </c>
      <c r="B476" s="108">
        <v>0</v>
      </c>
      <c r="C476" s="108">
        <v>0</v>
      </c>
      <c r="D476" s="108">
        <v>0</v>
      </c>
      <c r="E476" s="108">
        <v>0</v>
      </c>
      <c r="G476" s="108">
        <f t="shared" si="7"/>
        <v>0</v>
      </c>
      <c r="H476" s="109" t="s">
        <v>80</v>
      </c>
    </row>
    <row r="477" spans="1:8">
      <c r="A477" s="108" t="s">
        <v>177</v>
      </c>
      <c r="B477" s="108">
        <v>-633655.30000000005</v>
      </c>
      <c r="C477" s="108">
        <v>343798</v>
      </c>
      <c r="D477" s="108">
        <v>0</v>
      </c>
      <c r="E477" s="108">
        <v>-289857.3</v>
      </c>
      <c r="G477" s="108">
        <f t="shared" si="7"/>
        <v>-289857.3</v>
      </c>
      <c r="H477" s="109" t="s">
        <v>80</v>
      </c>
    </row>
    <row r="478" spans="1:8">
      <c r="A478" s="108" t="s">
        <v>172</v>
      </c>
      <c r="B478" s="108">
        <v>-72395.7</v>
      </c>
      <c r="C478" s="108">
        <v>0</v>
      </c>
      <c r="D478" s="108">
        <v>0</v>
      </c>
      <c r="E478" s="108">
        <v>-72395.7</v>
      </c>
      <c r="G478" s="108">
        <f t="shared" si="7"/>
        <v>-72395.7</v>
      </c>
      <c r="H478" s="109" t="s">
        <v>80</v>
      </c>
    </row>
    <row r="479" spans="1:8">
      <c r="A479" s="108" t="s">
        <v>171</v>
      </c>
      <c r="B479" s="108">
        <v>-65926.83</v>
      </c>
      <c r="C479" s="108">
        <v>0</v>
      </c>
      <c r="D479" s="108">
        <v>0</v>
      </c>
      <c r="E479" s="108">
        <v>-65926.83</v>
      </c>
      <c r="G479" s="108">
        <f t="shared" si="7"/>
        <v>-65926.83</v>
      </c>
      <c r="H479" s="109" t="s">
        <v>80</v>
      </c>
    </row>
    <row r="480" spans="1:8">
      <c r="A480" s="108" t="s">
        <v>157</v>
      </c>
      <c r="B480" s="108">
        <v>-479073.48</v>
      </c>
      <c r="C480" s="108">
        <v>479073.48</v>
      </c>
      <c r="D480" s="108">
        <v>0</v>
      </c>
      <c r="E480" s="108">
        <v>0</v>
      </c>
      <c r="G480" s="108">
        <f t="shared" si="7"/>
        <v>0</v>
      </c>
      <c r="H480" s="109" t="s">
        <v>80</v>
      </c>
    </row>
    <row r="481" spans="1:8">
      <c r="A481" s="108" t="s">
        <v>737</v>
      </c>
      <c r="B481" s="108">
        <v>-2985</v>
      </c>
      <c r="C481" s="108">
        <v>0</v>
      </c>
      <c r="D481" s="108">
        <v>0</v>
      </c>
      <c r="E481" s="108">
        <v>-2985</v>
      </c>
      <c r="G481" s="108">
        <f t="shared" si="7"/>
        <v>-2985</v>
      </c>
      <c r="H481" s="109" t="s">
        <v>80</v>
      </c>
    </row>
    <row r="482" spans="1:8">
      <c r="A482" s="108" t="s">
        <v>738</v>
      </c>
      <c r="B482" s="108">
        <v>-36573.800000000003</v>
      </c>
      <c r="C482" s="108">
        <v>0</v>
      </c>
      <c r="D482" s="108">
        <v>0</v>
      </c>
      <c r="E482" s="108">
        <v>-36573.800000000003</v>
      </c>
      <c r="G482" s="108">
        <f t="shared" si="7"/>
        <v>-36573.800000000003</v>
      </c>
      <c r="H482" s="109" t="s">
        <v>80</v>
      </c>
    </row>
    <row r="483" spans="1:8">
      <c r="A483" s="108" t="s">
        <v>1176</v>
      </c>
      <c r="B483" s="108">
        <v>0</v>
      </c>
      <c r="C483" s="108">
        <v>0</v>
      </c>
      <c r="D483" s="108">
        <v>0</v>
      </c>
      <c r="E483" s="108">
        <v>0</v>
      </c>
      <c r="G483" s="108">
        <f t="shared" si="7"/>
        <v>0</v>
      </c>
      <c r="H483" s="109" t="s">
        <v>80</v>
      </c>
    </row>
    <row r="484" spans="1:8">
      <c r="A484" s="108" t="s">
        <v>739</v>
      </c>
      <c r="B484" s="108">
        <v>47790</v>
      </c>
      <c r="C484" s="108">
        <v>0</v>
      </c>
      <c r="D484" s="108">
        <v>47790</v>
      </c>
      <c r="E484" s="108">
        <v>0</v>
      </c>
      <c r="G484" s="108">
        <f t="shared" si="7"/>
        <v>0</v>
      </c>
      <c r="H484" s="109" t="s">
        <v>80</v>
      </c>
    </row>
    <row r="485" spans="1:8">
      <c r="A485" s="108" t="s">
        <v>301</v>
      </c>
      <c r="B485" s="108">
        <v>-133056</v>
      </c>
      <c r="C485" s="108">
        <v>133056</v>
      </c>
      <c r="D485" s="108">
        <v>0</v>
      </c>
      <c r="E485" s="108">
        <v>0</v>
      </c>
      <c r="G485" s="108">
        <f t="shared" si="7"/>
        <v>0</v>
      </c>
      <c r="H485" s="109" t="s">
        <v>80</v>
      </c>
    </row>
    <row r="486" spans="1:8">
      <c r="A486" s="108" t="s">
        <v>302</v>
      </c>
      <c r="B486" s="108">
        <v>-31860</v>
      </c>
      <c r="C486" s="108">
        <v>0</v>
      </c>
      <c r="D486" s="108">
        <v>55224</v>
      </c>
      <c r="E486" s="108">
        <v>-87084</v>
      </c>
      <c r="G486" s="108">
        <f t="shared" si="7"/>
        <v>-87084</v>
      </c>
      <c r="H486" s="109" t="s">
        <v>80</v>
      </c>
    </row>
    <row r="487" spans="1:8">
      <c r="A487" s="108" t="s">
        <v>1177</v>
      </c>
      <c r="B487" s="108">
        <v>0</v>
      </c>
      <c r="C487" s="108">
        <v>0</v>
      </c>
      <c r="D487" s="108">
        <v>0</v>
      </c>
      <c r="E487" s="108">
        <v>0</v>
      </c>
      <c r="G487" s="108">
        <f t="shared" si="7"/>
        <v>0</v>
      </c>
      <c r="H487" s="109" t="s">
        <v>80</v>
      </c>
    </row>
    <row r="488" spans="1:8">
      <c r="A488" s="108" t="s">
        <v>1178</v>
      </c>
      <c r="B488" s="108">
        <v>0</v>
      </c>
      <c r="C488" s="108">
        <v>0</v>
      </c>
      <c r="D488" s="108">
        <v>0</v>
      </c>
      <c r="E488" s="108">
        <v>0</v>
      </c>
      <c r="G488" s="108">
        <f t="shared" si="7"/>
        <v>0</v>
      </c>
      <c r="H488" s="109" t="s">
        <v>80</v>
      </c>
    </row>
    <row r="489" spans="1:8">
      <c r="A489" s="108" t="s">
        <v>1406</v>
      </c>
      <c r="B489" s="108">
        <v>0</v>
      </c>
      <c r="C489" s="108">
        <v>0</v>
      </c>
      <c r="D489" s="108">
        <v>0</v>
      </c>
      <c r="E489" s="108">
        <v>0</v>
      </c>
      <c r="G489" s="108">
        <f t="shared" si="7"/>
        <v>0</v>
      </c>
      <c r="H489" s="109" t="s">
        <v>80</v>
      </c>
    </row>
    <row r="490" spans="1:8">
      <c r="A490" s="108" t="s">
        <v>279</v>
      </c>
      <c r="B490" s="108">
        <v>0</v>
      </c>
      <c r="C490" s="108">
        <v>0</v>
      </c>
      <c r="D490" s="108">
        <v>56994</v>
      </c>
      <c r="E490" s="108">
        <v>-56994</v>
      </c>
      <c r="G490" s="108">
        <f t="shared" si="7"/>
        <v>-56994</v>
      </c>
      <c r="H490" s="109" t="s">
        <v>80</v>
      </c>
    </row>
    <row r="491" spans="1:8">
      <c r="A491" s="108" t="s">
        <v>298</v>
      </c>
      <c r="B491" s="108">
        <v>-45937</v>
      </c>
      <c r="C491" s="108">
        <v>27562</v>
      </c>
      <c r="D491" s="108">
        <v>18375</v>
      </c>
      <c r="E491" s="108">
        <v>-36750</v>
      </c>
      <c r="G491" s="108">
        <f t="shared" si="7"/>
        <v>-36750</v>
      </c>
      <c r="H491" s="109" t="s">
        <v>80</v>
      </c>
    </row>
    <row r="492" spans="1:8">
      <c r="A492" s="108" t="s">
        <v>507</v>
      </c>
      <c r="B492" s="108">
        <v>0</v>
      </c>
      <c r="C492" s="108">
        <v>0</v>
      </c>
      <c r="D492" s="108">
        <v>44569</v>
      </c>
      <c r="E492" s="108">
        <v>-44569</v>
      </c>
      <c r="G492" s="108">
        <f t="shared" si="7"/>
        <v>-44569</v>
      </c>
      <c r="H492" s="109" t="s">
        <v>80</v>
      </c>
    </row>
    <row r="493" spans="1:8">
      <c r="A493" s="108" t="s">
        <v>740</v>
      </c>
      <c r="B493" s="108">
        <v>5168.22</v>
      </c>
      <c r="C493" s="108">
        <v>0</v>
      </c>
      <c r="D493" s="108">
        <v>0</v>
      </c>
      <c r="E493" s="108">
        <v>5168.22</v>
      </c>
      <c r="G493" s="108">
        <f t="shared" si="7"/>
        <v>5168.22</v>
      </c>
      <c r="H493" s="109" t="s">
        <v>80</v>
      </c>
    </row>
    <row r="494" spans="1:8">
      <c r="A494" s="108" t="s">
        <v>297</v>
      </c>
      <c r="B494" s="108">
        <v>-390771.28</v>
      </c>
      <c r="C494" s="108">
        <v>118549</v>
      </c>
      <c r="D494" s="108">
        <v>811162.88</v>
      </c>
      <c r="E494" s="108">
        <v>-1083385.1599999999</v>
      </c>
      <c r="G494" s="108">
        <f t="shared" si="7"/>
        <v>-1083385.1599999999</v>
      </c>
      <c r="H494" s="109" t="s">
        <v>80</v>
      </c>
    </row>
    <row r="495" spans="1:8">
      <c r="A495" s="108" t="s">
        <v>296</v>
      </c>
      <c r="B495" s="108">
        <v>-3203522</v>
      </c>
      <c r="C495" s="108">
        <v>0</v>
      </c>
      <c r="D495" s="108">
        <v>0</v>
      </c>
      <c r="E495" s="108">
        <v>-3203522</v>
      </c>
      <c r="G495" s="108">
        <f t="shared" si="7"/>
        <v>-3203522</v>
      </c>
      <c r="H495" s="109" t="s">
        <v>80</v>
      </c>
    </row>
    <row r="496" spans="1:8">
      <c r="A496" s="108" t="s">
        <v>478</v>
      </c>
      <c r="B496" s="108">
        <v>-1378</v>
      </c>
      <c r="C496" s="108">
        <v>0</v>
      </c>
      <c r="D496" s="108">
        <v>0</v>
      </c>
      <c r="E496" s="108">
        <v>-1378</v>
      </c>
      <c r="G496" s="108">
        <f t="shared" si="7"/>
        <v>-1378</v>
      </c>
      <c r="H496" s="109" t="s">
        <v>80</v>
      </c>
    </row>
    <row r="497" spans="1:8">
      <c r="A497" s="108" t="s">
        <v>1407</v>
      </c>
      <c r="B497" s="108">
        <v>0</v>
      </c>
      <c r="C497" s="108">
        <v>0</v>
      </c>
      <c r="D497" s="108">
        <v>0</v>
      </c>
      <c r="E497" s="108">
        <v>0</v>
      </c>
      <c r="G497" s="108">
        <f t="shared" si="7"/>
        <v>0</v>
      </c>
      <c r="H497" s="109" t="s">
        <v>80</v>
      </c>
    </row>
    <row r="498" spans="1:8">
      <c r="A498" s="108" t="s">
        <v>294</v>
      </c>
      <c r="B498" s="108">
        <v>-6785</v>
      </c>
      <c r="C498" s="108">
        <v>0</v>
      </c>
      <c r="D498" s="108">
        <v>0</v>
      </c>
      <c r="E498" s="108">
        <v>-6785</v>
      </c>
      <c r="G498" s="108">
        <f t="shared" si="7"/>
        <v>-6785</v>
      </c>
      <c r="H498" s="109" t="s">
        <v>80</v>
      </c>
    </row>
    <row r="499" spans="1:8">
      <c r="A499" s="108" t="s">
        <v>1181</v>
      </c>
      <c r="B499" s="108">
        <v>0</v>
      </c>
      <c r="C499" s="108">
        <v>0</v>
      </c>
      <c r="D499" s="108">
        <v>0</v>
      </c>
      <c r="E499" s="108">
        <v>0</v>
      </c>
      <c r="G499" s="108">
        <f t="shared" si="7"/>
        <v>0</v>
      </c>
      <c r="H499" s="109" t="s">
        <v>80</v>
      </c>
    </row>
    <row r="500" spans="1:8">
      <c r="A500" s="108" t="s">
        <v>741</v>
      </c>
      <c r="B500" s="108">
        <v>-0.5</v>
      </c>
      <c r="C500" s="108">
        <v>0</v>
      </c>
      <c r="D500" s="108">
        <v>0</v>
      </c>
      <c r="E500" s="108">
        <v>-0.5</v>
      </c>
      <c r="G500" s="108">
        <f t="shared" si="7"/>
        <v>-0.5</v>
      </c>
      <c r="H500" s="109" t="s">
        <v>80</v>
      </c>
    </row>
    <row r="501" spans="1:8">
      <c r="A501" s="108" t="s">
        <v>1182</v>
      </c>
      <c r="B501" s="108">
        <v>0</v>
      </c>
      <c r="C501" s="108">
        <v>0</v>
      </c>
      <c r="D501" s="108">
        <v>0</v>
      </c>
      <c r="E501" s="108">
        <v>0</v>
      </c>
      <c r="G501" s="108">
        <f t="shared" si="7"/>
        <v>0</v>
      </c>
      <c r="H501" s="109" t="s">
        <v>80</v>
      </c>
    </row>
    <row r="502" spans="1:8">
      <c r="A502" s="108" t="s">
        <v>295</v>
      </c>
      <c r="B502" s="108">
        <v>-6440</v>
      </c>
      <c r="C502" s="108">
        <v>0</v>
      </c>
      <c r="D502" s="108">
        <v>0</v>
      </c>
      <c r="E502" s="108">
        <v>-6440</v>
      </c>
      <c r="G502" s="108">
        <f t="shared" si="7"/>
        <v>-6440</v>
      </c>
      <c r="H502" s="109" t="s">
        <v>80</v>
      </c>
    </row>
    <row r="503" spans="1:8">
      <c r="A503" s="108" t="s">
        <v>1183</v>
      </c>
      <c r="B503" s="108">
        <v>0</v>
      </c>
      <c r="C503" s="108">
        <v>0</v>
      </c>
      <c r="D503" s="108">
        <v>0</v>
      </c>
      <c r="E503" s="108">
        <v>0</v>
      </c>
      <c r="G503" s="108">
        <f t="shared" si="7"/>
        <v>0</v>
      </c>
      <c r="H503" s="109" t="s">
        <v>80</v>
      </c>
    </row>
    <row r="504" spans="1:8">
      <c r="A504" s="108" t="s">
        <v>742</v>
      </c>
      <c r="B504" s="108">
        <v>-11769</v>
      </c>
      <c r="C504" s="108">
        <v>0</v>
      </c>
      <c r="D504" s="108">
        <v>0</v>
      </c>
      <c r="E504" s="108">
        <v>-11769</v>
      </c>
      <c r="G504" s="108">
        <f t="shared" si="7"/>
        <v>-11769</v>
      </c>
      <c r="H504" s="109" t="s">
        <v>80</v>
      </c>
    </row>
    <row r="505" spans="1:8">
      <c r="A505" s="108" t="s">
        <v>446</v>
      </c>
      <c r="B505" s="108">
        <v>29531.9</v>
      </c>
      <c r="C505" s="108">
        <v>0</v>
      </c>
      <c r="D505" s="108">
        <v>0</v>
      </c>
      <c r="E505" s="108">
        <v>29531.9</v>
      </c>
      <c r="G505" s="108">
        <f t="shared" si="7"/>
        <v>29531.9</v>
      </c>
      <c r="H505" s="109" t="s">
        <v>80</v>
      </c>
    </row>
    <row r="506" spans="1:8">
      <c r="A506" s="108" t="s">
        <v>743</v>
      </c>
      <c r="B506" s="108">
        <v>-95975.8</v>
      </c>
      <c r="C506" s="108">
        <v>0</v>
      </c>
      <c r="D506" s="108">
        <v>28622</v>
      </c>
      <c r="E506" s="108">
        <v>-124597.8</v>
      </c>
      <c r="G506" s="108">
        <f t="shared" si="7"/>
        <v>-124597.8</v>
      </c>
      <c r="H506" s="109" t="s">
        <v>80</v>
      </c>
    </row>
    <row r="507" spans="1:8">
      <c r="A507" s="108" t="s">
        <v>293</v>
      </c>
      <c r="B507" s="108">
        <v>-97297.53</v>
      </c>
      <c r="C507" s="108">
        <v>38570</v>
      </c>
      <c r="D507" s="108">
        <v>163809.98000000001</v>
      </c>
      <c r="E507" s="108">
        <v>-222537.51</v>
      </c>
      <c r="G507" s="108">
        <f t="shared" si="7"/>
        <v>-222537.51</v>
      </c>
      <c r="H507" s="109" t="s">
        <v>80</v>
      </c>
    </row>
    <row r="508" spans="1:8">
      <c r="A508" s="108" t="s">
        <v>1184</v>
      </c>
      <c r="B508" s="108">
        <v>0</v>
      </c>
      <c r="C508" s="108">
        <v>0</v>
      </c>
      <c r="D508" s="108">
        <v>0</v>
      </c>
      <c r="E508" s="108">
        <v>0</v>
      </c>
      <c r="G508" s="108">
        <f t="shared" si="7"/>
        <v>0</v>
      </c>
      <c r="H508" s="109" t="s">
        <v>80</v>
      </c>
    </row>
    <row r="509" spans="1:8">
      <c r="A509" s="108" t="s">
        <v>286</v>
      </c>
      <c r="B509" s="108">
        <v>0</v>
      </c>
      <c r="C509" s="108">
        <v>0</v>
      </c>
      <c r="D509" s="108">
        <v>33955</v>
      </c>
      <c r="E509" s="108">
        <v>-33955</v>
      </c>
      <c r="G509" s="108">
        <f t="shared" si="7"/>
        <v>-33955</v>
      </c>
      <c r="H509" s="109" t="s">
        <v>80</v>
      </c>
    </row>
    <row r="510" spans="1:8">
      <c r="A510" s="108" t="s">
        <v>744</v>
      </c>
      <c r="B510" s="108">
        <v>-0.05</v>
      </c>
      <c r="C510" s="108">
        <v>0</v>
      </c>
      <c r="D510" s="108">
        <v>0</v>
      </c>
      <c r="E510" s="108">
        <v>-0.05</v>
      </c>
      <c r="G510" s="108">
        <f t="shared" si="7"/>
        <v>-0.05</v>
      </c>
      <c r="H510" s="109" t="s">
        <v>80</v>
      </c>
    </row>
    <row r="511" spans="1:8">
      <c r="A511" s="108" t="s">
        <v>1185</v>
      </c>
      <c r="B511" s="108">
        <v>0</v>
      </c>
      <c r="C511" s="108">
        <v>0</v>
      </c>
      <c r="D511" s="108">
        <v>0</v>
      </c>
      <c r="E511" s="108">
        <v>0</v>
      </c>
      <c r="G511" s="108">
        <f t="shared" si="7"/>
        <v>0</v>
      </c>
      <c r="H511" s="109" t="s">
        <v>80</v>
      </c>
    </row>
    <row r="512" spans="1:8">
      <c r="A512" s="108" t="s">
        <v>287</v>
      </c>
      <c r="B512" s="108">
        <v>0.36</v>
      </c>
      <c r="C512" s="108">
        <v>0</v>
      </c>
      <c r="D512" s="108">
        <v>0</v>
      </c>
      <c r="E512" s="108">
        <v>0.36</v>
      </c>
      <c r="G512" s="108">
        <f t="shared" si="7"/>
        <v>0.36</v>
      </c>
      <c r="H512" s="109" t="s">
        <v>80</v>
      </c>
    </row>
    <row r="513" spans="1:8">
      <c r="A513" s="108" t="s">
        <v>288</v>
      </c>
      <c r="B513" s="108">
        <v>-55980.07</v>
      </c>
      <c r="C513" s="108">
        <v>16403</v>
      </c>
      <c r="D513" s="108">
        <v>25597</v>
      </c>
      <c r="E513" s="108">
        <v>-65174.07</v>
      </c>
      <c r="G513" s="108">
        <f t="shared" si="7"/>
        <v>-65174.07</v>
      </c>
      <c r="H513" s="109" t="s">
        <v>80</v>
      </c>
    </row>
    <row r="514" spans="1:8">
      <c r="A514" s="108" t="s">
        <v>1188</v>
      </c>
      <c r="B514" s="108">
        <v>0</v>
      </c>
      <c r="C514" s="108">
        <v>0</v>
      </c>
      <c r="D514" s="108">
        <v>0</v>
      </c>
      <c r="E514" s="108">
        <v>0</v>
      </c>
      <c r="G514" s="108">
        <f t="shared" si="7"/>
        <v>0</v>
      </c>
      <c r="H514" s="109" t="s">
        <v>80</v>
      </c>
    </row>
    <row r="515" spans="1:8">
      <c r="A515" s="108" t="s">
        <v>1408</v>
      </c>
      <c r="B515" s="108">
        <v>0</v>
      </c>
      <c r="C515" s="108">
        <v>0</v>
      </c>
      <c r="D515" s="108">
        <v>0</v>
      </c>
      <c r="E515" s="108">
        <v>0</v>
      </c>
      <c r="G515" s="108">
        <f t="shared" ref="G515:G578" si="8">E515+F515</f>
        <v>0</v>
      </c>
      <c r="H515" s="109" t="s">
        <v>80</v>
      </c>
    </row>
    <row r="516" spans="1:8">
      <c r="A516" s="108" t="s">
        <v>290</v>
      </c>
      <c r="B516" s="108">
        <v>-67376.240000000005</v>
      </c>
      <c r="C516" s="108">
        <v>0</v>
      </c>
      <c r="D516" s="108">
        <v>0</v>
      </c>
      <c r="E516" s="108">
        <v>-67376.240000000005</v>
      </c>
      <c r="G516" s="108">
        <f t="shared" si="8"/>
        <v>-67376.240000000005</v>
      </c>
      <c r="H516" s="109" t="s">
        <v>80</v>
      </c>
    </row>
    <row r="517" spans="1:8">
      <c r="A517" s="108" t="s">
        <v>284</v>
      </c>
      <c r="B517" s="108">
        <v>0.2</v>
      </c>
      <c r="C517" s="108">
        <v>0</v>
      </c>
      <c r="D517" s="108">
        <v>0</v>
      </c>
      <c r="E517" s="108">
        <v>0.2</v>
      </c>
      <c r="G517" s="108">
        <f t="shared" si="8"/>
        <v>0.2</v>
      </c>
      <c r="H517" s="109" t="s">
        <v>80</v>
      </c>
    </row>
    <row r="518" spans="1:8">
      <c r="A518" s="108" t="s">
        <v>745</v>
      </c>
      <c r="B518" s="108">
        <v>-16520</v>
      </c>
      <c r="C518" s="108">
        <v>0</v>
      </c>
      <c r="D518" s="108">
        <v>0</v>
      </c>
      <c r="E518" s="108">
        <v>-16520</v>
      </c>
      <c r="G518" s="108">
        <f t="shared" si="8"/>
        <v>-16520</v>
      </c>
      <c r="H518" s="109" t="s">
        <v>80</v>
      </c>
    </row>
    <row r="519" spans="1:8">
      <c r="A519" s="108" t="s">
        <v>1189</v>
      </c>
      <c r="B519" s="108">
        <v>0</v>
      </c>
      <c r="C519" s="108">
        <v>0</v>
      </c>
      <c r="D519" s="108">
        <v>0</v>
      </c>
      <c r="E519" s="108">
        <v>0</v>
      </c>
      <c r="G519" s="108">
        <f t="shared" si="8"/>
        <v>0</v>
      </c>
      <c r="H519" s="109" t="s">
        <v>80</v>
      </c>
    </row>
    <row r="520" spans="1:8">
      <c r="A520" s="108" t="s">
        <v>746</v>
      </c>
      <c r="B520" s="108">
        <v>-97707</v>
      </c>
      <c r="C520" s="108">
        <v>85650</v>
      </c>
      <c r="D520" s="108">
        <v>11787</v>
      </c>
      <c r="E520" s="108">
        <v>-23844</v>
      </c>
      <c r="G520" s="108">
        <f t="shared" si="8"/>
        <v>-23844</v>
      </c>
      <c r="H520" s="109" t="s">
        <v>80</v>
      </c>
    </row>
    <row r="521" spans="1:8">
      <c r="A521" s="108" t="s">
        <v>1190</v>
      </c>
      <c r="B521" s="108">
        <v>0</v>
      </c>
      <c r="C521" s="108">
        <v>0</v>
      </c>
      <c r="D521" s="108">
        <v>0</v>
      </c>
      <c r="E521" s="108">
        <v>0</v>
      </c>
      <c r="G521" s="108">
        <f t="shared" si="8"/>
        <v>0</v>
      </c>
      <c r="H521" s="109" t="s">
        <v>80</v>
      </c>
    </row>
    <row r="522" spans="1:8">
      <c r="A522" s="108" t="s">
        <v>281</v>
      </c>
      <c r="B522" s="108">
        <v>-63981.1</v>
      </c>
      <c r="C522" s="108">
        <v>62553</v>
      </c>
      <c r="D522" s="108">
        <v>70820</v>
      </c>
      <c r="E522" s="108">
        <v>-72248.100000000006</v>
      </c>
      <c r="G522" s="108">
        <f t="shared" si="8"/>
        <v>-72248.100000000006</v>
      </c>
      <c r="H522" s="109" t="s">
        <v>80</v>
      </c>
    </row>
    <row r="523" spans="1:8">
      <c r="A523" s="108" t="s">
        <v>278</v>
      </c>
      <c r="B523" s="108">
        <v>-427455</v>
      </c>
      <c r="C523" s="108">
        <v>0</v>
      </c>
      <c r="D523" s="108">
        <v>0</v>
      </c>
      <c r="E523" s="108">
        <v>-427455</v>
      </c>
      <c r="G523" s="108">
        <f t="shared" si="8"/>
        <v>-427455</v>
      </c>
      <c r="H523" s="109" t="s">
        <v>80</v>
      </c>
    </row>
    <row r="524" spans="1:8">
      <c r="A524" s="108" t="s">
        <v>274</v>
      </c>
      <c r="B524" s="108">
        <v>-99775.5</v>
      </c>
      <c r="C524" s="108">
        <v>5949</v>
      </c>
      <c r="D524" s="108">
        <v>34148</v>
      </c>
      <c r="E524" s="108">
        <v>-127974.5</v>
      </c>
      <c r="G524" s="108">
        <f t="shared" si="8"/>
        <v>-127974.5</v>
      </c>
      <c r="H524" s="109" t="s">
        <v>80</v>
      </c>
    </row>
    <row r="525" spans="1:8">
      <c r="A525" s="108" t="s">
        <v>275</v>
      </c>
      <c r="B525" s="108">
        <v>-407361.01</v>
      </c>
      <c r="C525" s="108">
        <v>29448</v>
      </c>
      <c r="D525" s="108">
        <v>87295</v>
      </c>
      <c r="E525" s="108">
        <v>-465208.01</v>
      </c>
      <c r="G525" s="108">
        <f t="shared" si="8"/>
        <v>-465208.01</v>
      </c>
      <c r="H525" s="109" t="s">
        <v>80</v>
      </c>
    </row>
    <row r="526" spans="1:8">
      <c r="A526" s="108" t="s">
        <v>276</v>
      </c>
      <c r="B526" s="108">
        <v>-1775316.58</v>
      </c>
      <c r="C526" s="108">
        <v>349910.41</v>
      </c>
      <c r="D526" s="108">
        <v>48746</v>
      </c>
      <c r="E526" s="108">
        <v>-1474152.17</v>
      </c>
      <c r="G526" s="108">
        <f t="shared" si="8"/>
        <v>-1474152.17</v>
      </c>
      <c r="H526" s="109" t="s">
        <v>80</v>
      </c>
    </row>
    <row r="527" spans="1:8">
      <c r="A527" s="108" t="s">
        <v>280</v>
      </c>
      <c r="B527" s="108">
        <v>-6136</v>
      </c>
      <c r="C527" s="108">
        <v>0</v>
      </c>
      <c r="D527" s="108">
        <v>0</v>
      </c>
      <c r="E527" s="108">
        <v>-6136</v>
      </c>
      <c r="G527" s="108">
        <f t="shared" si="8"/>
        <v>-6136</v>
      </c>
      <c r="H527" s="109" t="s">
        <v>80</v>
      </c>
    </row>
    <row r="528" spans="1:8">
      <c r="A528" s="108" t="s">
        <v>1409</v>
      </c>
      <c r="B528" s="108">
        <v>0</v>
      </c>
      <c r="C528" s="108">
        <v>0</v>
      </c>
      <c r="D528" s="108">
        <v>0</v>
      </c>
      <c r="E528" s="108">
        <v>0</v>
      </c>
      <c r="G528" s="108">
        <f t="shared" si="8"/>
        <v>0</v>
      </c>
      <c r="H528" s="109" t="s">
        <v>80</v>
      </c>
    </row>
    <row r="529" spans="1:8">
      <c r="A529" s="108" t="s">
        <v>454</v>
      </c>
      <c r="B529" s="108">
        <v>257505.5</v>
      </c>
      <c r="C529" s="108">
        <v>0</v>
      </c>
      <c r="D529" s="108">
        <v>0</v>
      </c>
      <c r="E529" s="108">
        <v>257505.5</v>
      </c>
      <c r="G529" s="108">
        <f t="shared" si="8"/>
        <v>257505.5</v>
      </c>
      <c r="H529" s="109" t="s">
        <v>80</v>
      </c>
    </row>
    <row r="530" spans="1:8">
      <c r="A530" s="108" t="s">
        <v>271</v>
      </c>
      <c r="B530" s="108">
        <v>-29832.6</v>
      </c>
      <c r="C530" s="108">
        <v>0</v>
      </c>
      <c r="D530" s="108">
        <v>0</v>
      </c>
      <c r="E530" s="108">
        <v>-29832.6</v>
      </c>
      <c r="G530" s="108">
        <f t="shared" si="8"/>
        <v>-29832.6</v>
      </c>
      <c r="H530" s="109" t="s">
        <v>80</v>
      </c>
    </row>
    <row r="531" spans="1:8">
      <c r="A531" s="108" t="s">
        <v>747</v>
      </c>
      <c r="B531" s="108">
        <v>-449535.74</v>
      </c>
      <c r="C531" s="108">
        <v>204092.44</v>
      </c>
      <c r="D531" s="108">
        <v>427848</v>
      </c>
      <c r="E531" s="108">
        <v>-673291.3</v>
      </c>
      <c r="G531" s="108">
        <f t="shared" si="8"/>
        <v>-673291.3</v>
      </c>
      <c r="H531" s="109" t="s">
        <v>80</v>
      </c>
    </row>
    <row r="532" spans="1:8">
      <c r="A532" s="108" t="s">
        <v>748</v>
      </c>
      <c r="B532" s="108">
        <v>-20650.5</v>
      </c>
      <c r="C532" s="108">
        <v>0</v>
      </c>
      <c r="D532" s="108">
        <v>0</v>
      </c>
      <c r="E532" s="108">
        <v>-20650.5</v>
      </c>
      <c r="G532" s="108">
        <f t="shared" si="8"/>
        <v>-20650.5</v>
      </c>
      <c r="H532" s="109" t="s">
        <v>80</v>
      </c>
    </row>
    <row r="533" spans="1:8">
      <c r="A533" s="108" t="s">
        <v>749</v>
      </c>
      <c r="B533" s="108">
        <v>-23187</v>
      </c>
      <c r="C533" s="108">
        <v>13216</v>
      </c>
      <c r="D533" s="108">
        <v>0</v>
      </c>
      <c r="E533" s="108">
        <v>-9971</v>
      </c>
      <c r="G533" s="108">
        <f t="shared" si="8"/>
        <v>-9971</v>
      </c>
      <c r="H533" s="109" t="s">
        <v>80</v>
      </c>
    </row>
    <row r="534" spans="1:8">
      <c r="A534" s="108" t="s">
        <v>750</v>
      </c>
      <c r="B534" s="108">
        <v>-851</v>
      </c>
      <c r="C534" s="108">
        <v>0</v>
      </c>
      <c r="D534" s="108">
        <v>0</v>
      </c>
      <c r="E534" s="108">
        <v>-851</v>
      </c>
      <c r="G534" s="108">
        <f t="shared" si="8"/>
        <v>-851</v>
      </c>
      <c r="H534" s="109" t="s">
        <v>80</v>
      </c>
    </row>
    <row r="535" spans="1:8">
      <c r="A535" s="108" t="s">
        <v>751</v>
      </c>
      <c r="B535" s="108">
        <v>-46728</v>
      </c>
      <c r="C535" s="108">
        <v>0</v>
      </c>
      <c r="D535" s="108">
        <v>143647</v>
      </c>
      <c r="E535" s="108">
        <v>-190375</v>
      </c>
      <c r="G535" s="108">
        <f t="shared" si="8"/>
        <v>-190375</v>
      </c>
      <c r="H535" s="109" t="s">
        <v>80</v>
      </c>
    </row>
    <row r="536" spans="1:8">
      <c r="A536" s="108" t="s">
        <v>752</v>
      </c>
      <c r="B536" s="108">
        <v>-12095</v>
      </c>
      <c r="C536" s="108">
        <v>0</v>
      </c>
      <c r="D536" s="108">
        <v>0</v>
      </c>
      <c r="E536" s="108">
        <v>-12095</v>
      </c>
      <c r="G536" s="108">
        <f t="shared" si="8"/>
        <v>-12095</v>
      </c>
      <c r="H536" s="109" t="s">
        <v>80</v>
      </c>
    </row>
    <row r="537" spans="1:8">
      <c r="A537" s="108" t="s">
        <v>753</v>
      </c>
      <c r="B537" s="108">
        <v>-1872</v>
      </c>
      <c r="C537" s="108">
        <v>0</v>
      </c>
      <c r="D537" s="108">
        <v>0</v>
      </c>
      <c r="E537" s="108">
        <v>-1872</v>
      </c>
      <c r="G537" s="108">
        <f t="shared" si="8"/>
        <v>-1872</v>
      </c>
      <c r="H537" s="109" t="s">
        <v>80</v>
      </c>
    </row>
    <row r="538" spans="1:8">
      <c r="A538" s="108" t="s">
        <v>455</v>
      </c>
      <c r="B538" s="108">
        <v>0</v>
      </c>
      <c r="C538" s="108">
        <v>0</v>
      </c>
      <c r="D538" s="108">
        <v>28586</v>
      </c>
      <c r="E538" s="108">
        <v>-28586</v>
      </c>
      <c r="G538" s="108">
        <f t="shared" si="8"/>
        <v>-28586</v>
      </c>
      <c r="H538" s="109" t="s">
        <v>80</v>
      </c>
    </row>
    <row r="539" spans="1:8">
      <c r="A539" s="108" t="s">
        <v>265</v>
      </c>
      <c r="B539" s="108">
        <v>0</v>
      </c>
      <c r="C539" s="108">
        <v>0</v>
      </c>
      <c r="D539" s="108">
        <v>525650.37</v>
      </c>
      <c r="E539" s="108">
        <v>-525650.37</v>
      </c>
      <c r="G539" s="108">
        <f t="shared" si="8"/>
        <v>-525650.37</v>
      </c>
      <c r="H539" s="109" t="s">
        <v>80</v>
      </c>
    </row>
    <row r="540" spans="1:8">
      <c r="A540" s="108" t="s">
        <v>754</v>
      </c>
      <c r="B540" s="108">
        <v>-2006</v>
      </c>
      <c r="C540" s="108">
        <v>0</v>
      </c>
      <c r="D540" s="108">
        <v>0</v>
      </c>
      <c r="E540" s="108">
        <v>-2006</v>
      </c>
      <c r="G540" s="108">
        <f t="shared" si="8"/>
        <v>-2006</v>
      </c>
      <c r="H540" s="109" t="s">
        <v>80</v>
      </c>
    </row>
    <row r="541" spans="1:8">
      <c r="A541" s="108" t="s">
        <v>527</v>
      </c>
      <c r="B541" s="108">
        <v>-55322.5</v>
      </c>
      <c r="C541" s="108">
        <v>0</v>
      </c>
      <c r="D541" s="108">
        <v>0</v>
      </c>
      <c r="E541" s="108">
        <v>-55322.5</v>
      </c>
      <c r="G541" s="108">
        <f t="shared" si="8"/>
        <v>-55322.5</v>
      </c>
      <c r="H541" s="109" t="s">
        <v>80</v>
      </c>
    </row>
    <row r="542" spans="1:8">
      <c r="A542" s="108" t="s">
        <v>1192</v>
      </c>
      <c r="B542" s="108">
        <v>0</v>
      </c>
      <c r="C542" s="108">
        <v>0</v>
      </c>
      <c r="D542" s="108">
        <v>0</v>
      </c>
      <c r="E542" s="108">
        <v>0</v>
      </c>
      <c r="G542" s="108">
        <f t="shared" si="8"/>
        <v>0</v>
      </c>
      <c r="H542" s="109" t="s">
        <v>80</v>
      </c>
    </row>
    <row r="543" spans="1:8">
      <c r="A543" s="108" t="s">
        <v>388</v>
      </c>
      <c r="B543" s="108">
        <v>-122909</v>
      </c>
      <c r="C543" s="108">
        <v>0</v>
      </c>
      <c r="D543" s="108">
        <v>0</v>
      </c>
      <c r="E543" s="108">
        <v>-122909</v>
      </c>
      <c r="G543" s="108">
        <f t="shared" si="8"/>
        <v>-122909</v>
      </c>
      <c r="H543" s="109" t="s">
        <v>80</v>
      </c>
    </row>
    <row r="544" spans="1:8">
      <c r="A544" s="108" t="s">
        <v>263</v>
      </c>
      <c r="B544" s="108">
        <v>-33816</v>
      </c>
      <c r="C544" s="108">
        <v>0</v>
      </c>
      <c r="D544" s="108">
        <v>17889</v>
      </c>
      <c r="E544" s="108">
        <v>-51705</v>
      </c>
      <c r="G544" s="108">
        <f t="shared" si="8"/>
        <v>-51705</v>
      </c>
      <c r="H544" s="109" t="s">
        <v>80</v>
      </c>
    </row>
    <row r="545" spans="1:8">
      <c r="A545" s="108" t="s">
        <v>403</v>
      </c>
      <c r="B545" s="108">
        <v>-11800</v>
      </c>
      <c r="C545" s="108">
        <v>11800</v>
      </c>
      <c r="D545" s="108">
        <v>0</v>
      </c>
      <c r="E545" s="108">
        <v>0</v>
      </c>
      <c r="G545" s="108">
        <f t="shared" si="8"/>
        <v>0</v>
      </c>
      <c r="H545" s="109" t="s">
        <v>80</v>
      </c>
    </row>
    <row r="546" spans="1:8">
      <c r="A546" s="108" t="s">
        <v>1193</v>
      </c>
      <c r="B546" s="108">
        <v>0</v>
      </c>
      <c r="C546" s="108">
        <v>0</v>
      </c>
      <c r="D546" s="108">
        <v>0</v>
      </c>
      <c r="E546" s="108">
        <v>0</v>
      </c>
      <c r="G546" s="108">
        <f t="shared" si="8"/>
        <v>0</v>
      </c>
      <c r="H546" s="109" t="s">
        <v>80</v>
      </c>
    </row>
    <row r="547" spans="1:8">
      <c r="A547" s="108" t="s">
        <v>1194</v>
      </c>
      <c r="B547" s="108">
        <v>0</v>
      </c>
      <c r="C547" s="108">
        <v>0</v>
      </c>
      <c r="D547" s="108">
        <v>0</v>
      </c>
      <c r="E547" s="108">
        <v>0</v>
      </c>
      <c r="G547" s="108">
        <f t="shared" si="8"/>
        <v>0</v>
      </c>
      <c r="H547" s="109" t="s">
        <v>80</v>
      </c>
    </row>
    <row r="548" spans="1:8">
      <c r="A548" s="108" t="s">
        <v>262</v>
      </c>
      <c r="B548" s="108">
        <v>-16862</v>
      </c>
      <c r="C548" s="108">
        <v>0</v>
      </c>
      <c r="D548" s="108">
        <v>4543</v>
      </c>
      <c r="E548" s="108">
        <v>-21405</v>
      </c>
      <c r="G548" s="108">
        <f t="shared" si="8"/>
        <v>-21405</v>
      </c>
      <c r="H548" s="109" t="s">
        <v>80</v>
      </c>
    </row>
    <row r="549" spans="1:8">
      <c r="A549" s="108" t="s">
        <v>452</v>
      </c>
      <c r="B549" s="108">
        <v>10968.82</v>
      </c>
      <c r="C549" s="108">
        <v>0</v>
      </c>
      <c r="D549" s="108">
        <v>11292.26</v>
      </c>
      <c r="E549" s="108">
        <v>-323.44</v>
      </c>
      <c r="G549" s="108">
        <f t="shared" si="8"/>
        <v>-323.44</v>
      </c>
      <c r="H549" s="109" t="s">
        <v>80</v>
      </c>
    </row>
    <row r="550" spans="1:8">
      <c r="A550" s="108" t="s">
        <v>259</v>
      </c>
      <c r="B550" s="108">
        <v>-1180</v>
      </c>
      <c r="C550" s="108">
        <v>0</v>
      </c>
      <c r="D550" s="108">
        <v>4130</v>
      </c>
      <c r="E550" s="108">
        <v>-5310</v>
      </c>
      <c r="G550" s="108">
        <f t="shared" si="8"/>
        <v>-5310</v>
      </c>
      <c r="H550" s="109" t="s">
        <v>80</v>
      </c>
    </row>
    <row r="551" spans="1:8">
      <c r="A551" s="108" t="s">
        <v>755</v>
      </c>
      <c r="B551" s="108">
        <v>-50551</v>
      </c>
      <c r="C551" s="108">
        <v>50551</v>
      </c>
      <c r="D551" s="108">
        <v>0</v>
      </c>
      <c r="E551" s="108">
        <v>0</v>
      </c>
      <c r="G551" s="108">
        <f t="shared" si="8"/>
        <v>0</v>
      </c>
      <c r="H551" s="109" t="s">
        <v>80</v>
      </c>
    </row>
    <row r="552" spans="1:8">
      <c r="A552" s="108" t="s">
        <v>756</v>
      </c>
      <c r="B552" s="108">
        <v>0</v>
      </c>
      <c r="C552" s="108">
        <v>0</v>
      </c>
      <c r="D552" s="108">
        <v>70375</v>
      </c>
      <c r="E552" s="108">
        <v>-70375</v>
      </c>
      <c r="G552" s="108">
        <f t="shared" si="8"/>
        <v>-70375</v>
      </c>
      <c r="H552" s="109" t="s">
        <v>80</v>
      </c>
    </row>
    <row r="553" spans="1:8">
      <c r="A553" s="108" t="s">
        <v>466</v>
      </c>
      <c r="B553" s="108">
        <v>-13803</v>
      </c>
      <c r="C553" s="108">
        <v>0</v>
      </c>
      <c r="D553" s="108">
        <v>0</v>
      </c>
      <c r="E553" s="108">
        <v>-13803</v>
      </c>
      <c r="G553" s="108">
        <f t="shared" si="8"/>
        <v>-13803</v>
      </c>
      <c r="H553" s="109" t="s">
        <v>80</v>
      </c>
    </row>
    <row r="554" spans="1:8">
      <c r="A554" s="108" t="s">
        <v>257</v>
      </c>
      <c r="B554" s="108">
        <v>-1523</v>
      </c>
      <c r="C554" s="108">
        <v>1523</v>
      </c>
      <c r="D554" s="108">
        <v>0</v>
      </c>
      <c r="E554" s="108">
        <v>0</v>
      </c>
      <c r="G554" s="108">
        <f t="shared" si="8"/>
        <v>0</v>
      </c>
      <c r="H554" s="109" t="s">
        <v>80</v>
      </c>
    </row>
    <row r="555" spans="1:8">
      <c r="A555" s="108" t="s">
        <v>385</v>
      </c>
      <c r="B555" s="108">
        <v>-17220</v>
      </c>
      <c r="C555" s="108">
        <v>0</v>
      </c>
      <c r="D555" s="108">
        <v>0</v>
      </c>
      <c r="E555" s="108">
        <v>-17220</v>
      </c>
      <c r="G555" s="108">
        <f t="shared" si="8"/>
        <v>-17220</v>
      </c>
      <c r="H555" s="109" t="s">
        <v>80</v>
      </c>
    </row>
    <row r="556" spans="1:8">
      <c r="A556" s="108" t="s">
        <v>256</v>
      </c>
      <c r="B556" s="108">
        <v>-49192.44</v>
      </c>
      <c r="C556" s="108">
        <v>49192.26</v>
      </c>
      <c r="D556" s="108">
        <v>31578.26</v>
      </c>
      <c r="E556" s="108">
        <v>-31578.44</v>
      </c>
      <c r="G556" s="108">
        <f t="shared" si="8"/>
        <v>-31578.44</v>
      </c>
      <c r="H556" s="109" t="s">
        <v>80</v>
      </c>
    </row>
    <row r="557" spans="1:8">
      <c r="A557" s="108" t="s">
        <v>255</v>
      </c>
      <c r="B557" s="108">
        <v>-9803.18</v>
      </c>
      <c r="C557" s="108">
        <v>29020.880000000001</v>
      </c>
      <c r="D557" s="108">
        <v>27165.09</v>
      </c>
      <c r="E557" s="108">
        <v>-7947.39</v>
      </c>
      <c r="G557" s="108">
        <f t="shared" si="8"/>
        <v>-7947.39</v>
      </c>
      <c r="H557" s="109" t="s">
        <v>80</v>
      </c>
    </row>
    <row r="558" spans="1:8">
      <c r="A558" s="108" t="s">
        <v>253</v>
      </c>
      <c r="B558" s="108">
        <v>-269120.09999999998</v>
      </c>
      <c r="C558" s="108">
        <v>0</v>
      </c>
      <c r="D558" s="108">
        <v>80138</v>
      </c>
      <c r="E558" s="108">
        <v>-349258.1</v>
      </c>
      <c r="G558" s="108">
        <f t="shared" si="8"/>
        <v>-349258.1</v>
      </c>
      <c r="H558" s="109" t="s">
        <v>80</v>
      </c>
    </row>
    <row r="559" spans="1:8">
      <c r="A559" s="108" t="s">
        <v>252</v>
      </c>
      <c r="B559" s="108">
        <v>-920</v>
      </c>
      <c r="C559" s="108">
        <v>920</v>
      </c>
      <c r="D559" s="108">
        <v>0</v>
      </c>
      <c r="E559" s="108">
        <v>0</v>
      </c>
      <c r="G559" s="108">
        <f t="shared" si="8"/>
        <v>0</v>
      </c>
      <c r="H559" s="109" t="s">
        <v>80</v>
      </c>
    </row>
    <row r="560" spans="1:8">
      <c r="A560" s="108" t="s">
        <v>757</v>
      </c>
      <c r="B560" s="108">
        <v>5133</v>
      </c>
      <c r="C560" s="108">
        <v>0</v>
      </c>
      <c r="D560" s="108">
        <v>0</v>
      </c>
      <c r="E560" s="108">
        <v>5133</v>
      </c>
      <c r="G560" s="108">
        <f t="shared" si="8"/>
        <v>5133</v>
      </c>
      <c r="H560" s="109" t="s">
        <v>80</v>
      </c>
    </row>
    <row r="561" spans="1:8">
      <c r="A561" s="108" t="s">
        <v>250</v>
      </c>
      <c r="B561" s="108">
        <v>-108360</v>
      </c>
      <c r="C561" s="108">
        <v>0</v>
      </c>
      <c r="D561" s="108">
        <v>21535</v>
      </c>
      <c r="E561" s="108">
        <v>-129895</v>
      </c>
      <c r="G561" s="108">
        <f t="shared" si="8"/>
        <v>-129895</v>
      </c>
      <c r="H561" s="109" t="s">
        <v>80</v>
      </c>
    </row>
    <row r="562" spans="1:8">
      <c r="A562" s="108" t="s">
        <v>462</v>
      </c>
      <c r="B562" s="108">
        <v>-30990</v>
      </c>
      <c r="C562" s="108">
        <v>28202</v>
      </c>
      <c r="D562" s="108">
        <v>26096</v>
      </c>
      <c r="E562" s="108">
        <v>-28884</v>
      </c>
      <c r="G562" s="108">
        <f t="shared" si="8"/>
        <v>-28884</v>
      </c>
      <c r="H562" s="109" t="s">
        <v>80</v>
      </c>
    </row>
    <row r="563" spans="1:8">
      <c r="A563" s="108" t="s">
        <v>1196</v>
      </c>
      <c r="B563" s="108">
        <v>0</v>
      </c>
      <c r="C563" s="108">
        <v>0</v>
      </c>
      <c r="D563" s="108">
        <v>0</v>
      </c>
      <c r="E563" s="108">
        <v>0</v>
      </c>
      <c r="G563" s="108">
        <f t="shared" si="8"/>
        <v>0</v>
      </c>
      <c r="H563" s="109" t="s">
        <v>80</v>
      </c>
    </row>
    <row r="564" spans="1:8">
      <c r="A564" s="108" t="s">
        <v>1410</v>
      </c>
      <c r="B564" s="108">
        <v>0</v>
      </c>
      <c r="C564" s="108">
        <v>0</v>
      </c>
      <c r="D564" s="108">
        <v>0</v>
      </c>
      <c r="E564" s="108">
        <v>0</v>
      </c>
      <c r="G564" s="108">
        <f t="shared" si="8"/>
        <v>0</v>
      </c>
      <c r="H564" s="109" t="s">
        <v>80</v>
      </c>
    </row>
    <row r="565" spans="1:8">
      <c r="A565" s="108" t="s">
        <v>758</v>
      </c>
      <c r="B565" s="108">
        <v>0.2</v>
      </c>
      <c r="C565" s="108">
        <v>0</v>
      </c>
      <c r="D565" s="108">
        <v>0</v>
      </c>
      <c r="E565" s="108">
        <v>0.2</v>
      </c>
      <c r="G565" s="108">
        <f t="shared" si="8"/>
        <v>0.2</v>
      </c>
      <c r="H565" s="109" t="s">
        <v>80</v>
      </c>
    </row>
    <row r="566" spans="1:8">
      <c r="A566" s="108" t="s">
        <v>246</v>
      </c>
      <c r="B566" s="108">
        <v>-0.5</v>
      </c>
      <c r="C566" s="108">
        <v>0</v>
      </c>
      <c r="D566" s="108">
        <v>0</v>
      </c>
      <c r="E566" s="108">
        <v>-0.5</v>
      </c>
      <c r="G566" s="108">
        <f t="shared" si="8"/>
        <v>-0.5</v>
      </c>
      <c r="H566" s="109" t="s">
        <v>80</v>
      </c>
    </row>
    <row r="567" spans="1:8">
      <c r="A567" s="108" t="s">
        <v>528</v>
      </c>
      <c r="B567" s="108">
        <v>-10684</v>
      </c>
      <c r="C567" s="108">
        <v>0</v>
      </c>
      <c r="D567" s="108">
        <v>0</v>
      </c>
      <c r="E567" s="108">
        <v>-10684</v>
      </c>
      <c r="G567" s="108">
        <f t="shared" si="8"/>
        <v>-10684</v>
      </c>
      <c r="H567" s="109" t="s">
        <v>80</v>
      </c>
    </row>
    <row r="568" spans="1:8">
      <c r="A568" s="108" t="s">
        <v>242</v>
      </c>
      <c r="B568" s="108">
        <v>-11800</v>
      </c>
      <c r="C568" s="108">
        <v>11800</v>
      </c>
      <c r="D568" s="108">
        <v>0</v>
      </c>
      <c r="E568" s="108">
        <v>0</v>
      </c>
      <c r="G568" s="108">
        <f t="shared" si="8"/>
        <v>0</v>
      </c>
      <c r="H568" s="109" t="s">
        <v>80</v>
      </c>
    </row>
    <row r="569" spans="1:8">
      <c r="A569" s="108" t="s">
        <v>1197</v>
      </c>
      <c r="B569" s="108">
        <v>0</v>
      </c>
      <c r="C569" s="108">
        <v>0</v>
      </c>
      <c r="D569" s="108">
        <v>0</v>
      </c>
      <c r="E569" s="108">
        <v>0</v>
      </c>
      <c r="G569" s="108">
        <f t="shared" si="8"/>
        <v>0</v>
      </c>
      <c r="H569" s="109" t="s">
        <v>80</v>
      </c>
    </row>
    <row r="570" spans="1:8">
      <c r="A570" s="108" t="s">
        <v>467</v>
      </c>
      <c r="B570" s="108">
        <v>-15882.8</v>
      </c>
      <c r="C570" s="108">
        <v>15882.8</v>
      </c>
      <c r="D570" s="108">
        <v>0</v>
      </c>
      <c r="E570" s="108">
        <v>0</v>
      </c>
      <c r="G570" s="108">
        <f t="shared" si="8"/>
        <v>0</v>
      </c>
      <c r="H570" s="109" t="s">
        <v>80</v>
      </c>
    </row>
    <row r="571" spans="1:8">
      <c r="A571" s="108" t="s">
        <v>1411</v>
      </c>
      <c r="B571" s="108">
        <v>0</v>
      </c>
      <c r="C571" s="108">
        <v>0</v>
      </c>
      <c r="D571" s="108">
        <v>0</v>
      </c>
      <c r="E571" s="108">
        <v>0</v>
      </c>
      <c r="G571" s="108">
        <f t="shared" si="8"/>
        <v>0</v>
      </c>
      <c r="H571" s="109" t="s">
        <v>80</v>
      </c>
    </row>
    <row r="572" spans="1:8">
      <c r="A572" s="108" t="s">
        <v>759</v>
      </c>
      <c r="B572" s="108">
        <v>-53100</v>
      </c>
      <c r="C572" s="108">
        <v>0</v>
      </c>
      <c r="D572" s="108">
        <v>90034</v>
      </c>
      <c r="E572" s="108">
        <v>-143134</v>
      </c>
      <c r="G572" s="108">
        <f t="shared" si="8"/>
        <v>-143134</v>
      </c>
      <c r="H572" s="109" t="s">
        <v>80</v>
      </c>
    </row>
    <row r="573" spans="1:8">
      <c r="A573" s="108" t="s">
        <v>760</v>
      </c>
      <c r="B573" s="108">
        <v>-8942.01</v>
      </c>
      <c r="C573" s="108">
        <v>0</v>
      </c>
      <c r="D573" s="108">
        <v>0</v>
      </c>
      <c r="E573" s="108">
        <v>-8942.01</v>
      </c>
      <c r="G573" s="108">
        <f t="shared" si="8"/>
        <v>-8942.01</v>
      </c>
      <c r="H573" s="109" t="s">
        <v>80</v>
      </c>
    </row>
    <row r="574" spans="1:8">
      <c r="A574" s="108" t="s">
        <v>236</v>
      </c>
      <c r="B574" s="108">
        <v>3337</v>
      </c>
      <c r="C574" s="108">
        <v>0</v>
      </c>
      <c r="D574" s="108">
        <v>0</v>
      </c>
      <c r="E574" s="108">
        <v>3337</v>
      </c>
      <c r="G574" s="108">
        <f t="shared" si="8"/>
        <v>3337</v>
      </c>
      <c r="H574" s="109" t="s">
        <v>80</v>
      </c>
    </row>
    <row r="575" spans="1:8">
      <c r="A575" s="108" t="s">
        <v>434</v>
      </c>
      <c r="B575" s="108">
        <v>0</v>
      </c>
      <c r="C575" s="108">
        <v>0</v>
      </c>
      <c r="D575" s="108">
        <v>17081</v>
      </c>
      <c r="E575" s="108">
        <v>-17081</v>
      </c>
      <c r="G575" s="108">
        <f t="shared" si="8"/>
        <v>-17081</v>
      </c>
      <c r="H575" s="109" t="s">
        <v>80</v>
      </c>
    </row>
    <row r="576" spans="1:8">
      <c r="A576" s="108" t="s">
        <v>238</v>
      </c>
      <c r="B576" s="108">
        <v>-4528.3999999999996</v>
      </c>
      <c r="C576" s="108">
        <v>2507</v>
      </c>
      <c r="D576" s="108">
        <v>0</v>
      </c>
      <c r="E576" s="108">
        <v>-2021.4</v>
      </c>
      <c r="G576" s="108">
        <f t="shared" si="8"/>
        <v>-2021.4</v>
      </c>
      <c r="H576" s="109" t="s">
        <v>80</v>
      </c>
    </row>
    <row r="577" spans="1:8">
      <c r="A577" s="108" t="s">
        <v>457</v>
      </c>
      <c r="B577" s="108">
        <v>-500</v>
      </c>
      <c r="C577" s="108">
        <v>0</v>
      </c>
      <c r="D577" s="108">
        <v>0</v>
      </c>
      <c r="E577" s="108">
        <v>-500</v>
      </c>
      <c r="G577" s="108">
        <f t="shared" si="8"/>
        <v>-500</v>
      </c>
      <c r="H577" s="109" t="s">
        <v>80</v>
      </c>
    </row>
    <row r="578" spans="1:8">
      <c r="A578" s="108" t="s">
        <v>761</v>
      </c>
      <c r="B578" s="108">
        <v>0</v>
      </c>
      <c r="C578" s="108">
        <v>0</v>
      </c>
      <c r="D578" s="108">
        <v>1534</v>
      </c>
      <c r="E578" s="108">
        <v>-1534</v>
      </c>
      <c r="G578" s="108">
        <f t="shared" si="8"/>
        <v>-1534</v>
      </c>
      <c r="H578" s="109" t="s">
        <v>80</v>
      </c>
    </row>
    <row r="579" spans="1:8">
      <c r="A579" s="108" t="s">
        <v>1198</v>
      </c>
      <c r="B579" s="108">
        <v>0</v>
      </c>
      <c r="C579" s="108">
        <v>0</v>
      </c>
      <c r="D579" s="108">
        <v>0</v>
      </c>
      <c r="E579" s="108">
        <v>0</v>
      </c>
      <c r="G579" s="108">
        <f t="shared" ref="G579:G642" si="9">E579+F579</f>
        <v>0</v>
      </c>
      <c r="H579" s="109" t="s">
        <v>80</v>
      </c>
    </row>
    <row r="580" spans="1:8">
      <c r="A580" s="108" t="s">
        <v>233</v>
      </c>
      <c r="B580" s="108">
        <v>-130013</v>
      </c>
      <c r="C580" s="108">
        <v>0</v>
      </c>
      <c r="D580" s="108">
        <v>71545</v>
      </c>
      <c r="E580" s="108">
        <v>-201558</v>
      </c>
      <c r="G580" s="108">
        <f t="shared" si="9"/>
        <v>-201558</v>
      </c>
      <c r="H580" s="109" t="s">
        <v>80</v>
      </c>
    </row>
    <row r="581" spans="1:8">
      <c r="A581" s="108" t="s">
        <v>229</v>
      </c>
      <c r="B581" s="108">
        <v>-7646.4</v>
      </c>
      <c r="C581" s="108">
        <v>0</v>
      </c>
      <c r="D581" s="108">
        <v>1947</v>
      </c>
      <c r="E581" s="108">
        <v>-9593.4</v>
      </c>
      <c r="G581" s="108">
        <f t="shared" si="9"/>
        <v>-9593.4</v>
      </c>
      <c r="H581" s="109" t="s">
        <v>80</v>
      </c>
    </row>
    <row r="582" spans="1:8">
      <c r="A582" s="108" t="s">
        <v>230</v>
      </c>
      <c r="B582" s="108">
        <v>-29064</v>
      </c>
      <c r="C582" s="108">
        <v>4213</v>
      </c>
      <c r="D582" s="108">
        <v>5782</v>
      </c>
      <c r="E582" s="108">
        <v>-30633</v>
      </c>
      <c r="G582" s="108">
        <f t="shared" si="9"/>
        <v>-30633</v>
      </c>
      <c r="H582" s="109" t="s">
        <v>80</v>
      </c>
    </row>
    <row r="583" spans="1:8">
      <c r="A583" s="108" t="s">
        <v>1199</v>
      </c>
      <c r="B583" s="108">
        <v>0</v>
      </c>
      <c r="C583" s="108">
        <v>0</v>
      </c>
      <c r="D583" s="108">
        <v>0</v>
      </c>
      <c r="E583" s="108">
        <v>0</v>
      </c>
      <c r="G583" s="108">
        <f t="shared" si="9"/>
        <v>0</v>
      </c>
      <c r="H583" s="109" t="s">
        <v>80</v>
      </c>
    </row>
    <row r="584" spans="1:8">
      <c r="A584" s="108" t="s">
        <v>232</v>
      </c>
      <c r="B584" s="108">
        <v>-42959</v>
      </c>
      <c r="C584" s="108">
        <v>20995</v>
      </c>
      <c r="D584" s="108">
        <v>0</v>
      </c>
      <c r="E584" s="108">
        <v>-21964</v>
      </c>
      <c r="G584" s="108">
        <f t="shared" si="9"/>
        <v>-21964</v>
      </c>
      <c r="H584" s="109" t="s">
        <v>80</v>
      </c>
    </row>
    <row r="585" spans="1:8">
      <c r="A585" s="108" t="s">
        <v>469</v>
      </c>
      <c r="B585" s="108">
        <v>-3894</v>
      </c>
      <c r="C585" s="108">
        <v>3894</v>
      </c>
      <c r="D585" s="108">
        <v>1947</v>
      </c>
      <c r="E585" s="108">
        <v>-1947</v>
      </c>
      <c r="G585" s="108">
        <f t="shared" si="9"/>
        <v>-1947</v>
      </c>
      <c r="H585" s="109" t="s">
        <v>80</v>
      </c>
    </row>
    <row r="586" spans="1:8">
      <c r="A586" s="108" t="s">
        <v>508</v>
      </c>
      <c r="B586" s="108">
        <v>-1357</v>
      </c>
      <c r="C586" s="108">
        <v>0</v>
      </c>
      <c r="D586" s="108">
        <v>0</v>
      </c>
      <c r="E586" s="108">
        <v>-1357</v>
      </c>
      <c r="G586" s="108">
        <f t="shared" si="9"/>
        <v>-1357</v>
      </c>
      <c r="H586" s="109" t="s">
        <v>80</v>
      </c>
    </row>
    <row r="587" spans="1:8">
      <c r="A587" s="108" t="s">
        <v>1202</v>
      </c>
      <c r="B587" s="108">
        <v>0</v>
      </c>
      <c r="C587" s="108">
        <v>0</v>
      </c>
      <c r="D587" s="108">
        <v>0</v>
      </c>
      <c r="E587" s="108">
        <v>0</v>
      </c>
      <c r="G587" s="108">
        <f t="shared" si="9"/>
        <v>0</v>
      </c>
      <c r="H587" s="109" t="s">
        <v>80</v>
      </c>
    </row>
    <row r="588" spans="1:8">
      <c r="A588" s="108" t="s">
        <v>226</v>
      </c>
      <c r="B588" s="108">
        <v>-8574</v>
      </c>
      <c r="C588" s="108">
        <v>0</v>
      </c>
      <c r="D588" s="108">
        <v>0</v>
      </c>
      <c r="E588" s="108">
        <v>-8574</v>
      </c>
      <c r="G588" s="108">
        <f t="shared" si="9"/>
        <v>-8574</v>
      </c>
      <c r="H588" s="109" t="s">
        <v>80</v>
      </c>
    </row>
    <row r="589" spans="1:8">
      <c r="A589" s="108" t="s">
        <v>1203</v>
      </c>
      <c r="B589" s="108">
        <v>0</v>
      </c>
      <c r="C589" s="108">
        <v>0</v>
      </c>
      <c r="D589" s="108">
        <v>0</v>
      </c>
      <c r="E589" s="108">
        <v>0</v>
      </c>
      <c r="G589" s="108">
        <f t="shared" si="9"/>
        <v>0</v>
      </c>
      <c r="H589" s="109" t="s">
        <v>80</v>
      </c>
    </row>
    <row r="590" spans="1:8">
      <c r="A590" s="108" t="s">
        <v>228</v>
      </c>
      <c r="B590" s="108">
        <v>-11611.8</v>
      </c>
      <c r="C590" s="108">
        <v>1239</v>
      </c>
      <c r="D590" s="108">
        <v>1239</v>
      </c>
      <c r="E590" s="108">
        <v>-11611.8</v>
      </c>
      <c r="G590" s="108">
        <f t="shared" si="9"/>
        <v>-11611.8</v>
      </c>
      <c r="H590" s="109" t="s">
        <v>80</v>
      </c>
    </row>
    <row r="591" spans="1:8">
      <c r="A591" s="108" t="s">
        <v>1412</v>
      </c>
      <c r="B591" s="108">
        <v>0</v>
      </c>
      <c r="C591" s="108">
        <v>0</v>
      </c>
      <c r="D591" s="108">
        <v>0</v>
      </c>
      <c r="E591" s="108">
        <v>0</v>
      </c>
      <c r="G591" s="108">
        <f t="shared" si="9"/>
        <v>0</v>
      </c>
      <c r="H591" s="109" t="s">
        <v>80</v>
      </c>
    </row>
    <row r="592" spans="1:8">
      <c r="A592" s="108" t="s">
        <v>401</v>
      </c>
      <c r="B592" s="108">
        <v>-438567.49</v>
      </c>
      <c r="C592" s="108">
        <v>431733.52</v>
      </c>
      <c r="D592" s="108">
        <v>20817.32</v>
      </c>
      <c r="E592" s="108">
        <v>-27651.29</v>
      </c>
      <c r="G592" s="108">
        <f t="shared" si="9"/>
        <v>-27651.29</v>
      </c>
      <c r="H592" s="109" t="s">
        <v>80</v>
      </c>
    </row>
    <row r="593" spans="1:8">
      <c r="A593" s="108" t="s">
        <v>402</v>
      </c>
      <c r="B593" s="108">
        <v>212861.49</v>
      </c>
      <c r="C593" s="108">
        <v>184704.02</v>
      </c>
      <c r="D593" s="108">
        <v>5537.16</v>
      </c>
      <c r="E593" s="108">
        <v>392028.35</v>
      </c>
      <c r="G593" s="108">
        <f t="shared" si="9"/>
        <v>392028.35</v>
      </c>
      <c r="H593" s="109" t="s">
        <v>80</v>
      </c>
    </row>
    <row r="594" spans="1:8">
      <c r="A594" s="108" t="s">
        <v>1205</v>
      </c>
      <c r="B594" s="108">
        <v>0</v>
      </c>
      <c r="C594" s="108">
        <v>0</v>
      </c>
      <c r="D594" s="108">
        <v>0</v>
      </c>
      <c r="E594" s="108">
        <v>0</v>
      </c>
      <c r="G594" s="108">
        <f t="shared" si="9"/>
        <v>0</v>
      </c>
      <c r="H594" s="109" t="s">
        <v>80</v>
      </c>
    </row>
    <row r="595" spans="1:8">
      <c r="A595" s="108" t="s">
        <v>1206</v>
      </c>
      <c r="B595" s="108">
        <v>0</v>
      </c>
      <c r="C595" s="108">
        <v>0</v>
      </c>
      <c r="D595" s="108">
        <v>0</v>
      </c>
      <c r="E595" s="108">
        <v>0</v>
      </c>
      <c r="G595" s="108">
        <f t="shared" si="9"/>
        <v>0</v>
      </c>
      <c r="H595" s="109" t="s">
        <v>80</v>
      </c>
    </row>
    <row r="596" spans="1:8">
      <c r="A596" s="108" t="s">
        <v>225</v>
      </c>
      <c r="B596" s="108">
        <v>-0.05</v>
      </c>
      <c r="C596" s="108">
        <v>0</v>
      </c>
      <c r="D596" s="108">
        <v>0</v>
      </c>
      <c r="E596" s="108">
        <v>-0.05</v>
      </c>
      <c r="G596" s="108">
        <f t="shared" si="9"/>
        <v>-0.05</v>
      </c>
      <c r="H596" s="109" t="s">
        <v>80</v>
      </c>
    </row>
    <row r="597" spans="1:8">
      <c r="A597" s="108" t="s">
        <v>1413</v>
      </c>
      <c r="B597" s="108">
        <v>0</v>
      </c>
      <c r="C597" s="108">
        <v>0</v>
      </c>
      <c r="D597" s="108">
        <v>0</v>
      </c>
      <c r="E597" s="108">
        <v>0</v>
      </c>
      <c r="G597" s="108">
        <f t="shared" si="9"/>
        <v>0</v>
      </c>
      <c r="H597" s="109" t="s">
        <v>80</v>
      </c>
    </row>
    <row r="598" spans="1:8">
      <c r="A598" s="108" t="s">
        <v>1414</v>
      </c>
      <c r="B598" s="108">
        <v>0</v>
      </c>
      <c r="C598" s="108">
        <v>0</v>
      </c>
      <c r="D598" s="108">
        <v>0</v>
      </c>
      <c r="E598" s="108">
        <v>0</v>
      </c>
      <c r="G598" s="108">
        <f t="shared" si="9"/>
        <v>0</v>
      </c>
      <c r="H598" s="109" t="s">
        <v>80</v>
      </c>
    </row>
    <row r="599" spans="1:8">
      <c r="A599" s="108" t="s">
        <v>521</v>
      </c>
      <c r="B599" s="108">
        <v>0</v>
      </c>
      <c r="C599" s="108">
        <v>0</v>
      </c>
      <c r="D599" s="108">
        <v>23010</v>
      </c>
      <c r="E599" s="108">
        <v>-23010</v>
      </c>
      <c r="G599" s="108">
        <f t="shared" si="9"/>
        <v>-23010</v>
      </c>
      <c r="H599" s="109" t="s">
        <v>80</v>
      </c>
    </row>
    <row r="600" spans="1:8">
      <c r="A600" s="108" t="s">
        <v>762</v>
      </c>
      <c r="B600" s="108">
        <v>-0.24</v>
      </c>
      <c r="C600" s="108">
        <v>0</v>
      </c>
      <c r="D600" s="108">
        <v>0</v>
      </c>
      <c r="E600" s="108">
        <v>-0.24</v>
      </c>
      <c r="G600" s="108">
        <f t="shared" si="9"/>
        <v>-0.24</v>
      </c>
      <c r="H600" s="109" t="s">
        <v>80</v>
      </c>
    </row>
    <row r="601" spans="1:8">
      <c r="A601" s="108" t="s">
        <v>763</v>
      </c>
      <c r="B601" s="108">
        <v>-8083</v>
      </c>
      <c r="C601" s="108">
        <v>0</v>
      </c>
      <c r="D601" s="108">
        <v>2655</v>
      </c>
      <c r="E601" s="108">
        <v>-10738</v>
      </c>
      <c r="G601" s="108">
        <f t="shared" si="9"/>
        <v>-10738</v>
      </c>
      <c r="H601" s="109" t="s">
        <v>80</v>
      </c>
    </row>
    <row r="602" spans="1:8">
      <c r="A602" s="108" t="s">
        <v>223</v>
      </c>
      <c r="B602" s="108">
        <v>0.23</v>
      </c>
      <c r="C602" s="108">
        <v>0</v>
      </c>
      <c r="D602" s="108">
        <v>0</v>
      </c>
      <c r="E602" s="108">
        <v>0.23</v>
      </c>
      <c r="G602" s="108">
        <f t="shared" si="9"/>
        <v>0.23</v>
      </c>
      <c r="H602" s="109" t="s">
        <v>80</v>
      </c>
    </row>
    <row r="603" spans="1:8">
      <c r="A603" s="108" t="s">
        <v>764</v>
      </c>
      <c r="B603" s="108">
        <v>-1449</v>
      </c>
      <c r="C603" s="108">
        <v>0</v>
      </c>
      <c r="D603" s="108">
        <v>83190</v>
      </c>
      <c r="E603" s="108">
        <v>-84639</v>
      </c>
      <c r="G603" s="108">
        <f t="shared" si="9"/>
        <v>-84639</v>
      </c>
      <c r="H603" s="109" t="s">
        <v>80</v>
      </c>
    </row>
    <row r="604" spans="1:8">
      <c r="A604" s="108" t="s">
        <v>765</v>
      </c>
      <c r="B604" s="108">
        <v>0</v>
      </c>
      <c r="C604" s="108">
        <v>33163</v>
      </c>
      <c r="D604" s="108">
        <v>45175</v>
      </c>
      <c r="E604" s="108">
        <v>-12012</v>
      </c>
      <c r="G604" s="108">
        <f t="shared" si="9"/>
        <v>-12012</v>
      </c>
      <c r="H604" s="109" t="s">
        <v>80</v>
      </c>
    </row>
    <row r="605" spans="1:8">
      <c r="A605" s="108" t="s">
        <v>766</v>
      </c>
      <c r="B605" s="108">
        <v>5550</v>
      </c>
      <c r="C605" s="108">
        <v>0</v>
      </c>
      <c r="D605" s="108">
        <v>0</v>
      </c>
      <c r="E605" s="108">
        <v>5550</v>
      </c>
      <c r="G605" s="108">
        <f t="shared" si="9"/>
        <v>5550</v>
      </c>
      <c r="H605" s="109" t="s">
        <v>80</v>
      </c>
    </row>
    <row r="606" spans="1:8">
      <c r="A606" s="108" t="s">
        <v>458</v>
      </c>
      <c r="B606" s="108">
        <v>-632</v>
      </c>
      <c r="C606" s="108">
        <v>0</v>
      </c>
      <c r="D606" s="108">
        <v>11894</v>
      </c>
      <c r="E606" s="108">
        <v>-12526</v>
      </c>
      <c r="G606" s="108">
        <f t="shared" si="9"/>
        <v>-12526</v>
      </c>
      <c r="H606" s="109" t="s">
        <v>80</v>
      </c>
    </row>
    <row r="607" spans="1:8">
      <c r="A607" s="108" t="s">
        <v>220</v>
      </c>
      <c r="B607" s="108">
        <v>-94425</v>
      </c>
      <c r="C607" s="108">
        <v>38166</v>
      </c>
      <c r="D607" s="108">
        <v>168150</v>
      </c>
      <c r="E607" s="108">
        <v>-224409</v>
      </c>
      <c r="G607" s="108">
        <f t="shared" si="9"/>
        <v>-224409</v>
      </c>
      <c r="H607" s="181" t="s">
        <v>80</v>
      </c>
    </row>
    <row r="608" spans="1:8">
      <c r="A608" s="108" t="s">
        <v>445</v>
      </c>
      <c r="B608" s="108">
        <v>-66080</v>
      </c>
      <c r="C608" s="108">
        <v>66080</v>
      </c>
      <c r="D608" s="108">
        <v>0</v>
      </c>
      <c r="E608" s="108">
        <v>0</v>
      </c>
      <c r="G608" s="108">
        <f t="shared" si="9"/>
        <v>0</v>
      </c>
      <c r="H608" s="109" t="s">
        <v>80</v>
      </c>
    </row>
    <row r="609" spans="1:8">
      <c r="A609" s="108" t="s">
        <v>219</v>
      </c>
      <c r="B609" s="108">
        <v>0</v>
      </c>
      <c r="C609" s="108">
        <v>0</v>
      </c>
      <c r="D609" s="108">
        <v>46020</v>
      </c>
      <c r="E609" s="108">
        <v>-46020</v>
      </c>
      <c r="G609" s="108">
        <f t="shared" si="9"/>
        <v>-46020</v>
      </c>
      <c r="H609" s="109" t="s">
        <v>80</v>
      </c>
    </row>
    <row r="610" spans="1:8">
      <c r="A610" s="108" t="s">
        <v>422</v>
      </c>
      <c r="B610" s="108">
        <v>-37760</v>
      </c>
      <c r="C610" s="108">
        <v>0</v>
      </c>
      <c r="D610" s="108">
        <v>23364</v>
      </c>
      <c r="E610" s="108">
        <v>-61124</v>
      </c>
      <c r="G610" s="108">
        <f t="shared" si="9"/>
        <v>-61124</v>
      </c>
      <c r="H610" s="109" t="s">
        <v>80</v>
      </c>
    </row>
    <row r="611" spans="1:8">
      <c r="A611" s="108" t="s">
        <v>479</v>
      </c>
      <c r="B611" s="108">
        <v>-19540</v>
      </c>
      <c r="C611" s="108">
        <v>0</v>
      </c>
      <c r="D611" s="108">
        <v>0</v>
      </c>
      <c r="E611" s="108">
        <v>-19540</v>
      </c>
      <c r="G611" s="108">
        <f t="shared" si="9"/>
        <v>-19540</v>
      </c>
      <c r="H611" s="109" t="s">
        <v>80</v>
      </c>
    </row>
    <row r="612" spans="1:8">
      <c r="A612" s="108" t="s">
        <v>468</v>
      </c>
      <c r="B612" s="108">
        <v>-18526</v>
      </c>
      <c r="C612" s="108">
        <v>18526</v>
      </c>
      <c r="D612" s="108">
        <v>0</v>
      </c>
      <c r="E612" s="108">
        <v>0</v>
      </c>
      <c r="G612" s="108">
        <f t="shared" si="9"/>
        <v>0</v>
      </c>
      <c r="H612" s="109" t="s">
        <v>80</v>
      </c>
    </row>
    <row r="613" spans="1:8">
      <c r="A613" s="108" t="s">
        <v>767</v>
      </c>
      <c r="B613" s="108">
        <v>-25960</v>
      </c>
      <c r="C613" s="108">
        <v>0</v>
      </c>
      <c r="D613" s="108">
        <v>0</v>
      </c>
      <c r="E613" s="108">
        <v>-25960</v>
      </c>
      <c r="G613" s="108">
        <f t="shared" si="9"/>
        <v>-25960</v>
      </c>
      <c r="H613" s="109" t="s">
        <v>80</v>
      </c>
    </row>
    <row r="614" spans="1:8">
      <c r="A614" s="108" t="s">
        <v>768</v>
      </c>
      <c r="B614" s="108">
        <v>-52156</v>
      </c>
      <c r="C614" s="108">
        <v>24780</v>
      </c>
      <c r="D614" s="108">
        <v>237298</v>
      </c>
      <c r="E614" s="108">
        <v>-264674</v>
      </c>
      <c r="G614" s="108">
        <f t="shared" si="9"/>
        <v>-264674</v>
      </c>
      <c r="H614" s="109" t="s">
        <v>80</v>
      </c>
    </row>
    <row r="615" spans="1:8">
      <c r="A615" s="108" t="s">
        <v>217</v>
      </c>
      <c r="B615" s="108">
        <v>-59714</v>
      </c>
      <c r="C615" s="108">
        <v>50190</v>
      </c>
      <c r="D615" s="108">
        <v>0</v>
      </c>
      <c r="E615" s="108">
        <v>-9524</v>
      </c>
      <c r="G615" s="108">
        <f t="shared" si="9"/>
        <v>-9524</v>
      </c>
      <c r="H615" s="109" t="s">
        <v>80</v>
      </c>
    </row>
    <row r="616" spans="1:8">
      <c r="A616" s="108" t="s">
        <v>769</v>
      </c>
      <c r="B616" s="108">
        <v>-367395</v>
      </c>
      <c r="C616" s="108">
        <v>0</v>
      </c>
      <c r="D616" s="108">
        <v>81837</v>
      </c>
      <c r="E616" s="108">
        <v>-449232</v>
      </c>
      <c r="G616" s="108">
        <f t="shared" si="9"/>
        <v>-449232</v>
      </c>
      <c r="H616" s="109" t="s">
        <v>80</v>
      </c>
    </row>
    <row r="617" spans="1:8">
      <c r="A617" s="108" t="s">
        <v>770</v>
      </c>
      <c r="B617" s="108">
        <v>-0.36</v>
      </c>
      <c r="C617" s="108">
        <v>0</v>
      </c>
      <c r="D617" s="108">
        <v>0</v>
      </c>
      <c r="E617" s="108">
        <v>-0.36</v>
      </c>
      <c r="G617" s="108">
        <f t="shared" si="9"/>
        <v>-0.36</v>
      </c>
      <c r="H617" s="109" t="s">
        <v>80</v>
      </c>
    </row>
    <row r="618" spans="1:8">
      <c r="A618" s="108" t="s">
        <v>771</v>
      </c>
      <c r="B618" s="108">
        <v>-12596</v>
      </c>
      <c r="C618" s="108">
        <v>0</v>
      </c>
      <c r="D618" s="108">
        <v>44100</v>
      </c>
      <c r="E618" s="108">
        <v>-56696</v>
      </c>
      <c r="G618" s="108">
        <f t="shared" si="9"/>
        <v>-56696</v>
      </c>
      <c r="H618" s="109" t="s">
        <v>80</v>
      </c>
    </row>
    <row r="619" spans="1:8">
      <c r="A619" s="108" t="s">
        <v>216</v>
      </c>
      <c r="B619" s="108">
        <v>-40380</v>
      </c>
      <c r="C619" s="108">
        <v>4508</v>
      </c>
      <c r="D619" s="108">
        <v>49477</v>
      </c>
      <c r="E619" s="108">
        <v>-85349</v>
      </c>
      <c r="G619" s="108">
        <f t="shared" si="9"/>
        <v>-85349</v>
      </c>
      <c r="H619" s="109" t="s">
        <v>80</v>
      </c>
    </row>
    <row r="620" spans="1:8">
      <c r="A620" s="108" t="s">
        <v>1415</v>
      </c>
      <c r="B620" s="108">
        <v>0</v>
      </c>
      <c r="C620" s="108">
        <v>0</v>
      </c>
      <c r="D620" s="108">
        <v>0</v>
      </c>
      <c r="E620" s="108">
        <v>0</v>
      </c>
      <c r="G620" s="108">
        <f t="shared" si="9"/>
        <v>0</v>
      </c>
      <c r="H620" s="109" t="s">
        <v>80</v>
      </c>
    </row>
    <row r="621" spans="1:8">
      <c r="A621" s="108" t="s">
        <v>215</v>
      </c>
      <c r="B621" s="108">
        <v>-11328</v>
      </c>
      <c r="C621" s="108">
        <v>0</v>
      </c>
      <c r="D621" s="108">
        <v>0</v>
      </c>
      <c r="E621" s="108">
        <v>-11328</v>
      </c>
      <c r="G621" s="108">
        <f t="shared" si="9"/>
        <v>-11328</v>
      </c>
      <c r="H621" s="109" t="s">
        <v>80</v>
      </c>
    </row>
    <row r="622" spans="1:8">
      <c r="A622" s="108" t="s">
        <v>421</v>
      </c>
      <c r="B622" s="108">
        <v>-0.2</v>
      </c>
      <c r="C622" s="108">
        <v>15576</v>
      </c>
      <c r="D622" s="108">
        <v>15576</v>
      </c>
      <c r="E622" s="108">
        <v>-0.2</v>
      </c>
      <c r="G622" s="108">
        <f t="shared" si="9"/>
        <v>-0.2</v>
      </c>
      <c r="H622" s="109" t="s">
        <v>80</v>
      </c>
    </row>
    <row r="623" spans="1:8">
      <c r="A623" s="108" t="s">
        <v>772</v>
      </c>
      <c r="B623" s="108">
        <v>-9865</v>
      </c>
      <c r="C623" s="108">
        <v>9865</v>
      </c>
      <c r="D623" s="108">
        <v>0</v>
      </c>
      <c r="E623" s="108">
        <v>0</v>
      </c>
      <c r="G623" s="108">
        <f t="shared" si="9"/>
        <v>0</v>
      </c>
      <c r="H623" s="109" t="s">
        <v>80</v>
      </c>
    </row>
    <row r="624" spans="1:8">
      <c r="A624" s="108" t="s">
        <v>1208</v>
      </c>
      <c r="B624" s="108">
        <v>0</v>
      </c>
      <c r="C624" s="108">
        <v>0</v>
      </c>
      <c r="D624" s="108">
        <v>0</v>
      </c>
      <c r="E624" s="108">
        <v>0</v>
      </c>
      <c r="G624" s="108">
        <f t="shared" si="9"/>
        <v>0</v>
      </c>
      <c r="H624" s="109" t="s">
        <v>80</v>
      </c>
    </row>
    <row r="625" spans="1:8">
      <c r="A625" s="108" t="s">
        <v>1209</v>
      </c>
      <c r="B625" s="108">
        <v>0</v>
      </c>
      <c r="C625" s="108">
        <v>0</v>
      </c>
      <c r="D625" s="108">
        <v>0</v>
      </c>
      <c r="E625" s="108">
        <v>0</v>
      </c>
      <c r="G625" s="108">
        <f t="shared" si="9"/>
        <v>0</v>
      </c>
      <c r="H625" s="109" t="s">
        <v>80</v>
      </c>
    </row>
    <row r="626" spans="1:8">
      <c r="A626" s="108" t="s">
        <v>377</v>
      </c>
      <c r="B626" s="108">
        <v>-68342</v>
      </c>
      <c r="C626" s="108">
        <v>9764</v>
      </c>
      <c r="D626" s="108">
        <v>28257</v>
      </c>
      <c r="E626" s="108">
        <v>-86835</v>
      </c>
      <c r="G626" s="108">
        <f t="shared" si="9"/>
        <v>-86835</v>
      </c>
      <c r="H626" s="109" t="s">
        <v>80</v>
      </c>
    </row>
    <row r="627" spans="1:8">
      <c r="A627" s="108" t="s">
        <v>773</v>
      </c>
      <c r="B627" s="108">
        <v>-1510</v>
      </c>
      <c r="C627" s="108">
        <v>0</v>
      </c>
      <c r="D627" s="108">
        <v>0</v>
      </c>
      <c r="E627" s="108">
        <v>-1510</v>
      </c>
      <c r="G627" s="108">
        <f t="shared" si="9"/>
        <v>-1510</v>
      </c>
      <c r="H627" s="109" t="s">
        <v>80</v>
      </c>
    </row>
    <row r="628" spans="1:8">
      <c r="A628" s="108" t="s">
        <v>774</v>
      </c>
      <c r="B628" s="108">
        <v>-20387</v>
      </c>
      <c r="C628" s="108">
        <v>0</v>
      </c>
      <c r="D628" s="108">
        <v>2985</v>
      </c>
      <c r="E628" s="108">
        <v>-23372</v>
      </c>
      <c r="G628" s="108">
        <f t="shared" si="9"/>
        <v>-23372</v>
      </c>
      <c r="H628" s="109" t="s">
        <v>80</v>
      </c>
    </row>
    <row r="629" spans="1:8">
      <c r="A629" s="108" t="s">
        <v>443</v>
      </c>
      <c r="B629" s="108">
        <v>-6263.98</v>
      </c>
      <c r="C629" s="108">
        <v>0</v>
      </c>
      <c r="D629" s="108">
        <v>12781</v>
      </c>
      <c r="E629" s="108">
        <v>-19044.98</v>
      </c>
      <c r="G629" s="108">
        <f t="shared" si="9"/>
        <v>-19044.98</v>
      </c>
      <c r="H629" s="109" t="s">
        <v>80</v>
      </c>
    </row>
    <row r="630" spans="1:8">
      <c r="A630" s="108" t="s">
        <v>775</v>
      </c>
      <c r="B630" s="108">
        <v>0</v>
      </c>
      <c r="C630" s="108">
        <v>0</v>
      </c>
      <c r="D630" s="108">
        <v>16638</v>
      </c>
      <c r="E630" s="108">
        <v>-16638</v>
      </c>
      <c r="G630" s="108">
        <f t="shared" si="9"/>
        <v>-16638</v>
      </c>
      <c r="H630" s="109" t="s">
        <v>80</v>
      </c>
    </row>
    <row r="631" spans="1:8">
      <c r="A631" s="108" t="s">
        <v>206</v>
      </c>
      <c r="B631" s="108">
        <v>0</v>
      </c>
      <c r="C631" s="108">
        <v>0</v>
      </c>
      <c r="D631" s="108">
        <v>10033</v>
      </c>
      <c r="E631" s="108">
        <v>-10033</v>
      </c>
      <c r="G631" s="108">
        <f t="shared" si="9"/>
        <v>-10033</v>
      </c>
      <c r="H631" s="109" t="s">
        <v>80</v>
      </c>
    </row>
    <row r="632" spans="1:8">
      <c r="A632" s="108" t="s">
        <v>384</v>
      </c>
      <c r="B632" s="108">
        <v>-24824</v>
      </c>
      <c r="C632" s="108">
        <v>0</v>
      </c>
      <c r="D632" s="108">
        <v>64109</v>
      </c>
      <c r="E632" s="108">
        <v>-88933</v>
      </c>
      <c r="G632" s="108">
        <f t="shared" si="9"/>
        <v>-88933</v>
      </c>
      <c r="H632" s="109" t="s">
        <v>80</v>
      </c>
    </row>
    <row r="633" spans="1:8">
      <c r="A633" s="108" t="s">
        <v>1210</v>
      </c>
      <c r="B633" s="108">
        <v>0</v>
      </c>
      <c r="C633" s="108">
        <v>0</v>
      </c>
      <c r="D633" s="108">
        <v>0</v>
      </c>
      <c r="E633" s="108">
        <v>0</v>
      </c>
      <c r="G633" s="108">
        <f t="shared" si="9"/>
        <v>0</v>
      </c>
      <c r="H633" s="109" t="s">
        <v>80</v>
      </c>
    </row>
    <row r="634" spans="1:8">
      <c r="A634" s="108" t="s">
        <v>776</v>
      </c>
      <c r="B634" s="108">
        <v>-216819</v>
      </c>
      <c r="C634" s="108">
        <v>0</v>
      </c>
      <c r="D634" s="108">
        <v>0</v>
      </c>
      <c r="E634" s="108">
        <v>-216819</v>
      </c>
      <c r="G634" s="108">
        <f t="shared" si="9"/>
        <v>-216819</v>
      </c>
      <c r="H634" s="109" t="s">
        <v>80</v>
      </c>
    </row>
    <row r="635" spans="1:8">
      <c r="A635" s="108" t="s">
        <v>1211</v>
      </c>
      <c r="B635" s="108">
        <v>0</v>
      </c>
      <c r="C635" s="108">
        <v>0</v>
      </c>
      <c r="D635" s="108">
        <v>0</v>
      </c>
      <c r="E635" s="108">
        <v>0</v>
      </c>
      <c r="G635" s="108">
        <f t="shared" si="9"/>
        <v>0</v>
      </c>
      <c r="H635" s="109" t="s">
        <v>80</v>
      </c>
    </row>
    <row r="636" spans="1:8">
      <c r="A636" s="108" t="s">
        <v>201</v>
      </c>
      <c r="B636" s="108">
        <v>-9973.26</v>
      </c>
      <c r="C636" s="108">
        <v>0</v>
      </c>
      <c r="D636" s="108">
        <v>28119</v>
      </c>
      <c r="E636" s="108">
        <v>-38092.26</v>
      </c>
      <c r="G636" s="108">
        <f t="shared" si="9"/>
        <v>-38092.26</v>
      </c>
      <c r="H636" s="109" t="s">
        <v>80</v>
      </c>
    </row>
    <row r="637" spans="1:8">
      <c r="A637" s="108" t="s">
        <v>417</v>
      </c>
      <c r="B637" s="108">
        <v>-26609</v>
      </c>
      <c r="C637" s="108">
        <v>26609</v>
      </c>
      <c r="D637" s="108">
        <v>0</v>
      </c>
      <c r="E637" s="108">
        <v>0</v>
      </c>
      <c r="G637" s="108">
        <f t="shared" si="9"/>
        <v>0</v>
      </c>
      <c r="H637" s="109" t="s">
        <v>80</v>
      </c>
    </row>
    <row r="638" spans="1:8">
      <c r="A638" s="108" t="s">
        <v>777</v>
      </c>
      <c r="B638" s="108">
        <v>-36650</v>
      </c>
      <c r="C638" s="108">
        <v>26550</v>
      </c>
      <c r="D638" s="108">
        <v>25334</v>
      </c>
      <c r="E638" s="108">
        <v>-35434</v>
      </c>
      <c r="G638" s="108">
        <f t="shared" si="9"/>
        <v>-35434</v>
      </c>
      <c r="H638" s="109" t="s">
        <v>80</v>
      </c>
    </row>
    <row r="639" spans="1:8">
      <c r="A639" s="108" t="s">
        <v>199</v>
      </c>
      <c r="B639" s="108">
        <v>1162.8</v>
      </c>
      <c r="C639" s="108">
        <v>991.2</v>
      </c>
      <c r="D639" s="108">
        <v>0</v>
      </c>
      <c r="E639" s="108">
        <v>2154</v>
      </c>
      <c r="G639" s="108">
        <f t="shared" si="9"/>
        <v>2154</v>
      </c>
      <c r="H639" s="109" t="s">
        <v>80</v>
      </c>
    </row>
    <row r="640" spans="1:8">
      <c r="A640" s="108" t="s">
        <v>778</v>
      </c>
      <c r="B640" s="108">
        <v>-0.54</v>
      </c>
      <c r="C640" s="108">
        <v>0</v>
      </c>
      <c r="D640" s="108">
        <v>0</v>
      </c>
      <c r="E640" s="108">
        <v>-0.54</v>
      </c>
      <c r="G640" s="108">
        <f t="shared" si="9"/>
        <v>-0.54</v>
      </c>
      <c r="H640" s="109" t="s">
        <v>80</v>
      </c>
    </row>
    <row r="641" spans="1:8">
      <c r="A641" s="108" t="s">
        <v>379</v>
      </c>
      <c r="B641" s="108">
        <v>-38527</v>
      </c>
      <c r="C641" s="108">
        <v>38527</v>
      </c>
      <c r="D641" s="108">
        <v>0</v>
      </c>
      <c r="E641" s="108">
        <v>0</v>
      </c>
      <c r="G641" s="108">
        <f t="shared" si="9"/>
        <v>0</v>
      </c>
      <c r="H641" s="109" t="s">
        <v>80</v>
      </c>
    </row>
    <row r="642" spans="1:8">
      <c r="A642" s="108" t="s">
        <v>387</v>
      </c>
      <c r="B642" s="108">
        <v>408.6</v>
      </c>
      <c r="C642" s="108">
        <v>0</v>
      </c>
      <c r="D642" s="108">
        <v>0</v>
      </c>
      <c r="E642" s="108">
        <v>408.6</v>
      </c>
      <c r="G642" s="108">
        <f t="shared" si="9"/>
        <v>408.6</v>
      </c>
      <c r="H642" s="109" t="s">
        <v>80</v>
      </c>
    </row>
    <row r="643" spans="1:8">
      <c r="A643" s="108" t="s">
        <v>463</v>
      </c>
      <c r="B643" s="108">
        <v>-44075</v>
      </c>
      <c r="C643" s="108">
        <v>0</v>
      </c>
      <c r="D643" s="108">
        <v>5200</v>
      </c>
      <c r="E643" s="108">
        <v>-49275</v>
      </c>
      <c r="G643" s="108">
        <f t="shared" ref="G643:G706" si="10">E643+F643</f>
        <v>-49275</v>
      </c>
      <c r="H643" s="109" t="s">
        <v>80</v>
      </c>
    </row>
    <row r="644" spans="1:8">
      <c r="A644" s="108" t="s">
        <v>1213</v>
      </c>
      <c r="B644" s="108">
        <v>0</v>
      </c>
      <c r="C644" s="108">
        <v>0</v>
      </c>
      <c r="D644" s="108">
        <v>0</v>
      </c>
      <c r="E644" s="108">
        <v>0</v>
      </c>
      <c r="G644" s="108">
        <f t="shared" si="10"/>
        <v>0</v>
      </c>
      <c r="H644" s="109" t="s">
        <v>80</v>
      </c>
    </row>
    <row r="645" spans="1:8">
      <c r="A645" s="108" t="s">
        <v>779</v>
      </c>
      <c r="B645" s="108">
        <v>0</v>
      </c>
      <c r="C645" s="108">
        <v>0</v>
      </c>
      <c r="D645" s="108">
        <v>12637.8</v>
      </c>
      <c r="E645" s="108">
        <v>-12637.8</v>
      </c>
      <c r="G645" s="108">
        <f t="shared" si="10"/>
        <v>-12637.8</v>
      </c>
      <c r="H645" s="109" t="s">
        <v>80</v>
      </c>
    </row>
    <row r="646" spans="1:8">
      <c r="A646" s="108" t="s">
        <v>194</v>
      </c>
      <c r="B646" s="108">
        <v>-17750</v>
      </c>
      <c r="C646" s="108">
        <v>0</v>
      </c>
      <c r="D646" s="108">
        <v>0</v>
      </c>
      <c r="E646" s="108">
        <v>-17750</v>
      </c>
      <c r="G646" s="108">
        <f t="shared" si="10"/>
        <v>-17750</v>
      </c>
      <c r="H646" s="109" t="s">
        <v>80</v>
      </c>
    </row>
    <row r="647" spans="1:8">
      <c r="A647" s="108" t="s">
        <v>509</v>
      </c>
      <c r="B647" s="108">
        <v>-4790</v>
      </c>
      <c r="C647" s="108">
        <v>0</v>
      </c>
      <c r="D647" s="108">
        <v>0</v>
      </c>
      <c r="E647" s="108">
        <v>-4790</v>
      </c>
      <c r="G647" s="108">
        <f t="shared" si="10"/>
        <v>-4790</v>
      </c>
      <c r="H647" s="109" t="s">
        <v>80</v>
      </c>
    </row>
    <row r="648" spans="1:8">
      <c r="A648" s="108" t="s">
        <v>1217</v>
      </c>
      <c r="B648" s="108">
        <v>0</v>
      </c>
      <c r="C648" s="108">
        <v>0</v>
      </c>
      <c r="D648" s="108">
        <v>0</v>
      </c>
      <c r="E648" s="108">
        <v>0</v>
      </c>
      <c r="G648" s="108">
        <f t="shared" si="10"/>
        <v>0</v>
      </c>
      <c r="H648" s="109" t="s">
        <v>80</v>
      </c>
    </row>
    <row r="649" spans="1:8">
      <c r="A649" s="108" t="s">
        <v>1218</v>
      </c>
      <c r="B649" s="108">
        <v>0</v>
      </c>
      <c r="C649" s="108">
        <v>0</v>
      </c>
      <c r="D649" s="108">
        <v>0</v>
      </c>
      <c r="E649" s="108">
        <v>0</v>
      </c>
      <c r="G649" s="108">
        <f t="shared" si="10"/>
        <v>0</v>
      </c>
      <c r="H649" s="109" t="s">
        <v>80</v>
      </c>
    </row>
    <row r="650" spans="1:8">
      <c r="A650" s="108" t="s">
        <v>1219</v>
      </c>
      <c r="B650" s="108">
        <v>0</v>
      </c>
      <c r="C650" s="108">
        <v>0</v>
      </c>
      <c r="D650" s="108">
        <v>0</v>
      </c>
      <c r="E650" s="108">
        <v>0</v>
      </c>
      <c r="G650" s="108">
        <f t="shared" si="10"/>
        <v>0</v>
      </c>
      <c r="H650" s="109" t="s">
        <v>80</v>
      </c>
    </row>
    <row r="651" spans="1:8">
      <c r="A651" s="108" t="s">
        <v>191</v>
      </c>
      <c r="B651" s="108">
        <v>-242458</v>
      </c>
      <c r="C651" s="108">
        <v>129828</v>
      </c>
      <c r="D651" s="108">
        <v>113982.75</v>
      </c>
      <c r="E651" s="108">
        <v>-226612.75</v>
      </c>
      <c r="G651" s="108">
        <f t="shared" si="10"/>
        <v>-226612.75</v>
      </c>
      <c r="H651" s="109" t="s">
        <v>80</v>
      </c>
    </row>
    <row r="652" spans="1:8">
      <c r="A652" s="108" t="s">
        <v>780</v>
      </c>
      <c r="B652" s="108">
        <v>-270397</v>
      </c>
      <c r="C652" s="108">
        <v>107793</v>
      </c>
      <c r="D652" s="108">
        <v>0</v>
      </c>
      <c r="E652" s="108">
        <v>-162604</v>
      </c>
      <c r="G652" s="108">
        <f t="shared" si="10"/>
        <v>-162604</v>
      </c>
      <c r="H652" s="109" t="s">
        <v>80</v>
      </c>
    </row>
    <row r="653" spans="1:8">
      <c r="A653" s="108" t="s">
        <v>1221</v>
      </c>
      <c r="B653" s="108">
        <v>0</v>
      </c>
      <c r="C653" s="108">
        <v>0</v>
      </c>
      <c r="D653" s="108">
        <v>0</v>
      </c>
      <c r="E653" s="108">
        <v>0</v>
      </c>
      <c r="G653" s="108">
        <f t="shared" si="10"/>
        <v>0</v>
      </c>
      <c r="H653" s="109" t="s">
        <v>80</v>
      </c>
    </row>
    <row r="654" spans="1:8">
      <c r="A654" s="108" t="s">
        <v>781</v>
      </c>
      <c r="B654" s="108">
        <v>-21308.5</v>
      </c>
      <c r="C654" s="108">
        <v>0</v>
      </c>
      <c r="D654" s="108">
        <v>8779</v>
      </c>
      <c r="E654" s="108">
        <v>-30087.5</v>
      </c>
      <c r="G654" s="108">
        <f t="shared" si="10"/>
        <v>-30087.5</v>
      </c>
      <c r="H654" s="109" t="s">
        <v>80</v>
      </c>
    </row>
    <row r="655" spans="1:8">
      <c r="A655" s="108" t="s">
        <v>782</v>
      </c>
      <c r="B655" s="108">
        <v>-1888.5</v>
      </c>
      <c r="C655" s="108">
        <v>0</v>
      </c>
      <c r="D655" s="108">
        <v>18998</v>
      </c>
      <c r="E655" s="108">
        <v>-20886.5</v>
      </c>
      <c r="G655" s="108">
        <f t="shared" si="10"/>
        <v>-20886.5</v>
      </c>
      <c r="H655" s="109" t="s">
        <v>80</v>
      </c>
    </row>
    <row r="656" spans="1:8">
      <c r="A656" s="108" t="s">
        <v>187</v>
      </c>
      <c r="B656" s="108">
        <v>-344330</v>
      </c>
      <c r="C656" s="108">
        <v>328998</v>
      </c>
      <c r="D656" s="108">
        <v>145892</v>
      </c>
      <c r="E656" s="108">
        <v>-161224</v>
      </c>
      <c r="G656" s="108">
        <f t="shared" si="10"/>
        <v>-161224</v>
      </c>
      <c r="H656" s="109" t="s">
        <v>80</v>
      </c>
    </row>
    <row r="657" spans="1:8">
      <c r="A657" s="108" t="s">
        <v>1222</v>
      </c>
      <c r="B657" s="108">
        <v>0</v>
      </c>
      <c r="C657" s="108">
        <v>0</v>
      </c>
      <c r="D657" s="108">
        <v>0</v>
      </c>
      <c r="E657" s="108">
        <v>0</v>
      </c>
      <c r="G657" s="108">
        <f t="shared" si="10"/>
        <v>0</v>
      </c>
      <c r="H657" s="109" t="s">
        <v>80</v>
      </c>
    </row>
    <row r="658" spans="1:8">
      <c r="A658" s="108" t="s">
        <v>188</v>
      </c>
      <c r="B658" s="108">
        <v>0</v>
      </c>
      <c r="C658" s="108">
        <v>0</v>
      </c>
      <c r="D658" s="108">
        <v>7222</v>
      </c>
      <c r="E658" s="108">
        <v>-7222</v>
      </c>
      <c r="G658" s="108">
        <f t="shared" si="10"/>
        <v>-7222</v>
      </c>
      <c r="H658" s="109" t="s">
        <v>80</v>
      </c>
    </row>
    <row r="659" spans="1:8">
      <c r="A659" s="108" t="s">
        <v>189</v>
      </c>
      <c r="B659" s="108">
        <v>-74340</v>
      </c>
      <c r="C659" s="108">
        <v>74340</v>
      </c>
      <c r="D659" s="108">
        <v>180186</v>
      </c>
      <c r="E659" s="108">
        <v>-180186</v>
      </c>
      <c r="G659" s="108">
        <f t="shared" si="10"/>
        <v>-180186</v>
      </c>
      <c r="H659" s="109" t="s">
        <v>80</v>
      </c>
    </row>
    <row r="660" spans="1:8">
      <c r="A660" s="108" t="s">
        <v>190</v>
      </c>
      <c r="B660" s="108">
        <v>0.86</v>
      </c>
      <c r="C660" s="108">
        <v>0</v>
      </c>
      <c r="D660" s="108">
        <v>0</v>
      </c>
      <c r="E660" s="108">
        <v>0.86</v>
      </c>
      <c r="G660" s="108">
        <f t="shared" si="10"/>
        <v>0.86</v>
      </c>
      <c r="H660" s="109" t="s">
        <v>80</v>
      </c>
    </row>
    <row r="661" spans="1:8">
      <c r="A661" s="108" t="s">
        <v>181</v>
      </c>
      <c r="B661" s="108">
        <v>-3000</v>
      </c>
      <c r="C661" s="108">
        <v>0</v>
      </c>
      <c r="D661" s="108">
        <v>0</v>
      </c>
      <c r="E661" s="108">
        <v>-3000</v>
      </c>
      <c r="G661" s="108">
        <f t="shared" si="10"/>
        <v>-3000</v>
      </c>
      <c r="H661" s="109" t="s">
        <v>80</v>
      </c>
    </row>
    <row r="662" spans="1:8">
      <c r="A662" s="108" t="s">
        <v>783</v>
      </c>
      <c r="B662" s="108">
        <v>-7446</v>
      </c>
      <c r="C662" s="108">
        <v>0</v>
      </c>
      <c r="D662" s="108">
        <v>0</v>
      </c>
      <c r="E662" s="108">
        <v>-7446</v>
      </c>
      <c r="G662" s="108">
        <f t="shared" si="10"/>
        <v>-7446</v>
      </c>
      <c r="H662" s="109" t="s">
        <v>80</v>
      </c>
    </row>
    <row r="663" spans="1:8">
      <c r="A663" s="108" t="s">
        <v>182</v>
      </c>
      <c r="B663" s="108">
        <v>-13539.4</v>
      </c>
      <c r="C663" s="108">
        <v>0</v>
      </c>
      <c r="D663" s="108">
        <v>0</v>
      </c>
      <c r="E663" s="108">
        <v>-13539.4</v>
      </c>
      <c r="G663" s="108">
        <f t="shared" si="10"/>
        <v>-13539.4</v>
      </c>
      <c r="H663" s="109" t="s">
        <v>80</v>
      </c>
    </row>
    <row r="664" spans="1:8">
      <c r="A664" s="108" t="s">
        <v>1224</v>
      </c>
      <c r="B664" s="108">
        <v>0</v>
      </c>
      <c r="C664" s="108">
        <v>0</v>
      </c>
      <c r="D664" s="108">
        <v>0</v>
      </c>
      <c r="E664" s="108">
        <v>0</v>
      </c>
      <c r="G664" s="108">
        <f t="shared" si="10"/>
        <v>0</v>
      </c>
      <c r="H664" s="109" t="s">
        <v>80</v>
      </c>
    </row>
    <row r="665" spans="1:8">
      <c r="A665" s="108" t="s">
        <v>480</v>
      </c>
      <c r="B665" s="108">
        <v>-31860</v>
      </c>
      <c r="C665" s="108">
        <v>0</v>
      </c>
      <c r="D665" s="108">
        <v>0</v>
      </c>
      <c r="E665" s="108">
        <v>-31860</v>
      </c>
      <c r="G665" s="108">
        <f t="shared" si="10"/>
        <v>-31860</v>
      </c>
      <c r="H665" s="109" t="s">
        <v>80</v>
      </c>
    </row>
    <row r="666" spans="1:8">
      <c r="A666" s="108" t="s">
        <v>178</v>
      </c>
      <c r="B666" s="108">
        <v>-0.08</v>
      </c>
      <c r="C666" s="108">
        <v>0</v>
      </c>
      <c r="D666" s="108">
        <v>0</v>
      </c>
      <c r="E666" s="108">
        <v>-0.08</v>
      </c>
      <c r="G666" s="108">
        <f t="shared" si="10"/>
        <v>-0.08</v>
      </c>
      <c r="H666" s="109" t="s">
        <v>80</v>
      </c>
    </row>
    <row r="667" spans="1:8">
      <c r="A667" s="108" t="s">
        <v>1226</v>
      </c>
      <c r="B667" s="108">
        <v>0</v>
      </c>
      <c r="C667" s="108">
        <v>0</v>
      </c>
      <c r="D667" s="108">
        <v>0</v>
      </c>
      <c r="E667" s="108">
        <v>0</v>
      </c>
      <c r="G667" s="108">
        <f t="shared" si="10"/>
        <v>0</v>
      </c>
      <c r="H667" s="109" t="s">
        <v>80</v>
      </c>
    </row>
    <row r="668" spans="1:8">
      <c r="A668" s="108" t="s">
        <v>179</v>
      </c>
      <c r="B668" s="108">
        <v>3628.6</v>
      </c>
      <c r="C668" s="108">
        <v>0</v>
      </c>
      <c r="D668" s="108">
        <v>0</v>
      </c>
      <c r="E668" s="108">
        <v>3628.6</v>
      </c>
      <c r="G668" s="108">
        <f t="shared" si="10"/>
        <v>3628.6</v>
      </c>
      <c r="H668" s="109" t="s">
        <v>80</v>
      </c>
    </row>
    <row r="669" spans="1:8">
      <c r="A669" s="108" t="s">
        <v>176</v>
      </c>
      <c r="B669" s="108">
        <v>-122795</v>
      </c>
      <c r="C669" s="108">
        <v>83587</v>
      </c>
      <c r="D669" s="108">
        <v>9775</v>
      </c>
      <c r="E669" s="108">
        <v>-48983</v>
      </c>
      <c r="G669" s="108">
        <f t="shared" si="10"/>
        <v>-48983</v>
      </c>
      <c r="H669" s="109" t="s">
        <v>80</v>
      </c>
    </row>
    <row r="670" spans="1:8">
      <c r="A670" s="108" t="s">
        <v>481</v>
      </c>
      <c r="B670" s="108">
        <v>-229003</v>
      </c>
      <c r="C670" s="108">
        <v>209994</v>
      </c>
      <c r="D670" s="108">
        <v>0</v>
      </c>
      <c r="E670" s="108">
        <v>-19009</v>
      </c>
      <c r="G670" s="108">
        <f t="shared" si="10"/>
        <v>-19009</v>
      </c>
      <c r="H670" s="109" t="s">
        <v>80</v>
      </c>
    </row>
    <row r="671" spans="1:8">
      <c r="A671" s="108" t="s">
        <v>1227</v>
      </c>
      <c r="B671" s="108">
        <v>0</v>
      </c>
      <c r="C671" s="108">
        <v>0</v>
      </c>
      <c r="D671" s="108">
        <v>0</v>
      </c>
      <c r="E671" s="108">
        <v>0</v>
      </c>
      <c r="G671" s="108">
        <f t="shared" si="10"/>
        <v>0</v>
      </c>
      <c r="H671" s="109" t="s">
        <v>80</v>
      </c>
    </row>
    <row r="672" spans="1:8">
      <c r="A672" s="108" t="s">
        <v>174</v>
      </c>
      <c r="B672" s="108">
        <v>-4956</v>
      </c>
      <c r="C672" s="108">
        <v>0</v>
      </c>
      <c r="D672" s="108">
        <v>0</v>
      </c>
      <c r="E672" s="108">
        <v>-4956</v>
      </c>
      <c r="G672" s="108">
        <f t="shared" si="10"/>
        <v>-4956</v>
      </c>
      <c r="H672" s="109" t="s">
        <v>80</v>
      </c>
    </row>
    <row r="673" spans="1:8">
      <c r="A673" s="108" t="s">
        <v>175</v>
      </c>
      <c r="B673" s="108">
        <v>-108335</v>
      </c>
      <c r="C673" s="108">
        <v>0</v>
      </c>
      <c r="D673" s="108">
        <v>11434</v>
      </c>
      <c r="E673" s="108">
        <v>-119769</v>
      </c>
      <c r="G673" s="108">
        <f t="shared" si="10"/>
        <v>-119769</v>
      </c>
      <c r="H673" s="109" t="s">
        <v>80</v>
      </c>
    </row>
    <row r="674" spans="1:8">
      <c r="A674" s="108" t="s">
        <v>784</v>
      </c>
      <c r="B674" s="108">
        <v>-6903.78</v>
      </c>
      <c r="C674" s="108">
        <v>0</v>
      </c>
      <c r="D674" s="108">
        <v>25901</v>
      </c>
      <c r="E674" s="108">
        <v>-32804.78</v>
      </c>
      <c r="G674" s="108">
        <f t="shared" si="10"/>
        <v>-32804.78</v>
      </c>
      <c r="H674" s="109" t="s">
        <v>80</v>
      </c>
    </row>
    <row r="675" spans="1:8">
      <c r="A675" s="108" t="s">
        <v>420</v>
      </c>
      <c r="B675" s="108">
        <v>-1305516.8500000001</v>
      </c>
      <c r="C675" s="108">
        <v>312077.5</v>
      </c>
      <c r="D675" s="108">
        <v>365329.2</v>
      </c>
      <c r="E675" s="108">
        <v>-1358768.55</v>
      </c>
      <c r="G675" s="108">
        <f t="shared" si="10"/>
        <v>-1358768.55</v>
      </c>
      <c r="H675" s="109" t="s">
        <v>80</v>
      </c>
    </row>
    <row r="676" spans="1:8">
      <c r="A676" s="108" t="s">
        <v>407</v>
      </c>
      <c r="B676" s="108">
        <v>-19765</v>
      </c>
      <c r="C676" s="108">
        <v>19765</v>
      </c>
      <c r="D676" s="108">
        <v>0</v>
      </c>
      <c r="E676" s="108">
        <v>0</v>
      </c>
      <c r="G676" s="108">
        <f t="shared" si="10"/>
        <v>0</v>
      </c>
      <c r="H676" s="109" t="s">
        <v>80</v>
      </c>
    </row>
    <row r="677" spans="1:8">
      <c r="A677" s="108" t="s">
        <v>785</v>
      </c>
      <c r="B677" s="108">
        <v>-8200</v>
      </c>
      <c r="C677" s="108">
        <v>0</v>
      </c>
      <c r="D677" s="108">
        <v>0</v>
      </c>
      <c r="E677" s="108">
        <v>-8200</v>
      </c>
      <c r="G677" s="108">
        <f t="shared" si="10"/>
        <v>-8200</v>
      </c>
      <c r="H677" s="109" t="s">
        <v>80</v>
      </c>
    </row>
    <row r="678" spans="1:8">
      <c r="A678" s="108" t="s">
        <v>442</v>
      </c>
      <c r="B678" s="108">
        <v>-300009.86</v>
      </c>
      <c r="C678" s="108">
        <v>8968</v>
      </c>
      <c r="D678" s="108">
        <v>49770</v>
      </c>
      <c r="E678" s="108">
        <v>-340811.86</v>
      </c>
      <c r="G678" s="108">
        <f t="shared" si="10"/>
        <v>-340811.86</v>
      </c>
      <c r="H678" s="109" t="s">
        <v>80</v>
      </c>
    </row>
    <row r="679" spans="1:8">
      <c r="A679" s="108" t="s">
        <v>170</v>
      </c>
      <c r="B679" s="108">
        <v>-3014.89</v>
      </c>
      <c r="C679" s="108">
        <v>2006</v>
      </c>
      <c r="D679" s="108">
        <v>8083</v>
      </c>
      <c r="E679" s="108">
        <v>-9091.89</v>
      </c>
      <c r="G679" s="108">
        <f t="shared" si="10"/>
        <v>-9091.89</v>
      </c>
      <c r="H679" s="109" t="s">
        <v>80</v>
      </c>
    </row>
    <row r="680" spans="1:8">
      <c r="A680" s="108" t="s">
        <v>786</v>
      </c>
      <c r="B680" s="108">
        <v>-14650</v>
      </c>
      <c r="C680" s="108">
        <v>0</v>
      </c>
      <c r="D680" s="108">
        <v>0</v>
      </c>
      <c r="E680" s="108">
        <v>-14650</v>
      </c>
      <c r="G680" s="108">
        <f t="shared" si="10"/>
        <v>-14650</v>
      </c>
      <c r="H680" s="109" t="s">
        <v>80</v>
      </c>
    </row>
    <row r="681" spans="1:8">
      <c r="A681" s="108" t="s">
        <v>522</v>
      </c>
      <c r="B681" s="108">
        <v>-5310</v>
      </c>
      <c r="C681" s="108">
        <v>0</v>
      </c>
      <c r="D681" s="108">
        <v>0</v>
      </c>
      <c r="E681" s="108">
        <v>-5310</v>
      </c>
      <c r="G681" s="108">
        <f t="shared" si="10"/>
        <v>-5310</v>
      </c>
      <c r="H681" s="109" t="s">
        <v>80</v>
      </c>
    </row>
    <row r="682" spans="1:8">
      <c r="A682" s="108" t="s">
        <v>1229</v>
      </c>
      <c r="B682" s="108">
        <v>0</v>
      </c>
      <c r="C682" s="108">
        <v>0</v>
      </c>
      <c r="D682" s="108">
        <v>0</v>
      </c>
      <c r="E682" s="108">
        <v>0</v>
      </c>
      <c r="G682" s="108">
        <f t="shared" si="10"/>
        <v>0</v>
      </c>
      <c r="H682" s="109" t="s">
        <v>80</v>
      </c>
    </row>
    <row r="683" spans="1:8">
      <c r="A683" s="108" t="s">
        <v>1230</v>
      </c>
      <c r="B683" s="108">
        <v>0</v>
      </c>
      <c r="C683" s="108">
        <v>0</v>
      </c>
      <c r="D683" s="108">
        <v>0</v>
      </c>
      <c r="E683" s="108">
        <v>0</v>
      </c>
      <c r="G683" s="108">
        <f t="shared" si="10"/>
        <v>0</v>
      </c>
      <c r="H683" s="109" t="s">
        <v>80</v>
      </c>
    </row>
    <row r="684" spans="1:8">
      <c r="A684" s="108" t="s">
        <v>787</v>
      </c>
      <c r="B684" s="108">
        <v>173483.6</v>
      </c>
      <c r="C684" s="108">
        <v>0</v>
      </c>
      <c r="D684" s="108">
        <v>0</v>
      </c>
      <c r="E684" s="108">
        <v>173483.6</v>
      </c>
      <c r="G684" s="108">
        <f t="shared" si="10"/>
        <v>173483.6</v>
      </c>
      <c r="H684" s="109" t="s">
        <v>80</v>
      </c>
    </row>
    <row r="685" spans="1:8">
      <c r="A685" s="108" t="s">
        <v>788</v>
      </c>
      <c r="B685" s="108">
        <v>12744</v>
      </c>
      <c r="C685" s="108">
        <v>0</v>
      </c>
      <c r="D685" s="108">
        <v>12744</v>
      </c>
      <c r="E685" s="108">
        <v>0</v>
      </c>
      <c r="G685" s="108">
        <f t="shared" si="10"/>
        <v>0</v>
      </c>
      <c r="H685" s="109" t="s">
        <v>80</v>
      </c>
    </row>
    <row r="686" spans="1:8">
      <c r="A686" s="108" t="s">
        <v>168</v>
      </c>
      <c r="B686" s="108">
        <v>-11706</v>
      </c>
      <c r="C686" s="108">
        <v>11706</v>
      </c>
      <c r="D686" s="108">
        <v>0</v>
      </c>
      <c r="E686" s="108">
        <v>0</v>
      </c>
      <c r="G686" s="108">
        <f t="shared" si="10"/>
        <v>0</v>
      </c>
      <c r="H686" s="109" t="s">
        <v>80</v>
      </c>
    </row>
    <row r="687" spans="1:8">
      <c r="A687" s="108" t="s">
        <v>789</v>
      </c>
      <c r="B687" s="108">
        <v>-151278</v>
      </c>
      <c r="C687" s="108">
        <v>24190</v>
      </c>
      <c r="D687" s="108">
        <v>0</v>
      </c>
      <c r="E687" s="108">
        <v>-127088</v>
      </c>
      <c r="G687" s="108">
        <f t="shared" si="10"/>
        <v>-127088</v>
      </c>
      <c r="H687" s="109" t="s">
        <v>80</v>
      </c>
    </row>
    <row r="688" spans="1:8">
      <c r="A688" s="108" t="s">
        <v>167</v>
      </c>
      <c r="B688" s="108">
        <v>-48734</v>
      </c>
      <c r="C688" s="108">
        <v>0</v>
      </c>
      <c r="D688" s="108">
        <v>63720</v>
      </c>
      <c r="E688" s="108">
        <v>-112454</v>
      </c>
      <c r="G688" s="108">
        <f t="shared" si="10"/>
        <v>-112454</v>
      </c>
      <c r="H688" s="109" t="s">
        <v>80</v>
      </c>
    </row>
    <row r="689" spans="1:8">
      <c r="A689" s="108" t="s">
        <v>790</v>
      </c>
      <c r="B689" s="108">
        <v>-38781.4</v>
      </c>
      <c r="C689" s="108">
        <v>0</v>
      </c>
      <c r="D689" s="108">
        <v>6313</v>
      </c>
      <c r="E689" s="108">
        <v>-45094.400000000001</v>
      </c>
      <c r="G689" s="108">
        <f t="shared" si="10"/>
        <v>-45094.400000000001</v>
      </c>
      <c r="H689" s="109" t="s">
        <v>80</v>
      </c>
    </row>
    <row r="690" spans="1:8">
      <c r="A690" s="108" t="s">
        <v>166</v>
      </c>
      <c r="B690" s="108">
        <v>-38242</v>
      </c>
      <c r="C690" s="108">
        <v>38242</v>
      </c>
      <c r="D690" s="108">
        <v>39969</v>
      </c>
      <c r="E690" s="108">
        <v>-39969</v>
      </c>
      <c r="G690" s="108">
        <f t="shared" si="10"/>
        <v>-39969</v>
      </c>
      <c r="H690" s="109" t="s">
        <v>80</v>
      </c>
    </row>
    <row r="691" spans="1:8">
      <c r="A691" s="108" t="s">
        <v>791</v>
      </c>
      <c r="B691" s="108">
        <v>4152.88</v>
      </c>
      <c r="C691" s="108">
        <v>40085</v>
      </c>
      <c r="D691" s="108">
        <v>44097</v>
      </c>
      <c r="E691" s="108">
        <v>140.88</v>
      </c>
      <c r="G691" s="108">
        <f t="shared" si="10"/>
        <v>140.88</v>
      </c>
      <c r="H691" s="109" t="s">
        <v>80</v>
      </c>
    </row>
    <row r="692" spans="1:8">
      <c r="A692" s="108" t="s">
        <v>792</v>
      </c>
      <c r="B692" s="108">
        <v>0</v>
      </c>
      <c r="C692" s="108">
        <v>0</v>
      </c>
      <c r="D692" s="108">
        <v>8177</v>
      </c>
      <c r="E692" s="108">
        <v>-8177</v>
      </c>
      <c r="G692" s="108">
        <f t="shared" si="10"/>
        <v>-8177</v>
      </c>
      <c r="H692" s="109" t="s">
        <v>80</v>
      </c>
    </row>
    <row r="693" spans="1:8">
      <c r="A693" s="108" t="s">
        <v>386</v>
      </c>
      <c r="B693" s="108">
        <v>-14331</v>
      </c>
      <c r="C693" s="108">
        <v>0</v>
      </c>
      <c r="D693" s="108">
        <v>0</v>
      </c>
      <c r="E693" s="108">
        <v>-14331</v>
      </c>
      <c r="G693" s="108">
        <f t="shared" si="10"/>
        <v>-14331</v>
      </c>
      <c r="H693" s="109" t="s">
        <v>80</v>
      </c>
    </row>
    <row r="694" spans="1:8">
      <c r="A694" s="108" t="s">
        <v>165</v>
      </c>
      <c r="B694" s="108">
        <v>-243959</v>
      </c>
      <c r="C694" s="108">
        <v>0</v>
      </c>
      <c r="D694" s="108">
        <v>0</v>
      </c>
      <c r="E694" s="108">
        <v>-243959</v>
      </c>
      <c r="G694" s="108">
        <f t="shared" si="10"/>
        <v>-243959</v>
      </c>
      <c r="H694" s="109" t="s">
        <v>80</v>
      </c>
    </row>
    <row r="695" spans="1:8">
      <c r="A695" s="108" t="s">
        <v>793</v>
      </c>
      <c r="B695" s="108">
        <v>-17818</v>
      </c>
      <c r="C695" s="108">
        <v>0</v>
      </c>
      <c r="D695" s="108">
        <v>0</v>
      </c>
      <c r="E695" s="108">
        <v>-17818</v>
      </c>
      <c r="G695" s="108">
        <f t="shared" si="10"/>
        <v>-17818</v>
      </c>
      <c r="H695" s="109" t="s">
        <v>80</v>
      </c>
    </row>
    <row r="696" spans="1:8">
      <c r="A696" s="108" t="s">
        <v>1233</v>
      </c>
      <c r="B696" s="108">
        <v>0</v>
      </c>
      <c r="C696" s="108">
        <v>0</v>
      </c>
      <c r="D696" s="108">
        <v>0</v>
      </c>
      <c r="E696" s="108">
        <v>0</v>
      </c>
      <c r="G696" s="108">
        <f t="shared" si="10"/>
        <v>0</v>
      </c>
      <c r="H696" s="109" t="s">
        <v>80</v>
      </c>
    </row>
    <row r="697" spans="1:8">
      <c r="A697" s="108" t="s">
        <v>1416</v>
      </c>
      <c r="B697" s="108">
        <v>0</v>
      </c>
      <c r="C697" s="108">
        <v>0</v>
      </c>
      <c r="D697" s="108">
        <v>0</v>
      </c>
      <c r="E697" s="108">
        <v>0</v>
      </c>
      <c r="G697" s="108">
        <f t="shared" si="10"/>
        <v>0</v>
      </c>
      <c r="H697" s="109" t="s">
        <v>80</v>
      </c>
    </row>
    <row r="698" spans="1:8">
      <c r="A698" s="108" t="s">
        <v>1045</v>
      </c>
      <c r="B698" s="108">
        <v>-110802</v>
      </c>
      <c r="C698" s="108">
        <v>110802</v>
      </c>
      <c r="D698" s="108">
        <v>0</v>
      </c>
      <c r="E698" s="108">
        <v>0</v>
      </c>
      <c r="G698" s="108">
        <f t="shared" si="10"/>
        <v>0</v>
      </c>
      <c r="H698" s="109" t="s">
        <v>80</v>
      </c>
    </row>
    <row r="699" spans="1:8">
      <c r="A699" s="108" t="s">
        <v>510</v>
      </c>
      <c r="B699" s="108">
        <v>-7.0000000000000007E-2</v>
      </c>
      <c r="C699" s="108">
        <v>0</v>
      </c>
      <c r="D699" s="108">
        <v>0</v>
      </c>
      <c r="E699" s="108">
        <v>-7.0000000000000007E-2</v>
      </c>
      <c r="G699" s="108">
        <f t="shared" si="10"/>
        <v>-7.0000000000000007E-2</v>
      </c>
      <c r="H699" s="109" t="s">
        <v>80</v>
      </c>
    </row>
    <row r="700" spans="1:8">
      <c r="A700" s="108" t="s">
        <v>159</v>
      </c>
      <c r="B700" s="108">
        <v>-163695</v>
      </c>
      <c r="C700" s="108">
        <v>97317</v>
      </c>
      <c r="D700" s="108">
        <v>0</v>
      </c>
      <c r="E700" s="108">
        <v>-66378</v>
      </c>
      <c r="G700" s="108">
        <f t="shared" si="10"/>
        <v>-66378</v>
      </c>
      <c r="H700" s="109" t="s">
        <v>80</v>
      </c>
    </row>
    <row r="701" spans="1:8">
      <c r="A701" s="108" t="s">
        <v>794</v>
      </c>
      <c r="B701" s="108">
        <v>-200.6</v>
      </c>
      <c r="C701" s="108">
        <v>0</v>
      </c>
      <c r="D701" s="108">
        <v>0</v>
      </c>
      <c r="E701" s="108">
        <v>-200.6</v>
      </c>
      <c r="G701" s="108">
        <f t="shared" si="10"/>
        <v>-200.6</v>
      </c>
      <c r="H701" s="109" t="s">
        <v>80</v>
      </c>
    </row>
    <row r="702" spans="1:8">
      <c r="A702" s="108" t="s">
        <v>795</v>
      </c>
      <c r="B702" s="108">
        <v>23954</v>
      </c>
      <c r="C702" s="108">
        <v>0</v>
      </c>
      <c r="D702" s="108">
        <v>23954</v>
      </c>
      <c r="E702" s="108">
        <v>0</v>
      </c>
      <c r="G702" s="108">
        <f t="shared" si="10"/>
        <v>0</v>
      </c>
      <c r="H702" s="109" t="s">
        <v>80</v>
      </c>
    </row>
    <row r="703" spans="1:8">
      <c r="A703" s="108" t="s">
        <v>796</v>
      </c>
      <c r="B703" s="108">
        <v>-219303</v>
      </c>
      <c r="C703" s="108">
        <v>82765</v>
      </c>
      <c r="D703" s="108">
        <v>0</v>
      </c>
      <c r="E703" s="108">
        <v>-136538</v>
      </c>
      <c r="G703" s="108">
        <f t="shared" si="10"/>
        <v>-136538</v>
      </c>
      <c r="H703" s="109" t="s">
        <v>80</v>
      </c>
    </row>
    <row r="704" spans="1:8">
      <c r="A704" s="108" t="s">
        <v>797</v>
      </c>
      <c r="B704" s="108">
        <v>-236085.4</v>
      </c>
      <c r="C704" s="108">
        <v>0</v>
      </c>
      <c r="D704" s="108">
        <v>32480</v>
      </c>
      <c r="E704" s="108">
        <v>-268565.40000000002</v>
      </c>
      <c r="G704" s="108">
        <f t="shared" si="10"/>
        <v>-268565.40000000002</v>
      </c>
      <c r="H704" s="109" t="s">
        <v>80</v>
      </c>
    </row>
    <row r="705" spans="1:8">
      <c r="A705" s="108" t="s">
        <v>158</v>
      </c>
      <c r="B705" s="108">
        <v>-49320.34</v>
      </c>
      <c r="C705" s="108">
        <v>0</v>
      </c>
      <c r="D705" s="108">
        <v>0</v>
      </c>
      <c r="E705" s="108">
        <v>-49320.34</v>
      </c>
      <c r="G705" s="108">
        <f t="shared" si="10"/>
        <v>-49320.34</v>
      </c>
      <c r="H705" s="109" t="s">
        <v>80</v>
      </c>
    </row>
    <row r="706" spans="1:8">
      <c r="A706" s="108" t="s">
        <v>1234</v>
      </c>
      <c r="B706" s="108">
        <v>0</v>
      </c>
      <c r="C706" s="108">
        <v>0</v>
      </c>
      <c r="D706" s="108">
        <v>0</v>
      </c>
      <c r="E706" s="108">
        <v>0</v>
      </c>
      <c r="G706" s="108">
        <f t="shared" si="10"/>
        <v>0</v>
      </c>
      <c r="H706" s="109" t="s">
        <v>80</v>
      </c>
    </row>
    <row r="707" spans="1:8">
      <c r="A707" s="108" t="s">
        <v>156</v>
      </c>
      <c r="B707" s="108">
        <v>-0.01</v>
      </c>
      <c r="C707" s="108">
        <v>0</v>
      </c>
      <c r="D707" s="108">
        <v>0</v>
      </c>
      <c r="E707" s="108">
        <v>-0.01</v>
      </c>
      <c r="G707" s="108">
        <f t="shared" ref="G707:G770" si="11">E707+F707</f>
        <v>-0.01</v>
      </c>
      <c r="H707" s="109" t="s">
        <v>80</v>
      </c>
    </row>
    <row r="708" spans="1:8">
      <c r="A708" s="108" t="s">
        <v>425</v>
      </c>
      <c r="B708" s="108">
        <v>-0.01</v>
      </c>
      <c r="C708" s="108">
        <v>0</v>
      </c>
      <c r="D708" s="108">
        <v>50598</v>
      </c>
      <c r="E708" s="108">
        <v>-50598.01</v>
      </c>
      <c r="G708" s="108">
        <f t="shared" si="11"/>
        <v>-50598.01</v>
      </c>
      <c r="H708" s="109" t="s">
        <v>80</v>
      </c>
    </row>
    <row r="709" spans="1:8">
      <c r="A709" s="108" t="s">
        <v>798</v>
      </c>
      <c r="B709" s="108">
        <v>780</v>
      </c>
      <c r="C709" s="108">
        <v>0</v>
      </c>
      <c r="D709" s="108">
        <v>0</v>
      </c>
      <c r="E709" s="108">
        <v>780</v>
      </c>
      <c r="G709" s="108">
        <f t="shared" si="11"/>
        <v>780</v>
      </c>
      <c r="H709" s="109" t="s">
        <v>80</v>
      </c>
    </row>
    <row r="710" spans="1:8">
      <c r="A710" s="108" t="s">
        <v>799</v>
      </c>
      <c r="B710" s="108">
        <v>-5283</v>
      </c>
      <c r="C710" s="108">
        <v>0</v>
      </c>
      <c r="D710" s="108">
        <v>319</v>
      </c>
      <c r="E710" s="108">
        <v>-5602</v>
      </c>
      <c r="G710" s="108">
        <f t="shared" si="11"/>
        <v>-5602</v>
      </c>
      <c r="H710" s="109" t="s">
        <v>80</v>
      </c>
    </row>
    <row r="711" spans="1:8">
      <c r="A711" s="108" t="s">
        <v>800</v>
      </c>
      <c r="B711" s="108">
        <v>0.03</v>
      </c>
      <c r="C711" s="108">
        <v>0</v>
      </c>
      <c r="D711" s="108">
        <v>0</v>
      </c>
      <c r="E711" s="108">
        <v>0.03</v>
      </c>
      <c r="G711" s="108">
        <f t="shared" si="11"/>
        <v>0.03</v>
      </c>
      <c r="H711" s="109" t="s">
        <v>80</v>
      </c>
    </row>
    <row r="712" spans="1:8">
      <c r="A712" s="108" t="s">
        <v>1236</v>
      </c>
      <c r="B712" s="108">
        <v>0</v>
      </c>
      <c r="C712" s="108">
        <v>0</v>
      </c>
      <c r="D712" s="108">
        <v>0</v>
      </c>
      <c r="E712" s="108">
        <v>0</v>
      </c>
      <c r="G712" s="108">
        <f t="shared" si="11"/>
        <v>0</v>
      </c>
      <c r="H712" s="109" t="s">
        <v>80</v>
      </c>
    </row>
    <row r="713" spans="1:8">
      <c r="A713" s="108" t="s">
        <v>153</v>
      </c>
      <c r="B713" s="108">
        <v>-33075.040000000001</v>
      </c>
      <c r="C713" s="108">
        <v>33075</v>
      </c>
      <c r="D713" s="108">
        <v>56254</v>
      </c>
      <c r="E713" s="108">
        <v>-56254.04</v>
      </c>
      <c r="G713" s="108">
        <f t="shared" si="11"/>
        <v>-56254.04</v>
      </c>
      <c r="H713" s="109" t="s">
        <v>80</v>
      </c>
    </row>
    <row r="714" spans="1:8">
      <c r="A714" s="108" t="s">
        <v>152</v>
      </c>
      <c r="B714" s="108">
        <v>-1156</v>
      </c>
      <c r="C714" s="108">
        <v>0</v>
      </c>
      <c r="D714" s="108">
        <v>0</v>
      </c>
      <c r="E714" s="108">
        <v>-1156</v>
      </c>
      <c r="G714" s="108">
        <f t="shared" si="11"/>
        <v>-1156</v>
      </c>
      <c r="H714" s="109" t="s">
        <v>80</v>
      </c>
    </row>
    <row r="715" spans="1:8">
      <c r="A715" s="108" t="s">
        <v>474</v>
      </c>
      <c r="B715" s="108">
        <v>-1510</v>
      </c>
      <c r="C715" s="108">
        <v>0</v>
      </c>
      <c r="D715" s="108">
        <v>0</v>
      </c>
      <c r="E715" s="108">
        <v>-1510</v>
      </c>
      <c r="G715" s="108">
        <f t="shared" si="11"/>
        <v>-1510</v>
      </c>
      <c r="H715" s="109" t="s">
        <v>80</v>
      </c>
    </row>
    <row r="716" spans="1:8">
      <c r="A716" s="108" t="s">
        <v>1237</v>
      </c>
      <c r="B716" s="108">
        <v>0</v>
      </c>
      <c r="C716" s="108">
        <v>0</v>
      </c>
      <c r="D716" s="108">
        <v>0</v>
      </c>
      <c r="E716" s="108">
        <v>0</v>
      </c>
      <c r="G716" s="108">
        <f t="shared" si="11"/>
        <v>0</v>
      </c>
      <c r="H716" s="109" t="s">
        <v>80</v>
      </c>
    </row>
    <row r="717" spans="1:8">
      <c r="A717" s="108" t="s">
        <v>511</v>
      </c>
      <c r="B717" s="108">
        <v>-84830</v>
      </c>
      <c r="C717" s="108">
        <v>30916</v>
      </c>
      <c r="D717" s="108">
        <v>79846</v>
      </c>
      <c r="E717" s="108">
        <v>-133760</v>
      </c>
      <c r="G717" s="108">
        <f t="shared" si="11"/>
        <v>-133760</v>
      </c>
      <c r="H717" s="109" t="s">
        <v>80</v>
      </c>
    </row>
    <row r="718" spans="1:8">
      <c r="A718" s="108" t="s">
        <v>801</v>
      </c>
      <c r="B718" s="108">
        <v>0.08</v>
      </c>
      <c r="C718" s="108">
        <v>0</v>
      </c>
      <c r="D718" s="108">
        <v>0</v>
      </c>
      <c r="E718" s="108">
        <v>0.08</v>
      </c>
      <c r="G718" s="108">
        <f t="shared" si="11"/>
        <v>0.08</v>
      </c>
      <c r="H718" s="109" t="s">
        <v>80</v>
      </c>
    </row>
    <row r="719" spans="1:8">
      <c r="A719" s="108" t="s">
        <v>1240</v>
      </c>
      <c r="B719" s="108">
        <v>0</v>
      </c>
      <c r="C719" s="108">
        <v>0</v>
      </c>
      <c r="D719" s="108">
        <v>0</v>
      </c>
      <c r="E719" s="108">
        <v>0</v>
      </c>
      <c r="G719" s="108">
        <f t="shared" si="11"/>
        <v>0</v>
      </c>
      <c r="H719" s="109" t="s">
        <v>80</v>
      </c>
    </row>
    <row r="720" spans="1:8">
      <c r="A720" s="108" t="s">
        <v>802</v>
      </c>
      <c r="B720" s="108">
        <v>-45900</v>
      </c>
      <c r="C720" s="108">
        <v>0</v>
      </c>
      <c r="D720" s="108">
        <v>0</v>
      </c>
      <c r="E720" s="108">
        <v>-45900</v>
      </c>
      <c r="G720" s="108">
        <f t="shared" si="11"/>
        <v>-45900</v>
      </c>
      <c r="H720" s="109" t="s">
        <v>80</v>
      </c>
    </row>
    <row r="721" spans="1:8">
      <c r="A721" s="108" t="s">
        <v>803</v>
      </c>
      <c r="B721" s="108">
        <v>0</v>
      </c>
      <c r="C721" s="108">
        <v>8850</v>
      </c>
      <c r="D721" s="108">
        <v>0</v>
      </c>
      <c r="E721" s="108">
        <v>8850</v>
      </c>
      <c r="G721" s="108">
        <f t="shared" si="11"/>
        <v>8850</v>
      </c>
      <c r="H721" s="109" t="s">
        <v>80</v>
      </c>
    </row>
    <row r="722" spans="1:8">
      <c r="A722" s="108" t="s">
        <v>1241</v>
      </c>
      <c r="B722" s="108">
        <v>0</v>
      </c>
      <c r="C722" s="108">
        <v>0</v>
      </c>
      <c r="D722" s="108">
        <v>0</v>
      </c>
      <c r="E722" s="108">
        <v>0</v>
      </c>
      <c r="G722" s="108">
        <f t="shared" si="11"/>
        <v>0</v>
      </c>
      <c r="H722" s="109" t="s">
        <v>80</v>
      </c>
    </row>
    <row r="723" spans="1:8">
      <c r="A723" s="108" t="s">
        <v>804</v>
      </c>
      <c r="B723" s="108">
        <v>0</v>
      </c>
      <c r="C723" s="108">
        <v>21500</v>
      </c>
      <c r="D723" s="108">
        <v>0</v>
      </c>
      <c r="E723" s="108">
        <v>21500</v>
      </c>
      <c r="G723" s="108">
        <f t="shared" si="11"/>
        <v>21500</v>
      </c>
      <c r="H723" s="109" t="s">
        <v>80</v>
      </c>
    </row>
    <row r="724" spans="1:8">
      <c r="A724" s="108" t="s">
        <v>805</v>
      </c>
      <c r="B724" s="108">
        <v>-1374524.97</v>
      </c>
      <c r="C724" s="108">
        <v>1670558</v>
      </c>
      <c r="D724" s="108">
        <v>0</v>
      </c>
      <c r="E724" s="108">
        <v>296033.03000000003</v>
      </c>
      <c r="G724" s="108">
        <f t="shared" si="11"/>
        <v>296033.03000000003</v>
      </c>
      <c r="H724" s="109" t="s">
        <v>80</v>
      </c>
    </row>
    <row r="725" spans="1:8">
      <c r="A725" s="108" t="s">
        <v>806</v>
      </c>
      <c r="B725" s="108">
        <v>-39407.160000000003</v>
      </c>
      <c r="C725" s="108">
        <v>38177</v>
      </c>
      <c r="D725" s="108">
        <v>25137</v>
      </c>
      <c r="E725" s="108">
        <v>-26367.16</v>
      </c>
      <c r="G725" s="108">
        <f t="shared" si="11"/>
        <v>-26367.16</v>
      </c>
      <c r="H725" s="109" t="s">
        <v>80</v>
      </c>
    </row>
    <row r="726" spans="1:8">
      <c r="A726" s="108" t="s">
        <v>484</v>
      </c>
      <c r="B726" s="108">
        <v>6931.32</v>
      </c>
      <c r="C726" s="108">
        <v>0</v>
      </c>
      <c r="D726" s="108">
        <v>6931</v>
      </c>
      <c r="E726" s="108">
        <v>0.32</v>
      </c>
      <c r="G726" s="108">
        <f t="shared" si="11"/>
        <v>0.32</v>
      </c>
      <c r="H726" s="109" t="s">
        <v>80</v>
      </c>
    </row>
    <row r="727" spans="1:8">
      <c r="A727" s="108" t="s">
        <v>807</v>
      </c>
      <c r="B727" s="108">
        <v>0</v>
      </c>
      <c r="C727" s="108">
        <v>0</v>
      </c>
      <c r="D727" s="108">
        <v>9636358.9199999999</v>
      </c>
      <c r="E727" s="108">
        <v>-9636358.9199999999</v>
      </c>
      <c r="G727" s="108">
        <f t="shared" si="11"/>
        <v>-9636358.9199999999</v>
      </c>
      <c r="H727" s="109" t="s">
        <v>80</v>
      </c>
    </row>
    <row r="728" spans="1:8">
      <c r="A728" s="108" t="s">
        <v>1242</v>
      </c>
      <c r="B728" s="108">
        <v>0</v>
      </c>
      <c r="C728" s="108">
        <v>0</v>
      </c>
      <c r="D728" s="108">
        <v>0</v>
      </c>
      <c r="E728" s="108">
        <v>0</v>
      </c>
      <c r="G728" s="108">
        <f t="shared" si="11"/>
        <v>0</v>
      </c>
      <c r="H728" s="109" t="s">
        <v>80</v>
      </c>
    </row>
    <row r="729" spans="1:8">
      <c r="A729" s="108" t="s">
        <v>291</v>
      </c>
      <c r="B729" s="108">
        <v>3064.5</v>
      </c>
      <c r="C729" s="108">
        <v>0</v>
      </c>
      <c r="D729" s="108">
        <v>0</v>
      </c>
      <c r="E729" s="108">
        <v>3064.5</v>
      </c>
      <c r="G729" s="108">
        <f t="shared" si="11"/>
        <v>3064.5</v>
      </c>
      <c r="H729" s="109" t="s">
        <v>80</v>
      </c>
    </row>
    <row r="730" spans="1:8">
      <c r="A730" s="108" t="s">
        <v>808</v>
      </c>
      <c r="B730" s="108">
        <v>108708</v>
      </c>
      <c r="C730" s="108">
        <v>0</v>
      </c>
      <c r="D730" s="108">
        <v>0</v>
      </c>
      <c r="E730" s="108">
        <v>108708</v>
      </c>
      <c r="G730" s="108">
        <f t="shared" si="11"/>
        <v>108708</v>
      </c>
      <c r="H730" s="109" t="s">
        <v>80</v>
      </c>
    </row>
    <row r="731" spans="1:8">
      <c r="A731" s="108" t="s">
        <v>809</v>
      </c>
      <c r="B731" s="108">
        <v>5098</v>
      </c>
      <c r="C731" s="108">
        <v>282795</v>
      </c>
      <c r="D731" s="108">
        <v>985131</v>
      </c>
      <c r="E731" s="108">
        <v>-697238</v>
      </c>
      <c r="G731" s="108">
        <f t="shared" si="11"/>
        <v>-697238</v>
      </c>
      <c r="H731" s="109" t="s">
        <v>80</v>
      </c>
    </row>
    <row r="732" spans="1:8">
      <c r="A732" s="108" t="s">
        <v>440</v>
      </c>
      <c r="B732" s="108">
        <v>-341383</v>
      </c>
      <c r="C732" s="108">
        <v>5285301.88</v>
      </c>
      <c r="D732" s="108">
        <v>388768</v>
      </c>
      <c r="E732" s="108">
        <v>4555150.88</v>
      </c>
      <c r="G732" s="108">
        <f t="shared" si="11"/>
        <v>4555150.88</v>
      </c>
      <c r="H732" s="109" t="s">
        <v>80</v>
      </c>
    </row>
    <row r="733" spans="1:8">
      <c r="A733" s="108" t="s">
        <v>810</v>
      </c>
      <c r="B733" s="108">
        <v>-53909</v>
      </c>
      <c r="C733" s="108">
        <v>0</v>
      </c>
      <c r="D733" s="108">
        <v>0</v>
      </c>
      <c r="E733" s="108">
        <v>-53909</v>
      </c>
      <c r="G733" s="108">
        <f t="shared" si="11"/>
        <v>-53909</v>
      </c>
      <c r="H733" s="109" t="s">
        <v>80</v>
      </c>
    </row>
    <row r="734" spans="1:8">
      <c r="A734" s="108" t="s">
        <v>1244</v>
      </c>
      <c r="B734" s="108">
        <v>0</v>
      </c>
      <c r="C734" s="108">
        <v>0</v>
      </c>
      <c r="D734" s="108">
        <v>0</v>
      </c>
      <c r="E734" s="108">
        <v>0</v>
      </c>
      <c r="G734" s="108">
        <f t="shared" si="11"/>
        <v>0</v>
      </c>
      <c r="H734" s="109" t="s">
        <v>80</v>
      </c>
    </row>
    <row r="735" spans="1:8">
      <c r="A735" s="108" t="s">
        <v>811</v>
      </c>
      <c r="B735" s="108">
        <v>0</v>
      </c>
      <c r="C735" s="108">
        <v>575461</v>
      </c>
      <c r="D735" s="108">
        <v>575461</v>
      </c>
      <c r="E735" s="108">
        <v>0</v>
      </c>
      <c r="G735" s="108">
        <f t="shared" si="11"/>
        <v>0</v>
      </c>
      <c r="H735" s="109" t="s">
        <v>80</v>
      </c>
    </row>
    <row r="736" spans="1:8">
      <c r="A736" s="108" t="s">
        <v>812</v>
      </c>
      <c r="B736" s="108">
        <v>-4661</v>
      </c>
      <c r="C736" s="108">
        <v>885</v>
      </c>
      <c r="D736" s="108">
        <v>5900</v>
      </c>
      <c r="E736" s="108">
        <v>-9676</v>
      </c>
      <c r="G736" s="108">
        <f t="shared" si="11"/>
        <v>-9676</v>
      </c>
      <c r="H736" s="109" t="s">
        <v>80</v>
      </c>
    </row>
    <row r="737" spans="1:8">
      <c r="A737" s="108" t="s">
        <v>404</v>
      </c>
      <c r="B737" s="108">
        <v>-6072774.5499999998</v>
      </c>
      <c r="C737" s="108">
        <v>6072774.5499999998</v>
      </c>
      <c r="D737" s="108">
        <v>1850020.2</v>
      </c>
      <c r="E737" s="108">
        <v>-1850020.2</v>
      </c>
      <c r="G737" s="108">
        <f t="shared" si="11"/>
        <v>-1850020.2</v>
      </c>
      <c r="H737" s="109" t="s">
        <v>80</v>
      </c>
    </row>
    <row r="738" spans="1:8">
      <c r="A738" s="108" t="s">
        <v>390</v>
      </c>
      <c r="B738" s="108">
        <v>-1270766</v>
      </c>
      <c r="C738" s="108">
        <v>1463586</v>
      </c>
      <c r="D738" s="108">
        <v>0</v>
      </c>
      <c r="E738" s="108">
        <v>192820</v>
      </c>
      <c r="G738" s="108">
        <f t="shared" si="11"/>
        <v>192820</v>
      </c>
      <c r="H738" s="109" t="s">
        <v>80</v>
      </c>
    </row>
    <row r="739" spans="1:8">
      <c r="A739" s="108" t="s">
        <v>269</v>
      </c>
      <c r="B739" s="108">
        <v>-74490.36</v>
      </c>
      <c r="C739" s="108">
        <v>1069</v>
      </c>
      <c r="D739" s="108">
        <v>57459</v>
      </c>
      <c r="E739" s="108">
        <v>-130880.36</v>
      </c>
      <c r="G739" s="108">
        <f t="shared" si="11"/>
        <v>-130880.36</v>
      </c>
      <c r="H739" s="109" t="s">
        <v>80</v>
      </c>
    </row>
    <row r="740" spans="1:8">
      <c r="A740" s="108" t="s">
        <v>813</v>
      </c>
      <c r="B740" s="108">
        <v>0</v>
      </c>
      <c r="C740" s="108">
        <v>10244</v>
      </c>
      <c r="D740" s="108">
        <v>10244</v>
      </c>
      <c r="E740" s="108">
        <v>0</v>
      </c>
      <c r="G740" s="108">
        <f t="shared" si="11"/>
        <v>0</v>
      </c>
      <c r="H740" s="109" t="s">
        <v>80</v>
      </c>
    </row>
    <row r="741" spans="1:8">
      <c r="A741" s="108" t="s">
        <v>1246</v>
      </c>
      <c r="B741" s="108">
        <v>0</v>
      </c>
      <c r="C741" s="108">
        <v>0</v>
      </c>
      <c r="D741" s="108">
        <v>0</v>
      </c>
      <c r="E741" s="108">
        <v>0</v>
      </c>
      <c r="G741" s="108">
        <f t="shared" si="11"/>
        <v>0</v>
      </c>
      <c r="H741" s="109" t="s">
        <v>80</v>
      </c>
    </row>
    <row r="742" spans="1:8">
      <c r="A742" s="108" t="s">
        <v>814</v>
      </c>
      <c r="B742" s="108">
        <v>-258278</v>
      </c>
      <c r="C742" s="108">
        <v>0</v>
      </c>
      <c r="D742" s="108">
        <v>0</v>
      </c>
      <c r="E742" s="108">
        <v>-258278</v>
      </c>
      <c r="G742" s="108">
        <f t="shared" si="11"/>
        <v>-258278</v>
      </c>
      <c r="H742" s="109" t="s">
        <v>80</v>
      </c>
    </row>
    <row r="743" spans="1:8">
      <c r="A743" s="108" t="s">
        <v>815</v>
      </c>
      <c r="B743" s="108">
        <v>579</v>
      </c>
      <c r="C743" s="108">
        <v>33584</v>
      </c>
      <c r="D743" s="108">
        <v>34163</v>
      </c>
      <c r="E743" s="108">
        <v>0</v>
      </c>
      <c r="G743" s="108">
        <f t="shared" si="11"/>
        <v>0</v>
      </c>
      <c r="H743" s="109" t="s">
        <v>80</v>
      </c>
    </row>
    <row r="744" spans="1:8">
      <c r="A744" s="108" t="s">
        <v>1046</v>
      </c>
      <c r="B744" s="108">
        <v>0</v>
      </c>
      <c r="C744" s="108">
        <v>18585</v>
      </c>
      <c r="D744" s="108">
        <v>18585</v>
      </c>
      <c r="E744" s="108">
        <v>0</v>
      </c>
      <c r="G744" s="108">
        <f t="shared" si="11"/>
        <v>0</v>
      </c>
      <c r="H744" s="109" t="s">
        <v>80</v>
      </c>
    </row>
    <row r="745" spans="1:8">
      <c r="A745" s="108" t="s">
        <v>1248</v>
      </c>
      <c r="B745" s="108">
        <v>0</v>
      </c>
      <c r="C745" s="108">
        <v>0</v>
      </c>
      <c r="D745" s="108">
        <v>0</v>
      </c>
      <c r="E745" s="108">
        <v>0</v>
      </c>
      <c r="G745" s="108">
        <f t="shared" si="11"/>
        <v>0</v>
      </c>
      <c r="H745" s="109" t="s">
        <v>80</v>
      </c>
    </row>
    <row r="746" spans="1:8">
      <c r="A746" s="108" t="s">
        <v>816</v>
      </c>
      <c r="B746" s="108">
        <v>-283452</v>
      </c>
      <c r="C746" s="108">
        <v>283452</v>
      </c>
      <c r="D746" s="108">
        <v>0</v>
      </c>
      <c r="E746" s="108">
        <v>0</v>
      </c>
      <c r="G746" s="108">
        <f t="shared" si="11"/>
        <v>0</v>
      </c>
      <c r="H746" s="109" t="s">
        <v>80</v>
      </c>
    </row>
    <row r="747" spans="1:8">
      <c r="A747" s="108" t="s">
        <v>817</v>
      </c>
      <c r="B747" s="108">
        <v>2601937</v>
      </c>
      <c r="C747" s="108">
        <v>0</v>
      </c>
      <c r="D747" s="108">
        <v>0</v>
      </c>
      <c r="E747" s="108">
        <v>2601937</v>
      </c>
      <c r="G747" s="108">
        <f t="shared" si="11"/>
        <v>2601937</v>
      </c>
      <c r="H747" s="109" t="s">
        <v>80</v>
      </c>
    </row>
    <row r="748" spans="1:8">
      <c r="A748" s="108" t="s">
        <v>1249</v>
      </c>
      <c r="B748" s="108">
        <v>0</v>
      </c>
      <c r="C748" s="108">
        <v>0</v>
      </c>
      <c r="D748" s="108">
        <v>0</v>
      </c>
      <c r="E748" s="108">
        <v>0</v>
      </c>
      <c r="G748" s="108">
        <f t="shared" si="11"/>
        <v>0</v>
      </c>
      <c r="H748" s="109" t="s">
        <v>80</v>
      </c>
    </row>
    <row r="749" spans="1:8">
      <c r="A749" s="108" t="s">
        <v>818</v>
      </c>
      <c r="B749" s="108">
        <v>5500</v>
      </c>
      <c r="C749" s="108">
        <v>0</v>
      </c>
      <c r="D749" s="108">
        <v>0</v>
      </c>
      <c r="E749" s="108">
        <v>5500</v>
      </c>
      <c r="G749" s="108">
        <f t="shared" si="11"/>
        <v>5500</v>
      </c>
      <c r="H749" s="109" t="s">
        <v>80</v>
      </c>
    </row>
    <row r="750" spans="1:8">
      <c r="A750" s="108" t="s">
        <v>819</v>
      </c>
      <c r="B750" s="108">
        <v>1768</v>
      </c>
      <c r="C750" s="108">
        <v>1729</v>
      </c>
      <c r="D750" s="108">
        <v>0</v>
      </c>
      <c r="E750" s="108">
        <v>3497</v>
      </c>
      <c r="G750" s="108">
        <f t="shared" si="11"/>
        <v>3497</v>
      </c>
      <c r="H750" s="109" t="s">
        <v>80</v>
      </c>
    </row>
    <row r="751" spans="1:8">
      <c r="A751" s="108" t="s">
        <v>820</v>
      </c>
      <c r="B751" s="108">
        <v>-40657.5</v>
      </c>
      <c r="C751" s="108">
        <v>0</v>
      </c>
      <c r="D751" s="108">
        <v>0</v>
      </c>
      <c r="E751" s="108">
        <v>-40657.5</v>
      </c>
      <c r="G751" s="108">
        <f t="shared" si="11"/>
        <v>-40657.5</v>
      </c>
      <c r="H751" s="109" t="s">
        <v>80</v>
      </c>
    </row>
    <row r="752" spans="1:8">
      <c r="A752" s="108" t="s">
        <v>435</v>
      </c>
      <c r="B752" s="108">
        <v>0</v>
      </c>
      <c r="C752" s="108">
        <v>14278</v>
      </c>
      <c r="D752" s="108">
        <v>14278</v>
      </c>
      <c r="E752" s="108">
        <v>0</v>
      </c>
      <c r="G752" s="108">
        <f t="shared" si="11"/>
        <v>0</v>
      </c>
      <c r="H752" s="109" t="s">
        <v>80</v>
      </c>
    </row>
    <row r="753" spans="1:8">
      <c r="A753" s="108" t="s">
        <v>821</v>
      </c>
      <c r="B753" s="108">
        <v>0</v>
      </c>
      <c r="C753" s="108">
        <v>423092</v>
      </c>
      <c r="D753" s="108">
        <v>0</v>
      </c>
      <c r="E753" s="108">
        <v>423092</v>
      </c>
      <c r="G753" s="108">
        <f t="shared" si="11"/>
        <v>423092</v>
      </c>
      <c r="H753" s="109" t="s">
        <v>80</v>
      </c>
    </row>
    <row r="754" spans="1:8">
      <c r="A754" s="108" t="s">
        <v>260</v>
      </c>
      <c r="B754" s="108">
        <v>-62205</v>
      </c>
      <c r="C754" s="108">
        <v>0</v>
      </c>
      <c r="D754" s="108">
        <v>24037</v>
      </c>
      <c r="E754" s="108">
        <v>-86242</v>
      </c>
      <c r="G754" s="108">
        <f t="shared" si="11"/>
        <v>-86242</v>
      </c>
      <c r="H754" s="109" t="s">
        <v>80</v>
      </c>
    </row>
    <row r="755" spans="1:8">
      <c r="A755" s="108" t="s">
        <v>822</v>
      </c>
      <c r="B755" s="108">
        <v>5900</v>
      </c>
      <c r="C755" s="108">
        <v>0</v>
      </c>
      <c r="D755" s="108">
        <v>0</v>
      </c>
      <c r="E755" s="108">
        <v>5900</v>
      </c>
      <c r="G755" s="108">
        <f t="shared" si="11"/>
        <v>5900</v>
      </c>
      <c r="H755" s="109" t="s">
        <v>80</v>
      </c>
    </row>
    <row r="756" spans="1:8">
      <c r="A756" s="108" t="s">
        <v>1253</v>
      </c>
      <c r="B756" s="108">
        <v>0</v>
      </c>
      <c r="C756" s="108">
        <v>0</v>
      </c>
      <c r="D756" s="108">
        <v>0</v>
      </c>
      <c r="E756" s="108">
        <v>0</v>
      </c>
      <c r="G756" s="108">
        <f t="shared" si="11"/>
        <v>0</v>
      </c>
      <c r="H756" s="109" t="s">
        <v>80</v>
      </c>
    </row>
    <row r="757" spans="1:8">
      <c r="A757" s="108" t="s">
        <v>823</v>
      </c>
      <c r="B757" s="108">
        <v>9238234</v>
      </c>
      <c r="C757" s="108">
        <v>8000000</v>
      </c>
      <c r="D757" s="108">
        <v>0</v>
      </c>
      <c r="E757" s="108">
        <v>17238234</v>
      </c>
      <c r="G757" s="108">
        <f t="shared" si="11"/>
        <v>17238234</v>
      </c>
      <c r="H757" s="109" t="s">
        <v>80</v>
      </c>
    </row>
    <row r="758" spans="1:8">
      <c r="A758" s="108" t="s">
        <v>824</v>
      </c>
      <c r="B758" s="108">
        <v>-0.2</v>
      </c>
      <c r="C758" s="108">
        <v>0</v>
      </c>
      <c r="D758" s="108">
        <v>0</v>
      </c>
      <c r="E758" s="108">
        <v>-0.2</v>
      </c>
      <c r="G758" s="108">
        <f t="shared" si="11"/>
        <v>-0.2</v>
      </c>
      <c r="H758" s="109" t="s">
        <v>80</v>
      </c>
    </row>
    <row r="759" spans="1:8">
      <c r="A759" s="108" t="s">
        <v>825</v>
      </c>
      <c r="B759" s="108">
        <v>0</v>
      </c>
      <c r="C759" s="108">
        <v>119416</v>
      </c>
      <c r="D759" s="108">
        <v>119416</v>
      </c>
      <c r="E759" s="108">
        <v>0</v>
      </c>
      <c r="G759" s="108">
        <f t="shared" si="11"/>
        <v>0</v>
      </c>
      <c r="H759" s="109" t="s">
        <v>80</v>
      </c>
    </row>
    <row r="760" spans="1:8">
      <c r="A760" s="108" t="s">
        <v>826</v>
      </c>
      <c r="B760" s="108">
        <v>-64110</v>
      </c>
      <c r="C760" s="108">
        <v>60</v>
      </c>
      <c r="D760" s="108">
        <v>7080</v>
      </c>
      <c r="E760" s="108">
        <v>-71130</v>
      </c>
      <c r="G760" s="108">
        <f t="shared" si="11"/>
        <v>-71130</v>
      </c>
      <c r="H760" s="109" t="s">
        <v>80</v>
      </c>
    </row>
    <row r="761" spans="1:8">
      <c r="A761" s="108" t="s">
        <v>249</v>
      </c>
      <c r="B761" s="108">
        <v>42147955.299999997</v>
      </c>
      <c r="C761" s="108">
        <v>0</v>
      </c>
      <c r="D761" s="108">
        <v>0</v>
      </c>
      <c r="E761" s="108">
        <v>42147955.299999997</v>
      </c>
      <c r="G761" s="108">
        <f t="shared" si="11"/>
        <v>42147955.299999997</v>
      </c>
      <c r="H761" s="109" t="s">
        <v>80</v>
      </c>
    </row>
    <row r="762" spans="1:8">
      <c r="A762" s="108" t="s">
        <v>248</v>
      </c>
      <c r="B762" s="108">
        <v>1092151.3400000001</v>
      </c>
      <c r="C762" s="108">
        <v>71867.8</v>
      </c>
      <c r="D762" s="108">
        <v>12447428.74</v>
      </c>
      <c r="E762" s="108">
        <v>-11283409.6</v>
      </c>
      <c r="G762" s="108">
        <f t="shared" si="11"/>
        <v>-11283409.6</v>
      </c>
      <c r="H762" s="109" t="s">
        <v>80</v>
      </c>
    </row>
    <row r="763" spans="1:8">
      <c r="A763" s="108" t="s">
        <v>439</v>
      </c>
      <c r="B763" s="108">
        <v>-4548</v>
      </c>
      <c r="C763" s="108">
        <v>0</v>
      </c>
      <c r="D763" s="108">
        <v>0</v>
      </c>
      <c r="E763" s="108">
        <v>-4548</v>
      </c>
      <c r="G763" s="108">
        <f t="shared" si="11"/>
        <v>-4548</v>
      </c>
      <c r="H763" s="109" t="s">
        <v>80</v>
      </c>
    </row>
    <row r="764" spans="1:8">
      <c r="A764" s="108" t="s">
        <v>1417</v>
      </c>
      <c r="B764" s="108">
        <v>0</v>
      </c>
      <c r="C764" s="108">
        <v>0</v>
      </c>
      <c r="D764" s="108">
        <v>0</v>
      </c>
      <c r="E764" s="108">
        <v>0</v>
      </c>
      <c r="G764" s="108">
        <f t="shared" si="11"/>
        <v>0</v>
      </c>
      <c r="H764" s="109" t="s">
        <v>80</v>
      </c>
    </row>
    <row r="765" spans="1:8">
      <c r="A765" s="108" t="s">
        <v>1256</v>
      </c>
      <c r="B765" s="108">
        <v>0</v>
      </c>
      <c r="C765" s="108">
        <v>0</v>
      </c>
      <c r="D765" s="108">
        <v>0</v>
      </c>
      <c r="E765" s="108">
        <v>0</v>
      </c>
      <c r="G765" s="108">
        <f t="shared" si="11"/>
        <v>0</v>
      </c>
      <c r="H765" s="109" t="s">
        <v>80</v>
      </c>
    </row>
    <row r="766" spans="1:8">
      <c r="A766" s="108" t="s">
        <v>244</v>
      </c>
      <c r="B766" s="108">
        <v>11258</v>
      </c>
      <c r="C766" s="108">
        <v>0</v>
      </c>
      <c r="D766" s="108">
        <v>0</v>
      </c>
      <c r="E766" s="108">
        <v>11258</v>
      </c>
      <c r="G766" s="108">
        <f t="shared" si="11"/>
        <v>11258</v>
      </c>
      <c r="H766" s="109" t="s">
        <v>80</v>
      </c>
    </row>
    <row r="767" spans="1:8">
      <c r="A767" s="108" t="s">
        <v>245</v>
      </c>
      <c r="B767" s="108">
        <v>-203061.43</v>
      </c>
      <c r="C767" s="108">
        <v>141386</v>
      </c>
      <c r="D767" s="108">
        <v>234044</v>
      </c>
      <c r="E767" s="108">
        <v>-295719.43</v>
      </c>
      <c r="G767" s="108">
        <f t="shared" si="11"/>
        <v>-295719.43</v>
      </c>
      <c r="H767" s="109" t="s">
        <v>80</v>
      </c>
    </row>
    <row r="768" spans="1:8">
      <c r="A768" s="108" t="s">
        <v>456</v>
      </c>
      <c r="B768" s="108">
        <v>-0.4</v>
      </c>
      <c r="C768" s="108">
        <v>0</v>
      </c>
      <c r="D768" s="108">
        <v>0</v>
      </c>
      <c r="E768" s="108">
        <v>-0.4</v>
      </c>
      <c r="G768" s="108">
        <f t="shared" si="11"/>
        <v>-0.4</v>
      </c>
      <c r="H768" s="109" t="s">
        <v>80</v>
      </c>
    </row>
    <row r="769" spans="1:8">
      <c r="A769" s="108" t="s">
        <v>408</v>
      </c>
      <c r="B769" s="108">
        <v>-46545.14</v>
      </c>
      <c r="C769" s="108">
        <v>46545</v>
      </c>
      <c r="D769" s="108">
        <v>0</v>
      </c>
      <c r="E769" s="108">
        <v>-0.14000000000000001</v>
      </c>
      <c r="G769" s="108">
        <f t="shared" si="11"/>
        <v>-0.14000000000000001</v>
      </c>
      <c r="H769" s="109" t="s">
        <v>80</v>
      </c>
    </row>
    <row r="770" spans="1:8">
      <c r="A770" s="108" t="s">
        <v>827</v>
      </c>
      <c r="B770" s="108">
        <v>548427.9</v>
      </c>
      <c r="C770" s="108">
        <v>0</v>
      </c>
      <c r="D770" s="108">
        <v>0</v>
      </c>
      <c r="E770" s="108">
        <v>548427.9</v>
      </c>
      <c r="G770" s="108">
        <f t="shared" si="11"/>
        <v>548427.9</v>
      </c>
      <c r="H770" s="109" t="s">
        <v>80</v>
      </c>
    </row>
    <row r="771" spans="1:8">
      <c r="A771" s="108" t="s">
        <v>1515</v>
      </c>
      <c r="B771" s="108">
        <v>0</v>
      </c>
      <c r="C771" s="108">
        <v>0</v>
      </c>
      <c r="D771" s="108">
        <v>0</v>
      </c>
      <c r="E771" s="108">
        <v>0</v>
      </c>
      <c r="G771" s="108">
        <f t="shared" ref="G771:G834" si="12">E771+F771</f>
        <v>0</v>
      </c>
      <c r="H771" s="109" t="s">
        <v>80</v>
      </c>
    </row>
    <row r="772" spans="1:8">
      <c r="A772" s="108" t="s">
        <v>473</v>
      </c>
      <c r="B772" s="108">
        <v>-3500</v>
      </c>
      <c r="C772" s="108">
        <v>0</v>
      </c>
      <c r="D772" s="108">
        <v>0</v>
      </c>
      <c r="E772" s="108">
        <v>-3500</v>
      </c>
      <c r="G772" s="108">
        <f t="shared" si="12"/>
        <v>-3500</v>
      </c>
      <c r="H772" s="109" t="s">
        <v>80</v>
      </c>
    </row>
    <row r="773" spans="1:8">
      <c r="A773" s="108" t="s">
        <v>1257</v>
      </c>
      <c r="B773" s="108">
        <v>0</v>
      </c>
      <c r="C773" s="108">
        <v>0</v>
      </c>
      <c r="D773" s="108">
        <v>0</v>
      </c>
      <c r="E773" s="108">
        <v>0</v>
      </c>
      <c r="G773" s="108">
        <f t="shared" si="12"/>
        <v>0</v>
      </c>
      <c r="H773" s="109" t="s">
        <v>80</v>
      </c>
    </row>
    <row r="774" spans="1:8">
      <c r="A774" s="108" t="s">
        <v>241</v>
      </c>
      <c r="B774" s="108">
        <v>-311880</v>
      </c>
      <c r="C774" s="108">
        <v>0</v>
      </c>
      <c r="D774" s="108">
        <v>0</v>
      </c>
      <c r="E774" s="108">
        <v>-311880</v>
      </c>
      <c r="G774" s="108">
        <f t="shared" si="12"/>
        <v>-311880</v>
      </c>
      <c r="H774" s="109" t="s">
        <v>80</v>
      </c>
    </row>
    <row r="775" spans="1:8">
      <c r="A775" s="108" t="s">
        <v>828</v>
      </c>
      <c r="B775" s="108">
        <v>44975</v>
      </c>
      <c r="C775" s="108">
        <v>0</v>
      </c>
      <c r="D775" s="108">
        <v>0</v>
      </c>
      <c r="E775" s="108">
        <v>44975</v>
      </c>
      <c r="G775" s="108">
        <f t="shared" si="12"/>
        <v>44975</v>
      </c>
      <c r="H775" s="109" t="s">
        <v>80</v>
      </c>
    </row>
    <row r="776" spans="1:8">
      <c r="A776" s="108" t="s">
        <v>1258</v>
      </c>
      <c r="B776" s="108">
        <v>0</v>
      </c>
      <c r="C776" s="108">
        <v>0</v>
      </c>
      <c r="D776" s="108">
        <v>0</v>
      </c>
      <c r="E776" s="108">
        <v>0</v>
      </c>
      <c r="G776" s="108">
        <f t="shared" si="12"/>
        <v>0</v>
      </c>
      <c r="H776" s="109" t="s">
        <v>80</v>
      </c>
    </row>
    <row r="777" spans="1:8">
      <c r="A777" s="108" t="s">
        <v>1259</v>
      </c>
      <c r="B777" s="108">
        <v>0</v>
      </c>
      <c r="C777" s="108">
        <v>0</v>
      </c>
      <c r="D777" s="108">
        <v>0</v>
      </c>
      <c r="E777" s="108">
        <v>0</v>
      </c>
      <c r="G777" s="108">
        <f t="shared" si="12"/>
        <v>0</v>
      </c>
      <c r="H777" s="109" t="s">
        <v>80</v>
      </c>
    </row>
    <row r="778" spans="1:8">
      <c r="A778" s="108" t="s">
        <v>829</v>
      </c>
      <c r="B778" s="108">
        <v>32398</v>
      </c>
      <c r="C778" s="108">
        <v>0</v>
      </c>
      <c r="D778" s="108">
        <v>0</v>
      </c>
      <c r="E778" s="108">
        <v>32398</v>
      </c>
      <c r="G778" s="108">
        <f t="shared" si="12"/>
        <v>32398</v>
      </c>
      <c r="H778" s="109" t="s">
        <v>80</v>
      </c>
    </row>
    <row r="779" spans="1:8">
      <c r="A779" s="108" t="s">
        <v>830</v>
      </c>
      <c r="B779" s="108">
        <v>-1442</v>
      </c>
      <c r="C779" s="108">
        <v>0</v>
      </c>
      <c r="D779" s="108">
        <v>0</v>
      </c>
      <c r="E779" s="108">
        <v>-1442</v>
      </c>
      <c r="G779" s="108">
        <f t="shared" si="12"/>
        <v>-1442</v>
      </c>
      <c r="H779" s="109" t="s">
        <v>80</v>
      </c>
    </row>
    <row r="780" spans="1:8">
      <c r="A780" s="108" t="s">
        <v>831</v>
      </c>
      <c r="B780" s="108">
        <v>-16520</v>
      </c>
      <c r="C780" s="108">
        <v>0</v>
      </c>
      <c r="D780" s="108">
        <v>0</v>
      </c>
      <c r="E780" s="108">
        <v>-16520</v>
      </c>
      <c r="G780" s="108">
        <f t="shared" si="12"/>
        <v>-16520</v>
      </c>
      <c r="H780" s="109" t="s">
        <v>80</v>
      </c>
    </row>
    <row r="781" spans="1:8">
      <c r="A781" s="108" t="s">
        <v>832</v>
      </c>
      <c r="B781" s="108">
        <v>16834618.210000001</v>
      </c>
      <c r="C781" s="108">
        <v>0</v>
      </c>
      <c r="D781" s="108">
        <v>0</v>
      </c>
      <c r="E781" s="108">
        <v>16834618.210000001</v>
      </c>
      <c r="G781" s="108">
        <f t="shared" si="12"/>
        <v>16834618.210000001</v>
      </c>
      <c r="H781" s="109" t="s">
        <v>80</v>
      </c>
    </row>
    <row r="782" spans="1:8">
      <c r="A782" s="108" t="s">
        <v>235</v>
      </c>
      <c r="B782" s="108">
        <v>-17148820.5</v>
      </c>
      <c r="C782" s="108">
        <v>0</v>
      </c>
      <c r="D782" s="108">
        <v>0</v>
      </c>
      <c r="E782" s="108">
        <v>-17148820.5</v>
      </c>
      <c r="G782" s="108">
        <f t="shared" si="12"/>
        <v>-17148820.5</v>
      </c>
      <c r="H782" s="109" t="s">
        <v>80</v>
      </c>
    </row>
    <row r="783" spans="1:8">
      <c r="A783" s="108" t="s">
        <v>234</v>
      </c>
      <c r="B783" s="108">
        <v>137982122.58000001</v>
      </c>
      <c r="C783" s="108">
        <v>0</v>
      </c>
      <c r="D783" s="108">
        <v>0</v>
      </c>
      <c r="E783" s="108">
        <v>137982122.58000001</v>
      </c>
      <c r="G783" s="108">
        <f t="shared" si="12"/>
        <v>137982122.58000001</v>
      </c>
      <c r="H783" s="109" t="s">
        <v>80</v>
      </c>
    </row>
    <row r="784" spans="1:8">
      <c r="A784" s="108" t="s">
        <v>833</v>
      </c>
      <c r="B784" s="108">
        <v>-34650</v>
      </c>
      <c r="C784" s="108">
        <v>34650</v>
      </c>
      <c r="D784" s="108">
        <v>0</v>
      </c>
      <c r="E784" s="108">
        <v>0</v>
      </c>
      <c r="G784" s="108">
        <f t="shared" si="12"/>
        <v>0</v>
      </c>
      <c r="H784" s="109" t="s">
        <v>80</v>
      </c>
    </row>
    <row r="785" spans="1:8">
      <c r="A785" s="108" t="s">
        <v>1419</v>
      </c>
      <c r="B785" s="108">
        <v>0</v>
      </c>
      <c r="C785" s="108">
        <v>0</v>
      </c>
      <c r="D785" s="108">
        <v>0</v>
      </c>
      <c r="E785" s="108">
        <v>0</v>
      </c>
      <c r="G785" s="108">
        <f t="shared" si="12"/>
        <v>0</v>
      </c>
      <c r="H785" s="109" t="s">
        <v>80</v>
      </c>
    </row>
    <row r="786" spans="1:8">
      <c r="A786" s="108" t="s">
        <v>834</v>
      </c>
      <c r="B786" s="108">
        <v>-43641</v>
      </c>
      <c r="C786" s="108">
        <v>1182</v>
      </c>
      <c r="D786" s="108">
        <v>62037</v>
      </c>
      <c r="E786" s="108">
        <v>-104496</v>
      </c>
      <c r="G786" s="108">
        <f t="shared" si="12"/>
        <v>-104496</v>
      </c>
      <c r="H786" s="109" t="s">
        <v>80</v>
      </c>
    </row>
    <row r="787" spans="1:8">
      <c r="A787" s="108" t="s">
        <v>835</v>
      </c>
      <c r="B787" s="108">
        <v>-1782</v>
      </c>
      <c r="C787" s="108">
        <v>0</v>
      </c>
      <c r="D787" s="108">
        <v>0</v>
      </c>
      <c r="E787" s="108">
        <v>-1782</v>
      </c>
      <c r="G787" s="108">
        <f t="shared" si="12"/>
        <v>-1782</v>
      </c>
      <c r="H787" s="109" t="s">
        <v>80</v>
      </c>
    </row>
    <row r="788" spans="1:8">
      <c r="A788" s="108" t="s">
        <v>836</v>
      </c>
      <c r="B788" s="108">
        <v>0.44</v>
      </c>
      <c r="C788" s="108">
        <v>0</v>
      </c>
      <c r="D788" s="108">
        <v>0</v>
      </c>
      <c r="E788" s="108">
        <v>0.44</v>
      </c>
      <c r="G788" s="108">
        <f t="shared" si="12"/>
        <v>0.44</v>
      </c>
      <c r="H788" s="109" t="s">
        <v>80</v>
      </c>
    </row>
    <row r="789" spans="1:8">
      <c r="A789" s="108" t="s">
        <v>1261</v>
      </c>
      <c r="B789" s="108">
        <v>0</v>
      </c>
      <c r="C789" s="108">
        <v>0</v>
      </c>
      <c r="D789" s="108">
        <v>0</v>
      </c>
      <c r="E789" s="108">
        <v>0</v>
      </c>
      <c r="G789" s="108">
        <f t="shared" si="12"/>
        <v>0</v>
      </c>
      <c r="H789" s="109" t="s">
        <v>80</v>
      </c>
    </row>
    <row r="790" spans="1:8">
      <c r="A790" s="108" t="s">
        <v>837</v>
      </c>
      <c r="B790" s="108">
        <v>3846</v>
      </c>
      <c r="C790" s="108">
        <v>454354</v>
      </c>
      <c r="D790" s="108">
        <v>458200</v>
      </c>
      <c r="E790" s="108">
        <v>0</v>
      </c>
      <c r="G790" s="108">
        <f t="shared" si="12"/>
        <v>0</v>
      </c>
      <c r="H790" s="109" t="s">
        <v>80</v>
      </c>
    </row>
    <row r="791" spans="1:8">
      <c r="A791" s="108" t="s">
        <v>838</v>
      </c>
      <c r="B791" s="108">
        <v>-0.28000000000000003</v>
      </c>
      <c r="C791" s="108">
        <v>0</v>
      </c>
      <c r="D791" s="108">
        <v>0</v>
      </c>
      <c r="E791" s="108">
        <v>-0.28000000000000003</v>
      </c>
      <c r="G791" s="108">
        <f t="shared" si="12"/>
        <v>-0.28000000000000003</v>
      </c>
      <c r="H791" s="109" t="s">
        <v>80</v>
      </c>
    </row>
    <row r="792" spans="1:8">
      <c r="A792" s="108" t="s">
        <v>1262</v>
      </c>
      <c r="B792" s="108">
        <v>0</v>
      </c>
      <c r="C792" s="108">
        <v>0</v>
      </c>
      <c r="D792" s="108">
        <v>0</v>
      </c>
      <c r="E792" s="108">
        <v>0</v>
      </c>
      <c r="G792" s="108">
        <f t="shared" si="12"/>
        <v>0</v>
      </c>
      <c r="H792" s="109" t="s">
        <v>80</v>
      </c>
    </row>
    <row r="793" spans="1:8">
      <c r="A793" s="108" t="s">
        <v>839</v>
      </c>
      <c r="B793" s="108">
        <v>-136.63</v>
      </c>
      <c r="C793" s="108">
        <v>0</v>
      </c>
      <c r="D793" s="108">
        <v>0</v>
      </c>
      <c r="E793" s="108">
        <v>-136.63</v>
      </c>
      <c r="G793" s="108">
        <f t="shared" si="12"/>
        <v>-136.63</v>
      </c>
      <c r="H793" s="109" t="s">
        <v>80</v>
      </c>
    </row>
    <row r="794" spans="1:8">
      <c r="A794" s="108" t="s">
        <v>1483</v>
      </c>
      <c r="B794" s="108">
        <v>0</v>
      </c>
      <c r="C794" s="108">
        <v>0</v>
      </c>
      <c r="D794" s="108">
        <v>0</v>
      </c>
      <c r="E794" s="108">
        <v>0</v>
      </c>
      <c r="G794" s="108">
        <f t="shared" si="12"/>
        <v>0</v>
      </c>
      <c r="H794" s="109" t="s">
        <v>80</v>
      </c>
    </row>
    <row r="795" spans="1:8">
      <c r="A795" s="108" t="s">
        <v>224</v>
      </c>
      <c r="B795" s="108">
        <v>-21780</v>
      </c>
      <c r="C795" s="108">
        <v>0</v>
      </c>
      <c r="D795" s="108">
        <v>0</v>
      </c>
      <c r="E795" s="108">
        <v>-21780</v>
      </c>
      <c r="G795" s="108">
        <f t="shared" si="12"/>
        <v>-21780</v>
      </c>
      <c r="H795" s="109" t="s">
        <v>80</v>
      </c>
    </row>
    <row r="796" spans="1:8">
      <c r="A796" s="108" t="s">
        <v>1263</v>
      </c>
      <c r="B796" s="108">
        <v>0</v>
      </c>
      <c r="C796" s="108">
        <v>0</v>
      </c>
      <c r="D796" s="108">
        <v>0</v>
      </c>
      <c r="E796" s="108">
        <v>0</v>
      </c>
      <c r="G796" s="108">
        <f t="shared" si="12"/>
        <v>0</v>
      </c>
      <c r="H796" s="109" t="s">
        <v>80</v>
      </c>
    </row>
    <row r="797" spans="1:8">
      <c r="A797" s="108" t="s">
        <v>840</v>
      </c>
      <c r="B797" s="108">
        <v>1620</v>
      </c>
      <c r="C797" s="108">
        <v>0</v>
      </c>
      <c r="D797" s="108">
        <v>0</v>
      </c>
      <c r="E797" s="108">
        <v>1620</v>
      </c>
      <c r="G797" s="108">
        <f t="shared" si="12"/>
        <v>1620</v>
      </c>
      <c r="H797" s="109" t="s">
        <v>80</v>
      </c>
    </row>
    <row r="798" spans="1:8">
      <c r="A798" s="108" t="s">
        <v>841</v>
      </c>
      <c r="B798" s="108">
        <v>0</v>
      </c>
      <c r="C798" s="108">
        <v>119000</v>
      </c>
      <c r="D798" s="108">
        <v>118000</v>
      </c>
      <c r="E798" s="108">
        <v>1000</v>
      </c>
      <c r="G798" s="108">
        <f t="shared" si="12"/>
        <v>1000</v>
      </c>
      <c r="H798" s="109" t="s">
        <v>80</v>
      </c>
    </row>
    <row r="799" spans="1:8">
      <c r="A799" s="108" t="s">
        <v>222</v>
      </c>
      <c r="B799" s="108">
        <v>-517434.81</v>
      </c>
      <c r="C799" s="108">
        <v>331202</v>
      </c>
      <c r="D799" s="108">
        <v>331202</v>
      </c>
      <c r="E799" s="108">
        <v>-517434.81</v>
      </c>
      <c r="G799" s="108">
        <f t="shared" si="12"/>
        <v>-517434.81</v>
      </c>
      <c r="H799" s="109" t="s">
        <v>80</v>
      </c>
    </row>
    <row r="800" spans="1:8">
      <c r="A800" s="108" t="s">
        <v>842</v>
      </c>
      <c r="B800" s="108">
        <v>1491</v>
      </c>
      <c r="C800" s="108">
        <v>87038</v>
      </c>
      <c r="D800" s="108">
        <v>122569</v>
      </c>
      <c r="E800" s="108">
        <v>-34040</v>
      </c>
      <c r="G800" s="108">
        <f t="shared" si="12"/>
        <v>-34040</v>
      </c>
      <c r="H800" s="109" t="s">
        <v>80</v>
      </c>
    </row>
    <row r="801" spans="1:8">
      <c r="A801" s="108" t="s">
        <v>843</v>
      </c>
      <c r="B801" s="108">
        <v>0</v>
      </c>
      <c r="C801" s="108">
        <v>0</v>
      </c>
      <c r="D801" s="108">
        <v>11151</v>
      </c>
      <c r="E801" s="108">
        <v>-11151</v>
      </c>
      <c r="G801" s="108">
        <f t="shared" si="12"/>
        <v>-11151</v>
      </c>
      <c r="H801" s="109" t="s">
        <v>80</v>
      </c>
    </row>
    <row r="802" spans="1:8">
      <c r="A802" s="108" t="s">
        <v>844</v>
      </c>
      <c r="B802" s="108">
        <v>-0.86</v>
      </c>
      <c r="C802" s="108">
        <v>0</v>
      </c>
      <c r="D802" s="108">
        <v>0</v>
      </c>
      <c r="E802" s="108">
        <v>-0.86</v>
      </c>
      <c r="G802" s="108">
        <f t="shared" si="12"/>
        <v>-0.86</v>
      </c>
      <c r="H802" s="109" t="s">
        <v>80</v>
      </c>
    </row>
    <row r="803" spans="1:8">
      <c r="A803" s="108" t="s">
        <v>845</v>
      </c>
      <c r="B803" s="108">
        <v>-400</v>
      </c>
      <c r="C803" s="108">
        <v>0</v>
      </c>
      <c r="D803" s="108">
        <v>0</v>
      </c>
      <c r="E803" s="108">
        <v>-400</v>
      </c>
      <c r="G803" s="108">
        <f t="shared" si="12"/>
        <v>-400</v>
      </c>
      <c r="H803" s="109" t="s">
        <v>80</v>
      </c>
    </row>
    <row r="804" spans="1:8">
      <c r="A804" s="108" t="s">
        <v>485</v>
      </c>
      <c r="B804" s="108">
        <v>-31784</v>
      </c>
      <c r="C804" s="108">
        <v>0</v>
      </c>
      <c r="D804" s="108">
        <v>14750</v>
      </c>
      <c r="E804" s="108">
        <v>-46534</v>
      </c>
      <c r="G804" s="108">
        <f t="shared" si="12"/>
        <v>-46534</v>
      </c>
      <c r="H804" s="109" t="s">
        <v>80</v>
      </c>
    </row>
    <row r="805" spans="1:8">
      <c r="A805" s="108" t="s">
        <v>846</v>
      </c>
      <c r="B805" s="108">
        <v>13933</v>
      </c>
      <c r="C805" s="108">
        <v>0</v>
      </c>
      <c r="D805" s="108">
        <v>0</v>
      </c>
      <c r="E805" s="108">
        <v>13933</v>
      </c>
      <c r="G805" s="108">
        <f t="shared" si="12"/>
        <v>13933</v>
      </c>
      <c r="H805" s="109" t="s">
        <v>80</v>
      </c>
    </row>
    <row r="806" spans="1:8">
      <c r="A806" s="108" t="s">
        <v>1265</v>
      </c>
      <c r="B806" s="108">
        <v>0</v>
      </c>
      <c r="C806" s="108">
        <v>0</v>
      </c>
      <c r="D806" s="108">
        <v>0</v>
      </c>
      <c r="E806" s="108">
        <v>0</v>
      </c>
      <c r="G806" s="108">
        <f t="shared" si="12"/>
        <v>0</v>
      </c>
      <c r="H806" s="109" t="s">
        <v>80</v>
      </c>
    </row>
    <row r="807" spans="1:8">
      <c r="A807" s="108" t="s">
        <v>1266</v>
      </c>
      <c r="B807" s="108">
        <v>0</v>
      </c>
      <c r="C807" s="108">
        <v>0</v>
      </c>
      <c r="D807" s="108">
        <v>0</v>
      </c>
      <c r="E807" s="108">
        <v>0</v>
      </c>
      <c r="G807" s="108">
        <f t="shared" si="12"/>
        <v>0</v>
      </c>
      <c r="H807" s="109" t="s">
        <v>80</v>
      </c>
    </row>
    <row r="808" spans="1:8">
      <c r="A808" s="108" t="s">
        <v>1420</v>
      </c>
      <c r="B808" s="108">
        <v>0</v>
      </c>
      <c r="C808" s="108">
        <v>0</v>
      </c>
      <c r="D808" s="108">
        <v>0</v>
      </c>
      <c r="E808" s="108">
        <v>0</v>
      </c>
      <c r="G808" s="108">
        <f t="shared" si="12"/>
        <v>0</v>
      </c>
      <c r="H808" s="109" t="s">
        <v>80</v>
      </c>
    </row>
    <row r="809" spans="1:8">
      <c r="A809" s="108" t="s">
        <v>1267</v>
      </c>
      <c r="B809" s="108">
        <v>0</v>
      </c>
      <c r="C809" s="108">
        <v>0</v>
      </c>
      <c r="D809" s="108">
        <v>0</v>
      </c>
      <c r="E809" s="108">
        <v>0</v>
      </c>
      <c r="G809" s="108">
        <f t="shared" si="12"/>
        <v>0</v>
      </c>
      <c r="H809" s="109" t="s">
        <v>80</v>
      </c>
    </row>
    <row r="810" spans="1:8">
      <c r="A810" s="108" t="s">
        <v>1269</v>
      </c>
      <c r="B810" s="108">
        <v>0</v>
      </c>
      <c r="C810" s="108">
        <v>0</v>
      </c>
      <c r="D810" s="108">
        <v>0</v>
      </c>
      <c r="E810" s="108">
        <v>0</v>
      </c>
      <c r="G810" s="108">
        <f t="shared" si="12"/>
        <v>0</v>
      </c>
      <c r="H810" s="109" t="s">
        <v>80</v>
      </c>
    </row>
    <row r="811" spans="1:8">
      <c r="A811" s="108" t="s">
        <v>847</v>
      </c>
      <c r="B811" s="108">
        <v>345500</v>
      </c>
      <c r="C811" s="108">
        <v>0</v>
      </c>
      <c r="D811" s="108">
        <v>0</v>
      </c>
      <c r="E811" s="108">
        <v>345500</v>
      </c>
      <c r="G811" s="108">
        <f t="shared" si="12"/>
        <v>345500</v>
      </c>
      <c r="H811" s="109" t="s">
        <v>80</v>
      </c>
    </row>
    <row r="812" spans="1:8">
      <c r="A812" s="108" t="s">
        <v>848</v>
      </c>
      <c r="B812" s="108">
        <v>-2.2599999999999998</v>
      </c>
      <c r="C812" s="108">
        <v>0</v>
      </c>
      <c r="D812" s="108">
        <v>0</v>
      </c>
      <c r="E812" s="108">
        <v>-2.2599999999999998</v>
      </c>
      <c r="G812" s="108">
        <f t="shared" si="12"/>
        <v>-2.2599999999999998</v>
      </c>
      <c r="H812" s="109" t="s">
        <v>80</v>
      </c>
    </row>
    <row r="813" spans="1:8">
      <c r="A813" s="108" t="s">
        <v>1270</v>
      </c>
      <c r="B813" s="108">
        <v>0</v>
      </c>
      <c r="C813" s="108">
        <v>0</v>
      </c>
      <c r="D813" s="108">
        <v>0</v>
      </c>
      <c r="E813" s="108">
        <v>0</v>
      </c>
      <c r="G813" s="108">
        <f t="shared" si="12"/>
        <v>0</v>
      </c>
      <c r="H813" s="109" t="s">
        <v>80</v>
      </c>
    </row>
    <row r="814" spans="1:8">
      <c r="A814" s="108" t="s">
        <v>849</v>
      </c>
      <c r="B814" s="108">
        <v>-236204</v>
      </c>
      <c r="C814" s="108">
        <v>236204</v>
      </c>
      <c r="D814" s="108">
        <v>0</v>
      </c>
      <c r="E814" s="108">
        <v>0</v>
      </c>
      <c r="G814" s="108">
        <f t="shared" si="12"/>
        <v>0</v>
      </c>
      <c r="H814" s="109" t="s">
        <v>80</v>
      </c>
    </row>
    <row r="815" spans="1:8">
      <c r="A815" s="108" t="s">
        <v>1271</v>
      </c>
      <c r="B815" s="108">
        <v>0</v>
      </c>
      <c r="C815" s="108">
        <v>0</v>
      </c>
      <c r="D815" s="108">
        <v>0</v>
      </c>
      <c r="E815" s="108">
        <v>0</v>
      </c>
      <c r="G815" s="108">
        <f t="shared" si="12"/>
        <v>0</v>
      </c>
      <c r="H815" s="109" t="s">
        <v>80</v>
      </c>
    </row>
    <row r="816" spans="1:8">
      <c r="A816" s="108" t="s">
        <v>433</v>
      </c>
      <c r="B816" s="108">
        <v>-7128</v>
      </c>
      <c r="C816" s="108">
        <v>0</v>
      </c>
      <c r="D816" s="108">
        <v>0</v>
      </c>
      <c r="E816" s="108">
        <v>-7128</v>
      </c>
      <c r="G816" s="108">
        <f t="shared" si="12"/>
        <v>-7128</v>
      </c>
      <c r="H816" s="109" t="s">
        <v>80</v>
      </c>
    </row>
    <row r="817" spans="1:8">
      <c r="A817" s="108" t="s">
        <v>850</v>
      </c>
      <c r="B817" s="108">
        <v>-970</v>
      </c>
      <c r="C817" s="108">
        <v>0</v>
      </c>
      <c r="D817" s="108">
        <v>0</v>
      </c>
      <c r="E817" s="108">
        <v>-970</v>
      </c>
      <c r="G817" s="108">
        <f t="shared" si="12"/>
        <v>-970</v>
      </c>
      <c r="H817" s="109" t="s">
        <v>80</v>
      </c>
    </row>
    <row r="818" spans="1:8">
      <c r="A818" s="108" t="s">
        <v>851</v>
      </c>
      <c r="B818" s="108">
        <v>384450</v>
      </c>
      <c r="C818" s="108">
        <v>0</v>
      </c>
      <c r="D818" s="108">
        <v>384450</v>
      </c>
      <c r="E818" s="108">
        <v>0</v>
      </c>
      <c r="G818" s="108">
        <f t="shared" si="12"/>
        <v>0</v>
      </c>
      <c r="H818" s="109" t="s">
        <v>80</v>
      </c>
    </row>
    <row r="819" spans="1:8">
      <c r="A819" s="108" t="s">
        <v>852</v>
      </c>
      <c r="B819" s="108">
        <v>-56901.93</v>
      </c>
      <c r="C819" s="108">
        <v>22812</v>
      </c>
      <c r="D819" s="108">
        <v>1618</v>
      </c>
      <c r="E819" s="108">
        <v>-35707.93</v>
      </c>
      <c r="G819" s="108">
        <f t="shared" si="12"/>
        <v>-35707.93</v>
      </c>
      <c r="H819" s="109" t="s">
        <v>80</v>
      </c>
    </row>
    <row r="820" spans="1:8">
      <c r="A820" s="108" t="s">
        <v>394</v>
      </c>
      <c r="B820" s="108">
        <v>0</v>
      </c>
      <c r="C820" s="108">
        <v>18585</v>
      </c>
      <c r="D820" s="108">
        <v>19234</v>
      </c>
      <c r="E820" s="108">
        <v>-649</v>
      </c>
      <c r="G820" s="108">
        <f t="shared" si="12"/>
        <v>-649</v>
      </c>
      <c r="H820" s="109" t="s">
        <v>80</v>
      </c>
    </row>
    <row r="821" spans="1:8">
      <c r="A821" s="108" t="s">
        <v>213</v>
      </c>
      <c r="B821" s="108">
        <v>1443.13</v>
      </c>
      <c r="C821" s="108">
        <v>0</v>
      </c>
      <c r="D821" s="108">
        <v>0</v>
      </c>
      <c r="E821" s="108">
        <v>1443.13</v>
      </c>
      <c r="G821" s="108">
        <f t="shared" si="12"/>
        <v>1443.13</v>
      </c>
      <c r="H821" s="109" t="s">
        <v>80</v>
      </c>
    </row>
    <row r="822" spans="1:8">
      <c r="A822" s="108" t="s">
        <v>212</v>
      </c>
      <c r="B822" s="108">
        <v>-10701996.76</v>
      </c>
      <c r="C822" s="108">
        <v>0</v>
      </c>
      <c r="D822" s="108">
        <v>0</v>
      </c>
      <c r="E822" s="108">
        <v>-10701996.76</v>
      </c>
      <c r="G822" s="108">
        <f t="shared" si="12"/>
        <v>-10701996.76</v>
      </c>
      <c r="H822" s="109" t="s">
        <v>80</v>
      </c>
    </row>
    <row r="823" spans="1:8">
      <c r="A823" s="108" t="s">
        <v>210</v>
      </c>
      <c r="B823" s="108">
        <v>-15232000</v>
      </c>
      <c r="C823" s="108">
        <v>215590695</v>
      </c>
      <c r="D823" s="108">
        <v>30030495.640000001</v>
      </c>
      <c r="E823" s="108">
        <v>170328199.36000001</v>
      </c>
      <c r="G823" s="108">
        <f t="shared" si="12"/>
        <v>170328199.36000001</v>
      </c>
      <c r="H823" s="109" t="s">
        <v>80</v>
      </c>
    </row>
    <row r="824" spans="1:8">
      <c r="A824" s="108" t="s">
        <v>853</v>
      </c>
      <c r="B824" s="108">
        <v>65324336.740000002</v>
      </c>
      <c r="C824" s="108">
        <v>39198</v>
      </c>
      <c r="D824" s="108">
        <v>9073001.5199999996</v>
      </c>
      <c r="E824" s="108">
        <v>56290533.219999999</v>
      </c>
      <c r="G824" s="108">
        <f t="shared" si="12"/>
        <v>56290533.219999999</v>
      </c>
      <c r="H824" s="109" t="s">
        <v>80</v>
      </c>
    </row>
    <row r="825" spans="1:8">
      <c r="A825" s="108" t="s">
        <v>1422</v>
      </c>
      <c r="B825" s="108">
        <v>0</v>
      </c>
      <c r="C825" s="108">
        <v>0</v>
      </c>
      <c r="D825" s="108">
        <v>0</v>
      </c>
      <c r="E825" s="108">
        <v>0</v>
      </c>
      <c r="G825" s="108">
        <f t="shared" si="12"/>
        <v>0</v>
      </c>
      <c r="H825" s="109" t="s">
        <v>80</v>
      </c>
    </row>
    <row r="826" spans="1:8">
      <c r="A826" s="108" t="s">
        <v>209</v>
      </c>
      <c r="B826" s="108">
        <v>-800893.59</v>
      </c>
      <c r="C826" s="108">
        <v>0</v>
      </c>
      <c r="D826" s="108">
        <v>0</v>
      </c>
      <c r="E826" s="108">
        <v>-800893.59</v>
      </c>
      <c r="G826" s="108">
        <f t="shared" si="12"/>
        <v>-800893.59</v>
      </c>
      <c r="H826" s="109" t="s">
        <v>80</v>
      </c>
    </row>
    <row r="827" spans="1:8">
      <c r="A827" s="108" t="s">
        <v>1272</v>
      </c>
      <c r="B827" s="108">
        <v>0</v>
      </c>
      <c r="C827" s="108">
        <v>0</v>
      </c>
      <c r="D827" s="108">
        <v>0</v>
      </c>
      <c r="E827" s="108">
        <v>0</v>
      </c>
      <c r="G827" s="108">
        <f t="shared" si="12"/>
        <v>0</v>
      </c>
      <c r="H827" s="109" t="s">
        <v>80</v>
      </c>
    </row>
    <row r="828" spans="1:8">
      <c r="A828" s="108" t="s">
        <v>208</v>
      </c>
      <c r="B828" s="108">
        <v>50181786.509999998</v>
      </c>
      <c r="C828" s="108">
        <v>86521</v>
      </c>
      <c r="D828" s="108">
        <v>11697580.99</v>
      </c>
      <c r="E828" s="108">
        <v>38570726.520000003</v>
      </c>
      <c r="G828" s="108">
        <f t="shared" si="12"/>
        <v>38570726.520000003</v>
      </c>
      <c r="H828" s="109" t="s">
        <v>80</v>
      </c>
    </row>
    <row r="829" spans="1:8">
      <c r="A829" s="108" t="s">
        <v>1273</v>
      </c>
      <c r="B829" s="108">
        <v>0</v>
      </c>
      <c r="C829" s="108">
        <v>0</v>
      </c>
      <c r="D829" s="108">
        <v>0</v>
      </c>
      <c r="E829" s="108">
        <v>0</v>
      </c>
      <c r="G829" s="108">
        <f t="shared" si="12"/>
        <v>0</v>
      </c>
      <c r="H829" s="109" t="s">
        <v>80</v>
      </c>
    </row>
    <row r="830" spans="1:8">
      <c r="A830" s="108" t="s">
        <v>854</v>
      </c>
      <c r="B830" s="108">
        <v>44417.64</v>
      </c>
      <c r="C830" s="108">
        <v>0</v>
      </c>
      <c r="D830" s="108">
        <v>0</v>
      </c>
      <c r="E830" s="108">
        <v>44417.64</v>
      </c>
      <c r="G830" s="108">
        <f t="shared" si="12"/>
        <v>44417.64</v>
      </c>
      <c r="H830" s="109" t="s">
        <v>80</v>
      </c>
    </row>
    <row r="831" spans="1:8">
      <c r="A831" s="108" t="s">
        <v>1274</v>
      </c>
      <c r="B831" s="108">
        <v>0</v>
      </c>
      <c r="C831" s="108">
        <v>0</v>
      </c>
      <c r="D831" s="108">
        <v>0</v>
      </c>
      <c r="E831" s="108">
        <v>0</v>
      </c>
      <c r="G831" s="108">
        <f t="shared" si="12"/>
        <v>0</v>
      </c>
      <c r="H831" s="109" t="s">
        <v>80</v>
      </c>
    </row>
    <row r="832" spans="1:8">
      <c r="A832" s="108" t="s">
        <v>855</v>
      </c>
      <c r="B832" s="108">
        <v>-1415.11</v>
      </c>
      <c r="C832" s="108">
        <v>0</v>
      </c>
      <c r="D832" s="108">
        <v>0</v>
      </c>
      <c r="E832" s="108">
        <v>-1415.11</v>
      </c>
      <c r="G832" s="108">
        <f t="shared" si="12"/>
        <v>-1415.11</v>
      </c>
      <c r="H832" s="109" t="s">
        <v>80</v>
      </c>
    </row>
    <row r="833" spans="1:8">
      <c r="A833" s="108" t="s">
        <v>1275</v>
      </c>
      <c r="B833" s="108">
        <v>0</v>
      </c>
      <c r="C833" s="108">
        <v>0</v>
      </c>
      <c r="D833" s="108">
        <v>0</v>
      </c>
      <c r="E833" s="108">
        <v>0</v>
      </c>
      <c r="G833" s="108">
        <f t="shared" si="12"/>
        <v>0</v>
      </c>
      <c r="H833" s="109" t="s">
        <v>80</v>
      </c>
    </row>
    <row r="834" spans="1:8">
      <c r="A834" s="108" t="s">
        <v>486</v>
      </c>
      <c r="B834" s="108">
        <v>25960</v>
      </c>
      <c r="C834" s="108">
        <v>0</v>
      </c>
      <c r="D834" s="108">
        <v>25960</v>
      </c>
      <c r="E834" s="108">
        <v>0</v>
      </c>
      <c r="G834" s="108">
        <f t="shared" si="12"/>
        <v>0</v>
      </c>
      <c r="H834" s="109" t="s">
        <v>80</v>
      </c>
    </row>
    <row r="835" spans="1:8">
      <c r="A835" s="108" t="s">
        <v>1276</v>
      </c>
      <c r="B835" s="108">
        <v>0</v>
      </c>
      <c r="C835" s="108">
        <v>0</v>
      </c>
      <c r="D835" s="108">
        <v>0</v>
      </c>
      <c r="E835" s="108">
        <v>0</v>
      </c>
      <c r="G835" s="108">
        <f t="shared" ref="G835:G898" si="13">E835+F835</f>
        <v>0</v>
      </c>
      <c r="H835" s="109" t="s">
        <v>80</v>
      </c>
    </row>
    <row r="836" spans="1:8">
      <c r="A836" s="108" t="s">
        <v>197</v>
      </c>
      <c r="B836" s="108">
        <v>-43913.23</v>
      </c>
      <c r="C836" s="108">
        <v>43913</v>
      </c>
      <c r="D836" s="108">
        <v>0</v>
      </c>
      <c r="E836" s="108">
        <v>-0.23</v>
      </c>
      <c r="G836" s="108">
        <f t="shared" si="13"/>
        <v>-0.23</v>
      </c>
      <c r="H836" s="109" t="s">
        <v>80</v>
      </c>
    </row>
    <row r="837" spans="1:8">
      <c r="A837" s="108" t="s">
        <v>1423</v>
      </c>
      <c r="B837" s="108">
        <v>0</v>
      </c>
      <c r="C837" s="108">
        <v>0</v>
      </c>
      <c r="D837" s="108">
        <v>0</v>
      </c>
      <c r="E837" s="108">
        <v>0</v>
      </c>
      <c r="G837" s="108">
        <f t="shared" si="13"/>
        <v>0</v>
      </c>
      <c r="H837" s="109" t="s">
        <v>80</v>
      </c>
    </row>
    <row r="838" spans="1:8">
      <c r="A838" s="108" t="s">
        <v>856</v>
      </c>
      <c r="B838" s="108">
        <v>2400</v>
      </c>
      <c r="C838" s="108">
        <v>0</v>
      </c>
      <c r="D838" s="108">
        <v>0</v>
      </c>
      <c r="E838" s="108">
        <v>2400</v>
      </c>
      <c r="G838" s="108">
        <f t="shared" si="13"/>
        <v>2400</v>
      </c>
      <c r="H838" s="109" t="s">
        <v>80</v>
      </c>
    </row>
    <row r="839" spans="1:8">
      <c r="A839" s="108" t="s">
        <v>857</v>
      </c>
      <c r="B839" s="108">
        <v>0</v>
      </c>
      <c r="C839" s="108">
        <v>14499</v>
      </c>
      <c r="D839" s="108">
        <v>14499</v>
      </c>
      <c r="E839" s="108">
        <v>0</v>
      </c>
      <c r="G839" s="108">
        <f t="shared" si="13"/>
        <v>0</v>
      </c>
      <c r="H839" s="109" t="s">
        <v>80</v>
      </c>
    </row>
    <row r="840" spans="1:8">
      <c r="A840" s="108" t="s">
        <v>193</v>
      </c>
      <c r="B840" s="108">
        <v>-0.34</v>
      </c>
      <c r="C840" s="108">
        <v>0</v>
      </c>
      <c r="D840" s="108">
        <v>0</v>
      </c>
      <c r="E840" s="108">
        <v>-0.34</v>
      </c>
      <c r="G840" s="108">
        <f t="shared" si="13"/>
        <v>-0.34</v>
      </c>
      <c r="H840" s="109" t="s">
        <v>80</v>
      </c>
    </row>
    <row r="841" spans="1:8">
      <c r="A841" s="108" t="s">
        <v>858</v>
      </c>
      <c r="B841" s="108">
        <v>-12949</v>
      </c>
      <c r="C841" s="108">
        <v>12949</v>
      </c>
      <c r="D841" s="108">
        <v>0</v>
      </c>
      <c r="E841" s="108">
        <v>0</v>
      </c>
      <c r="G841" s="108">
        <f t="shared" si="13"/>
        <v>0</v>
      </c>
      <c r="H841" s="109" t="s">
        <v>80</v>
      </c>
    </row>
    <row r="842" spans="1:8">
      <c r="A842" s="108" t="s">
        <v>859</v>
      </c>
      <c r="B842" s="108">
        <v>0</v>
      </c>
      <c r="C842" s="108">
        <v>9086</v>
      </c>
      <c r="D842" s="108">
        <v>9086</v>
      </c>
      <c r="E842" s="108">
        <v>0</v>
      </c>
      <c r="G842" s="108">
        <f t="shared" si="13"/>
        <v>0</v>
      </c>
      <c r="H842" s="109" t="s">
        <v>80</v>
      </c>
    </row>
    <row r="843" spans="1:8">
      <c r="A843" s="108" t="s">
        <v>1279</v>
      </c>
      <c r="B843" s="108">
        <v>0</v>
      </c>
      <c r="C843" s="108">
        <v>0</v>
      </c>
      <c r="D843" s="108">
        <v>0</v>
      </c>
      <c r="E843" s="108">
        <v>0</v>
      </c>
      <c r="G843" s="108">
        <f t="shared" si="13"/>
        <v>0</v>
      </c>
      <c r="H843" s="109" t="s">
        <v>80</v>
      </c>
    </row>
    <row r="844" spans="1:8">
      <c r="A844" s="108" t="s">
        <v>438</v>
      </c>
      <c r="B844" s="108">
        <v>-4725</v>
      </c>
      <c r="C844" s="108">
        <v>0</v>
      </c>
      <c r="D844" s="108">
        <v>0</v>
      </c>
      <c r="E844" s="108">
        <v>-4725</v>
      </c>
      <c r="G844" s="108">
        <f t="shared" si="13"/>
        <v>-4725</v>
      </c>
      <c r="H844" s="109" t="s">
        <v>80</v>
      </c>
    </row>
    <row r="845" spans="1:8">
      <c r="A845" s="108" t="s">
        <v>860</v>
      </c>
      <c r="B845" s="108">
        <v>-2771100.1</v>
      </c>
      <c r="C845" s="108">
        <v>2888571</v>
      </c>
      <c r="D845" s="108">
        <v>0</v>
      </c>
      <c r="E845" s="108">
        <v>117470.9</v>
      </c>
      <c r="G845" s="108">
        <f t="shared" si="13"/>
        <v>117470.9</v>
      </c>
      <c r="H845" s="109" t="s">
        <v>80</v>
      </c>
    </row>
    <row r="846" spans="1:8">
      <c r="A846" s="108" t="s">
        <v>861</v>
      </c>
      <c r="B846" s="108">
        <v>-34000</v>
      </c>
      <c r="C846" s="108">
        <v>34000</v>
      </c>
      <c r="D846" s="108">
        <v>0</v>
      </c>
      <c r="E846" s="108">
        <v>0</v>
      </c>
      <c r="G846" s="108">
        <f t="shared" si="13"/>
        <v>0</v>
      </c>
      <c r="H846" s="109" t="s">
        <v>80</v>
      </c>
    </row>
    <row r="847" spans="1:8">
      <c r="A847" s="108" t="s">
        <v>1281</v>
      </c>
      <c r="B847" s="108">
        <v>0</v>
      </c>
      <c r="C847" s="108">
        <v>0</v>
      </c>
      <c r="D847" s="108">
        <v>0</v>
      </c>
      <c r="E847" s="108">
        <v>0</v>
      </c>
      <c r="G847" s="108">
        <f t="shared" si="13"/>
        <v>0</v>
      </c>
      <c r="H847" s="109" t="s">
        <v>80</v>
      </c>
    </row>
    <row r="848" spans="1:8">
      <c r="A848" s="108" t="s">
        <v>862</v>
      </c>
      <c r="B848" s="108">
        <v>0</v>
      </c>
      <c r="C848" s="108">
        <v>32061</v>
      </c>
      <c r="D848" s="108">
        <v>32061</v>
      </c>
      <c r="E848" s="108">
        <v>0</v>
      </c>
      <c r="G848" s="108">
        <f t="shared" si="13"/>
        <v>0</v>
      </c>
      <c r="H848" s="109" t="s">
        <v>80</v>
      </c>
    </row>
    <row r="849" spans="1:8">
      <c r="A849" s="108" t="s">
        <v>863</v>
      </c>
      <c r="B849" s="108">
        <v>-24544</v>
      </c>
      <c r="C849" s="108">
        <v>0</v>
      </c>
      <c r="D849" s="108">
        <v>0</v>
      </c>
      <c r="E849" s="108">
        <v>-24544</v>
      </c>
      <c r="G849" s="108">
        <f t="shared" si="13"/>
        <v>-24544</v>
      </c>
      <c r="H849" s="109" t="s">
        <v>80</v>
      </c>
    </row>
    <row r="850" spans="1:8">
      <c r="A850" s="108" t="s">
        <v>864</v>
      </c>
      <c r="B850" s="108">
        <v>-0.34</v>
      </c>
      <c r="C850" s="108">
        <v>0</v>
      </c>
      <c r="D850" s="108">
        <v>0</v>
      </c>
      <c r="E850" s="108">
        <v>-0.34</v>
      </c>
      <c r="G850" s="108">
        <f t="shared" si="13"/>
        <v>-0.34</v>
      </c>
      <c r="H850" s="109" t="s">
        <v>80</v>
      </c>
    </row>
    <row r="851" spans="1:8">
      <c r="A851" s="108" t="s">
        <v>865</v>
      </c>
      <c r="B851" s="108">
        <v>0</v>
      </c>
      <c r="C851" s="108">
        <v>0</v>
      </c>
      <c r="D851" s="108">
        <v>62658</v>
      </c>
      <c r="E851" s="108">
        <v>-62658</v>
      </c>
      <c r="G851" s="108">
        <f t="shared" si="13"/>
        <v>-62658</v>
      </c>
      <c r="H851" s="109" t="s">
        <v>80</v>
      </c>
    </row>
    <row r="852" spans="1:8">
      <c r="A852" s="108" t="s">
        <v>169</v>
      </c>
      <c r="B852" s="108">
        <v>-77102</v>
      </c>
      <c r="C852" s="108">
        <v>0</v>
      </c>
      <c r="D852" s="108">
        <v>0</v>
      </c>
      <c r="E852" s="108">
        <v>-77102</v>
      </c>
      <c r="G852" s="108">
        <f t="shared" si="13"/>
        <v>-77102</v>
      </c>
      <c r="H852" s="109" t="s">
        <v>80</v>
      </c>
    </row>
    <row r="853" spans="1:8">
      <c r="A853" s="108" t="s">
        <v>866</v>
      </c>
      <c r="B853" s="108">
        <v>-76080</v>
      </c>
      <c r="C853" s="108">
        <v>83780</v>
      </c>
      <c r="D853" s="108">
        <v>0</v>
      </c>
      <c r="E853" s="108">
        <v>7700</v>
      </c>
      <c r="G853" s="108">
        <f t="shared" si="13"/>
        <v>7700</v>
      </c>
      <c r="H853" s="109" t="s">
        <v>80</v>
      </c>
    </row>
    <row r="854" spans="1:8">
      <c r="A854" s="108" t="s">
        <v>867</v>
      </c>
      <c r="B854" s="108">
        <v>-5841.8</v>
      </c>
      <c r="C854" s="108">
        <v>5560</v>
      </c>
      <c r="D854" s="108">
        <v>0</v>
      </c>
      <c r="E854" s="108">
        <v>-281.8</v>
      </c>
      <c r="G854" s="108">
        <f t="shared" si="13"/>
        <v>-281.8</v>
      </c>
      <c r="H854" s="109" t="s">
        <v>80</v>
      </c>
    </row>
    <row r="855" spans="1:8">
      <c r="A855" s="108" t="s">
        <v>868</v>
      </c>
      <c r="B855" s="108">
        <v>-0.46</v>
      </c>
      <c r="C855" s="108">
        <v>0</v>
      </c>
      <c r="D855" s="108">
        <v>0</v>
      </c>
      <c r="E855" s="108">
        <v>-0.46</v>
      </c>
      <c r="G855" s="108">
        <f t="shared" si="13"/>
        <v>-0.46</v>
      </c>
      <c r="H855" s="109" t="s">
        <v>80</v>
      </c>
    </row>
    <row r="856" spans="1:8">
      <c r="A856" s="108" t="s">
        <v>470</v>
      </c>
      <c r="B856" s="108">
        <v>-444860</v>
      </c>
      <c r="C856" s="108">
        <v>436160</v>
      </c>
      <c r="D856" s="108">
        <v>0</v>
      </c>
      <c r="E856" s="108">
        <v>-8700</v>
      </c>
      <c r="G856" s="108">
        <f t="shared" si="13"/>
        <v>-8700</v>
      </c>
      <c r="H856" s="109" t="s">
        <v>80</v>
      </c>
    </row>
    <row r="857" spans="1:8">
      <c r="A857" s="108" t="s">
        <v>869</v>
      </c>
      <c r="B857" s="108">
        <v>-41849.269999999997</v>
      </c>
      <c r="C857" s="108">
        <v>41849</v>
      </c>
      <c r="D857" s="108">
        <v>0</v>
      </c>
      <c r="E857" s="108">
        <v>-0.27</v>
      </c>
      <c r="G857" s="108">
        <f t="shared" si="13"/>
        <v>-0.27</v>
      </c>
      <c r="H857" s="109" t="s">
        <v>80</v>
      </c>
    </row>
    <row r="858" spans="1:8">
      <c r="A858" s="108" t="s">
        <v>870</v>
      </c>
      <c r="B858" s="108">
        <v>0</v>
      </c>
      <c r="C858" s="108">
        <v>13570</v>
      </c>
      <c r="D858" s="108">
        <v>13570</v>
      </c>
      <c r="E858" s="108">
        <v>0</v>
      </c>
      <c r="G858" s="108">
        <f t="shared" si="13"/>
        <v>0</v>
      </c>
      <c r="H858" s="109" t="s">
        <v>80</v>
      </c>
    </row>
    <row r="859" spans="1:8">
      <c r="A859" s="108" t="s">
        <v>871</v>
      </c>
      <c r="B859" s="108">
        <v>2520</v>
      </c>
      <c r="C859" s="108">
        <v>0</v>
      </c>
      <c r="D859" s="108">
        <v>0</v>
      </c>
      <c r="E859" s="108">
        <v>2520</v>
      </c>
      <c r="G859" s="108">
        <f t="shared" si="13"/>
        <v>2520</v>
      </c>
      <c r="H859" s="109" t="s">
        <v>80</v>
      </c>
    </row>
    <row r="860" spans="1:8">
      <c r="A860" s="108" t="s">
        <v>872</v>
      </c>
      <c r="B860" s="108">
        <v>-3885</v>
      </c>
      <c r="C860" s="108">
        <v>64169</v>
      </c>
      <c r="D860" s="108">
        <v>64170</v>
      </c>
      <c r="E860" s="108">
        <v>-3886</v>
      </c>
      <c r="G860" s="108">
        <f t="shared" si="13"/>
        <v>-3886</v>
      </c>
      <c r="H860" s="109" t="s">
        <v>80</v>
      </c>
    </row>
    <row r="861" spans="1:8">
      <c r="A861" s="108" t="s">
        <v>1284</v>
      </c>
      <c r="B861" s="108">
        <v>0</v>
      </c>
      <c r="C861" s="108">
        <v>0</v>
      </c>
      <c r="D861" s="108">
        <v>0</v>
      </c>
      <c r="E861" s="108">
        <v>0</v>
      </c>
      <c r="G861" s="108">
        <f t="shared" si="13"/>
        <v>0</v>
      </c>
      <c r="H861" s="109" t="s">
        <v>80</v>
      </c>
    </row>
    <row r="862" spans="1:8">
      <c r="A862" s="108" t="s">
        <v>873</v>
      </c>
      <c r="B862" s="108">
        <v>-8191.48</v>
      </c>
      <c r="C862" s="108">
        <v>0</v>
      </c>
      <c r="D862" s="108">
        <v>0</v>
      </c>
      <c r="E862" s="108">
        <v>-8191.48</v>
      </c>
      <c r="G862" s="108">
        <f t="shared" si="13"/>
        <v>-8191.48</v>
      </c>
      <c r="H862" s="109" t="s">
        <v>80</v>
      </c>
    </row>
    <row r="863" spans="1:8">
      <c r="A863" s="108" t="s">
        <v>874</v>
      </c>
      <c r="B863" s="108">
        <v>-49400</v>
      </c>
      <c r="C863" s="108">
        <v>49400</v>
      </c>
      <c r="D863" s="108">
        <v>0</v>
      </c>
      <c r="E863" s="108">
        <v>0</v>
      </c>
      <c r="G863" s="108">
        <f t="shared" si="13"/>
        <v>0</v>
      </c>
      <c r="H863" s="109" t="s">
        <v>80</v>
      </c>
    </row>
    <row r="864" spans="1:8">
      <c r="A864" s="108" t="s">
        <v>875</v>
      </c>
      <c r="B864" s="108">
        <v>0</v>
      </c>
      <c r="C864" s="108">
        <v>14650</v>
      </c>
      <c r="D864" s="108">
        <v>14650</v>
      </c>
      <c r="E864" s="108">
        <v>0</v>
      </c>
      <c r="G864" s="108">
        <f t="shared" si="13"/>
        <v>0</v>
      </c>
      <c r="H864" s="109" t="s">
        <v>80</v>
      </c>
    </row>
    <row r="865" spans="1:8">
      <c r="A865" s="108" t="s">
        <v>876</v>
      </c>
      <c r="B865" s="108">
        <v>-1386</v>
      </c>
      <c r="C865" s="108">
        <v>0</v>
      </c>
      <c r="D865" s="108">
        <v>2950</v>
      </c>
      <c r="E865" s="108">
        <v>-4336</v>
      </c>
      <c r="G865" s="108">
        <f t="shared" si="13"/>
        <v>-4336</v>
      </c>
      <c r="H865" s="109" t="s">
        <v>80</v>
      </c>
    </row>
    <row r="866" spans="1:8">
      <c r="A866" s="108" t="s">
        <v>877</v>
      </c>
      <c r="B866" s="108">
        <v>790350</v>
      </c>
      <c r="C866" s="108">
        <v>0</v>
      </c>
      <c r="D866" s="108">
        <v>0</v>
      </c>
      <c r="E866" s="108">
        <v>790350</v>
      </c>
      <c r="G866" s="108">
        <f t="shared" si="13"/>
        <v>790350</v>
      </c>
      <c r="H866" s="109" t="s">
        <v>80</v>
      </c>
    </row>
    <row r="867" spans="1:8">
      <c r="A867" s="108" t="s">
        <v>878</v>
      </c>
      <c r="B867" s="108">
        <v>-18682.599999999999</v>
      </c>
      <c r="C867" s="108">
        <v>0</v>
      </c>
      <c r="D867" s="108">
        <v>0</v>
      </c>
      <c r="E867" s="108">
        <v>-18682.599999999999</v>
      </c>
      <c r="G867" s="108">
        <f t="shared" si="13"/>
        <v>-18682.599999999999</v>
      </c>
      <c r="H867" s="109" t="s">
        <v>80</v>
      </c>
    </row>
    <row r="868" spans="1:8">
      <c r="A868" s="108" t="s">
        <v>487</v>
      </c>
      <c r="B868" s="108">
        <v>-141412</v>
      </c>
      <c r="C868" s="108">
        <v>25803</v>
      </c>
      <c r="D868" s="108">
        <v>39290</v>
      </c>
      <c r="E868" s="108">
        <v>-154899</v>
      </c>
      <c r="G868" s="108">
        <f t="shared" si="13"/>
        <v>-154899</v>
      </c>
      <c r="H868" s="109" t="s">
        <v>80</v>
      </c>
    </row>
    <row r="869" spans="1:8">
      <c r="A869" s="108" t="s">
        <v>488</v>
      </c>
      <c r="B869" s="108">
        <v>0</v>
      </c>
      <c r="C869" s="108">
        <v>0</v>
      </c>
      <c r="D869" s="108">
        <v>7875</v>
      </c>
      <c r="E869" s="108">
        <v>-7875</v>
      </c>
      <c r="G869" s="108">
        <f t="shared" si="13"/>
        <v>-7875</v>
      </c>
      <c r="H869" s="109" t="s">
        <v>80</v>
      </c>
    </row>
    <row r="870" spans="1:8">
      <c r="A870" s="108" t="s">
        <v>400</v>
      </c>
      <c r="B870" s="108">
        <v>-392656</v>
      </c>
      <c r="C870" s="108">
        <v>296567</v>
      </c>
      <c r="D870" s="108">
        <v>0</v>
      </c>
      <c r="E870" s="108">
        <v>-96089</v>
      </c>
      <c r="G870" s="108">
        <f t="shared" si="13"/>
        <v>-96089</v>
      </c>
      <c r="H870" s="109" t="s">
        <v>80</v>
      </c>
    </row>
    <row r="871" spans="1:8">
      <c r="A871" s="108" t="s">
        <v>879</v>
      </c>
      <c r="B871" s="108">
        <v>0</v>
      </c>
      <c r="C871" s="108">
        <v>0</v>
      </c>
      <c r="D871" s="108">
        <v>16095</v>
      </c>
      <c r="E871" s="108">
        <v>-16095</v>
      </c>
      <c r="G871" s="108">
        <f t="shared" si="13"/>
        <v>-16095</v>
      </c>
      <c r="H871" s="109" t="s">
        <v>80</v>
      </c>
    </row>
    <row r="872" spans="1:8">
      <c r="A872" s="108" t="s">
        <v>427</v>
      </c>
      <c r="B872" s="108">
        <v>9031787.25</v>
      </c>
      <c r="C872" s="108">
        <v>352112</v>
      </c>
      <c r="D872" s="108">
        <v>0</v>
      </c>
      <c r="E872" s="108">
        <v>9383899.25</v>
      </c>
      <c r="G872" s="108">
        <f t="shared" si="13"/>
        <v>9383899.25</v>
      </c>
      <c r="H872" s="109" t="s">
        <v>80</v>
      </c>
    </row>
    <row r="873" spans="1:8">
      <c r="A873" s="108" t="s">
        <v>449</v>
      </c>
      <c r="B873" s="108">
        <v>0</v>
      </c>
      <c r="C873" s="108">
        <v>0</v>
      </c>
      <c r="D873" s="108">
        <v>226023</v>
      </c>
      <c r="E873" s="108">
        <v>-226023</v>
      </c>
      <c r="G873" s="108">
        <f t="shared" si="13"/>
        <v>-226023</v>
      </c>
      <c r="H873" s="109" t="s">
        <v>80</v>
      </c>
    </row>
    <row r="874" spans="1:8">
      <c r="A874" s="108" t="s">
        <v>880</v>
      </c>
      <c r="B874" s="108">
        <v>-57819</v>
      </c>
      <c r="C874" s="108">
        <v>60180</v>
      </c>
      <c r="D874" s="108">
        <v>0</v>
      </c>
      <c r="E874" s="108">
        <v>2361</v>
      </c>
      <c r="G874" s="108">
        <f t="shared" si="13"/>
        <v>2361</v>
      </c>
      <c r="H874" s="109" t="s">
        <v>80</v>
      </c>
    </row>
    <row r="875" spans="1:8">
      <c r="A875" s="108" t="s">
        <v>1047</v>
      </c>
      <c r="B875" s="108">
        <v>7118.1</v>
      </c>
      <c r="C875" s="108">
        <v>0</v>
      </c>
      <c r="D875" s="108">
        <v>0</v>
      </c>
      <c r="E875" s="108">
        <v>7118.1</v>
      </c>
      <c r="G875" s="108">
        <f t="shared" si="13"/>
        <v>7118.1</v>
      </c>
      <c r="H875" s="109" t="s">
        <v>80</v>
      </c>
    </row>
    <row r="876" spans="1:8">
      <c r="A876" s="108" t="s">
        <v>1287</v>
      </c>
      <c r="B876" s="108">
        <v>0</v>
      </c>
      <c r="C876" s="108">
        <v>0</v>
      </c>
      <c r="D876" s="108">
        <v>0</v>
      </c>
      <c r="E876" s="108">
        <v>0</v>
      </c>
      <c r="G876" s="108">
        <f t="shared" si="13"/>
        <v>0</v>
      </c>
      <c r="H876" s="109" t="s">
        <v>80</v>
      </c>
    </row>
    <row r="877" spans="1:8">
      <c r="A877" s="108" t="s">
        <v>881</v>
      </c>
      <c r="B877" s="108">
        <v>6162</v>
      </c>
      <c r="C877" s="108">
        <v>500000</v>
      </c>
      <c r="D877" s="108">
        <v>0</v>
      </c>
      <c r="E877" s="108">
        <v>506162</v>
      </c>
      <c r="G877" s="108">
        <f t="shared" si="13"/>
        <v>506162</v>
      </c>
      <c r="H877" s="109" t="s">
        <v>80</v>
      </c>
    </row>
    <row r="878" spans="1:8">
      <c r="A878" s="108" t="s">
        <v>882</v>
      </c>
      <c r="B878" s="108">
        <v>-6200</v>
      </c>
      <c r="C878" s="108">
        <v>6200</v>
      </c>
      <c r="D878" s="108">
        <v>6200</v>
      </c>
      <c r="E878" s="108">
        <v>-6200</v>
      </c>
      <c r="G878" s="108">
        <f t="shared" si="13"/>
        <v>-6200</v>
      </c>
      <c r="H878" s="109" t="s">
        <v>80</v>
      </c>
    </row>
    <row r="879" spans="1:8">
      <c r="A879" s="108" t="s">
        <v>883</v>
      </c>
      <c r="B879" s="108">
        <v>-17244</v>
      </c>
      <c r="C879" s="108">
        <v>0</v>
      </c>
      <c r="D879" s="108">
        <v>0</v>
      </c>
      <c r="E879" s="108">
        <v>-17244</v>
      </c>
      <c r="G879" s="108">
        <f t="shared" si="13"/>
        <v>-17244</v>
      </c>
      <c r="H879" s="109" t="s">
        <v>80</v>
      </c>
    </row>
    <row r="880" spans="1:8">
      <c r="A880" s="108" t="s">
        <v>154</v>
      </c>
      <c r="B880" s="108">
        <v>-188280.18</v>
      </c>
      <c r="C880" s="108">
        <v>187200</v>
      </c>
      <c r="D880" s="108">
        <v>0</v>
      </c>
      <c r="E880" s="108">
        <v>-1080.18</v>
      </c>
      <c r="G880" s="108">
        <f t="shared" si="13"/>
        <v>-1080.18</v>
      </c>
      <c r="H880" s="109" t="s">
        <v>80</v>
      </c>
    </row>
    <row r="881" spans="1:8">
      <c r="A881" s="108" t="s">
        <v>884</v>
      </c>
      <c r="B881" s="108">
        <v>8785.2000000000007</v>
      </c>
      <c r="C881" s="108">
        <v>0</v>
      </c>
      <c r="D881" s="108">
        <v>0</v>
      </c>
      <c r="E881" s="108">
        <v>8785.2000000000007</v>
      </c>
      <c r="G881" s="108">
        <f t="shared" si="13"/>
        <v>8785.2000000000007</v>
      </c>
      <c r="H881" s="109" t="s">
        <v>80</v>
      </c>
    </row>
    <row r="882" spans="1:8">
      <c r="A882" s="108" t="s">
        <v>512</v>
      </c>
      <c r="B882" s="108">
        <v>-146216</v>
      </c>
      <c r="C882" s="108">
        <v>153995</v>
      </c>
      <c r="D882" s="108">
        <v>7779</v>
      </c>
      <c r="E882" s="108">
        <v>0</v>
      </c>
      <c r="G882" s="108">
        <f t="shared" si="13"/>
        <v>0</v>
      </c>
      <c r="H882" s="109" t="s">
        <v>80</v>
      </c>
    </row>
    <row r="883" spans="1:8">
      <c r="A883" s="108" t="s">
        <v>885</v>
      </c>
      <c r="B883" s="108">
        <v>65785</v>
      </c>
      <c r="C883" s="108">
        <v>0</v>
      </c>
      <c r="D883" s="108">
        <v>0</v>
      </c>
      <c r="E883" s="108">
        <v>65785</v>
      </c>
      <c r="G883" s="108">
        <f t="shared" si="13"/>
        <v>65785</v>
      </c>
      <c r="H883" s="109" t="s">
        <v>80</v>
      </c>
    </row>
    <row r="884" spans="1:8">
      <c r="A884" s="108" t="s">
        <v>886</v>
      </c>
      <c r="B884" s="108">
        <v>-6720</v>
      </c>
      <c r="C884" s="108">
        <v>0</v>
      </c>
      <c r="D884" s="108">
        <v>0</v>
      </c>
      <c r="E884" s="108">
        <v>-6720</v>
      </c>
      <c r="G884" s="108">
        <f t="shared" si="13"/>
        <v>-6720</v>
      </c>
      <c r="H884" s="109" t="s">
        <v>80</v>
      </c>
    </row>
    <row r="885" spans="1:8">
      <c r="A885" s="108" t="s">
        <v>1290</v>
      </c>
      <c r="B885" s="108">
        <v>0</v>
      </c>
      <c r="C885" s="108">
        <v>0</v>
      </c>
      <c r="D885" s="108">
        <v>0</v>
      </c>
      <c r="E885" s="108">
        <v>0</v>
      </c>
      <c r="G885" s="108">
        <f t="shared" si="13"/>
        <v>0</v>
      </c>
      <c r="H885" s="109" t="s">
        <v>80</v>
      </c>
    </row>
    <row r="886" spans="1:8">
      <c r="A886" s="108" t="s">
        <v>887</v>
      </c>
      <c r="B886" s="108">
        <v>0</v>
      </c>
      <c r="C886" s="108">
        <v>205312</v>
      </c>
      <c r="D886" s="108">
        <v>474708</v>
      </c>
      <c r="E886" s="108">
        <v>-269396</v>
      </c>
      <c r="G886" s="108">
        <f t="shared" si="13"/>
        <v>-269396</v>
      </c>
      <c r="H886" s="109" t="s">
        <v>80</v>
      </c>
    </row>
    <row r="887" spans="1:8">
      <c r="A887" s="108" t="s">
        <v>1291</v>
      </c>
      <c r="B887" s="108">
        <v>0</v>
      </c>
      <c r="C887" s="108">
        <v>0</v>
      </c>
      <c r="D887" s="108">
        <v>0</v>
      </c>
      <c r="E887" s="108">
        <v>0</v>
      </c>
      <c r="G887" s="108">
        <f t="shared" si="13"/>
        <v>0</v>
      </c>
      <c r="H887" s="109" t="s">
        <v>80</v>
      </c>
    </row>
    <row r="888" spans="1:8">
      <c r="A888" s="108" t="s">
        <v>300</v>
      </c>
      <c r="B888" s="108">
        <v>497669</v>
      </c>
      <c r="C888" s="108">
        <v>0</v>
      </c>
      <c r="D888" s="108">
        <v>0</v>
      </c>
      <c r="E888" s="108">
        <v>497669</v>
      </c>
      <c r="G888" s="108">
        <f t="shared" si="13"/>
        <v>497669</v>
      </c>
      <c r="H888" s="109" t="s">
        <v>80</v>
      </c>
    </row>
    <row r="889" spans="1:8">
      <c r="A889" s="108" t="s">
        <v>453</v>
      </c>
      <c r="B889" s="108">
        <v>-1539.42</v>
      </c>
      <c r="C889" s="108">
        <v>0</v>
      </c>
      <c r="D889" s="108">
        <v>0</v>
      </c>
      <c r="E889" s="108">
        <v>-1539.42</v>
      </c>
      <c r="G889" s="108">
        <f t="shared" si="13"/>
        <v>-1539.42</v>
      </c>
      <c r="H889" s="109" t="s">
        <v>80</v>
      </c>
    </row>
    <row r="890" spans="1:8">
      <c r="A890" s="108" t="s">
        <v>888</v>
      </c>
      <c r="B890" s="108">
        <v>-40</v>
      </c>
      <c r="C890" s="108">
        <v>0</v>
      </c>
      <c r="D890" s="108">
        <v>0</v>
      </c>
      <c r="E890" s="108">
        <v>-40</v>
      </c>
      <c r="G890" s="108">
        <f t="shared" si="13"/>
        <v>-40</v>
      </c>
      <c r="H890" s="109" t="s">
        <v>80</v>
      </c>
    </row>
    <row r="891" spans="1:8">
      <c r="A891" s="108" t="s">
        <v>292</v>
      </c>
      <c r="B891" s="108">
        <v>-2000</v>
      </c>
      <c r="C891" s="108">
        <v>0</v>
      </c>
      <c r="D891" s="108">
        <v>0</v>
      </c>
      <c r="E891" s="108">
        <v>-2000</v>
      </c>
      <c r="G891" s="108">
        <f t="shared" si="13"/>
        <v>-2000</v>
      </c>
      <c r="H891" s="109" t="s">
        <v>80</v>
      </c>
    </row>
    <row r="892" spans="1:8">
      <c r="A892" s="108" t="s">
        <v>1424</v>
      </c>
      <c r="B892" s="108">
        <v>0</v>
      </c>
      <c r="C892" s="108">
        <v>0</v>
      </c>
      <c r="D892" s="108">
        <v>0</v>
      </c>
      <c r="E892" s="108">
        <v>0</v>
      </c>
      <c r="G892" s="108">
        <f t="shared" si="13"/>
        <v>0</v>
      </c>
      <c r="H892" s="109" t="s">
        <v>80</v>
      </c>
    </row>
    <row r="893" spans="1:8">
      <c r="A893" s="108" t="s">
        <v>889</v>
      </c>
      <c r="B893" s="108">
        <v>-8280</v>
      </c>
      <c r="C893" s="108">
        <v>8280</v>
      </c>
      <c r="D893" s="108">
        <v>0</v>
      </c>
      <c r="E893" s="108">
        <v>0</v>
      </c>
      <c r="G893" s="108">
        <f t="shared" si="13"/>
        <v>0</v>
      </c>
      <c r="H893" s="109" t="s">
        <v>80</v>
      </c>
    </row>
    <row r="894" spans="1:8">
      <c r="A894" s="108" t="s">
        <v>285</v>
      </c>
      <c r="B894" s="108">
        <v>-610</v>
      </c>
      <c r="C894" s="108">
        <v>0</v>
      </c>
      <c r="D894" s="108">
        <v>0</v>
      </c>
      <c r="E894" s="108">
        <v>-610</v>
      </c>
      <c r="G894" s="108">
        <f t="shared" si="13"/>
        <v>-610</v>
      </c>
      <c r="H894" s="109" t="s">
        <v>80</v>
      </c>
    </row>
    <row r="895" spans="1:8">
      <c r="A895" s="108" t="s">
        <v>289</v>
      </c>
      <c r="B895" s="108">
        <v>-59895</v>
      </c>
      <c r="C895" s="108">
        <v>59895</v>
      </c>
      <c r="D895" s="108">
        <v>0</v>
      </c>
      <c r="E895" s="108">
        <v>0</v>
      </c>
      <c r="G895" s="108">
        <f t="shared" si="13"/>
        <v>0</v>
      </c>
      <c r="H895" s="109" t="s">
        <v>80</v>
      </c>
    </row>
    <row r="896" spans="1:8">
      <c r="A896" s="108" t="s">
        <v>1292</v>
      </c>
      <c r="B896" s="108">
        <v>0</v>
      </c>
      <c r="C896" s="108">
        <v>0</v>
      </c>
      <c r="D896" s="108">
        <v>0</v>
      </c>
      <c r="E896" s="108">
        <v>0</v>
      </c>
      <c r="G896" s="108">
        <f t="shared" si="13"/>
        <v>0</v>
      </c>
      <c r="H896" s="109" t="s">
        <v>80</v>
      </c>
    </row>
    <row r="897" spans="1:8">
      <c r="A897" s="108" t="s">
        <v>489</v>
      </c>
      <c r="B897" s="108">
        <v>102</v>
      </c>
      <c r="C897" s="108">
        <v>5916</v>
      </c>
      <c r="D897" s="108">
        <v>6018</v>
      </c>
      <c r="E897" s="108">
        <v>0</v>
      </c>
      <c r="G897" s="108">
        <f t="shared" si="13"/>
        <v>0</v>
      </c>
      <c r="H897" s="109" t="s">
        <v>80</v>
      </c>
    </row>
    <row r="898" spans="1:8">
      <c r="A898" s="108" t="s">
        <v>282</v>
      </c>
      <c r="B898" s="108">
        <v>445</v>
      </c>
      <c r="C898" s="108">
        <v>52155</v>
      </c>
      <c r="D898" s="108">
        <v>56080</v>
      </c>
      <c r="E898" s="108">
        <v>-3480</v>
      </c>
      <c r="G898" s="108">
        <f t="shared" si="13"/>
        <v>-3480</v>
      </c>
      <c r="H898" s="109" t="s">
        <v>80</v>
      </c>
    </row>
    <row r="899" spans="1:8">
      <c r="A899" s="108" t="s">
        <v>523</v>
      </c>
      <c r="B899" s="108">
        <v>-281496</v>
      </c>
      <c r="C899" s="108">
        <v>657172</v>
      </c>
      <c r="D899" s="108">
        <v>375676</v>
      </c>
      <c r="E899" s="108">
        <v>0</v>
      </c>
      <c r="G899" s="108">
        <f t="shared" ref="G899:G962" si="14">E899+F899</f>
        <v>0</v>
      </c>
      <c r="H899" s="109" t="s">
        <v>80</v>
      </c>
    </row>
    <row r="900" spans="1:8">
      <c r="A900" s="108" t="s">
        <v>273</v>
      </c>
      <c r="B900" s="108">
        <v>-80916</v>
      </c>
      <c r="C900" s="108">
        <v>770400</v>
      </c>
      <c r="D900" s="108">
        <v>770400</v>
      </c>
      <c r="E900" s="108">
        <v>-80916</v>
      </c>
      <c r="G900" s="108">
        <f t="shared" si="14"/>
        <v>-80916</v>
      </c>
      <c r="H900" s="109" t="s">
        <v>80</v>
      </c>
    </row>
    <row r="901" spans="1:8">
      <c r="A901" s="108" t="s">
        <v>270</v>
      </c>
      <c r="B901" s="108">
        <v>-38357.480000000003</v>
      </c>
      <c r="C901" s="108">
        <v>0</v>
      </c>
      <c r="D901" s="108">
        <v>0</v>
      </c>
      <c r="E901" s="108">
        <v>-38357.480000000003</v>
      </c>
      <c r="G901" s="108">
        <f t="shared" si="14"/>
        <v>-38357.480000000003</v>
      </c>
      <c r="H901" s="109" t="s">
        <v>80</v>
      </c>
    </row>
    <row r="902" spans="1:8">
      <c r="A902" s="108" t="s">
        <v>890</v>
      </c>
      <c r="B902" s="108">
        <v>-4230</v>
      </c>
      <c r="C902" s="108">
        <v>0</v>
      </c>
      <c r="D902" s="108">
        <v>0</v>
      </c>
      <c r="E902" s="108">
        <v>-4230</v>
      </c>
      <c r="G902" s="108">
        <f t="shared" si="14"/>
        <v>-4230</v>
      </c>
      <c r="H902" s="109" t="s">
        <v>80</v>
      </c>
    </row>
    <row r="903" spans="1:8">
      <c r="A903" s="108" t="s">
        <v>268</v>
      </c>
      <c r="B903" s="108">
        <v>6313</v>
      </c>
      <c r="C903" s="108">
        <v>0</v>
      </c>
      <c r="D903" s="108">
        <v>0</v>
      </c>
      <c r="E903" s="108">
        <v>6313</v>
      </c>
      <c r="G903" s="108">
        <f t="shared" si="14"/>
        <v>6313</v>
      </c>
      <c r="H903" s="109" t="s">
        <v>80</v>
      </c>
    </row>
    <row r="904" spans="1:8">
      <c r="A904" s="108" t="s">
        <v>266</v>
      </c>
      <c r="B904" s="108">
        <v>-174560</v>
      </c>
      <c r="C904" s="108">
        <v>197463</v>
      </c>
      <c r="D904" s="108">
        <v>125852</v>
      </c>
      <c r="E904" s="108">
        <v>-102949</v>
      </c>
      <c r="G904" s="108">
        <f t="shared" si="14"/>
        <v>-102949</v>
      </c>
      <c r="H904" s="109" t="s">
        <v>80</v>
      </c>
    </row>
    <row r="905" spans="1:8">
      <c r="A905" s="108" t="s">
        <v>490</v>
      </c>
      <c r="B905" s="108">
        <v>0</v>
      </c>
      <c r="C905" s="108">
        <v>354000</v>
      </c>
      <c r="D905" s="108">
        <v>354000</v>
      </c>
      <c r="E905" s="108">
        <v>0</v>
      </c>
      <c r="G905" s="108">
        <f t="shared" si="14"/>
        <v>0</v>
      </c>
      <c r="H905" s="109" t="s">
        <v>80</v>
      </c>
    </row>
    <row r="906" spans="1:8">
      <c r="A906" s="108" t="s">
        <v>891</v>
      </c>
      <c r="B906" s="108">
        <v>1161</v>
      </c>
      <c r="C906" s="108">
        <v>67367</v>
      </c>
      <c r="D906" s="108">
        <v>68528</v>
      </c>
      <c r="E906" s="108">
        <v>0</v>
      </c>
      <c r="G906" s="108">
        <f t="shared" si="14"/>
        <v>0</v>
      </c>
      <c r="H906" s="109" t="s">
        <v>80</v>
      </c>
    </row>
    <row r="907" spans="1:8">
      <c r="A907" s="108" t="s">
        <v>261</v>
      </c>
      <c r="B907" s="108">
        <v>-58000</v>
      </c>
      <c r="C907" s="108">
        <v>0</v>
      </c>
      <c r="D907" s="108">
        <v>0</v>
      </c>
      <c r="E907" s="108">
        <v>-58000</v>
      </c>
      <c r="G907" s="108">
        <f t="shared" si="14"/>
        <v>-58000</v>
      </c>
      <c r="H907" s="109" t="s">
        <v>80</v>
      </c>
    </row>
    <row r="908" spans="1:8">
      <c r="A908" s="108" t="s">
        <v>1296</v>
      </c>
      <c r="B908" s="108">
        <v>0</v>
      </c>
      <c r="C908" s="108">
        <v>0</v>
      </c>
      <c r="D908" s="108">
        <v>0</v>
      </c>
      <c r="E908" s="108">
        <v>0</v>
      </c>
      <c r="G908" s="108">
        <f t="shared" si="14"/>
        <v>0</v>
      </c>
      <c r="H908" s="109" t="s">
        <v>80</v>
      </c>
    </row>
    <row r="909" spans="1:8">
      <c r="A909" s="108" t="s">
        <v>892</v>
      </c>
      <c r="B909" s="108">
        <v>-0.46</v>
      </c>
      <c r="C909" s="108">
        <v>0</v>
      </c>
      <c r="D909" s="108">
        <v>0</v>
      </c>
      <c r="E909" s="108">
        <v>-0.46</v>
      </c>
      <c r="G909" s="108">
        <f t="shared" si="14"/>
        <v>-0.46</v>
      </c>
      <c r="H909" s="109" t="s">
        <v>80</v>
      </c>
    </row>
    <row r="910" spans="1:8">
      <c r="A910" s="108" t="s">
        <v>893</v>
      </c>
      <c r="B910" s="108">
        <v>1263</v>
      </c>
      <c r="C910" s="108">
        <v>0</v>
      </c>
      <c r="D910" s="108">
        <v>0</v>
      </c>
      <c r="E910" s="108">
        <v>1263</v>
      </c>
      <c r="G910" s="108">
        <f t="shared" si="14"/>
        <v>1263</v>
      </c>
      <c r="H910" s="109" t="s">
        <v>80</v>
      </c>
    </row>
    <row r="911" spans="1:8">
      <c r="A911" s="108" t="s">
        <v>254</v>
      </c>
      <c r="B911" s="108">
        <v>-190218</v>
      </c>
      <c r="C911" s="108">
        <v>190218</v>
      </c>
      <c r="D911" s="108">
        <v>0</v>
      </c>
      <c r="E911" s="108">
        <v>0</v>
      </c>
      <c r="G911" s="108">
        <f t="shared" si="14"/>
        <v>0</v>
      </c>
      <c r="H911" s="109" t="s">
        <v>80</v>
      </c>
    </row>
    <row r="912" spans="1:8">
      <c r="A912" s="108" t="s">
        <v>894</v>
      </c>
      <c r="B912" s="108">
        <v>-105883</v>
      </c>
      <c r="C912" s="108">
        <v>105883</v>
      </c>
      <c r="D912" s="108">
        <v>0</v>
      </c>
      <c r="E912" s="108">
        <v>0</v>
      </c>
      <c r="G912" s="108">
        <f t="shared" si="14"/>
        <v>0</v>
      </c>
      <c r="H912" s="109" t="s">
        <v>80</v>
      </c>
    </row>
    <row r="913" spans="1:8">
      <c r="A913" s="108" t="s">
        <v>251</v>
      </c>
      <c r="B913" s="108">
        <v>7280</v>
      </c>
      <c r="C913" s="108">
        <v>2750</v>
      </c>
      <c r="D913" s="108">
        <v>10030</v>
      </c>
      <c r="E913" s="108">
        <v>0</v>
      </c>
      <c r="G913" s="108">
        <f t="shared" si="14"/>
        <v>0</v>
      </c>
      <c r="H913" s="109" t="s">
        <v>80</v>
      </c>
    </row>
    <row r="914" spans="1:8">
      <c r="A914" s="108" t="s">
        <v>247</v>
      </c>
      <c r="B914" s="108">
        <v>548</v>
      </c>
      <c r="C914" s="108">
        <v>31801</v>
      </c>
      <c r="D914" s="108">
        <v>32349</v>
      </c>
      <c r="E914" s="108">
        <v>0</v>
      </c>
      <c r="G914" s="108">
        <f t="shared" si="14"/>
        <v>0</v>
      </c>
      <c r="H914" s="109" t="s">
        <v>80</v>
      </c>
    </row>
    <row r="915" spans="1:8">
      <c r="A915" s="108" t="s">
        <v>1297</v>
      </c>
      <c r="B915" s="108">
        <v>0</v>
      </c>
      <c r="C915" s="108">
        <v>0</v>
      </c>
      <c r="D915" s="108">
        <v>0</v>
      </c>
      <c r="E915" s="108">
        <v>0</v>
      </c>
      <c r="G915" s="108">
        <f t="shared" si="14"/>
        <v>0</v>
      </c>
      <c r="H915" s="109" t="s">
        <v>80</v>
      </c>
    </row>
    <row r="916" spans="1:8">
      <c r="A916" s="108" t="s">
        <v>895</v>
      </c>
      <c r="B916" s="108">
        <v>-44936.54</v>
      </c>
      <c r="C916" s="108">
        <v>0</v>
      </c>
      <c r="D916" s="108">
        <v>0</v>
      </c>
      <c r="E916" s="108">
        <v>-44936.54</v>
      </c>
      <c r="G916" s="108">
        <f t="shared" si="14"/>
        <v>-44936.54</v>
      </c>
      <c r="H916" s="109" t="s">
        <v>80</v>
      </c>
    </row>
    <row r="917" spans="1:8">
      <c r="A917" s="108" t="s">
        <v>237</v>
      </c>
      <c r="B917" s="108">
        <v>-6000</v>
      </c>
      <c r="C917" s="108">
        <v>6000</v>
      </c>
      <c r="D917" s="108">
        <v>0</v>
      </c>
      <c r="E917" s="108">
        <v>0</v>
      </c>
      <c r="G917" s="108">
        <f t="shared" si="14"/>
        <v>0</v>
      </c>
      <c r="H917" s="109" t="s">
        <v>80</v>
      </c>
    </row>
    <row r="918" spans="1:8">
      <c r="A918" s="108" t="s">
        <v>450</v>
      </c>
      <c r="B918" s="108">
        <v>-10000</v>
      </c>
      <c r="C918" s="108">
        <v>0</v>
      </c>
      <c r="D918" s="108">
        <v>0</v>
      </c>
      <c r="E918" s="108">
        <v>-10000</v>
      </c>
      <c r="G918" s="108">
        <f t="shared" si="14"/>
        <v>-10000</v>
      </c>
      <c r="H918" s="109" t="s">
        <v>80</v>
      </c>
    </row>
    <row r="919" spans="1:8">
      <c r="A919" s="108" t="s">
        <v>218</v>
      </c>
      <c r="B919" s="108">
        <v>-17248</v>
      </c>
      <c r="C919" s="108">
        <v>202142</v>
      </c>
      <c r="D919" s="108">
        <v>484770</v>
      </c>
      <c r="E919" s="108">
        <v>-299876</v>
      </c>
      <c r="G919" s="108">
        <f t="shared" si="14"/>
        <v>-299876</v>
      </c>
      <c r="H919" s="109" t="s">
        <v>80</v>
      </c>
    </row>
    <row r="920" spans="1:8">
      <c r="A920" s="108" t="s">
        <v>395</v>
      </c>
      <c r="B920" s="108">
        <v>29840.84</v>
      </c>
      <c r="C920" s="108">
        <v>0</v>
      </c>
      <c r="D920" s="108">
        <v>0</v>
      </c>
      <c r="E920" s="108">
        <v>29840.84</v>
      </c>
      <c r="G920" s="108">
        <f t="shared" si="14"/>
        <v>29840.84</v>
      </c>
      <c r="H920" s="109" t="s">
        <v>80</v>
      </c>
    </row>
    <row r="921" spans="1:8">
      <c r="A921" s="108" t="s">
        <v>896</v>
      </c>
      <c r="B921" s="108">
        <v>-47500</v>
      </c>
      <c r="C921" s="108">
        <v>0</v>
      </c>
      <c r="D921" s="108">
        <v>0</v>
      </c>
      <c r="E921" s="108">
        <v>-47500</v>
      </c>
      <c r="G921" s="108">
        <f t="shared" si="14"/>
        <v>-47500</v>
      </c>
      <c r="H921" s="109" t="s">
        <v>80</v>
      </c>
    </row>
    <row r="922" spans="1:8">
      <c r="A922" s="108" t="s">
        <v>444</v>
      </c>
      <c r="B922" s="108">
        <v>502</v>
      </c>
      <c r="C922" s="108">
        <v>29142</v>
      </c>
      <c r="D922" s="108">
        <v>29644</v>
      </c>
      <c r="E922" s="108">
        <v>0</v>
      </c>
      <c r="G922" s="108">
        <f t="shared" si="14"/>
        <v>0</v>
      </c>
      <c r="H922" s="109" t="s">
        <v>80</v>
      </c>
    </row>
    <row r="923" spans="1:8">
      <c r="A923" s="108" t="s">
        <v>198</v>
      </c>
      <c r="B923" s="108">
        <v>106866.67</v>
      </c>
      <c r="C923" s="108">
        <v>54430.34</v>
      </c>
      <c r="D923" s="108">
        <v>3755.24</v>
      </c>
      <c r="E923" s="108">
        <v>157541.76999999999</v>
      </c>
      <c r="G923" s="108">
        <f t="shared" si="14"/>
        <v>157541.76999999999</v>
      </c>
      <c r="H923" s="109" t="s">
        <v>80</v>
      </c>
    </row>
    <row r="924" spans="1:8">
      <c r="A924" s="108" t="s">
        <v>897</v>
      </c>
      <c r="B924" s="108">
        <v>-14457</v>
      </c>
      <c r="C924" s="108">
        <v>14457</v>
      </c>
      <c r="D924" s="108">
        <v>0</v>
      </c>
      <c r="E924" s="108">
        <v>0</v>
      </c>
      <c r="G924" s="108">
        <f t="shared" si="14"/>
        <v>0</v>
      </c>
      <c r="H924" s="109" t="s">
        <v>80</v>
      </c>
    </row>
    <row r="925" spans="1:8">
      <c r="A925" s="108" t="s">
        <v>898</v>
      </c>
      <c r="B925" s="108">
        <v>4172</v>
      </c>
      <c r="C925" s="108">
        <v>0</v>
      </c>
      <c r="D925" s="108">
        <v>0</v>
      </c>
      <c r="E925" s="108">
        <v>4172</v>
      </c>
      <c r="G925" s="108">
        <f t="shared" si="14"/>
        <v>4172</v>
      </c>
      <c r="H925" s="109" t="s">
        <v>80</v>
      </c>
    </row>
    <row r="926" spans="1:8">
      <c r="A926" s="108" t="s">
        <v>899</v>
      </c>
      <c r="B926" s="108">
        <v>-265438</v>
      </c>
      <c r="C926" s="108">
        <v>265438</v>
      </c>
      <c r="D926" s="108">
        <v>0</v>
      </c>
      <c r="E926" s="108">
        <v>0</v>
      </c>
      <c r="G926" s="108">
        <f t="shared" si="14"/>
        <v>0</v>
      </c>
      <c r="H926" s="109" t="s">
        <v>80</v>
      </c>
    </row>
    <row r="927" spans="1:8">
      <c r="A927" s="108" t="s">
        <v>459</v>
      </c>
      <c r="B927" s="108">
        <v>0</v>
      </c>
      <c r="C927" s="108">
        <v>182976</v>
      </c>
      <c r="D927" s="108">
        <v>182976</v>
      </c>
      <c r="E927" s="108">
        <v>0</v>
      </c>
      <c r="G927" s="108">
        <f t="shared" si="14"/>
        <v>0</v>
      </c>
      <c r="H927" s="109" t="s">
        <v>80</v>
      </c>
    </row>
    <row r="928" spans="1:8">
      <c r="A928" s="108" t="s">
        <v>513</v>
      </c>
      <c r="B928" s="108">
        <v>-50</v>
      </c>
      <c r="C928" s="108">
        <v>0</v>
      </c>
      <c r="D928" s="108">
        <v>0</v>
      </c>
      <c r="E928" s="108">
        <v>-50</v>
      </c>
      <c r="G928" s="108">
        <f t="shared" si="14"/>
        <v>-50</v>
      </c>
      <c r="H928" s="109" t="s">
        <v>80</v>
      </c>
    </row>
    <row r="929" spans="1:8">
      <c r="A929" s="108" t="s">
        <v>184</v>
      </c>
      <c r="B929" s="108">
        <v>-322</v>
      </c>
      <c r="C929" s="108">
        <v>4640</v>
      </c>
      <c r="D929" s="108">
        <v>4720</v>
      </c>
      <c r="E929" s="108">
        <v>-402</v>
      </c>
      <c r="G929" s="108">
        <f t="shared" si="14"/>
        <v>-402</v>
      </c>
      <c r="H929" s="109" t="s">
        <v>80</v>
      </c>
    </row>
    <row r="930" spans="1:8">
      <c r="A930" s="108" t="s">
        <v>183</v>
      </c>
      <c r="B930" s="108">
        <v>-9074.7199999999993</v>
      </c>
      <c r="C930" s="108">
        <v>0</v>
      </c>
      <c r="D930" s="108">
        <v>0</v>
      </c>
      <c r="E930" s="108">
        <v>-9074.7199999999993</v>
      </c>
      <c r="G930" s="108">
        <f t="shared" si="14"/>
        <v>-9074.7199999999993</v>
      </c>
      <c r="H930" s="109" t="s">
        <v>80</v>
      </c>
    </row>
    <row r="931" spans="1:8">
      <c r="A931" s="108" t="s">
        <v>900</v>
      </c>
      <c r="B931" s="108">
        <v>0</v>
      </c>
      <c r="C931" s="108">
        <v>6500</v>
      </c>
      <c r="D931" s="108">
        <v>6500</v>
      </c>
      <c r="E931" s="108">
        <v>0</v>
      </c>
      <c r="G931" s="108">
        <f t="shared" si="14"/>
        <v>0</v>
      </c>
      <c r="H931" s="109" t="s">
        <v>80</v>
      </c>
    </row>
    <row r="932" spans="1:8">
      <c r="A932" s="108" t="s">
        <v>173</v>
      </c>
      <c r="B932" s="108">
        <v>-98500</v>
      </c>
      <c r="C932" s="108">
        <v>152000</v>
      </c>
      <c r="D932" s="108">
        <v>138000</v>
      </c>
      <c r="E932" s="108">
        <v>-84500</v>
      </c>
      <c r="G932" s="108">
        <f t="shared" si="14"/>
        <v>-84500</v>
      </c>
      <c r="H932" s="109" t="s">
        <v>80</v>
      </c>
    </row>
    <row r="933" spans="1:8">
      <c r="A933" s="108" t="s">
        <v>901</v>
      </c>
      <c r="B933" s="108">
        <v>-21200</v>
      </c>
      <c r="C933" s="108">
        <v>0</v>
      </c>
      <c r="D933" s="108">
        <v>0</v>
      </c>
      <c r="E933" s="108">
        <v>-21200</v>
      </c>
      <c r="G933" s="108">
        <f t="shared" si="14"/>
        <v>-21200</v>
      </c>
      <c r="H933" s="109" t="s">
        <v>80</v>
      </c>
    </row>
    <row r="934" spans="1:8">
      <c r="A934" s="108" t="s">
        <v>464</v>
      </c>
      <c r="B934" s="108">
        <v>0</v>
      </c>
      <c r="C934" s="108">
        <v>122000</v>
      </c>
      <c r="D934" s="108">
        <v>122000</v>
      </c>
      <c r="E934" s="108">
        <v>0</v>
      </c>
      <c r="G934" s="108">
        <f t="shared" si="14"/>
        <v>0</v>
      </c>
      <c r="H934" s="109" t="s">
        <v>80</v>
      </c>
    </row>
    <row r="935" spans="1:8">
      <c r="A935" s="108" t="s">
        <v>381</v>
      </c>
      <c r="B935" s="108">
        <v>-948403.69</v>
      </c>
      <c r="C935" s="108">
        <v>738749</v>
      </c>
      <c r="D935" s="108">
        <v>467268</v>
      </c>
      <c r="E935" s="108">
        <v>-676922.69</v>
      </c>
      <c r="G935" s="108">
        <f t="shared" si="14"/>
        <v>-676922.69</v>
      </c>
      <c r="H935" s="109" t="s">
        <v>80</v>
      </c>
    </row>
    <row r="936" spans="1:8">
      <c r="A936" s="108" t="s">
        <v>902</v>
      </c>
      <c r="B936" s="108">
        <v>-14800</v>
      </c>
      <c r="C936" s="108">
        <v>0</v>
      </c>
      <c r="D936" s="108">
        <v>0</v>
      </c>
      <c r="E936" s="108">
        <v>-14800</v>
      </c>
      <c r="G936" s="108">
        <f t="shared" si="14"/>
        <v>-14800</v>
      </c>
      <c r="H936" s="109" t="s">
        <v>80</v>
      </c>
    </row>
    <row r="937" spans="1:8">
      <c r="A937" s="108" t="s">
        <v>903</v>
      </c>
      <c r="B937" s="108">
        <v>204859</v>
      </c>
      <c r="C937" s="108">
        <v>0</v>
      </c>
      <c r="D937" s="108">
        <v>0</v>
      </c>
      <c r="E937" s="108">
        <v>204859</v>
      </c>
      <c r="G937" s="108">
        <f t="shared" si="14"/>
        <v>204859</v>
      </c>
      <c r="H937" s="109" t="s">
        <v>80</v>
      </c>
    </row>
    <row r="938" spans="1:8">
      <c r="A938" s="108" t="s">
        <v>904</v>
      </c>
      <c r="B938" s="108">
        <v>1421.19</v>
      </c>
      <c r="C938" s="108">
        <v>0</v>
      </c>
      <c r="D938" s="108">
        <v>0</v>
      </c>
      <c r="E938" s="108">
        <v>1421.19</v>
      </c>
      <c r="G938" s="108">
        <f t="shared" si="14"/>
        <v>1421.19</v>
      </c>
      <c r="H938" s="109" t="s">
        <v>80</v>
      </c>
    </row>
    <row r="939" spans="1:8">
      <c r="A939" s="108" t="s">
        <v>396</v>
      </c>
      <c r="B939" s="108">
        <v>39937.550000000003</v>
      </c>
      <c r="C939" s="108">
        <v>954</v>
      </c>
      <c r="D939" s="108">
        <v>0</v>
      </c>
      <c r="E939" s="108">
        <v>40891.550000000003</v>
      </c>
      <c r="G939" s="108">
        <f t="shared" si="14"/>
        <v>40891.550000000003</v>
      </c>
      <c r="H939" s="109" t="s">
        <v>80</v>
      </c>
    </row>
    <row r="940" spans="1:8">
      <c r="A940" s="108" t="s">
        <v>905</v>
      </c>
      <c r="B940" s="108">
        <v>-2811.03</v>
      </c>
      <c r="C940" s="108">
        <v>0</v>
      </c>
      <c r="D940" s="108">
        <v>0</v>
      </c>
      <c r="E940" s="108">
        <v>-2811.03</v>
      </c>
      <c r="G940" s="108">
        <f t="shared" si="14"/>
        <v>-2811.03</v>
      </c>
      <c r="H940" s="109" t="s">
        <v>80</v>
      </c>
    </row>
    <row r="941" spans="1:8">
      <c r="A941" s="108" t="s">
        <v>426</v>
      </c>
      <c r="B941" s="108">
        <v>18348.53</v>
      </c>
      <c r="C941" s="108">
        <v>0</v>
      </c>
      <c r="D941" s="108">
        <v>0</v>
      </c>
      <c r="E941" s="108">
        <v>18348.53</v>
      </c>
      <c r="G941" s="108">
        <f t="shared" si="14"/>
        <v>18348.53</v>
      </c>
      <c r="H941" s="109" t="s">
        <v>80</v>
      </c>
    </row>
    <row r="942" spans="1:8">
      <c r="A942" s="108" t="s">
        <v>406</v>
      </c>
      <c r="B942" s="108">
        <v>0</v>
      </c>
      <c r="C942" s="108">
        <v>607</v>
      </c>
      <c r="D942" s="108">
        <v>0</v>
      </c>
      <c r="E942" s="108">
        <v>607</v>
      </c>
      <c r="G942" s="108">
        <f t="shared" si="14"/>
        <v>607</v>
      </c>
      <c r="H942" s="109" t="s">
        <v>80</v>
      </c>
    </row>
    <row r="943" spans="1:8">
      <c r="A943" s="108" t="s">
        <v>906</v>
      </c>
      <c r="B943" s="108">
        <v>2480</v>
      </c>
      <c r="C943" s="108">
        <v>0</v>
      </c>
      <c r="D943" s="108">
        <v>0</v>
      </c>
      <c r="E943" s="108">
        <v>2480</v>
      </c>
      <c r="G943" s="108">
        <f t="shared" si="14"/>
        <v>2480</v>
      </c>
      <c r="H943" s="109" t="s">
        <v>80</v>
      </c>
    </row>
    <row r="944" spans="1:8">
      <c r="A944" s="108" t="s">
        <v>907</v>
      </c>
      <c r="B944" s="108">
        <v>2290</v>
      </c>
      <c r="C944" s="108">
        <v>560</v>
      </c>
      <c r="D944" s="108">
        <v>0</v>
      </c>
      <c r="E944" s="108">
        <v>2850</v>
      </c>
      <c r="G944" s="108">
        <f t="shared" si="14"/>
        <v>2850</v>
      </c>
      <c r="H944" s="109" t="s">
        <v>80</v>
      </c>
    </row>
    <row r="945" spans="1:8">
      <c r="A945" s="108" t="s">
        <v>908</v>
      </c>
      <c r="B945" s="108">
        <v>379</v>
      </c>
      <c r="C945" s="108">
        <v>21967</v>
      </c>
      <c r="D945" s="108">
        <v>22346</v>
      </c>
      <c r="E945" s="108">
        <v>0</v>
      </c>
      <c r="G945" s="108">
        <f t="shared" si="14"/>
        <v>0</v>
      </c>
      <c r="H945" s="109" t="s">
        <v>80</v>
      </c>
    </row>
    <row r="946" spans="1:8">
      <c r="A946" s="108" t="s">
        <v>909</v>
      </c>
      <c r="B946" s="108">
        <v>0</v>
      </c>
      <c r="C946" s="108">
        <v>473742</v>
      </c>
      <c r="D946" s="108">
        <v>473742</v>
      </c>
      <c r="E946" s="108">
        <v>0</v>
      </c>
      <c r="G946" s="108">
        <f t="shared" si="14"/>
        <v>0</v>
      </c>
      <c r="H946" s="109" t="s">
        <v>80</v>
      </c>
    </row>
    <row r="947" spans="1:8">
      <c r="A947" s="108" t="s">
        <v>428</v>
      </c>
      <c r="B947" s="108">
        <v>-98438</v>
      </c>
      <c r="C947" s="108">
        <v>98438</v>
      </c>
      <c r="D947" s="108">
        <v>0</v>
      </c>
      <c r="E947" s="108">
        <v>0</v>
      </c>
      <c r="G947" s="108">
        <f t="shared" si="14"/>
        <v>0</v>
      </c>
      <c r="H947" s="109" t="s">
        <v>80</v>
      </c>
    </row>
    <row r="948" spans="1:8">
      <c r="A948" s="108" t="s">
        <v>1300</v>
      </c>
      <c r="B948" s="108">
        <v>0</v>
      </c>
      <c r="C948" s="108">
        <v>0</v>
      </c>
      <c r="D948" s="108">
        <v>0</v>
      </c>
      <c r="E948" s="108">
        <v>0</v>
      </c>
      <c r="G948" s="108">
        <f t="shared" si="14"/>
        <v>0</v>
      </c>
      <c r="H948" s="109" t="s">
        <v>80</v>
      </c>
    </row>
    <row r="949" spans="1:8">
      <c r="A949" s="108" t="s">
        <v>389</v>
      </c>
      <c r="B949" s="108">
        <v>264055.32</v>
      </c>
      <c r="C949" s="108">
        <v>0</v>
      </c>
      <c r="D949" s="108">
        <v>0</v>
      </c>
      <c r="E949" s="108">
        <v>264055.32</v>
      </c>
      <c r="G949" s="108">
        <f t="shared" si="14"/>
        <v>264055.32</v>
      </c>
      <c r="H949" s="109" t="s">
        <v>80</v>
      </c>
    </row>
    <row r="950" spans="1:8">
      <c r="A950" s="108" t="s">
        <v>1301</v>
      </c>
      <c r="B950" s="108">
        <v>0</v>
      </c>
      <c r="C950" s="108">
        <v>0</v>
      </c>
      <c r="D950" s="108">
        <v>0</v>
      </c>
      <c r="E950" s="108">
        <v>0</v>
      </c>
      <c r="G950" s="108">
        <f t="shared" si="14"/>
        <v>0</v>
      </c>
      <c r="H950" s="109" t="s">
        <v>80</v>
      </c>
    </row>
    <row r="951" spans="1:8">
      <c r="A951" s="108" t="s">
        <v>910</v>
      </c>
      <c r="B951" s="108">
        <v>0</v>
      </c>
      <c r="C951" s="108">
        <v>24743</v>
      </c>
      <c r="D951" s="108">
        <v>24743</v>
      </c>
      <c r="E951" s="108">
        <v>0</v>
      </c>
      <c r="G951" s="108">
        <f t="shared" si="14"/>
        <v>0</v>
      </c>
      <c r="H951" s="109" t="s">
        <v>80</v>
      </c>
    </row>
    <row r="952" spans="1:8">
      <c r="A952" s="108" t="s">
        <v>911</v>
      </c>
      <c r="B952" s="108">
        <v>0</v>
      </c>
      <c r="C952" s="108">
        <v>0</v>
      </c>
      <c r="D952" s="108">
        <v>2357740</v>
      </c>
      <c r="E952" s="108">
        <v>-2357740</v>
      </c>
      <c r="G952" s="108">
        <f t="shared" si="14"/>
        <v>-2357740</v>
      </c>
      <c r="H952" s="109" t="s">
        <v>80</v>
      </c>
    </row>
    <row r="953" spans="1:8">
      <c r="A953" s="108" t="s">
        <v>912</v>
      </c>
      <c r="B953" s="108">
        <v>0</v>
      </c>
      <c r="C953" s="108">
        <v>0</v>
      </c>
      <c r="D953" s="108">
        <v>96272</v>
      </c>
      <c r="E953" s="108">
        <v>-96272</v>
      </c>
      <c r="G953" s="108">
        <f t="shared" si="14"/>
        <v>-96272</v>
      </c>
      <c r="H953" s="109" t="s">
        <v>80</v>
      </c>
    </row>
    <row r="954" spans="1:8">
      <c r="A954" s="108" t="s">
        <v>913</v>
      </c>
      <c r="B954" s="108">
        <v>5637.6</v>
      </c>
      <c r="C954" s="108">
        <v>0</v>
      </c>
      <c r="D954" s="108">
        <v>0</v>
      </c>
      <c r="E954" s="108">
        <v>5637.6</v>
      </c>
      <c r="G954" s="108">
        <f t="shared" si="14"/>
        <v>5637.6</v>
      </c>
      <c r="H954" s="109" t="s">
        <v>80</v>
      </c>
    </row>
    <row r="955" spans="1:8">
      <c r="A955" s="108" t="s">
        <v>1302</v>
      </c>
      <c r="B955" s="108">
        <v>0</v>
      </c>
      <c r="C955" s="108">
        <v>0</v>
      </c>
      <c r="D955" s="108">
        <v>0</v>
      </c>
      <c r="E955" s="108">
        <v>0</v>
      </c>
      <c r="G955" s="108">
        <f t="shared" si="14"/>
        <v>0</v>
      </c>
      <c r="H955" s="109" t="s">
        <v>80</v>
      </c>
    </row>
    <row r="956" spans="1:8">
      <c r="A956" s="108" t="s">
        <v>914</v>
      </c>
      <c r="B956" s="108">
        <v>-36738.54</v>
      </c>
      <c r="C956" s="108">
        <v>0</v>
      </c>
      <c r="D956" s="108">
        <v>0</v>
      </c>
      <c r="E956" s="108">
        <v>-36738.54</v>
      </c>
      <c r="G956" s="108">
        <f t="shared" si="14"/>
        <v>-36738.54</v>
      </c>
      <c r="H956" s="109" t="s">
        <v>80</v>
      </c>
    </row>
    <row r="957" spans="1:8">
      <c r="A957" s="108" t="s">
        <v>1303</v>
      </c>
      <c r="B957" s="108">
        <v>0</v>
      </c>
      <c r="C957" s="108">
        <v>0</v>
      </c>
      <c r="D957" s="108">
        <v>0</v>
      </c>
      <c r="E957" s="108">
        <v>0</v>
      </c>
      <c r="G957" s="108">
        <f t="shared" si="14"/>
        <v>0</v>
      </c>
      <c r="H957" s="109" t="s">
        <v>80</v>
      </c>
    </row>
    <row r="958" spans="1:8">
      <c r="A958" s="108" t="s">
        <v>915</v>
      </c>
      <c r="B958" s="108">
        <v>-20029488</v>
      </c>
      <c r="C958" s="108">
        <v>0</v>
      </c>
      <c r="D958" s="108">
        <v>0</v>
      </c>
      <c r="E958" s="108">
        <v>-20029488</v>
      </c>
      <c r="G958" s="108">
        <f t="shared" si="14"/>
        <v>-20029488</v>
      </c>
      <c r="H958" s="109" t="s">
        <v>80</v>
      </c>
    </row>
    <row r="959" spans="1:8">
      <c r="A959" s="108" t="s">
        <v>1304</v>
      </c>
      <c r="B959" s="108">
        <v>0</v>
      </c>
      <c r="C959" s="108">
        <v>0</v>
      </c>
      <c r="D959" s="108">
        <v>0</v>
      </c>
      <c r="E959" s="108">
        <v>0</v>
      </c>
      <c r="G959" s="108">
        <f t="shared" si="14"/>
        <v>0</v>
      </c>
      <c r="H959" s="109" t="s">
        <v>80</v>
      </c>
    </row>
    <row r="960" spans="1:8">
      <c r="A960" s="108" t="s">
        <v>1305</v>
      </c>
      <c r="B960" s="108">
        <v>0</v>
      </c>
      <c r="C960" s="108">
        <v>0</v>
      </c>
      <c r="D960" s="108">
        <v>0</v>
      </c>
      <c r="E960" s="108">
        <v>0</v>
      </c>
      <c r="G960" s="108">
        <f t="shared" si="14"/>
        <v>0</v>
      </c>
      <c r="H960" s="109" t="s">
        <v>80</v>
      </c>
    </row>
    <row r="961" spans="1:8">
      <c r="A961" s="108" t="s">
        <v>1306</v>
      </c>
      <c r="B961" s="108">
        <v>0</v>
      </c>
      <c r="C961" s="108">
        <v>0</v>
      </c>
      <c r="D961" s="108">
        <v>0</v>
      </c>
      <c r="E961" s="108">
        <v>0</v>
      </c>
      <c r="G961" s="108">
        <f t="shared" si="14"/>
        <v>0</v>
      </c>
      <c r="H961" s="109" t="s">
        <v>80</v>
      </c>
    </row>
    <row r="962" spans="1:8">
      <c r="A962" s="108" t="s">
        <v>916</v>
      </c>
      <c r="B962" s="108">
        <v>0.01</v>
      </c>
      <c r="C962" s="108">
        <v>0</v>
      </c>
      <c r="D962" s="108">
        <v>0</v>
      </c>
      <c r="E962" s="108">
        <v>0.01</v>
      </c>
      <c r="G962" s="108">
        <f t="shared" si="14"/>
        <v>0.01</v>
      </c>
      <c r="H962" s="109" t="s">
        <v>80</v>
      </c>
    </row>
    <row r="963" spans="1:8">
      <c r="A963" s="108" t="s">
        <v>1307</v>
      </c>
      <c r="B963" s="108">
        <v>0</v>
      </c>
      <c r="C963" s="108">
        <v>0</v>
      </c>
      <c r="D963" s="108">
        <v>0</v>
      </c>
      <c r="E963" s="108">
        <v>0</v>
      </c>
      <c r="G963" s="108">
        <f t="shared" ref="G963:G1026" si="15">E963+F963</f>
        <v>0</v>
      </c>
      <c r="H963" s="109" t="s">
        <v>80</v>
      </c>
    </row>
    <row r="964" spans="1:8">
      <c r="A964" s="108" t="s">
        <v>917</v>
      </c>
      <c r="B964" s="108">
        <v>-7206296.8700000001</v>
      </c>
      <c r="C964" s="108">
        <v>0</v>
      </c>
      <c r="D964" s="108">
        <v>0</v>
      </c>
      <c r="E964" s="108">
        <v>-7206296.8700000001</v>
      </c>
      <c r="G964" s="108">
        <f t="shared" si="15"/>
        <v>-7206296.8700000001</v>
      </c>
      <c r="H964" s="109" t="s">
        <v>80</v>
      </c>
    </row>
    <row r="965" spans="1:8">
      <c r="A965" s="108" t="s">
        <v>1308</v>
      </c>
      <c r="B965" s="108">
        <v>0</v>
      </c>
      <c r="C965" s="108">
        <v>0</v>
      </c>
      <c r="D965" s="108">
        <v>0</v>
      </c>
      <c r="E965" s="108">
        <v>0</v>
      </c>
      <c r="G965" s="108">
        <f t="shared" si="15"/>
        <v>0</v>
      </c>
      <c r="H965" s="109" t="s">
        <v>80</v>
      </c>
    </row>
    <row r="966" spans="1:8">
      <c r="A966" s="108" t="s">
        <v>1309</v>
      </c>
      <c r="B966" s="108">
        <v>0</v>
      </c>
      <c r="C966" s="108">
        <v>0</v>
      </c>
      <c r="D966" s="108">
        <v>0</v>
      </c>
      <c r="E966" s="108">
        <v>0</v>
      </c>
      <c r="G966" s="108">
        <f t="shared" si="15"/>
        <v>0</v>
      </c>
      <c r="H966" s="109" t="s">
        <v>80</v>
      </c>
    </row>
    <row r="967" spans="1:8">
      <c r="A967" s="108" t="s">
        <v>1310</v>
      </c>
      <c r="B967" s="108">
        <v>0</v>
      </c>
      <c r="C967" s="108">
        <v>0</v>
      </c>
      <c r="D967" s="108">
        <v>0</v>
      </c>
      <c r="E967" s="108">
        <v>0</v>
      </c>
      <c r="G967" s="108">
        <f t="shared" si="15"/>
        <v>0</v>
      </c>
      <c r="H967" s="109" t="s">
        <v>80</v>
      </c>
    </row>
    <row r="968" spans="1:8">
      <c r="A968" s="108" t="s">
        <v>918</v>
      </c>
      <c r="B968" s="108">
        <v>-3007.5</v>
      </c>
      <c r="C968" s="108">
        <v>0</v>
      </c>
      <c r="D968" s="108">
        <v>0</v>
      </c>
      <c r="E968" s="108">
        <v>-3007.5</v>
      </c>
      <c r="G968" s="108">
        <f t="shared" si="15"/>
        <v>-3007.5</v>
      </c>
      <c r="H968" s="109" t="s">
        <v>80</v>
      </c>
    </row>
    <row r="969" spans="1:8">
      <c r="A969" s="108" t="s">
        <v>919</v>
      </c>
      <c r="B969" s="108">
        <v>-362124.3</v>
      </c>
      <c r="C969" s="108">
        <v>0</v>
      </c>
      <c r="D969" s="108">
        <v>0</v>
      </c>
      <c r="E969" s="108">
        <v>-362124.3</v>
      </c>
      <c r="G969" s="108">
        <f t="shared" si="15"/>
        <v>-362124.3</v>
      </c>
      <c r="H969" s="109" t="s">
        <v>80</v>
      </c>
    </row>
    <row r="970" spans="1:8">
      <c r="A970" s="108" t="s">
        <v>1311</v>
      </c>
      <c r="B970" s="108">
        <v>0</v>
      </c>
      <c r="C970" s="108">
        <v>0</v>
      </c>
      <c r="D970" s="108">
        <v>0</v>
      </c>
      <c r="E970" s="108">
        <v>0</v>
      </c>
      <c r="G970" s="108">
        <f t="shared" si="15"/>
        <v>0</v>
      </c>
      <c r="H970" s="109" t="s">
        <v>80</v>
      </c>
    </row>
    <row r="971" spans="1:8">
      <c r="A971" s="108" t="s">
        <v>460</v>
      </c>
      <c r="B971" s="108">
        <v>0</v>
      </c>
      <c r="C971" s="108">
        <v>0</v>
      </c>
      <c r="D971" s="108">
        <v>1339302</v>
      </c>
      <c r="E971" s="108">
        <v>-1339302</v>
      </c>
      <c r="G971" s="108">
        <f t="shared" si="15"/>
        <v>-1339302</v>
      </c>
      <c r="H971" s="109" t="s">
        <v>80</v>
      </c>
    </row>
    <row r="972" spans="1:8">
      <c r="A972" s="108" t="s">
        <v>920</v>
      </c>
      <c r="B972" s="108">
        <v>-390679</v>
      </c>
      <c r="C972" s="108">
        <v>87729</v>
      </c>
      <c r="D972" s="108">
        <v>0</v>
      </c>
      <c r="E972" s="108">
        <v>-302950</v>
      </c>
      <c r="G972" s="108">
        <f t="shared" si="15"/>
        <v>-302950</v>
      </c>
      <c r="H972" s="109" t="s">
        <v>80</v>
      </c>
    </row>
    <row r="973" spans="1:8">
      <c r="A973" s="108" t="s">
        <v>1312</v>
      </c>
      <c r="B973" s="108">
        <v>0</v>
      </c>
      <c r="C973" s="108">
        <v>0</v>
      </c>
      <c r="D973" s="108">
        <v>0</v>
      </c>
      <c r="E973" s="108">
        <v>0</v>
      </c>
      <c r="G973" s="108">
        <f t="shared" si="15"/>
        <v>0</v>
      </c>
      <c r="H973" s="109" t="s">
        <v>80</v>
      </c>
    </row>
    <row r="974" spans="1:8">
      <c r="A974" s="108" t="s">
        <v>1313</v>
      </c>
      <c r="B974" s="108">
        <v>0</v>
      </c>
      <c r="C974" s="108">
        <v>0</v>
      </c>
      <c r="D974" s="108">
        <v>0</v>
      </c>
      <c r="E974" s="108">
        <v>0</v>
      </c>
      <c r="G974" s="108">
        <f t="shared" si="15"/>
        <v>0</v>
      </c>
      <c r="H974" s="109" t="s">
        <v>80</v>
      </c>
    </row>
    <row r="975" spans="1:8">
      <c r="A975" s="108" t="s">
        <v>1314</v>
      </c>
      <c r="B975" s="108">
        <v>0</v>
      </c>
      <c r="C975" s="108">
        <v>0</v>
      </c>
      <c r="D975" s="108">
        <v>0</v>
      </c>
      <c r="E975" s="108">
        <v>0</v>
      </c>
      <c r="G975" s="108">
        <f t="shared" si="15"/>
        <v>0</v>
      </c>
      <c r="H975" s="109" t="s">
        <v>80</v>
      </c>
    </row>
    <row r="976" spans="1:8">
      <c r="A976" s="108" t="s">
        <v>451</v>
      </c>
      <c r="B976" s="108">
        <v>-113701170.09</v>
      </c>
      <c r="C976" s="108">
        <v>14600000</v>
      </c>
      <c r="D976" s="108">
        <v>17867060.859999999</v>
      </c>
      <c r="E976" s="108">
        <v>-116968230.95</v>
      </c>
      <c r="G976" s="108">
        <f t="shared" si="15"/>
        <v>-116968230.95</v>
      </c>
      <c r="H976" s="109" t="s">
        <v>80</v>
      </c>
    </row>
    <row r="977" spans="1:8">
      <c r="A977" s="108" t="s">
        <v>1315</v>
      </c>
      <c r="B977" s="108">
        <v>0</v>
      </c>
      <c r="C977" s="108">
        <v>0</v>
      </c>
      <c r="D977" s="108">
        <v>0</v>
      </c>
      <c r="E977" s="108">
        <v>0</v>
      </c>
      <c r="G977" s="108">
        <f t="shared" si="15"/>
        <v>0</v>
      </c>
      <c r="H977" s="109" t="s">
        <v>80</v>
      </c>
    </row>
    <row r="978" spans="1:8">
      <c r="A978" s="108" t="s">
        <v>239</v>
      </c>
      <c r="B978" s="108">
        <v>0</v>
      </c>
      <c r="C978" s="108">
        <v>4141237.5</v>
      </c>
      <c r="D978" s="108">
        <v>4144750</v>
      </c>
      <c r="E978" s="108">
        <v>-3512.5</v>
      </c>
      <c r="G978" s="108">
        <f t="shared" si="15"/>
        <v>-3512.5</v>
      </c>
      <c r="H978" s="109" t="s">
        <v>80</v>
      </c>
    </row>
    <row r="979" spans="1:8">
      <c r="A979" s="108" t="s">
        <v>1317</v>
      </c>
      <c r="B979" s="108">
        <v>0</v>
      </c>
      <c r="C979" s="108">
        <v>0</v>
      </c>
      <c r="D979" s="108">
        <v>0</v>
      </c>
      <c r="E979" s="108">
        <v>0</v>
      </c>
      <c r="G979" s="108">
        <f t="shared" si="15"/>
        <v>0</v>
      </c>
      <c r="H979" s="109" t="s">
        <v>80</v>
      </c>
    </row>
    <row r="980" spans="1:8">
      <c r="A980" s="108" t="s">
        <v>1319</v>
      </c>
      <c r="B980" s="108">
        <v>0</v>
      </c>
      <c r="C980" s="108">
        <v>0</v>
      </c>
      <c r="D980" s="108">
        <v>0</v>
      </c>
      <c r="E980" s="108">
        <v>0</v>
      </c>
      <c r="G980" s="108">
        <f t="shared" si="15"/>
        <v>0</v>
      </c>
      <c r="H980" s="109" t="s">
        <v>80</v>
      </c>
    </row>
    <row r="981" spans="1:8">
      <c r="A981" s="108" t="s">
        <v>1321</v>
      </c>
      <c r="B981" s="108">
        <v>0</v>
      </c>
      <c r="C981" s="108">
        <v>0</v>
      </c>
      <c r="D981" s="108">
        <v>0</v>
      </c>
      <c r="E981" s="108">
        <v>0</v>
      </c>
      <c r="G981" s="108">
        <f t="shared" si="15"/>
        <v>0</v>
      </c>
      <c r="H981" s="109" t="s">
        <v>80</v>
      </c>
    </row>
    <row r="982" spans="1:8">
      <c r="A982" s="108" t="s">
        <v>921</v>
      </c>
      <c r="B982" s="108">
        <v>2177.2800000000002</v>
      </c>
      <c r="C982" s="108">
        <v>0</v>
      </c>
      <c r="D982" s="108">
        <v>0</v>
      </c>
      <c r="E982" s="108">
        <v>2177.2800000000002</v>
      </c>
      <c r="G982" s="108">
        <f t="shared" si="15"/>
        <v>2177.2800000000002</v>
      </c>
      <c r="H982" s="109" t="s">
        <v>80</v>
      </c>
    </row>
    <row r="983" spans="1:8">
      <c r="A983" s="108" t="s">
        <v>524</v>
      </c>
      <c r="B983" s="108">
        <v>-1349976.14</v>
      </c>
      <c r="C983" s="108">
        <v>418765.8</v>
      </c>
      <c r="D983" s="108">
        <v>1799487</v>
      </c>
      <c r="E983" s="108">
        <v>-2730697.34</v>
      </c>
      <c r="G983" s="108">
        <f t="shared" si="15"/>
        <v>-2730697.34</v>
      </c>
      <c r="H983" s="109" t="s">
        <v>80</v>
      </c>
    </row>
    <row r="984" spans="1:8">
      <c r="A984" s="108" t="s">
        <v>1322</v>
      </c>
      <c r="B984" s="108">
        <v>0</v>
      </c>
      <c r="C984" s="108">
        <v>0</v>
      </c>
      <c r="D984" s="108">
        <v>0</v>
      </c>
      <c r="E984" s="108">
        <v>0</v>
      </c>
      <c r="G984" s="108">
        <f t="shared" si="15"/>
        <v>0</v>
      </c>
      <c r="H984" s="109" t="s">
        <v>80</v>
      </c>
    </row>
    <row r="985" spans="1:8">
      <c r="A985" s="108" t="s">
        <v>514</v>
      </c>
      <c r="B985" s="108">
        <v>-6093</v>
      </c>
      <c r="C985" s="108">
        <v>0</v>
      </c>
      <c r="D985" s="108">
        <v>0</v>
      </c>
      <c r="E985" s="108">
        <v>-6093</v>
      </c>
      <c r="G985" s="108">
        <f t="shared" si="15"/>
        <v>-6093</v>
      </c>
      <c r="H985" s="109" t="s">
        <v>80</v>
      </c>
    </row>
    <row r="986" spans="1:8">
      <c r="A986" s="108" t="s">
        <v>922</v>
      </c>
      <c r="B986" s="108">
        <v>-2815223.04</v>
      </c>
      <c r="C986" s="108">
        <v>0</v>
      </c>
      <c r="D986" s="108">
        <v>0</v>
      </c>
      <c r="E986" s="108">
        <v>-2815223.04</v>
      </c>
      <c r="G986" s="108">
        <f t="shared" si="15"/>
        <v>-2815223.04</v>
      </c>
      <c r="H986" s="109" t="s">
        <v>80</v>
      </c>
    </row>
    <row r="987" spans="1:8">
      <c r="A987" s="108" t="s">
        <v>515</v>
      </c>
      <c r="B987" s="108">
        <v>-60939205.399999999</v>
      </c>
      <c r="C987" s="108">
        <v>25711863</v>
      </c>
      <c r="D987" s="108">
        <v>17145531.199999999</v>
      </c>
      <c r="E987" s="108">
        <v>-52372873.600000001</v>
      </c>
      <c r="G987" s="108">
        <f t="shared" si="15"/>
        <v>-52372873.600000001</v>
      </c>
      <c r="H987" s="109" t="s">
        <v>80</v>
      </c>
    </row>
    <row r="988" spans="1:8">
      <c r="A988" s="108" t="s">
        <v>516</v>
      </c>
      <c r="B988" s="108">
        <v>121956043.03</v>
      </c>
      <c r="C988" s="108">
        <v>20088</v>
      </c>
      <c r="D988" s="108">
        <v>0</v>
      </c>
      <c r="E988" s="108">
        <v>121976131.03</v>
      </c>
      <c r="G988" s="108">
        <f t="shared" si="15"/>
        <v>121976131.03</v>
      </c>
      <c r="H988" s="109" t="s">
        <v>80</v>
      </c>
    </row>
    <row r="989" spans="1:8">
      <c r="A989" s="108" t="s">
        <v>214</v>
      </c>
      <c r="B989" s="108">
        <v>-178274.77</v>
      </c>
      <c r="C989" s="108">
        <v>58153.79</v>
      </c>
      <c r="D989" s="108">
        <v>1107.69</v>
      </c>
      <c r="E989" s="108">
        <v>-121228.67</v>
      </c>
      <c r="G989" s="108">
        <f t="shared" si="15"/>
        <v>-121228.67</v>
      </c>
      <c r="H989" s="109" t="s">
        <v>80</v>
      </c>
    </row>
    <row r="990" spans="1:8">
      <c r="A990" s="108" t="s">
        <v>207</v>
      </c>
      <c r="B990" s="108">
        <v>-0.16</v>
      </c>
      <c r="C990" s="108">
        <v>0</v>
      </c>
      <c r="D990" s="108">
        <v>0</v>
      </c>
      <c r="E990" s="108">
        <v>-0.16</v>
      </c>
      <c r="G990" s="108">
        <f t="shared" si="15"/>
        <v>-0.16</v>
      </c>
      <c r="H990" s="109" t="s">
        <v>80</v>
      </c>
    </row>
    <row r="991" spans="1:8">
      <c r="A991" s="108" t="s">
        <v>923</v>
      </c>
      <c r="B991" s="108">
        <v>-288057.3</v>
      </c>
      <c r="C991" s="108">
        <v>27479518.260000002</v>
      </c>
      <c r="D991" s="108">
        <v>27922268.98</v>
      </c>
      <c r="E991" s="108">
        <v>-730808.02</v>
      </c>
      <c r="G991" s="108">
        <f t="shared" si="15"/>
        <v>-730808.02</v>
      </c>
      <c r="H991" s="109" t="s">
        <v>80</v>
      </c>
    </row>
    <row r="992" spans="1:8">
      <c r="A992" s="108" t="s">
        <v>195</v>
      </c>
      <c r="B992" s="108">
        <v>-3347574.91</v>
      </c>
      <c r="C992" s="108">
        <v>0</v>
      </c>
      <c r="D992" s="108">
        <v>0</v>
      </c>
      <c r="E992" s="108">
        <v>-3347574.91</v>
      </c>
      <c r="G992" s="108">
        <f t="shared" si="15"/>
        <v>-3347574.91</v>
      </c>
      <c r="H992" s="109" t="s">
        <v>80</v>
      </c>
    </row>
    <row r="993" spans="1:8">
      <c r="A993" s="108" t="s">
        <v>196</v>
      </c>
      <c r="B993" s="108">
        <v>-4968583.95</v>
      </c>
      <c r="C993" s="108">
        <v>4980774.24</v>
      </c>
      <c r="D993" s="108">
        <v>344760</v>
      </c>
      <c r="E993" s="108">
        <v>-332569.71000000002</v>
      </c>
      <c r="G993" s="108">
        <f t="shared" si="15"/>
        <v>-332569.71000000002</v>
      </c>
      <c r="H993" s="109" t="s">
        <v>80</v>
      </c>
    </row>
    <row r="994" spans="1:8">
      <c r="A994" s="108" t="s">
        <v>924</v>
      </c>
      <c r="B994" s="108">
        <v>0</v>
      </c>
      <c r="C994" s="108">
        <v>0</v>
      </c>
      <c r="D994" s="108">
        <v>1656248</v>
      </c>
      <c r="E994" s="108">
        <v>-1656248</v>
      </c>
      <c r="G994" s="108">
        <f t="shared" si="15"/>
        <v>-1656248</v>
      </c>
      <c r="H994" s="109" t="s">
        <v>80</v>
      </c>
    </row>
    <row r="995" spans="1:8">
      <c r="A995" s="108" t="s">
        <v>1323</v>
      </c>
      <c r="B995" s="108">
        <v>0</v>
      </c>
      <c r="C995" s="108">
        <v>0</v>
      </c>
      <c r="D995" s="108">
        <v>0</v>
      </c>
      <c r="E995" s="108">
        <v>0</v>
      </c>
      <c r="G995" s="108">
        <f t="shared" si="15"/>
        <v>0</v>
      </c>
      <c r="H995" s="109" t="s">
        <v>80</v>
      </c>
    </row>
    <row r="996" spans="1:8">
      <c r="A996" s="108" t="s">
        <v>925</v>
      </c>
      <c r="B996" s="108">
        <v>397122</v>
      </c>
      <c r="C996" s="108">
        <v>0</v>
      </c>
      <c r="D996" s="108">
        <v>0</v>
      </c>
      <c r="E996" s="108">
        <v>397122</v>
      </c>
      <c r="G996" s="108">
        <f t="shared" si="15"/>
        <v>397122</v>
      </c>
      <c r="H996" s="109" t="s">
        <v>80</v>
      </c>
    </row>
    <row r="997" spans="1:8">
      <c r="A997" s="108" t="s">
        <v>1324</v>
      </c>
      <c r="B997" s="108">
        <v>0</v>
      </c>
      <c r="C997" s="108">
        <v>0</v>
      </c>
      <c r="D997" s="108">
        <v>0</v>
      </c>
      <c r="E997" s="108">
        <v>0</v>
      </c>
      <c r="G997" s="108">
        <f t="shared" si="15"/>
        <v>0</v>
      </c>
      <c r="H997" s="109" t="s">
        <v>80</v>
      </c>
    </row>
    <row r="998" spans="1:8">
      <c r="A998" s="108" t="s">
        <v>1325</v>
      </c>
      <c r="B998" s="108">
        <v>0</v>
      </c>
      <c r="C998" s="108">
        <v>0</v>
      </c>
      <c r="D998" s="108">
        <v>0</v>
      </c>
      <c r="E998" s="108">
        <v>0</v>
      </c>
      <c r="G998" s="108">
        <f t="shared" si="15"/>
        <v>0</v>
      </c>
      <c r="H998" s="109" t="s">
        <v>80</v>
      </c>
    </row>
    <row r="999" spans="1:8">
      <c r="A999" s="108" t="s">
        <v>517</v>
      </c>
      <c r="B999" s="108">
        <v>9070549</v>
      </c>
      <c r="C999" s="108">
        <v>0</v>
      </c>
      <c r="D999" s="108">
        <v>0</v>
      </c>
      <c r="E999" s="108">
        <v>9070549</v>
      </c>
      <c r="G999" s="108">
        <f t="shared" si="15"/>
        <v>9070549</v>
      </c>
      <c r="H999" s="109" t="s">
        <v>80</v>
      </c>
    </row>
    <row r="1000" spans="1:8">
      <c r="A1000" s="108" t="s">
        <v>1326</v>
      </c>
      <c r="B1000" s="108">
        <v>0</v>
      </c>
      <c r="C1000" s="108">
        <v>0</v>
      </c>
      <c r="D1000" s="108">
        <v>0</v>
      </c>
      <c r="E1000" s="108">
        <v>0</v>
      </c>
      <c r="G1000" s="108">
        <f t="shared" si="15"/>
        <v>0</v>
      </c>
      <c r="H1000" s="109" t="s">
        <v>80</v>
      </c>
    </row>
    <row r="1001" spans="1:8">
      <c r="A1001" s="108" t="s">
        <v>1327</v>
      </c>
      <c r="B1001" s="108">
        <v>0</v>
      </c>
      <c r="C1001" s="108">
        <v>0</v>
      </c>
      <c r="D1001" s="108">
        <v>0</v>
      </c>
      <c r="E1001" s="108">
        <v>0</v>
      </c>
      <c r="G1001" s="108">
        <f t="shared" si="15"/>
        <v>0</v>
      </c>
      <c r="H1001" s="109" t="s">
        <v>80</v>
      </c>
    </row>
    <row r="1002" spans="1:8">
      <c r="A1002" s="108" t="s">
        <v>437</v>
      </c>
      <c r="B1002" s="108">
        <v>-9289728</v>
      </c>
      <c r="C1002" s="108">
        <v>0</v>
      </c>
      <c r="D1002" s="108">
        <v>0</v>
      </c>
      <c r="E1002" s="108">
        <v>-9289728</v>
      </c>
      <c r="G1002" s="108">
        <f t="shared" si="15"/>
        <v>-9289728</v>
      </c>
      <c r="H1002" s="109" t="s">
        <v>80</v>
      </c>
    </row>
    <row r="1003" spans="1:8">
      <c r="A1003" s="108" t="s">
        <v>926</v>
      </c>
      <c r="B1003" s="108">
        <v>15352.4</v>
      </c>
      <c r="C1003" s="108">
        <v>0</v>
      </c>
      <c r="D1003" s="108">
        <v>0</v>
      </c>
      <c r="E1003" s="108">
        <v>15352.4</v>
      </c>
      <c r="G1003" s="108">
        <f t="shared" si="15"/>
        <v>15352.4</v>
      </c>
      <c r="H1003" s="109" t="s">
        <v>80</v>
      </c>
    </row>
    <row r="1004" spans="1:8">
      <c r="A1004" s="108" t="s">
        <v>378</v>
      </c>
      <c r="B1004" s="108">
        <v>3704282.43</v>
      </c>
      <c r="C1004" s="108">
        <v>38382.370000000003</v>
      </c>
      <c r="D1004" s="108">
        <v>572353.27</v>
      </c>
      <c r="E1004" s="108">
        <v>3170311.53</v>
      </c>
      <c r="G1004" s="108">
        <f t="shared" si="15"/>
        <v>3170311.53</v>
      </c>
      <c r="H1004" s="109" t="s">
        <v>80</v>
      </c>
    </row>
    <row r="1005" spans="1:8">
      <c r="A1005" s="108" t="s">
        <v>927</v>
      </c>
      <c r="B1005" s="108">
        <v>-1667849.04</v>
      </c>
      <c r="C1005" s="108">
        <v>0</v>
      </c>
      <c r="D1005" s="108">
        <v>0</v>
      </c>
      <c r="E1005" s="108">
        <v>-1667849.04</v>
      </c>
      <c r="G1005" s="108">
        <f t="shared" si="15"/>
        <v>-1667849.04</v>
      </c>
      <c r="H1005" s="109" t="s">
        <v>80</v>
      </c>
    </row>
    <row r="1006" spans="1:8">
      <c r="A1006" s="108" t="s">
        <v>160</v>
      </c>
      <c r="B1006" s="108">
        <v>-120912.47</v>
      </c>
      <c r="C1006" s="108">
        <v>0</v>
      </c>
      <c r="D1006" s="108">
        <v>0</v>
      </c>
      <c r="E1006" s="108">
        <v>-120912.47</v>
      </c>
      <c r="G1006" s="108">
        <f t="shared" si="15"/>
        <v>-120912.47</v>
      </c>
      <c r="H1006" s="109" t="s">
        <v>80</v>
      </c>
    </row>
    <row r="1007" spans="1:8">
      <c r="A1007" s="108" t="s">
        <v>1328</v>
      </c>
      <c r="B1007" s="108">
        <v>0</v>
      </c>
      <c r="C1007" s="108">
        <v>0</v>
      </c>
      <c r="D1007" s="108">
        <v>0</v>
      </c>
      <c r="E1007" s="108">
        <v>0</v>
      </c>
      <c r="G1007" s="108">
        <f t="shared" si="15"/>
        <v>0</v>
      </c>
      <c r="H1007" s="109" t="s">
        <v>80</v>
      </c>
    </row>
    <row r="1008" spans="1:8">
      <c r="A1008" s="108" t="s">
        <v>491</v>
      </c>
      <c r="B1008" s="108">
        <v>-3.14</v>
      </c>
      <c r="C1008" s="108">
        <v>0</v>
      </c>
      <c r="D1008" s="108">
        <v>0</v>
      </c>
      <c r="E1008" s="108">
        <v>-3.14</v>
      </c>
      <c r="G1008" s="108">
        <f t="shared" si="15"/>
        <v>-3.14</v>
      </c>
      <c r="H1008" s="109" t="s">
        <v>80</v>
      </c>
    </row>
    <row r="1009" spans="1:8">
      <c r="A1009" s="108" t="s">
        <v>928</v>
      </c>
      <c r="B1009" s="108">
        <v>6686760.96</v>
      </c>
      <c r="C1009" s="108">
        <v>0</v>
      </c>
      <c r="D1009" s="108">
        <v>0</v>
      </c>
      <c r="E1009" s="108">
        <v>6686760.96</v>
      </c>
      <c r="G1009" s="108">
        <f t="shared" si="15"/>
        <v>6686760.96</v>
      </c>
      <c r="H1009" s="109" t="s">
        <v>80</v>
      </c>
    </row>
    <row r="1010" spans="1:8">
      <c r="A1010" s="108" t="s">
        <v>929</v>
      </c>
      <c r="B1010" s="108">
        <v>-0.01</v>
      </c>
      <c r="C1010" s="108">
        <v>0</v>
      </c>
      <c r="D1010" s="108">
        <v>0</v>
      </c>
      <c r="E1010" s="108">
        <v>-0.01</v>
      </c>
      <c r="G1010" s="108">
        <f t="shared" si="15"/>
        <v>-0.01</v>
      </c>
      <c r="H1010" s="109" t="s">
        <v>80</v>
      </c>
    </row>
    <row r="1011" spans="1:8">
      <c r="A1011" s="108" t="s">
        <v>399</v>
      </c>
      <c r="B1011" s="108">
        <v>-1380670.92</v>
      </c>
      <c r="C1011" s="108">
        <v>1194112</v>
      </c>
      <c r="D1011" s="108">
        <v>734196</v>
      </c>
      <c r="E1011" s="108">
        <v>-920754.92</v>
      </c>
      <c r="G1011" s="108">
        <f t="shared" si="15"/>
        <v>-920754.92</v>
      </c>
      <c r="H1011" s="109" t="s">
        <v>80</v>
      </c>
    </row>
    <row r="1012" spans="1:8">
      <c r="A1012" s="108" t="s">
        <v>930</v>
      </c>
      <c r="B1012" s="108">
        <v>-0.63</v>
      </c>
      <c r="C1012" s="108">
        <v>0</v>
      </c>
      <c r="D1012" s="108">
        <v>0</v>
      </c>
      <c r="E1012" s="108">
        <v>-0.63</v>
      </c>
      <c r="G1012" s="108">
        <f t="shared" si="15"/>
        <v>-0.63</v>
      </c>
      <c r="H1012" s="109" t="s">
        <v>80</v>
      </c>
    </row>
    <row r="1013" spans="1:8">
      <c r="A1013" s="108" t="s">
        <v>931</v>
      </c>
      <c r="B1013" s="108">
        <v>1800</v>
      </c>
      <c r="C1013" s="108">
        <v>0</v>
      </c>
      <c r="D1013" s="108">
        <v>0</v>
      </c>
      <c r="E1013" s="108">
        <v>1800</v>
      </c>
      <c r="G1013" s="108">
        <f t="shared" si="15"/>
        <v>1800</v>
      </c>
      <c r="H1013" s="109" t="s">
        <v>80</v>
      </c>
    </row>
    <row r="1014" spans="1:8">
      <c r="A1014" s="108" t="s">
        <v>397</v>
      </c>
      <c r="B1014" s="108">
        <v>-44301.5</v>
      </c>
      <c r="C1014" s="108">
        <v>0</v>
      </c>
      <c r="D1014" s="108">
        <v>0</v>
      </c>
      <c r="E1014" s="108">
        <v>-44301.5</v>
      </c>
      <c r="G1014" s="108">
        <f t="shared" si="15"/>
        <v>-44301.5</v>
      </c>
      <c r="H1014" s="109" t="s">
        <v>80</v>
      </c>
    </row>
    <row r="1015" spans="1:8">
      <c r="A1015" s="108" t="s">
        <v>1329</v>
      </c>
      <c r="B1015" s="108">
        <v>0</v>
      </c>
      <c r="C1015" s="108">
        <v>0</v>
      </c>
      <c r="D1015" s="108">
        <v>0</v>
      </c>
      <c r="E1015" s="108">
        <v>0</v>
      </c>
      <c r="G1015" s="108">
        <f t="shared" si="15"/>
        <v>0</v>
      </c>
      <c r="H1015" s="109" t="s">
        <v>80</v>
      </c>
    </row>
    <row r="1016" spans="1:8">
      <c r="A1016" s="108" t="s">
        <v>932</v>
      </c>
      <c r="B1016" s="108">
        <v>-25323.73</v>
      </c>
      <c r="C1016" s="108">
        <v>339212</v>
      </c>
      <c r="D1016" s="108">
        <v>339212</v>
      </c>
      <c r="E1016" s="108">
        <v>-25323.73</v>
      </c>
      <c r="G1016" s="108">
        <f t="shared" si="15"/>
        <v>-25323.73</v>
      </c>
      <c r="H1016" s="109" t="s">
        <v>80</v>
      </c>
    </row>
    <row r="1017" spans="1:8">
      <c r="A1017" s="108" t="s">
        <v>299</v>
      </c>
      <c r="B1017" s="108">
        <v>30429</v>
      </c>
      <c r="C1017" s="108">
        <v>0</v>
      </c>
      <c r="D1017" s="108">
        <v>0</v>
      </c>
      <c r="E1017" s="108">
        <v>30429</v>
      </c>
      <c r="G1017" s="108">
        <f t="shared" si="15"/>
        <v>30429</v>
      </c>
      <c r="H1017" s="109" t="s">
        <v>80</v>
      </c>
    </row>
    <row r="1018" spans="1:8">
      <c r="A1018" s="108" t="s">
        <v>933</v>
      </c>
      <c r="B1018" s="108">
        <v>200000</v>
      </c>
      <c r="C1018" s="108">
        <v>0</v>
      </c>
      <c r="D1018" s="108">
        <v>0</v>
      </c>
      <c r="E1018" s="108">
        <v>200000</v>
      </c>
      <c r="G1018" s="108">
        <f t="shared" si="15"/>
        <v>200000</v>
      </c>
      <c r="H1018" s="109" t="s">
        <v>80</v>
      </c>
    </row>
    <row r="1019" spans="1:8">
      <c r="A1019" s="108" t="s">
        <v>934</v>
      </c>
      <c r="B1019" s="108">
        <v>7668</v>
      </c>
      <c r="C1019" s="108">
        <v>0</v>
      </c>
      <c r="D1019" s="108">
        <v>0</v>
      </c>
      <c r="E1019" s="108">
        <v>7668</v>
      </c>
      <c r="G1019" s="108">
        <f t="shared" si="15"/>
        <v>7668</v>
      </c>
      <c r="H1019" s="109" t="s">
        <v>80</v>
      </c>
    </row>
    <row r="1020" spans="1:8">
      <c r="A1020" s="108" t="s">
        <v>1331</v>
      </c>
      <c r="B1020" s="108">
        <v>0</v>
      </c>
      <c r="C1020" s="108">
        <v>0</v>
      </c>
      <c r="D1020" s="108">
        <v>0</v>
      </c>
      <c r="E1020" s="108">
        <v>0</v>
      </c>
      <c r="G1020" s="108">
        <f t="shared" si="15"/>
        <v>0</v>
      </c>
      <c r="H1020" s="109" t="s">
        <v>80</v>
      </c>
    </row>
    <row r="1021" spans="1:8">
      <c r="A1021" s="108" t="s">
        <v>935</v>
      </c>
      <c r="B1021" s="108">
        <v>500</v>
      </c>
      <c r="C1021" s="108">
        <v>0</v>
      </c>
      <c r="D1021" s="108">
        <v>0</v>
      </c>
      <c r="E1021" s="108">
        <v>500</v>
      </c>
      <c r="G1021" s="108">
        <f t="shared" si="15"/>
        <v>500</v>
      </c>
      <c r="H1021" s="109" t="s">
        <v>80</v>
      </c>
    </row>
    <row r="1022" spans="1:8">
      <c r="A1022" s="108" t="s">
        <v>936</v>
      </c>
      <c r="B1022" s="108">
        <v>-21426</v>
      </c>
      <c r="C1022" s="108">
        <v>0</v>
      </c>
      <c r="D1022" s="108">
        <v>0</v>
      </c>
      <c r="E1022" s="108">
        <v>-21426</v>
      </c>
      <c r="G1022" s="108">
        <f t="shared" si="15"/>
        <v>-21426</v>
      </c>
      <c r="H1022" s="109" t="s">
        <v>80</v>
      </c>
    </row>
    <row r="1023" spans="1:8">
      <c r="A1023" s="108" t="s">
        <v>1332</v>
      </c>
      <c r="B1023" s="108">
        <v>0</v>
      </c>
      <c r="C1023" s="108">
        <v>0</v>
      </c>
      <c r="D1023" s="108">
        <v>0</v>
      </c>
      <c r="E1023" s="108">
        <v>0</v>
      </c>
      <c r="G1023" s="108">
        <f t="shared" si="15"/>
        <v>0</v>
      </c>
      <c r="H1023" s="109" t="s">
        <v>80</v>
      </c>
    </row>
    <row r="1024" spans="1:8">
      <c r="A1024" s="108" t="s">
        <v>937</v>
      </c>
      <c r="B1024" s="108">
        <v>4000</v>
      </c>
      <c r="C1024" s="108">
        <v>0</v>
      </c>
      <c r="D1024" s="108">
        <v>0</v>
      </c>
      <c r="E1024" s="108">
        <v>4000</v>
      </c>
      <c r="G1024" s="108">
        <f t="shared" si="15"/>
        <v>4000</v>
      </c>
      <c r="H1024" s="109" t="s">
        <v>80</v>
      </c>
    </row>
    <row r="1025" spans="1:8">
      <c r="A1025" s="108" t="s">
        <v>938</v>
      </c>
      <c r="B1025" s="108">
        <v>-180000</v>
      </c>
      <c r="C1025" s="108">
        <v>180000</v>
      </c>
      <c r="D1025" s="108">
        <v>0</v>
      </c>
      <c r="E1025" s="108">
        <v>0</v>
      </c>
      <c r="G1025" s="108">
        <f t="shared" si="15"/>
        <v>0</v>
      </c>
      <c r="H1025" s="109" t="s">
        <v>80</v>
      </c>
    </row>
    <row r="1026" spans="1:8">
      <c r="A1026" s="108" t="s">
        <v>382</v>
      </c>
      <c r="B1026" s="108">
        <v>-40406.5</v>
      </c>
      <c r="C1026" s="108">
        <v>0</v>
      </c>
      <c r="D1026" s="108">
        <v>0</v>
      </c>
      <c r="E1026" s="108">
        <v>-40406.5</v>
      </c>
      <c r="G1026" s="108">
        <f t="shared" si="15"/>
        <v>-40406.5</v>
      </c>
      <c r="H1026" s="109" t="s">
        <v>80</v>
      </c>
    </row>
    <row r="1027" spans="1:8">
      <c r="A1027" s="108" t="s">
        <v>939</v>
      </c>
      <c r="B1027" s="108">
        <v>-0.06</v>
      </c>
      <c r="C1027" s="108">
        <v>586218.72</v>
      </c>
      <c r="D1027" s="108">
        <v>586218.72</v>
      </c>
      <c r="E1027" s="108">
        <v>-0.06</v>
      </c>
      <c r="G1027" s="108">
        <f t="shared" ref="G1027:G1090" si="16">E1027+F1027</f>
        <v>-0.06</v>
      </c>
      <c r="H1027" s="109" t="s">
        <v>80</v>
      </c>
    </row>
    <row r="1028" spans="1:8">
      <c r="A1028" s="108" t="s">
        <v>940</v>
      </c>
      <c r="B1028" s="108">
        <v>-0.45</v>
      </c>
      <c r="C1028" s="108">
        <v>7796.85</v>
      </c>
      <c r="D1028" s="108">
        <v>7796.85</v>
      </c>
      <c r="E1028" s="108">
        <v>-0.45</v>
      </c>
      <c r="G1028" s="108">
        <f t="shared" si="16"/>
        <v>-0.45</v>
      </c>
      <c r="H1028" s="109" t="s">
        <v>80</v>
      </c>
    </row>
    <row r="1029" spans="1:8">
      <c r="A1029" s="108" t="s">
        <v>941</v>
      </c>
      <c r="B1029" s="108">
        <v>-54000</v>
      </c>
      <c r="C1029" s="108">
        <v>54000</v>
      </c>
      <c r="D1029" s="108">
        <v>0</v>
      </c>
      <c r="E1029" s="108">
        <v>0</v>
      </c>
      <c r="G1029" s="108">
        <f t="shared" si="16"/>
        <v>0</v>
      </c>
      <c r="H1029" s="109" t="s">
        <v>80</v>
      </c>
    </row>
    <row r="1030" spans="1:8">
      <c r="A1030" s="108" t="s">
        <v>942</v>
      </c>
      <c r="B1030" s="108">
        <v>-113400</v>
      </c>
      <c r="C1030" s="108">
        <v>113400</v>
      </c>
      <c r="D1030" s="108">
        <v>0</v>
      </c>
      <c r="E1030" s="108">
        <v>0</v>
      </c>
      <c r="G1030" s="108">
        <f t="shared" si="16"/>
        <v>0</v>
      </c>
      <c r="H1030" s="109" t="s">
        <v>80</v>
      </c>
    </row>
    <row r="1031" spans="1:8">
      <c r="A1031" s="108" t="s">
        <v>943</v>
      </c>
      <c r="B1031" s="108">
        <v>-108000</v>
      </c>
      <c r="C1031" s="108">
        <v>108000</v>
      </c>
      <c r="D1031" s="108">
        <v>0</v>
      </c>
      <c r="E1031" s="108">
        <v>0</v>
      </c>
      <c r="G1031" s="108">
        <f t="shared" si="16"/>
        <v>0</v>
      </c>
      <c r="H1031" s="109" t="s">
        <v>80</v>
      </c>
    </row>
    <row r="1032" spans="1:8">
      <c r="A1032" s="108" t="s">
        <v>944</v>
      </c>
      <c r="B1032" s="108">
        <v>-34000</v>
      </c>
      <c r="C1032" s="108">
        <v>34000</v>
      </c>
      <c r="D1032" s="108">
        <v>0</v>
      </c>
      <c r="E1032" s="108">
        <v>0</v>
      </c>
      <c r="G1032" s="108">
        <f t="shared" si="16"/>
        <v>0</v>
      </c>
      <c r="H1032" s="109" t="s">
        <v>80</v>
      </c>
    </row>
    <row r="1033" spans="1:8">
      <c r="A1033" s="108" t="s">
        <v>945</v>
      </c>
      <c r="B1033" s="108">
        <v>4256</v>
      </c>
      <c r="C1033" s="108">
        <v>10129</v>
      </c>
      <c r="D1033" s="108">
        <v>0</v>
      </c>
      <c r="E1033" s="108">
        <v>14385</v>
      </c>
      <c r="G1033" s="108">
        <f t="shared" si="16"/>
        <v>14385</v>
      </c>
      <c r="H1033" s="109" t="s">
        <v>80</v>
      </c>
    </row>
    <row r="1034" spans="1:8">
      <c r="A1034" s="108" t="s">
        <v>946</v>
      </c>
      <c r="B1034" s="108">
        <v>4000</v>
      </c>
      <c r="C1034" s="108">
        <v>0</v>
      </c>
      <c r="D1034" s="108">
        <v>0</v>
      </c>
      <c r="E1034" s="108">
        <v>4000</v>
      </c>
      <c r="G1034" s="108">
        <f t="shared" si="16"/>
        <v>4000</v>
      </c>
      <c r="H1034" s="109" t="s">
        <v>80</v>
      </c>
    </row>
    <row r="1035" spans="1:8">
      <c r="A1035" s="108" t="s">
        <v>283</v>
      </c>
      <c r="B1035" s="108">
        <v>-6600</v>
      </c>
      <c r="C1035" s="108">
        <v>0</v>
      </c>
      <c r="D1035" s="108">
        <v>0</v>
      </c>
      <c r="E1035" s="108">
        <v>-6600</v>
      </c>
      <c r="G1035" s="108">
        <f t="shared" si="16"/>
        <v>-6600</v>
      </c>
      <c r="H1035" s="109" t="s">
        <v>80</v>
      </c>
    </row>
    <row r="1036" spans="1:8">
      <c r="A1036" s="108" t="s">
        <v>947</v>
      </c>
      <c r="B1036" s="108">
        <v>-10726</v>
      </c>
      <c r="C1036" s="108">
        <v>6431</v>
      </c>
      <c r="D1036" s="108">
        <v>0</v>
      </c>
      <c r="E1036" s="108">
        <v>-4295</v>
      </c>
      <c r="G1036" s="108">
        <f t="shared" si="16"/>
        <v>-4295</v>
      </c>
      <c r="H1036" s="109" t="s">
        <v>80</v>
      </c>
    </row>
    <row r="1037" spans="1:8">
      <c r="A1037" s="108" t="s">
        <v>529</v>
      </c>
      <c r="B1037" s="108">
        <v>73828</v>
      </c>
      <c r="C1037" s="108">
        <v>0</v>
      </c>
      <c r="D1037" s="108">
        <v>0</v>
      </c>
      <c r="E1037" s="108">
        <v>73828</v>
      </c>
      <c r="G1037" s="108">
        <f t="shared" si="16"/>
        <v>73828</v>
      </c>
      <c r="H1037" s="109" t="s">
        <v>80</v>
      </c>
    </row>
    <row r="1038" spans="1:8">
      <c r="A1038" s="108" t="s">
        <v>1333</v>
      </c>
      <c r="B1038" s="108">
        <v>0</v>
      </c>
      <c r="C1038" s="108">
        <v>0</v>
      </c>
      <c r="D1038" s="108">
        <v>0</v>
      </c>
      <c r="E1038" s="108">
        <v>0</v>
      </c>
      <c r="G1038" s="108">
        <f t="shared" si="16"/>
        <v>0</v>
      </c>
      <c r="H1038" s="109" t="s">
        <v>80</v>
      </c>
    </row>
    <row r="1039" spans="1:8">
      <c r="A1039" s="108" t="s">
        <v>411</v>
      </c>
      <c r="B1039" s="108">
        <v>-252702.42</v>
      </c>
      <c r="C1039" s="108">
        <v>917845.77</v>
      </c>
      <c r="D1039" s="108">
        <v>5007423.55</v>
      </c>
      <c r="E1039" s="108">
        <v>-4342280.2</v>
      </c>
      <c r="G1039" s="108">
        <f t="shared" si="16"/>
        <v>-4342280.2</v>
      </c>
      <c r="H1039" s="109" t="s">
        <v>80</v>
      </c>
    </row>
    <row r="1040" spans="1:8">
      <c r="A1040" s="108" t="s">
        <v>948</v>
      </c>
      <c r="B1040" s="108">
        <v>-34300</v>
      </c>
      <c r="C1040" s="108">
        <v>35000</v>
      </c>
      <c r="D1040" s="108">
        <v>0</v>
      </c>
      <c r="E1040" s="108">
        <v>700</v>
      </c>
      <c r="G1040" s="108">
        <f t="shared" si="16"/>
        <v>700</v>
      </c>
      <c r="H1040" s="109" t="s">
        <v>80</v>
      </c>
    </row>
    <row r="1041" spans="1:8">
      <c r="A1041" s="108" t="s">
        <v>1334</v>
      </c>
      <c r="B1041" s="108">
        <v>0</v>
      </c>
      <c r="C1041" s="108">
        <v>0</v>
      </c>
      <c r="D1041" s="108">
        <v>0</v>
      </c>
      <c r="E1041" s="108">
        <v>0</v>
      </c>
      <c r="G1041" s="108">
        <f t="shared" si="16"/>
        <v>0</v>
      </c>
      <c r="H1041" s="109" t="s">
        <v>80</v>
      </c>
    </row>
    <row r="1042" spans="1:8">
      <c r="A1042" s="108" t="s">
        <v>1335</v>
      </c>
      <c r="B1042" s="108">
        <v>0</v>
      </c>
      <c r="C1042" s="108">
        <v>0</v>
      </c>
      <c r="D1042" s="108">
        <v>0</v>
      </c>
      <c r="E1042" s="108">
        <v>0</v>
      </c>
      <c r="G1042" s="108">
        <f t="shared" si="16"/>
        <v>0</v>
      </c>
      <c r="H1042" s="109" t="s">
        <v>80</v>
      </c>
    </row>
    <row r="1043" spans="1:8">
      <c r="A1043" s="108" t="s">
        <v>949</v>
      </c>
      <c r="B1043" s="108">
        <v>-38243</v>
      </c>
      <c r="C1043" s="108">
        <v>0</v>
      </c>
      <c r="D1043" s="108">
        <v>0</v>
      </c>
      <c r="E1043" s="108">
        <v>-38243</v>
      </c>
      <c r="G1043" s="108">
        <f t="shared" si="16"/>
        <v>-38243</v>
      </c>
      <c r="H1043" s="109" t="s">
        <v>80</v>
      </c>
    </row>
    <row r="1044" spans="1:8">
      <c r="A1044" s="108" t="s">
        <v>1336</v>
      </c>
      <c r="B1044" s="108">
        <v>0</v>
      </c>
      <c r="C1044" s="108">
        <v>0</v>
      </c>
      <c r="D1044" s="108">
        <v>0</v>
      </c>
      <c r="E1044" s="108">
        <v>0</v>
      </c>
      <c r="G1044" s="108">
        <f t="shared" si="16"/>
        <v>0</v>
      </c>
      <c r="H1044" s="109" t="s">
        <v>80</v>
      </c>
    </row>
    <row r="1045" spans="1:8">
      <c r="A1045" s="108" t="s">
        <v>950</v>
      </c>
      <c r="B1045" s="108">
        <v>63</v>
      </c>
      <c r="C1045" s="108">
        <v>99938</v>
      </c>
      <c r="D1045" s="108">
        <v>0</v>
      </c>
      <c r="E1045" s="108">
        <v>100001</v>
      </c>
      <c r="G1045" s="108">
        <f t="shared" si="16"/>
        <v>100001</v>
      </c>
      <c r="H1045" s="109" t="s">
        <v>80</v>
      </c>
    </row>
    <row r="1046" spans="1:8">
      <c r="A1046" s="108" t="s">
        <v>951</v>
      </c>
      <c r="B1046" s="108">
        <v>-29686.23</v>
      </c>
      <c r="C1046" s="108">
        <v>0</v>
      </c>
      <c r="D1046" s="108">
        <v>0</v>
      </c>
      <c r="E1046" s="108">
        <v>-29686.23</v>
      </c>
      <c r="G1046" s="108">
        <f t="shared" si="16"/>
        <v>-29686.23</v>
      </c>
      <c r="H1046" s="109" t="s">
        <v>80</v>
      </c>
    </row>
    <row r="1047" spans="1:8">
      <c r="A1047" s="108" t="s">
        <v>952</v>
      </c>
      <c r="B1047" s="108">
        <v>0</v>
      </c>
      <c r="C1047" s="108">
        <v>64090</v>
      </c>
      <c r="D1047" s="108">
        <v>64500</v>
      </c>
      <c r="E1047" s="108">
        <v>-410</v>
      </c>
      <c r="G1047" s="108">
        <f t="shared" si="16"/>
        <v>-410</v>
      </c>
      <c r="H1047" s="109" t="s">
        <v>80</v>
      </c>
    </row>
    <row r="1048" spans="1:8">
      <c r="A1048" s="108" t="s">
        <v>1425</v>
      </c>
      <c r="B1048" s="108">
        <v>0</v>
      </c>
      <c r="C1048" s="108">
        <v>0</v>
      </c>
      <c r="D1048" s="108">
        <v>0</v>
      </c>
      <c r="E1048" s="108">
        <v>0</v>
      </c>
      <c r="G1048" s="108">
        <f t="shared" si="16"/>
        <v>0</v>
      </c>
      <c r="H1048" s="109" t="s">
        <v>80</v>
      </c>
    </row>
    <row r="1049" spans="1:8">
      <c r="A1049" s="108" t="s">
        <v>953</v>
      </c>
      <c r="B1049" s="108">
        <v>-458</v>
      </c>
      <c r="C1049" s="108">
        <v>0</v>
      </c>
      <c r="D1049" s="108">
        <v>0</v>
      </c>
      <c r="E1049" s="108">
        <v>-458</v>
      </c>
      <c r="G1049" s="108">
        <f t="shared" si="16"/>
        <v>-458</v>
      </c>
      <c r="H1049" s="109" t="s">
        <v>80</v>
      </c>
    </row>
    <row r="1050" spans="1:8">
      <c r="A1050" s="108" t="s">
        <v>954</v>
      </c>
      <c r="B1050" s="108">
        <v>-12744</v>
      </c>
      <c r="C1050" s="108">
        <v>0</v>
      </c>
      <c r="D1050" s="108">
        <v>0</v>
      </c>
      <c r="E1050" s="108">
        <v>-12744</v>
      </c>
      <c r="G1050" s="108">
        <f t="shared" si="16"/>
        <v>-12744</v>
      </c>
      <c r="H1050" s="109" t="s">
        <v>80</v>
      </c>
    </row>
    <row r="1051" spans="1:8">
      <c r="A1051" s="108" t="s">
        <v>955</v>
      </c>
      <c r="B1051" s="108">
        <v>-52200</v>
      </c>
      <c r="C1051" s="108">
        <v>48600</v>
      </c>
      <c r="D1051" s="108">
        <v>0</v>
      </c>
      <c r="E1051" s="108">
        <v>-3600</v>
      </c>
      <c r="G1051" s="108">
        <f t="shared" si="16"/>
        <v>-3600</v>
      </c>
      <c r="H1051" s="109" t="s">
        <v>80</v>
      </c>
    </row>
    <row r="1052" spans="1:8">
      <c r="A1052" s="108" t="s">
        <v>957</v>
      </c>
      <c r="B1052" s="108">
        <v>0</v>
      </c>
      <c r="C1052" s="108">
        <v>50000</v>
      </c>
      <c r="D1052" s="108">
        <v>69738</v>
      </c>
      <c r="E1052" s="108">
        <v>-19738</v>
      </c>
      <c r="G1052" s="108">
        <f t="shared" si="16"/>
        <v>-19738</v>
      </c>
      <c r="H1052" s="109" t="s">
        <v>80</v>
      </c>
    </row>
    <row r="1053" spans="1:8">
      <c r="A1053" s="108" t="s">
        <v>1338</v>
      </c>
      <c r="B1053" s="108">
        <v>0</v>
      </c>
      <c r="C1053" s="108">
        <v>206548.18</v>
      </c>
      <c r="D1053" s="108">
        <v>0</v>
      </c>
      <c r="E1053" s="108">
        <v>206548.18</v>
      </c>
      <c r="G1053" s="108">
        <f t="shared" si="16"/>
        <v>206548.18</v>
      </c>
      <c r="H1053" s="109" t="s">
        <v>80</v>
      </c>
    </row>
    <row r="1054" spans="1:8">
      <c r="A1054" s="108" t="s">
        <v>423</v>
      </c>
      <c r="B1054" s="108">
        <v>19469</v>
      </c>
      <c r="C1054" s="108">
        <v>0</v>
      </c>
      <c r="D1054" s="108">
        <v>0</v>
      </c>
      <c r="E1054" s="108">
        <v>19469</v>
      </c>
      <c r="G1054" s="108">
        <f t="shared" si="16"/>
        <v>19469</v>
      </c>
      <c r="H1054" s="109" t="s">
        <v>80</v>
      </c>
    </row>
    <row r="1055" spans="1:8">
      <c r="A1055" s="108" t="s">
        <v>958</v>
      </c>
      <c r="B1055" s="108">
        <v>-41104.67</v>
      </c>
      <c r="C1055" s="108">
        <v>0</v>
      </c>
      <c r="D1055" s="108">
        <v>0</v>
      </c>
      <c r="E1055" s="108">
        <v>-41104.67</v>
      </c>
      <c r="G1055" s="108">
        <f t="shared" si="16"/>
        <v>-41104.67</v>
      </c>
      <c r="H1055" s="109" t="s">
        <v>80</v>
      </c>
    </row>
    <row r="1056" spans="1:8">
      <c r="A1056" s="108" t="s">
        <v>959</v>
      </c>
      <c r="B1056" s="108">
        <v>0</v>
      </c>
      <c r="C1056" s="108">
        <v>64800</v>
      </c>
      <c r="D1056" s="108">
        <v>64800</v>
      </c>
      <c r="E1056" s="108">
        <v>0</v>
      </c>
      <c r="G1056" s="108">
        <f t="shared" si="16"/>
        <v>0</v>
      </c>
      <c r="H1056" s="109" t="s">
        <v>80</v>
      </c>
    </row>
    <row r="1057" spans="1:8">
      <c r="A1057" s="108" t="s">
        <v>960</v>
      </c>
      <c r="B1057" s="108">
        <v>-45062</v>
      </c>
      <c r="C1057" s="108">
        <v>44982</v>
      </c>
      <c r="D1057" s="108">
        <v>0</v>
      </c>
      <c r="E1057" s="108">
        <v>-80</v>
      </c>
      <c r="G1057" s="108">
        <f t="shared" si="16"/>
        <v>-80</v>
      </c>
      <c r="H1057" s="109" t="s">
        <v>80</v>
      </c>
    </row>
    <row r="1058" spans="1:8">
      <c r="A1058" s="108" t="s">
        <v>1516</v>
      </c>
      <c r="B1058" s="108">
        <v>0</v>
      </c>
      <c r="C1058" s="108">
        <v>0</v>
      </c>
      <c r="D1058" s="108">
        <v>0</v>
      </c>
      <c r="E1058" s="108">
        <v>0</v>
      </c>
      <c r="G1058" s="108">
        <f t="shared" si="16"/>
        <v>0</v>
      </c>
      <c r="H1058" s="109" t="s">
        <v>80</v>
      </c>
    </row>
    <row r="1059" spans="1:8">
      <c r="A1059" s="108" t="s">
        <v>961</v>
      </c>
      <c r="B1059" s="108">
        <v>-81000</v>
      </c>
      <c r="C1059" s="108">
        <v>81000</v>
      </c>
      <c r="D1059" s="108">
        <v>0</v>
      </c>
      <c r="E1059" s="108">
        <v>0</v>
      </c>
      <c r="G1059" s="108">
        <f t="shared" si="16"/>
        <v>0</v>
      </c>
      <c r="H1059" s="109" t="s">
        <v>80</v>
      </c>
    </row>
    <row r="1060" spans="1:8">
      <c r="A1060" s="108" t="s">
        <v>962</v>
      </c>
      <c r="B1060" s="108">
        <v>-500</v>
      </c>
      <c r="C1060" s="108">
        <v>0</v>
      </c>
      <c r="D1060" s="108">
        <v>0</v>
      </c>
      <c r="E1060" s="108">
        <v>-500</v>
      </c>
      <c r="G1060" s="108">
        <f t="shared" si="16"/>
        <v>-500</v>
      </c>
      <c r="H1060" s="109" t="s">
        <v>80</v>
      </c>
    </row>
    <row r="1061" spans="1:8">
      <c r="A1061" s="108" t="s">
        <v>963</v>
      </c>
      <c r="B1061" s="108">
        <v>-129.69999999999999</v>
      </c>
      <c r="C1061" s="108">
        <v>0</v>
      </c>
      <c r="D1061" s="108">
        <v>0</v>
      </c>
      <c r="E1061" s="108">
        <v>-129.69999999999999</v>
      </c>
      <c r="G1061" s="108">
        <f t="shared" si="16"/>
        <v>-129.69999999999999</v>
      </c>
      <c r="H1061" s="109" t="s">
        <v>80</v>
      </c>
    </row>
    <row r="1062" spans="1:8">
      <c r="A1062" s="108" t="s">
        <v>964</v>
      </c>
      <c r="B1062" s="108">
        <v>0</v>
      </c>
      <c r="C1062" s="108">
        <v>170177.29</v>
      </c>
      <c r="D1062" s="108">
        <v>170177.29</v>
      </c>
      <c r="E1062" s="108">
        <v>0</v>
      </c>
      <c r="G1062" s="108">
        <f t="shared" si="16"/>
        <v>0</v>
      </c>
      <c r="H1062" s="109" t="s">
        <v>80</v>
      </c>
    </row>
    <row r="1063" spans="1:8">
      <c r="A1063" s="108" t="s">
        <v>471</v>
      </c>
      <c r="B1063" s="108">
        <v>1728</v>
      </c>
      <c r="C1063" s="108">
        <v>0</v>
      </c>
      <c r="D1063" s="108">
        <v>0</v>
      </c>
      <c r="E1063" s="108">
        <v>1728</v>
      </c>
      <c r="G1063" s="108">
        <f t="shared" si="16"/>
        <v>1728</v>
      </c>
      <c r="H1063" s="109" t="s">
        <v>80</v>
      </c>
    </row>
    <row r="1064" spans="1:8">
      <c r="A1064" s="108" t="s">
        <v>965</v>
      </c>
      <c r="B1064" s="108">
        <v>2016</v>
      </c>
      <c r="C1064" s="108">
        <v>0</v>
      </c>
      <c r="D1064" s="108">
        <v>0</v>
      </c>
      <c r="E1064" s="108">
        <v>2016</v>
      </c>
      <c r="G1064" s="108">
        <f t="shared" si="16"/>
        <v>2016</v>
      </c>
      <c r="H1064" s="109" t="s">
        <v>80</v>
      </c>
    </row>
    <row r="1065" spans="1:8">
      <c r="A1065" s="108" t="s">
        <v>966</v>
      </c>
      <c r="B1065" s="108">
        <v>9000</v>
      </c>
      <c r="C1065" s="108">
        <v>0</v>
      </c>
      <c r="D1065" s="108">
        <v>0</v>
      </c>
      <c r="E1065" s="108">
        <v>9000</v>
      </c>
      <c r="G1065" s="108">
        <f t="shared" si="16"/>
        <v>9000</v>
      </c>
      <c r="H1065" s="109" t="s">
        <v>80</v>
      </c>
    </row>
    <row r="1066" spans="1:8">
      <c r="A1066" s="108" t="s">
        <v>1340</v>
      </c>
      <c r="B1066" s="108">
        <v>0</v>
      </c>
      <c r="C1066" s="108">
        <v>0</v>
      </c>
      <c r="D1066" s="108">
        <v>0</v>
      </c>
      <c r="E1066" s="108">
        <v>0</v>
      </c>
      <c r="G1066" s="108">
        <f t="shared" si="16"/>
        <v>0</v>
      </c>
      <c r="H1066" s="109" t="s">
        <v>80</v>
      </c>
    </row>
    <row r="1067" spans="1:8">
      <c r="A1067" s="108" t="s">
        <v>240</v>
      </c>
      <c r="B1067" s="108">
        <v>-1516300</v>
      </c>
      <c r="C1067" s="108">
        <v>0</v>
      </c>
      <c r="D1067" s="108">
        <v>0</v>
      </c>
      <c r="E1067" s="108">
        <v>-1516300</v>
      </c>
      <c r="G1067" s="108">
        <f t="shared" si="16"/>
        <v>-1516300</v>
      </c>
      <c r="H1067" s="109" t="s">
        <v>80</v>
      </c>
    </row>
    <row r="1068" spans="1:8">
      <c r="A1068" s="108" t="s">
        <v>967</v>
      </c>
      <c r="B1068" s="108">
        <v>-48600</v>
      </c>
      <c r="C1068" s="108">
        <v>48600</v>
      </c>
      <c r="D1068" s="108">
        <v>0</v>
      </c>
      <c r="E1068" s="108">
        <v>0</v>
      </c>
      <c r="G1068" s="108">
        <f t="shared" si="16"/>
        <v>0</v>
      </c>
      <c r="H1068" s="109" t="s">
        <v>80</v>
      </c>
    </row>
    <row r="1069" spans="1:8">
      <c r="A1069" s="108" t="s">
        <v>968</v>
      </c>
      <c r="B1069" s="108">
        <v>-6504</v>
      </c>
      <c r="C1069" s="108">
        <v>1416</v>
      </c>
      <c r="D1069" s="108">
        <v>0</v>
      </c>
      <c r="E1069" s="108">
        <v>-5088</v>
      </c>
      <c r="G1069" s="108">
        <f t="shared" si="16"/>
        <v>-5088</v>
      </c>
      <c r="H1069" s="109" t="s">
        <v>80</v>
      </c>
    </row>
    <row r="1070" spans="1:8">
      <c r="A1070" s="108" t="s">
        <v>1048</v>
      </c>
      <c r="B1070" s="108">
        <v>-0.4</v>
      </c>
      <c r="C1070" s="108">
        <v>0</v>
      </c>
      <c r="D1070" s="108">
        <v>0</v>
      </c>
      <c r="E1070" s="108">
        <v>-0.4</v>
      </c>
      <c r="G1070" s="108">
        <f t="shared" si="16"/>
        <v>-0.4</v>
      </c>
      <c r="H1070" s="109" t="s">
        <v>80</v>
      </c>
    </row>
    <row r="1071" spans="1:8">
      <c r="A1071" s="108" t="s">
        <v>969</v>
      </c>
      <c r="B1071" s="108">
        <v>-64800</v>
      </c>
      <c r="C1071" s="108">
        <v>64800</v>
      </c>
      <c r="D1071" s="108">
        <v>0</v>
      </c>
      <c r="E1071" s="108">
        <v>0</v>
      </c>
      <c r="G1071" s="108">
        <f t="shared" si="16"/>
        <v>0</v>
      </c>
      <c r="H1071" s="109" t="s">
        <v>80</v>
      </c>
    </row>
    <row r="1072" spans="1:8">
      <c r="A1072" s="108" t="s">
        <v>970</v>
      </c>
      <c r="B1072" s="108">
        <v>-37141</v>
      </c>
      <c r="C1072" s="108">
        <v>35666</v>
      </c>
      <c r="D1072" s="108">
        <v>0</v>
      </c>
      <c r="E1072" s="108">
        <v>-1475</v>
      </c>
      <c r="G1072" s="108">
        <f t="shared" si="16"/>
        <v>-1475</v>
      </c>
      <c r="H1072" s="109" t="s">
        <v>80</v>
      </c>
    </row>
    <row r="1073" spans="1:8">
      <c r="A1073" s="108" t="s">
        <v>971</v>
      </c>
      <c r="B1073" s="108">
        <v>-147150</v>
      </c>
      <c r="C1073" s="108">
        <v>140400</v>
      </c>
      <c r="D1073" s="108">
        <v>0</v>
      </c>
      <c r="E1073" s="108">
        <v>-6750</v>
      </c>
      <c r="G1073" s="108">
        <f t="shared" si="16"/>
        <v>-6750</v>
      </c>
      <c r="H1073" s="109" t="s">
        <v>80</v>
      </c>
    </row>
    <row r="1074" spans="1:8">
      <c r="A1074" s="108" t="s">
        <v>972</v>
      </c>
      <c r="B1074" s="108">
        <v>-0.6</v>
      </c>
      <c r="C1074" s="108">
        <v>58141.35</v>
      </c>
      <c r="D1074" s="108">
        <v>58141.35</v>
      </c>
      <c r="E1074" s="108">
        <v>-0.6</v>
      </c>
      <c r="G1074" s="108">
        <f t="shared" si="16"/>
        <v>-0.6</v>
      </c>
      <c r="H1074" s="109" t="s">
        <v>80</v>
      </c>
    </row>
    <row r="1075" spans="1:8">
      <c r="A1075" s="108" t="s">
        <v>231</v>
      </c>
      <c r="B1075" s="108">
        <v>-365814.01</v>
      </c>
      <c r="C1075" s="108">
        <v>248035</v>
      </c>
      <c r="D1075" s="108">
        <v>600401</v>
      </c>
      <c r="E1075" s="108">
        <v>-718180.01</v>
      </c>
      <c r="G1075" s="108">
        <f t="shared" si="16"/>
        <v>-718180.01</v>
      </c>
      <c r="H1075" s="109" t="s">
        <v>80</v>
      </c>
    </row>
    <row r="1076" spans="1:8">
      <c r="A1076" s="108" t="s">
        <v>973</v>
      </c>
      <c r="B1076" s="108">
        <v>-484417.06</v>
      </c>
      <c r="C1076" s="108">
        <v>713061</v>
      </c>
      <c r="D1076" s="108">
        <v>0</v>
      </c>
      <c r="E1076" s="108">
        <v>228643.94</v>
      </c>
      <c r="G1076" s="108">
        <f t="shared" si="16"/>
        <v>228643.94</v>
      </c>
      <c r="H1076" s="109" t="s">
        <v>80</v>
      </c>
    </row>
    <row r="1077" spans="1:8">
      <c r="A1077" s="108" t="s">
        <v>974</v>
      </c>
      <c r="B1077" s="108">
        <v>-389</v>
      </c>
      <c r="C1077" s="108">
        <v>0</v>
      </c>
      <c r="D1077" s="108">
        <v>0</v>
      </c>
      <c r="E1077" s="108">
        <v>-389</v>
      </c>
      <c r="G1077" s="108">
        <f t="shared" si="16"/>
        <v>-389</v>
      </c>
      <c r="H1077" s="109" t="s">
        <v>80</v>
      </c>
    </row>
    <row r="1078" spans="1:8">
      <c r="A1078" s="108" t="s">
        <v>975</v>
      </c>
      <c r="B1078" s="108">
        <v>-128520</v>
      </c>
      <c r="C1078" s="108">
        <v>128520</v>
      </c>
      <c r="D1078" s="108">
        <v>0</v>
      </c>
      <c r="E1078" s="108">
        <v>0</v>
      </c>
      <c r="G1078" s="108">
        <f t="shared" si="16"/>
        <v>0</v>
      </c>
      <c r="H1078" s="109" t="s">
        <v>80</v>
      </c>
    </row>
    <row r="1079" spans="1:8">
      <c r="A1079" s="108" t="s">
        <v>380</v>
      </c>
      <c r="B1079" s="108">
        <v>-36315</v>
      </c>
      <c r="C1079" s="108">
        <v>40000</v>
      </c>
      <c r="D1079" s="108">
        <v>0</v>
      </c>
      <c r="E1079" s="108">
        <v>3685</v>
      </c>
      <c r="G1079" s="108">
        <f t="shared" si="16"/>
        <v>3685</v>
      </c>
      <c r="H1079" s="109" t="s">
        <v>80</v>
      </c>
    </row>
    <row r="1080" spans="1:8">
      <c r="A1080" s="108" t="s">
        <v>976</v>
      </c>
      <c r="B1080" s="108">
        <v>-6431</v>
      </c>
      <c r="C1080" s="108">
        <v>0</v>
      </c>
      <c r="D1080" s="108">
        <v>0</v>
      </c>
      <c r="E1080" s="108">
        <v>-6431</v>
      </c>
      <c r="G1080" s="108">
        <f t="shared" si="16"/>
        <v>-6431</v>
      </c>
      <c r="H1080" s="109" t="s">
        <v>80</v>
      </c>
    </row>
    <row r="1081" spans="1:8">
      <c r="A1081" s="108" t="s">
        <v>977</v>
      </c>
      <c r="B1081" s="108">
        <v>150000</v>
      </c>
      <c r="C1081" s="108">
        <v>0</v>
      </c>
      <c r="D1081" s="108">
        <v>0</v>
      </c>
      <c r="E1081" s="108">
        <v>150000</v>
      </c>
      <c r="G1081" s="108">
        <f t="shared" si="16"/>
        <v>150000</v>
      </c>
      <c r="H1081" s="109" t="s">
        <v>80</v>
      </c>
    </row>
    <row r="1082" spans="1:8">
      <c r="A1082" s="108" t="s">
        <v>1342</v>
      </c>
      <c r="B1082" s="108">
        <v>0</v>
      </c>
      <c r="C1082" s="108">
        <v>0</v>
      </c>
      <c r="D1082" s="108">
        <v>0</v>
      </c>
      <c r="E1082" s="108">
        <v>0</v>
      </c>
      <c r="G1082" s="108">
        <f t="shared" si="16"/>
        <v>0</v>
      </c>
      <c r="H1082" s="109" t="s">
        <v>80</v>
      </c>
    </row>
    <row r="1083" spans="1:8">
      <c r="A1083" s="108" t="s">
        <v>221</v>
      </c>
      <c r="B1083" s="108">
        <v>-5311.43</v>
      </c>
      <c r="C1083" s="108">
        <v>5310</v>
      </c>
      <c r="D1083" s="108">
        <v>0</v>
      </c>
      <c r="E1083" s="108">
        <v>-1.43</v>
      </c>
      <c r="G1083" s="108">
        <f t="shared" si="16"/>
        <v>-1.43</v>
      </c>
      <c r="H1083" s="109" t="s">
        <v>80</v>
      </c>
    </row>
    <row r="1084" spans="1:8">
      <c r="A1084" s="108" t="s">
        <v>465</v>
      </c>
      <c r="B1084" s="108">
        <v>-39722</v>
      </c>
      <c r="C1084" s="108">
        <v>0</v>
      </c>
      <c r="D1084" s="108">
        <v>0</v>
      </c>
      <c r="E1084" s="108">
        <v>-39722</v>
      </c>
      <c r="G1084" s="108">
        <f t="shared" si="16"/>
        <v>-39722</v>
      </c>
      <c r="H1084" s="109" t="s">
        <v>80</v>
      </c>
    </row>
    <row r="1085" spans="1:8">
      <c r="A1085" s="108" t="s">
        <v>424</v>
      </c>
      <c r="B1085" s="108">
        <v>-215570</v>
      </c>
      <c r="C1085" s="108">
        <v>0</v>
      </c>
      <c r="D1085" s="108">
        <v>0</v>
      </c>
      <c r="E1085" s="108">
        <v>-215570</v>
      </c>
      <c r="G1085" s="108">
        <f t="shared" si="16"/>
        <v>-215570</v>
      </c>
      <c r="H1085" s="109" t="s">
        <v>80</v>
      </c>
    </row>
    <row r="1086" spans="1:8">
      <c r="A1086" s="108" t="s">
        <v>978</v>
      </c>
      <c r="B1086" s="108">
        <v>2445855</v>
      </c>
      <c r="C1086" s="108">
        <v>148500</v>
      </c>
      <c r="D1086" s="108">
        <v>0</v>
      </c>
      <c r="E1086" s="108">
        <v>2594355</v>
      </c>
      <c r="G1086" s="108">
        <f t="shared" si="16"/>
        <v>2594355</v>
      </c>
      <c r="H1086" s="109" t="s">
        <v>80</v>
      </c>
    </row>
    <row r="1087" spans="1:8">
      <c r="A1087" s="108" t="s">
        <v>979</v>
      </c>
      <c r="B1087" s="108">
        <v>-31904</v>
      </c>
      <c r="C1087" s="108">
        <v>0</v>
      </c>
      <c r="D1087" s="108">
        <v>0</v>
      </c>
      <c r="E1087" s="108">
        <v>-31904</v>
      </c>
      <c r="G1087" s="108">
        <f t="shared" si="16"/>
        <v>-31904</v>
      </c>
      <c r="H1087" s="109" t="s">
        <v>80</v>
      </c>
    </row>
    <row r="1088" spans="1:8">
      <c r="A1088" s="108" t="s">
        <v>1344</v>
      </c>
      <c r="B1088" s="108">
        <v>0</v>
      </c>
      <c r="C1088" s="108">
        <v>0</v>
      </c>
      <c r="D1088" s="108">
        <v>0</v>
      </c>
      <c r="E1088" s="108">
        <v>0</v>
      </c>
      <c r="G1088" s="108">
        <f t="shared" si="16"/>
        <v>0</v>
      </c>
      <c r="H1088" s="109" t="s">
        <v>80</v>
      </c>
    </row>
    <row r="1089" spans="1:8">
      <c r="A1089" s="108" t="s">
        <v>980</v>
      </c>
      <c r="B1089" s="108">
        <v>19410</v>
      </c>
      <c r="C1089" s="108">
        <v>0</v>
      </c>
      <c r="D1089" s="108">
        <v>0</v>
      </c>
      <c r="E1089" s="108">
        <v>19410</v>
      </c>
      <c r="G1089" s="108">
        <f t="shared" si="16"/>
        <v>19410</v>
      </c>
      <c r="H1089" s="109" t="s">
        <v>80</v>
      </c>
    </row>
    <row r="1090" spans="1:8">
      <c r="A1090" s="108" t="s">
        <v>981</v>
      </c>
      <c r="B1090" s="108">
        <v>49500</v>
      </c>
      <c r="C1090" s="108">
        <v>0</v>
      </c>
      <c r="D1090" s="108">
        <v>0</v>
      </c>
      <c r="E1090" s="108">
        <v>49500</v>
      </c>
      <c r="G1090" s="108">
        <f t="shared" si="16"/>
        <v>49500</v>
      </c>
      <c r="H1090" s="109" t="s">
        <v>80</v>
      </c>
    </row>
    <row r="1091" spans="1:8">
      <c r="A1091" s="108" t="s">
        <v>982</v>
      </c>
      <c r="B1091" s="108">
        <v>30000</v>
      </c>
      <c r="C1091" s="108">
        <v>0</v>
      </c>
      <c r="D1091" s="108">
        <v>0</v>
      </c>
      <c r="E1091" s="108">
        <v>30000</v>
      </c>
      <c r="G1091" s="108">
        <f t="shared" ref="G1091:G1154" si="17">E1091+F1091</f>
        <v>30000</v>
      </c>
      <c r="H1091" s="109" t="s">
        <v>80</v>
      </c>
    </row>
    <row r="1092" spans="1:8">
      <c r="A1092" s="108" t="s">
        <v>983</v>
      </c>
      <c r="B1092" s="108">
        <v>21240</v>
      </c>
      <c r="C1092" s="108">
        <v>0</v>
      </c>
      <c r="D1092" s="108">
        <v>0</v>
      </c>
      <c r="E1092" s="108">
        <v>21240</v>
      </c>
      <c r="G1092" s="108">
        <f t="shared" si="17"/>
        <v>21240</v>
      </c>
      <c r="H1092" s="109" t="s">
        <v>80</v>
      </c>
    </row>
    <row r="1093" spans="1:8">
      <c r="A1093" s="108" t="s">
        <v>984</v>
      </c>
      <c r="B1093" s="108">
        <v>-47200</v>
      </c>
      <c r="C1093" s="108">
        <v>47200</v>
      </c>
      <c r="D1093" s="108">
        <v>0</v>
      </c>
      <c r="E1093" s="108">
        <v>0</v>
      </c>
      <c r="G1093" s="108">
        <f t="shared" si="17"/>
        <v>0</v>
      </c>
      <c r="H1093" s="109" t="s">
        <v>80</v>
      </c>
    </row>
    <row r="1094" spans="1:8">
      <c r="A1094" s="108" t="s">
        <v>461</v>
      </c>
      <c r="B1094" s="108">
        <v>-1223853.24</v>
      </c>
      <c r="C1094" s="108">
        <v>1725470</v>
      </c>
      <c r="D1094" s="108">
        <v>0</v>
      </c>
      <c r="E1094" s="108">
        <v>501616.76</v>
      </c>
      <c r="G1094" s="108">
        <f t="shared" si="17"/>
        <v>501616.76</v>
      </c>
      <c r="H1094" s="109" t="s">
        <v>80</v>
      </c>
    </row>
    <row r="1095" spans="1:8">
      <c r="A1095" s="108" t="s">
        <v>985</v>
      </c>
      <c r="B1095" s="108">
        <v>-132120</v>
      </c>
      <c r="C1095" s="108">
        <v>129600</v>
      </c>
      <c r="D1095" s="108">
        <v>0</v>
      </c>
      <c r="E1095" s="108">
        <v>-2520</v>
      </c>
      <c r="G1095" s="108">
        <f t="shared" si="17"/>
        <v>-2520</v>
      </c>
      <c r="H1095" s="109" t="s">
        <v>80</v>
      </c>
    </row>
    <row r="1096" spans="1:8">
      <c r="A1096" s="108" t="s">
        <v>986</v>
      </c>
      <c r="B1096" s="108">
        <v>48980</v>
      </c>
      <c r="C1096" s="108">
        <v>0</v>
      </c>
      <c r="D1096" s="108">
        <v>0</v>
      </c>
      <c r="E1096" s="108">
        <v>48980</v>
      </c>
      <c r="G1096" s="108">
        <f t="shared" si="17"/>
        <v>48980</v>
      </c>
      <c r="H1096" s="109" t="s">
        <v>80</v>
      </c>
    </row>
    <row r="1097" spans="1:8">
      <c r="A1097" s="108" t="s">
        <v>1346</v>
      </c>
      <c r="B1097" s="108">
        <v>0</v>
      </c>
      <c r="C1097" s="108">
        <v>0</v>
      </c>
      <c r="D1097" s="108">
        <v>0</v>
      </c>
      <c r="E1097" s="108">
        <v>0</v>
      </c>
      <c r="G1097" s="108">
        <f t="shared" si="17"/>
        <v>0</v>
      </c>
      <c r="H1097" s="109" t="s">
        <v>80</v>
      </c>
    </row>
    <row r="1098" spans="1:8">
      <c r="A1098" s="108" t="s">
        <v>987</v>
      </c>
      <c r="B1098" s="108">
        <v>9874</v>
      </c>
      <c r="C1098" s="108">
        <v>0</v>
      </c>
      <c r="D1098" s="108">
        <v>0</v>
      </c>
      <c r="E1098" s="108">
        <v>9874</v>
      </c>
      <c r="G1098" s="108">
        <f t="shared" si="17"/>
        <v>9874</v>
      </c>
      <c r="H1098" s="109" t="s">
        <v>80</v>
      </c>
    </row>
    <row r="1099" spans="1:8">
      <c r="A1099" s="108" t="s">
        <v>988</v>
      </c>
      <c r="B1099" s="108">
        <v>-132920</v>
      </c>
      <c r="C1099" s="108">
        <v>129600</v>
      </c>
      <c r="D1099" s="108">
        <v>0</v>
      </c>
      <c r="E1099" s="108">
        <v>-3320</v>
      </c>
      <c r="G1099" s="108">
        <f t="shared" si="17"/>
        <v>-3320</v>
      </c>
      <c r="H1099" s="109" t="s">
        <v>80</v>
      </c>
    </row>
    <row r="1100" spans="1:8">
      <c r="A1100" s="108" t="s">
        <v>989</v>
      </c>
      <c r="B1100" s="108">
        <v>50500</v>
      </c>
      <c r="C1100" s="108">
        <v>0</v>
      </c>
      <c r="D1100" s="108">
        <v>0</v>
      </c>
      <c r="E1100" s="108">
        <v>50500</v>
      </c>
      <c r="G1100" s="108">
        <f t="shared" si="17"/>
        <v>50500</v>
      </c>
      <c r="H1100" s="109" t="s">
        <v>80</v>
      </c>
    </row>
    <row r="1101" spans="1:8">
      <c r="A1101" s="108" t="s">
        <v>990</v>
      </c>
      <c r="B1101" s="108">
        <v>410850</v>
      </c>
      <c r="C1101" s="108">
        <v>0</v>
      </c>
      <c r="D1101" s="108">
        <v>0</v>
      </c>
      <c r="E1101" s="108">
        <v>410850</v>
      </c>
      <c r="G1101" s="108">
        <f t="shared" si="17"/>
        <v>410850</v>
      </c>
      <c r="H1101" s="109" t="s">
        <v>80</v>
      </c>
    </row>
    <row r="1102" spans="1:8">
      <c r="A1102" s="108" t="s">
        <v>991</v>
      </c>
      <c r="B1102" s="108">
        <v>1187000</v>
      </c>
      <c r="C1102" s="108">
        <v>0</v>
      </c>
      <c r="D1102" s="108">
        <v>0</v>
      </c>
      <c r="E1102" s="108">
        <v>1187000</v>
      </c>
      <c r="G1102" s="108">
        <f t="shared" si="17"/>
        <v>1187000</v>
      </c>
      <c r="H1102" s="109" t="s">
        <v>80</v>
      </c>
    </row>
    <row r="1103" spans="1:8">
      <c r="A1103" s="108" t="s">
        <v>992</v>
      </c>
      <c r="B1103" s="108">
        <v>-1170</v>
      </c>
      <c r="C1103" s="108">
        <v>0</v>
      </c>
      <c r="D1103" s="108">
        <v>9440</v>
      </c>
      <c r="E1103" s="108">
        <v>-10610</v>
      </c>
      <c r="G1103" s="108">
        <f t="shared" si="17"/>
        <v>-10610</v>
      </c>
      <c r="H1103" s="109" t="s">
        <v>80</v>
      </c>
    </row>
    <row r="1104" spans="1:8">
      <c r="A1104" s="108" t="s">
        <v>993</v>
      </c>
      <c r="B1104" s="108">
        <v>-168000</v>
      </c>
      <c r="C1104" s="108">
        <v>0</v>
      </c>
      <c r="D1104" s="108">
        <v>0</v>
      </c>
      <c r="E1104" s="108">
        <v>-168000</v>
      </c>
      <c r="G1104" s="108">
        <f t="shared" si="17"/>
        <v>-168000</v>
      </c>
      <c r="H1104" s="109" t="s">
        <v>80</v>
      </c>
    </row>
    <row r="1105" spans="1:8">
      <c r="A1105" s="108" t="s">
        <v>994</v>
      </c>
      <c r="B1105" s="108">
        <v>3806.64</v>
      </c>
      <c r="C1105" s="108">
        <v>0</v>
      </c>
      <c r="D1105" s="108">
        <v>0</v>
      </c>
      <c r="E1105" s="108">
        <v>3806.64</v>
      </c>
      <c r="G1105" s="108">
        <f t="shared" si="17"/>
        <v>3806.64</v>
      </c>
      <c r="H1105" s="109" t="s">
        <v>80</v>
      </c>
    </row>
    <row r="1106" spans="1:8">
      <c r="A1106" s="108" t="s">
        <v>995</v>
      </c>
      <c r="B1106" s="108">
        <v>-51408</v>
      </c>
      <c r="C1106" s="108">
        <v>51408</v>
      </c>
      <c r="D1106" s="108">
        <v>0</v>
      </c>
      <c r="E1106" s="108">
        <v>0</v>
      </c>
      <c r="G1106" s="108">
        <f t="shared" si="17"/>
        <v>0</v>
      </c>
      <c r="H1106" s="109" t="s">
        <v>80</v>
      </c>
    </row>
    <row r="1107" spans="1:8">
      <c r="A1107" s="108" t="s">
        <v>996</v>
      </c>
      <c r="B1107" s="108">
        <v>21121</v>
      </c>
      <c r="C1107" s="108">
        <v>0</v>
      </c>
      <c r="D1107" s="108">
        <v>0</v>
      </c>
      <c r="E1107" s="108">
        <v>21121</v>
      </c>
      <c r="G1107" s="108">
        <f t="shared" si="17"/>
        <v>21121</v>
      </c>
      <c r="H1107" s="109" t="s">
        <v>80</v>
      </c>
    </row>
    <row r="1108" spans="1:8">
      <c r="A1108" s="108" t="s">
        <v>997</v>
      </c>
      <c r="B1108" s="108">
        <v>9136</v>
      </c>
      <c r="C1108" s="108">
        <v>0</v>
      </c>
      <c r="D1108" s="108">
        <v>9136</v>
      </c>
      <c r="E1108" s="108">
        <v>0</v>
      </c>
      <c r="G1108" s="108">
        <f t="shared" si="17"/>
        <v>0</v>
      </c>
      <c r="H1108" s="109" t="s">
        <v>80</v>
      </c>
    </row>
    <row r="1109" spans="1:8">
      <c r="A1109" s="108" t="s">
        <v>998</v>
      </c>
      <c r="B1109" s="108">
        <v>81969</v>
      </c>
      <c r="C1109" s="108">
        <v>1320</v>
      </c>
      <c r="D1109" s="108">
        <v>80388</v>
      </c>
      <c r="E1109" s="108">
        <v>2901</v>
      </c>
      <c r="G1109" s="108">
        <f t="shared" si="17"/>
        <v>2901</v>
      </c>
      <c r="H1109" s="109" t="s">
        <v>80</v>
      </c>
    </row>
    <row r="1110" spans="1:8">
      <c r="A1110" s="108" t="s">
        <v>1352</v>
      </c>
      <c r="B1110" s="108">
        <v>0</v>
      </c>
      <c r="C1110" s="108">
        <v>0</v>
      </c>
      <c r="D1110" s="108">
        <v>0</v>
      </c>
      <c r="E1110" s="108">
        <v>0</v>
      </c>
      <c r="G1110" s="108">
        <f t="shared" si="17"/>
        <v>0</v>
      </c>
      <c r="H1110" s="109" t="s">
        <v>80</v>
      </c>
    </row>
    <row r="1111" spans="1:8">
      <c r="A1111" s="108" t="s">
        <v>999</v>
      </c>
      <c r="B1111" s="108">
        <v>-29700</v>
      </c>
      <c r="C1111" s="108">
        <v>29700</v>
      </c>
      <c r="D1111" s="108">
        <v>0</v>
      </c>
      <c r="E1111" s="108">
        <v>0</v>
      </c>
      <c r="G1111" s="108">
        <f t="shared" si="17"/>
        <v>0</v>
      </c>
      <c r="H1111" s="109" t="s">
        <v>80</v>
      </c>
    </row>
    <row r="1112" spans="1:8">
      <c r="A1112" s="108" t="s">
        <v>1000</v>
      </c>
      <c r="B1112" s="108">
        <v>86828</v>
      </c>
      <c r="C1112" s="108">
        <v>148500</v>
      </c>
      <c r="D1112" s="108">
        <v>0</v>
      </c>
      <c r="E1112" s="108">
        <v>235328</v>
      </c>
      <c r="G1112" s="108">
        <f t="shared" si="17"/>
        <v>235328</v>
      </c>
      <c r="H1112" s="109" t="s">
        <v>80</v>
      </c>
    </row>
    <row r="1113" spans="1:8">
      <c r="A1113" s="108" t="s">
        <v>1001</v>
      </c>
      <c r="B1113" s="108">
        <v>-6863.39</v>
      </c>
      <c r="C1113" s="108">
        <v>0</v>
      </c>
      <c r="D1113" s="108">
        <v>57743.16</v>
      </c>
      <c r="E1113" s="108">
        <v>-64606.55</v>
      </c>
      <c r="G1113" s="108">
        <f t="shared" si="17"/>
        <v>-64606.55</v>
      </c>
      <c r="H1113" s="109" t="s">
        <v>80</v>
      </c>
    </row>
    <row r="1114" spans="1:8">
      <c r="A1114" s="108" t="s">
        <v>1354</v>
      </c>
      <c r="B1114" s="108">
        <v>0</v>
      </c>
      <c r="C1114" s="108">
        <v>0</v>
      </c>
      <c r="D1114" s="108">
        <v>0</v>
      </c>
      <c r="E1114" s="108">
        <v>0</v>
      </c>
      <c r="G1114" s="108">
        <f t="shared" si="17"/>
        <v>0</v>
      </c>
      <c r="H1114" s="109" t="s">
        <v>80</v>
      </c>
    </row>
    <row r="1115" spans="1:8">
      <c r="A1115" s="108" t="s">
        <v>1002</v>
      </c>
      <c r="B1115" s="108">
        <v>125</v>
      </c>
      <c r="C1115" s="108">
        <v>3750</v>
      </c>
      <c r="D1115" s="108">
        <v>0</v>
      </c>
      <c r="E1115" s="108">
        <v>3875</v>
      </c>
      <c r="G1115" s="108">
        <f t="shared" si="17"/>
        <v>3875</v>
      </c>
      <c r="H1115" s="109" t="s">
        <v>80</v>
      </c>
    </row>
    <row r="1116" spans="1:8">
      <c r="A1116" s="108" t="s">
        <v>1003</v>
      </c>
      <c r="B1116" s="108">
        <v>-35425.25</v>
      </c>
      <c r="C1116" s="108">
        <v>0</v>
      </c>
      <c r="D1116" s="108">
        <v>0</v>
      </c>
      <c r="E1116" s="108">
        <v>-35425.25</v>
      </c>
      <c r="G1116" s="108">
        <f t="shared" si="17"/>
        <v>-35425.25</v>
      </c>
      <c r="H1116" s="109" t="s">
        <v>80</v>
      </c>
    </row>
    <row r="1117" spans="1:8">
      <c r="A1117" s="108" t="s">
        <v>1004</v>
      </c>
      <c r="B1117" s="108">
        <v>-31512.92</v>
      </c>
      <c r="C1117" s="108">
        <v>0</v>
      </c>
      <c r="D1117" s="108">
        <v>0</v>
      </c>
      <c r="E1117" s="108">
        <v>-31512.92</v>
      </c>
      <c r="G1117" s="108">
        <f t="shared" si="17"/>
        <v>-31512.92</v>
      </c>
      <c r="H1117" s="109" t="s">
        <v>80</v>
      </c>
    </row>
    <row r="1118" spans="1:8">
      <c r="A1118" s="108" t="s">
        <v>1005</v>
      </c>
      <c r="B1118" s="108">
        <v>-11280</v>
      </c>
      <c r="C1118" s="108">
        <v>0</v>
      </c>
      <c r="D1118" s="108">
        <v>0</v>
      </c>
      <c r="E1118" s="108">
        <v>-11280</v>
      </c>
      <c r="G1118" s="108">
        <f t="shared" si="17"/>
        <v>-11280</v>
      </c>
      <c r="H1118" s="109" t="s">
        <v>80</v>
      </c>
    </row>
    <row r="1119" spans="1:8">
      <c r="A1119" s="108" t="s">
        <v>1006</v>
      </c>
      <c r="B1119" s="108">
        <v>-153381</v>
      </c>
      <c r="C1119" s="108">
        <v>1300</v>
      </c>
      <c r="D1119" s="108">
        <v>153369</v>
      </c>
      <c r="E1119" s="108">
        <v>-305450</v>
      </c>
      <c r="G1119" s="108">
        <f t="shared" si="17"/>
        <v>-305450</v>
      </c>
      <c r="H1119" s="109" t="s">
        <v>80</v>
      </c>
    </row>
    <row r="1120" spans="1:8">
      <c r="A1120" s="108" t="s">
        <v>1355</v>
      </c>
      <c r="B1120" s="108">
        <v>0</v>
      </c>
      <c r="C1120" s="108">
        <v>0</v>
      </c>
      <c r="D1120" s="108">
        <v>0</v>
      </c>
      <c r="E1120" s="108">
        <v>0</v>
      </c>
      <c r="G1120" s="108">
        <f t="shared" si="17"/>
        <v>0</v>
      </c>
      <c r="H1120" s="109" t="s">
        <v>80</v>
      </c>
    </row>
    <row r="1121" spans="1:8">
      <c r="A1121" s="108" t="s">
        <v>1007</v>
      </c>
      <c r="B1121" s="108">
        <v>350000</v>
      </c>
      <c r="C1121" s="108">
        <v>0</v>
      </c>
      <c r="D1121" s="108">
        <v>0</v>
      </c>
      <c r="E1121" s="108">
        <v>350000</v>
      </c>
      <c r="G1121" s="108">
        <f t="shared" si="17"/>
        <v>350000</v>
      </c>
      <c r="H1121" s="109" t="s">
        <v>80</v>
      </c>
    </row>
    <row r="1122" spans="1:8">
      <c r="A1122" s="108" t="s">
        <v>1356</v>
      </c>
      <c r="B1122" s="108">
        <v>0</v>
      </c>
      <c r="C1122" s="108">
        <v>0</v>
      </c>
      <c r="D1122" s="108">
        <v>0</v>
      </c>
      <c r="E1122" s="108">
        <v>0</v>
      </c>
      <c r="G1122" s="108">
        <f t="shared" si="17"/>
        <v>0</v>
      </c>
      <c r="H1122" s="109" t="s">
        <v>80</v>
      </c>
    </row>
    <row r="1123" spans="1:8">
      <c r="A1123" s="108" t="s">
        <v>1358</v>
      </c>
      <c r="B1123" s="108">
        <v>0</v>
      </c>
      <c r="C1123" s="108">
        <v>0</v>
      </c>
      <c r="D1123" s="108">
        <v>0</v>
      </c>
      <c r="E1123" s="108">
        <v>0</v>
      </c>
      <c r="G1123" s="108">
        <f t="shared" si="17"/>
        <v>0</v>
      </c>
      <c r="H1123" s="109" t="s">
        <v>80</v>
      </c>
    </row>
    <row r="1124" spans="1:8">
      <c r="A1124" s="108" t="s">
        <v>419</v>
      </c>
      <c r="B1124" s="108">
        <v>-20234.669999999998</v>
      </c>
      <c r="C1124" s="108">
        <v>0</v>
      </c>
      <c r="D1124" s="108">
        <v>0</v>
      </c>
      <c r="E1124" s="108">
        <v>-20234.669999999998</v>
      </c>
      <c r="G1124" s="108">
        <f t="shared" si="17"/>
        <v>-20234.669999999998</v>
      </c>
      <c r="H1124" s="109" t="s">
        <v>80</v>
      </c>
    </row>
    <row r="1125" spans="1:8">
      <c r="A1125" s="108" t="s">
        <v>1008</v>
      </c>
      <c r="B1125" s="108">
        <v>19025</v>
      </c>
      <c r="C1125" s="108">
        <v>144239</v>
      </c>
      <c r="D1125" s="108">
        <v>0</v>
      </c>
      <c r="E1125" s="108">
        <v>163264</v>
      </c>
      <c r="G1125" s="108">
        <f t="shared" si="17"/>
        <v>163264</v>
      </c>
      <c r="H1125" s="109" t="s">
        <v>80</v>
      </c>
    </row>
    <row r="1126" spans="1:8">
      <c r="A1126" s="108" t="s">
        <v>1009</v>
      </c>
      <c r="B1126" s="108">
        <v>0</v>
      </c>
      <c r="C1126" s="108">
        <v>708</v>
      </c>
      <c r="D1126" s="108">
        <v>708</v>
      </c>
      <c r="E1126" s="108">
        <v>0</v>
      </c>
      <c r="G1126" s="108">
        <f t="shared" si="17"/>
        <v>0</v>
      </c>
      <c r="H1126" s="109" t="s">
        <v>80</v>
      </c>
    </row>
    <row r="1127" spans="1:8">
      <c r="A1127" s="108" t="s">
        <v>1010</v>
      </c>
      <c r="B1127" s="108">
        <v>-3581</v>
      </c>
      <c r="C1127" s="108">
        <v>0</v>
      </c>
      <c r="D1127" s="108">
        <v>0</v>
      </c>
      <c r="E1127" s="108">
        <v>-3581</v>
      </c>
      <c r="G1127" s="108">
        <f t="shared" si="17"/>
        <v>-3581</v>
      </c>
      <c r="H1127" s="109" t="s">
        <v>80</v>
      </c>
    </row>
    <row r="1128" spans="1:8">
      <c r="A1128" s="108" t="s">
        <v>1011</v>
      </c>
      <c r="B1128" s="108">
        <v>-0.64</v>
      </c>
      <c r="C1128" s="108">
        <v>0</v>
      </c>
      <c r="D1128" s="108">
        <v>0</v>
      </c>
      <c r="E1128" s="108">
        <v>-0.64</v>
      </c>
      <c r="G1128" s="108">
        <f t="shared" si="17"/>
        <v>-0.64</v>
      </c>
      <c r="H1128" s="109" t="s">
        <v>80</v>
      </c>
    </row>
    <row r="1129" spans="1:8">
      <c r="A1129" s="108" t="s">
        <v>1012</v>
      </c>
      <c r="B1129" s="108">
        <v>-146369.48000000001</v>
      </c>
      <c r="C1129" s="108">
        <v>164515</v>
      </c>
      <c r="D1129" s="108">
        <v>0</v>
      </c>
      <c r="E1129" s="108">
        <v>18145.52</v>
      </c>
      <c r="G1129" s="108">
        <f t="shared" si="17"/>
        <v>18145.52</v>
      </c>
      <c r="H1129" s="109" t="s">
        <v>80</v>
      </c>
    </row>
    <row r="1130" spans="1:8">
      <c r="A1130" s="108" t="s">
        <v>155</v>
      </c>
      <c r="B1130" s="108">
        <v>-4150455.4</v>
      </c>
      <c r="C1130" s="108">
        <v>5081353</v>
      </c>
      <c r="D1130" s="108">
        <v>0</v>
      </c>
      <c r="E1130" s="108">
        <v>930897.6</v>
      </c>
      <c r="G1130" s="108">
        <f t="shared" si="17"/>
        <v>930897.6</v>
      </c>
      <c r="H1130" s="109" t="s">
        <v>80</v>
      </c>
    </row>
    <row r="1131" spans="1:8">
      <c r="A1131" s="108" t="s">
        <v>1013</v>
      </c>
      <c r="B1131" s="108">
        <v>-854</v>
      </c>
      <c r="C1131" s="108">
        <v>0</v>
      </c>
      <c r="D1131" s="108">
        <v>0</v>
      </c>
      <c r="E1131" s="108">
        <v>-854</v>
      </c>
      <c r="G1131" s="108">
        <f t="shared" si="17"/>
        <v>-854</v>
      </c>
      <c r="H1131" s="109" t="s">
        <v>80</v>
      </c>
    </row>
    <row r="1132" spans="1:8">
      <c r="A1132" s="108" t="s">
        <v>393</v>
      </c>
      <c r="B1132" s="108">
        <v>15853.21</v>
      </c>
      <c r="C1132" s="108">
        <v>4280</v>
      </c>
      <c r="D1132" s="108">
        <v>0</v>
      </c>
      <c r="E1132" s="108">
        <v>20133.21</v>
      </c>
      <c r="G1132" s="108">
        <f t="shared" si="17"/>
        <v>20133.21</v>
      </c>
      <c r="H1132" s="109" t="s">
        <v>80</v>
      </c>
    </row>
    <row r="1133" spans="1:8">
      <c r="A1133" s="108" t="s">
        <v>1014</v>
      </c>
      <c r="B1133" s="108">
        <v>-52030</v>
      </c>
      <c r="C1133" s="108">
        <v>0</v>
      </c>
      <c r="D1133" s="108">
        <v>0</v>
      </c>
      <c r="E1133" s="108">
        <v>-52030</v>
      </c>
      <c r="G1133" s="108">
        <f t="shared" si="17"/>
        <v>-52030</v>
      </c>
      <c r="H1133" s="109" t="s">
        <v>80</v>
      </c>
    </row>
    <row r="1134" spans="1:8">
      <c r="A1134" s="108" t="s">
        <v>1015</v>
      </c>
      <c r="B1134" s="108">
        <v>-0.46</v>
      </c>
      <c r="C1134" s="108">
        <v>0</v>
      </c>
      <c r="D1134" s="108">
        <v>0</v>
      </c>
      <c r="E1134" s="108">
        <v>-0.46</v>
      </c>
      <c r="G1134" s="108">
        <f t="shared" si="17"/>
        <v>-0.46</v>
      </c>
      <c r="H1134" s="109" t="s">
        <v>80</v>
      </c>
    </row>
    <row r="1135" spans="1:8">
      <c r="A1135" s="108" t="s">
        <v>413</v>
      </c>
      <c r="B1135" s="108">
        <v>-8850</v>
      </c>
      <c r="C1135" s="108">
        <v>0</v>
      </c>
      <c r="D1135" s="108">
        <v>0</v>
      </c>
      <c r="E1135" s="108">
        <v>-8850</v>
      </c>
      <c r="G1135" s="108">
        <f t="shared" si="17"/>
        <v>-8850</v>
      </c>
      <c r="H1135" s="109" t="s">
        <v>80</v>
      </c>
    </row>
    <row r="1136" spans="1:8">
      <c r="A1136" s="108" t="s">
        <v>1016</v>
      </c>
      <c r="B1136" s="108">
        <v>0</v>
      </c>
      <c r="C1136" s="108">
        <v>49500</v>
      </c>
      <c r="D1136" s="108">
        <v>0</v>
      </c>
      <c r="E1136" s="108">
        <v>49500</v>
      </c>
      <c r="G1136" s="108">
        <f t="shared" si="17"/>
        <v>49500</v>
      </c>
      <c r="H1136" s="109" t="s">
        <v>80</v>
      </c>
    </row>
    <row r="1137" spans="1:8">
      <c r="A1137" s="108" t="s">
        <v>1017</v>
      </c>
      <c r="B1137" s="108">
        <v>-1770</v>
      </c>
      <c r="C1137" s="108">
        <v>5310</v>
      </c>
      <c r="D1137" s="108">
        <v>3540</v>
      </c>
      <c r="E1137" s="108">
        <v>0</v>
      </c>
      <c r="G1137" s="108">
        <f t="shared" si="17"/>
        <v>0</v>
      </c>
      <c r="H1137" s="109" t="s">
        <v>80</v>
      </c>
    </row>
    <row r="1138" spans="1:8">
      <c r="A1138" s="108" t="s">
        <v>1018</v>
      </c>
      <c r="B1138" s="108">
        <v>-448828868.54000002</v>
      </c>
      <c r="C1138" s="108">
        <v>385324262</v>
      </c>
      <c r="D1138" s="108">
        <v>310346270.89999998</v>
      </c>
      <c r="E1138" s="108">
        <v>-373850877.44</v>
      </c>
      <c r="G1138" s="108">
        <f t="shared" si="17"/>
        <v>-373850877.44</v>
      </c>
      <c r="H1138" s="109" t="s">
        <v>80</v>
      </c>
    </row>
    <row r="1139" spans="1:8">
      <c r="A1139" s="108" t="s">
        <v>1019</v>
      </c>
      <c r="B1139" s="108">
        <v>536708.4</v>
      </c>
      <c r="C1139" s="108">
        <v>0</v>
      </c>
      <c r="D1139" s="108">
        <v>118</v>
      </c>
      <c r="E1139" s="108">
        <v>536590.4</v>
      </c>
      <c r="G1139" s="108">
        <f t="shared" si="17"/>
        <v>536590.4</v>
      </c>
      <c r="H1139" s="109" t="s">
        <v>80</v>
      </c>
    </row>
    <row r="1140" spans="1:8">
      <c r="A1140" s="108" t="s">
        <v>1020</v>
      </c>
      <c r="B1140" s="108">
        <v>-59604687.869999997</v>
      </c>
      <c r="C1140" s="108">
        <v>45952625.600000001</v>
      </c>
      <c r="D1140" s="108">
        <v>44966939.560000002</v>
      </c>
      <c r="E1140" s="108">
        <v>-58619001.829999998</v>
      </c>
      <c r="G1140" s="108">
        <f t="shared" si="17"/>
        <v>-58619001.829999998</v>
      </c>
      <c r="H1140" s="109" t="s">
        <v>80</v>
      </c>
    </row>
    <row r="1141" spans="1:8">
      <c r="A1141" s="108" t="s">
        <v>1021</v>
      </c>
      <c r="B1141" s="108">
        <v>-904527117</v>
      </c>
      <c r="C1141" s="108">
        <v>44184808</v>
      </c>
      <c r="D1141" s="108">
        <v>28000000</v>
      </c>
      <c r="E1141" s="108">
        <v>-888342309</v>
      </c>
      <c r="G1141" s="108">
        <f t="shared" si="17"/>
        <v>-888342309</v>
      </c>
      <c r="H1141" s="109" t="s">
        <v>80</v>
      </c>
    </row>
    <row r="1142" spans="1:8">
      <c r="A1142" s="108" t="s">
        <v>1022</v>
      </c>
      <c r="B1142" s="108">
        <v>-254791622.38</v>
      </c>
      <c r="C1142" s="108">
        <v>0</v>
      </c>
      <c r="D1142" s="108">
        <v>0</v>
      </c>
      <c r="E1142" s="108">
        <v>-254791622.38</v>
      </c>
      <c r="G1142" s="108">
        <f t="shared" si="17"/>
        <v>-254791622.38</v>
      </c>
      <c r="H1142" s="109" t="s">
        <v>80</v>
      </c>
    </row>
    <row r="1143" spans="1:8">
      <c r="A1143" s="108" t="s">
        <v>1023</v>
      </c>
      <c r="B1143" s="108">
        <v>-27509624.390000001</v>
      </c>
      <c r="C1143" s="108">
        <v>12000000</v>
      </c>
      <c r="D1143" s="108">
        <v>0</v>
      </c>
      <c r="E1143" s="108">
        <v>-15509624.390000001</v>
      </c>
      <c r="G1143" s="108">
        <f t="shared" si="17"/>
        <v>-15509624.390000001</v>
      </c>
      <c r="H1143" s="109" t="s">
        <v>80</v>
      </c>
    </row>
    <row r="1144" spans="1:8">
      <c r="A1144" s="108" t="s">
        <v>1024</v>
      </c>
      <c r="B1144" s="108">
        <v>-77618334.810000002</v>
      </c>
      <c r="C1144" s="108">
        <v>852786</v>
      </c>
      <c r="D1144" s="108">
        <v>852786</v>
      </c>
      <c r="E1144" s="108">
        <v>-77618334.810000002</v>
      </c>
      <c r="G1144" s="108">
        <f t="shared" si="17"/>
        <v>-77618334.810000002</v>
      </c>
      <c r="H1144" s="109" t="s">
        <v>80</v>
      </c>
    </row>
    <row r="1145" spans="1:8">
      <c r="A1145" s="108" t="s">
        <v>1025</v>
      </c>
      <c r="B1145" s="108">
        <v>-17551333.5</v>
      </c>
      <c r="C1145" s="108">
        <v>645175.66</v>
      </c>
      <c r="D1145" s="108">
        <v>143709</v>
      </c>
      <c r="E1145" s="108">
        <v>-17049866.84</v>
      </c>
      <c r="G1145" s="108">
        <f t="shared" si="17"/>
        <v>-17049866.84</v>
      </c>
      <c r="H1145" s="109" t="s">
        <v>80</v>
      </c>
    </row>
    <row r="1146" spans="1:8">
      <c r="A1146" s="108" t="s">
        <v>1026</v>
      </c>
      <c r="B1146" s="108">
        <v>-1755555.59</v>
      </c>
      <c r="C1146" s="108">
        <v>352266.11</v>
      </c>
      <c r="D1146" s="108">
        <v>41155</v>
      </c>
      <c r="E1146" s="108">
        <v>-1444444.48</v>
      </c>
      <c r="G1146" s="108">
        <f t="shared" si="17"/>
        <v>-1444444.48</v>
      </c>
      <c r="H1146" s="109" t="s">
        <v>80</v>
      </c>
    </row>
    <row r="1147" spans="1:8">
      <c r="A1147" s="108" t="s">
        <v>1027</v>
      </c>
      <c r="B1147" s="108">
        <v>-29027778</v>
      </c>
      <c r="C1147" s="108">
        <v>2859579.88</v>
      </c>
      <c r="D1147" s="108">
        <v>220691</v>
      </c>
      <c r="E1147" s="108">
        <v>-26388889.120000001</v>
      </c>
      <c r="G1147" s="108">
        <f t="shared" si="17"/>
        <v>-26388889.120000001</v>
      </c>
      <c r="H1147" s="109" t="s">
        <v>80</v>
      </c>
    </row>
    <row r="1148" spans="1:8">
      <c r="A1148" s="108" t="s">
        <v>1049</v>
      </c>
      <c r="B1148" s="108">
        <v>-60000000</v>
      </c>
      <c r="C1148" s="108">
        <v>363616</v>
      </c>
      <c r="D1148" s="108">
        <v>363616</v>
      </c>
      <c r="E1148" s="108">
        <v>-60000000</v>
      </c>
      <c r="G1148" s="108">
        <f t="shared" si="17"/>
        <v>-60000000</v>
      </c>
      <c r="H1148" s="109" t="s">
        <v>80</v>
      </c>
    </row>
    <row r="1149" spans="1:8">
      <c r="A1149" s="108" t="s">
        <v>1028</v>
      </c>
      <c r="B1149" s="108">
        <v>-50000000</v>
      </c>
      <c r="C1149" s="108">
        <v>160068</v>
      </c>
      <c r="D1149" s="108">
        <v>160068</v>
      </c>
      <c r="E1149" s="108">
        <v>-50000000</v>
      </c>
      <c r="G1149" s="108">
        <f t="shared" si="17"/>
        <v>-50000000</v>
      </c>
      <c r="H1149" s="109" t="s">
        <v>80</v>
      </c>
    </row>
    <row r="1150" spans="1:8">
      <c r="A1150" s="108" t="s">
        <v>1050</v>
      </c>
      <c r="B1150" s="108">
        <v>-50000000</v>
      </c>
      <c r="C1150" s="108">
        <v>331781</v>
      </c>
      <c r="D1150" s="108">
        <v>331781</v>
      </c>
      <c r="E1150" s="108">
        <v>-50000000</v>
      </c>
      <c r="G1150" s="108">
        <f t="shared" si="17"/>
        <v>-50000000</v>
      </c>
      <c r="H1150" s="109" t="s">
        <v>80</v>
      </c>
    </row>
    <row r="1151" spans="1:8">
      <c r="A1151" s="108" t="s">
        <v>1362</v>
      </c>
      <c r="B1151" s="108">
        <v>0</v>
      </c>
      <c r="C1151" s="108">
        <v>0</v>
      </c>
      <c r="D1151" s="108">
        <v>0</v>
      </c>
      <c r="E1151" s="108">
        <v>0</v>
      </c>
      <c r="G1151" s="108">
        <f t="shared" si="17"/>
        <v>0</v>
      </c>
      <c r="H1151" s="109" t="s">
        <v>80</v>
      </c>
    </row>
    <row r="1152" spans="1:8">
      <c r="A1152" s="108" t="s">
        <v>1363</v>
      </c>
      <c r="B1152" s="108">
        <v>0</v>
      </c>
      <c r="C1152" s="108">
        <v>0</v>
      </c>
      <c r="D1152" s="108">
        <v>0</v>
      </c>
      <c r="E1152" s="108">
        <v>0</v>
      </c>
      <c r="G1152" s="108">
        <f t="shared" si="17"/>
        <v>0</v>
      </c>
      <c r="H1152" s="109" t="s">
        <v>80</v>
      </c>
    </row>
    <row r="1153" spans="1:8">
      <c r="A1153" s="108" t="s">
        <v>1364</v>
      </c>
      <c r="B1153" s="108">
        <v>0</v>
      </c>
      <c r="C1153" s="108">
        <v>0</v>
      </c>
      <c r="D1153" s="108">
        <v>0</v>
      </c>
      <c r="E1153" s="108">
        <v>0</v>
      </c>
      <c r="G1153" s="108">
        <f t="shared" si="17"/>
        <v>0</v>
      </c>
      <c r="H1153" s="109" t="s">
        <v>80</v>
      </c>
    </row>
    <row r="1154" spans="1:8">
      <c r="A1154" s="108" t="s">
        <v>1051</v>
      </c>
      <c r="B1154" s="108">
        <v>-446984.53</v>
      </c>
      <c r="C1154" s="108">
        <v>0</v>
      </c>
      <c r="D1154" s="108">
        <v>0</v>
      </c>
      <c r="E1154" s="108">
        <v>-446984.53</v>
      </c>
      <c r="G1154" s="108">
        <f t="shared" si="17"/>
        <v>-446984.53</v>
      </c>
      <c r="H1154" s="109" t="s">
        <v>80</v>
      </c>
    </row>
    <row r="1155" spans="1:8">
      <c r="A1155" s="108" t="s">
        <v>1029</v>
      </c>
      <c r="B1155" s="108">
        <v>-26668954.620000001</v>
      </c>
      <c r="C1155" s="108">
        <v>26878000</v>
      </c>
      <c r="D1155" s="108">
        <v>48408854.020000003</v>
      </c>
      <c r="E1155" s="108">
        <v>-48199808.640000001</v>
      </c>
      <c r="G1155" s="108">
        <f t="shared" ref="G1155:G1218" si="18">E1155+F1155</f>
        <v>-48199808.640000001</v>
      </c>
      <c r="H1155" s="109" t="s">
        <v>80</v>
      </c>
    </row>
    <row r="1156" spans="1:8">
      <c r="A1156" s="108" t="s">
        <v>1030</v>
      </c>
      <c r="B1156" s="108">
        <v>-124620173.98</v>
      </c>
      <c r="C1156" s="108">
        <v>0</v>
      </c>
      <c r="D1156" s="108">
        <v>0</v>
      </c>
      <c r="E1156" s="108">
        <v>-124620173.98</v>
      </c>
      <c r="G1156" s="108">
        <f t="shared" si="18"/>
        <v>-124620173.98</v>
      </c>
      <c r="H1156" s="109" t="s">
        <v>80</v>
      </c>
    </row>
    <row r="1157" spans="1:8">
      <c r="A1157" s="108" t="s">
        <v>1365</v>
      </c>
      <c r="B1157" s="108">
        <v>0</v>
      </c>
      <c r="C1157" s="108">
        <v>0</v>
      </c>
      <c r="D1157" s="108">
        <v>0</v>
      </c>
      <c r="E1157" s="108">
        <v>0</v>
      </c>
      <c r="G1157" s="108">
        <f t="shared" si="18"/>
        <v>0</v>
      </c>
      <c r="H1157" s="109" t="s">
        <v>80</v>
      </c>
    </row>
    <row r="1158" spans="1:8">
      <c r="A1158" s="108" t="s">
        <v>1366</v>
      </c>
      <c r="B1158" s="108">
        <v>0</v>
      </c>
      <c r="C1158" s="108">
        <v>0</v>
      </c>
      <c r="D1158" s="108">
        <v>0</v>
      </c>
      <c r="E1158" s="108">
        <v>0</v>
      </c>
      <c r="G1158" s="108">
        <f t="shared" si="18"/>
        <v>0</v>
      </c>
      <c r="H1158" s="109" t="s">
        <v>80</v>
      </c>
    </row>
    <row r="1159" spans="1:8">
      <c r="A1159" s="108" t="s">
        <v>1367</v>
      </c>
      <c r="B1159" s="108">
        <v>0</v>
      </c>
      <c r="C1159" s="108">
        <v>0</v>
      </c>
      <c r="D1159" s="108">
        <v>0</v>
      </c>
      <c r="E1159" s="108">
        <v>0</v>
      </c>
      <c r="G1159" s="108">
        <f t="shared" si="18"/>
        <v>0</v>
      </c>
      <c r="H1159" s="109" t="s">
        <v>80</v>
      </c>
    </row>
    <row r="1160" spans="1:8">
      <c r="A1160" s="108" t="s">
        <v>1031</v>
      </c>
      <c r="B1160" s="108">
        <v>549499</v>
      </c>
      <c r="C1160" s="108">
        <v>0</v>
      </c>
      <c r="D1160" s="108">
        <v>0</v>
      </c>
      <c r="E1160" s="108">
        <v>549499</v>
      </c>
      <c r="G1160" s="108">
        <f t="shared" si="18"/>
        <v>549499</v>
      </c>
      <c r="H1160" s="109" t="s">
        <v>80</v>
      </c>
    </row>
    <row r="1161" spans="1:8">
      <c r="A1161" s="108" t="s">
        <v>1032</v>
      </c>
      <c r="B1161" s="108">
        <v>-264850888</v>
      </c>
      <c r="C1161" s="108">
        <v>14105924</v>
      </c>
      <c r="D1161" s="108">
        <v>22878000</v>
      </c>
      <c r="E1161" s="108">
        <v>-273622964</v>
      </c>
      <c r="G1161" s="108">
        <f t="shared" si="18"/>
        <v>-273622964</v>
      </c>
      <c r="H1161" s="109" t="s">
        <v>80</v>
      </c>
    </row>
    <row r="1162" spans="1:8">
      <c r="A1162" s="108" t="s">
        <v>1033</v>
      </c>
      <c r="B1162" s="108">
        <v>-16745374.66</v>
      </c>
      <c r="C1162" s="108">
        <v>0</v>
      </c>
      <c r="D1162" s="108">
        <v>0</v>
      </c>
      <c r="E1162" s="108">
        <v>-16745374.66</v>
      </c>
      <c r="G1162" s="108">
        <f t="shared" si="18"/>
        <v>-16745374.66</v>
      </c>
      <c r="H1162" s="109" t="s">
        <v>80</v>
      </c>
    </row>
    <row r="1163" spans="1:8">
      <c r="A1163" s="108" t="s">
        <v>1034</v>
      </c>
      <c r="B1163" s="108">
        <v>-3784803.05</v>
      </c>
      <c r="C1163" s="108">
        <v>0</v>
      </c>
      <c r="D1163" s="108">
        <v>0</v>
      </c>
      <c r="E1163" s="108">
        <v>-3784803.05</v>
      </c>
      <c r="G1163" s="108">
        <f t="shared" si="18"/>
        <v>-3784803.05</v>
      </c>
      <c r="H1163" s="109" t="s">
        <v>80</v>
      </c>
    </row>
    <row r="1164" spans="1:8">
      <c r="A1164" s="108" t="s">
        <v>1035</v>
      </c>
      <c r="B1164" s="108">
        <v>-14538782.1</v>
      </c>
      <c r="C1164" s="108">
        <v>0</v>
      </c>
      <c r="D1164" s="108">
        <v>0</v>
      </c>
      <c r="E1164" s="108">
        <v>-14538782.1</v>
      </c>
      <c r="G1164" s="108">
        <f t="shared" si="18"/>
        <v>-14538782.1</v>
      </c>
      <c r="H1164" s="109" t="s">
        <v>80</v>
      </c>
    </row>
    <row r="1165" spans="1:8">
      <c r="A1165" s="108" t="s">
        <v>1036</v>
      </c>
      <c r="B1165" s="108">
        <v>-3103131</v>
      </c>
      <c r="C1165" s="108">
        <v>0</v>
      </c>
      <c r="D1165" s="108">
        <v>0</v>
      </c>
      <c r="E1165" s="108">
        <v>-3103131</v>
      </c>
      <c r="G1165" s="108">
        <f t="shared" si="18"/>
        <v>-3103131</v>
      </c>
      <c r="H1165" s="109" t="s">
        <v>80</v>
      </c>
    </row>
    <row r="1166" spans="1:8">
      <c r="A1166" s="108" t="s">
        <v>1037</v>
      </c>
      <c r="B1166" s="108">
        <v>-12629931</v>
      </c>
      <c r="C1166" s="108">
        <v>0</v>
      </c>
      <c r="D1166" s="108">
        <v>0</v>
      </c>
      <c r="E1166" s="108">
        <v>-12629931</v>
      </c>
      <c r="G1166" s="108">
        <f t="shared" si="18"/>
        <v>-12629931</v>
      </c>
      <c r="H1166" s="109" t="s">
        <v>80</v>
      </c>
    </row>
    <row r="1167" spans="1:8">
      <c r="A1167" s="108" t="s">
        <v>185</v>
      </c>
      <c r="B1167" s="108">
        <v>655608.93999999994</v>
      </c>
      <c r="C1167" s="108">
        <v>0</v>
      </c>
      <c r="D1167" s="108">
        <v>0</v>
      </c>
      <c r="E1167" s="108">
        <v>655608.93999999994</v>
      </c>
      <c r="G1167" s="108">
        <f t="shared" si="18"/>
        <v>655608.93999999994</v>
      </c>
      <c r="H1167" s="109" t="s">
        <v>80</v>
      </c>
    </row>
    <row r="1168" spans="1:8">
      <c r="A1168" s="108" t="s">
        <v>186</v>
      </c>
      <c r="B1168" s="108">
        <v>3464.96</v>
      </c>
      <c r="C1168" s="108">
        <v>30185540.489999998</v>
      </c>
      <c r="D1168" s="108">
        <v>30185540.489999998</v>
      </c>
      <c r="E1168" s="108">
        <v>3464.96</v>
      </c>
      <c r="G1168" s="108">
        <f t="shared" si="18"/>
        <v>3464.96</v>
      </c>
      <c r="H1168" s="109" t="s">
        <v>80</v>
      </c>
    </row>
    <row r="1169" spans="1:8">
      <c r="A1169" s="108" t="s">
        <v>1368</v>
      </c>
      <c r="B1169" s="108">
        <v>0</v>
      </c>
      <c r="C1169" s="108">
        <v>0</v>
      </c>
      <c r="D1169" s="108">
        <v>0</v>
      </c>
      <c r="E1169" s="108">
        <v>0</v>
      </c>
      <c r="G1169" s="108">
        <f t="shared" si="18"/>
        <v>0</v>
      </c>
      <c r="H1169" s="109" t="s">
        <v>80</v>
      </c>
    </row>
    <row r="1170" spans="1:8">
      <c r="A1170" s="108" t="s">
        <v>1369</v>
      </c>
      <c r="B1170" s="108">
        <v>0</v>
      </c>
      <c r="C1170" s="108">
        <v>0</v>
      </c>
      <c r="D1170" s="108">
        <v>0</v>
      </c>
      <c r="E1170" s="108">
        <v>0</v>
      </c>
      <c r="G1170" s="108">
        <f t="shared" si="18"/>
        <v>0</v>
      </c>
      <c r="H1170" s="109" t="s">
        <v>80</v>
      </c>
    </row>
    <row r="1171" spans="1:8">
      <c r="A1171" s="108" t="s">
        <v>1038</v>
      </c>
      <c r="B1171" s="108">
        <v>-2618078.6</v>
      </c>
      <c r="C1171" s="108">
        <v>0</v>
      </c>
      <c r="D1171" s="108">
        <v>0</v>
      </c>
      <c r="E1171" s="108">
        <v>-2618078.6</v>
      </c>
      <c r="G1171" s="108">
        <f t="shared" si="18"/>
        <v>-2618078.6</v>
      </c>
      <c r="H1171" s="109" t="s">
        <v>80</v>
      </c>
    </row>
    <row r="1172" spans="1:8">
      <c r="A1172" s="108" t="s">
        <v>1039</v>
      </c>
      <c r="B1172" s="108">
        <v>-220384430.65000001</v>
      </c>
      <c r="C1172" s="108">
        <v>19836395.890000001</v>
      </c>
      <c r="D1172" s="108">
        <v>35745700</v>
      </c>
      <c r="E1172" s="108">
        <v>-236293734.75999999</v>
      </c>
      <c r="G1172" s="108">
        <f t="shared" si="18"/>
        <v>-236293734.75999999</v>
      </c>
      <c r="H1172" s="109" t="s">
        <v>80</v>
      </c>
    </row>
    <row r="1173" spans="1:8">
      <c r="A1173" s="108" t="s">
        <v>211</v>
      </c>
      <c r="B1173" s="108">
        <v>-817212928.11000001</v>
      </c>
      <c r="C1173" s="108">
        <v>0</v>
      </c>
      <c r="D1173" s="108">
        <v>0</v>
      </c>
      <c r="E1173" s="108">
        <v>-817212928.11000001</v>
      </c>
      <c r="G1173" s="108">
        <f t="shared" si="18"/>
        <v>-817212928.11000001</v>
      </c>
      <c r="H1173" s="109" t="s">
        <v>80</v>
      </c>
    </row>
    <row r="1174" spans="1:8">
      <c r="A1174" s="108" t="s">
        <v>203</v>
      </c>
      <c r="B1174" s="108">
        <v>-260850171.12</v>
      </c>
      <c r="C1174" s="108">
        <v>0</v>
      </c>
      <c r="D1174" s="108">
        <v>0</v>
      </c>
      <c r="E1174" s="108">
        <v>-260850171.12</v>
      </c>
      <c r="G1174" s="108">
        <f t="shared" si="18"/>
        <v>-260850171.12</v>
      </c>
      <c r="H1174" s="109" t="s">
        <v>80</v>
      </c>
    </row>
    <row r="1175" spans="1:8">
      <c r="A1175" s="108" t="s">
        <v>204</v>
      </c>
      <c r="B1175" s="108">
        <v>-14666932</v>
      </c>
      <c r="C1175" s="108">
        <v>14658432</v>
      </c>
      <c r="D1175" s="108">
        <v>1500</v>
      </c>
      <c r="E1175" s="108">
        <v>-10000</v>
      </c>
      <c r="G1175" s="108">
        <f t="shared" si="18"/>
        <v>-10000</v>
      </c>
      <c r="H1175" s="109" t="s">
        <v>80</v>
      </c>
    </row>
    <row r="1176" spans="1:8">
      <c r="A1176" s="108" t="s">
        <v>205</v>
      </c>
      <c r="B1176" s="108">
        <v>-1123027</v>
      </c>
      <c r="C1176" s="108">
        <v>0</v>
      </c>
      <c r="D1176" s="108">
        <v>0</v>
      </c>
      <c r="E1176" s="108">
        <v>-1123027</v>
      </c>
      <c r="G1176" s="108">
        <f t="shared" si="18"/>
        <v>-1123027</v>
      </c>
      <c r="H1176" s="109" t="s">
        <v>80</v>
      </c>
    </row>
    <row r="1177" spans="1:8">
      <c r="A1177" s="108" t="s">
        <v>1040</v>
      </c>
      <c r="B1177" s="108">
        <v>-44079386.990000002</v>
      </c>
      <c r="C1177" s="108">
        <v>0</v>
      </c>
      <c r="D1177" s="108">
        <v>0</v>
      </c>
      <c r="E1177" s="108">
        <v>-44079386.990000002</v>
      </c>
      <c r="G1177" s="108">
        <f t="shared" si="18"/>
        <v>-44079386.990000002</v>
      </c>
      <c r="H1177" s="109" t="s">
        <v>80</v>
      </c>
    </row>
    <row r="1178" spans="1:8">
      <c r="A1178" s="108" t="s">
        <v>375</v>
      </c>
      <c r="B1178" s="108">
        <v>30173509.920000002</v>
      </c>
      <c r="C1178" s="108">
        <v>0</v>
      </c>
      <c r="D1178" s="108">
        <v>0.05</v>
      </c>
      <c r="E1178" s="108">
        <v>30173509.870000001</v>
      </c>
      <c r="G1178" s="108">
        <f t="shared" si="18"/>
        <v>30173509.870000001</v>
      </c>
      <c r="H1178" s="109" t="s">
        <v>80</v>
      </c>
    </row>
    <row r="1179" spans="1:8">
      <c r="A1179" s="108" t="s">
        <v>345</v>
      </c>
      <c r="B1179" s="108">
        <v>0</v>
      </c>
      <c r="C1179" s="108">
        <v>158050</v>
      </c>
      <c r="D1179" s="108">
        <v>0</v>
      </c>
      <c r="E1179" s="108">
        <v>158050</v>
      </c>
      <c r="G1179" s="108">
        <f t="shared" si="18"/>
        <v>158050</v>
      </c>
      <c r="H1179" s="109" t="s">
        <v>71</v>
      </c>
    </row>
    <row r="1180" spans="1:8">
      <c r="A1180" s="108" t="s">
        <v>703</v>
      </c>
      <c r="B1180" s="108">
        <v>0</v>
      </c>
      <c r="C1180" s="108">
        <v>200000</v>
      </c>
      <c r="D1180" s="108">
        <v>0</v>
      </c>
      <c r="E1180" s="108">
        <v>200000</v>
      </c>
      <c r="G1180" s="108">
        <f t="shared" si="18"/>
        <v>200000</v>
      </c>
      <c r="H1180" s="109" t="s">
        <v>71</v>
      </c>
    </row>
    <row r="1181" spans="1:8">
      <c r="A1181" s="108" t="s">
        <v>335</v>
      </c>
      <c r="B1181" s="108">
        <v>0</v>
      </c>
      <c r="C1181" s="108">
        <v>96272</v>
      </c>
      <c r="D1181" s="108">
        <v>96272</v>
      </c>
      <c r="E1181" s="108">
        <v>0</v>
      </c>
      <c r="G1181" s="108">
        <f t="shared" si="18"/>
        <v>0</v>
      </c>
      <c r="H1181" s="109" t="s">
        <v>71</v>
      </c>
    </row>
    <row r="1182" spans="1:8">
      <c r="A1182" s="108" t="s">
        <v>358</v>
      </c>
      <c r="B1182" s="108">
        <v>0</v>
      </c>
      <c r="C1182" s="108">
        <v>10000</v>
      </c>
      <c r="D1182" s="108">
        <v>0</v>
      </c>
      <c r="E1182" s="108">
        <v>10000</v>
      </c>
      <c r="G1182" s="108">
        <f t="shared" si="18"/>
        <v>10000</v>
      </c>
      <c r="H1182" s="109" t="s">
        <v>71</v>
      </c>
    </row>
    <row r="1183" spans="1:8">
      <c r="A1183" s="108" t="s">
        <v>325</v>
      </c>
      <c r="B1183" s="108">
        <v>0</v>
      </c>
      <c r="C1183" s="108">
        <v>1411</v>
      </c>
      <c r="D1183" s="108">
        <v>0</v>
      </c>
      <c r="E1183" s="108">
        <v>1411</v>
      </c>
      <c r="G1183" s="108">
        <f t="shared" si="18"/>
        <v>1411</v>
      </c>
      <c r="H1183" s="109" t="s">
        <v>71</v>
      </c>
    </row>
    <row r="1184" spans="1:8">
      <c r="A1184" s="108" t="s">
        <v>326</v>
      </c>
      <c r="B1184" s="108">
        <v>0</v>
      </c>
      <c r="C1184" s="108">
        <v>41160</v>
      </c>
      <c r="D1184" s="108">
        <v>0</v>
      </c>
      <c r="E1184" s="108">
        <v>41160</v>
      </c>
      <c r="G1184" s="108">
        <f t="shared" si="18"/>
        <v>41160</v>
      </c>
      <c r="H1184" s="109" t="s">
        <v>71</v>
      </c>
    </row>
    <row r="1185" spans="1:8">
      <c r="A1185" s="108" t="s">
        <v>332</v>
      </c>
      <c r="B1185" s="108">
        <v>0</v>
      </c>
      <c r="C1185" s="108">
        <v>400</v>
      </c>
      <c r="D1185" s="108">
        <v>0</v>
      </c>
      <c r="E1185" s="108">
        <v>400</v>
      </c>
      <c r="G1185" s="108">
        <f t="shared" si="18"/>
        <v>400</v>
      </c>
      <c r="H1185" s="109" t="s">
        <v>71</v>
      </c>
    </row>
    <row r="1186" spans="1:8">
      <c r="A1186" s="108" t="s">
        <v>333</v>
      </c>
      <c r="B1186" s="108">
        <v>0</v>
      </c>
      <c r="C1186" s="108">
        <v>33565</v>
      </c>
      <c r="D1186" s="108">
        <v>0</v>
      </c>
      <c r="E1186" s="108">
        <v>33565</v>
      </c>
      <c r="G1186" s="108">
        <f t="shared" si="18"/>
        <v>33565</v>
      </c>
      <c r="H1186" s="109" t="s">
        <v>71</v>
      </c>
    </row>
    <row r="1187" spans="1:8">
      <c r="A1187" s="108" t="s">
        <v>310</v>
      </c>
      <c r="B1187" s="108">
        <v>0</v>
      </c>
      <c r="C1187" s="108">
        <v>287468</v>
      </c>
      <c r="D1187" s="108">
        <v>287468</v>
      </c>
      <c r="E1187" s="108">
        <v>0</v>
      </c>
      <c r="G1187" s="108">
        <f t="shared" si="18"/>
        <v>0</v>
      </c>
      <c r="H1187" s="109" t="s">
        <v>71</v>
      </c>
    </row>
    <row r="1188" spans="1:8">
      <c r="A1188" s="108" t="s">
        <v>705</v>
      </c>
      <c r="B1188" s="108">
        <v>0</v>
      </c>
      <c r="C1188" s="108">
        <v>8681.36</v>
      </c>
      <c r="D1188" s="108">
        <v>0</v>
      </c>
      <c r="E1188" s="108">
        <v>8681.36</v>
      </c>
      <c r="G1188" s="108">
        <f t="shared" si="18"/>
        <v>8681.36</v>
      </c>
      <c r="H1188" s="109" t="s">
        <v>71</v>
      </c>
    </row>
    <row r="1189" spans="1:8">
      <c r="A1189" s="108" t="s">
        <v>311</v>
      </c>
      <c r="B1189" s="108">
        <v>0</v>
      </c>
      <c r="C1189" s="108">
        <v>14140</v>
      </c>
      <c r="D1189" s="108">
        <v>0</v>
      </c>
      <c r="E1189" s="108">
        <v>14140</v>
      </c>
      <c r="G1189" s="108">
        <f t="shared" si="18"/>
        <v>14140</v>
      </c>
      <c r="H1189" s="140" t="s">
        <v>71</v>
      </c>
    </row>
    <row r="1190" spans="1:8">
      <c r="A1190" s="108" t="s">
        <v>312</v>
      </c>
      <c r="B1190" s="108">
        <v>0</v>
      </c>
      <c r="C1190" s="108">
        <v>50</v>
      </c>
      <c r="D1190" s="108">
        <v>0</v>
      </c>
      <c r="E1190" s="108">
        <v>50</v>
      </c>
      <c r="G1190" s="108">
        <f t="shared" si="18"/>
        <v>50</v>
      </c>
      <c r="H1190" s="109" t="s">
        <v>71</v>
      </c>
    </row>
    <row r="1191" spans="1:8">
      <c r="A1191" s="108" t="s">
        <v>313</v>
      </c>
      <c r="B1191" s="108">
        <v>0</v>
      </c>
      <c r="C1191" s="108">
        <v>12100</v>
      </c>
      <c r="D1191" s="108">
        <v>0</v>
      </c>
      <c r="E1191" s="108">
        <v>12100</v>
      </c>
      <c r="G1191" s="108">
        <f t="shared" si="18"/>
        <v>12100</v>
      </c>
      <c r="H1191" s="109" t="s">
        <v>71</v>
      </c>
    </row>
    <row r="1192" spans="1:8">
      <c r="A1192" s="108" t="s">
        <v>334</v>
      </c>
      <c r="B1192" s="108">
        <v>0</v>
      </c>
      <c r="C1192" s="108">
        <v>2144300</v>
      </c>
      <c r="D1192" s="108">
        <v>0</v>
      </c>
      <c r="E1192" s="108">
        <v>2144300</v>
      </c>
      <c r="G1192" s="108">
        <f t="shared" si="18"/>
        <v>2144300</v>
      </c>
      <c r="H1192" s="109" t="s">
        <v>71</v>
      </c>
    </row>
    <row r="1193" spans="1:8">
      <c r="A1193" s="108" t="s">
        <v>342</v>
      </c>
      <c r="B1193" s="108">
        <v>0</v>
      </c>
      <c r="C1193" s="108">
        <v>2320</v>
      </c>
      <c r="D1193" s="108">
        <v>0</v>
      </c>
      <c r="E1193" s="108">
        <v>2320</v>
      </c>
      <c r="G1193" s="108">
        <f t="shared" si="18"/>
        <v>2320</v>
      </c>
      <c r="H1193" s="109" t="s">
        <v>71</v>
      </c>
    </row>
    <row r="1194" spans="1:8">
      <c r="A1194" s="108" t="s">
        <v>324</v>
      </c>
      <c r="B1194" s="108">
        <v>0</v>
      </c>
      <c r="C1194" s="108">
        <v>60000</v>
      </c>
      <c r="D1194" s="108">
        <v>243750</v>
      </c>
      <c r="E1194" s="108">
        <v>-183750</v>
      </c>
      <c r="G1194" s="108">
        <f t="shared" si="18"/>
        <v>-183750</v>
      </c>
      <c r="H1194" s="109" t="s">
        <v>71</v>
      </c>
    </row>
    <row r="1195" spans="1:8">
      <c r="A1195" s="108" t="s">
        <v>398</v>
      </c>
      <c r="B1195" s="108">
        <v>0</v>
      </c>
      <c r="C1195" s="108">
        <v>2036.06</v>
      </c>
      <c r="D1195" s="108">
        <v>708</v>
      </c>
      <c r="E1195" s="108">
        <v>1328.06</v>
      </c>
      <c r="G1195" s="108">
        <f t="shared" si="18"/>
        <v>1328.06</v>
      </c>
      <c r="H1195" s="109" t="s">
        <v>71</v>
      </c>
    </row>
    <row r="1196" spans="1:8">
      <c r="A1196" s="108" t="s">
        <v>956</v>
      </c>
      <c r="B1196" s="108">
        <v>31469</v>
      </c>
      <c r="C1196" s="108">
        <v>96272</v>
      </c>
      <c r="D1196" s="108">
        <v>96272</v>
      </c>
      <c r="E1196" s="108">
        <v>31469</v>
      </c>
      <c r="G1196" s="108">
        <f t="shared" si="18"/>
        <v>31469</v>
      </c>
      <c r="H1196" s="109" t="s">
        <v>71</v>
      </c>
    </row>
    <row r="1197" spans="1:8">
      <c r="A1197" s="119" t="s">
        <v>314</v>
      </c>
      <c r="B1197" s="108">
        <v>0</v>
      </c>
      <c r="C1197" s="108">
        <v>989850.25</v>
      </c>
      <c r="D1197" s="108">
        <v>0</v>
      </c>
      <c r="E1197" s="108">
        <v>989850.25</v>
      </c>
      <c r="F1197" s="108">
        <v>300000</v>
      </c>
      <c r="G1197" s="108">
        <f t="shared" si="18"/>
        <v>1289850.25</v>
      </c>
      <c r="H1197" s="109" t="s">
        <v>60</v>
      </c>
    </row>
    <row r="1198" spans="1:8">
      <c r="A1198" s="114" t="s">
        <v>1147</v>
      </c>
      <c r="B1198" s="108">
        <v>0</v>
      </c>
      <c r="C1198" s="108">
        <v>0</v>
      </c>
      <c r="D1198" s="108">
        <v>0</v>
      </c>
      <c r="E1198" s="108">
        <v>0</v>
      </c>
      <c r="F1198" s="117">
        <v>4652904</v>
      </c>
      <c r="G1198" s="118">
        <f t="shared" si="18"/>
        <v>4652904</v>
      </c>
      <c r="H1198" s="54" t="s">
        <v>58</v>
      </c>
    </row>
    <row r="1199" spans="1:8">
      <c r="A1199" s="108" t="s">
        <v>364</v>
      </c>
      <c r="B1199" s="108">
        <v>0</v>
      </c>
      <c r="C1199" s="108">
        <v>67427</v>
      </c>
      <c r="D1199" s="108">
        <v>0</v>
      </c>
      <c r="E1199" s="108">
        <v>67427</v>
      </c>
      <c r="G1199" s="108">
        <f t="shared" si="18"/>
        <v>67427</v>
      </c>
      <c r="H1199" s="109" t="s">
        <v>51</v>
      </c>
    </row>
    <row r="1200" spans="1:8">
      <c r="A1200" s="108" t="s">
        <v>365</v>
      </c>
      <c r="B1200" s="108">
        <v>0</v>
      </c>
      <c r="C1200" s="108">
        <v>1542965.64</v>
      </c>
      <c r="D1200" s="108">
        <v>143840</v>
      </c>
      <c r="E1200" s="108">
        <v>1399125.64</v>
      </c>
      <c r="G1200" s="108">
        <f t="shared" si="18"/>
        <v>1399125.64</v>
      </c>
      <c r="H1200" s="109" t="s">
        <v>51</v>
      </c>
    </row>
    <row r="1201" spans="1:8">
      <c r="A1201" s="108" t="s">
        <v>366</v>
      </c>
      <c r="B1201" s="108">
        <v>0</v>
      </c>
      <c r="C1201" s="108">
        <v>4381</v>
      </c>
      <c r="D1201" s="108">
        <v>0</v>
      </c>
      <c r="E1201" s="108">
        <v>4381</v>
      </c>
      <c r="G1201" s="108">
        <f t="shared" si="18"/>
        <v>4381</v>
      </c>
      <c r="H1201" s="109" t="s">
        <v>51</v>
      </c>
    </row>
    <row r="1202" spans="1:8">
      <c r="A1202" s="108" t="s">
        <v>706</v>
      </c>
      <c r="B1202" s="108">
        <v>0</v>
      </c>
      <c r="C1202" s="108">
        <v>200</v>
      </c>
      <c r="D1202" s="108">
        <v>0</v>
      </c>
      <c r="E1202" s="108">
        <v>200</v>
      </c>
      <c r="G1202" s="108">
        <f t="shared" si="18"/>
        <v>200</v>
      </c>
      <c r="H1202" s="109" t="s">
        <v>51</v>
      </c>
    </row>
    <row r="1203" spans="1:8">
      <c r="A1203" s="108" t="s">
        <v>367</v>
      </c>
      <c r="B1203" s="108">
        <v>0</v>
      </c>
      <c r="C1203" s="108">
        <v>3242936</v>
      </c>
      <c r="D1203" s="108">
        <v>0</v>
      </c>
      <c r="E1203" s="108">
        <v>3242936</v>
      </c>
      <c r="G1203" s="108">
        <f t="shared" si="18"/>
        <v>3242936</v>
      </c>
      <c r="H1203" s="109" t="s">
        <v>51</v>
      </c>
    </row>
    <row r="1204" spans="1:8">
      <c r="A1204" s="108" t="s">
        <v>368</v>
      </c>
      <c r="B1204" s="108">
        <v>0</v>
      </c>
      <c r="C1204" s="108">
        <v>309015</v>
      </c>
      <c r="D1204" s="108">
        <v>0</v>
      </c>
      <c r="E1204" s="108">
        <v>309015</v>
      </c>
      <c r="G1204" s="108">
        <f t="shared" si="18"/>
        <v>309015</v>
      </c>
      <c r="H1204" s="109" t="s">
        <v>51</v>
      </c>
    </row>
    <row r="1205" spans="1:8">
      <c r="A1205" s="108" t="s">
        <v>369</v>
      </c>
      <c r="B1205" s="108">
        <v>0</v>
      </c>
      <c r="C1205" s="108">
        <v>144545</v>
      </c>
      <c r="D1205" s="108">
        <v>0</v>
      </c>
      <c r="E1205" s="108">
        <v>144545</v>
      </c>
      <c r="G1205" s="108">
        <f t="shared" si="18"/>
        <v>144545</v>
      </c>
      <c r="H1205" s="109" t="s">
        <v>51</v>
      </c>
    </row>
    <row r="1206" spans="1:8">
      <c r="A1206" s="108" t="s">
        <v>370</v>
      </c>
      <c r="B1206" s="108">
        <v>0</v>
      </c>
      <c r="C1206" s="108">
        <v>175494</v>
      </c>
      <c r="D1206" s="108">
        <v>0</v>
      </c>
      <c r="E1206" s="108">
        <v>175494</v>
      </c>
      <c r="G1206" s="108">
        <f t="shared" si="18"/>
        <v>175494</v>
      </c>
      <c r="H1206" s="109" t="s">
        <v>51</v>
      </c>
    </row>
    <row r="1207" spans="1:8">
      <c r="A1207" s="108" t="s">
        <v>371</v>
      </c>
      <c r="B1207" s="108">
        <v>0</v>
      </c>
      <c r="C1207" s="108">
        <v>295640</v>
      </c>
      <c r="D1207" s="108">
        <v>0</v>
      </c>
      <c r="E1207" s="108">
        <v>295640</v>
      </c>
      <c r="G1207" s="108">
        <f t="shared" si="18"/>
        <v>295640</v>
      </c>
      <c r="H1207" s="109" t="s">
        <v>51</v>
      </c>
    </row>
    <row r="1208" spans="1:8">
      <c r="A1208" s="108" t="s">
        <v>372</v>
      </c>
      <c r="B1208" s="108">
        <v>0</v>
      </c>
      <c r="C1208" s="108">
        <v>108046</v>
      </c>
      <c r="D1208" s="108">
        <v>0</v>
      </c>
      <c r="E1208" s="108">
        <v>108046</v>
      </c>
      <c r="G1208" s="108">
        <f t="shared" si="18"/>
        <v>108046</v>
      </c>
      <c r="H1208" s="109" t="s">
        <v>51</v>
      </c>
    </row>
    <row r="1209" spans="1:8">
      <c r="A1209" s="108" t="s">
        <v>373</v>
      </c>
      <c r="B1209" s="108">
        <v>0</v>
      </c>
      <c r="C1209" s="108">
        <v>322078</v>
      </c>
      <c r="D1209" s="108">
        <v>0</v>
      </c>
      <c r="E1209" s="108">
        <v>322078</v>
      </c>
      <c r="G1209" s="108">
        <f t="shared" si="18"/>
        <v>322078</v>
      </c>
      <c r="H1209" s="109" t="s">
        <v>51</v>
      </c>
    </row>
    <row r="1210" spans="1:8">
      <c r="A1210" s="108" t="s">
        <v>374</v>
      </c>
      <c r="B1210" s="108">
        <v>0</v>
      </c>
      <c r="C1210" s="108">
        <v>1125313.26</v>
      </c>
      <c r="D1210" s="108">
        <v>0</v>
      </c>
      <c r="E1210" s="108">
        <v>1125313.26</v>
      </c>
      <c r="G1210" s="108">
        <f t="shared" si="18"/>
        <v>1125313.26</v>
      </c>
      <c r="H1210" s="109" t="s">
        <v>51</v>
      </c>
    </row>
    <row r="1211" spans="1:8">
      <c r="A1211" s="108" t="s">
        <v>363</v>
      </c>
      <c r="B1211" s="108">
        <v>0</v>
      </c>
      <c r="C1211" s="108">
        <v>90300</v>
      </c>
      <c r="D1211" s="108">
        <v>0</v>
      </c>
      <c r="E1211" s="108">
        <v>90300</v>
      </c>
      <c r="G1211" s="108">
        <f t="shared" si="18"/>
        <v>90300</v>
      </c>
      <c r="H1211" s="109" t="s">
        <v>51</v>
      </c>
    </row>
    <row r="1212" spans="1:8">
      <c r="A1212" s="108" t="s">
        <v>707</v>
      </c>
      <c r="B1212" s="108">
        <v>0</v>
      </c>
      <c r="C1212" s="108">
        <v>321950</v>
      </c>
      <c r="D1212" s="108">
        <v>321950</v>
      </c>
      <c r="E1212" s="108">
        <v>0</v>
      </c>
      <c r="F1212" s="108">
        <v>259572</v>
      </c>
      <c r="G1212" s="108">
        <f t="shared" si="18"/>
        <v>259572</v>
      </c>
      <c r="H1212" s="109" t="s">
        <v>51</v>
      </c>
    </row>
    <row r="1213" spans="1:8">
      <c r="A1213" s="108" t="s">
        <v>708</v>
      </c>
      <c r="B1213" s="108">
        <v>0</v>
      </c>
      <c r="C1213" s="108">
        <v>533841</v>
      </c>
      <c r="D1213" s="108">
        <v>0</v>
      </c>
      <c r="E1213" s="108">
        <v>533841</v>
      </c>
      <c r="G1213" s="108">
        <f t="shared" si="18"/>
        <v>533841</v>
      </c>
      <c r="H1213" s="109" t="s">
        <v>51</v>
      </c>
    </row>
    <row r="1214" spans="1:8">
      <c r="A1214" s="108" t="s">
        <v>352</v>
      </c>
      <c r="B1214" s="108">
        <v>0</v>
      </c>
      <c r="C1214" s="108">
        <v>1953493</v>
      </c>
      <c r="D1214" s="108">
        <v>0</v>
      </c>
      <c r="E1214" s="108">
        <v>1953493</v>
      </c>
      <c r="G1214" s="108">
        <f t="shared" si="18"/>
        <v>1953493</v>
      </c>
      <c r="H1214" s="109" t="s">
        <v>51</v>
      </c>
    </row>
    <row r="1215" spans="1:8">
      <c r="A1215" s="108" t="s">
        <v>327</v>
      </c>
      <c r="B1215" s="108">
        <v>0</v>
      </c>
      <c r="C1215" s="108">
        <v>0</v>
      </c>
      <c r="D1215" s="108">
        <v>29771</v>
      </c>
      <c r="E1215" s="108">
        <v>-29771</v>
      </c>
      <c r="G1215" s="108">
        <f t="shared" si="18"/>
        <v>-29771</v>
      </c>
      <c r="H1215" s="109" t="s">
        <v>51</v>
      </c>
    </row>
    <row r="1216" spans="1:8">
      <c r="A1216" s="108" t="s">
        <v>309</v>
      </c>
      <c r="B1216" s="108">
        <v>0</v>
      </c>
      <c r="C1216" s="108">
        <v>5079018</v>
      </c>
      <c r="D1216" s="108">
        <v>0</v>
      </c>
      <c r="E1216" s="108">
        <v>5079018</v>
      </c>
      <c r="G1216" s="108">
        <f t="shared" si="18"/>
        <v>5079018</v>
      </c>
      <c r="H1216" s="109" t="s">
        <v>51</v>
      </c>
    </row>
    <row r="1217" spans="1:8">
      <c r="A1217" s="108" t="s">
        <v>709</v>
      </c>
      <c r="B1217" s="108">
        <v>0</v>
      </c>
      <c r="C1217" s="108">
        <v>29564</v>
      </c>
      <c r="D1217" s="108">
        <v>0</v>
      </c>
      <c r="E1217" s="108">
        <v>29564</v>
      </c>
      <c r="G1217" s="108">
        <f t="shared" si="18"/>
        <v>29564</v>
      </c>
      <c r="H1217" s="109" t="s">
        <v>51</v>
      </c>
    </row>
    <row r="1218" spans="1:8">
      <c r="A1218" s="108" t="s">
        <v>710</v>
      </c>
      <c r="B1218" s="108">
        <v>0</v>
      </c>
      <c r="C1218" s="108">
        <v>384865</v>
      </c>
      <c r="D1218" s="108">
        <v>0</v>
      </c>
      <c r="E1218" s="108">
        <v>384865</v>
      </c>
      <c r="G1218" s="108">
        <f t="shared" si="18"/>
        <v>384865</v>
      </c>
      <c r="H1218" s="109" t="s">
        <v>51</v>
      </c>
    </row>
    <row r="1219" spans="1:8">
      <c r="A1219" s="172" t="s">
        <v>305</v>
      </c>
      <c r="B1219" s="108">
        <v>0</v>
      </c>
      <c r="C1219" s="108">
        <v>0</v>
      </c>
      <c r="D1219" s="108">
        <v>2132234</v>
      </c>
      <c r="E1219" s="108">
        <v>-2132234</v>
      </c>
      <c r="G1219" s="108">
        <f t="shared" ref="G1219:G1230" si="19">E1219+F1219</f>
        <v>-2132234</v>
      </c>
      <c r="H1219" s="109" t="s">
        <v>303</v>
      </c>
    </row>
    <row r="1220" spans="1:8">
      <c r="A1220" s="172" t="s">
        <v>307</v>
      </c>
      <c r="B1220" s="108">
        <v>0</v>
      </c>
      <c r="C1220" s="108">
        <v>0</v>
      </c>
      <c r="D1220" s="108">
        <v>103779480.76000001</v>
      </c>
      <c r="E1220" s="108">
        <v>-103779480.76000001</v>
      </c>
      <c r="G1220" s="108">
        <f t="shared" si="19"/>
        <v>-103779480.76000001</v>
      </c>
      <c r="H1220" s="109" t="s">
        <v>303</v>
      </c>
    </row>
    <row r="1221" spans="1:8">
      <c r="A1221" s="172" t="s">
        <v>304</v>
      </c>
      <c r="B1221" s="108">
        <v>0</v>
      </c>
      <c r="C1221" s="108">
        <v>0</v>
      </c>
      <c r="D1221" s="108">
        <v>44967399.460000001</v>
      </c>
      <c r="E1221" s="108">
        <v>-44967399.460000001</v>
      </c>
      <c r="G1221" s="108">
        <f t="shared" si="19"/>
        <v>-44967399.460000001</v>
      </c>
      <c r="H1221" s="109" t="s">
        <v>303</v>
      </c>
    </row>
    <row r="1222" spans="1:8">
      <c r="A1222" s="172" t="s">
        <v>405</v>
      </c>
      <c r="B1222" s="108">
        <v>0</v>
      </c>
      <c r="C1222" s="108">
        <v>0</v>
      </c>
      <c r="D1222" s="108">
        <v>28149041.52</v>
      </c>
      <c r="E1222" s="108">
        <v>-28149041.52</v>
      </c>
      <c r="G1222" s="108">
        <f t="shared" si="19"/>
        <v>-28149041.52</v>
      </c>
      <c r="H1222" s="109" t="s">
        <v>303</v>
      </c>
    </row>
    <row r="1223" spans="1:8">
      <c r="A1223" s="172" t="s">
        <v>441</v>
      </c>
      <c r="B1223" s="108">
        <v>0</v>
      </c>
      <c r="C1223" s="108">
        <v>0</v>
      </c>
      <c r="D1223" s="108">
        <v>60900</v>
      </c>
      <c r="E1223" s="108">
        <v>-60900</v>
      </c>
      <c r="G1223" s="108">
        <f t="shared" si="19"/>
        <v>-60900</v>
      </c>
      <c r="H1223" s="109" t="s">
        <v>6</v>
      </c>
    </row>
    <row r="1224" spans="1:8">
      <c r="A1224" s="108" t="s">
        <v>308</v>
      </c>
      <c r="B1224" s="108">
        <v>0</v>
      </c>
      <c r="C1224" s="108">
        <v>0</v>
      </c>
      <c r="D1224" s="108">
        <v>4047207.35</v>
      </c>
      <c r="E1224" s="108">
        <v>-4047207.35</v>
      </c>
      <c r="G1224" s="108">
        <f t="shared" si="19"/>
        <v>-4047207.35</v>
      </c>
      <c r="H1224" s="109" t="s">
        <v>306</v>
      </c>
    </row>
    <row r="1225" spans="1:8">
      <c r="A1225" s="108" t="s">
        <v>20</v>
      </c>
      <c r="B1225" s="108">
        <v>0</v>
      </c>
      <c r="C1225" s="108">
        <v>0</v>
      </c>
      <c r="D1225" s="108">
        <v>35000</v>
      </c>
      <c r="E1225" s="108">
        <v>-35000</v>
      </c>
      <c r="G1225" s="108">
        <f t="shared" si="19"/>
        <v>-35000</v>
      </c>
      <c r="H1225" s="109" t="s">
        <v>20</v>
      </c>
    </row>
    <row r="1226" spans="1:8">
      <c r="A1226" s="108" t="s">
        <v>353</v>
      </c>
      <c r="B1226" s="108">
        <v>0</v>
      </c>
      <c r="C1226" s="108">
        <v>46657</v>
      </c>
      <c r="D1226" s="108">
        <v>47135</v>
      </c>
      <c r="E1226" s="108">
        <v>-478</v>
      </c>
      <c r="G1226" s="108">
        <f t="shared" si="19"/>
        <v>-478</v>
      </c>
      <c r="H1226" s="109" t="s">
        <v>54</v>
      </c>
    </row>
    <row r="1227" spans="1:8">
      <c r="A1227" s="108" t="s">
        <v>344</v>
      </c>
      <c r="B1227" s="108">
        <v>0</v>
      </c>
      <c r="C1227" s="108">
        <v>10000</v>
      </c>
      <c r="D1227" s="108">
        <v>0</v>
      </c>
      <c r="E1227" s="108">
        <v>10000</v>
      </c>
      <c r="G1227" s="108">
        <f t="shared" si="19"/>
        <v>10000</v>
      </c>
      <c r="H1227" s="109" t="s">
        <v>54</v>
      </c>
    </row>
    <row r="1228" spans="1:8">
      <c r="A1228" s="108" t="s">
        <v>418</v>
      </c>
      <c r="B1228" s="108">
        <v>0</v>
      </c>
      <c r="C1228" s="108">
        <v>486596</v>
      </c>
      <c r="D1228" s="108">
        <v>0</v>
      </c>
      <c r="E1228" s="108">
        <v>486596</v>
      </c>
      <c r="G1228" s="108">
        <f t="shared" si="19"/>
        <v>486596</v>
      </c>
      <c r="H1228" s="109" t="s">
        <v>64</v>
      </c>
    </row>
    <row r="1229" spans="1:8">
      <c r="A1229" s="103" t="s">
        <v>1152</v>
      </c>
      <c r="B1229" s="108">
        <v>0</v>
      </c>
      <c r="C1229" s="108">
        <v>0</v>
      </c>
      <c r="D1229" s="108">
        <v>0</v>
      </c>
      <c r="E1229" s="108">
        <v>0</v>
      </c>
      <c r="F1229" s="108">
        <v>500000</v>
      </c>
      <c r="G1229" s="108">
        <f t="shared" si="19"/>
        <v>500000</v>
      </c>
      <c r="H1229" s="122" t="s">
        <v>60</v>
      </c>
    </row>
    <row r="1230" spans="1:8">
      <c r="A1230" s="103" t="s">
        <v>1146</v>
      </c>
      <c r="B1230" s="108">
        <v>0</v>
      </c>
      <c r="C1230" s="108">
        <v>0</v>
      </c>
      <c r="D1230" s="108">
        <v>0</v>
      </c>
      <c r="E1230" s="108">
        <v>0</v>
      </c>
      <c r="F1230" s="108">
        <v>3363752</v>
      </c>
      <c r="G1230" s="108">
        <f t="shared" si="19"/>
        <v>3363752</v>
      </c>
      <c r="H1230" s="143" t="s">
        <v>13</v>
      </c>
    </row>
    <row r="1231" spans="1:8">
      <c r="A1231" s="103"/>
      <c r="H1231" s="122"/>
    </row>
    <row r="1232" spans="1:8">
      <c r="E1232" s="108">
        <f>SUBTOTAL(9,E3:E1227)</f>
        <v>-486595.99999943608</v>
      </c>
      <c r="G1232" s="108">
        <f>SUBTOTAL(9,G3:G1227)</f>
        <v>-3311498.9999994361</v>
      </c>
    </row>
    <row r="1233" spans="4:20">
      <c r="E1233" s="108" t="e">
        <f>#REF!</f>
        <v>#REF!</v>
      </c>
      <c r="O1233" s="113" t="s">
        <v>1518</v>
      </c>
      <c r="P1233" s="113" t="s">
        <v>1534</v>
      </c>
      <c r="Q1233" s="113" t="s">
        <v>1535</v>
      </c>
      <c r="R1233" s="113" t="s">
        <v>1536</v>
      </c>
    </row>
    <row r="1234" spans="4:20">
      <c r="E1234" s="108" t="e">
        <f>E1233-E1232</f>
        <v>#REF!</v>
      </c>
    </row>
    <row r="1235" spans="4:20">
      <c r="K1235" s="163" t="s">
        <v>439</v>
      </c>
      <c r="O1235" s="108">
        <v>27206</v>
      </c>
      <c r="P1235" s="108">
        <v>30000</v>
      </c>
      <c r="Q1235" s="108">
        <v>26611</v>
      </c>
      <c r="R1235" s="108">
        <v>30000</v>
      </c>
      <c r="T1235" s="119" t="s">
        <v>1537</v>
      </c>
    </row>
    <row r="1236" spans="4:20">
      <c r="K1236" s="120" t="s">
        <v>419</v>
      </c>
      <c r="O1236" s="136">
        <v>683676</v>
      </c>
      <c r="P1236" s="136">
        <v>626931</v>
      </c>
      <c r="Q1236" s="136">
        <v>703380</v>
      </c>
      <c r="R1236" s="136">
        <v>635731</v>
      </c>
    </row>
    <row r="1237" spans="4:20">
      <c r="D1237" s="121">
        <f>SUBTOTAL(9,D3:D1230)</f>
        <v>1600998523.4300001</v>
      </c>
      <c r="E1237" s="121">
        <f t="shared" ref="E1237:F1237" si="20">SUBTOTAL(9,E3:E1229)</f>
        <v>5.6391581892967224E-7</v>
      </c>
      <c r="F1237" s="121">
        <f t="shared" si="20"/>
        <v>-23792881</v>
      </c>
      <c r="G1237" s="121">
        <f>SUBTOTAL(9,G3:G1229)</f>
        <v>-2324902.9999994361</v>
      </c>
      <c r="K1237" s="119" t="s">
        <v>1538</v>
      </c>
      <c r="O1237" s="136">
        <v>365575</v>
      </c>
      <c r="P1237" s="120">
        <v>200000</v>
      </c>
      <c r="Q1237" s="120">
        <v>200000</v>
      </c>
      <c r="R1237" s="120">
        <v>200000</v>
      </c>
    </row>
    <row r="1238" spans="4:20">
      <c r="K1238" s="119" t="s">
        <v>1539</v>
      </c>
      <c r="O1238" s="136">
        <v>3576447</v>
      </c>
      <c r="P1238" s="136">
        <v>3367773</v>
      </c>
      <c r="Q1238" s="136">
        <v>3474593</v>
      </c>
      <c r="R1238" s="136">
        <v>3401688</v>
      </c>
    </row>
    <row r="1240" spans="4:20">
      <c r="O1240" s="121">
        <f t="shared" ref="O1240:R1240" si="21">SUBTOTAL(9,O1235:O1239)</f>
        <v>4652904</v>
      </c>
      <c r="P1240" s="121">
        <f t="shared" si="21"/>
        <v>4224704</v>
      </c>
      <c r="Q1240" s="121">
        <f t="shared" si="21"/>
        <v>4404584</v>
      </c>
      <c r="R1240" s="121">
        <f t="shared" si="21"/>
        <v>4267419</v>
      </c>
      <c r="S1240" s="108">
        <f>SUM(O1240:R1240)</f>
        <v>17549611</v>
      </c>
    </row>
  </sheetData>
  <autoFilter ref="A2:I1234" xr:uid="{32B82957-012B-464A-9D1A-14006AEA2A5B}"/>
  <mergeCells count="1">
    <mergeCell ref="A1:I1"/>
  </mergeCells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A6CBC-DB4C-465C-8090-61178501A2D7}">
  <sheetPr filterMode="1">
    <tabColor rgb="FFFFFF00"/>
  </sheetPr>
  <dimension ref="A1:L1321"/>
  <sheetViews>
    <sheetView zoomScale="80" zoomScaleNormal="80" workbookViewId="0">
      <pane ySplit="1" topLeftCell="A496" activePane="bottomLeft" state="frozen"/>
      <selection pane="bottomLeft" activeCell="H1328" sqref="H1328"/>
    </sheetView>
  </sheetViews>
  <sheetFormatPr defaultRowHeight="14.5"/>
  <cols>
    <col min="1" max="1" width="34.453125" style="101" customWidth="1"/>
    <col min="2" max="2" width="13.90625" style="102" bestFit="1" customWidth="1"/>
    <col min="3" max="3" width="12.90625" style="102" bestFit="1" customWidth="1"/>
    <col min="4" max="4" width="12.81640625" style="102" bestFit="1" customWidth="1"/>
    <col min="5" max="7" width="17.453125" style="102" customWidth="1"/>
    <col min="8" max="8" width="28.08984375" style="101" customWidth="1"/>
    <col min="9" max="9" width="14.6328125" style="101" hidden="1" customWidth="1"/>
    <col min="10" max="10" width="17" style="101" hidden="1" customWidth="1"/>
    <col min="11" max="11" width="15.26953125" style="101" hidden="1" customWidth="1"/>
    <col min="12" max="12" width="14.08984375" style="101" customWidth="1"/>
    <col min="13" max="13" width="11.1796875" style="101" customWidth="1"/>
    <col min="14" max="16384" width="8.7265625" style="101"/>
  </cols>
  <sheetData>
    <row r="1" spans="1:11" s="100" customFormat="1">
      <c r="A1" s="97" t="s">
        <v>530</v>
      </c>
      <c r="B1" s="98" t="s">
        <v>497</v>
      </c>
      <c r="C1" s="98" t="s">
        <v>499</v>
      </c>
      <c r="D1" s="98" t="s">
        <v>500</v>
      </c>
      <c r="E1" s="98" t="s">
        <v>498</v>
      </c>
      <c r="F1" s="98" t="s">
        <v>1532</v>
      </c>
      <c r="G1" s="98" t="s">
        <v>518</v>
      </c>
      <c r="H1" s="106" t="s">
        <v>1607</v>
      </c>
      <c r="I1" s="99" t="s">
        <v>1518</v>
      </c>
      <c r="J1" s="100" t="s">
        <v>1530</v>
      </c>
      <c r="K1" s="111" t="s">
        <v>1531</v>
      </c>
    </row>
    <row r="2" spans="1:11" hidden="1">
      <c r="A2" s="101" t="s">
        <v>94</v>
      </c>
      <c r="B2" s="102">
        <v>0</v>
      </c>
      <c r="C2" s="102">
        <v>5144478</v>
      </c>
      <c r="D2" s="102">
        <v>5144478</v>
      </c>
      <c r="E2" s="102">
        <v>0</v>
      </c>
      <c r="G2" s="102">
        <f>E2+F2</f>
        <v>0</v>
      </c>
      <c r="H2" s="101" t="s">
        <v>80</v>
      </c>
    </row>
    <row r="3" spans="1:11" hidden="1">
      <c r="A3" s="101" t="s">
        <v>531</v>
      </c>
      <c r="B3" s="102">
        <v>1607000</v>
      </c>
      <c r="C3" s="102">
        <v>0</v>
      </c>
      <c r="D3" s="102">
        <v>0</v>
      </c>
      <c r="E3" s="102">
        <v>1607000</v>
      </c>
      <c r="G3" s="102">
        <f t="shared" ref="G3:G66" si="0">E3+F3</f>
        <v>1607000</v>
      </c>
      <c r="H3" s="101" t="s">
        <v>80</v>
      </c>
    </row>
    <row r="4" spans="1:11" hidden="1">
      <c r="A4" s="101" t="s">
        <v>532</v>
      </c>
      <c r="B4" s="102">
        <v>2200000</v>
      </c>
      <c r="C4" s="102">
        <v>0</v>
      </c>
      <c r="D4" s="102">
        <v>0</v>
      </c>
      <c r="E4" s="102">
        <v>2200000</v>
      </c>
      <c r="G4" s="102">
        <f t="shared" si="0"/>
        <v>2200000</v>
      </c>
      <c r="H4" s="101" t="s">
        <v>80</v>
      </c>
    </row>
    <row r="5" spans="1:11" hidden="1">
      <c r="A5" s="101" t="s">
        <v>533</v>
      </c>
      <c r="B5" s="102">
        <v>108787</v>
      </c>
      <c r="C5" s="102">
        <v>0</v>
      </c>
      <c r="D5" s="102">
        <v>0</v>
      </c>
      <c r="E5" s="102">
        <v>108787</v>
      </c>
      <c r="G5" s="102">
        <f t="shared" si="0"/>
        <v>108787</v>
      </c>
      <c r="H5" s="101" t="s">
        <v>80</v>
      </c>
    </row>
    <row r="6" spans="1:11" hidden="1">
      <c r="A6" s="101" t="s">
        <v>1063</v>
      </c>
      <c r="B6" s="102">
        <v>0</v>
      </c>
      <c r="C6" s="102">
        <v>0</v>
      </c>
      <c r="D6" s="102">
        <v>0</v>
      </c>
      <c r="E6" s="102">
        <v>0</v>
      </c>
      <c r="G6" s="102">
        <f t="shared" si="0"/>
        <v>0</v>
      </c>
      <c r="H6" s="101" t="s">
        <v>80</v>
      </c>
    </row>
    <row r="7" spans="1:11" hidden="1">
      <c r="A7" s="101" t="s">
        <v>1062</v>
      </c>
      <c r="B7" s="102">
        <v>0</v>
      </c>
      <c r="C7" s="102">
        <v>0</v>
      </c>
      <c r="D7" s="102">
        <v>0</v>
      </c>
      <c r="E7" s="102">
        <v>0</v>
      </c>
      <c r="G7" s="102">
        <f t="shared" si="0"/>
        <v>0</v>
      </c>
      <c r="H7" s="101" t="s">
        <v>80</v>
      </c>
    </row>
    <row r="8" spans="1:11" hidden="1">
      <c r="A8" s="101" t="s">
        <v>143</v>
      </c>
      <c r="B8" s="102">
        <v>-18585.939999999999</v>
      </c>
      <c r="C8" s="102">
        <v>0</v>
      </c>
      <c r="D8" s="102">
        <v>0</v>
      </c>
      <c r="E8" s="102">
        <v>-18585.939999999999</v>
      </c>
      <c r="G8" s="102">
        <f t="shared" si="0"/>
        <v>-18585.939999999999</v>
      </c>
      <c r="H8" s="101" t="s">
        <v>80</v>
      </c>
    </row>
    <row r="9" spans="1:11" hidden="1">
      <c r="A9" s="101" t="s">
        <v>144</v>
      </c>
      <c r="B9" s="102">
        <v>1151</v>
      </c>
      <c r="C9" s="102">
        <v>0</v>
      </c>
      <c r="D9" s="102">
        <v>0</v>
      </c>
      <c r="E9" s="102">
        <v>1151</v>
      </c>
      <c r="G9" s="102">
        <f t="shared" si="0"/>
        <v>1151</v>
      </c>
      <c r="H9" s="101" t="s">
        <v>80</v>
      </c>
    </row>
    <row r="10" spans="1:11" hidden="1">
      <c r="A10" s="101" t="s">
        <v>430</v>
      </c>
      <c r="B10" s="102">
        <v>30286.3</v>
      </c>
      <c r="C10" s="102">
        <v>0</v>
      </c>
      <c r="D10" s="102">
        <v>0</v>
      </c>
      <c r="E10" s="102">
        <v>30286.3</v>
      </c>
      <c r="G10" s="102">
        <f t="shared" si="0"/>
        <v>30286.3</v>
      </c>
      <c r="H10" s="101" t="s">
        <v>80</v>
      </c>
    </row>
    <row r="11" spans="1:11" hidden="1">
      <c r="A11" s="101" t="s">
        <v>448</v>
      </c>
      <c r="B11" s="102">
        <v>1335.22</v>
      </c>
      <c r="C11" s="102">
        <v>0</v>
      </c>
      <c r="D11" s="102">
        <v>0</v>
      </c>
      <c r="E11" s="102">
        <v>1335.22</v>
      </c>
      <c r="G11" s="102">
        <f t="shared" si="0"/>
        <v>1335.22</v>
      </c>
      <c r="H11" s="101" t="s">
        <v>80</v>
      </c>
    </row>
    <row r="12" spans="1:11" hidden="1">
      <c r="A12" s="101" t="s">
        <v>1060</v>
      </c>
      <c r="B12" s="102">
        <v>0</v>
      </c>
      <c r="C12" s="102">
        <v>0</v>
      </c>
      <c r="D12" s="102">
        <v>0</v>
      </c>
      <c r="E12" s="102">
        <v>0</v>
      </c>
      <c r="G12" s="102">
        <f t="shared" si="0"/>
        <v>0</v>
      </c>
      <c r="H12" s="101" t="s">
        <v>80</v>
      </c>
    </row>
    <row r="13" spans="1:11" hidden="1">
      <c r="A13" s="101" t="s">
        <v>145</v>
      </c>
      <c r="B13" s="102">
        <v>-418818</v>
      </c>
      <c r="C13" s="102">
        <v>0</v>
      </c>
      <c r="D13" s="102">
        <v>0</v>
      </c>
      <c r="E13" s="102">
        <v>-418818</v>
      </c>
      <c r="G13" s="102">
        <f t="shared" si="0"/>
        <v>-418818</v>
      </c>
      <c r="H13" s="101" t="s">
        <v>80</v>
      </c>
    </row>
    <row r="14" spans="1:11" hidden="1">
      <c r="A14" s="101" t="s">
        <v>146</v>
      </c>
      <c r="B14" s="102">
        <v>66480</v>
      </c>
      <c r="C14" s="102">
        <v>0</v>
      </c>
      <c r="D14" s="102">
        <v>0</v>
      </c>
      <c r="E14" s="102">
        <v>66480</v>
      </c>
      <c r="G14" s="102">
        <f t="shared" si="0"/>
        <v>66480</v>
      </c>
      <c r="H14" s="101" t="s">
        <v>80</v>
      </c>
    </row>
    <row r="15" spans="1:11" hidden="1">
      <c r="A15" s="101" t="s">
        <v>392</v>
      </c>
      <c r="B15" s="102">
        <v>1767704.75</v>
      </c>
      <c r="C15" s="102">
        <v>0</v>
      </c>
      <c r="D15" s="102">
        <v>0</v>
      </c>
      <c r="E15" s="102">
        <v>1767704.75</v>
      </c>
      <c r="G15" s="102">
        <f t="shared" si="0"/>
        <v>1767704.75</v>
      </c>
      <c r="H15" s="101" t="s">
        <v>80</v>
      </c>
    </row>
    <row r="16" spans="1:11" hidden="1">
      <c r="A16" s="101" t="s">
        <v>431</v>
      </c>
      <c r="B16" s="102">
        <v>1324336.43</v>
      </c>
      <c r="C16" s="102">
        <v>1698.8</v>
      </c>
      <c r="D16" s="102">
        <v>0</v>
      </c>
      <c r="E16" s="102">
        <v>1326035.23</v>
      </c>
      <c r="G16" s="102">
        <f t="shared" si="0"/>
        <v>1326035.23</v>
      </c>
      <c r="H16" s="101" t="s">
        <v>80</v>
      </c>
    </row>
    <row r="17" spans="1:8" hidden="1">
      <c r="A17" s="101" t="s">
        <v>501</v>
      </c>
      <c r="B17" s="102">
        <v>0</v>
      </c>
      <c r="C17" s="102">
        <v>281577.96000000002</v>
      </c>
      <c r="D17" s="102">
        <v>0</v>
      </c>
      <c r="E17" s="102">
        <v>281577.96000000002</v>
      </c>
      <c r="G17" s="102">
        <f t="shared" si="0"/>
        <v>281577.96000000002</v>
      </c>
      <c r="H17" s="101" t="s">
        <v>80</v>
      </c>
    </row>
    <row r="18" spans="1:8" hidden="1">
      <c r="A18" s="101" t="s">
        <v>1059</v>
      </c>
      <c r="B18" s="102">
        <v>0</v>
      </c>
      <c r="C18" s="102">
        <v>0</v>
      </c>
      <c r="D18" s="102">
        <v>0</v>
      </c>
      <c r="E18" s="102">
        <v>0</v>
      </c>
      <c r="G18" s="102">
        <f t="shared" si="0"/>
        <v>0</v>
      </c>
      <c r="H18" s="101" t="s">
        <v>80</v>
      </c>
    </row>
    <row r="19" spans="1:8" hidden="1">
      <c r="A19" s="101" t="s">
        <v>534</v>
      </c>
      <c r="B19" s="102">
        <v>1205388922.52</v>
      </c>
      <c r="C19" s="102">
        <v>94467432.290000007</v>
      </c>
      <c r="D19" s="102">
        <v>47986418</v>
      </c>
      <c r="E19" s="102">
        <v>1251869936.8099999</v>
      </c>
      <c r="G19" s="102">
        <f t="shared" si="0"/>
        <v>1251869936.8099999</v>
      </c>
      <c r="H19" s="101" t="s">
        <v>80</v>
      </c>
    </row>
    <row r="20" spans="1:8" hidden="1">
      <c r="A20" s="101" t="s">
        <v>535</v>
      </c>
      <c r="B20" s="102">
        <v>0.01</v>
      </c>
      <c r="C20" s="102">
        <v>0</v>
      </c>
      <c r="D20" s="102">
        <v>0</v>
      </c>
      <c r="E20" s="102">
        <v>0.01</v>
      </c>
      <c r="G20" s="102">
        <f t="shared" si="0"/>
        <v>0.01</v>
      </c>
      <c r="H20" s="101" t="s">
        <v>80</v>
      </c>
    </row>
    <row r="21" spans="1:8" hidden="1">
      <c r="A21" s="101" t="s">
        <v>536</v>
      </c>
      <c r="B21" s="102">
        <v>0.06</v>
      </c>
      <c r="C21" s="102">
        <v>0</v>
      </c>
      <c r="D21" s="102">
        <v>0</v>
      </c>
      <c r="E21" s="102">
        <v>0.06</v>
      </c>
      <c r="G21" s="102">
        <f t="shared" si="0"/>
        <v>0.06</v>
      </c>
      <c r="H21" s="101" t="s">
        <v>80</v>
      </c>
    </row>
    <row r="22" spans="1:8" hidden="1">
      <c r="A22" s="101" t="s">
        <v>1058</v>
      </c>
      <c r="B22" s="102">
        <v>0</v>
      </c>
      <c r="C22" s="102">
        <v>0</v>
      </c>
      <c r="D22" s="102">
        <v>0</v>
      </c>
      <c r="E22" s="102">
        <v>0</v>
      </c>
      <c r="G22" s="102">
        <f t="shared" si="0"/>
        <v>0</v>
      </c>
      <c r="H22" s="101" t="s">
        <v>80</v>
      </c>
    </row>
    <row r="23" spans="1:8" hidden="1">
      <c r="A23" s="101" t="s">
        <v>84</v>
      </c>
      <c r="B23" s="102">
        <v>41258.14</v>
      </c>
      <c r="C23" s="102">
        <v>700000</v>
      </c>
      <c r="D23" s="102">
        <v>664436</v>
      </c>
      <c r="E23" s="102">
        <v>76822.14</v>
      </c>
      <c r="G23" s="102">
        <f t="shared" si="0"/>
        <v>76822.14</v>
      </c>
      <c r="H23" s="101" t="s">
        <v>80</v>
      </c>
    </row>
    <row r="24" spans="1:8" hidden="1">
      <c r="A24" s="101" t="s">
        <v>85</v>
      </c>
      <c r="B24" s="102">
        <v>895</v>
      </c>
      <c r="C24" s="102">
        <v>100000</v>
      </c>
      <c r="D24" s="102">
        <v>87388</v>
      </c>
      <c r="E24" s="102">
        <v>13507</v>
      </c>
      <c r="G24" s="102">
        <f t="shared" si="0"/>
        <v>13507</v>
      </c>
      <c r="H24" s="101" t="s">
        <v>80</v>
      </c>
    </row>
    <row r="25" spans="1:8" hidden="1">
      <c r="A25" s="101" t="s">
        <v>537</v>
      </c>
      <c r="B25" s="102">
        <v>12658</v>
      </c>
      <c r="C25" s="102">
        <v>0</v>
      </c>
      <c r="D25" s="102">
        <v>0</v>
      </c>
      <c r="E25" s="102">
        <v>12658</v>
      </c>
      <c r="G25" s="102">
        <f t="shared" si="0"/>
        <v>12658</v>
      </c>
      <c r="H25" s="101" t="s">
        <v>80</v>
      </c>
    </row>
    <row r="26" spans="1:8" hidden="1">
      <c r="A26" s="101" t="s">
        <v>538</v>
      </c>
      <c r="B26" s="102">
        <v>2176060</v>
      </c>
      <c r="C26" s="102">
        <v>0</v>
      </c>
      <c r="D26" s="102">
        <v>0</v>
      </c>
      <c r="E26" s="102">
        <v>2176060</v>
      </c>
      <c r="G26" s="102">
        <f t="shared" si="0"/>
        <v>2176060</v>
      </c>
      <c r="H26" s="101" t="s">
        <v>80</v>
      </c>
    </row>
    <row r="27" spans="1:8" hidden="1">
      <c r="A27" s="101" t="s">
        <v>539</v>
      </c>
      <c r="B27" s="102">
        <v>2589775</v>
      </c>
      <c r="C27" s="102">
        <v>0</v>
      </c>
      <c r="D27" s="102">
        <v>0</v>
      </c>
      <c r="E27" s="102">
        <v>2589775</v>
      </c>
      <c r="G27" s="102">
        <f t="shared" si="0"/>
        <v>2589775</v>
      </c>
      <c r="H27" s="101" t="s">
        <v>80</v>
      </c>
    </row>
    <row r="28" spans="1:8" hidden="1">
      <c r="A28" s="101" t="s">
        <v>540</v>
      </c>
      <c r="B28" s="102">
        <v>6100000</v>
      </c>
      <c r="C28" s="102">
        <v>0</v>
      </c>
      <c r="D28" s="102">
        <v>6177119</v>
      </c>
      <c r="E28" s="102">
        <v>-77119</v>
      </c>
      <c r="G28" s="102">
        <f t="shared" si="0"/>
        <v>-77119</v>
      </c>
      <c r="H28" s="101" t="s">
        <v>80</v>
      </c>
    </row>
    <row r="29" spans="1:8" hidden="1">
      <c r="A29" s="101" t="s">
        <v>541</v>
      </c>
      <c r="B29" s="102">
        <v>60017754</v>
      </c>
      <c r="C29" s="102">
        <v>0</v>
      </c>
      <c r="D29" s="102">
        <v>60142043</v>
      </c>
      <c r="E29" s="102">
        <v>-124289</v>
      </c>
      <c r="G29" s="102">
        <f t="shared" si="0"/>
        <v>-124289</v>
      </c>
      <c r="H29" s="101" t="s">
        <v>80</v>
      </c>
    </row>
    <row r="30" spans="1:8" hidden="1">
      <c r="A30" s="101" t="s">
        <v>542</v>
      </c>
      <c r="B30" s="102">
        <v>2300953</v>
      </c>
      <c r="C30" s="102">
        <v>0</v>
      </c>
      <c r="D30" s="102">
        <v>0</v>
      </c>
      <c r="E30" s="102">
        <v>2300953</v>
      </c>
      <c r="G30" s="102">
        <f t="shared" si="0"/>
        <v>2300953</v>
      </c>
      <c r="H30" s="101" t="s">
        <v>80</v>
      </c>
    </row>
    <row r="31" spans="1:8" hidden="1">
      <c r="A31" s="101" t="s">
        <v>543</v>
      </c>
      <c r="B31" s="102">
        <v>50000000</v>
      </c>
      <c r="C31" s="102">
        <v>0</v>
      </c>
      <c r="D31" s="102">
        <v>532910</v>
      </c>
      <c r="E31" s="102">
        <v>49467090</v>
      </c>
      <c r="G31" s="102">
        <f t="shared" si="0"/>
        <v>49467090</v>
      </c>
      <c r="H31" s="101" t="s">
        <v>80</v>
      </c>
    </row>
    <row r="32" spans="1:8" hidden="1">
      <c r="A32" s="101" t="s">
        <v>544</v>
      </c>
      <c r="B32" s="102">
        <v>13000000</v>
      </c>
      <c r="C32" s="102">
        <v>0</v>
      </c>
      <c r="D32" s="102">
        <v>153952</v>
      </c>
      <c r="E32" s="102">
        <v>12846048</v>
      </c>
      <c r="G32" s="102">
        <f t="shared" si="0"/>
        <v>12846048</v>
      </c>
      <c r="H32" s="101" t="s">
        <v>80</v>
      </c>
    </row>
    <row r="33" spans="1:9" hidden="1">
      <c r="A33" s="101" t="s">
        <v>519</v>
      </c>
      <c r="B33" s="102">
        <v>217112</v>
      </c>
      <c r="C33" s="102">
        <v>0</v>
      </c>
      <c r="D33" s="102">
        <v>0</v>
      </c>
      <c r="E33" s="102">
        <v>217112</v>
      </c>
      <c r="G33" s="102">
        <f t="shared" si="0"/>
        <v>217112</v>
      </c>
      <c r="H33" s="101" t="s">
        <v>80</v>
      </c>
    </row>
    <row r="34" spans="1:9" hidden="1">
      <c r="A34" s="101" t="s">
        <v>545</v>
      </c>
      <c r="B34" s="102">
        <v>12166394.48</v>
      </c>
      <c r="C34" s="102">
        <v>0</v>
      </c>
      <c r="D34" s="102">
        <v>0</v>
      </c>
      <c r="E34" s="102">
        <v>12166394.48</v>
      </c>
      <c r="G34" s="102">
        <f t="shared" si="0"/>
        <v>12166394.48</v>
      </c>
      <c r="H34" s="101" t="s">
        <v>80</v>
      </c>
    </row>
    <row r="35" spans="1:9" hidden="1">
      <c r="A35" s="101" t="s">
        <v>546</v>
      </c>
      <c r="B35" s="102">
        <v>60587491.689999998</v>
      </c>
      <c r="C35" s="102">
        <v>0</v>
      </c>
      <c r="D35" s="102">
        <v>0</v>
      </c>
      <c r="E35" s="102">
        <v>60587491.689999998</v>
      </c>
      <c r="G35" s="102">
        <f t="shared" si="0"/>
        <v>60587491.689999998</v>
      </c>
      <c r="H35" s="101" t="s">
        <v>80</v>
      </c>
    </row>
    <row r="36" spans="1:9" hidden="1">
      <c r="A36" s="101" t="s">
        <v>547</v>
      </c>
      <c r="B36" s="102">
        <v>243605.52</v>
      </c>
      <c r="C36" s="102">
        <v>0</v>
      </c>
      <c r="D36" s="102">
        <v>0</v>
      </c>
      <c r="E36" s="102">
        <v>243605.52</v>
      </c>
      <c r="G36" s="102">
        <f t="shared" si="0"/>
        <v>243605.52</v>
      </c>
      <c r="H36" s="101" t="s">
        <v>80</v>
      </c>
    </row>
    <row r="37" spans="1:9" hidden="1">
      <c r="A37" s="101" t="s">
        <v>548</v>
      </c>
      <c r="B37" s="102">
        <v>54931400</v>
      </c>
      <c r="C37" s="102">
        <v>0</v>
      </c>
      <c r="D37" s="102">
        <v>0</v>
      </c>
      <c r="E37" s="102">
        <v>54931400</v>
      </c>
      <c r="G37" s="102">
        <f t="shared" si="0"/>
        <v>54931400</v>
      </c>
      <c r="H37" s="101" t="s">
        <v>80</v>
      </c>
    </row>
    <row r="38" spans="1:9" hidden="1">
      <c r="A38" s="101" t="s">
        <v>549</v>
      </c>
      <c r="B38" s="102">
        <v>-651515</v>
      </c>
      <c r="C38" s="102">
        <v>0</v>
      </c>
      <c r="D38" s="102">
        <v>0</v>
      </c>
      <c r="E38" s="102">
        <v>-651515</v>
      </c>
      <c r="G38" s="102">
        <f t="shared" si="0"/>
        <v>-651515</v>
      </c>
      <c r="H38" s="101" t="s">
        <v>80</v>
      </c>
    </row>
    <row r="39" spans="1:9" hidden="1">
      <c r="A39" s="101" t="s">
        <v>550</v>
      </c>
      <c r="B39" s="102">
        <v>289971000</v>
      </c>
      <c r="C39" s="102">
        <v>0</v>
      </c>
      <c r="D39" s="102">
        <v>0</v>
      </c>
      <c r="E39" s="102">
        <v>289971000</v>
      </c>
      <c r="G39" s="102">
        <f t="shared" si="0"/>
        <v>289971000</v>
      </c>
      <c r="H39" s="101" t="s">
        <v>80</v>
      </c>
    </row>
    <row r="40" spans="1:9" hidden="1">
      <c r="A40" s="101" t="s">
        <v>551</v>
      </c>
      <c r="B40" s="102">
        <v>5175000</v>
      </c>
      <c r="C40" s="102">
        <v>0</v>
      </c>
      <c r="D40" s="102">
        <v>0</v>
      </c>
      <c r="E40" s="102">
        <v>5175000</v>
      </c>
      <c r="G40" s="102">
        <f t="shared" si="0"/>
        <v>5175000</v>
      </c>
      <c r="H40" s="101" t="s">
        <v>80</v>
      </c>
    </row>
    <row r="41" spans="1:9" hidden="1">
      <c r="A41" s="101" t="s">
        <v>1057</v>
      </c>
      <c r="B41" s="102">
        <v>0</v>
      </c>
      <c r="C41" s="102">
        <v>0</v>
      </c>
      <c r="D41" s="102">
        <v>0</v>
      </c>
      <c r="E41" s="102">
        <v>0</v>
      </c>
      <c r="G41" s="102">
        <f t="shared" si="0"/>
        <v>0</v>
      </c>
      <c r="H41" s="101" t="s">
        <v>80</v>
      </c>
    </row>
    <row r="42" spans="1:9" hidden="1">
      <c r="A42" s="101" t="s">
        <v>552</v>
      </c>
      <c r="B42" s="102">
        <v>120000000</v>
      </c>
      <c r="C42" s="102">
        <v>0</v>
      </c>
      <c r="D42" s="102">
        <v>120000000</v>
      </c>
      <c r="E42" s="102">
        <v>0</v>
      </c>
      <c r="G42" s="102">
        <f t="shared" si="0"/>
        <v>0</v>
      </c>
      <c r="H42" s="101" t="s">
        <v>80</v>
      </c>
    </row>
    <row r="43" spans="1:9" hidden="1">
      <c r="A43" s="101" t="s">
        <v>553</v>
      </c>
      <c r="B43" s="102">
        <v>788480</v>
      </c>
      <c r="C43" s="102">
        <v>0</v>
      </c>
      <c r="D43" s="102">
        <v>0</v>
      </c>
      <c r="E43" s="102">
        <v>788480</v>
      </c>
      <c r="G43" s="102">
        <f t="shared" si="0"/>
        <v>788480</v>
      </c>
      <c r="H43" s="101" t="s">
        <v>80</v>
      </c>
    </row>
    <row r="44" spans="1:9" hidden="1">
      <c r="A44" s="103" t="s">
        <v>554</v>
      </c>
      <c r="B44" s="104">
        <v>35987</v>
      </c>
      <c r="C44" s="104">
        <v>0</v>
      </c>
      <c r="D44" s="104">
        <v>0</v>
      </c>
      <c r="E44" s="104">
        <v>35987</v>
      </c>
      <c r="F44" s="104"/>
      <c r="G44" s="102">
        <f t="shared" si="0"/>
        <v>35987</v>
      </c>
      <c r="H44" s="103" t="s">
        <v>339</v>
      </c>
      <c r="I44" s="103"/>
    </row>
    <row r="45" spans="1:9" hidden="1">
      <c r="A45" s="101" t="s">
        <v>555</v>
      </c>
      <c r="B45" s="102">
        <v>761067.47</v>
      </c>
      <c r="C45" s="102">
        <v>123765.92</v>
      </c>
      <c r="D45" s="102">
        <v>728832.54</v>
      </c>
      <c r="E45" s="102">
        <v>156000.85</v>
      </c>
      <c r="G45" s="102">
        <f t="shared" si="0"/>
        <v>156000.85</v>
      </c>
      <c r="H45" s="101" t="s">
        <v>80</v>
      </c>
    </row>
    <row r="46" spans="1:9" hidden="1">
      <c r="A46" s="101" t="s">
        <v>556</v>
      </c>
      <c r="B46" s="102">
        <v>227369.96</v>
      </c>
      <c r="C46" s="102">
        <v>186427.62</v>
      </c>
      <c r="D46" s="102">
        <v>312212.92</v>
      </c>
      <c r="E46" s="102">
        <v>101584.66</v>
      </c>
      <c r="G46" s="102">
        <f t="shared" si="0"/>
        <v>101584.66</v>
      </c>
      <c r="H46" s="101" t="s">
        <v>80</v>
      </c>
    </row>
    <row r="47" spans="1:9" hidden="1">
      <c r="A47" s="101" t="s">
        <v>557</v>
      </c>
      <c r="B47" s="102">
        <v>761067.47</v>
      </c>
      <c r="C47" s="102">
        <v>123765.92</v>
      </c>
      <c r="D47" s="102">
        <v>728832.54</v>
      </c>
      <c r="E47" s="102">
        <v>156000.85</v>
      </c>
      <c r="G47" s="102">
        <f t="shared" si="0"/>
        <v>156000.85</v>
      </c>
      <c r="H47" s="101" t="s">
        <v>80</v>
      </c>
    </row>
    <row r="48" spans="1:9" hidden="1">
      <c r="A48" s="101" t="s">
        <v>558</v>
      </c>
      <c r="B48" s="102">
        <v>-3821334</v>
      </c>
      <c r="C48" s="102">
        <v>0</v>
      </c>
      <c r="D48" s="102">
        <v>0</v>
      </c>
      <c r="E48" s="102">
        <v>-3821334</v>
      </c>
      <c r="G48" s="102">
        <f t="shared" si="0"/>
        <v>-3821334</v>
      </c>
      <c r="H48" s="101" t="s">
        <v>80</v>
      </c>
    </row>
    <row r="49" spans="1:8" hidden="1">
      <c r="A49" s="101" t="s">
        <v>87</v>
      </c>
      <c r="B49" s="102">
        <v>0</v>
      </c>
      <c r="C49" s="102">
        <v>13851575.529999999</v>
      </c>
      <c r="D49" s="102">
        <v>13851710.529999999</v>
      </c>
      <c r="E49" s="102">
        <v>-135</v>
      </c>
      <c r="G49" s="102">
        <f t="shared" si="0"/>
        <v>-135</v>
      </c>
      <c r="H49" s="101" t="s">
        <v>80</v>
      </c>
    </row>
    <row r="50" spans="1:8" hidden="1">
      <c r="A50" s="101" t="s">
        <v>105</v>
      </c>
      <c r="B50" s="102">
        <v>0</v>
      </c>
      <c r="C50" s="102">
        <v>21161.040000000001</v>
      </c>
      <c r="D50" s="102">
        <v>18436.04</v>
      </c>
      <c r="E50" s="102">
        <v>2725</v>
      </c>
      <c r="G50" s="102">
        <f t="shared" si="0"/>
        <v>2725</v>
      </c>
      <c r="H50" s="101" t="s">
        <v>80</v>
      </c>
    </row>
    <row r="51" spans="1:8" hidden="1">
      <c r="A51" s="101" t="s">
        <v>525</v>
      </c>
      <c r="B51" s="102">
        <v>1271337</v>
      </c>
      <c r="C51" s="102">
        <v>6202475.0599999996</v>
      </c>
      <c r="D51" s="102">
        <v>7473812.0599999996</v>
      </c>
      <c r="E51" s="102">
        <v>0</v>
      </c>
      <c r="G51" s="102">
        <f t="shared" si="0"/>
        <v>0</v>
      </c>
      <c r="H51" s="101" t="s">
        <v>80</v>
      </c>
    </row>
    <row r="52" spans="1:8" hidden="1">
      <c r="A52" s="101" t="s">
        <v>135</v>
      </c>
      <c r="B52" s="102">
        <v>0</v>
      </c>
      <c r="C52" s="102">
        <v>13851575.529999999</v>
      </c>
      <c r="D52" s="102">
        <v>13851710.529999999</v>
      </c>
      <c r="E52" s="102">
        <v>-135</v>
      </c>
      <c r="G52" s="102">
        <f t="shared" si="0"/>
        <v>-135</v>
      </c>
      <c r="H52" s="101" t="s">
        <v>80</v>
      </c>
    </row>
    <row r="53" spans="1:8" hidden="1">
      <c r="A53" s="101" t="s">
        <v>559</v>
      </c>
      <c r="B53" s="102">
        <v>1171.99</v>
      </c>
      <c r="C53" s="102">
        <v>34456483</v>
      </c>
      <c r="D53" s="102">
        <v>34456482</v>
      </c>
      <c r="E53" s="102">
        <v>1172.99</v>
      </c>
      <c r="G53" s="102">
        <f t="shared" si="0"/>
        <v>1172.99</v>
      </c>
      <c r="H53" s="101" t="s">
        <v>80</v>
      </c>
    </row>
    <row r="54" spans="1:8" hidden="1">
      <c r="A54" s="101" t="s">
        <v>560</v>
      </c>
      <c r="B54" s="102">
        <v>-86936.05</v>
      </c>
      <c r="C54" s="102">
        <v>37233275.600000001</v>
      </c>
      <c r="D54" s="102">
        <v>36342940.460000001</v>
      </c>
      <c r="E54" s="102">
        <v>803399.09</v>
      </c>
      <c r="G54" s="102">
        <f t="shared" si="0"/>
        <v>803399.09</v>
      </c>
      <c r="H54" s="101" t="s">
        <v>80</v>
      </c>
    </row>
    <row r="55" spans="1:8" hidden="1">
      <c r="A55" s="101" t="s">
        <v>112</v>
      </c>
      <c r="B55" s="102">
        <v>23664031.890000001</v>
      </c>
      <c r="C55" s="102">
        <v>9929270.1999999993</v>
      </c>
      <c r="D55" s="102">
        <v>26879246.550000001</v>
      </c>
      <c r="E55" s="102">
        <v>6714055.54</v>
      </c>
      <c r="G55" s="102">
        <f t="shared" si="0"/>
        <v>6714055.54</v>
      </c>
      <c r="H55" s="101" t="s">
        <v>80</v>
      </c>
    </row>
    <row r="56" spans="1:8" hidden="1">
      <c r="A56" s="101" t="s">
        <v>561</v>
      </c>
      <c r="B56" s="102">
        <v>-26904578.440000001</v>
      </c>
      <c r="C56" s="102">
        <v>0</v>
      </c>
      <c r="D56" s="102">
        <v>0</v>
      </c>
      <c r="E56" s="102">
        <v>-26904578.440000001</v>
      </c>
      <c r="G56" s="102">
        <f t="shared" si="0"/>
        <v>-26904578.440000001</v>
      </c>
      <c r="H56" s="101" t="s">
        <v>80</v>
      </c>
    </row>
    <row r="57" spans="1:8" hidden="1">
      <c r="A57" s="101" t="s">
        <v>562</v>
      </c>
      <c r="B57" s="102">
        <v>-85919.34</v>
      </c>
      <c r="C57" s="102">
        <v>0</v>
      </c>
      <c r="D57" s="102">
        <v>0</v>
      </c>
      <c r="E57" s="102">
        <v>-85919.34</v>
      </c>
      <c r="G57" s="102">
        <f t="shared" si="0"/>
        <v>-85919.34</v>
      </c>
      <c r="H57" s="101" t="s">
        <v>80</v>
      </c>
    </row>
    <row r="58" spans="1:8" hidden="1">
      <c r="A58" s="101" t="s">
        <v>96</v>
      </c>
      <c r="B58" s="102">
        <v>407065.63</v>
      </c>
      <c r="C58" s="102">
        <v>0</v>
      </c>
      <c r="D58" s="102">
        <v>0</v>
      </c>
      <c r="E58" s="102">
        <v>407065.63</v>
      </c>
      <c r="G58" s="102">
        <f t="shared" si="0"/>
        <v>407065.63</v>
      </c>
      <c r="H58" s="101" t="s">
        <v>80</v>
      </c>
    </row>
    <row r="59" spans="1:8" hidden="1">
      <c r="A59" s="101" t="s">
        <v>563</v>
      </c>
      <c r="B59" s="102">
        <v>7359905.7999999998</v>
      </c>
      <c r="C59" s="102">
        <v>0</v>
      </c>
      <c r="D59" s="102">
        <v>0</v>
      </c>
      <c r="E59" s="102">
        <v>7359905.7999999998</v>
      </c>
      <c r="G59" s="102">
        <f t="shared" si="0"/>
        <v>7359905.7999999998</v>
      </c>
      <c r="H59" s="101" t="s">
        <v>80</v>
      </c>
    </row>
    <row r="60" spans="1:8" hidden="1">
      <c r="A60" s="101" t="s">
        <v>564</v>
      </c>
      <c r="B60" s="102">
        <v>-7246.93</v>
      </c>
      <c r="C60" s="102">
        <v>13650</v>
      </c>
      <c r="D60" s="102">
        <v>0</v>
      </c>
      <c r="E60" s="102">
        <v>6403.07</v>
      </c>
      <c r="G60" s="102">
        <f t="shared" si="0"/>
        <v>6403.07</v>
      </c>
      <c r="H60" s="101" t="s">
        <v>80</v>
      </c>
    </row>
    <row r="61" spans="1:8" hidden="1">
      <c r="A61" s="123" t="s">
        <v>129</v>
      </c>
      <c r="B61" s="102">
        <v>1986677</v>
      </c>
      <c r="C61" s="102">
        <v>0</v>
      </c>
      <c r="D61" s="102">
        <v>342799</v>
      </c>
      <c r="E61" s="102">
        <v>1643878</v>
      </c>
      <c r="G61" s="102">
        <f t="shared" si="0"/>
        <v>1643878</v>
      </c>
      <c r="H61" s="101" t="s">
        <v>80</v>
      </c>
    </row>
    <row r="62" spans="1:8" hidden="1">
      <c r="A62" s="101" t="s">
        <v>565</v>
      </c>
      <c r="B62" s="102">
        <v>0</v>
      </c>
      <c r="C62" s="102">
        <v>145844.5</v>
      </c>
      <c r="D62" s="102">
        <v>145844.5</v>
      </c>
      <c r="E62" s="102">
        <v>0</v>
      </c>
      <c r="G62" s="102">
        <f t="shared" si="0"/>
        <v>0</v>
      </c>
      <c r="H62" s="101" t="s">
        <v>80</v>
      </c>
    </row>
    <row r="63" spans="1:8" hidden="1">
      <c r="A63" s="101" t="s">
        <v>566</v>
      </c>
      <c r="B63" s="102">
        <v>0</v>
      </c>
      <c r="C63" s="102">
        <v>1271337</v>
      </c>
      <c r="D63" s="102">
        <v>1271337</v>
      </c>
      <c r="E63" s="102">
        <v>0</v>
      </c>
      <c r="G63" s="102">
        <f t="shared" si="0"/>
        <v>0</v>
      </c>
      <c r="H63" s="101" t="s">
        <v>80</v>
      </c>
    </row>
    <row r="64" spans="1:8" hidden="1">
      <c r="A64" s="101" t="s">
        <v>567</v>
      </c>
      <c r="B64" s="102">
        <v>0</v>
      </c>
      <c r="C64" s="102">
        <v>145844.5</v>
      </c>
      <c r="D64" s="102">
        <v>145844.5</v>
      </c>
      <c r="E64" s="102">
        <v>0</v>
      </c>
      <c r="G64" s="102">
        <f t="shared" si="0"/>
        <v>0</v>
      </c>
      <c r="H64" s="101" t="s">
        <v>80</v>
      </c>
    </row>
    <row r="65" spans="1:8" hidden="1">
      <c r="A65" s="101" t="s">
        <v>568</v>
      </c>
      <c r="B65" s="102">
        <v>222566</v>
      </c>
      <c r="C65" s="102">
        <v>0</v>
      </c>
      <c r="D65" s="102">
        <v>0</v>
      </c>
      <c r="E65" s="102">
        <v>222566</v>
      </c>
      <c r="G65" s="102">
        <f t="shared" si="0"/>
        <v>222566</v>
      </c>
      <c r="H65" s="101" t="s">
        <v>80</v>
      </c>
    </row>
    <row r="66" spans="1:8" hidden="1">
      <c r="A66" s="101" t="s">
        <v>569</v>
      </c>
      <c r="B66" s="102">
        <v>173552</v>
      </c>
      <c r="C66" s="102">
        <v>0</v>
      </c>
      <c r="D66" s="102">
        <v>0</v>
      </c>
      <c r="E66" s="102">
        <v>173552</v>
      </c>
      <c r="G66" s="102">
        <f t="shared" si="0"/>
        <v>173552</v>
      </c>
      <c r="H66" s="101" t="s">
        <v>80</v>
      </c>
    </row>
    <row r="67" spans="1:8" hidden="1">
      <c r="A67" s="101" t="s">
        <v>570</v>
      </c>
      <c r="B67" s="102">
        <v>1600000</v>
      </c>
      <c r="C67" s="102">
        <v>0</v>
      </c>
      <c r="D67" s="102">
        <v>0</v>
      </c>
      <c r="E67" s="102">
        <v>1600000</v>
      </c>
      <c r="G67" s="102">
        <f t="shared" ref="G67:G130" si="1">E67+F67</f>
        <v>1600000</v>
      </c>
      <c r="H67" s="101" t="s">
        <v>80</v>
      </c>
    </row>
    <row r="68" spans="1:8" hidden="1">
      <c r="A68" s="101" t="s">
        <v>81</v>
      </c>
      <c r="B68" s="102">
        <v>-904063.5</v>
      </c>
      <c r="C68" s="102">
        <v>2544967</v>
      </c>
      <c r="D68" s="102">
        <v>1603284</v>
      </c>
      <c r="E68" s="102">
        <v>37619.5</v>
      </c>
      <c r="G68" s="102">
        <f t="shared" si="1"/>
        <v>37619.5</v>
      </c>
      <c r="H68" s="101" t="s">
        <v>80</v>
      </c>
    </row>
    <row r="69" spans="1:8" hidden="1">
      <c r="A69" s="101" t="s">
        <v>571</v>
      </c>
      <c r="B69" s="102">
        <v>37500</v>
      </c>
      <c r="C69" s="102">
        <v>0</v>
      </c>
      <c r="D69" s="102">
        <v>0</v>
      </c>
      <c r="E69" s="102">
        <v>37500</v>
      </c>
      <c r="G69" s="102">
        <f t="shared" si="1"/>
        <v>37500</v>
      </c>
      <c r="H69" s="101" t="s">
        <v>80</v>
      </c>
    </row>
    <row r="70" spans="1:8" hidden="1">
      <c r="A70" s="101" t="s">
        <v>572</v>
      </c>
      <c r="B70" s="102">
        <v>222030</v>
      </c>
      <c r="C70" s="102">
        <v>0</v>
      </c>
      <c r="D70" s="102">
        <v>0</v>
      </c>
      <c r="E70" s="102">
        <v>222030</v>
      </c>
      <c r="G70" s="102">
        <f t="shared" si="1"/>
        <v>222030</v>
      </c>
      <c r="H70" s="101" t="s">
        <v>80</v>
      </c>
    </row>
    <row r="71" spans="1:8" hidden="1">
      <c r="A71" s="101" t="s">
        <v>573</v>
      </c>
      <c r="B71" s="102">
        <v>5100</v>
      </c>
      <c r="C71" s="102">
        <v>24000</v>
      </c>
      <c r="D71" s="102">
        <v>22731</v>
      </c>
      <c r="E71" s="102">
        <v>6369</v>
      </c>
      <c r="G71" s="102">
        <f t="shared" si="1"/>
        <v>6369</v>
      </c>
      <c r="H71" s="101" t="s">
        <v>80</v>
      </c>
    </row>
    <row r="72" spans="1:8" hidden="1">
      <c r="A72" s="101" t="s">
        <v>139</v>
      </c>
      <c r="B72" s="102">
        <v>1475496</v>
      </c>
      <c r="C72" s="102">
        <v>1197000</v>
      </c>
      <c r="D72" s="102">
        <v>684651</v>
      </c>
      <c r="E72" s="102">
        <v>1987845</v>
      </c>
      <c r="G72" s="102">
        <f t="shared" si="1"/>
        <v>1987845</v>
      </c>
      <c r="H72" s="101" t="s">
        <v>80</v>
      </c>
    </row>
    <row r="73" spans="1:8" hidden="1">
      <c r="A73" s="101" t="s">
        <v>1041</v>
      </c>
      <c r="B73" s="102">
        <v>5000</v>
      </c>
      <c r="C73" s="102">
        <v>0</v>
      </c>
      <c r="D73" s="102">
        <v>0</v>
      </c>
      <c r="E73" s="102">
        <v>5000</v>
      </c>
      <c r="G73" s="102">
        <f t="shared" si="1"/>
        <v>5000</v>
      </c>
      <c r="H73" s="101" t="s">
        <v>80</v>
      </c>
    </row>
    <row r="74" spans="1:8" hidden="1">
      <c r="A74" s="101" t="s">
        <v>1075</v>
      </c>
      <c r="B74" s="102">
        <v>0</v>
      </c>
      <c r="C74" s="102">
        <v>0</v>
      </c>
      <c r="D74" s="102">
        <v>0</v>
      </c>
      <c r="E74" s="102">
        <v>0</v>
      </c>
      <c r="G74" s="102">
        <f t="shared" si="1"/>
        <v>0</v>
      </c>
      <c r="H74" s="101" t="s">
        <v>80</v>
      </c>
    </row>
    <row r="75" spans="1:8" hidden="1">
      <c r="A75" s="101" t="s">
        <v>502</v>
      </c>
      <c r="B75" s="102">
        <v>107.89</v>
      </c>
      <c r="C75" s="102">
        <v>0</v>
      </c>
      <c r="D75" s="102">
        <v>0</v>
      </c>
      <c r="E75" s="102">
        <v>107.89</v>
      </c>
      <c r="G75" s="102">
        <f t="shared" si="1"/>
        <v>107.89</v>
      </c>
      <c r="H75" s="101" t="s">
        <v>80</v>
      </c>
    </row>
    <row r="76" spans="1:8" hidden="1">
      <c r="A76" s="101" t="s">
        <v>1064</v>
      </c>
      <c r="B76" s="102">
        <v>0</v>
      </c>
      <c r="C76" s="102">
        <v>0</v>
      </c>
      <c r="D76" s="102">
        <v>0</v>
      </c>
      <c r="E76" s="102">
        <v>0</v>
      </c>
      <c r="G76" s="102">
        <f t="shared" si="1"/>
        <v>0</v>
      </c>
      <c r="H76" s="101" t="s">
        <v>80</v>
      </c>
    </row>
    <row r="77" spans="1:8" hidden="1">
      <c r="A77" s="101" t="s">
        <v>1370</v>
      </c>
      <c r="B77" s="102">
        <v>0</v>
      </c>
      <c r="C77" s="102">
        <v>0</v>
      </c>
      <c r="D77" s="102">
        <v>0</v>
      </c>
      <c r="E77" s="102">
        <v>0</v>
      </c>
      <c r="G77" s="102">
        <f t="shared" si="1"/>
        <v>0</v>
      </c>
      <c r="H77" s="101" t="s">
        <v>80</v>
      </c>
    </row>
    <row r="78" spans="1:8" hidden="1">
      <c r="A78" s="101" t="s">
        <v>1371</v>
      </c>
      <c r="B78" s="102">
        <v>0</v>
      </c>
      <c r="C78" s="102">
        <v>0</v>
      </c>
      <c r="D78" s="102">
        <v>0</v>
      </c>
      <c r="E78" s="102">
        <v>0</v>
      </c>
      <c r="G78" s="102">
        <f t="shared" si="1"/>
        <v>0</v>
      </c>
      <c r="H78" s="101" t="s">
        <v>80</v>
      </c>
    </row>
    <row r="79" spans="1:8" hidden="1">
      <c r="A79" s="101" t="s">
        <v>1372</v>
      </c>
      <c r="B79" s="102">
        <v>0</v>
      </c>
      <c r="C79" s="102">
        <v>0</v>
      </c>
      <c r="D79" s="102">
        <v>0</v>
      </c>
      <c r="E79" s="102">
        <v>0</v>
      </c>
      <c r="G79" s="102">
        <f t="shared" si="1"/>
        <v>0</v>
      </c>
      <c r="H79" s="101" t="s">
        <v>80</v>
      </c>
    </row>
    <row r="80" spans="1:8" hidden="1">
      <c r="A80" s="101" t="s">
        <v>574</v>
      </c>
      <c r="B80" s="102">
        <v>51907.76</v>
      </c>
      <c r="C80" s="102">
        <v>0</v>
      </c>
      <c r="D80" s="102">
        <v>51907</v>
      </c>
      <c r="E80" s="102">
        <v>0.76</v>
      </c>
      <c r="G80" s="102">
        <f t="shared" si="1"/>
        <v>0.76</v>
      </c>
      <c r="H80" s="101" t="s">
        <v>80</v>
      </c>
    </row>
    <row r="81" spans="1:8" hidden="1">
      <c r="A81" s="101" t="s">
        <v>482</v>
      </c>
      <c r="B81" s="102">
        <v>-0.2</v>
      </c>
      <c r="C81" s="102">
        <v>0</v>
      </c>
      <c r="D81" s="102">
        <v>0</v>
      </c>
      <c r="E81" s="102">
        <v>-0.2</v>
      </c>
      <c r="G81" s="102">
        <f t="shared" si="1"/>
        <v>-0.2</v>
      </c>
      <c r="H81" s="101" t="s">
        <v>80</v>
      </c>
    </row>
    <row r="82" spans="1:8" hidden="1">
      <c r="A82" s="101" t="s">
        <v>1065</v>
      </c>
      <c r="B82" s="102">
        <v>0</v>
      </c>
      <c r="C82" s="102">
        <v>0</v>
      </c>
      <c r="D82" s="102">
        <v>0</v>
      </c>
      <c r="E82" s="102">
        <v>0</v>
      </c>
      <c r="G82" s="102">
        <f t="shared" si="1"/>
        <v>0</v>
      </c>
      <c r="H82" s="101" t="s">
        <v>80</v>
      </c>
    </row>
    <row r="83" spans="1:8" hidden="1">
      <c r="A83" s="101" t="s">
        <v>83</v>
      </c>
      <c r="B83" s="102">
        <v>-10.19</v>
      </c>
      <c r="C83" s="102">
        <v>0</v>
      </c>
      <c r="D83" s="102">
        <v>0</v>
      </c>
      <c r="E83" s="102">
        <v>-10.19</v>
      </c>
      <c r="G83" s="102">
        <f t="shared" si="1"/>
        <v>-10.19</v>
      </c>
      <c r="H83" s="101" t="s">
        <v>80</v>
      </c>
    </row>
    <row r="84" spans="1:8" hidden="1">
      <c r="A84" s="101" t="s">
        <v>1373</v>
      </c>
      <c r="B84" s="102">
        <v>0</v>
      </c>
      <c r="C84" s="102">
        <v>0</v>
      </c>
      <c r="D84" s="102">
        <v>0</v>
      </c>
      <c r="E84" s="102">
        <v>0</v>
      </c>
      <c r="G84" s="102">
        <f t="shared" si="1"/>
        <v>0</v>
      </c>
      <c r="H84" s="101" t="s">
        <v>80</v>
      </c>
    </row>
    <row r="85" spans="1:8" hidden="1">
      <c r="A85" s="101" t="s">
        <v>575</v>
      </c>
      <c r="B85" s="102">
        <v>478152.9</v>
      </c>
      <c r="C85" s="102">
        <v>225380</v>
      </c>
      <c r="D85" s="102">
        <v>311520</v>
      </c>
      <c r="E85" s="102">
        <v>392012.9</v>
      </c>
      <c r="G85" s="102">
        <f t="shared" si="1"/>
        <v>392012.9</v>
      </c>
      <c r="H85" s="101" t="s">
        <v>80</v>
      </c>
    </row>
    <row r="86" spans="1:8" hidden="1">
      <c r="A86" s="101" t="s">
        <v>1076</v>
      </c>
      <c r="B86" s="102">
        <v>0</v>
      </c>
      <c r="C86" s="102">
        <v>0</v>
      </c>
      <c r="D86" s="102">
        <v>0</v>
      </c>
      <c r="E86" s="102">
        <v>0</v>
      </c>
      <c r="G86" s="102">
        <f t="shared" si="1"/>
        <v>0</v>
      </c>
      <c r="H86" s="101" t="s">
        <v>80</v>
      </c>
    </row>
    <row r="87" spans="1:8" hidden="1">
      <c r="A87" s="101" t="s">
        <v>520</v>
      </c>
      <c r="B87" s="102">
        <v>-1.05</v>
      </c>
      <c r="C87" s="102">
        <v>0</v>
      </c>
      <c r="D87" s="102">
        <v>0</v>
      </c>
      <c r="E87" s="102">
        <v>-1.05</v>
      </c>
      <c r="G87" s="102">
        <f t="shared" si="1"/>
        <v>-1.05</v>
      </c>
      <c r="H87" s="101" t="s">
        <v>80</v>
      </c>
    </row>
    <row r="88" spans="1:8" hidden="1">
      <c r="A88" s="101" t="s">
        <v>1079</v>
      </c>
      <c r="B88" s="102">
        <v>0</v>
      </c>
      <c r="C88" s="102">
        <v>0</v>
      </c>
      <c r="D88" s="102">
        <v>0</v>
      </c>
      <c r="E88" s="102">
        <v>0</v>
      </c>
      <c r="G88" s="102">
        <f t="shared" si="1"/>
        <v>0</v>
      </c>
      <c r="H88" s="101" t="s">
        <v>80</v>
      </c>
    </row>
    <row r="89" spans="1:8" hidden="1">
      <c r="A89" s="101" t="s">
        <v>1080</v>
      </c>
      <c r="B89" s="102">
        <v>0</v>
      </c>
      <c r="C89" s="102">
        <v>0</v>
      </c>
      <c r="D89" s="102">
        <v>0</v>
      </c>
      <c r="E89" s="102">
        <v>0</v>
      </c>
      <c r="G89" s="102">
        <f t="shared" si="1"/>
        <v>0</v>
      </c>
      <c r="H89" s="101" t="s">
        <v>80</v>
      </c>
    </row>
    <row r="90" spans="1:8" hidden="1">
      <c r="A90" s="101" t="s">
        <v>1066</v>
      </c>
      <c r="B90" s="102">
        <v>0</v>
      </c>
      <c r="C90" s="102">
        <v>0</v>
      </c>
      <c r="D90" s="102">
        <v>0</v>
      </c>
      <c r="E90" s="102">
        <v>0</v>
      </c>
      <c r="G90" s="102">
        <f t="shared" si="1"/>
        <v>0</v>
      </c>
      <c r="H90" s="101" t="s">
        <v>80</v>
      </c>
    </row>
    <row r="91" spans="1:8" hidden="1">
      <c r="A91" s="101" t="s">
        <v>576</v>
      </c>
      <c r="B91" s="102">
        <v>6490.1</v>
      </c>
      <c r="C91" s="102">
        <v>0</v>
      </c>
      <c r="D91" s="102">
        <v>0</v>
      </c>
      <c r="E91" s="102">
        <v>6490.1</v>
      </c>
      <c r="G91" s="102">
        <f t="shared" si="1"/>
        <v>6490.1</v>
      </c>
      <c r="H91" s="101" t="s">
        <v>80</v>
      </c>
    </row>
    <row r="92" spans="1:8" hidden="1">
      <c r="A92" s="101" t="s">
        <v>577</v>
      </c>
      <c r="B92" s="102">
        <v>-2088.6999999999998</v>
      </c>
      <c r="C92" s="102">
        <v>0</v>
      </c>
      <c r="D92" s="102">
        <v>0</v>
      </c>
      <c r="E92" s="102">
        <v>-2088.6999999999998</v>
      </c>
      <c r="G92" s="102">
        <f t="shared" si="1"/>
        <v>-2088.6999999999998</v>
      </c>
      <c r="H92" s="101" t="s">
        <v>80</v>
      </c>
    </row>
    <row r="93" spans="1:8" hidden="1">
      <c r="A93" s="101" t="s">
        <v>1081</v>
      </c>
      <c r="B93" s="102">
        <v>0</v>
      </c>
      <c r="C93" s="102">
        <v>0</v>
      </c>
      <c r="D93" s="102">
        <v>0</v>
      </c>
      <c r="E93" s="102">
        <v>0</v>
      </c>
      <c r="G93" s="102">
        <f t="shared" si="1"/>
        <v>0</v>
      </c>
      <c r="H93" s="101" t="s">
        <v>80</v>
      </c>
    </row>
    <row r="94" spans="1:8" hidden="1">
      <c r="A94" s="101" t="s">
        <v>1067</v>
      </c>
      <c r="B94" s="102">
        <v>0</v>
      </c>
      <c r="C94" s="102">
        <v>0</v>
      </c>
      <c r="D94" s="102">
        <v>0</v>
      </c>
      <c r="E94" s="102">
        <v>0</v>
      </c>
      <c r="G94" s="102">
        <f t="shared" si="1"/>
        <v>0</v>
      </c>
      <c r="H94" s="101" t="s">
        <v>80</v>
      </c>
    </row>
    <row r="95" spans="1:8" hidden="1">
      <c r="A95" s="101" t="s">
        <v>1374</v>
      </c>
      <c r="B95" s="102">
        <v>0</v>
      </c>
      <c r="C95" s="102">
        <v>0</v>
      </c>
      <c r="D95" s="102">
        <v>0</v>
      </c>
      <c r="E95" s="102">
        <v>0</v>
      </c>
      <c r="G95" s="102">
        <f t="shared" si="1"/>
        <v>0</v>
      </c>
      <c r="H95" s="101" t="s">
        <v>80</v>
      </c>
    </row>
    <row r="96" spans="1:8" hidden="1">
      <c r="A96" s="101" t="s">
        <v>1375</v>
      </c>
      <c r="B96" s="102">
        <v>0</v>
      </c>
      <c r="C96" s="102">
        <v>0</v>
      </c>
      <c r="D96" s="102">
        <v>0</v>
      </c>
      <c r="E96" s="102">
        <v>0</v>
      </c>
      <c r="G96" s="102">
        <f t="shared" si="1"/>
        <v>0</v>
      </c>
      <c r="H96" s="101" t="s">
        <v>80</v>
      </c>
    </row>
    <row r="97" spans="1:8" hidden="1">
      <c r="A97" s="101" t="s">
        <v>578</v>
      </c>
      <c r="B97" s="102">
        <v>-779600</v>
      </c>
      <c r="C97" s="102">
        <v>779600</v>
      </c>
      <c r="D97" s="102">
        <v>0</v>
      </c>
      <c r="E97" s="102">
        <v>0</v>
      </c>
      <c r="G97" s="102">
        <f t="shared" si="1"/>
        <v>0</v>
      </c>
      <c r="H97" s="101" t="s">
        <v>80</v>
      </c>
    </row>
    <row r="98" spans="1:8" hidden="1">
      <c r="A98" s="101" t="s">
        <v>1084</v>
      </c>
      <c r="B98" s="102">
        <v>0</v>
      </c>
      <c r="C98" s="102">
        <v>0</v>
      </c>
      <c r="D98" s="102">
        <v>0</v>
      </c>
      <c r="E98" s="102">
        <v>0</v>
      </c>
      <c r="G98" s="102">
        <f t="shared" si="1"/>
        <v>0</v>
      </c>
      <c r="H98" s="101" t="s">
        <v>80</v>
      </c>
    </row>
    <row r="99" spans="1:8" hidden="1">
      <c r="A99" s="101" t="s">
        <v>1519</v>
      </c>
      <c r="B99" s="102">
        <v>0</v>
      </c>
      <c r="C99" s="102">
        <v>0</v>
      </c>
      <c r="D99" s="102">
        <v>0</v>
      </c>
      <c r="E99" s="102">
        <v>0</v>
      </c>
      <c r="G99" s="102">
        <f t="shared" si="1"/>
        <v>0</v>
      </c>
      <c r="H99" s="101" t="s">
        <v>80</v>
      </c>
    </row>
    <row r="100" spans="1:8" hidden="1">
      <c r="A100" s="101" t="s">
        <v>1085</v>
      </c>
      <c r="B100" s="102">
        <v>0</v>
      </c>
      <c r="C100" s="102">
        <v>0</v>
      </c>
      <c r="D100" s="102">
        <v>0</v>
      </c>
      <c r="E100" s="102">
        <v>0</v>
      </c>
      <c r="G100" s="102">
        <f t="shared" si="1"/>
        <v>0</v>
      </c>
      <c r="H100" s="101" t="s">
        <v>80</v>
      </c>
    </row>
    <row r="101" spans="1:8" hidden="1">
      <c r="A101" s="101" t="s">
        <v>1086</v>
      </c>
      <c r="B101" s="102">
        <v>0</v>
      </c>
      <c r="C101" s="102">
        <v>0</v>
      </c>
      <c r="D101" s="102">
        <v>0</v>
      </c>
      <c r="E101" s="102">
        <v>0</v>
      </c>
      <c r="G101" s="102">
        <f t="shared" si="1"/>
        <v>0</v>
      </c>
      <c r="H101" s="101" t="s">
        <v>80</v>
      </c>
    </row>
    <row r="102" spans="1:8" hidden="1">
      <c r="A102" s="101" t="s">
        <v>579</v>
      </c>
      <c r="B102" s="102">
        <v>61360</v>
      </c>
      <c r="C102" s="102">
        <v>0</v>
      </c>
      <c r="D102" s="102">
        <v>0</v>
      </c>
      <c r="E102" s="102">
        <v>61360</v>
      </c>
      <c r="G102" s="102">
        <f t="shared" si="1"/>
        <v>61360</v>
      </c>
      <c r="H102" s="101" t="s">
        <v>80</v>
      </c>
    </row>
    <row r="103" spans="1:8" hidden="1">
      <c r="A103" s="101" t="s">
        <v>1087</v>
      </c>
      <c r="B103" s="102">
        <v>0</v>
      </c>
      <c r="C103" s="102">
        <v>0</v>
      </c>
      <c r="D103" s="102">
        <v>0</v>
      </c>
      <c r="E103" s="102">
        <v>0</v>
      </c>
      <c r="G103" s="102">
        <f t="shared" si="1"/>
        <v>0</v>
      </c>
      <c r="H103" s="101" t="s">
        <v>80</v>
      </c>
    </row>
    <row r="104" spans="1:8" hidden="1">
      <c r="A104" s="101" t="s">
        <v>1068</v>
      </c>
      <c r="B104" s="102">
        <v>0</v>
      </c>
      <c r="C104" s="102">
        <v>0</v>
      </c>
      <c r="D104" s="102">
        <v>0</v>
      </c>
      <c r="E104" s="102">
        <v>0</v>
      </c>
      <c r="G104" s="102">
        <f t="shared" si="1"/>
        <v>0</v>
      </c>
      <c r="H104" s="101" t="s">
        <v>80</v>
      </c>
    </row>
    <row r="105" spans="1:8" hidden="1">
      <c r="A105" s="101" t="s">
        <v>1520</v>
      </c>
      <c r="B105" s="102">
        <v>0</v>
      </c>
      <c r="C105" s="102">
        <v>0</v>
      </c>
      <c r="D105" s="102">
        <v>0</v>
      </c>
      <c r="E105" s="102">
        <v>0</v>
      </c>
      <c r="G105" s="102">
        <f t="shared" si="1"/>
        <v>0</v>
      </c>
      <c r="H105" s="101" t="s">
        <v>80</v>
      </c>
    </row>
    <row r="106" spans="1:8" hidden="1">
      <c r="A106" s="101" t="s">
        <v>580</v>
      </c>
      <c r="B106" s="102">
        <v>848480.5</v>
      </c>
      <c r="C106" s="102">
        <v>140125</v>
      </c>
      <c r="D106" s="102">
        <v>849600</v>
      </c>
      <c r="E106" s="102">
        <v>139005.5</v>
      </c>
      <c r="G106" s="102">
        <f t="shared" si="1"/>
        <v>139005.5</v>
      </c>
      <c r="H106" s="101" t="s">
        <v>80</v>
      </c>
    </row>
    <row r="107" spans="1:8" hidden="1">
      <c r="A107" s="101" t="s">
        <v>1120</v>
      </c>
      <c r="B107" s="102">
        <v>0</v>
      </c>
      <c r="C107" s="102">
        <v>0</v>
      </c>
      <c r="D107" s="102">
        <v>0</v>
      </c>
      <c r="E107" s="102">
        <v>0</v>
      </c>
      <c r="G107" s="102">
        <f t="shared" si="1"/>
        <v>0</v>
      </c>
      <c r="H107" s="101" t="s">
        <v>80</v>
      </c>
    </row>
    <row r="108" spans="1:8" hidden="1">
      <c r="A108" s="101" t="s">
        <v>1376</v>
      </c>
      <c r="B108" s="102">
        <v>0</v>
      </c>
      <c r="C108" s="102">
        <v>0</v>
      </c>
      <c r="D108" s="102">
        <v>0</v>
      </c>
      <c r="E108" s="102">
        <v>0</v>
      </c>
      <c r="G108" s="102">
        <f t="shared" si="1"/>
        <v>0</v>
      </c>
      <c r="H108" s="101" t="s">
        <v>80</v>
      </c>
    </row>
    <row r="109" spans="1:8" hidden="1">
      <c r="A109" s="101" t="s">
        <v>581</v>
      </c>
      <c r="B109" s="102">
        <v>618393.16</v>
      </c>
      <c r="C109" s="102">
        <v>842033.26</v>
      </c>
      <c r="D109" s="102">
        <v>618393.16</v>
      </c>
      <c r="E109" s="102">
        <v>842033.26</v>
      </c>
      <c r="G109" s="102">
        <f t="shared" si="1"/>
        <v>842033.26</v>
      </c>
      <c r="H109" s="101" t="s">
        <v>80</v>
      </c>
    </row>
    <row r="110" spans="1:8" hidden="1">
      <c r="A110" s="101" t="s">
        <v>582</v>
      </c>
      <c r="B110" s="102">
        <v>0.06</v>
      </c>
      <c r="C110" s="102">
        <v>0</v>
      </c>
      <c r="D110" s="102">
        <v>0</v>
      </c>
      <c r="E110" s="102">
        <v>0.06</v>
      </c>
      <c r="G110" s="102">
        <f t="shared" si="1"/>
        <v>0.06</v>
      </c>
      <c r="H110" s="101" t="s">
        <v>80</v>
      </c>
    </row>
    <row r="111" spans="1:8" hidden="1">
      <c r="A111" s="101" t="s">
        <v>1377</v>
      </c>
      <c r="B111" s="102">
        <v>0</v>
      </c>
      <c r="C111" s="102">
        <v>0</v>
      </c>
      <c r="D111" s="102">
        <v>0</v>
      </c>
      <c r="E111" s="102">
        <v>0</v>
      </c>
      <c r="G111" s="102">
        <f t="shared" si="1"/>
        <v>0</v>
      </c>
      <c r="H111" s="101" t="s">
        <v>80</v>
      </c>
    </row>
    <row r="112" spans="1:8" hidden="1">
      <c r="A112" s="101" t="s">
        <v>436</v>
      </c>
      <c r="B112" s="102">
        <v>0.46</v>
      </c>
      <c r="C112" s="102">
        <v>0</v>
      </c>
      <c r="D112" s="102">
        <v>0</v>
      </c>
      <c r="E112" s="102">
        <v>0.46</v>
      </c>
      <c r="G112" s="102">
        <f t="shared" si="1"/>
        <v>0.46</v>
      </c>
      <c r="H112" s="101" t="s">
        <v>80</v>
      </c>
    </row>
    <row r="113" spans="1:8" hidden="1">
      <c r="A113" s="101" t="s">
        <v>583</v>
      </c>
      <c r="B113" s="102">
        <v>-913045</v>
      </c>
      <c r="C113" s="102">
        <v>904770.9</v>
      </c>
      <c r="D113" s="102">
        <v>0</v>
      </c>
      <c r="E113" s="102">
        <v>-8274.1</v>
      </c>
      <c r="G113" s="102">
        <f t="shared" si="1"/>
        <v>-8274.1</v>
      </c>
      <c r="H113" s="101" t="s">
        <v>80</v>
      </c>
    </row>
    <row r="114" spans="1:8" hidden="1">
      <c r="A114" s="101" t="s">
        <v>584</v>
      </c>
      <c r="B114" s="102">
        <v>-711.75</v>
      </c>
      <c r="C114" s="102">
        <v>0</v>
      </c>
      <c r="D114" s="102">
        <v>0</v>
      </c>
      <c r="E114" s="102">
        <v>-711.75</v>
      </c>
      <c r="G114" s="102">
        <f t="shared" si="1"/>
        <v>-711.75</v>
      </c>
      <c r="H114" s="101" t="s">
        <v>80</v>
      </c>
    </row>
    <row r="115" spans="1:8" hidden="1">
      <c r="A115" s="101" t="s">
        <v>1042</v>
      </c>
      <c r="B115" s="102">
        <v>1112150.8999999999</v>
      </c>
      <c r="C115" s="102">
        <v>0</v>
      </c>
      <c r="D115" s="102">
        <v>1112150</v>
      </c>
      <c r="E115" s="102">
        <v>0.9</v>
      </c>
      <c r="G115" s="102">
        <f t="shared" si="1"/>
        <v>0.9</v>
      </c>
      <c r="H115" s="101" t="s">
        <v>80</v>
      </c>
    </row>
    <row r="116" spans="1:8" hidden="1">
      <c r="A116" s="101" t="s">
        <v>585</v>
      </c>
      <c r="B116" s="102">
        <v>-10480.76</v>
      </c>
      <c r="C116" s="102">
        <v>0</v>
      </c>
      <c r="D116" s="102">
        <v>0</v>
      </c>
      <c r="E116" s="102">
        <v>-10480.76</v>
      </c>
      <c r="G116" s="102">
        <f t="shared" si="1"/>
        <v>-10480.76</v>
      </c>
      <c r="H116" s="101" t="s">
        <v>80</v>
      </c>
    </row>
    <row r="117" spans="1:8" hidden="1">
      <c r="A117" s="101" t="s">
        <v>586</v>
      </c>
      <c r="B117" s="102">
        <v>0.04</v>
      </c>
      <c r="C117" s="102">
        <v>1180236</v>
      </c>
      <c r="D117" s="102">
        <v>615370.49</v>
      </c>
      <c r="E117" s="102">
        <v>564865.55000000005</v>
      </c>
      <c r="G117" s="102">
        <f t="shared" si="1"/>
        <v>564865.55000000005</v>
      </c>
      <c r="H117" s="101" t="s">
        <v>80</v>
      </c>
    </row>
    <row r="118" spans="1:8" hidden="1">
      <c r="A118" s="101" t="s">
        <v>107</v>
      </c>
      <c r="B118" s="102">
        <v>1886778.93</v>
      </c>
      <c r="C118" s="102">
        <v>0</v>
      </c>
      <c r="D118" s="102">
        <v>0</v>
      </c>
      <c r="E118" s="102">
        <v>1886778.93</v>
      </c>
      <c r="G118" s="102">
        <f t="shared" si="1"/>
        <v>1886778.93</v>
      </c>
      <c r="H118" s="101" t="s">
        <v>80</v>
      </c>
    </row>
    <row r="119" spans="1:8" hidden="1">
      <c r="A119" s="101" t="s">
        <v>108</v>
      </c>
      <c r="B119" s="102">
        <v>42723370.759999998</v>
      </c>
      <c r="C119" s="102">
        <v>44687767.380000003</v>
      </c>
      <c r="D119" s="102">
        <v>125831676</v>
      </c>
      <c r="E119" s="102">
        <v>-38420537.859999999</v>
      </c>
      <c r="G119" s="102">
        <f t="shared" si="1"/>
        <v>-38420537.859999999</v>
      </c>
      <c r="H119" s="101" t="s">
        <v>80</v>
      </c>
    </row>
    <row r="120" spans="1:8" hidden="1">
      <c r="A120" s="101" t="s">
        <v>429</v>
      </c>
      <c r="B120" s="102">
        <v>-6977160</v>
      </c>
      <c r="C120" s="102">
        <v>804866.13</v>
      </c>
      <c r="D120" s="102">
        <v>0</v>
      </c>
      <c r="E120" s="102">
        <v>-6172293.8700000001</v>
      </c>
      <c r="G120" s="102">
        <f t="shared" si="1"/>
        <v>-6172293.8700000001</v>
      </c>
      <c r="H120" s="101" t="s">
        <v>80</v>
      </c>
    </row>
    <row r="121" spans="1:8" hidden="1">
      <c r="A121" s="101" t="s">
        <v>1070</v>
      </c>
      <c r="B121" s="102">
        <v>0</v>
      </c>
      <c r="C121" s="102">
        <v>0</v>
      </c>
      <c r="D121" s="102">
        <v>0</v>
      </c>
      <c r="E121" s="102">
        <v>0</v>
      </c>
      <c r="G121" s="102">
        <f t="shared" si="1"/>
        <v>0</v>
      </c>
      <c r="H121" s="101" t="s">
        <v>80</v>
      </c>
    </row>
    <row r="122" spans="1:8" hidden="1">
      <c r="A122" s="101" t="s">
        <v>1071</v>
      </c>
      <c r="B122" s="102">
        <v>19769297.699999999</v>
      </c>
      <c r="C122" s="102">
        <v>26324020.879999999</v>
      </c>
      <c r="D122" s="102">
        <v>5793506.4299999997</v>
      </c>
      <c r="E122" s="102">
        <v>40299812.149999999</v>
      </c>
      <c r="G122" s="102">
        <f t="shared" si="1"/>
        <v>40299812.149999999</v>
      </c>
      <c r="H122" s="101" t="s">
        <v>80</v>
      </c>
    </row>
    <row r="123" spans="1:8" hidden="1">
      <c r="A123" s="101" t="s">
        <v>376</v>
      </c>
      <c r="B123" s="102">
        <v>-0.4</v>
      </c>
      <c r="C123" s="102">
        <v>0</v>
      </c>
      <c r="D123" s="102">
        <v>0</v>
      </c>
      <c r="E123" s="102">
        <v>-0.4</v>
      </c>
      <c r="G123" s="102">
        <f t="shared" si="1"/>
        <v>-0.4</v>
      </c>
      <c r="H123" s="101" t="s">
        <v>80</v>
      </c>
    </row>
    <row r="124" spans="1:8" hidden="1">
      <c r="A124" s="101" t="s">
        <v>1072</v>
      </c>
      <c r="B124" s="102">
        <v>0</v>
      </c>
      <c r="C124" s="102">
        <v>0</v>
      </c>
      <c r="D124" s="102">
        <v>0</v>
      </c>
      <c r="E124" s="102">
        <v>0</v>
      </c>
      <c r="G124" s="102">
        <f t="shared" si="1"/>
        <v>0</v>
      </c>
      <c r="H124" s="101" t="s">
        <v>80</v>
      </c>
    </row>
    <row r="125" spans="1:8" hidden="1">
      <c r="A125" s="101" t="s">
        <v>587</v>
      </c>
      <c r="B125" s="102">
        <v>-1888</v>
      </c>
      <c r="C125" s="102">
        <v>0</v>
      </c>
      <c r="D125" s="102">
        <v>0</v>
      </c>
      <c r="E125" s="102">
        <v>-1888</v>
      </c>
      <c r="G125" s="102">
        <f t="shared" si="1"/>
        <v>-1888</v>
      </c>
      <c r="H125" s="101" t="s">
        <v>80</v>
      </c>
    </row>
    <row r="126" spans="1:8" hidden="1">
      <c r="A126" s="101" t="s">
        <v>1378</v>
      </c>
      <c r="B126" s="102">
        <v>0</v>
      </c>
      <c r="C126" s="102">
        <v>0</v>
      </c>
      <c r="D126" s="102">
        <v>0</v>
      </c>
      <c r="E126" s="102">
        <v>0</v>
      </c>
      <c r="G126" s="102">
        <f t="shared" si="1"/>
        <v>0</v>
      </c>
      <c r="H126" s="101" t="s">
        <v>80</v>
      </c>
    </row>
    <row r="127" spans="1:8" hidden="1">
      <c r="A127" s="101" t="s">
        <v>1073</v>
      </c>
      <c r="B127" s="102">
        <v>0</v>
      </c>
      <c r="C127" s="102">
        <v>0</v>
      </c>
      <c r="D127" s="102">
        <v>0</v>
      </c>
      <c r="E127" s="102">
        <v>0</v>
      </c>
      <c r="G127" s="102">
        <f t="shared" si="1"/>
        <v>0</v>
      </c>
      <c r="H127" s="101" t="s">
        <v>80</v>
      </c>
    </row>
    <row r="128" spans="1:8" hidden="1">
      <c r="A128" s="101" t="s">
        <v>588</v>
      </c>
      <c r="B128" s="102">
        <v>595</v>
      </c>
      <c r="C128" s="102">
        <v>702100</v>
      </c>
      <c r="D128" s="102">
        <v>0</v>
      </c>
      <c r="E128" s="102">
        <v>702695</v>
      </c>
      <c r="G128" s="102">
        <f t="shared" si="1"/>
        <v>702695</v>
      </c>
      <c r="H128" s="101" t="s">
        <v>80</v>
      </c>
    </row>
    <row r="129" spans="1:8" hidden="1">
      <c r="A129" s="101" t="s">
        <v>589</v>
      </c>
      <c r="B129" s="102">
        <v>1851351</v>
      </c>
      <c r="C129" s="102">
        <v>0</v>
      </c>
      <c r="D129" s="102">
        <v>1848150</v>
      </c>
      <c r="E129" s="102">
        <v>3201</v>
      </c>
      <c r="G129" s="102">
        <f t="shared" si="1"/>
        <v>3201</v>
      </c>
      <c r="H129" s="101" t="s">
        <v>80</v>
      </c>
    </row>
    <row r="130" spans="1:8" hidden="1">
      <c r="A130" s="101" t="s">
        <v>113</v>
      </c>
      <c r="B130" s="102">
        <v>-0.71</v>
      </c>
      <c r="C130" s="102">
        <v>0</v>
      </c>
      <c r="D130" s="102">
        <v>0</v>
      </c>
      <c r="E130" s="102">
        <v>-0.71</v>
      </c>
      <c r="G130" s="102">
        <f t="shared" si="1"/>
        <v>-0.71</v>
      </c>
      <c r="H130" s="101" t="s">
        <v>80</v>
      </c>
    </row>
    <row r="131" spans="1:8" hidden="1">
      <c r="A131" s="101" t="s">
        <v>503</v>
      </c>
      <c r="B131" s="102">
        <v>1313148.6599999999</v>
      </c>
      <c r="C131" s="102">
        <v>453042.12</v>
      </c>
      <c r="D131" s="102">
        <v>1766190</v>
      </c>
      <c r="E131" s="102">
        <v>0.78</v>
      </c>
      <c r="G131" s="102">
        <f t="shared" ref="G131:G194" si="2">E131+F131</f>
        <v>0.78</v>
      </c>
      <c r="H131" s="101" t="s">
        <v>80</v>
      </c>
    </row>
    <row r="132" spans="1:8" hidden="1">
      <c r="A132" s="101" t="s">
        <v>447</v>
      </c>
      <c r="B132" s="102">
        <v>0.64</v>
      </c>
      <c r="C132" s="102">
        <v>0</v>
      </c>
      <c r="D132" s="102">
        <v>0</v>
      </c>
      <c r="E132" s="102">
        <v>0.64</v>
      </c>
      <c r="G132" s="102">
        <f t="shared" si="2"/>
        <v>0.64</v>
      </c>
      <c r="H132" s="101" t="s">
        <v>80</v>
      </c>
    </row>
    <row r="133" spans="1:8" hidden="1">
      <c r="A133" s="101" t="s">
        <v>1379</v>
      </c>
      <c r="B133" s="102">
        <v>0</v>
      </c>
      <c r="C133" s="102">
        <v>0</v>
      </c>
      <c r="D133" s="102">
        <v>0</v>
      </c>
      <c r="E133" s="102">
        <v>0</v>
      </c>
      <c r="G133" s="102">
        <f t="shared" si="2"/>
        <v>0</v>
      </c>
      <c r="H133" s="101" t="s">
        <v>80</v>
      </c>
    </row>
    <row r="134" spans="1:8" hidden="1">
      <c r="A134" s="101" t="s">
        <v>1380</v>
      </c>
      <c r="B134" s="102">
        <v>0</v>
      </c>
      <c r="C134" s="102">
        <v>0</v>
      </c>
      <c r="D134" s="102">
        <v>0</v>
      </c>
      <c r="E134" s="102">
        <v>0</v>
      </c>
      <c r="G134" s="102">
        <f t="shared" si="2"/>
        <v>0</v>
      </c>
      <c r="H134" s="101" t="s">
        <v>80</v>
      </c>
    </row>
    <row r="135" spans="1:8" hidden="1">
      <c r="A135" s="101" t="s">
        <v>1088</v>
      </c>
      <c r="B135" s="102">
        <v>0</v>
      </c>
      <c r="C135" s="102">
        <v>0</v>
      </c>
      <c r="D135" s="102">
        <v>0</v>
      </c>
      <c r="E135" s="102">
        <v>0</v>
      </c>
      <c r="G135" s="102">
        <f t="shared" si="2"/>
        <v>0</v>
      </c>
      <c r="H135" s="101" t="s">
        <v>80</v>
      </c>
    </row>
    <row r="136" spans="1:8" hidden="1">
      <c r="A136" s="101" t="s">
        <v>590</v>
      </c>
      <c r="B136" s="102">
        <v>-2411133.14</v>
      </c>
      <c r="C136" s="102">
        <v>0</v>
      </c>
      <c r="D136" s="102">
        <v>0</v>
      </c>
      <c r="E136" s="102">
        <v>-2411133.14</v>
      </c>
      <c r="G136" s="102">
        <f t="shared" si="2"/>
        <v>-2411133.14</v>
      </c>
      <c r="H136" s="101" t="s">
        <v>80</v>
      </c>
    </row>
    <row r="137" spans="1:8" hidden="1">
      <c r="A137" s="101" t="s">
        <v>114</v>
      </c>
      <c r="B137" s="102">
        <v>59634946.859999999</v>
      </c>
      <c r="C137" s="102">
        <v>0</v>
      </c>
      <c r="D137" s="102">
        <v>0</v>
      </c>
      <c r="E137" s="102">
        <v>59634946.859999999</v>
      </c>
      <c r="G137" s="102">
        <f t="shared" si="2"/>
        <v>59634946.859999999</v>
      </c>
      <c r="H137" s="101" t="s">
        <v>80</v>
      </c>
    </row>
    <row r="138" spans="1:8" hidden="1">
      <c r="A138" s="101" t="s">
        <v>115</v>
      </c>
      <c r="B138" s="102">
        <v>-135139036.13</v>
      </c>
      <c r="C138" s="102">
        <v>0</v>
      </c>
      <c r="D138" s="102">
        <v>294195.78000000003</v>
      </c>
      <c r="E138" s="102">
        <v>-135433231.91</v>
      </c>
      <c r="G138" s="102">
        <f t="shared" si="2"/>
        <v>-135433231.91</v>
      </c>
      <c r="H138" s="101" t="s">
        <v>80</v>
      </c>
    </row>
    <row r="139" spans="1:8" hidden="1">
      <c r="A139" s="101" t="s">
        <v>1074</v>
      </c>
      <c r="B139" s="102">
        <v>0</v>
      </c>
      <c r="C139" s="102">
        <v>0</v>
      </c>
      <c r="D139" s="102">
        <v>0</v>
      </c>
      <c r="E139" s="102">
        <v>0</v>
      </c>
      <c r="G139" s="102">
        <f t="shared" si="2"/>
        <v>0</v>
      </c>
      <c r="H139" s="101" t="s">
        <v>80</v>
      </c>
    </row>
    <row r="140" spans="1:8" hidden="1">
      <c r="A140" s="101" t="s">
        <v>1089</v>
      </c>
      <c r="B140" s="102">
        <v>0</v>
      </c>
      <c r="C140" s="102">
        <v>0</v>
      </c>
      <c r="D140" s="102">
        <v>0</v>
      </c>
      <c r="E140" s="102">
        <v>0</v>
      </c>
      <c r="G140" s="102">
        <f t="shared" si="2"/>
        <v>0</v>
      </c>
      <c r="H140" s="101" t="s">
        <v>80</v>
      </c>
    </row>
    <row r="141" spans="1:8" hidden="1">
      <c r="A141" s="101" t="s">
        <v>1381</v>
      </c>
      <c r="B141" s="102">
        <v>0</v>
      </c>
      <c r="C141" s="102">
        <v>0</v>
      </c>
      <c r="D141" s="102">
        <v>0</v>
      </c>
      <c r="E141" s="102">
        <v>0</v>
      </c>
      <c r="G141" s="102">
        <f t="shared" si="2"/>
        <v>0</v>
      </c>
      <c r="H141" s="101" t="s">
        <v>80</v>
      </c>
    </row>
    <row r="142" spans="1:8" hidden="1">
      <c r="A142" s="101" t="s">
        <v>591</v>
      </c>
      <c r="B142" s="102">
        <v>3323083</v>
      </c>
      <c r="C142" s="102">
        <v>0</v>
      </c>
      <c r="D142" s="102">
        <v>0</v>
      </c>
      <c r="E142" s="102">
        <v>3323083</v>
      </c>
      <c r="G142" s="102">
        <f t="shared" si="2"/>
        <v>3323083</v>
      </c>
      <c r="H142" s="101" t="s">
        <v>80</v>
      </c>
    </row>
    <row r="143" spans="1:8" hidden="1">
      <c r="A143" s="101" t="s">
        <v>1382</v>
      </c>
      <c r="B143" s="102">
        <v>0</v>
      </c>
      <c r="C143" s="102">
        <v>0</v>
      </c>
      <c r="D143" s="102">
        <v>0</v>
      </c>
      <c r="E143" s="102">
        <v>0</v>
      </c>
      <c r="G143" s="102">
        <f t="shared" si="2"/>
        <v>0</v>
      </c>
      <c r="H143" s="101" t="s">
        <v>80</v>
      </c>
    </row>
    <row r="144" spans="1:8" hidden="1">
      <c r="A144" s="101" t="s">
        <v>1383</v>
      </c>
      <c r="B144" s="102">
        <v>0</v>
      </c>
      <c r="C144" s="102">
        <v>0</v>
      </c>
      <c r="D144" s="102">
        <v>0</v>
      </c>
      <c r="E144" s="102">
        <v>0</v>
      </c>
      <c r="G144" s="102">
        <f t="shared" si="2"/>
        <v>0</v>
      </c>
      <c r="H144" s="101" t="s">
        <v>80</v>
      </c>
    </row>
    <row r="145" spans="1:8" hidden="1">
      <c r="A145" s="101" t="s">
        <v>1095</v>
      </c>
      <c r="B145" s="102">
        <v>0</v>
      </c>
      <c r="C145" s="102">
        <v>0</v>
      </c>
      <c r="D145" s="102">
        <v>0</v>
      </c>
      <c r="E145" s="102">
        <v>0</v>
      </c>
      <c r="G145" s="102">
        <f t="shared" si="2"/>
        <v>0</v>
      </c>
      <c r="H145" s="101" t="s">
        <v>80</v>
      </c>
    </row>
    <row r="146" spans="1:8" hidden="1">
      <c r="A146" s="101" t="s">
        <v>1384</v>
      </c>
      <c r="B146" s="102">
        <v>0</v>
      </c>
      <c r="C146" s="102">
        <v>0</v>
      </c>
      <c r="D146" s="102">
        <v>0</v>
      </c>
      <c r="E146" s="102">
        <v>0</v>
      </c>
      <c r="G146" s="102">
        <f t="shared" si="2"/>
        <v>0</v>
      </c>
      <c r="H146" s="101" t="s">
        <v>80</v>
      </c>
    </row>
    <row r="147" spans="1:8" hidden="1">
      <c r="A147" s="101" t="s">
        <v>116</v>
      </c>
      <c r="B147" s="102">
        <v>0.09</v>
      </c>
      <c r="C147" s="102">
        <v>0</v>
      </c>
      <c r="D147" s="102">
        <v>0</v>
      </c>
      <c r="E147" s="102">
        <v>0.09</v>
      </c>
      <c r="G147" s="102">
        <f t="shared" si="2"/>
        <v>0.09</v>
      </c>
      <c r="H147" s="101" t="s">
        <v>80</v>
      </c>
    </row>
    <row r="148" spans="1:8" hidden="1">
      <c r="A148" s="101" t="s">
        <v>504</v>
      </c>
      <c r="B148" s="102">
        <v>0</v>
      </c>
      <c r="C148" s="102">
        <v>47200</v>
      </c>
      <c r="D148" s="102">
        <v>47200</v>
      </c>
      <c r="E148" s="102">
        <v>0</v>
      </c>
      <c r="G148" s="102">
        <f t="shared" si="2"/>
        <v>0</v>
      </c>
      <c r="H148" s="101" t="s">
        <v>80</v>
      </c>
    </row>
    <row r="149" spans="1:8" hidden="1">
      <c r="A149" s="101" t="s">
        <v>117</v>
      </c>
      <c r="B149" s="102">
        <v>9045.1299999999992</v>
      </c>
      <c r="C149" s="102">
        <v>0</v>
      </c>
      <c r="D149" s="102">
        <v>0</v>
      </c>
      <c r="E149" s="102">
        <v>9045.1299999999992</v>
      </c>
      <c r="G149" s="102">
        <f t="shared" si="2"/>
        <v>9045.1299999999992</v>
      </c>
      <c r="H149" s="101" t="s">
        <v>80</v>
      </c>
    </row>
    <row r="150" spans="1:8" hidden="1">
      <c r="A150" s="101" t="s">
        <v>1077</v>
      </c>
      <c r="B150" s="102">
        <v>0</v>
      </c>
      <c r="C150" s="102">
        <v>2582010</v>
      </c>
      <c r="D150" s="102">
        <v>0</v>
      </c>
      <c r="E150" s="102">
        <v>2582010</v>
      </c>
      <c r="G150" s="102">
        <f t="shared" si="2"/>
        <v>2582010</v>
      </c>
      <c r="H150" s="101" t="s">
        <v>80</v>
      </c>
    </row>
    <row r="151" spans="1:8" hidden="1">
      <c r="A151" s="101" t="s">
        <v>592</v>
      </c>
      <c r="B151" s="102">
        <v>2052.5</v>
      </c>
      <c r="C151" s="102">
        <v>0</v>
      </c>
      <c r="D151" s="102">
        <v>0</v>
      </c>
      <c r="E151" s="102">
        <v>2052.5</v>
      </c>
      <c r="G151" s="102">
        <f t="shared" si="2"/>
        <v>2052.5</v>
      </c>
      <c r="H151" s="101" t="s">
        <v>80</v>
      </c>
    </row>
    <row r="152" spans="1:8" hidden="1">
      <c r="A152" s="101" t="s">
        <v>1078</v>
      </c>
      <c r="B152" s="102">
        <v>0</v>
      </c>
      <c r="C152" s="102">
        <v>0</v>
      </c>
      <c r="D152" s="102">
        <v>3540000</v>
      </c>
      <c r="E152" s="102">
        <v>-3540000</v>
      </c>
      <c r="G152" s="102">
        <f t="shared" si="2"/>
        <v>-3540000</v>
      </c>
      <c r="H152" s="101" t="s">
        <v>80</v>
      </c>
    </row>
    <row r="153" spans="1:8" hidden="1">
      <c r="A153" s="101" t="s">
        <v>1385</v>
      </c>
      <c r="B153" s="102">
        <v>0</v>
      </c>
      <c r="C153" s="102">
        <v>0</v>
      </c>
      <c r="D153" s="102">
        <v>0</v>
      </c>
      <c r="E153" s="102">
        <v>0</v>
      </c>
      <c r="G153" s="102">
        <f t="shared" si="2"/>
        <v>0</v>
      </c>
      <c r="H153" s="101" t="s">
        <v>80</v>
      </c>
    </row>
    <row r="154" spans="1:8" hidden="1">
      <c r="A154" s="101" t="s">
        <v>593</v>
      </c>
      <c r="B154" s="102">
        <v>1698.8</v>
      </c>
      <c r="C154" s="102">
        <v>0</v>
      </c>
      <c r="D154" s="102">
        <v>1698.8</v>
      </c>
      <c r="E154" s="102">
        <v>0</v>
      </c>
      <c r="G154" s="102">
        <f t="shared" si="2"/>
        <v>0</v>
      </c>
      <c r="H154" s="101" t="s">
        <v>80</v>
      </c>
    </row>
    <row r="155" spans="1:8" hidden="1">
      <c r="A155" s="101" t="s">
        <v>1386</v>
      </c>
      <c r="B155" s="102">
        <v>0</v>
      </c>
      <c r="C155" s="102">
        <v>0</v>
      </c>
      <c r="D155" s="102">
        <v>0</v>
      </c>
      <c r="E155" s="102">
        <v>0</v>
      </c>
      <c r="G155" s="102">
        <f t="shared" si="2"/>
        <v>0</v>
      </c>
      <c r="H155" s="101" t="s">
        <v>80</v>
      </c>
    </row>
    <row r="156" spans="1:8" hidden="1">
      <c r="A156" s="101" t="s">
        <v>1096</v>
      </c>
      <c r="B156" s="102">
        <v>0</v>
      </c>
      <c r="C156" s="102">
        <v>0</v>
      </c>
      <c r="D156" s="102">
        <v>0</v>
      </c>
      <c r="E156" s="102">
        <v>0</v>
      </c>
      <c r="G156" s="102">
        <f t="shared" si="2"/>
        <v>0</v>
      </c>
      <c r="H156" s="101" t="s">
        <v>80</v>
      </c>
    </row>
    <row r="157" spans="1:8" hidden="1">
      <c r="A157" s="101" t="s">
        <v>1097</v>
      </c>
      <c r="B157" s="102">
        <v>0</v>
      </c>
      <c r="C157" s="102">
        <v>0</v>
      </c>
      <c r="D157" s="102">
        <v>0</v>
      </c>
      <c r="E157" s="102">
        <v>0</v>
      </c>
      <c r="G157" s="102">
        <f t="shared" si="2"/>
        <v>0</v>
      </c>
      <c r="H157" s="101" t="s">
        <v>80</v>
      </c>
    </row>
    <row r="158" spans="1:8" hidden="1">
      <c r="A158" s="101" t="s">
        <v>594</v>
      </c>
      <c r="B158" s="102">
        <v>538.08000000000004</v>
      </c>
      <c r="C158" s="102">
        <v>0</v>
      </c>
      <c r="D158" s="102">
        <v>0</v>
      </c>
      <c r="E158" s="102">
        <v>538.08000000000004</v>
      </c>
      <c r="G158" s="102">
        <f t="shared" si="2"/>
        <v>538.08000000000004</v>
      </c>
      <c r="H158" s="101" t="s">
        <v>80</v>
      </c>
    </row>
    <row r="159" spans="1:8" hidden="1">
      <c r="A159" s="101" t="s">
        <v>1521</v>
      </c>
      <c r="B159" s="102">
        <v>0</v>
      </c>
      <c r="C159" s="102">
        <v>0</v>
      </c>
      <c r="D159" s="102">
        <v>0</v>
      </c>
      <c r="E159" s="102">
        <v>0</v>
      </c>
      <c r="G159" s="102">
        <f t="shared" si="2"/>
        <v>0</v>
      </c>
      <c r="H159" s="101" t="s">
        <v>80</v>
      </c>
    </row>
    <row r="160" spans="1:8" hidden="1">
      <c r="A160" s="101" t="s">
        <v>595</v>
      </c>
      <c r="B160" s="102">
        <v>54870</v>
      </c>
      <c r="C160" s="102">
        <v>0</v>
      </c>
      <c r="D160" s="102">
        <v>54870</v>
      </c>
      <c r="E160" s="102">
        <v>0</v>
      </c>
      <c r="G160" s="102">
        <f t="shared" si="2"/>
        <v>0</v>
      </c>
      <c r="H160" s="101" t="s">
        <v>80</v>
      </c>
    </row>
    <row r="161" spans="1:8" hidden="1">
      <c r="A161" s="101" t="s">
        <v>596</v>
      </c>
      <c r="B161" s="102">
        <v>0</v>
      </c>
      <c r="C161" s="102">
        <v>41713</v>
      </c>
      <c r="D161" s="102">
        <v>41713</v>
      </c>
      <c r="E161" s="102">
        <v>0</v>
      </c>
      <c r="G161" s="102">
        <f t="shared" si="2"/>
        <v>0</v>
      </c>
      <c r="H161" s="101" t="s">
        <v>80</v>
      </c>
    </row>
    <row r="162" spans="1:8" hidden="1">
      <c r="A162" s="101" t="s">
        <v>1082</v>
      </c>
      <c r="B162" s="102">
        <v>0</v>
      </c>
      <c r="C162" s="102">
        <v>0</v>
      </c>
      <c r="D162" s="102">
        <v>0</v>
      </c>
      <c r="E162" s="102">
        <v>0</v>
      </c>
      <c r="G162" s="102">
        <f t="shared" si="2"/>
        <v>0</v>
      </c>
      <c r="H162" s="101" t="s">
        <v>80</v>
      </c>
    </row>
    <row r="163" spans="1:8" hidden="1">
      <c r="A163" s="101" t="s">
        <v>1083</v>
      </c>
      <c r="B163" s="102">
        <v>0</v>
      </c>
      <c r="C163" s="102">
        <v>0</v>
      </c>
      <c r="D163" s="102">
        <v>0</v>
      </c>
      <c r="E163" s="102">
        <v>0</v>
      </c>
      <c r="G163" s="102">
        <f t="shared" si="2"/>
        <v>0</v>
      </c>
      <c r="H163" s="101" t="s">
        <v>80</v>
      </c>
    </row>
    <row r="164" spans="1:8" hidden="1">
      <c r="A164" s="101" t="s">
        <v>597</v>
      </c>
      <c r="B164" s="102">
        <v>419071.58</v>
      </c>
      <c r="C164" s="102">
        <v>0</v>
      </c>
      <c r="D164" s="102">
        <v>419071</v>
      </c>
      <c r="E164" s="102">
        <v>0.57999999999999996</v>
      </c>
      <c r="G164" s="102">
        <f t="shared" si="2"/>
        <v>0.57999999999999996</v>
      </c>
      <c r="H164" s="101" t="s">
        <v>80</v>
      </c>
    </row>
    <row r="165" spans="1:8" hidden="1">
      <c r="A165" s="101" t="s">
        <v>1098</v>
      </c>
      <c r="B165" s="102">
        <v>0</v>
      </c>
      <c r="C165" s="102">
        <v>0</v>
      </c>
      <c r="D165" s="102">
        <v>0</v>
      </c>
      <c r="E165" s="102">
        <v>0</v>
      </c>
      <c r="G165" s="102">
        <f t="shared" si="2"/>
        <v>0</v>
      </c>
      <c r="H165" s="101" t="s">
        <v>80</v>
      </c>
    </row>
    <row r="166" spans="1:8" hidden="1">
      <c r="A166" s="101" t="s">
        <v>598</v>
      </c>
      <c r="B166" s="102">
        <v>-0.2</v>
      </c>
      <c r="C166" s="102">
        <v>0</v>
      </c>
      <c r="D166" s="102">
        <v>0</v>
      </c>
      <c r="E166" s="102">
        <v>-0.2</v>
      </c>
      <c r="G166" s="102">
        <f t="shared" si="2"/>
        <v>-0.2</v>
      </c>
      <c r="H166" s="101" t="s">
        <v>80</v>
      </c>
    </row>
    <row r="167" spans="1:8" hidden="1">
      <c r="A167" s="101" t="s">
        <v>123</v>
      </c>
      <c r="B167" s="102">
        <v>901287.81</v>
      </c>
      <c r="C167" s="102">
        <v>384450</v>
      </c>
      <c r="D167" s="102">
        <v>0</v>
      </c>
      <c r="E167" s="102">
        <v>1285737.81</v>
      </c>
      <c r="G167" s="102">
        <f t="shared" si="2"/>
        <v>1285737.81</v>
      </c>
      <c r="H167" s="101" t="s">
        <v>80</v>
      </c>
    </row>
    <row r="168" spans="1:8" hidden="1">
      <c r="A168" s="101" t="s">
        <v>1387</v>
      </c>
      <c r="B168" s="102">
        <v>0</v>
      </c>
      <c r="C168" s="102">
        <v>0</v>
      </c>
      <c r="D168" s="102">
        <v>0</v>
      </c>
      <c r="E168" s="102">
        <v>0</v>
      </c>
      <c r="G168" s="102">
        <f t="shared" si="2"/>
        <v>0</v>
      </c>
      <c r="H168" s="101" t="s">
        <v>80</v>
      </c>
    </row>
    <row r="169" spans="1:8" hidden="1">
      <c r="A169" s="101" t="s">
        <v>1388</v>
      </c>
      <c r="B169" s="102">
        <v>0</v>
      </c>
      <c r="C169" s="102">
        <v>0</v>
      </c>
      <c r="D169" s="102">
        <v>0</v>
      </c>
      <c r="E169" s="102">
        <v>0</v>
      </c>
      <c r="G169" s="102">
        <f t="shared" si="2"/>
        <v>0</v>
      </c>
      <c r="H169" s="101" t="s">
        <v>80</v>
      </c>
    </row>
    <row r="170" spans="1:8" hidden="1">
      <c r="A170" s="101" t="s">
        <v>1389</v>
      </c>
      <c r="B170" s="102">
        <v>0</v>
      </c>
      <c r="C170" s="102">
        <v>0</v>
      </c>
      <c r="D170" s="102">
        <v>0</v>
      </c>
      <c r="E170" s="102">
        <v>0</v>
      </c>
      <c r="G170" s="102">
        <f t="shared" si="2"/>
        <v>0</v>
      </c>
      <c r="H170" s="101" t="s">
        <v>80</v>
      </c>
    </row>
    <row r="171" spans="1:8" hidden="1">
      <c r="A171" s="101" t="s">
        <v>599</v>
      </c>
      <c r="B171" s="102">
        <v>59633.75</v>
      </c>
      <c r="C171" s="102">
        <v>0</v>
      </c>
      <c r="D171" s="102">
        <v>0</v>
      </c>
      <c r="E171" s="102">
        <v>59633.75</v>
      </c>
      <c r="G171" s="102">
        <f t="shared" si="2"/>
        <v>59633.75</v>
      </c>
      <c r="H171" s="101" t="s">
        <v>80</v>
      </c>
    </row>
    <row r="172" spans="1:8" hidden="1">
      <c r="A172" s="101" t="s">
        <v>600</v>
      </c>
      <c r="B172" s="102">
        <v>675</v>
      </c>
      <c r="C172" s="102">
        <v>0</v>
      </c>
      <c r="D172" s="102">
        <v>0</v>
      </c>
      <c r="E172" s="102">
        <v>675</v>
      </c>
      <c r="G172" s="102">
        <f t="shared" si="2"/>
        <v>675</v>
      </c>
      <c r="H172" s="101" t="s">
        <v>80</v>
      </c>
    </row>
    <row r="173" spans="1:8" hidden="1">
      <c r="A173" s="101" t="s">
        <v>601</v>
      </c>
      <c r="B173" s="102">
        <v>4692.88</v>
      </c>
      <c r="C173" s="102">
        <v>0</v>
      </c>
      <c r="D173" s="102">
        <v>0</v>
      </c>
      <c r="E173" s="102">
        <v>4692.88</v>
      </c>
      <c r="G173" s="102">
        <f t="shared" si="2"/>
        <v>4692.88</v>
      </c>
      <c r="H173" s="101" t="s">
        <v>80</v>
      </c>
    </row>
    <row r="174" spans="1:8" hidden="1">
      <c r="A174" s="101" t="s">
        <v>415</v>
      </c>
      <c r="B174" s="102">
        <v>1789930</v>
      </c>
      <c r="C174" s="102">
        <v>0</v>
      </c>
      <c r="D174" s="102">
        <v>1000000</v>
      </c>
      <c r="E174" s="102">
        <v>789930</v>
      </c>
      <c r="G174" s="102">
        <f t="shared" si="2"/>
        <v>789930</v>
      </c>
      <c r="H174" s="101" t="s">
        <v>80</v>
      </c>
    </row>
    <row r="175" spans="1:8" hidden="1">
      <c r="A175" s="101" t="s">
        <v>1132</v>
      </c>
      <c r="B175" s="102">
        <v>0</v>
      </c>
      <c r="C175" s="102">
        <v>0</v>
      </c>
      <c r="D175" s="102">
        <v>0</v>
      </c>
      <c r="E175" s="102">
        <v>0</v>
      </c>
      <c r="G175" s="102">
        <f t="shared" si="2"/>
        <v>0</v>
      </c>
      <c r="H175" s="101" t="s">
        <v>80</v>
      </c>
    </row>
    <row r="176" spans="1:8" hidden="1">
      <c r="A176" s="101" t="s">
        <v>126</v>
      </c>
      <c r="B176" s="102">
        <v>-267736696.16</v>
      </c>
      <c r="C176" s="102">
        <v>385258696.47000003</v>
      </c>
      <c r="D176" s="102">
        <v>241867386.06</v>
      </c>
      <c r="E176" s="102">
        <v>-124345385.75</v>
      </c>
      <c r="G176" s="102">
        <f t="shared" si="2"/>
        <v>-124345385.75</v>
      </c>
      <c r="H176" s="101" t="s">
        <v>80</v>
      </c>
    </row>
    <row r="177" spans="1:8" hidden="1">
      <c r="A177" s="101" t="s">
        <v>602</v>
      </c>
      <c r="B177" s="102">
        <v>1168786097.95</v>
      </c>
      <c r="C177" s="102">
        <v>35918557</v>
      </c>
      <c r="D177" s="102">
        <v>7700</v>
      </c>
      <c r="E177" s="102">
        <v>1204696954.95</v>
      </c>
      <c r="G177" s="102">
        <f t="shared" si="2"/>
        <v>1204696954.95</v>
      </c>
      <c r="H177" s="101" t="s">
        <v>80</v>
      </c>
    </row>
    <row r="178" spans="1:8" hidden="1">
      <c r="A178" s="101" t="s">
        <v>127</v>
      </c>
      <c r="B178" s="102">
        <v>438946147.27999997</v>
      </c>
      <c r="C178" s="102">
        <v>0</v>
      </c>
      <c r="D178" s="102">
        <v>0</v>
      </c>
      <c r="E178" s="102">
        <v>438946147.27999997</v>
      </c>
      <c r="G178" s="102">
        <f t="shared" si="2"/>
        <v>438946147.27999997</v>
      </c>
      <c r="H178" s="101" t="s">
        <v>80</v>
      </c>
    </row>
    <row r="179" spans="1:8" hidden="1">
      <c r="A179" s="101" t="s">
        <v>128</v>
      </c>
      <c r="B179" s="102">
        <v>14316309.33</v>
      </c>
      <c r="C179" s="102">
        <v>41741795.07</v>
      </c>
      <c r="D179" s="102">
        <v>4500000</v>
      </c>
      <c r="E179" s="102">
        <v>51558104.399999999</v>
      </c>
      <c r="G179" s="102">
        <f t="shared" si="2"/>
        <v>51558104.399999999</v>
      </c>
      <c r="H179" s="101" t="s">
        <v>80</v>
      </c>
    </row>
    <row r="180" spans="1:8" hidden="1">
      <c r="A180" s="101" t="s">
        <v>1090</v>
      </c>
      <c r="B180" s="102">
        <v>0</v>
      </c>
      <c r="C180" s="102">
        <v>0</v>
      </c>
      <c r="D180" s="102">
        <v>0</v>
      </c>
      <c r="E180" s="102">
        <v>0</v>
      </c>
      <c r="G180" s="102">
        <f t="shared" si="2"/>
        <v>0</v>
      </c>
      <c r="H180" s="101" t="s">
        <v>80</v>
      </c>
    </row>
    <row r="181" spans="1:8" hidden="1">
      <c r="A181" s="101" t="s">
        <v>1091</v>
      </c>
      <c r="B181" s="102">
        <v>0</v>
      </c>
      <c r="C181" s="102">
        <v>0</v>
      </c>
      <c r="D181" s="102">
        <v>0</v>
      </c>
      <c r="E181" s="102">
        <v>0</v>
      </c>
      <c r="G181" s="102">
        <f t="shared" si="2"/>
        <v>0</v>
      </c>
      <c r="H181" s="101" t="s">
        <v>80</v>
      </c>
    </row>
    <row r="182" spans="1:8" hidden="1">
      <c r="A182" s="101" t="s">
        <v>1390</v>
      </c>
      <c r="B182" s="102">
        <v>0</v>
      </c>
      <c r="C182" s="102">
        <v>0</v>
      </c>
      <c r="D182" s="102">
        <v>0</v>
      </c>
      <c r="E182" s="102">
        <v>0</v>
      </c>
      <c r="G182" s="102">
        <f t="shared" si="2"/>
        <v>0</v>
      </c>
      <c r="H182" s="101" t="s">
        <v>80</v>
      </c>
    </row>
    <row r="183" spans="1:8" hidden="1">
      <c r="A183" s="101" t="s">
        <v>416</v>
      </c>
      <c r="B183" s="102">
        <v>-10432411.42</v>
      </c>
      <c r="C183" s="102">
        <v>9636358.9199999999</v>
      </c>
      <c r="D183" s="102">
        <v>0</v>
      </c>
      <c r="E183" s="102">
        <v>-796052.5</v>
      </c>
      <c r="G183" s="102">
        <f t="shared" si="2"/>
        <v>-796052.5</v>
      </c>
      <c r="H183" s="101" t="s">
        <v>80</v>
      </c>
    </row>
    <row r="184" spans="1:8" hidden="1">
      <c r="A184" s="101" t="s">
        <v>603</v>
      </c>
      <c r="B184" s="102">
        <v>3042335.14</v>
      </c>
      <c r="C184" s="102">
        <v>6670654.25</v>
      </c>
      <c r="D184" s="102">
        <v>5062740.37</v>
      </c>
      <c r="E184" s="102">
        <v>4650249.0199999996</v>
      </c>
      <c r="G184" s="102">
        <f t="shared" si="2"/>
        <v>4650249.0199999996</v>
      </c>
      <c r="H184" s="101" t="s">
        <v>80</v>
      </c>
    </row>
    <row r="185" spans="1:8" hidden="1">
      <c r="A185" s="101" t="s">
        <v>1391</v>
      </c>
      <c r="B185" s="102">
        <v>0</v>
      </c>
      <c r="C185" s="102">
        <v>0</v>
      </c>
      <c r="D185" s="102">
        <v>0</v>
      </c>
      <c r="E185" s="102">
        <v>0</v>
      </c>
      <c r="G185" s="102">
        <f t="shared" si="2"/>
        <v>0</v>
      </c>
      <c r="H185" s="101" t="s">
        <v>80</v>
      </c>
    </row>
    <row r="186" spans="1:8" hidden="1">
      <c r="A186" s="101" t="s">
        <v>1392</v>
      </c>
      <c r="B186" s="102">
        <v>0</v>
      </c>
      <c r="C186" s="102">
        <v>0</v>
      </c>
      <c r="D186" s="102">
        <v>0</v>
      </c>
      <c r="E186" s="102">
        <v>0</v>
      </c>
      <c r="G186" s="102">
        <f t="shared" si="2"/>
        <v>0</v>
      </c>
      <c r="H186" s="101" t="s">
        <v>80</v>
      </c>
    </row>
    <row r="187" spans="1:8" hidden="1">
      <c r="A187" s="101" t="s">
        <v>604</v>
      </c>
      <c r="B187" s="102">
        <v>4085294.79</v>
      </c>
      <c r="C187" s="102">
        <v>2698377.3</v>
      </c>
      <c r="D187" s="102">
        <v>4090425</v>
      </c>
      <c r="E187" s="102">
        <v>2693247.09</v>
      </c>
      <c r="G187" s="102">
        <f t="shared" si="2"/>
        <v>2693247.09</v>
      </c>
      <c r="H187" s="101" t="s">
        <v>80</v>
      </c>
    </row>
    <row r="188" spans="1:8" hidden="1">
      <c r="A188" s="101" t="s">
        <v>1093</v>
      </c>
      <c r="B188" s="102">
        <v>0</v>
      </c>
      <c r="C188" s="102">
        <v>0</v>
      </c>
      <c r="D188" s="102">
        <v>0</v>
      </c>
      <c r="E188" s="102">
        <v>0</v>
      </c>
      <c r="G188" s="102">
        <f t="shared" si="2"/>
        <v>0</v>
      </c>
      <c r="H188" s="101" t="s">
        <v>80</v>
      </c>
    </row>
    <row r="189" spans="1:8" hidden="1">
      <c r="A189" s="101" t="s">
        <v>1094</v>
      </c>
      <c r="B189" s="102">
        <v>0</v>
      </c>
      <c r="C189" s="102">
        <v>0</v>
      </c>
      <c r="D189" s="102">
        <v>0</v>
      </c>
      <c r="E189" s="102">
        <v>0</v>
      </c>
      <c r="G189" s="102">
        <f t="shared" si="2"/>
        <v>0</v>
      </c>
      <c r="H189" s="101" t="s">
        <v>80</v>
      </c>
    </row>
    <row r="190" spans="1:8" hidden="1">
      <c r="A190" s="101" t="s">
        <v>136</v>
      </c>
      <c r="B190" s="102">
        <v>0.93</v>
      </c>
      <c r="C190" s="102">
        <v>0</v>
      </c>
      <c r="D190" s="102">
        <v>0</v>
      </c>
      <c r="E190" s="102">
        <v>0.93</v>
      </c>
      <c r="G190" s="102">
        <f t="shared" si="2"/>
        <v>0.93</v>
      </c>
      <c r="H190" s="101" t="s">
        <v>80</v>
      </c>
    </row>
    <row r="191" spans="1:8" hidden="1">
      <c r="A191" s="101" t="s">
        <v>1121</v>
      </c>
      <c r="B191" s="102">
        <v>0</v>
      </c>
      <c r="C191" s="102">
        <v>0</v>
      </c>
      <c r="D191" s="102">
        <v>0</v>
      </c>
      <c r="E191" s="102">
        <v>0</v>
      </c>
      <c r="G191" s="102">
        <f t="shared" si="2"/>
        <v>0</v>
      </c>
      <c r="H191" s="101" t="s">
        <v>80</v>
      </c>
    </row>
    <row r="192" spans="1:8" hidden="1">
      <c r="A192" s="101" t="s">
        <v>1393</v>
      </c>
      <c r="B192" s="102">
        <v>0</v>
      </c>
      <c r="C192" s="102">
        <v>0</v>
      </c>
      <c r="D192" s="102">
        <v>0</v>
      </c>
      <c r="E192" s="102">
        <v>0</v>
      </c>
      <c r="G192" s="102">
        <f t="shared" si="2"/>
        <v>0</v>
      </c>
      <c r="H192" s="101" t="s">
        <v>80</v>
      </c>
    </row>
    <row r="193" spans="1:8" hidden="1">
      <c r="A193" s="101" t="s">
        <v>1122</v>
      </c>
      <c r="B193" s="102">
        <v>0</v>
      </c>
      <c r="C193" s="102">
        <v>0</v>
      </c>
      <c r="D193" s="102">
        <v>0</v>
      </c>
      <c r="E193" s="102">
        <v>0</v>
      </c>
      <c r="G193" s="102">
        <f t="shared" si="2"/>
        <v>0</v>
      </c>
      <c r="H193" s="101" t="s">
        <v>80</v>
      </c>
    </row>
    <row r="194" spans="1:8" hidden="1">
      <c r="A194" s="101" t="s">
        <v>1123</v>
      </c>
      <c r="B194" s="102">
        <v>0</v>
      </c>
      <c r="C194" s="102">
        <v>0</v>
      </c>
      <c r="D194" s="102">
        <v>0</v>
      </c>
      <c r="E194" s="102">
        <v>0</v>
      </c>
      <c r="G194" s="102">
        <f t="shared" si="2"/>
        <v>0</v>
      </c>
      <c r="H194" s="101" t="s">
        <v>80</v>
      </c>
    </row>
    <row r="195" spans="1:8" hidden="1">
      <c r="A195" s="101" t="s">
        <v>1124</v>
      </c>
      <c r="B195" s="102">
        <v>0</v>
      </c>
      <c r="C195" s="102">
        <v>0</v>
      </c>
      <c r="D195" s="102">
        <v>0</v>
      </c>
      <c r="E195" s="102">
        <v>0</v>
      </c>
      <c r="G195" s="102">
        <f t="shared" ref="G195:G258" si="3">E195+F195</f>
        <v>0</v>
      </c>
      <c r="H195" s="101" t="s">
        <v>80</v>
      </c>
    </row>
    <row r="196" spans="1:8" hidden="1">
      <c r="A196" s="101" t="s">
        <v>1125</v>
      </c>
      <c r="B196" s="102">
        <v>0</v>
      </c>
      <c r="C196" s="102">
        <v>0</v>
      </c>
      <c r="D196" s="102">
        <v>0</v>
      </c>
      <c r="E196" s="102">
        <v>0</v>
      </c>
      <c r="G196" s="102">
        <f t="shared" si="3"/>
        <v>0</v>
      </c>
      <c r="H196" s="101" t="s">
        <v>80</v>
      </c>
    </row>
    <row r="197" spans="1:8" hidden="1">
      <c r="A197" s="101" t="s">
        <v>1394</v>
      </c>
      <c r="B197" s="102">
        <v>0</v>
      </c>
      <c r="C197" s="102">
        <v>0</v>
      </c>
      <c r="D197" s="102">
        <v>0</v>
      </c>
      <c r="E197" s="102">
        <v>0</v>
      </c>
      <c r="G197" s="102">
        <f t="shared" si="3"/>
        <v>0</v>
      </c>
      <c r="H197" s="101" t="s">
        <v>80</v>
      </c>
    </row>
    <row r="198" spans="1:8" hidden="1">
      <c r="A198" s="101" t="s">
        <v>605</v>
      </c>
      <c r="B198" s="102">
        <v>0</v>
      </c>
      <c r="C198" s="102">
        <v>795320</v>
      </c>
      <c r="D198" s="102">
        <v>795320</v>
      </c>
      <c r="E198" s="102">
        <v>0</v>
      </c>
      <c r="G198" s="102">
        <f t="shared" si="3"/>
        <v>0</v>
      </c>
      <c r="H198" s="101" t="s">
        <v>80</v>
      </c>
    </row>
    <row r="199" spans="1:8" hidden="1">
      <c r="A199" s="101" t="s">
        <v>1126</v>
      </c>
      <c r="B199" s="102">
        <v>0</v>
      </c>
      <c r="C199" s="102">
        <v>0</v>
      </c>
      <c r="D199" s="102">
        <v>0</v>
      </c>
      <c r="E199" s="102">
        <v>0</v>
      </c>
      <c r="G199" s="102">
        <f t="shared" si="3"/>
        <v>0</v>
      </c>
      <c r="H199" s="101" t="s">
        <v>80</v>
      </c>
    </row>
    <row r="200" spans="1:8" hidden="1">
      <c r="A200" s="101" t="s">
        <v>1395</v>
      </c>
      <c r="B200" s="102">
        <v>0</v>
      </c>
      <c r="C200" s="102">
        <v>0</v>
      </c>
      <c r="D200" s="102">
        <v>0</v>
      </c>
      <c r="E200" s="102">
        <v>0</v>
      </c>
      <c r="G200" s="102">
        <f t="shared" si="3"/>
        <v>0</v>
      </c>
      <c r="H200" s="101" t="s">
        <v>80</v>
      </c>
    </row>
    <row r="201" spans="1:8" hidden="1">
      <c r="A201" s="101" t="s">
        <v>1396</v>
      </c>
      <c r="B201" s="102">
        <v>0</v>
      </c>
      <c r="C201" s="102">
        <v>0</v>
      </c>
      <c r="D201" s="102">
        <v>0</v>
      </c>
      <c r="E201" s="102">
        <v>0</v>
      </c>
      <c r="G201" s="102">
        <f t="shared" si="3"/>
        <v>0</v>
      </c>
      <c r="H201" s="101" t="s">
        <v>80</v>
      </c>
    </row>
    <row r="202" spans="1:8" hidden="1">
      <c r="A202" s="101" t="s">
        <v>1397</v>
      </c>
      <c r="B202" s="102">
        <v>0</v>
      </c>
      <c r="C202" s="102">
        <v>0</v>
      </c>
      <c r="D202" s="102">
        <v>0</v>
      </c>
      <c r="E202" s="102">
        <v>0</v>
      </c>
      <c r="G202" s="102">
        <f t="shared" si="3"/>
        <v>0</v>
      </c>
      <c r="H202" s="101" t="s">
        <v>80</v>
      </c>
    </row>
    <row r="203" spans="1:8" hidden="1">
      <c r="A203" s="101" t="s">
        <v>1398</v>
      </c>
      <c r="B203" s="102">
        <v>0</v>
      </c>
      <c r="C203" s="102">
        <v>0</v>
      </c>
      <c r="D203" s="102">
        <v>0</v>
      </c>
      <c r="E203" s="102">
        <v>0</v>
      </c>
      <c r="G203" s="102">
        <f t="shared" si="3"/>
        <v>0</v>
      </c>
      <c r="H203" s="101" t="s">
        <v>80</v>
      </c>
    </row>
    <row r="204" spans="1:8" hidden="1">
      <c r="A204" s="101" t="s">
        <v>1127</v>
      </c>
      <c r="B204" s="102">
        <v>0</v>
      </c>
      <c r="C204" s="102">
        <v>0</v>
      </c>
      <c r="D204" s="102">
        <v>0</v>
      </c>
      <c r="E204" s="102">
        <v>0</v>
      </c>
      <c r="G204" s="102">
        <f t="shared" si="3"/>
        <v>0</v>
      </c>
      <c r="H204" s="101" t="s">
        <v>80</v>
      </c>
    </row>
    <row r="205" spans="1:8" hidden="1">
      <c r="A205" s="101" t="s">
        <v>1128</v>
      </c>
      <c r="B205" s="102">
        <v>0</v>
      </c>
      <c r="C205" s="102">
        <v>0</v>
      </c>
      <c r="D205" s="102">
        <v>0</v>
      </c>
      <c r="E205" s="102">
        <v>0</v>
      </c>
      <c r="G205" s="102">
        <f t="shared" si="3"/>
        <v>0</v>
      </c>
      <c r="H205" s="101" t="s">
        <v>80</v>
      </c>
    </row>
    <row r="206" spans="1:8" hidden="1">
      <c r="A206" s="101" t="s">
        <v>1399</v>
      </c>
      <c r="B206" s="102">
        <v>0</v>
      </c>
      <c r="C206" s="102">
        <v>0</v>
      </c>
      <c r="D206" s="102">
        <v>0</v>
      </c>
      <c r="E206" s="102">
        <v>0</v>
      </c>
      <c r="G206" s="102">
        <f t="shared" si="3"/>
        <v>0</v>
      </c>
      <c r="H206" s="101" t="s">
        <v>80</v>
      </c>
    </row>
    <row r="207" spans="1:8" hidden="1">
      <c r="A207" s="101" t="s">
        <v>606</v>
      </c>
      <c r="B207" s="102">
        <v>-1037.4000000000001</v>
      </c>
      <c r="C207" s="102">
        <v>0</v>
      </c>
      <c r="D207" s="102">
        <v>0</v>
      </c>
      <c r="E207" s="102">
        <v>-1037.4000000000001</v>
      </c>
      <c r="G207" s="102">
        <f t="shared" si="3"/>
        <v>-1037.4000000000001</v>
      </c>
      <c r="H207" s="101" t="s">
        <v>80</v>
      </c>
    </row>
    <row r="208" spans="1:8" hidden="1">
      <c r="A208" s="101" t="s">
        <v>383</v>
      </c>
      <c r="B208" s="102">
        <v>325669.58</v>
      </c>
      <c r="C208" s="102">
        <v>0</v>
      </c>
      <c r="D208" s="102">
        <v>0</v>
      </c>
      <c r="E208" s="102">
        <v>325669.58</v>
      </c>
      <c r="G208" s="102">
        <f t="shared" si="3"/>
        <v>325669.58</v>
      </c>
      <c r="H208" s="101" t="s">
        <v>80</v>
      </c>
    </row>
    <row r="209" spans="1:8" hidden="1">
      <c r="A209" s="101" t="s">
        <v>1101</v>
      </c>
      <c r="B209" s="102">
        <v>0</v>
      </c>
      <c r="C209" s="102">
        <v>0</v>
      </c>
      <c r="D209" s="102">
        <v>0</v>
      </c>
      <c r="E209" s="102">
        <v>0</v>
      </c>
      <c r="G209" s="102">
        <f t="shared" si="3"/>
        <v>0</v>
      </c>
      <c r="H209" s="101" t="s">
        <v>80</v>
      </c>
    </row>
    <row r="210" spans="1:8" hidden="1">
      <c r="A210" s="101" t="s">
        <v>607</v>
      </c>
      <c r="B210" s="102">
        <v>0.06</v>
      </c>
      <c r="C210" s="102">
        <v>0</v>
      </c>
      <c r="D210" s="102">
        <v>0</v>
      </c>
      <c r="E210" s="102">
        <v>0.06</v>
      </c>
      <c r="G210" s="102">
        <f t="shared" si="3"/>
        <v>0.06</v>
      </c>
      <c r="H210" s="101" t="s">
        <v>80</v>
      </c>
    </row>
    <row r="211" spans="1:8" hidden="1">
      <c r="A211" s="101" t="s">
        <v>1401</v>
      </c>
      <c r="B211" s="102">
        <v>0</v>
      </c>
      <c r="C211" s="102">
        <v>0</v>
      </c>
      <c r="D211" s="102">
        <v>0</v>
      </c>
      <c r="E211" s="102">
        <v>0</v>
      </c>
      <c r="G211" s="102">
        <f t="shared" si="3"/>
        <v>0</v>
      </c>
      <c r="H211" s="101" t="s">
        <v>80</v>
      </c>
    </row>
    <row r="212" spans="1:8" hidden="1">
      <c r="A212" s="101" t="s">
        <v>526</v>
      </c>
      <c r="B212" s="102">
        <v>-70355</v>
      </c>
      <c r="C212" s="102">
        <v>0</v>
      </c>
      <c r="D212" s="102">
        <v>0</v>
      </c>
      <c r="E212" s="102">
        <v>-70355</v>
      </c>
      <c r="G212" s="102">
        <f t="shared" si="3"/>
        <v>-70355</v>
      </c>
      <c r="H212" s="101" t="s">
        <v>80</v>
      </c>
    </row>
    <row r="213" spans="1:8" hidden="1">
      <c r="A213" s="101" t="s">
        <v>505</v>
      </c>
      <c r="B213" s="102">
        <v>1363.56</v>
      </c>
      <c r="C213" s="102">
        <v>756412.79</v>
      </c>
      <c r="D213" s="102">
        <v>0</v>
      </c>
      <c r="E213" s="102">
        <v>757776.35</v>
      </c>
      <c r="G213" s="102">
        <f t="shared" si="3"/>
        <v>757776.35</v>
      </c>
      <c r="H213" s="101" t="s">
        <v>80</v>
      </c>
    </row>
    <row r="214" spans="1:8" hidden="1">
      <c r="A214" s="101" t="s">
        <v>1131</v>
      </c>
      <c r="B214" s="102">
        <v>0</v>
      </c>
      <c r="C214" s="102">
        <v>0</v>
      </c>
      <c r="D214" s="102">
        <v>0</v>
      </c>
      <c r="E214" s="102">
        <v>0</v>
      </c>
      <c r="G214" s="102">
        <f t="shared" si="3"/>
        <v>0</v>
      </c>
      <c r="H214" s="101" t="s">
        <v>80</v>
      </c>
    </row>
    <row r="215" spans="1:8" hidden="1">
      <c r="A215" s="101" t="s">
        <v>1104</v>
      </c>
      <c r="B215" s="102">
        <v>0</v>
      </c>
      <c r="C215" s="102">
        <v>0</v>
      </c>
      <c r="D215" s="102">
        <v>0</v>
      </c>
      <c r="E215" s="102">
        <v>0</v>
      </c>
      <c r="G215" s="102">
        <f t="shared" si="3"/>
        <v>0</v>
      </c>
      <c r="H215" s="101" t="s">
        <v>80</v>
      </c>
    </row>
    <row r="216" spans="1:8" hidden="1">
      <c r="A216" s="101" t="s">
        <v>1105</v>
      </c>
      <c r="B216" s="102">
        <v>0</v>
      </c>
      <c r="C216" s="102">
        <v>0</v>
      </c>
      <c r="D216" s="102">
        <v>0</v>
      </c>
      <c r="E216" s="102">
        <v>0</v>
      </c>
      <c r="G216" s="102">
        <f t="shared" si="3"/>
        <v>0</v>
      </c>
      <c r="H216" s="101" t="s">
        <v>80</v>
      </c>
    </row>
    <row r="217" spans="1:8" hidden="1">
      <c r="A217" s="101" t="s">
        <v>608</v>
      </c>
      <c r="B217" s="102">
        <v>1180148.46</v>
      </c>
      <c r="C217" s="102">
        <v>7753610.7300000004</v>
      </c>
      <c r="D217" s="102">
        <v>14458302.689999999</v>
      </c>
      <c r="E217" s="102">
        <v>-5524543.5</v>
      </c>
      <c r="G217" s="102">
        <f t="shared" si="3"/>
        <v>-5524543.5</v>
      </c>
      <c r="H217" s="101" t="s">
        <v>80</v>
      </c>
    </row>
    <row r="218" spans="1:8" hidden="1">
      <c r="A218" s="101" t="s">
        <v>609</v>
      </c>
      <c r="B218" s="102">
        <v>-0.01</v>
      </c>
      <c r="C218" s="102">
        <v>0</v>
      </c>
      <c r="D218" s="102">
        <v>0</v>
      </c>
      <c r="E218" s="102">
        <v>-0.01</v>
      </c>
      <c r="G218" s="102">
        <f t="shared" si="3"/>
        <v>-0.01</v>
      </c>
      <c r="H218" s="101" t="s">
        <v>80</v>
      </c>
    </row>
    <row r="219" spans="1:8" hidden="1">
      <c r="A219" s="101" t="s">
        <v>610</v>
      </c>
      <c r="B219" s="102">
        <v>0.01</v>
      </c>
      <c r="C219" s="102">
        <v>2286937.7999999998</v>
      </c>
      <c r="D219" s="102">
        <v>0</v>
      </c>
      <c r="E219" s="102">
        <v>2286937.81</v>
      </c>
      <c r="G219" s="102">
        <f t="shared" si="3"/>
        <v>2286937.81</v>
      </c>
      <c r="H219" s="101" t="s">
        <v>80</v>
      </c>
    </row>
    <row r="220" spans="1:8" hidden="1">
      <c r="A220" s="101" t="s">
        <v>611</v>
      </c>
      <c r="B220" s="102">
        <v>0.02</v>
      </c>
      <c r="C220" s="102">
        <v>0</v>
      </c>
      <c r="D220" s="102">
        <v>0</v>
      </c>
      <c r="E220" s="102">
        <v>0.02</v>
      </c>
      <c r="G220" s="102">
        <f t="shared" si="3"/>
        <v>0.02</v>
      </c>
      <c r="H220" s="101" t="s">
        <v>80</v>
      </c>
    </row>
    <row r="221" spans="1:8" hidden="1">
      <c r="A221" s="101" t="s">
        <v>612</v>
      </c>
      <c r="B221" s="102">
        <v>1607471.88</v>
      </c>
      <c r="C221" s="102">
        <v>0</v>
      </c>
      <c r="D221" s="102">
        <v>1605902.88</v>
      </c>
      <c r="E221" s="102">
        <v>1569</v>
      </c>
      <c r="G221" s="102">
        <f t="shared" si="3"/>
        <v>1569</v>
      </c>
      <c r="H221" s="101" t="s">
        <v>80</v>
      </c>
    </row>
    <row r="222" spans="1:8" hidden="1">
      <c r="A222" s="101" t="s">
        <v>1106</v>
      </c>
      <c r="B222" s="102">
        <v>0</v>
      </c>
      <c r="C222" s="102">
        <v>0</v>
      </c>
      <c r="D222" s="102">
        <v>0</v>
      </c>
      <c r="E222" s="102">
        <v>0</v>
      </c>
      <c r="G222" s="102">
        <f t="shared" si="3"/>
        <v>0</v>
      </c>
      <c r="H222" s="101" t="s">
        <v>80</v>
      </c>
    </row>
    <row r="223" spans="1:8" hidden="1">
      <c r="A223" s="101" t="s">
        <v>613</v>
      </c>
      <c r="B223" s="102">
        <v>38436340.109999999</v>
      </c>
      <c r="C223" s="102">
        <v>37631940.479999997</v>
      </c>
      <c r="D223" s="102">
        <v>34141376.82</v>
      </c>
      <c r="E223" s="102">
        <v>41926903.770000003</v>
      </c>
      <c r="G223" s="102">
        <f t="shared" si="3"/>
        <v>41926903.770000003</v>
      </c>
      <c r="H223" s="101" t="s">
        <v>80</v>
      </c>
    </row>
    <row r="224" spans="1:8" hidden="1">
      <c r="A224" s="101" t="s">
        <v>1107</v>
      </c>
      <c r="B224" s="102">
        <v>0</v>
      </c>
      <c r="C224" s="102">
        <v>0</v>
      </c>
      <c r="D224" s="102">
        <v>0</v>
      </c>
      <c r="E224" s="102">
        <v>0</v>
      </c>
      <c r="G224" s="102">
        <f t="shared" si="3"/>
        <v>0</v>
      </c>
      <c r="H224" s="101" t="s">
        <v>80</v>
      </c>
    </row>
    <row r="225" spans="1:8" hidden="1">
      <c r="A225" s="101" t="s">
        <v>1108</v>
      </c>
      <c r="B225" s="102">
        <v>0</v>
      </c>
      <c r="C225" s="102">
        <v>0</v>
      </c>
      <c r="D225" s="102">
        <v>0</v>
      </c>
      <c r="E225" s="102">
        <v>0</v>
      </c>
      <c r="G225" s="102">
        <f t="shared" si="3"/>
        <v>0</v>
      </c>
      <c r="H225" s="101" t="s">
        <v>80</v>
      </c>
    </row>
    <row r="226" spans="1:8" hidden="1">
      <c r="A226" s="101" t="s">
        <v>86</v>
      </c>
      <c r="B226" s="102">
        <v>0.02</v>
      </c>
      <c r="C226" s="102">
        <v>0</v>
      </c>
      <c r="D226" s="102">
        <v>0</v>
      </c>
      <c r="E226" s="102">
        <v>0.02</v>
      </c>
      <c r="G226" s="102">
        <f t="shared" si="3"/>
        <v>0.02</v>
      </c>
      <c r="H226" s="101" t="s">
        <v>80</v>
      </c>
    </row>
    <row r="227" spans="1:8" hidden="1">
      <c r="A227" s="101" t="s">
        <v>1109</v>
      </c>
      <c r="B227" s="102">
        <v>0</v>
      </c>
      <c r="C227" s="102">
        <v>0</v>
      </c>
      <c r="D227" s="102">
        <v>0</v>
      </c>
      <c r="E227" s="102">
        <v>0</v>
      </c>
      <c r="G227" s="102">
        <f t="shared" si="3"/>
        <v>0</v>
      </c>
      <c r="H227" s="101" t="s">
        <v>80</v>
      </c>
    </row>
    <row r="228" spans="1:8" hidden="1">
      <c r="A228" s="101" t="s">
        <v>1110</v>
      </c>
      <c r="B228" s="102">
        <v>0</v>
      </c>
      <c r="C228" s="102">
        <v>0</v>
      </c>
      <c r="D228" s="102">
        <v>0</v>
      </c>
      <c r="E228" s="102">
        <v>0</v>
      </c>
      <c r="G228" s="102">
        <f t="shared" si="3"/>
        <v>0</v>
      </c>
      <c r="H228" s="101" t="s">
        <v>80</v>
      </c>
    </row>
    <row r="229" spans="1:8" hidden="1">
      <c r="A229" s="101" t="s">
        <v>1111</v>
      </c>
      <c r="B229" s="102">
        <v>0</v>
      </c>
      <c r="C229" s="102">
        <v>0</v>
      </c>
      <c r="D229" s="102">
        <v>0</v>
      </c>
      <c r="E229" s="102">
        <v>0</v>
      </c>
      <c r="G229" s="102">
        <f t="shared" si="3"/>
        <v>0</v>
      </c>
      <c r="H229" s="101" t="s">
        <v>80</v>
      </c>
    </row>
    <row r="230" spans="1:8" hidden="1">
      <c r="A230" s="101" t="s">
        <v>92</v>
      </c>
      <c r="B230" s="102">
        <v>23898338.870000001</v>
      </c>
      <c r="C230" s="102">
        <v>6763988.7999999998</v>
      </c>
      <c r="D230" s="102">
        <v>17319510.68</v>
      </c>
      <c r="E230" s="102">
        <v>13342816.99</v>
      </c>
      <c r="G230" s="102">
        <f t="shared" si="3"/>
        <v>13342816.99</v>
      </c>
      <c r="H230" s="101" t="s">
        <v>80</v>
      </c>
    </row>
    <row r="231" spans="1:8" hidden="1">
      <c r="A231" s="101" t="s">
        <v>614</v>
      </c>
      <c r="B231" s="102">
        <v>9599129.1400000006</v>
      </c>
      <c r="C231" s="102">
        <v>0</v>
      </c>
      <c r="D231" s="102">
        <v>9375874.7400000002</v>
      </c>
      <c r="E231" s="102">
        <v>223254.39999999999</v>
      </c>
      <c r="G231" s="102">
        <f t="shared" si="3"/>
        <v>223254.39999999999</v>
      </c>
      <c r="H231" s="101" t="s">
        <v>80</v>
      </c>
    </row>
    <row r="232" spans="1:8" hidden="1">
      <c r="A232" s="101" t="s">
        <v>1112</v>
      </c>
      <c r="B232" s="102">
        <v>0</v>
      </c>
      <c r="C232" s="102">
        <v>0</v>
      </c>
      <c r="D232" s="102">
        <v>0</v>
      </c>
      <c r="E232" s="102">
        <v>0</v>
      </c>
      <c r="G232" s="102">
        <f t="shared" si="3"/>
        <v>0</v>
      </c>
      <c r="H232" s="101" t="s">
        <v>80</v>
      </c>
    </row>
    <row r="233" spans="1:8" hidden="1">
      <c r="A233" s="101" t="s">
        <v>615</v>
      </c>
      <c r="B233" s="102">
        <v>3917952.01</v>
      </c>
      <c r="C233" s="102">
        <v>0</v>
      </c>
      <c r="D233" s="102">
        <v>3917952</v>
      </c>
      <c r="E233" s="102">
        <v>0.01</v>
      </c>
      <c r="G233" s="102">
        <f t="shared" si="3"/>
        <v>0.01</v>
      </c>
      <c r="H233" s="101" t="s">
        <v>80</v>
      </c>
    </row>
    <row r="234" spans="1:8" hidden="1">
      <c r="A234" s="101" t="s">
        <v>95</v>
      </c>
      <c r="B234" s="102">
        <v>22116.86</v>
      </c>
      <c r="C234" s="102">
        <v>0</v>
      </c>
      <c r="D234" s="102">
        <v>22116.86</v>
      </c>
      <c r="E234" s="102">
        <v>0</v>
      </c>
      <c r="G234" s="102">
        <f t="shared" si="3"/>
        <v>0</v>
      </c>
      <c r="H234" s="101" t="s">
        <v>80</v>
      </c>
    </row>
    <row r="235" spans="1:8" hidden="1">
      <c r="A235" s="101" t="s">
        <v>616</v>
      </c>
      <c r="B235" s="102">
        <v>25161872</v>
      </c>
      <c r="C235" s="102">
        <v>0</v>
      </c>
      <c r="D235" s="102">
        <v>25161872</v>
      </c>
      <c r="E235" s="102">
        <v>0</v>
      </c>
      <c r="G235" s="102">
        <f t="shared" si="3"/>
        <v>0</v>
      </c>
      <c r="H235" s="101" t="s">
        <v>80</v>
      </c>
    </row>
    <row r="236" spans="1:8" hidden="1">
      <c r="A236" s="101" t="s">
        <v>99</v>
      </c>
      <c r="B236" s="102">
        <v>6511336.79</v>
      </c>
      <c r="C236" s="102">
        <v>32377137.25</v>
      </c>
      <c r="D236" s="102">
        <v>22677356.030000001</v>
      </c>
      <c r="E236" s="102">
        <v>16211118.01</v>
      </c>
      <c r="G236" s="102">
        <f t="shared" si="3"/>
        <v>16211118.01</v>
      </c>
      <c r="H236" s="101" t="s">
        <v>80</v>
      </c>
    </row>
    <row r="237" spans="1:8" hidden="1">
      <c r="A237" s="101" t="s">
        <v>102</v>
      </c>
      <c r="B237" s="102">
        <v>44698801.439999998</v>
      </c>
      <c r="C237" s="102">
        <v>14997339.41</v>
      </c>
      <c r="D237" s="102">
        <v>0</v>
      </c>
      <c r="E237" s="102">
        <v>59696140.850000001</v>
      </c>
      <c r="G237" s="102">
        <f t="shared" si="3"/>
        <v>59696140.850000001</v>
      </c>
      <c r="H237" s="101" t="s">
        <v>80</v>
      </c>
    </row>
    <row r="238" spans="1:8" hidden="1">
      <c r="A238" s="101" t="s">
        <v>617</v>
      </c>
      <c r="B238" s="102">
        <v>3950256.13</v>
      </c>
      <c r="C238" s="102">
        <v>0</v>
      </c>
      <c r="D238" s="102">
        <v>0</v>
      </c>
      <c r="E238" s="102">
        <v>3950256.13</v>
      </c>
      <c r="G238" s="102">
        <f t="shared" si="3"/>
        <v>3950256.13</v>
      </c>
      <c r="H238" s="101" t="s">
        <v>80</v>
      </c>
    </row>
    <row r="239" spans="1:8" hidden="1">
      <c r="A239" s="101" t="s">
        <v>618</v>
      </c>
      <c r="B239" s="102">
        <v>13225854.939999999</v>
      </c>
      <c r="C239" s="102">
        <v>4485059.28</v>
      </c>
      <c r="D239" s="102">
        <v>4485059.28</v>
      </c>
      <c r="E239" s="102">
        <v>13225854.939999999</v>
      </c>
      <c r="G239" s="102">
        <f t="shared" si="3"/>
        <v>13225854.939999999</v>
      </c>
      <c r="H239" s="101" t="s">
        <v>80</v>
      </c>
    </row>
    <row r="240" spans="1:8" hidden="1">
      <c r="A240" s="101" t="s">
        <v>1113</v>
      </c>
      <c r="B240" s="102">
        <v>0</v>
      </c>
      <c r="C240" s="102">
        <v>0</v>
      </c>
      <c r="D240" s="102">
        <v>0</v>
      </c>
      <c r="E240" s="102">
        <v>0</v>
      </c>
      <c r="G240" s="102">
        <f t="shared" si="3"/>
        <v>0</v>
      </c>
      <c r="H240" s="101" t="s">
        <v>80</v>
      </c>
    </row>
    <row r="241" spans="1:8" hidden="1">
      <c r="A241" s="101" t="s">
        <v>1114</v>
      </c>
      <c r="B241" s="102">
        <v>0</v>
      </c>
      <c r="C241" s="102">
        <v>0</v>
      </c>
      <c r="D241" s="102">
        <v>0</v>
      </c>
      <c r="E241" s="102">
        <v>0</v>
      </c>
      <c r="G241" s="102">
        <f t="shared" si="3"/>
        <v>0</v>
      </c>
      <c r="H241" s="101" t="s">
        <v>80</v>
      </c>
    </row>
    <row r="242" spans="1:8" hidden="1">
      <c r="A242" s="101" t="s">
        <v>1115</v>
      </c>
      <c r="B242" s="102">
        <v>0</v>
      </c>
      <c r="C242" s="102">
        <v>0</v>
      </c>
      <c r="D242" s="102">
        <v>0</v>
      </c>
      <c r="E242" s="102">
        <v>0</v>
      </c>
      <c r="G242" s="102">
        <f t="shared" si="3"/>
        <v>0</v>
      </c>
      <c r="H242" s="101" t="s">
        <v>80</v>
      </c>
    </row>
    <row r="243" spans="1:8" hidden="1">
      <c r="A243" s="101" t="s">
        <v>1116</v>
      </c>
      <c r="B243" s="102">
        <v>0</v>
      </c>
      <c r="C243" s="102">
        <v>0</v>
      </c>
      <c r="D243" s="102">
        <v>0</v>
      </c>
      <c r="E243" s="102">
        <v>0</v>
      </c>
      <c r="G243" s="102">
        <f t="shared" si="3"/>
        <v>0</v>
      </c>
      <c r="H243" s="101" t="s">
        <v>80</v>
      </c>
    </row>
    <row r="244" spans="1:8" hidden="1">
      <c r="A244" s="101" t="s">
        <v>1118</v>
      </c>
      <c r="B244" s="102">
        <v>0</v>
      </c>
      <c r="C244" s="102">
        <v>0</v>
      </c>
      <c r="D244" s="102">
        <v>0</v>
      </c>
      <c r="E244" s="102">
        <v>0</v>
      </c>
      <c r="G244" s="102">
        <f t="shared" si="3"/>
        <v>0</v>
      </c>
      <c r="H244" s="101" t="s">
        <v>80</v>
      </c>
    </row>
    <row r="245" spans="1:8" hidden="1">
      <c r="A245" s="101" t="s">
        <v>1119</v>
      </c>
      <c r="B245" s="102">
        <v>0</v>
      </c>
      <c r="C245" s="102">
        <v>0</v>
      </c>
      <c r="D245" s="102">
        <v>0</v>
      </c>
      <c r="E245" s="102">
        <v>0</v>
      </c>
      <c r="G245" s="102">
        <f t="shared" si="3"/>
        <v>0</v>
      </c>
      <c r="H245" s="101" t="s">
        <v>80</v>
      </c>
    </row>
    <row r="246" spans="1:8" hidden="1">
      <c r="A246" s="101" t="s">
        <v>619</v>
      </c>
      <c r="B246" s="102">
        <v>7765335.1699999999</v>
      </c>
      <c r="C246" s="102">
        <v>0</v>
      </c>
      <c r="D246" s="102">
        <v>3484245.6</v>
      </c>
      <c r="E246" s="102">
        <v>4281089.57</v>
      </c>
      <c r="G246" s="102">
        <f t="shared" si="3"/>
        <v>4281089.57</v>
      </c>
      <c r="H246" s="101" t="s">
        <v>80</v>
      </c>
    </row>
    <row r="247" spans="1:8" hidden="1">
      <c r="A247" s="101" t="s">
        <v>1133</v>
      </c>
      <c r="B247" s="102">
        <v>0</v>
      </c>
      <c r="C247" s="102">
        <v>6513091.2000000002</v>
      </c>
      <c r="D247" s="102">
        <v>0</v>
      </c>
      <c r="E247" s="102">
        <v>6513091.2000000002</v>
      </c>
      <c r="G247" s="102">
        <f t="shared" si="3"/>
        <v>6513091.2000000002</v>
      </c>
      <c r="H247" s="101" t="s">
        <v>80</v>
      </c>
    </row>
    <row r="248" spans="1:8" hidden="1">
      <c r="A248" s="101" t="s">
        <v>1134</v>
      </c>
      <c r="B248" s="102">
        <v>0</v>
      </c>
      <c r="C248" s="102">
        <v>0</v>
      </c>
      <c r="D248" s="102">
        <v>0</v>
      </c>
      <c r="E248" s="102">
        <v>0</v>
      </c>
      <c r="G248" s="102">
        <f t="shared" si="3"/>
        <v>0</v>
      </c>
      <c r="H248" s="101" t="s">
        <v>80</v>
      </c>
    </row>
    <row r="249" spans="1:8" hidden="1">
      <c r="A249" s="101" t="s">
        <v>620</v>
      </c>
      <c r="B249" s="102">
        <v>-21173.27</v>
      </c>
      <c r="C249" s="102">
        <v>30105.17</v>
      </c>
      <c r="D249" s="102">
        <v>8931.9</v>
      </c>
      <c r="E249" s="102">
        <v>0</v>
      </c>
      <c r="G249" s="102">
        <f t="shared" si="3"/>
        <v>0</v>
      </c>
      <c r="H249" s="101" t="s">
        <v>80</v>
      </c>
    </row>
    <row r="250" spans="1:8" hidden="1">
      <c r="A250" s="101" t="s">
        <v>121</v>
      </c>
      <c r="B250" s="102">
        <v>62465541.560000002</v>
      </c>
      <c r="C250" s="102">
        <v>11329017.720000001</v>
      </c>
      <c r="D250" s="102">
        <v>0</v>
      </c>
      <c r="E250" s="102">
        <v>73794559.280000001</v>
      </c>
      <c r="G250" s="102">
        <f t="shared" si="3"/>
        <v>73794559.280000001</v>
      </c>
      <c r="H250" s="101" t="s">
        <v>80</v>
      </c>
    </row>
    <row r="251" spans="1:8" hidden="1">
      <c r="A251" s="101" t="s">
        <v>122</v>
      </c>
      <c r="B251" s="102">
        <v>-114518759.02</v>
      </c>
      <c r="C251" s="102">
        <v>60900</v>
      </c>
      <c r="D251" s="102">
        <v>0</v>
      </c>
      <c r="E251" s="102">
        <v>-114457859.02</v>
      </c>
      <c r="G251" s="102">
        <f t="shared" si="3"/>
        <v>-114457859.02</v>
      </c>
      <c r="H251" s="101" t="s">
        <v>80</v>
      </c>
    </row>
    <row r="252" spans="1:8" hidden="1">
      <c r="A252" s="101" t="s">
        <v>124</v>
      </c>
      <c r="B252" s="102">
        <v>23835.5</v>
      </c>
      <c r="C252" s="102">
        <v>0</v>
      </c>
      <c r="D252" s="102">
        <v>0</v>
      </c>
      <c r="E252" s="102">
        <v>23835.5</v>
      </c>
      <c r="G252" s="102">
        <f t="shared" si="3"/>
        <v>23835.5</v>
      </c>
      <c r="H252" s="101" t="s">
        <v>80</v>
      </c>
    </row>
    <row r="253" spans="1:8" hidden="1">
      <c r="A253" s="101" t="s">
        <v>130</v>
      </c>
      <c r="B253" s="102">
        <v>722637.02</v>
      </c>
      <c r="C253" s="102">
        <v>0</v>
      </c>
      <c r="D253" s="102">
        <v>0</v>
      </c>
      <c r="E253" s="102">
        <v>722637.02</v>
      </c>
      <c r="G253" s="102">
        <f t="shared" si="3"/>
        <v>722637.02</v>
      </c>
      <c r="H253" s="101" t="s">
        <v>80</v>
      </c>
    </row>
    <row r="254" spans="1:8" hidden="1">
      <c r="A254" s="101" t="s">
        <v>1135</v>
      </c>
      <c r="B254" s="102">
        <v>0</v>
      </c>
      <c r="C254" s="102">
        <v>0</v>
      </c>
      <c r="D254" s="102">
        <v>0</v>
      </c>
      <c r="E254" s="102">
        <v>0</v>
      </c>
      <c r="G254" s="102">
        <f t="shared" si="3"/>
        <v>0</v>
      </c>
      <c r="H254" s="101" t="s">
        <v>80</v>
      </c>
    </row>
    <row r="255" spans="1:8" hidden="1">
      <c r="A255" s="101" t="s">
        <v>621</v>
      </c>
      <c r="B255" s="102">
        <v>12145757.09</v>
      </c>
      <c r="C255" s="102">
        <v>4181580.9</v>
      </c>
      <c r="D255" s="102">
        <v>12145757.09</v>
      </c>
      <c r="E255" s="102">
        <v>4181580.9</v>
      </c>
      <c r="G255" s="102">
        <f t="shared" si="3"/>
        <v>4181580.9</v>
      </c>
      <c r="H255" s="101" t="s">
        <v>80</v>
      </c>
    </row>
    <row r="256" spans="1:8" hidden="1">
      <c r="A256" s="101" t="s">
        <v>1137</v>
      </c>
      <c r="B256" s="102">
        <v>0</v>
      </c>
      <c r="C256" s="102">
        <v>9537120</v>
      </c>
      <c r="D256" s="102">
        <v>0</v>
      </c>
      <c r="E256" s="102">
        <v>9537120</v>
      </c>
      <c r="G256" s="102">
        <f t="shared" si="3"/>
        <v>9537120</v>
      </c>
      <c r="H256" s="101" t="s">
        <v>80</v>
      </c>
    </row>
    <row r="257" spans="1:8" hidden="1">
      <c r="A257" s="101" t="s">
        <v>477</v>
      </c>
      <c r="B257" s="102">
        <v>23454432.829999998</v>
      </c>
      <c r="C257" s="102">
        <v>5359932.9000000004</v>
      </c>
      <c r="D257" s="102">
        <v>19584769.199999999</v>
      </c>
      <c r="E257" s="102">
        <v>9229596.5299999993</v>
      </c>
      <c r="G257" s="102">
        <f t="shared" si="3"/>
        <v>9229596.5299999993</v>
      </c>
      <c r="H257" s="101" t="s">
        <v>80</v>
      </c>
    </row>
    <row r="258" spans="1:8" hidden="1">
      <c r="A258" s="101" t="s">
        <v>132</v>
      </c>
      <c r="B258" s="102">
        <v>-85477.02</v>
      </c>
      <c r="C258" s="102">
        <v>0</v>
      </c>
      <c r="D258" s="102">
        <v>0</v>
      </c>
      <c r="E258" s="102">
        <v>-85477.02</v>
      </c>
      <c r="G258" s="102">
        <f t="shared" si="3"/>
        <v>-85477.02</v>
      </c>
      <c r="H258" s="101" t="s">
        <v>80</v>
      </c>
    </row>
    <row r="259" spans="1:8" hidden="1">
      <c r="A259" s="101" t="s">
        <v>133</v>
      </c>
      <c r="B259" s="102">
        <v>7996440.0099999998</v>
      </c>
      <c r="C259" s="102">
        <v>17981458.43</v>
      </c>
      <c r="D259" s="102">
        <v>21528899.829999998</v>
      </c>
      <c r="E259" s="102">
        <v>4448998.6100000003</v>
      </c>
      <c r="G259" s="102">
        <f t="shared" ref="G259:G322" si="4">E259+F259</f>
        <v>4448998.6100000003</v>
      </c>
      <c r="H259" s="101" t="s">
        <v>80</v>
      </c>
    </row>
    <row r="260" spans="1:8" hidden="1">
      <c r="A260" s="101" t="s">
        <v>1138</v>
      </c>
      <c r="B260" s="102">
        <v>0</v>
      </c>
      <c r="C260" s="102">
        <v>0</v>
      </c>
      <c r="D260" s="102">
        <v>0</v>
      </c>
      <c r="E260" s="102">
        <v>0</v>
      </c>
      <c r="G260" s="102">
        <f t="shared" si="4"/>
        <v>0</v>
      </c>
      <c r="H260" s="101" t="s">
        <v>80</v>
      </c>
    </row>
    <row r="261" spans="1:8" hidden="1">
      <c r="A261" s="101" t="s">
        <v>134</v>
      </c>
      <c r="B261" s="102">
        <v>26987540.149999999</v>
      </c>
      <c r="C261" s="102">
        <v>12069694.73</v>
      </c>
      <c r="D261" s="102">
        <v>26765569.43</v>
      </c>
      <c r="E261" s="102">
        <v>12291665.449999999</v>
      </c>
      <c r="G261" s="102">
        <f t="shared" si="4"/>
        <v>12291665.449999999</v>
      </c>
      <c r="H261" s="101" t="s">
        <v>80</v>
      </c>
    </row>
    <row r="262" spans="1:8" hidden="1">
      <c r="A262" s="101" t="s">
        <v>622</v>
      </c>
      <c r="B262" s="102">
        <v>17386919.91</v>
      </c>
      <c r="C262" s="102">
        <v>16690008.57</v>
      </c>
      <c r="D262" s="102">
        <v>17389854.48</v>
      </c>
      <c r="E262" s="102">
        <v>16687074</v>
      </c>
      <c r="G262" s="102">
        <f t="shared" si="4"/>
        <v>16687074</v>
      </c>
      <c r="H262" s="101" t="s">
        <v>80</v>
      </c>
    </row>
    <row r="263" spans="1:8" hidden="1">
      <c r="A263" s="101" t="s">
        <v>623</v>
      </c>
      <c r="B263" s="102">
        <v>325090.24</v>
      </c>
      <c r="C263" s="102">
        <v>2322120</v>
      </c>
      <c r="D263" s="102">
        <v>325090.23</v>
      </c>
      <c r="E263" s="102">
        <v>2322120.0099999998</v>
      </c>
      <c r="G263" s="102">
        <f t="shared" si="4"/>
        <v>2322120.0099999998</v>
      </c>
      <c r="H263" s="101" t="s">
        <v>80</v>
      </c>
    </row>
    <row r="264" spans="1:8" hidden="1">
      <c r="A264" s="101" t="s">
        <v>138</v>
      </c>
      <c r="B264" s="102">
        <v>0</v>
      </c>
      <c r="C264" s="102">
        <v>3161785.98</v>
      </c>
      <c r="D264" s="102">
        <v>0</v>
      </c>
      <c r="E264" s="102">
        <v>3161785.98</v>
      </c>
      <c r="G264" s="102">
        <f t="shared" si="4"/>
        <v>3161785.98</v>
      </c>
      <c r="H264" s="101" t="s">
        <v>80</v>
      </c>
    </row>
    <row r="265" spans="1:8" hidden="1">
      <c r="A265" s="101" t="s">
        <v>624</v>
      </c>
      <c r="B265" s="102">
        <v>4603883.3099999996</v>
      </c>
      <c r="C265" s="102">
        <v>9500764.9700000007</v>
      </c>
      <c r="D265" s="102">
        <v>6843187.9500000002</v>
      </c>
      <c r="E265" s="102">
        <v>7261460.3300000001</v>
      </c>
      <c r="G265" s="102">
        <f t="shared" si="4"/>
        <v>7261460.3300000001</v>
      </c>
      <c r="H265" s="101" t="s">
        <v>80</v>
      </c>
    </row>
    <row r="266" spans="1:8" hidden="1">
      <c r="A266" s="101" t="s">
        <v>1402</v>
      </c>
      <c r="B266" s="102">
        <v>0</v>
      </c>
      <c r="C266" s="102">
        <v>0</v>
      </c>
      <c r="D266" s="102">
        <v>0</v>
      </c>
      <c r="E266" s="102">
        <v>0</v>
      </c>
      <c r="G266" s="102">
        <f t="shared" si="4"/>
        <v>0</v>
      </c>
      <c r="H266" s="101" t="s">
        <v>80</v>
      </c>
    </row>
    <row r="267" spans="1:8" hidden="1">
      <c r="A267" s="101" t="s">
        <v>147</v>
      </c>
      <c r="B267" s="102">
        <v>7292708.7199999997</v>
      </c>
      <c r="C267" s="102">
        <v>0</v>
      </c>
      <c r="D267" s="102">
        <v>3905937.78</v>
      </c>
      <c r="E267" s="102">
        <v>3386770.94</v>
      </c>
      <c r="G267" s="102">
        <f t="shared" si="4"/>
        <v>3386770.94</v>
      </c>
      <c r="H267" s="101" t="s">
        <v>80</v>
      </c>
    </row>
    <row r="268" spans="1:8" hidden="1">
      <c r="A268" s="101" t="s">
        <v>625</v>
      </c>
      <c r="B268" s="102">
        <v>5809384</v>
      </c>
      <c r="C268" s="102">
        <v>0</v>
      </c>
      <c r="D268" s="102">
        <v>5809384</v>
      </c>
      <c r="E268" s="102">
        <v>0</v>
      </c>
      <c r="G268" s="102">
        <f t="shared" si="4"/>
        <v>0</v>
      </c>
      <c r="H268" s="101" t="s">
        <v>80</v>
      </c>
    </row>
    <row r="269" spans="1:8" hidden="1">
      <c r="A269" s="101" t="s">
        <v>1139</v>
      </c>
      <c r="B269" s="102">
        <v>0</v>
      </c>
      <c r="C269" s="102">
        <v>0</v>
      </c>
      <c r="D269" s="102">
        <v>0</v>
      </c>
      <c r="E269" s="102">
        <v>0</v>
      </c>
      <c r="G269" s="102">
        <f t="shared" si="4"/>
        <v>0</v>
      </c>
      <c r="H269" s="101" t="s">
        <v>80</v>
      </c>
    </row>
    <row r="270" spans="1:8" hidden="1">
      <c r="A270" s="101" t="s">
        <v>626</v>
      </c>
      <c r="B270" s="102">
        <v>6794488.7999999998</v>
      </c>
      <c r="C270" s="102">
        <v>0</v>
      </c>
      <c r="D270" s="102">
        <v>3310243.2</v>
      </c>
      <c r="E270" s="102">
        <v>3484245.6</v>
      </c>
      <c r="G270" s="102">
        <f t="shared" si="4"/>
        <v>3484245.6</v>
      </c>
      <c r="H270" s="101" t="s">
        <v>80</v>
      </c>
    </row>
    <row r="271" spans="1:8" hidden="1">
      <c r="A271" s="101" t="s">
        <v>1140</v>
      </c>
      <c r="B271" s="102">
        <v>0</v>
      </c>
      <c r="C271" s="102">
        <v>0</v>
      </c>
      <c r="D271" s="102">
        <v>0</v>
      </c>
      <c r="E271" s="102">
        <v>0</v>
      </c>
      <c r="G271" s="102">
        <f t="shared" si="4"/>
        <v>0</v>
      </c>
      <c r="H271" s="101" t="s">
        <v>80</v>
      </c>
    </row>
    <row r="272" spans="1:8" hidden="1">
      <c r="A272" s="101" t="s">
        <v>1141</v>
      </c>
      <c r="B272" s="102">
        <v>0</v>
      </c>
      <c r="C272" s="102">
        <v>0</v>
      </c>
      <c r="D272" s="102">
        <v>0</v>
      </c>
      <c r="E272" s="102">
        <v>0</v>
      </c>
      <c r="G272" s="102">
        <f t="shared" si="4"/>
        <v>0</v>
      </c>
      <c r="H272" s="101" t="s">
        <v>80</v>
      </c>
    </row>
    <row r="273" spans="1:8" hidden="1">
      <c r="A273" s="101" t="s">
        <v>1142</v>
      </c>
      <c r="B273" s="102">
        <v>0</v>
      </c>
      <c r="C273" s="102">
        <v>0</v>
      </c>
      <c r="D273" s="102">
        <v>0</v>
      </c>
      <c r="E273" s="102">
        <v>0</v>
      </c>
      <c r="G273" s="102">
        <f t="shared" si="4"/>
        <v>0</v>
      </c>
      <c r="H273" s="101" t="s">
        <v>80</v>
      </c>
    </row>
    <row r="274" spans="1:8" hidden="1">
      <c r="A274" s="101" t="s">
        <v>627</v>
      </c>
      <c r="B274" s="102">
        <v>4721686.2300000004</v>
      </c>
      <c r="C274" s="102">
        <v>0</v>
      </c>
      <c r="D274" s="102">
        <v>4721686.2</v>
      </c>
      <c r="E274" s="102">
        <v>0.03</v>
      </c>
      <c r="G274" s="102">
        <f t="shared" si="4"/>
        <v>0.03</v>
      </c>
      <c r="H274" s="101" t="s">
        <v>80</v>
      </c>
    </row>
    <row r="275" spans="1:8" hidden="1">
      <c r="A275" s="101" t="s">
        <v>151</v>
      </c>
      <c r="B275" s="102">
        <v>7201164.3600000003</v>
      </c>
      <c r="C275" s="102">
        <v>2358264.38</v>
      </c>
      <c r="D275" s="102">
        <v>9257318.7300000004</v>
      </c>
      <c r="E275" s="102">
        <v>302110.01</v>
      </c>
      <c r="G275" s="102">
        <f t="shared" si="4"/>
        <v>302110.01</v>
      </c>
      <c r="H275" s="101" t="s">
        <v>80</v>
      </c>
    </row>
    <row r="276" spans="1:8" hidden="1">
      <c r="A276" s="101" t="s">
        <v>628</v>
      </c>
      <c r="B276" s="102">
        <v>2690844.75</v>
      </c>
      <c r="C276" s="102">
        <v>4734124.2</v>
      </c>
      <c r="D276" s="102">
        <v>7424968.9500000002</v>
      </c>
      <c r="E276" s="102">
        <v>0</v>
      </c>
      <c r="G276" s="102">
        <f t="shared" si="4"/>
        <v>0</v>
      </c>
      <c r="H276" s="101" t="s">
        <v>80</v>
      </c>
    </row>
    <row r="277" spans="1:8" hidden="1">
      <c r="A277" s="101" t="s">
        <v>100</v>
      </c>
      <c r="B277" s="102">
        <v>0</v>
      </c>
      <c r="C277" s="102">
        <v>78310</v>
      </c>
      <c r="D277" s="102">
        <v>29360</v>
      </c>
      <c r="E277" s="102">
        <v>48950</v>
      </c>
      <c r="G277" s="102">
        <f t="shared" si="4"/>
        <v>48950</v>
      </c>
      <c r="H277" s="101" t="s">
        <v>80</v>
      </c>
    </row>
    <row r="278" spans="1:8" hidden="1">
      <c r="A278" s="101" t="s">
        <v>629</v>
      </c>
      <c r="B278" s="102">
        <v>566971</v>
      </c>
      <c r="C278" s="102">
        <v>0</v>
      </c>
      <c r="D278" s="102">
        <v>0</v>
      </c>
      <c r="E278" s="102">
        <v>566971</v>
      </c>
      <c r="G278" s="102">
        <f t="shared" si="4"/>
        <v>566971</v>
      </c>
      <c r="H278" s="101" t="s">
        <v>80</v>
      </c>
    </row>
    <row r="279" spans="1:8" hidden="1">
      <c r="A279" s="101" t="s">
        <v>104</v>
      </c>
      <c r="B279" s="102">
        <v>5785049.6100000003</v>
      </c>
      <c r="C279" s="102">
        <v>326046.88</v>
      </c>
      <c r="D279" s="102">
        <v>0</v>
      </c>
      <c r="E279" s="102">
        <v>6111096.4900000002</v>
      </c>
      <c r="G279" s="102">
        <f t="shared" si="4"/>
        <v>6111096.4900000002</v>
      </c>
      <c r="H279" s="101" t="s">
        <v>80</v>
      </c>
    </row>
    <row r="280" spans="1:8" hidden="1">
      <c r="A280" s="101" t="s">
        <v>630</v>
      </c>
      <c r="B280" s="102">
        <v>1828000</v>
      </c>
      <c r="C280" s="102">
        <v>0</v>
      </c>
      <c r="D280" s="102">
        <v>0</v>
      </c>
      <c r="E280" s="102">
        <v>1828000</v>
      </c>
      <c r="G280" s="102">
        <f t="shared" si="4"/>
        <v>1828000</v>
      </c>
      <c r="H280" s="101" t="s">
        <v>80</v>
      </c>
    </row>
    <row r="281" spans="1:8" hidden="1">
      <c r="A281" s="101" t="s">
        <v>631</v>
      </c>
      <c r="B281" s="102">
        <v>15854746</v>
      </c>
      <c r="C281" s="102">
        <v>0</v>
      </c>
      <c r="D281" s="102">
        <v>0</v>
      </c>
      <c r="E281" s="102">
        <v>15854746</v>
      </c>
      <c r="G281" s="102">
        <f t="shared" si="4"/>
        <v>15854746</v>
      </c>
      <c r="H281" s="101" t="s">
        <v>80</v>
      </c>
    </row>
    <row r="282" spans="1:8" hidden="1">
      <c r="A282" s="101" t="s">
        <v>632</v>
      </c>
      <c r="B282" s="102">
        <v>94670795.629999995</v>
      </c>
      <c r="C282" s="102">
        <v>0</v>
      </c>
      <c r="D282" s="102">
        <v>0</v>
      </c>
      <c r="E282" s="102">
        <v>94670795.629999995</v>
      </c>
      <c r="G282" s="102">
        <f t="shared" si="4"/>
        <v>94670795.629999995</v>
      </c>
      <c r="H282" s="101" t="s">
        <v>80</v>
      </c>
    </row>
    <row r="283" spans="1:8" hidden="1">
      <c r="A283" s="101" t="s">
        <v>633</v>
      </c>
      <c r="B283" s="102">
        <v>25694213</v>
      </c>
      <c r="C283" s="102">
        <v>0</v>
      </c>
      <c r="D283" s="102">
        <v>0</v>
      </c>
      <c r="E283" s="102">
        <v>25694213</v>
      </c>
      <c r="G283" s="102">
        <f t="shared" si="4"/>
        <v>25694213</v>
      </c>
      <c r="H283" s="101" t="s">
        <v>80</v>
      </c>
    </row>
    <row r="284" spans="1:8" hidden="1">
      <c r="A284" s="101" t="s">
        <v>634</v>
      </c>
      <c r="B284" s="102">
        <v>173049403.75</v>
      </c>
      <c r="C284" s="102">
        <v>0</v>
      </c>
      <c r="D284" s="102">
        <v>0</v>
      </c>
      <c r="E284" s="102">
        <v>173049403.75</v>
      </c>
      <c r="G284" s="102">
        <f t="shared" si="4"/>
        <v>173049403.75</v>
      </c>
      <c r="H284" s="101" t="s">
        <v>80</v>
      </c>
    </row>
    <row r="285" spans="1:8" hidden="1">
      <c r="A285" s="101" t="s">
        <v>635</v>
      </c>
      <c r="B285" s="102">
        <v>520299.16</v>
      </c>
      <c r="C285" s="102">
        <v>0</v>
      </c>
      <c r="D285" s="102">
        <v>0</v>
      </c>
      <c r="E285" s="102">
        <v>520299.16</v>
      </c>
      <c r="G285" s="102">
        <f t="shared" si="4"/>
        <v>520299.16</v>
      </c>
      <c r="H285" s="101" t="s">
        <v>80</v>
      </c>
    </row>
    <row r="286" spans="1:8" hidden="1">
      <c r="A286" s="101" t="s">
        <v>636</v>
      </c>
      <c r="B286" s="102">
        <v>23800</v>
      </c>
      <c r="C286" s="102">
        <v>0</v>
      </c>
      <c r="D286" s="102">
        <v>0</v>
      </c>
      <c r="E286" s="102">
        <v>23800</v>
      </c>
      <c r="G286" s="102">
        <f t="shared" si="4"/>
        <v>23800</v>
      </c>
      <c r="H286" s="101" t="s">
        <v>80</v>
      </c>
    </row>
    <row r="287" spans="1:8" hidden="1">
      <c r="A287" s="101" t="s">
        <v>98</v>
      </c>
      <c r="B287" s="102">
        <v>24500</v>
      </c>
      <c r="C287" s="102">
        <v>0</v>
      </c>
      <c r="D287" s="102">
        <v>0</v>
      </c>
      <c r="E287" s="102">
        <v>24500</v>
      </c>
      <c r="G287" s="102">
        <f t="shared" si="4"/>
        <v>24500</v>
      </c>
      <c r="H287" s="101" t="s">
        <v>80</v>
      </c>
    </row>
    <row r="288" spans="1:8" hidden="1">
      <c r="A288" s="101" t="s">
        <v>118</v>
      </c>
      <c r="B288" s="102">
        <v>177117.8</v>
      </c>
      <c r="C288" s="102">
        <v>0</v>
      </c>
      <c r="D288" s="102">
        <v>0</v>
      </c>
      <c r="E288" s="102">
        <v>177117.8</v>
      </c>
      <c r="G288" s="102">
        <f t="shared" si="4"/>
        <v>177117.8</v>
      </c>
      <c r="H288" s="101" t="s">
        <v>80</v>
      </c>
    </row>
    <row r="289" spans="1:8" hidden="1">
      <c r="A289" s="101" t="s">
        <v>120</v>
      </c>
      <c r="B289" s="102">
        <v>2213684.23</v>
      </c>
      <c r="C289" s="102">
        <v>1383327.88</v>
      </c>
      <c r="D289" s="102">
        <v>0</v>
      </c>
      <c r="E289" s="102">
        <v>3597012.11</v>
      </c>
      <c r="G289" s="102">
        <f t="shared" si="4"/>
        <v>3597012.11</v>
      </c>
      <c r="H289" s="101" t="s">
        <v>80</v>
      </c>
    </row>
    <row r="290" spans="1:8" hidden="1">
      <c r="A290" s="101" t="s">
        <v>131</v>
      </c>
      <c r="B290" s="102">
        <v>200000</v>
      </c>
      <c r="C290" s="102">
        <v>0</v>
      </c>
      <c r="D290" s="102">
        <v>0</v>
      </c>
      <c r="E290" s="102">
        <v>200000</v>
      </c>
      <c r="G290" s="102">
        <f t="shared" si="4"/>
        <v>200000</v>
      </c>
      <c r="H290" s="101" t="s">
        <v>80</v>
      </c>
    </row>
    <row r="291" spans="1:8" hidden="1">
      <c r="A291" s="101" t="s">
        <v>637</v>
      </c>
      <c r="B291" s="102">
        <v>112500</v>
      </c>
      <c r="C291" s="102">
        <v>0</v>
      </c>
      <c r="D291" s="102">
        <v>0</v>
      </c>
      <c r="E291" s="102">
        <v>112500</v>
      </c>
      <c r="G291" s="102">
        <f t="shared" si="4"/>
        <v>112500</v>
      </c>
      <c r="H291" s="101" t="s">
        <v>80</v>
      </c>
    </row>
    <row r="292" spans="1:8" hidden="1">
      <c r="A292" s="101" t="s">
        <v>82</v>
      </c>
      <c r="B292" s="102">
        <v>2749599.1</v>
      </c>
      <c r="C292" s="102">
        <v>123728.81</v>
      </c>
      <c r="D292" s="102">
        <v>0</v>
      </c>
      <c r="E292" s="102">
        <v>2873327.91</v>
      </c>
      <c r="G292" s="102">
        <f t="shared" si="4"/>
        <v>2873327.91</v>
      </c>
      <c r="H292" s="101" t="s">
        <v>80</v>
      </c>
    </row>
    <row r="293" spans="1:8" hidden="1">
      <c r="A293" s="101" t="s">
        <v>638</v>
      </c>
      <c r="B293" s="102">
        <v>4602992.92</v>
      </c>
      <c r="C293" s="102">
        <v>0</v>
      </c>
      <c r="D293" s="102">
        <v>0</v>
      </c>
      <c r="E293" s="102">
        <v>4602992.92</v>
      </c>
      <c r="G293" s="102">
        <f t="shared" si="4"/>
        <v>4602992.92</v>
      </c>
      <c r="H293" s="101" t="s">
        <v>80</v>
      </c>
    </row>
    <row r="294" spans="1:8" hidden="1">
      <c r="A294" s="101" t="s">
        <v>639</v>
      </c>
      <c r="B294" s="102">
        <v>598700</v>
      </c>
      <c r="C294" s="102">
        <v>0</v>
      </c>
      <c r="D294" s="102">
        <v>0</v>
      </c>
      <c r="E294" s="102">
        <v>598700</v>
      </c>
      <c r="G294" s="102">
        <f t="shared" si="4"/>
        <v>598700</v>
      </c>
      <c r="H294" s="101" t="s">
        <v>80</v>
      </c>
    </row>
    <row r="295" spans="1:8" hidden="1">
      <c r="A295" s="101" t="s">
        <v>640</v>
      </c>
      <c r="B295" s="102">
        <v>285980</v>
      </c>
      <c r="C295" s="102">
        <v>0</v>
      </c>
      <c r="D295" s="102">
        <v>0</v>
      </c>
      <c r="E295" s="102">
        <v>285980</v>
      </c>
      <c r="G295" s="102">
        <f t="shared" si="4"/>
        <v>285980</v>
      </c>
      <c r="H295" s="101" t="s">
        <v>80</v>
      </c>
    </row>
    <row r="296" spans="1:8" hidden="1">
      <c r="A296" s="101" t="s">
        <v>641</v>
      </c>
      <c r="B296" s="102">
        <v>3462000</v>
      </c>
      <c r="C296" s="102">
        <v>0</v>
      </c>
      <c r="D296" s="102">
        <v>0</v>
      </c>
      <c r="E296" s="102">
        <v>3462000</v>
      </c>
      <c r="G296" s="102">
        <f t="shared" si="4"/>
        <v>3462000</v>
      </c>
      <c r="H296" s="101" t="s">
        <v>80</v>
      </c>
    </row>
    <row r="297" spans="1:8" hidden="1">
      <c r="A297" s="101" t="s">
        <v>642</v>
      </c>
      <c r="B297" s="102">
        <v>1046000</v>
      </c>
      <c r="C297" s="102">
        <v>0</v>
      </c>
      <c r="D297" s="102">
        <v>0</v>
      </c>
      <c r="E297" s="102">
        <v>1046000</v>
      </c>
      <c r="G297" s="102">
        <f t="shared" si="4"/>
        <v>1046000</v>
      </c>
      <c r="H297" s="101" t="s">
        <v>80</v>
      </c>
    </row>
    <row r="298" spans="1:8" hidden="1">
      <c r="A298" s="101" t="s">
        <v>643</v>
      </c>
      <c r="B298" s="102">
        <v>519855</v>
      </c>
      <c r="C298" s="102">
        <v>0</v>
      </c>
      <c r="D298" s="102">
        <v>0</v>
      </c>
      <c r="E298" s="102">
        <v>519855</v>
      </c>
      <c r="G298" s="102">
        <f t="shared" si="4"/>
        <v>519855</v>
      </c>
      <c r="H298" s="101" t="s">
        <v>80</v>
      </c>
    </row>
    <row r="299" spans="1:8" hidden="1">
      <c r="A299" s="101" t="s">
        <v>644</v>
      </c>
      <c r="B299" s="102">
        <v>75085.7</v>
      </c>
      <c r="C299" s="102">
        <v>0</v>
      </c>
      <c r="D299" s="102">
        <v>0</v>
      </c>
      <c r="E299" s="102">
        <v>75085.7</v>
      </c>
      <c r="G299" s="102">
        <f t="shared" si="4"/>
        <v>75085.7</v>
      </c>
      <c r="H299" s="101" t="s">
        <v>80</v>
      </c>
    </row>
    <row r="300" spans="1:8" hidden="1">
      <c r="A300" s="101" t="s">
        <v>645</v>
      </c>
      <c r="B300" s="102">
        <v>89971.98</v>
      </c>
      <c r="C300" s="102">
        <v>0</v>
      </c>
      <c r="D300" s="102">
        <v>0</v>
      </c>
      <c r="E300" s="102">
        <v>89971.98</v>
      </c>
      <c r="G300" s="102">
        <f t="shared" si="4"/>
        <v>89971.98</v>
      </c>
      <c r="H300" s="101" t="s">
        <v>80</v>
      </c>
    </row>
    <row r="301" spans="1:8" hidden="1">
      <c r="A301" s="101" t="s">
        <v>646</v>
      </c>
      <c r="B301" s="102">
        <v>5570.4</v>
      </c>
      <c r="C301" s="102">
        <v>0</v>
      </c>
      <c r="D301" s="102">
        <v>0</v>
      </c>
      <c r="E301" s="102">
        <v>5570.4</v>
      </c>
      <c r="G301" s="102">
        <f t="shared" si="4"/>
        <v>5570.4</v>
      </c>
      <c r="H301" s="101" t="s">
        <v>80</v>
      </c>
    </row>
    <row r="302" spans="1:8" hidden="1">
      <c r="A302" s="101" t="s">
        <v>647</v>
      </c>
      <c r="B302" s="102">
        <v>12500</v>
      </c>
      <c r="C302" s="102">
        <v>0</v>
      </c>
      <c r="D302" s="102">
        <v>0</v>
      </c>
      <c r="E302" s="102">
        <v>12500</v>
      </c>
      <c r="G302" s="102">
        <f t="shared" si="4"/>
        <v>12500</v>
      </c>
      <c r="H302" s="101" t="s">
        <v>80</v>
      </c>
    </row>
    <row r="303" spans="1:8" hidden="1">
      <c r="A303" s="101" t="s">
        <v>648</v>
      </c>
      <c r="B303" s="102">
        <v>38680854.859999999</v>
      </c>
      <c r="C303" s="102">
        <v>147019.92000000001</v>
      </c>
      <c r="D303" s="102">
        <v>0</v>
      </c>
      <c r="E303" s="102">
        <v>38827874.780000001</v>
      </c>
      <c r="G303" s="102">
        <f t="shared" si="4"/>
        <v>38827874.780000001</v>
      </c>
      <c r="H303" s="101" t="s">
        <v>80</v>
      </c>
    </row>
    <row r="304" spans="1:8" hidden="1">
      <c r="A304" s="101" t="s">
        <v>1143</v>
      </c>
      <c r="B304" s="102">
        <v>0</v>
      </c>
      <c r="C304" s="102">
        <v>0</v>
      </c>
      <c r="D304" s="102">
        <v>0</v>
      </c>
      <c r="E304" s="102">
        <v>0</v>
      </c>
      <c r="G304" s="102">
        <f t="shared" si="4"/>
        <v>0</v>
      </c>
      <c r="H304" s="101" t="s">
        <v>80</v>
      </c>
    </row>
    <row r="305" spans="1:8" hidden="1">
      <c r="A305" s="101" t="s">
        <v>101</v>
      </c>
      <c r="B305" s="102">
        <v>602491</v>
      </c>
      <c r="C305" s="102">
        <v>0</v>
      </c>
      <c r="D305" s="102">
        <v>0</v>
      </c>
      <c r="E305" s="102">
        <v>602491</v>
      </c>
      <c r="G305" s="102">
        <f t="shared" si="4"/>
        <v>602491</v>
      </c>
      <c r="H305" s="101" t="s">
        <v>80</v>
      </c>
    </row>
    <row r="306" spans="1:8" hidden="1">
      <c r="A306" s="101" t="s">
        <v>649</v>
      </c>
      <c r="B306" s="102">
        <v>121985.1</v>
      </c>
      <c r="C306" s="102">
        <v>0</v>
      </c>
      <c r="D306" s="102">
        <v>0</v>
      </c>
      <c r="E306" s="102">
        <v>121985.1</v>
      </c>
      <c r="G306" s="102">
        <f t="shared" si="4"/>
        <v>121985.1</v>
      </c>
      <c r="H306" s="101" t="s">
        <v>80</v>
      </c>
    </row>
    <row r="307" spans="1:8" hidden="1">
      <c r="A307" s="101" t="s">
        <v>650</v>
      </c>
      <c r="B307" s="102">
        <v>84189.4</v>
      </c>
      <c r="C307" s="102">
        <v>0</v>
      </c>
      <c r="D307" s="102">
        <v>0</v>
      </c>
      <c r="E307" s="102">
        <v>84189.4</v>
      </c>
      <c r="G307" s="102">
        <f t="shared" si="4"/>
        <v>84189.4</v>
      </c>
      <c r="H307" s="101" t="s">
        <v>80</v>
      </c>
    </row>
    <row r="308" spans="1:8" hidden="1">
      <c r="A308" s="101" t="s">
        <v>651</v>
      </c>
      <c r="B308" s="102">
        <v>188650</v>
      </c>
      <c r="C308" s="102">
        <v>0</v>
      </c>
      <c r="D308" s="102">
        <v>0</v>
      </c>
      <c r="E308" s="102">
        <v>188650</v>
      </c>
      <c r="G308" s="102">
        <f t="shared" si="4"/>
        <v>188650</v>
      </c>
      <c r="H308" s="101" t="s">
        <v>80</v>
      </c>
    </row>
    <row r="309" spans="1:8" hidden="1">
      <c r="A309" s="101" t="s">
        <v>652</v>
      </c>
      <c r="B309" s="102">
        <v>315000</v>
      </c>
      <c r="C309" s="102">
        <v>0</v>
      </c>
      <c r="D309" s="102">
        <v>0</v>
      </c>
      <c r="E309" s="102">
        <v>315000</v>
      </c>
      <c r="G309" s="102">
        <f t="shared" si="4"/>
        <v>315000</v>
      </c>
      <c r="H309" s="101" t="s">
        <v>80</v>
      </c>
    </row>
    <row r="310" spans="1:8" hidden="1">
      <c r="A310" s="101" t="s">
        <v>653</v>
      </c>
      <c r="B310" s="102">
        <v>315000</v>
      </c>
      <c r="C310" s="102">
        <v>0</v>
      </c>
      <c r="D310" s="102">
        <v>0</v>
      </c>
      <c r="E310" s="102">
        <v>315000</v>
      </c>
      <c r="G310" s="102">
        <f t="shared" si="4"/>
        <v>315000</v>
      </c>
      <c r="H310" s="101" t="s">
        <v>80</v>
      </c>
    </row>
    <row r="311" spans="1:8" hidden="1">
      <c r="A311" s="101" t="s">
        <v>97</v>
      </c>
      <c r="B311" s="102">
        <v>10284000</v>
      </c>
      <c r="C311" s="102">
        <v>0</v>
      </c>
      <c r="D311" s="102">
        <v>0</v>
      </c>
      <c r="E311" s="102">
        <v>10284000</v>
      </c>
      <c r="G311" s="102">
        <f t="shared" si="4"/>
        <v>10284000</v>
      </c>
      <c r="H311" s="101" t="s">
        <v>80</v>
      </c>
    </row>
    <row r="312" spans="1:8" hidden="1">
      <c r="A312" s="101" t="s">
        <v>654</v>
      </c>
      <c r="B312" s="102">
        <v>355999.99</v>
      </c>
      <c r="C312" s="102">
        <v>0</v>
      </c>
      <c r="D312" s="102">
        <v>0</v>
      </c>
      <c r="E312" s="102">
        <v>355999.99</v>
      </c>
      <c r="G312" s="102">
        <f t="shared" si="4"/>
        <v>355999.99</v>
      </c>
      <c r="H312" s="101" t="s">
        <v>80</v>
      </c>
    </row>
    <row r="313" spans="1:8" hidden="1">
      <c r="A313" s="101" t="s">
        <v>110</v>
      </c>
      <c r="B313" s="102">
        <v>4900000</v>
      </c>
      <c r="C313" s="102">
        <v>0</v>
      </c>
      <c r="D313" s="102">
        <v>0</v>
      </c>
      <c r="E313" s="102">
        <v>4900000</v>
      </c>
      <c r="G313" s="102">
        <f t="shared" si="4"/>
        <v>4900000</v>
      </c>
      <c r="H313" s="101" t="s">
        <v>80</v>
      </c>
    </row>
    <row r="314" spans="1:8" hidden="1">
      <c r="A314" s="101" t="s">
        <v>655</v>
      </c>
      <c r="B314" s="102">
        <v>1920666.88</v>
      </c>
      <c r="C314" s="102">
        <v>0</v>
      </c>
      <c r="D314" s="102">
        <v>0</v>
      </c>
      <c r="E314" s="102">
        <v>1920666.88</v>
      </c>
      <c r="G314" s="102">
        <f t="shared" si="4"/>
        <v>1920666.88</v>
      </c>
      <c r="H314" s="101" t="s">
        <v>80</v>
      </c>
    </row>
    <row r="315" spans="1:8" hidden="1">
      <c r="A315" s="101" t="s">
        <v>656</v>
      </c>
      <c r="B315" s="102">
        <v>3838045.93</v>
      </c>
      <c r="C315" s="102">
        <v>0</v>
      </c>
      <c r="D315" s="102">
        <v>0</v>
      </c>
      <c r="E315" s="102">
        <v>3838045.93</v>
      </c>
      <c r="G315" s="102">
        <f t="shared" si="4"/>
        <v>3838045.93</v>
      </c>
      <c r="H315" s="101" t="s">
        <v>80</v>
      </c>
    </row>
    <row r="316" spans="1:8" hidden="1">
      <c r="A316" s="101" t="s">
        <v>657</v>
      </c>
      <c r="B316" s="102">
        <v>1655000</v>
      </c>
      <c r="C316" s="102">
        <v>0</v>
      </c>
      <c r="D316" s="102">
        <v>0</v>
      </c>
      <c r="E316" s="102">
        <v>1655000</v>
      </c>
      <c r="G316" s="102">
        <f t="shared" si="4"/>
        <v>1655000</v>
      </c>
      <c r="H316" s="101" t="s">
        <v>80</v>
      </c>
    </row>
    <row r="317" spans="1:8" hidden="1">
      <c r="A317" s="101" t="s">
        <v>142</v>
      </c>
      <c r="B317" s="102">
        <v>722000</v>
      </c>
      <c r="C317" s="102">
        <v>0</v>
      </c>
      <c r="D317" s="102">
        <v>0</v>
      </c>
      <c r="E317" s="102">
        <v>722000</v>
      </c>
      <c r="G317" s="102">
        <f t="shared" si="4"/>
        <v>722000</v>
      </c>
      <c r="H317" s="101" t="s">
        <v>80</v>
      </c>
    </row>
    <row r="318" spans="1:8" hidden="1">
      <c r="A318" s="101" t="s">
        <v>658</v>
      </c>
      <c r="B318" s="102">
        <v>137000</v>
      </c>
      <c r="C318" s="102">
        <v>0</v>
      </c>
      <c r="D318" s="102">
        <v>0</v>
      </c>
      <c r="E318" s="102">
        <v>137000</v>
      </c>
      <c r="G318" s="102">
        <f t="shared" si="4"/>
        <v>137000</v>
      </c>
      <c r="H318" s="101" t="s">
        <v>80</v>
      </c>
    </row>
    <row r="319" spans="1:8" hidden="1">
      <c r="A319" s="101" t="s">
        <v>659</v>
      </c>
      <c r="B319" s="102">
        <v>37000</v>
      </c>
      <c r="C319" s="102">
        <v>0</v>
      </c>
      <c r="D319" s="102">
        <v>0</v>
      </c>
      <c r="E319" s="102">
        <v>37000</v>
      </c>
      <c r="G319" s="102">
        <f t="shared" si="4"/>
        <v>37000</v>
      </c>
      <c r="H319" s="101" t="s">
        <v>80</v>
      </c>
    </row>
    <row r="320" spans="1:8" hidden="1">
      <c r="A320" s="101" t="s">
        <v>660</v>
      </c>
      <c r="B320" s="102">
        <v>333354</v>
      </c>
      <c r="C320" s="102">
        <v>0</v>
      </c>
      <c r="D320" s="102">
        <v>0</v>
      </c>
      <c r="E320" s="102">
        <v>333354</v>
      </c>
      <c r="G320" s="102">
        <f t="shared" si="4"/>
        <v>333354</v>
      </c>
      <c r="H320" s="101" t="s">
        <v>80</v>
      </c>
    </row>
    <row r="321" spans="1:8" hidden="1">
      <c r="A321" s="101" t="s">
        <v>661</v>
      </c>
      <c r="B321" s="102">
        <v>55874.5</v>
      </c>
      <c r="C321" s="102">
        <v>0</v>
      </c>
      <c r="D321" s="102">
        <v>0</v>
      </c>
      <c r="E321" s="102">
        <v>55874.5</v>
      </c>
      <c r="G321" s="102">
        <f t="shared" si="4"/>
        <v>55874.5</v>
      </c>
      <c r="H321" s="101" t="s">
        <v>80</v>
      </c>
    </row>
    <row r="322" spans="1:8" hidden="1">
      <c r="A322" s="101" t="s">
        <v>662</v>
      </c>
      <c r="B322" s="102">
        <v>118000</v>
      </c>
      <c r="C322" s="102">
        <v>0</v>
      </c>
      <c r="D322" s="102">
        <v>0</v>
      </c>
      <c r="E322" s="102">
        <v>118000</v>
      </c>
      <c r="G322" s="102">
        <f t="shared" si="4"/>
        <v>118000</v>
      </c>
      <c r="H322" s="101" t="s">
        <v>80</v>
      </c>
    </row>
    <row r="323" spans="1:8" hidden="1">
      <c r="A323" s="101" t="s">
        <v>663</v>
      </c>
      <c r="B323" s="102">
        <v>1088169.3</v>
      </c>
      <c r="C323" s="102">
        <v>0</v>
      </c>
      <c r="D323" s="102">
        <v>0</v>
      </c>
      <c r="E323" s="102">
        <v>1088169.3</v>
      </c>
      <c r="G323" s="102">
        <f t="shared" ref="G323:G386" si="5">E323+F323</f>
        <v>1088169.3</v>
      </c>
      <c r="H323" s="101" t="s">
        <v>80</v>
      </c>
    </row>
    <row r="324" spans="1:8" hidden="1">
      <c r="A324" s="101" t="s">
        <v>664</v>
      </c>
      <c r="B324" s="102">
        <v>7569717</v>
      </c>
      <c r="C324" s="102">
        <v>0</v>
      </c>
      <c r="D324" s="102">
        <v>0</v>
      </c>
      <c r="E324" s="102">
        <v>7569717</v>
      </c>
      <c r="G324" s="102">
        <f t="shared" si="5"/>
        <v>7569717</v>
      </c>
      <c r="H324" s="101" t="s">
        <v>80</v>
      </c>
    </row>
    <row r="325" spans="1:8" hidden="1">
      <c r="A325" s="101" t="s">
        <v>665</v>
      </c>
      <c r="B325" s="102">
        <v>1150000</v>
      </c>
      <c r="C325" s="102">
        <v>0</v>
      </c>
      <c r="D325" s="102">
        <v>0</v>
      </c>
      <c r="E325" s="102">
        <v>1150000</v>
      </c>
      <c r="G325" s="102">
        <f t="shared" si="5"/>
        <v>1150000</v>
      </c>
      <c r="H325" s="101" t="s">
        <v>80</v>
      </c>
    </row>
    <row r="326" spans="1:8" hidden="1">
      <c r="A326" s="101" t="s">
        <v>111</v>
      </c>
      <c r="B326" s="102">
        <v>262400</v>
      </c>
      <c r="C326" s="102">
        <v>0</v>
      </c>
      <c r="D326" s="102">
        <v>0</v>
      </c>
      <c r="E326" s="102">
        <v>262400</v>
      </c>
      <c r="G326" s="102">
        <f t="shared" si="5"/>
        <v>262400</v>
      </c>
      <c r="H326" s="101" t="s">
        <v>80</v>
      </c>
    </row>
    <row r="327" spans="1:8" hidden="1">
      <c r="A327" s="101" t="s">
        <v>666</v>
      </c>
      <c r="B327" s="102">
        <v>690000</v>
      </c>
      <c r="C327" s="102">
        <v>0</v>
      </c>
      <c r="D327" s="102">
        <v>0</v>
      </c>
      <c r="E327" s="102">
        <v>690000</v>
      </c>
      <c r="G327" s="102">
        <f t="shared" si="5"/>
        <v>690000</v>
      </c>
      <c r="H327" s="101" t="s">
        <v>80</v>
      </c>
    </row>
    <row r="328" spans="1:8" hidden="1">
      <c r="A328" s="101" t="s">
        <v>667</v>
      </c>
      <c r="B328" s="102">
        <v>5025000</v>
      </c>
      <c r="C328" s="102">
        <v>0</v>
      </c>
      <c r="D328" s="102">
        <v>0</v>
      </c>
      <c r="E328" s="102">
        <v>5025000</v>
      </c>
      <c r="G328" s="102">
        <f t="shared" si="5"/>
        <v>5025000</v>
      </c>
      <c r="H328" s="101" t="s">
        <v>80</v>
      </c>
    </row>
    <row r="329" spans="1:8" hidden="1">
      <c r="A329" s="101" t="s">
        <v>668</v>
      </c>
      <c r="B329" s="102">
        <v>115507</v>
      </c>
      <c r="C329" s="102">
        <v>0</v>
      </c>
      <c r="D329" s="102">
        <v>0</v>
      </c>
      <c r="E329" s="102">
        <v>115507</v>
      </c>
      <c r="G329" s="102">
        <f t="shared" si="5"/>
        <v>115507</v>
      </c>
      <c r="H329" s="101" t="s">
        <v>80</v>
      </c>
    </row>
    <row r="330" spans="1:8" hidden="1">
      <c r="A330" s="101" t="s">
        <v>669</v>
      </c>
      <c r="B330" s="102">
        <v>797721</v>
      </c>
      <c r="C330" s="102">
        <v>0</v>
      </c>
      <c r="D330" s="102">
        <v>0</v>
      </c>
      <c r="E330" s="102">
        <v>797721</v>
      </c>
      <c r="G330" s="102">
        <f t="shared" si="5"/>
        <v>797721</v>
      </c>
      <c r="H330" s="101" t="s">
        <v>80</v>
      </c>
    </row>
    <row r="331" spans="1:8" hidden="1">
      <c r="A331" s="101" t="s">
        <v>670</v>
      </c>
      <c r="B331" s="102">
        <v>2428500</v>
      </c>
      <c r="C331" s="102">
        <v>0</v>
      </c>
      <c r="D331" s="102">
        <v>0</v>
      </c>
      <c r="E331" s="102">
        <v>2428500</v>
      </c>
      <c r="G331" s="102">
        <f t="shared" si="5"/>
        <v>2428500</v>
      </c>
      <c r="H331" s="101" t="s">
        <v>80</v>
      </c>
    </row>
    <row r="332" spans="1:8" hidden="1">
      <c r="A332" s="101" t="s">
        <v>671</v>
      </c>
      <c r="B332" s="102">
        <v>2379800</v>
      </c>
      <c r="C332" s="102">
        <v>0</v>
      </c>
      <c r="D332" s="102">
        <v>0</v>
      </c>
      <c r="E332" s="102">
        <v>2379800</v>
      </c>
      <c r="G332" s="102">
        <f t="shared" si="5"/>
        <v>2379800</v>
      </c>
      <c r="H332" s="101" t="s">
        <v>80</v>
      </c>
    </row>
    <row r="333" spans="1:8" hidden="1">
      <c r="A333" s="101" t="s">
        <v>119</v>
      </c>
      <c r="B333" s="102">
        <v>3000235.6</v>
      </c>
      <c r="C333" s="102">
        <v>0</v>
      </c>
      <c r="D333" s="102">
        <v>0</v>
      </c>
      <c r="E333" s="102">
        <v>3000235.6</v>
      </c>
      <c r="G333" s="102">
        <f t="shared" si="5"/>
        <v>3000235.6</v>
      </c>
      <c r="H333" s="101" t="s">
        <v>80</v>
      </c>
    </row>
    <row r="334" spans="1:8" hidden="1">
      <c r="A334" s="101" t="s">
        <v>90</v>
      </c>
      <c r="B334" s="102">
        <v>256800</v>
      </c>
      <c r="C334" s="102">
        <v>0</v>
      </c>
      <c r="D334" s="102">
        <v>0</v>
      </c>
      <c r="E334" s="102">
        <v>256800</v>
      </c>
      <c r="G334" s="102">
        <f t="shared" si="5"/>
        <v>256800</v>
      </c>
      <c r="H334" s="101" t="s">
        <v>80</v>
      </c>
    </row>
    <row r="335" spans="1:8" hidden="1">
      <c r="A335" s="101" t="s">
        <v>103</v>
      </c>
      <c r="B335" s="102">
        <v>298965.82</v>
      </c>
      <c r="C335" s="102">
        <v>0</v>
      </c>
      <c r="D335" s="102">
        <v>0</v>
      </c>
      <c r="E335" s="102">
        <v>298965.82</v>
      </c>
      <c r="G335" s="102">
        <f t="shared" si="5"/>
        <v>298965.82</v>
      </c>
      <c r="H335" s="101" t="s">
        <v>80</v>
      </c>
    </row>
    <row r="336" spans="1:8" hidden="1">
      <c r="A336" s="101" t="s">
        <v>672</v>
      </c>
      <c r="B336" s="102">
        <v>13830</v>
      </c>
      <c r="C336" s="102">
        <v>0</v>
      </c>
      <c r="D336" s="102">
        <v>0</v>
      </c>
      <c r="E336" s="102">
        <v>13830</v>
      </c>
      <c r="G336" s="102">
        <f t="shared" si="5"/>
        <v>13830</v>
      </c>
      <c r="H336" s="101" t="s">
        <v>80</v>
      </c>
    </row>
    <row r="337" spans="1:8" hidden="1">
      <c r="A337" s="101" t="s">
        <v>125</v>
      </c>
      <c r="B337" s="102">
        <v>145950944.11000001</v>
      </c>
      <c r="C337" s="102">
        <v>167646.79999999999</v>
      </c>
      <c r="D337" s="102">
        <v>0</v>
      </c>
      <c r="E337" s="102">
        <v>146118590.91</v>
      </c>
      <c r="G337" s="102">
        <f t="shared" si="5"/>
        <v>146118590.91</v>
      </c>
      <c r="H337" s="101" t="s">
        <v>80</v>
      </c>
    </row>
    <row r="338" spans="1:8" hidden="1">
      <c r="A338" s="101" t="s">
        <v>673</v>
      </c>
      <c r="B338" s="102">
        <v>206006</v>
      </c>
      <c r="C338" s="102">
        <v>0</v>
      </c>
      <c r="D338" s="102">
        <v>0</v>
      </c>
      <c r="E338" s="102">
        <v>206006</v>
      </c>
      <c r="G338" s="102">
        <f t="shared" si="5"/>
        <v>206006</v>
      </c>
      <c r="H338" s="101" t="s">
        <v>80</v>
      </c>
    </row>
    <row r="339" spans="1:8" hidden="1">
      <c r="A339" s="101" t="s">
        <v>137</v>
      </c>
      <c r="B339" s="102">
        <v>36265015.420000002</v>
      </c>
      <c r="C339" s="102">
        <v>0</v>
      </c>
      <c r="D339" s="102">
        <v>0</v>
      </c>
      <c r="E339" s="102">
        <v>36265015.420000002</v>
      </c>
      <c r="G339" s="102">
        <f t="shared" si="5"/>
        <v>36265015.420000002</v>
      </c>
      <c r="H339" s="101" t="s">
        <v>80</v>
      </c>
    </row>
    <row r="340" spans="1:8" hidden="1">
      <c r="A340" s="101" t="s">
        <v>674</v>
      </c>
      <c r="B340" s="102">
        <v>128000</v>
      </c>
      <c r="C340" s="102">
        <v>0</v>
      </c>
      <c r="D340" s="102">
        <v>0</v>
      </c>
      <c r="E340" s="102">
        <v>128000</v>
      </c>
      <c r="G340" s="102">
        <f t="shared" si="5"/>
        <v>128000</v>
      </c>
      <c r="H340" s="101" t="s">
        <v>80</v>
      </c>
    </row>
    <row r="341" spans="1:8" hidden="1">
      <c r="A341" s="101" t="s">
        <v>675</v>
      </c>
      <c r="B341" s="102">
        <v>622000</v>
      </c>
      <c r="C341" s="102">
        <v>0</v>
      </c>
      <c r="D341" s="102">
        <v>0</v>
      </c>
      <c r="E341" s="102">
        <v>622000</v>
      </c>
      <c r="G341" s="102">
        <f t="shared" si="5"/>
        <v>622000</v>
      </c>
      <c r="H341" s="101" t="s">
        <v>80</v>
      </c>
    </row>
    <row r="342" spans="1:8" hidden="1">
      <c r="A342" s="101" t="s">
        <v>676</v>
      </c>
      <c r="B342" s="102">
        <v>1600000</v>
      </c>
      <c r="C342" s="102">
        <v>0</v>
      </c>
      <c r="D342" s="102">
        <v>0</v>
      </c>
      <c r="E342" s="102">
        <v>1600000</v>
      </c>
      <c r="G342" s="102">
        <f t="shared" si="5"/>
        <v>1600000</v>
      </c>
      <c r="H342" s="101" t="s">
        <v>80</v>
      </c>
    </row>
    <row r="343" spans="1:8" hidden="1">
      <c r="A343" s="101" t="s">
        <v>677</v>
      </c>
      <c r="B343" s="102">
        <v>400000</v>
      </c>
      <c r="C343" s="102">
        <v>0</v>
      </c>
      <c r="D343" s="102">
        <v>0</v>
      </c>
      <c r="E343" s="102">
        <v>400000</v>
      </c>
      <c r="G343" s="102">
        <f t="shared" si="5"/>
        <v>400000</v>
      </c>
      <c r="H343" s="101" t="s">
        <v>80</v>
      </c>
    </row>
    <row r="344" spans="1:8" hidden="1">
      <c r="A344" s="101" t="s">
        <v>678</v>
      </c>
      <c r="B344" s="102">
        <v>2200000</v>
      </c>
      <c r="C344" s="102">
        <v>0</v>
      </c>
      <c r="D344" s="102">
        <v>0</v>
      </c>
      <c r="E344" s="102">
        <v>2200000</v>
      </c>
      <c r="G344" s="102">
        <f t="shared" si="5"/>
        <v>2200000</v>
      </c>
      <c r="H344" s="101" t="s">
        <v>80</v>
      </c>
    </row>
    <row r="345" spans="1:8" hidden="1">
      <c r="A345" s="101" t="s">
        <v>140</v>
      </c>
      <c r="B345" s="102">
        <v>6546275.29</v>
      </c>
      <c r="C345" s="102">
        <v>0</v>
      </c>
      <c r="D345" s="102">
        <v>0</v>
      </c>
      <c r="E345" s="102">
        <v>6546275.29</v>
      </c>
      <c r="G345" s="102">
        <f t="shared" si="5"/>
        <v>6546275.29</v>
      </c>
      <c r="H345" s="101" t="s">
        <v>80</v>
      </c>
    </row>
    <row r="346" spans="1:8" hidden="1">
      <c r="A346" s="101" t="s">
        <v>679</v>
      </c>
      <c r="B346" s="102">
        <v>594227.06999999995</v>
      </c>
      <c r="C346" s="102">
        <v>0</v>
      </c>
      <c r="D346" s="102">
        <v>0</v>
      </c>
      <c r="E346" s="102">
        <v>594227.06999999995</v>
      </c>
      <c r="G346" s="102">
        <f t="shared" si="5"/>
        <v>594227.06999999995</v>
      </c>
      <c r="H346" s="101" t="s">
        <v>80</v>
      </c>
    </row>
    <row r="347" spans="1:8" hidden="1">
      <c r="A347" s="101" t="s">
        <v>680</v>
      </c>
      <c r="B347" s="102">
        <v>592658</v>
      </c>
      <c r="C347" s="102">
        <v>0</v>
      </c>
      <c r="D347" s="102">
        <v>0</v>
      </c>
      <c r="E347" s="102">
        <v>592658</v>
      </c>
      <c r="G347" s="102">
        <f t="shared" si="5"/>
        <v>592658</v>
      </c>
      <c r="H347" s="101" t="s">
        <v>80</v>
      </c>
    </row>
    <row r="348" spans="1:8" hidden="1">
      <c r="A348" s="101" t="s">
        <v>681</v>
      </c>
      <c r="B348" s="102">
        <v>434808.08</v>
      </c>
      <c r="C348" s="102">
        <v>0</v>
      </c>
      <c r="D348" s="102">
        <v>0</v>
      </c>
      <c r="E348" s="102">
        <v>434808.08</v>
      </c>
      <c r="G348" s="102">
        <f t="shared" si="5"/>
        <v>434808.08</v>
      </c>
      <c r="H348" s="101" t="s">
        <v>80</v>
      </c>
    </row>
    <row r="349" spans="1:8" hidden="1">
      <c r="A349" s="101" t="s">
        <v>141</v>
      </c>
      <c r="B349" s="102">
        <v>450000</v>
      </c>
      <c r="C349" s="102">
        <v>0</v>
      </c>
      <c r="D349" s="102">
        <v>0</v>
      </c>
      <c r="E349" s="102">
        <v>450000</v>
      </c>
      <c r="G349" s="102">
        <f t="shared" si="5"/>
        <v>450000</v>
      </c>
      <c r="H349" s="101" t="s">
        <v>80</v>
      </c>
    </row>
    <row r="350" spans="1:8" hidden="1">
      <c r="A350" s="101" t="s">
        <v>682</v>
      </c>
      <c r="B350" s="102">
        <v>3974330</v>
      </c>
      <c r="C350" s="102">
        <v>0</v>
      </c>
      <c r="D350" s="102">
        <v>0</v>
      </c>
      <c r="E350" s="102">
        <v>3974330</v>
      </c>
      <c r="G350" s="102">
        <f t="shared" si="5"/>
        <v>3974330</v>
      </c>
      <c r="H350" s="101" t="s">
        <v>80</v>
      </c>
    </row>
    <row r="351" spans="1:8" hidden="1">
      <c r="A351" s="101" t="s">
        <v>683</v>
      </c>
      <c r="B351" s="102">
        <v>40625001.740000002</v>
      </c>
      <c r="C351" s="102">
        <v>0</v>
      </c>
      <c r="D351" s="102">
        <v>0</v>
      </c>
      <c r="E351" s="102">
        <v>40625001.740000002</v>
      </c>
      <c r="G351" s="102">
        <f t="shared" si="5"/>
        <v>40625001.740000002</v>
      </c>
      <c r="H351" s="101" t="s">
        <v>80</v>
      </c>
    </row>
    <row r="352" spans="1:8" hidden="1">
      <c r="A352" s="101" t="s">
        <v>684</v>
      </c>
      <c r="B352" s="102">
        <v>375000</v>
      </c>
      <c r="C352" s="102">
        <v>0</v>
      </c>
      <c r="D352" s="102">
        <v>0</v>
      </c>
      <c r="E352" s="102">
        <v>375000</v>
      </c>
      <c r="G352" s="102">
        <f t="shared" si="5"/>
        <v>375000</v>
      </c>
      <c r="H352" s="101" t="s">
        <v>80</v>
      </c>
    </row>
    <row r="353" spans="1:8" hidden="1">
      <c r="A353" s="101" t="s">
        <v>88</v>
      </c>
      <c r="B353" s="102">
        <v>4790782.28</v>
      </c>
      <c r="C353" s="102">
        <v>0</v>
      </c>
      <c r="D353" s="102">
        <v>0</v>
      </c>
      <c r="E353" s="102">
        <v>4790782.28</v>
      </c>
      <c r="G353" s="102">
        <f t="shared" si="5"/>
        <v>4790782.28</v>
      </c>
      <c r="H353" s="101" t="s">
        <v>80</v>
      </c>
    </row>
    <row r="354" spans="1:8" hidden="1">
      <c r="A354" s="101" t="s">
        <v>89</v>
      </c>
      <c r="B354" s="102">
        <v>22376520</v>
      </c>
      <c r="C354" s="102">
        <v>0</v>
      </c>
      <c r="D354" s="102">
        <v>0</v>
      </c>
      <c r="E354" s="102">
        <v>22376520</v>
      </c>
      <c r="G354" s="102">
        <f t="shared" si="5"/>
        <v>22376520</v>
      </c>
      <c r="H354" s="101" t="s">
        <v>80</v>
      </c>
    </row>
    <row r="355" spans="1:8" hidden="1">
      <c r="A355" s="101" t="s">
        <v>685</v>
      </c>
      <c r="B355" s="102">
        <v>2725000</v>
      </c>
      <c r="C355" s="102">
        <v>0</v>
      </c>
      <c r="D355" s="102">
        <v>0</v>
      </c>
      <c r="E355" s="102">
        <v>2725000</v>
      </c>
      <c r="G355" s="102">
        <f t="shared" si="5"/>
        <v>2725000</v>
      </c>
      <c r="H355" s="101" t="s">
        <v>80</v>
      </c>
    </row>
    <row r="356" spans="1:8" hidden="1">
      <c r="A356" s="101" t="s">
        <v>109</v>
      </c>
      <c r="B356" s="102">
        <v>231700</v>
      </c>
      <c r="C356" s="102">
        <v>0</v>
      </c>
      <c r="D356" s="102">
        <v>0</v>
      </c>
      <c r="E356" s="102">
        <v>231700</v>
      </c>
      <c r="G356" s="102">
        <f t="shared" si="5"/>
        <v>231700</v>
      </c>
      <c r="H356" s="101" t="s">
        <v>80</v>
      </c>
    </row>
    <row r="357" spans="1:8" hidden="1">
      <c r="A357" s="101" t="s">
        <v>686</v>
      </c>
      <c r="B357" s="102">
        <v>4374015</v>
      </c>
      <c r="C357" s="102">
        <v>0</v>
      </c>
      <c r="D357" s="102">
        <v>0</v>
      </c>
      <c r="E357" s="102">
        <v>4374015</v>
      </c>
      <c r="G357" s="102">
        <f t="shared" si="5"/>
        <v>4374015</v>
      </c>
      <c r="H357" s="101" t="s">
        <v>80</v>
      </c>
    </row>
    <row r="358" spans="1:8" hidden="1">
      <c r="A358" s="101" t="s">
        <v>687</v>
      </c>
      <c r="B358" s="102">
        <v>26889466.899999999</v>
      </c>
      <c r="C358" s="102">
        <v>0</v>
      </c>
      <c r="D358" s="102">
        <v>0</v>
      </c>
      <c r="E358" s="102">
        <v>26889466.899999999</v>
      </c>
      <c r="G358" s="102">
        <f t="shared" si="5"/>
        <v>26889466.899999999</v>
      </c>
      <c r="H358" s="101" t="s">
        <v>80</v>
      </c>
    </row>
    <row r="359" spans="1:8" hidden="1">
      <c r="A359" s="101" t="s">
        <v>688</v>
      </c>
      <c r="B359" s="102">
        <v>15500</v>
      </c>
      <c r="C359" s="102">
        <v>0</v>
      </c>
      <c r="D359" s="102">
        <v>0</v>
      </c>
      <c r="E359" s="102">
        <v>15500</v>
      </c>
      <c r="G359" s="102">
        <f t="shared" si="5"/>
        <v>15500</v>
      </c>
      <c r="H359" s="101" t="s">
        <v>80</v>
      </c>
    </row>
    <row r="360" spans="1:8" hidden="1">
      <c r="A360" s="101" t="s">
        <v>689</v>
      </c>
      <c r="B360" s="102">
        <v>58560</v>
      </c>
      <c r="C360" s="102">
        <v>0</v>
      </c>
      <c r="D360" s="102">
        <v>0</v>
      </c>
      <c r="E360" s="102">
        <v>58560</v>
      </c>
      <c r="G360" s="102">
        <f t="shared" si="5"/>
        <v>58560</v>
      </c>
      <c r="H360" s="101" t="s">
        <v>80</v>
      </c>
    </row>
    <row r="361" spans="1:8" hidden="1">
      <c r="A361" s="101" t="s">
        <v>690</v>
      </c>
      <c r="B361" s="102">
        <v>1300000</v>
      </c>
      <c r="C361" s="102">
        <v>0</v>
      </c>
      <c r="D361" s="102">
        <v>0</v>
      </c>
      <c r="E361" s="102">
        <v>1300000</v>
      </c>
      <c r="G361" s="102">
        <f t="shared" si="5"/>
        <v>1300000</v>
      </c>
      <c r="H361" s="101" t="s">
        <v>80</v>
      </c>
    </row>
    <row r="362" spans="1:8" hidden="1">
      <c r="A362" s="101" t="s">
        <v>691</v>
      </c>
      <c r="B362" s="102">
        <v>603990</v>
      </c>
      <c r="C362" s="102">
        <v>0</v>
      </c>
      <c r="D362" s="102">
        <v>0</v>
      </c>
      <c r="E362" s="102">
        <v>603990</v>
      </c>
      <c r="G362" s="102">
        <f t="shared" si="5"/>
        <v>603990</v>
      </c>
      <c r="H362" s="101" t="s">
        <v>80</v>
      </c>
    </row>
    <row r="363" spans="1:8" hidden="1">
      <c r="A363" s="101" t="s">
        <v>692</v>
      </c>
      <c r="B363" s="102">
        <v>1041000</v>
      </c>
      <c r="C363" s="102">
        <v>0</v>
      </c>
      <c r="D363" s="102">
        <v>0</v>
      </c>
      <c r="E363" s="102">
        <v>1041000</v>
      </c>
      <c r="G363" s="102">
        <f t="shared" si="5"/>
        <v>1041000</v>
      </c>
      <c r="H363" s="101" t="s">
        <v>80</v>
      </c>
    </row>
    <row r="364" spans="1:8" hidden="1">
      <c r="A364" s="101" t="s">
        <v>93</v>
      </c>
      <c r="B364" s="102">
        <v>5850</v>
      </c>
      <c r="C364" s="102">
        <v>0</v>
      </c>
      <c r="D364" s="102">
        <v>0</v>
      </c>
      <c r="E364" s="102">
        <v>5850</v>
      </c>
      <c r="G364" s="102">
        <f t="shared" si="5"/>
        <v>5850</v>
      </c>
      <c r="H364" s="101" t="s">
        <v>80</v>
      </c>
    </row>
    <row r="365" spans="1:8" hidden="1">
      <c r="A365" s="101" t="s">
        <v>693</v>
      </c>
      <c r="B365" s="102">
        <v>406900</v>
      </c>
      <c r="C365" s="102">
        <v>0</v>
      </c>
      <c r="D365" s="102">
        <v>0</v>
      </c>
      <c r="E365" s="102">
        <v>406900</v>
      </c>
      <c r="G365" s="102">
        <f t="shared" si="5"/>
        <v>406900</v>
      </c>
      <c r="H365" s="101" t="s">
        <v>80</v>
      </c>
    </row>
    <row r="366" spans="1:8" hidden="1">
      <c r="A366" s="101" t="s">
        <v>694</v>
      </c>
      <c r="B366" s="102">
        <v>1250</v>
      </c>
      <c r="C366" s="102">
        <v>0</v>
      </c>
      <c r="D366" s="102">
        <v>0</v>
      </c>
      <c r="E366" s="102">
        <v>1250</v>
      </c>
      <c r="G366" s="102">
        <f t="shared" si="5"/>
        <v>1250</v>
      </c>
      <c r="H366" s="101" t="s">
        <v>80</v>
      </c>
    </row>
    <row r="367" spans="1:8" hidden="1">
      <c r="A367" s="101" t="s">
        <v>106</v>
      </c>
      <c r="B367" s="102">
        <v>17770.400000000001</v>
      </c>
      <c r="C367" s="102">
        <v>0</v>
      </c>
      <c r="D367" s="102">
        <v>0</v>
      </c>
      <c r="E367" s="102">
        <v>17770.400000000001</v>
      </c>
      <c r="G367" s="102">
        <f t="shared" si="5"/>
        <v>17770.400000000001</v>
      </c>
      <c r="H367" s="101" t="s">
        <v>80</v>
      </c>
    </row>
    <row r="368" spans="1:8" hidden="1">
      <c r="A368" s="101" t="s">
        <v>695</v>
      </c>
      <c r="B368" s="102">
        <v>340500</v>
      </c>
      <c r="C368" s="102">
        <v>0</v>
      </c>
      <c r="D368" s="102">
        <v>0</v>
      </c>
      <c r="E368" s="102">
        <v>340500</v>
      </c>
      <c r="G368" s="102">
        <f t="shared" si="5"/>
        <v>340500</v>
      </c>
      <c r="H368" s="101" t="s">
        <v>80</v>
      </c>
    </row>
    <row r="369" spans="1:9" hidden="1">
      <c r="A369" s="101" t="s">
        <v>696</v>
      </c>
      <c r="B369" s="102">
        <v>391809.22</v>
      </c>
      <c r="C369" s="102">
        <v>0</v>
      </c>
      <c r="D369" s="102">
        <v>0</v>
      </c>
      <c r="E369" s="102">
        <v>391809.22</v>
      </c>
      <c r="G369" s="102">
        <f t="shared" si="5"/>
        <v>391809.22</v>
      </c>
      <c r="H369" s="101" t="s">
        <v>80</v>
      </c>
    </row>
    <row r="370" spans="1:9" hidden="1">
      <c r="A370" s="101" t="s">
        <v>697</v>
      </c>
      <c r="B370" s="102">
        <v>160000</v>
      </c>
      <c r="C370" s="102">
        <v>0</v>
      </c>
      <c r="D370" s="102">
        <v>0</v>
      </c>
      <c r="E370" s="102">
        <v>160000</v>
      </c>
      <c r="G370" s="102">
        <f t="shared" si="5"/>
        <v>160000</v>
      </c>
      <c r="H370" s="101" t="s">
        <v>80</v>
      </c>
    </row>
    <row r="371" spans="1:9" hidden="1">
      <c r="A371" s="101" t="s">
        <v>148</v>
      </c>
      <c r="B371" s="102">
        <v>197984.96</v>
      </c>
      <c r="C371" s="102">
        <v>0</v>
      </c>
      <c r="D371" s="102">
        <v>0</v>
      </c>
      <c r="E371" s="102">
        <v>197984.96</v>
      </c>
      <c r="G371" s="102">
        <f t="shared" si="5"/>
        <v>197984.96</v>
      </c>
      <c r="H371" s="101" t="s">
        <v>80</v>
      </c>
    </row>
    <row r="372" spans="1:9" hidden="1">
      <c r="A372" s="101" t="s">
        <v>698</v>
      </c>
      <c r="B372" s="102">
        <v>760000</v>
      </c>
      <c r="C372" s="102">
        <v>0</v>
      </c>
      <c r="D372" s="102">
        <v>0</v>
      </c>
      <c r="E372" s="102">
        <v>760000</v>
      </c>
      <c r="G372" s="102">
        <f t="shared" si="5"/>
        <v>760000</v>
      </c>
      <c r="H372" s="101" t="s">
        <v>80</v>
      </c>
    </row>
    <row r="373" spans="1:9" hidden="1">
      <c r="A373" s="101" t="s">
        <v>149</v>
      </c>
      <c r="B373" s="102">
        <v>215561.98</v>
      </c>
      <c r="C373" s="102">
        <v>0</v>
      </c>
      <c r="D373" s="102">
        <v>0</v>
      </c>
      <c r="E373" s="102">
        <v>215561.98</v>
      </c>
      <c r="G373" s="102">
        <f t="shared" si="5"/>
        <v>215561.98</v>
      </c>
      <c r="H373" s="101" t="s">
        <v>80</v>
      </c>
    </row>
    <row r="374" spans="1:9" hidden="1">
      <c r="A374" s="101" t="s">
        <v>150</v>
      </c>
      <c r="B374" s="102">
        <v>33700</v>
      </c>
      <c r="C374" s="102">
        <v>0</v>
      </c>
      <c r="D374" s="102">
        <v>0</v>
      </c>
      <c r="E374" s="102">
        <v>33700</v>
      </c>
      <c r="G374" s="102">
        <f t="shared" si="5"/>
        <v>33700</v>
      </c>
      <c r="H374" s="101" t="s">
        <v>80</v>
      </c>
    </row>
    <row r="375" spans="1:9" hidden="1">
      <c r="A375" s="101" t="s">
        <v>699</v>
      </c>
      <c r="B375" s="102">
        <v>12250000</v>
      </c>
      <c r="C375" s="102">
        <v>0</v>
      </c>
      <c r="D375" s="102">
        <v>0</v>
      </c>
      <c r="E375" s="102">
        <v>12250000</v>
      </c>
      <c r="G375" s="102">
        <f t="shared" si="5"/>
        <v>12250000</v>
      </c>
      <c r="H375" s="101" t="s">
        <v>80</v>
      </c>
    </row>
    <row r="376" spans="1:9" hidden="1">
      <c r="A376" s="101" t="s">
        <v>700</v>
      </c>
      <c r="B376" s="102">
        <v>412201</v>
      </c>
      <c r="C376" s="102">
        <v>0</v>
      </c>
      <c r="D376" s="102">
        <v>0</v>
      </c>
      <c r="E376" s="102">
        <v>412201</v>
      </c>
      <c r="G376" s="102">
        <f t="shared" si="5"/>
        <v>412201</v>
      </c>
      <c r="H376" s="101" t="s">
        <v>80</v>
      </c>
    </row>
    <row r="377" spans="1:9" hidden="1">
      <c r="A377" s="101" t="s">
        <v>701</v>
      </c>
      <c r="B377" s="102">
        <v>280200</v>
      </c>
      <c r="C377" s="102">
        <v>0</v>
      </c>
      <c r="D377" s="102">
        <v>0</v>
      </c>
      <c r="E377" s="102">
        <v>280200</v>
      </c>
      <c r="G377" s="102">
        <f t="shared" si="5"/>
        <v>280200</v>
      </c>
      <c r="H377" s="101" t="s">
        <v>80</v>
      </c>
    </row>
    <row r="378" spans="1:9" hidden="1">
      <c r="A378" s="101" t="s">
        <v>91</v>
      </c>
      <c r="B378" s="102">
        <v>1613994.5</v>
      </c>
      <c r="C378" s="102">
        <v>0</v>
      </c>
      <c r="D378" s="102">
        <v>0</v>
      </c>
      <c r="E378" s="102">
        <v>1613994.5</v>
      </c>
      <c r="G378" s="102">
        <f t="shared" si="5"/>
        <v>1613994.5</v>
      </c>
      <c r="H378" s="101" t="s">
        <v>80</v>
      </c>
    </row>
    <row r="379" spans="1:9" hidden="1">
      <c r="A379" s="101" t="s">
        <v>1144</v>
      </c>
      <c r="B379" s="102">
        <v>0</v>
      </c>
      <c r="C379" s="102">
        <v>0</v>
      </c>
      <c r="D379" s="102">
        <v>0</v>
      </c>
      <c r="E379" s="102">
        <v>0</v>
      </c>
      <c r="G379" s="102">
        <f t="shared" si="5"/>
        <v>0</v>
      </c>
      <c r="H379" s="101" t="s">
        <v>80</v>
      </c>
    </row>
    <row r="380" spans="1:9" hidden="1">
      <c r="A380" s="101" t="s">
        <v>702</v>
      </c>
      <c r="B380" s="102">
        <v>931740</v>
      </c>
      <c r="C380" s="102">
        <v>0</v>
      </c>
      <c r="D380" s="102">
        <v>0</v>
      </c>
      <c r="E380" s="102">
        <v>931740</v>
      </c>
      <c r="G380" s="102">
        <f t="shared" si="5"/>
        <v>931740</v>
      </c>
      <c r="H380" s="101" t="s">
        <v>80</v>
      </c>
    </row>
    <row r="381" spans="1:9" hidden="1">
      <c r="A381" s="103" t="s">
        <v>1145</v>
      </c>
      <c r="B381" s="104">
        <v>0</v>
      </c>
      <c r="C381" s="104">
        <v>0</v>
      </c>
      <c r="D381" s="104">
        <v>919735.67</v>
      </c>
      <c r="E381" s="104">
        <v>-919735.67</v>
      </c>
      <c r="F381" s="104"/>
      <c r="G381" s="102">
        <f t="shared" si="5"/>
        <v>-919735.67</v>
      </c>
      <c r="H381" s="103" t="s">
        <v>13</v>
      </c>
      <c r="I381" s="103"/>
    </row>
    <row r="382" spans="1:9" hidden="1">
      <c r="A382" s="103" t="s">
        <v>328</v>
      </c>
      <c r="B382" s="104">
        <v>0</v>
      </c>
      <c r="C382" s="104">
        <v>855</v>
      </c>
      <c r="D382" s="104">
        <v>32075</v>
      </c>
      <c r="E382" s="104">
        <v>-31220</v>
      </c>
      <c r="F382" s="104"/>
      <c r="G382" s="102">
        <f t="shared" si="5"/>
        <v>-31220</v>
      </c>
      <c r="H382" s="103" t="s">
        <v>13</v>
      </c>
      <c r="I382" s="103"/>
    </row>
    <row r="383" spans="1:9" hidden="1">
      <c r="A383" s="101" t="s">
        <v>316</v>
      </c>
      <c r="B383" s="102">
        <v>0</v>
      </c>
      <c r="C383" s="102">
        <v>51.62</v>
      </c>
      <c r="D383" s="102">
        <v>52.4</v>
      </c>
      <c r="E383" s="102">
        <v>-0.78</v>
      </c>
      <c r="G383" s="102">
        <f t="shared" si="5"/>
        <v>-0.78</v>
      </c>
      <c r="H383" s="101" t="s">
        <v>80</v>
      </c>
    </row>
    <row r="384" spans="1:9" hidden="1">
      <c r="A384" s="144" t="s">
        <v>1146</v>
      </c>
      <c r="B384" s="102">
        <v>0</v>
      </c>
      <c r="C384" s="104">
        <v>6302314.6699999999</v>
      </c>
      <c r="D384" s="104">
        <v>0</v>
      </c>
      <c r="E384" s="104">
        <v>6302314.6699999999</v>
      </c>
      <c r="F384" s="108">
        <v>115969</v>
      </c>
      <c r="G384" s="102">
        <f t="shared" si="5"/>
        <v>6418283.6699999999</v>
      </c>
      <c r="H384" s="103" t="s">
        <v>13</v>
      </c>
    </row>
    <row r="385" spans="1:9" hidden="1">
      <c r="A385" s="103" t="s">
        <v>347</v>
      </c>
      <c r="B385" s="104">
        <v>0</v>
      </c>
      <c r="C385" s="104">
        <v>396540</v>
      </c>
      <c r="D385" s="104">
        <v>35000</v>
      </c>
      <c r="E385" s="104">
        <v>361540</v>
      </c>
      <c r="F385" s="104"/>
      <c r="G385" s="102">
        <f t="shared" si="5"/>
        <v>361540</v>
      </c>
      <c r="H385" s="103" t="s">
        <v>13</v>
      </c>
      <c r="I385" s="103"/>
    </row>
    <row r="386" spans="1:9" hidden="1">
      <c r="A386" s="103" t="s">
        <v>348</v>
      </c>
      <c r="B386" s="104">
        <v>0</v>
      </c>
      <c r="C386" s="104">
        <v>107838.05</v>
      </c>
      <c r="D386" s="104">
        <v>200</v>
      </c>
      <c r="E386" s="104">
        <v>107638.05</v>
      </c>
      <c r="F386" s="104"/>
      <c r="G386" s="102">
        <f t="shared" si="5"/>
        <v>107638.05</v>
      </c>
      <c r="H386" s="103" t="s">
        <v>13</v>
      </c>
      <c r="I386" s="103"/>
    </row>
    <row r="387" spans="1:9" hidden="1">
      <c r="A387" s="101" t="s">
        <v>472</v>
      </c>
      <c r="B387" s="102">
        <v>0</v>
      </c>
      <c r="C387" s="102">
        <v>9500</v>
      </c>
      <c r="D387" s="102">
        <v>0</v>
      </c>
      <c r="E387" s="102">
        <v>9500</v>
      </c>
      <c r="G387" s="102">
        <f t="shared" ref="G387:G450" si="6">E387+F387</f>
        <v>9500</v>
      </c>
      <c r="H387" s="101" t="s">
        <v>80</v>
      </c>
    </row>
    <row r="388" spans="1:9" hidden="1">
      <c r="A388" s="103" t="s">
        <v>345</v>
      </c>
      <c r="B388" s="104">
        <v>0</v>
      </c>
      <c r="C388" s="104">
        <v>251879</v>
      </c>
      <c r="D388" s="104">
        <v>0</v>
      </c>
      <c r="E388" s="104">
        <v>251879</v>
      </c>
      <c r="F388" s="104"/>
      <c r="G388" s="102">
        <f t="shared" si="6"/>
        <v>251879</v>
      </c>
      <c r="H388" s="103" t="s">
        <v>71</v>
      </c>
      <c r="I388" s="103"/>
    </row>
    <row r="389" spans="1:9" hidden="1">
      <c r="A389" s="103" t="s">
        <v>341</v>
      </c>
      <c r="B389" s="104">
        <v>0</v>
      </c>
      <c r="C389" s="104">
        <v>4566263.38</v>
      </c>
      <c r="D389" s="104">
        <v>129973</v>
      </c>
      <c r="E389" s="104">
        <v>4436290.38</v>
      </c>
      <c r="F389" s="104">
        <f>5215200</f>
        <v>5215200</v>
      </c>
      <c r="G389" s="102">
        <f t="shared" si="6"/>
        <v>9651490.379999999</v>
      </c>
      <c r="H389" s="103" t="s">
        <v>55</v>
      </c>
      <c r="I389" s="103"/>
    </row>
    <row r="390" spans="1:9" hidden="1">
      <c r="A390" s="103" t="s">
        <v>1147</v>
      </c>
      <c r="B390" s="104">
        <v>0</v>
      </c>
      <c r="C390" s="104">
        <v>4870824</v>
      </c>
      <c r="D390" s="104">
        <v>0</v>
      </c>
      <c r="E390" s="104">
        <v>4870824</v>
      </c>
      <c r="F390" s="104">
        <v>4424704</v>
      </c>
      <c r="G390" s="102">
        <f t="shared" si="6"/>
        <v>9295528</v>
      </c>
      <c r="H390" s="103" t="s">
        <v>58</v>
      </c>
      <c r="I390" s="103"/>
    </row>
    <row r="391" spans="1:9" hidden="1">
      <c r="A391" s="103" t="s">
        <v>1148</v>
      </c>
      <c r="B391" s="104">
        <v>0</v>
      </c>
      <c r="C391" s="104">
        <v>1265900</v>
      </c>
      <c r="D391" s="104">
        <v>0</v>
      </c>
      <c r="E391" s="104">
        <v>1265900</v>
      </c>
      <c r="F391" s="104"/>
      <c r="G391" s="102">
        <f t="shared" si="6"/>
        <v>1265900</v>
      </c>
      <c r="H391" s="103" t="s">
        <v>71</v>
      </c>
      <c r="I391" s="103"/>
    </row>
    <row r="392" spans="1:9" hidden="1">
      <c r="A392" s="103" t="s">
        <v>703</v>
      </c>
      <c r="B392" s="104">
        <v>0</v>
      </c>
      <c r="C392" s="104">
        <v>600000</v>
      </c>
      <c r="D392" s="104">
        <v>0</v>
      </c>
      <c r="E392" s="104">
        <v>600000</v>
      </c>
      <c r="F392" s="104"/>
      <c r="G392" s="102">
        <f t="shared" si="6"/>
        <v>600000</v>
      </c>
      <c r="H392" s="103" t="s">
        <v>71</v>
      </c>
      <c r="I392" s="103"/>
    </row>
    <row r="393" spans="1:9" hidden="1">
      <c r="A393" s="167" t="s">
        <v>356</v>
      </c>
      <c r="B393" s="102">
        <v>0</v>
      </c>
      <c r="C393" s="102">
        <v>313632</v>
      </c>
      <c r="D393" s="102">
        <v>30486.47</v>
      </c>
      <c r="E393" s="102">
        <v>283145.53000000003</v>
      </c>
      <c r="G393" s="102">
        <f t="shared" si="6"/>
        <v>283145.53000000003</v>
      </c>
      <c r="H393" s="103" t="s">
        <v>73</v>
      </c>
    </row>
    <row r="394" spans="1:9" hidden="1">
      <c r="A394" s="103" t="s">
        <v>340</v>
      </c>
      <c r="B394" s="104">
        <v>0</v>
      </c>
      <c r="C394" s="104">
        <v>38009628.140000001</v>
      </c>
      <c r="D394" s="104">
        <v>55384.56</v>
      </c>
      <c r="E394" s="104">
        <v>37954243.579999998</v>
      </c>
      <c r="F394" s="104"/>
      <c r="G394" s="102">
        <f t="shared" si="6"/>
        <v>37954243.579999998</v>
      </c>
      <c r="H394" s="103" t="s">
        <v>59</v>
      </c>
      <c r="I394" s="103"/>
    </row>
    <row r="395" spans="1:9" hidden="1">
      <c r="A395" s="103" t="s">
        <v>343</v>
      </c>
      <c r="B395" s="104">
        <v>0</v>
      </c>
      <c r="C395" s="104">
        <v>143950</v>
      </c>
      <c r="D395" s="104">
        <v>0</v>
      </c>
      <c r="E395" s="104">
        <v>143950</v>
      </c>
      <c r="F395" s="104"/>
      <c r="G395" s="102">
        <f t="shared" si="6"/>
        <v>143950</v>
      </c>
      <c r="H395" s="103" t="s">
        <v>67</v>
      </c>
      <c r="I395" s="103"/>
    </row>
    <row r="396" spans="1:9" hidden="1">
      <c r="A396" s="103" t="s">
        <v>335</v>
      </c>
      <c r="B396" s="104">
        <v>0</v>
      </c>
      <c r="C396" s="104">
        <v>254890</v>
      </c>
      <c r="D396" s="104">
        <v>96272</v>
      </c>
      <c r="E396" s="104">
        <v>158618</v>
      </c>
      <c r="F396" s="104"/>
      <c r="G396" s="102">
        <f t="shared" si="6"/>
        <v>158618</v>
      </c>
      <c r="H396" s="103" t="s">
        <v>71</v>
      </c>
      <c r="I396" s="103"/>
    </row>
    <row r="397" spans="1:9" hidden="1">
      <c r="A397" s="103" t="s">
        <v>314</v>
      </c>
      <c r="B397" s="104">
        <v>0</v>
      </c>
      <c r="C397" s="104">
        <v>1375818.11</v>
      </c>
      <c r="D397" s="104">
        <v>0</v>
      </c>
      <c r="E397" s="104">
        <v>1375818.11</v>
      </c>
      <c r="F397" s="104">
        <v>200000</v>
      </c>
      <c r="G397" s="102">
        <f t="shared" si="6"/>
        <v>1575818.11</v>
      </c>
      <c r="H397" s="103" t="s">
        <v>60</v>
      </c>
      <c r="I397" s="103"/>
    </row>
    <row r="398" spans="1:9" hidden="1">
      <c r="A398" s="103" t="s">
        <v>319</v>
      </c>
      <c r="B398" s="104">
        <v>0</v>
      </c>
      <c r="C398" s="104">
        <v>27922269.699999999</v>
      </c>
      <c r="D398" s="104">
        <v>0</v>
      </c>
      <c r="E398" s="104">
        <v>27922269.699999999</v>
      </c>
      <c r="F398" s="104"/>
      <c r="G398" s="102">
        <f t="shared" si="6"/>
        <v>27922269.699999999</v>
      </c>
      <c r="H398" s="103" t="s">
        <v>9</v>
      </c>
      <c r="I398" s="103"/>
    </row>
    <row r="399" spans="1:9" hidden="1">
      <c r="A399" s="103" t="s">
        <v>322</v>
      </c>
      <c r="B399" s="104">
        <v>0</v>
      </c>
      <c r="C399" s="104">
        <v>2830055.7</v>
      </c>
      <c r="D399" s="104">
        <v>0</v>
      </c>
      <c r="E399" s="104">
        <v>2830055.7</v>
      </c>
      <c r="F399" s="104"/>
      <c r="G399" s="102">
        <f t="shared" si="6"/>
        <v>2830055.7</v>
      </c>
      <c r="H399" s="103" t="s">
        <v>11</v>
      </c>
      <c r="I399" s="103"/>
    </row>
    <row r="400" spans="1:9" hidden="1">
      <c r="A400" s="101" t="s">
        <v>704</v>
      </c>
      <c r="B400" s="102">
        <v>0</v>
      </c>
      <c r="C400" s="102">
        <v>0</v>
      </c>
      <c r="D400" s="102">
        <v>36870023</v>
      </c>
      <c r="E400" s="102">
        <v>-36870023</v>
      </c>
      <c r="G400" s="102">
        <f t="shared" si="6"/>
        <v>-36870023</v>
      </c>
      <c r="H400" s="101" t="s">
        <v>80</v>
      </c>
    </row>
    <row r="401" spans="1:9" hidden="1">
      <c r="A401" s="103" t="s">
        <v>317</v>
      </c>
      <c r="B401" s="104">
        <v>0</v>
      </c>
      <c r="C401" s="104">
        <v>3134409.4</v>
      </c>
      <c r="D401" s="104">
        <v>0</v>
      </c>
      <c r="E401" s="104">
        <v>3134409.4</v>
      </c>
      <c r="F401" s="104"/>
      <c r="G401" s="102">
        <f t="shared" si="6"/>
        <v>3134409.4</v>
      </c>
      <c r="H401" s="103" t="s">
        <v>9</v>
      </c>
      <c r="I401" s="103"/>
    </row>
    <row r="402" spans="1:9" hidden="1">
      <c r="A402" s="103" t="s">
        <v>321</v>
      </c>
      <c r="B402" s="104">
        <v>0</v>
      </c>
      <c r="C402" s="104">
        <v>128753424.91</v>
      </c>
      <c r="D402" s="104">
        <v>0</v>
      </c>
      <c r="E402" s="104">
        <v>128753424.91</v>
      </c>
      <c r="F402" s="104"/>
      <c r="G402" s="102">
        <f t="shared" si="6"/>
        <v>128753424.91</v>
      </c>
      <c r="H402" s="103" t="s">
        <v>9</v>
      </c>
      <c r="I402" s="103"/>
    </row>
    <row r="403" spans="1:9" hidden="1">
      <c r="A403" s="103" t="s">
        <v>1149</v>
      </c>
      <c r="B403" s="104">
        <v>0</v>
      </c>
      <c r="C403" s="104">
        <v>7813</v>
      </c>
      <c r="D403" s="104">
        <v>0</v>
      </c>
      <c r="E403" s="104">
        <v>7813</v>
      </c>
      <c r="F403" s="104"/>
      <c r="G403" s="102">
        <f t="shared" si="6"/>
        <v>7813</v>
      </c>
      <c r="H403" s="103" t="s">
        <v>44</v>
      </c>
      <c r="I403" s="103"/>
    </row>
    <row r="404" spans="1:9" hidden="1">
      <c r="A404" s="103" t="s">
        <v>318</v>
      </c>
      <c r="B404" s="104">
        <v>0</v>
      </c>
      <c r="C404" s="104">
        <v>2418895.4500000002</v>
      </c>
      <c r="D404" s="104">
        <v>0</v>
      </c>
      <c r="E404" s="104">
        <v>2418895.4500000002</v>
      </c>
      <c r="F404" s="104"/>
      <c r="G404" s="102">
        <f t="shared" si="6"/>
        <v>2418895.4500000002</v>
      </c>
      <c r="H404" s="103" t="s">
        <v>44</v>
      </c>
      <c r="I404" s="103"/>
    </row>
    <row r="405" spans="1:9" hidden="1">
      <c r="A405" s="103" t="s">
        <v>475</v>
      </c>
      <c r="B405" s="104">
        <v>0</v>
      </c>
      <c r="C405" s="104">
        <v>54130</v>
      </c>
      <c r="D405" s="104">
        <v>1700</v>
      </c>
      <c r="E405" s="104">
        <v>52430</v>
      </c>
      <c r="F405" s="104"/>
      <c r="G405" s="102">
        <f t="shared" si="6"/>
        <v>52430</v>
      </c>
      <c r="H405" s="103" t="s">
        <v>44</v>
      </c>
      <c r="I405" s="103"/>
    </row>
    <row r="406" spans="1:9" hidden="1">
      <c r="A406" s="103" t="s">
        <v>323</v>
      </c>
      <c r="B406" s="104">
        <v>0</v>
      </c>
      <c r="C406" s="104">
        <v>4523532.4000000004</v>
      </c>
      <c r="D406" s="104">
        <v>0</v>
      </c>
      <c r="E406" s="104">
        <v>4523532.4000000004</v>
      </c>
      <c r="F406" s="104"/>
      <c r="G406" s="102">
        <f t="shared" si="6"/>
        <v>4523532.4000000004</v>
      </c>
      <c r="H406" s="103" t="s">
        <v>44</v>
      </c>
      <c r="I406" s="103"/>
    </row>
    <row r="407" spans="1:9" hidden="1">
      <c r="A407" s="103" t="s">
        <v>320</v>
      </c>
      <c r="B407" s="104">
        <v>0</v>
      </c>
      <c r="C407" s="104">
        <v>17158400</v>
      </c>
      <c r="D407" s="104">
        <v>0</v>
      </c>
      <c r="E407" s="104">
        <v>17158400</v>
      </c>
      <c r="F407" s="104"/>
      <c r="G407" s="102">
        <f t="shared" si="6"/>
        <v>17158400</v>
      </c>
      <c r="H407" s="103" t="s">
        <v>9</v>
      </c>
      <c r="I407" s="103"/>
    </row>
    <row r="408" spans="1:9" hidden="1">
      <c r="A408" s="103" t="s">
        <v>355</v>
      </c>
      <c r="B408" s="104">
        <v>0</v>
      </c>
      <c r="C408" s="104">
        <v>61288</v>
      </c>
      <c r="D408" s="104">
        <v>0</v>
      </c>
      <c r="E408" s="104">
        <v>61288</v>
      </c>
      <c r="F408" s="104"/>
      <c r="G408" s="102">
        <f t="shared" si="6"/>
        <v>61288</v>
      </c>
      <c r="H408" s="103" t="s">
        <v>66</v>
      </c>
      <c r="I408" s="103"/>
    </row>
    <row r="409" spans="1:9" hidden="1">
      <c r="A409" s="103" t="s">
        <v>1150</v>
      </c>
      <c r="B409" s="104">
        <v>0</v>
      </c>
      <c r="C409" s="104">
        <v>24880</v>
      </c>
      <c r="D409" s="104">
        <v>0</v>
      </c>
      <c r="E409" s="104">
        <v>24880</v>
      </c>
      <c r="F409" s="104"/>
      <c r="G409" s="102">
        <f t="shared" si="6"/>
        <v>24880</v>
      </c>
      <c r="H409" s="103" t="s">
        <v>71</v>
      </c>
      <c r="I409" s="103"/>
    </row>
    <row r="410" spans="1:9" hidden="1">
      <c r="A410" s="103" t="s">
        <v>1151</v>
      </c>
      <c r="B410" s="104">
        <v>0</v>
      </c>
      <c r="C410" s="104">
        <v>100000</v>
      </c>
      <c r="D410" s="104">
        <v>0</v>
      </c>
      <c r="E410" s="104">
        <v>100000</v>
      </c>
      <c r="F410" s="104"/>
      <c r="G410" s="102">
        <f t="shared" si="6"/>
        <v>100000</v>
      </c>
      <c r="H410" s="103" t="s">
        <v>71</v>
      </c>
      <c r="I410" s="103"/>
    </row>
    <row r="411" spans="1:9" hidden="1">
      <c r="A411" s="103" t="s">
        <v>358</v>
      </c>
      <c r="B411" s="104">
        <v>0</v>
      </c>
      <c r="C411" s="104">
        <v>10000</v>
      </c>
      <c r="D411" s="104">
        <v>0</v>
      </c>
      <c r="E411" s="104">
        <v>10000</v>
      </c>
      <c r="F411" s="104"/>
      <c r="G411" s="102">
        <f t="shared" si="6"/>
        <v>10000</v>
      </c>
      <c r="H411" s="103" t="s">
        <v>71</v>
      </c>
      <c r="I411" s="103"/>
    </row>
    <row r="412" spans="1:9" hidden="1">
      <c r="A412" s="103" t="s">
        <v>1152</v>
      </c>
      <c r="B412" s="104">
        <v>0</v>
      </c>
      <c r="C412" s="104">
        <v>513915</v>
      </c>
      <c r="D412" s="104">
        <v>0</v>
      </c>
      <c r="E412" s="104">
        <v>513915</v>
      </c>
      <c r="F412" s="104"/>
      <c r="G412" s="102">
        <f t="shared" si="6"/>
        <v>513915</v>
      </c>
      <c r="H412" s="103" t="s">
        <v>60</v>
      </c>
      <c r="I412" s="103"/>
    </row>
    <row r="413" spans="1:9" hidden="1">
      <c r="A413" s="103" t="s">
        <v>1153</v>
      </c>
      <c r="B413" s="104">
        <v>0</v>
      </c>
      <c r="C413" s="104">
        <v>4550</v>
      </c>
      <c r="D413" s="104">
        <v>0</v>
      </c>
      <c r="E413" s="104">
        <v>4550</v>
      </c>
      <c r="F413" s="104"/>
      <c r="G413" s="102">
        <f t="shared" si="6"/>
        <v>4550</v>
      </c>
      <c r="H413" s="103" t="s">
        <v>71</v>
      </c>
      <c r="I413" s="103"/>
    </row>
    <row r="414" spans="1:9" hidden="1">
      <c r="A414" s="103" t="s">
        <v>325</v>
      </c>
      <c r="B414" s="104">
        <v>0</v>
      </c>
      <c r="C414" s="104">
        <v>19566</v>
      </c>
      <c r="D414" s="104">
        <v>0</v>
      </c>
      <c r="E414" s="104">
        <v>19566</v>
      </c>
      <c r="F414" s="104"/>
      <c r="G414" s="102">
        <f t="shared" si="6"/>
        <v>19566</v>
      </c>
      <c r="H414" s="103" t="s">
        <v>71</v>
      </c>
      <c r="I414" s="103"/>
    </row>
    <row r="415" spans="1:9" hidden="1">
      <c r="A415" s="103" t="s">
        <v>326</v>
      </c>
      <c r="B415" s="104">
        <v>0</v>
      </c>
      <c r="C415" s="104">
        <v>77060</v>
      </c>
      <c r="D415" s="104">
        <v>0</v>
      </c>
      <c r="E415" s="104">
        <v>77060</v>
      </c>
      <c r="F415" s="104"/>
      <c r="G415" s="102">
        <f t="shared" si="6"/>
        <v>77060</v>
      </c>
      <c r="H415" s="103" t="s">
        <v>71</v>
      </c>
      <c r="I415" s="103"/>
    </row>
    <row r="416" spans="1:9" hidden="1">
      <c r="A416" s="103" t="s">
        <v>331</v>
      </c>
      <c r="B416" s="104">
        <v>0</v>
      </c>
      <c r="C416" s="104">
        <v>62270</v>
      </c>
      <c r="D416" s="104">
        <v>0</v>
      </c>
      <c r="E416" s="104">
        <v>62270</v>
      </c>
      <c r="F416" s="104"/>
      <c r="G416" s="102">
        <f t="shared" si="6"/>
        <v>62270</v>
      </c>
      <c r="H416" s="103" t="s">
        <v>66</v>
      </c>
      <c r="I416" s="103"/>
    </row>
    <row r="417" spans="1:10" hidden="1">
      <c r="A417" s="103" t="s">
        <v>332</v>
      </c>
      <c r="B417" s="104">
        <v>0</v>
      </c>
      <c r="C417" s="104">
        <v>5030</v>
      </c>
      <c r="D417" s="104">
        <v>0</v>
      </c>
      <c r="E417" s="104">
        <v>5030</v>
      </c>
      <c r="F417" s="104"/>
      <c r="G417" s="102">
        <f t="shared" si="6"/>
        <v>5030</v>
      </c>
      <c r="H417" s="103" t="s">
        <v>71</v>
      </c>
      <c r="I417" s="103"/>
    </row>
    <row r="418" spans="1:10" hidden="1">
      <c r="A418" s="103" t="s">
        <v>333</v>
      </c>
      <c r="B418" s="104">
        <v>0</v>
      </c>
      <c r="C418" s="104">
        <v>117633</v>
      </c>
      <c r="D418" s="104">
        <v>0</v>
      </c>
      <c r="E418" s="104">
        <v>117633</v>
      </c>
      <c r="F418" s="104"/>
      <c r="G418" s="102">
        <f t="shared" si="6"/>
        <v>117633</v>
      </c>
      <c r="H418" s="103" t="s">
        <v>71</v>
      </c>
      <c r="I418" s="103"/>
    </row>
    <row r="419" spans="1:10" hidden="1">
      <c r="A419" s="101" t="s">
        <v>315</v>
      </c>
      <c r="B419" s="102">
        <v>0</v>
      </c>
      <c r="C419" s="102">
        <v>61.69</v>
      </c>
      <c r="D419" s="102">
        <v>52.51</v>
      </c>
      <c r="E419" s="102">
        <v>9.18</v>
      </c>
      <c r="G419" s="102">
        <f t="shared" si="6"/>
        <v>9.18</v>
      </c>
      <c r="H419" s="101" t="s">
        <v>80</v>
      </c>
    </row>
    <row r="420" spans="1:10" hidden="1">
      <c r="A420" s="103" t="s">
        <v>310</v>
      </c>
      <c r="B420" s="104">
        <v>0</v>
      </c>
      <c r="C420" s="104">
        <v>557868</v>
      </c>
      <c r="D420" s="104">
        <v>287468</v>
      </c>
      <c r="E420" s="104">
        <v>270400</v>
      </c>
      <c r="F420" s="104"/>
      <c r="G420" s="102">
        <f t="shared" si="6"/>
        <v>270400</v>
      </c>
      <c r="H420" s="103" t="s">
        <v>71</v>
      </c>
      <c r="I420" s="103"/>
    </row>
    <row r="421" spans="1:10" hidden="1">
      <c r="A421" s="103" t="s">
        <v>418</v>
      </c>
      <c r="B421" s="104">
        <v>0</v>
      </c>
      <c r="C421" s="104">
        <v>502869</v>
      </c>
      <c r="D421" s="104">
        <v>0</v>
      </c>
      <c r="E421" s="104">
        <v>502869</v>
      </c>
      <c r="F421" s="104"/>
      <c r="G421" s="102">
        <f t="shared" si="6"/>
        <v>502869</v>
      </c>
      <c r="H421" s="103" t="s">
        <v>64</v>
      </c>
      <c r="I421" s="103"/>
    </row>
    <row r="422" spans="1:10" hidden="1">
      <c r="A422" s="103" t="s">
        <v>1154</v>
      </c>
      <c r="B422" s="104">
        <v>0</v>
      </c>
      <c r="C422" s="104">
        <v>4500</v>
      </c>
      <c r="D422" s="104">
        <v>0</v>
      </c>
      <c r="E422" s="104">
        <v>4500</v>
      </c>
      <c r="F422" s="104"/>
      <c r="G422" s="102">
        <f t="shared" si="6"/>
        <v>4500</v>
      </c>
      <c r="H422" s="103" t="s">
        <v>71</v>
      </c>
      <c r="I422" s="103"/>
    </row>
    <row r="423" spans="1:10" hidden="1">
      <c r="A423" s="103" t="s">
        <v>1155</v>
      </c>
      <c r="B423" s="104">
        <v>0</v>
      </c>
      <c r="C423" s="104">
        <v>689648.18</v>
      </c>
      <c r="D423" s="104">
        <v>0</v>
      </c>
      <c r="E423" s="104">
        <v>689648.18</v>
      </c>
      <c r="F423" s="104"/>
      <c r="G423" s="102">
        <f t="shared" si="6"/>
        <v>689648.18</v>
      </c>
      <c r="H423" s="103" t="s">
        <v>71</v>
      </c>
      <c r="I423" s="103"/>
    </row>
    <row r="424" spans="1:10" hidden="1">
      <c r="A424" s="103" t="s">
        <v>705</v>
      </c>
      <c r="B424" s="104">
        <v>0</v>
      </c>
      <c r="C424" s="104">
        <v>10281.36</v>
      </c>
      <c r="D424" s="104">
        <v>0</v>
      </c>
      <c r="E424" s="104">
        <v>10281.36</v>
      </c>
      <c r="F424" s="104"/>
      <c r="G424" s="102">
        <f t="shared" si="6"/>
        <v>10281.36</v>
      </c>
      <c r="H424" s="103" t="s">
        <v>71</v>
      </c>
      <c r="I424" s="103"/>
    </row>
    <row r="425" spans="1:10" hidden="1">
      <c r="A425" s="103" t="s">
        <v>311</v>
      </c>
      <c r="B425" s="104">
        <v>0</v>
      </c>
      <c r="C425" s="104">
        <v>18656.96</v>
      </c>
      <c r="D425" s="104">
        <v>0</v>
      </c>
      <c r="E425" s="104">
        <v>18656.96</v>
      </c>
      <c r="F425" s="104"/>
      <c r="G425" s="102">
        <f t="shared" si="6"/>
        <v>18656.96</v>
      </c>
      <c r="H425" s="103" t="s">
        <v>71</v>
      </c>
      <c r="I425" s="103"/>
    </row>
    <row r="426" spans="1:10" hidden="1">
      <c r="A426" s="103" t="s">
        <v>312</v>
      </c>
      <c r="B426" s="104">
        <v>0</v>
      </c>
      <c r="C426" s="104">
        <v>50</v>
      </c>
      <c r="D426" s="104">
        <v>0</v>
      </c>
      <c r="E426" s="104">
        <v>50</v>
      </c>
      <c r="F426" s="104"/>
      <c r="G426" s="102">
        <f t="shared" si="6"/>
        <v>50</v>
      </c>
      <c r="H426" s="103" t="s">
        <v>71</v>
      </c>
      <c r="I426" s="103"/>
    </row>
    <row r="427" spans="1:10" hidden="1">
      <c r="A427" s="103" t="s">
        <v>313</v>
      </c>
      <c r="B427" s="104">
        <v>0</v>
      </c>
      <c r="C427" s="104">
        <v>40017</v>
      </c>
      <c r="D427" s="104">
        <v>2110</v>
      </c>
      <c r="E427" s="104">
        <v>37907</v>
      </c>
      <c r="F427" s="104"/>
      <c r="G427" s="102">
        <f t="shared" si="6"/>
        <v>37907</v>
      </c>
      <c r="H427" s="103" t="s">
        <v>71</v>
      </c>
      <c r="I427" s="103"/>
    </row>
    <row r="428" spans="1:10" hidden="1">
      <c r="A428" s="103" t="s">
        <v>1156</v>
      </c>
      <c r="B428" s="104">
        <v>0</v>
      </c>
      <c r="C428" s="104">
        <v>36750</v>
      </c>
      <c r="D428" s="104">
        <v>0</v>
      </c>
      <c r="E428" s="104">
        <v>36750</v>
      </c>
      <c r="F428" s="104"/>
      <c r="G428" s="102">
        <f t="shared" si="6"/>
        <v>36750</v>
      </c>
      <c r="H428" s="103" t="s">
        <v>66</v>
      </c>
      <c r="I428" s="103"/>
    </row>
    <row r="429" spans="1:10" hidden="1">
      <c r="A429" s="103" t="s">
        <v>1157</v>
      </c>
      <c r="B429" s="104">
        <v>0</v>
      </c>
      <c r="C429" s="104">
        <v>160000</v>
      </c>
      <c r="D429" s="104">
        <v>0</v>
      </c>
      <c r="E429" s="104">
        <v>160000</v>
      </c>
      <c r="F429" s="104"/>
      <c r="G429" s="102">
        <f t="shared" si="6"/>
        <v>160000</v>
      </c>
      <c r="H429" s="103" t="s">
        <v>66</v>
      </c>
      <c r="I429" s="103"/>
    </row>
    <row r="430" spans="1:10" hidden="1">
      <c r="A430" s="103" t="s">
        <v>329</v>
      </c>
      <c r="B430" s="104">
        <v>0</v>
      </c>
      <c r="C430" s="104">
        <v>48372</v>
      </c>
      <c r="D430" s="104">
        <v>26644</v>
      </c>
      <c r="E430" s="104">
        <v>21728</v>
      </c>
      <c r="F430" s="104">
        <v>19956</v>
      </c>
      <c r="G430" s="102">
        <f t="shared" si="6"/>
        <v>41684</v>
      </c>
      <c r="H430" s="103" t="s">
        <v>52</v>
      </c>
      <c r="I430" s="103"/>
    </row>
    <row r="431" spans="1:10" hidden="1">
      <c r="A431" s="103" t="s">
        <v>330</v>
      </c>
      <c r="B431" s="104">
        <v>0</v>
      </c>
      <c r="C431" s="104">
        <v>1207738</v>
      </c>
      <c r="D431" s="104">
        <v>665196</v>
      </c>
      <c r="E431" s="104">
        <v>542542</v>
      </c>
      <c r="F431" s="104">
        <v>498785</v>
      </c>
      <c r="G431" s="102">
        <f t="shared" si="6"/>
        <v>1041327</v>
      </c>
      <c r="H431" s="103" t="s">
        <v>52</v>
      </c>
      <c r="I431" s="103"/>
    </row>
    <row r="432" spans="1:10" hidden="1">
      <c r="A432" s="103" t="s">
        <v>364</v>
      </c>
      <c r="B432" s="104">
        <v>0</v>
      </c>
      <c r="C432" s="104">
        <v>123451</v>
      </c>
      <c r="D432" s="104">
        <v>0</v>
      </c>
      <c r="E432" s="104">
        <v>123451</v>
      </c>
      <c r="F432" s="104"/>
      <c r="G432" s="102">
        <f t="shared" si="6"/>
        <v>123451</v>
      </c>
      <c r="H432" s="103" t="s">
        <v>51</v>
      </c>
      <c r="I432" s="103">
        <f>SUMIF('APRIL - TB -'!A:A,'MAY- TB - '!A432,'APRIL - TB -'!E:E)</f>
        <v>67427</v>
      </c>
      <c r="J432" s="102">
        <f t="shared" ref="J432:J452" si="7">E432-I432</f>
        <v>56024</v>
      </c>
    </row>
    <row r="433" spans="1:10" hidden="1">
      <c r="A433" s="103" t="s">
        <v>365</v>
      </c>
      <c r="B433" s="104">
        <v>0</v>
      </c>
      <c r="C433" s="104">
        <v>2985079.71</v>
      </c>
      <c r="D433" s="104">
        <v>258768</v>
      </c>
      <c r="E433" s="104">
        <v>2726311.71</v>
      </c>
      <c r="F433" s="104"/>
      <c r="G433" s="102">
        <f t="shared" si="6"/>
        <v>2726311.71</v>
      </c>
      <c r="H433" s="103" t="s">
        <v>51</v>
      </c>
      <c r="I433" s="103">
        <f>SUMIF('APRIL - TB -'!A:A,'MAY- TB - '!A433,'APRIL - TB -'!E:E)</f>
        <v>1399125.64</v>
      </c>
      <c r="J433" s="102">
        <f t="shared" si="7"/>
        <v>1327186.07</v>
      </c>
    </row>
    <row r="434" spans="1:10" hidden="1">
      <c r="A434" s="103" t="s">
        <v>366</v>
      </c>
      <c r="B434" s="104">
        <v>0</v>
      </c>
      <c r="C434" s="104">
        <v>8242</v>
      </c>
      <c r="D434" s="104">
        <v>0</v>
      </c>
      <c r="E434" s="104">
        <v>8242</v>
      </c>
      <c r="F434" s="104"/>
      <c r="G434" s="102">
        <f t="shared" si="6"/>
        <v>8242</v>
      </c>
      <c r="H434" s="103" t="s">
        <v>51</v>
      </c>
      <c r="I434" s="103">
        <f>SUMIF('APRIL - TB -'!A:A,'MAY- TB - '!A434,'APRIL - TB -'!E:E)</f>
        <v>4381</v>
      </c>
      <c r="J434" s="102">
        <f t="shared" si="7"/>
        <v>3861</v>
      </c>
    </row>
    <row r="435" spans="1:10" hidden="1">
      <c r="A435" s="103" t="s">
        <v>706</v>
      </c>
      <c r="B435" s="104">
        <v>0</v>
      </c>
      <c r="C435" s="104">
        <v>400</v>
      </c>
      <c r="D435" s="104">
        <v>0</v>
      </c>
      <c r="E435" s="104">
        <v>400</v>
      </c>
      <c r="F435" s="104"/>
      <c r="G435" s="102">
        <f t="shared" si="6"/>
        <v>400</v>
      </c>
      <c r="H435" s="103" t="s">
        <v>51</v>
      </c>
      <c r="I435" s="103">
        <f>SUMIF('APRIL - TB -'!A:A,'MAY- TB - '!A435,'APRIL - TB -'!E:E)</f>
        <v>200</v>
      </c>
      <c r="J435" s="102">
        <f t="shared" si="7"/>
        <v>200</v>
      </c>
    </row>
    <row r="436" spans="1:10" hidden="1">
      <c r="A436" s="103" t="s">
        <v>367</v>
      </c>
      <c r="B436" s="104">
        <v>0</v>
      </c>
      <c r="C436" s="104">
        <v>6257154</v>
      </c>
      <c r="D436" s="104">
        <v>0</v>
      </c>
      <c r="E436" s="104">
        <v>6257154</v>
      </c>
      <c r="F436" s="104"/>
      <c r="G436" s="102">
        <f t="shared" si="6"/>
        <v>6257154</v>
      </c>
      <c r="H436" s="103" t="s">
        <v>51</v>
      </c>
      <c r="I436" s="103">
        <f>SUMIF('APRIL - TB -'!A:A,'MAY- TB - '!A436,'APRIL - TB -'!E:E)</f>
        <v>3242936</v>
      </c>
      <c r="J436" s="102">
        <f t="shared" si="7"/>
        <v>3014218</v>
      </c>
    </row>
    <row r="437" spans="1:10" hidden="1">
      <c r="A437" s="103" t="s">
        <v>368</v>
      </c>
      <c r="B437" s="104">
        <v>0</v>
      </c>
      <c r="C437" s="104">
        <v>580083</v>
      </c>
      <c r="D437" s="104">
        <v>0</v>
      </c>
      <c r="E437" s="104">
        <v>580083</v>
      </c>
      <c r="F437" s="104"/>
      <c r="G437" s="102">
        <f t="shared" si="6"/>
        <v>580083</v>
      </c>
      <c r="H437" s="103" t="s">
        <v>51</v>
      </c>
      <c r="I437" s="103">
        <f>SUMIF('APRIL - TB -'!A:A,'MAY- TB - '!A437,'APRIL - TB -'!E:E)</f>
        <v>309015</v>
      </c>
      <c r="J437" s="102">
        <f t="shared" si="7"/>
        <v>271068</v>
      </c>
    </row>
    <row r="438" spans="1:10" hidden="1">
      <c r="A438" s="103" t="s">
        <v>369</v>
      </c>
      <c r="B438" s="104">
        <v>0</v>
      </c>
      <c r="C438" s="104">
        <v>276156</v>
      </c>
      <c r="D438" s="104">
        <v>0</v>
      </c>
      <c r="E438" s="104">
        <v>276156</v>
      </c>
      <c r="F438" s="104"/>
      <c r="G438" s="102">
        <f t="shared" si="6"/>
        <v>276156</v>
      </c>
      <c r="H438" s="103" t="s">
        <v>51</v>
      </c>
      <c r="I438" s="103">
        <f>SUMIF('APRIL - TB -'!A:A,'MAY- TB - '!A438,'APRIL - TB -'!E:E)</f>
        <v>144545</v>
      </c>
      <c r="J438" s="102">
        <f t="shared" si="7"/>
        <v>131611</v>
      </c>
    </row>
    <row r="439" spans="1:10" hidden="1">
      <c r="A439" s="103" t="s">
        <v>370</v>
      </c>
      <c r="B439" s="104">
        <v>0</v>
      </c>
      <c r="C439" s="104">
        <v>321180</v>
      </c>
      <c r="D439" s="104">
        <v>0</v>
      </c>
      <c r="E439" s="104">
        <v>321180</v>
      </c>
      <c r="F439" s="104"/>
      <c r="G439" s="102">
        <f t="shared" si="6"/>
        <v>321180</v>
      </c>
      <c r="H439" s="103" t="s">
        <v>51</v>
      </c>
      <c r="I439" s="103">
        <f>SUMIF('APRIL - TB -'!A:A,'MAY- TB - '!A439,'APRIL - TB -'!E:E)</f>
        <v>175494</v>
      </c>
      <c r="J439" s="102">
        <f t="shared" si="7"/>
        <v>145686</v>
      </c>
    </row>
    <row r="440" spans="1:10" hidden="1">
      <c r="A440" s="103" t="s">
        <v>371</v>
      </c>
      <c r="B440" s="104">
        <v>0</v>
      </c>
      <c r="C440" s="104">
        <v>566368</v>
      </c>
      <c r="D440" s="104">
        <v>0</v>
      </c>
      <c r="E440" s="104">
        <v>566368</v>
      </c>
      <c r="F440" s="104"/>
      <c r="G440" s="102">
        <f t="shared" si="6"/>
        <v>566368</v>
      </c>
      <c r="H440" s="103" t="s">
        <v>51</v>
      </c>
      <c r="I440" s="103">
        <f>SUMIF('APRIL - TB -'!A:A,'MAY- TB - '!A440,'APRIL - TB -'!E:E)</f>
        <v>295640</v>
      </c>
      <c r="J440" s="102">
        <f t="shared" si="7"/>
        <v>270728</v>
      </c>
    </row>
    <row r="441" spans="1:10" hidden="1">
      <c r="A441" s="103" t="s">
        <v>372</v>
      </c>
      <c r="B441" s="104">
        <v>0</v>
      </c>
      <c r="C441" s="104">
        <v>196387</v>
      </c>
      <c r="D441" s="104">
        <v>0</v>
      </c>
      <c r="E441" s="104">
        <v>196387</v>
      </c>
      <c r="F441" s="104"/>
      <c r="G441" s="102">
        <f t="shared" si="6"/>
        <v>196387</v>
      </c>
      <c r="H441" s="103" t="s">
        <v>51</v>
      </c>
      <c r="I441" s="103">
        <f>SUMIF('APRIL - TB -'!A:A,'MAY- TB - '!A441,'APRIL - TB -'!E:E)</f>
        <v>108046</v>
      </c>
      <c r="J441" s="102">
        <f t="shared" si="7"/>
        <v>88341</v>
      </c>
    </row>
    <row r="442" spans="1:10" hidden="1">
      <c r="A442" s="103" t="s">
        <v>373</v>
      </c>
      <c r="B442" s="104">
        <v>0</v>
      </c>
      <c r="C442" s="104">
        <v>609432</v>
      </c>
      <c r="D442" s="104">
        <v>0</v>
      </c>
      <c r="E442" s="104">
        <v>609432</v>
      </c>
      <c r="F442" s="104"/>
      <c r="G442" s="102">
        <f t="shared" si="6"/>
        <v>609432</v>
      </c>
      <c r="H442" s="103" t="s">
        <v>51</v>
      </c>
      <c r="I442" s="103">
        <f>SUMIF('APRIL - TB -'!A:A,'MAY- TB - '!A442,'APRIL - TB -'!E:E)</f>
        <v>322078</v>
      </c>
      <c r="J442" s="102">
        <f t="shared" si="7"/>
        <v>287354</v>
      </c>
    </row>
    <row r="443" spans="1:10" hidden="1">
      <c r="A443" s="103" t="s">
        <v>1158</v>
      </c>
      <c r="B443" s="104">
        <v>0</v>
      </c>
      <c r="C443" s="104">
        <v>10000</v>
      </c>
      <c r="D443" s="104">
        <v>0</v>
      </c>
      <c r="E443" s="104">
        <v>10000</v>
      </c>
      <c r="F443" s="104"/>
      <c r="G443" s="102">
        <f t="shared" si="6"/>
        <v>10000</v>
      </c>
      <c r="H443" s="103" t="s">
        <v>51</v>
      </c>
      <c r="I443" s="103">
        <f>SUMIF('APRIL - TB -'!A:A,'MAY- TB - '!A443,'APRIL - TB -'!E:E)</f>
        <v>0</v>
      </c>
      <c r="J443" s="102">
        <f t="shared" si="7"/>
        <v>10000</v>
      </c>
    </row>
    <row r="444" spans="1:10" hidden="1">
      <c r="A444" s="103" t="s">
        <v>374</v>
      </c>
      <c r="B444" s="104">
        <v>0</v>
      </c>
      <c r="C444" s="104">
        <v>2179233.39</v>
      </c>
      <c r="D444" s="104">
        <v>0</v>
      </c>
      <c r="E444" s="104">
        <v>2179233.39</v>
      </c>
      <c r="F444" s="104"/>
      <c r="G444" s="102">
        <f t="shared" si="6"/>
        <v>2179233.39</v>
      </c>
      <c r="H444" s="103" t="s">
        <v>51</v>
      </c>
      <c r="I444" s="103">
        <f>SUMIF('APRIL - TB -'!A:A,'MAY- TB - '!A444,'APRIL - TB -'!E:E)</f>
        <v>1125313.26</v>
      </c>
      <c r="J444" s="102">
        <f t="shared" si="7"/>
        <v>1053920.1300000001</v>
      </c>
    </row>
    <row r="445" spans="1:10" hidden="1">
      <c r="A445" s="103" t="s">
        <v>363</v>
      </c>
      <c r="B445" s="104">
        <v>0</v>
      </c>
      <c r="C445" s="104">
        <v>171450</v>
      </c>
      <c r="D445" s="104">
        <v>0</v>
      </c>
      <c r="E445" s="104">
        <v>171450</v>
      </c>
      <c r="F445" s="104"/>
      <c r="G445" s="102">
        <f t="shared" si="6"/>
        <v>171450</v>
      </c>
      <c r="H445" s="103" t="s">
        <v>51</v>
      </c>
      <c r="I445" s="103">
        <f>SUMIF('APRIL - TB -'!A:A,'MAY- TB - '!A445,'APRIL - TB -'!E:E)</f>
        <v>90300</v>
      </c>
      <c r="J445" s="102">
        <f t="shared" si="7"/>
        <v>81150</v>
      </c>
    </row>
    <row r="446" spans="1:10" hidden="1">
      <c r="A446" s="103" t="s">
        <v>707</v>
      </c>
      <c r="B446" s="104">
        <v>0</v>
      </c>
      <c r="C446" s="104">
        <v>581522</v>
      </c>
      <c r="D446" s="104">
        <v>321950</v>
      </c>
      <c r="E446" s="104">
        <v>259572</v>
      </c>
      <c r="F446" s="104">
        <v>239694</v>
      </c>
      <c r="G446" s="102">
        <f t="shared" si="6"/>
        <v>499266</v>
      </c>
      <c r="H446" s="103" t="s">
        <v>51</v>
      </c>
      <c r="I446" s="103">
        <f>SUMIF('APRIL - TB -'!A:A,'MAY- TB - '!A446,'APRIL - TB -'!E:E)</f>
        <v>0</v>
      </c>
      <c r="J446" s="102">
        <f t="shared" si="7"/>
        <v>259572</v>
      </c>
    </row>
    <row r="447" spans="1:10" hidden="1">
      <c r="A447" s="103" t="s">
        <v>708</v>
      </c>
      <c r="B447" s="104">
        <v>0</v>
      </c>
      <c r="C447" s="104">
        <v>1180256</v>
      </c>
      <c r="D447" s="104">
        <v>0</v>
      </c>
      <c r="E447" s="104">
        <v>1180256</v>
      </c>
      <c r="F447" s="104"/>
      <c r="G447" s="102">
        <f t="shared" si="6"/>
        <v>1180256</v>
      </c>
      <c r="H447" s="103" t="s">
        <v>51</v>
      </c>
      <c r="I447" s="103">
        <f>SUMIF('APRIL - TB -'!A:A,'MAY- TB - '!A447,'APRIL - TB -'!E:E)</f>
        <v>533841</v>
      </c>
      <c r="J447" s="102">
        <f t="shared" si="7"/>
        <v>646415</v>
      </c>
    </row>
    <row r="448" spans="1:10" hidden="1">
      <c r="A448" s="103" t="s">
        <v>352</v>
      </c>
      <c r="B448" s="104">
        <v>0</v>
      </c>
      <c r="C448" s="104">
        <v>3924466</v>
      </c>
      <c r="D448" s="104">
        <v>0</v>
      </c>
      <c r="E448" s="104">
        <v>3924466</v>
      </c>
      <c r="F448" s="104"/>
      <c r="G448" s="102">
        <f t="shared" si="6"/>
        <v>3924466</v>
      </c>
      <c r="H448" s="103" t="s">
        <v>51</v>
      </c>
      <c r="I448" s="103">
        <f>SUMIF('APRIL - TB -'!A:A,'MAY- TB - '!A448,'APRIL - TB -'!E:E)</f>
        <v>1953493</v>
      </c>
      <c r="J448" s="102">
        <f t="shared" si="7"/>
        <v>1970973</v>
      </c>
    </row>
    <row r="449" spans="1:10" hidden="1">
      <c r="A449" s="103" t="s">
        <v>327</v>
      </c>
      <c r="B449" s="104">
        <v>0</v>
      </c>
      <c r="C449" s="104">
        <v>0</v>
      </c>
      <c r="D449" s="104">
        <v>55771</v>
      </c>
      <c r="E449" s="104">
        <v>-55771</v>
      </c>
      <c r="F449" s="104"/>
      <c r="G449" s="102">
        <f t="shared" si="6"/>
        <v>-55771</v>
      </c>
      <c r="H449" s="103" t="s">
        <v>51</v>
      </c>
      <c r="I449" s="103">
        <f>SUMIF('APRIL - TB -'!A:A,'MAY- TB - '!A449,'APRIL - TB -'!E:E)</f>
        <v>-29771</v>
      </c>
      <c r="J449" s="102">
        <f t="shared" si="7"/>
        <v>-26000</v>
      </c>
    </row>
    <row r="450" spans="1:10" hidden="1">
      <c r="A450" s="103" t="s">
        <v>309</v>
      </c>
      <c r="B450" s="104">
        <v>0</v>
      </c>
      <c r="C450" s="104">
        <v>9785172</v>
      </c>
      <c r="D450" s="104">
        <v>0</v>
      </c>
      <c r="E450" s="104">
        <v>9785172</v>
      </c>
      <c r="F450" s="104"/>
      <c r="G450" s="102">
        <f t="shared" si="6"/>
        <v>9785172</v>
      </c>
      <c r="H450" s="103" t="s">
        <v>51</v>
      </c>
      <c r="I450" s="103">
        <f>SUMIF('APRIL - TB -'!A:A,'MAY- TB - '!A450,'APRIL - TB -'!E:E)</f>
        <v>5079018</v>
      </c>
      <c r="J450" s="102">
        <f t="shared" si="7"/>
        <v>4706154</v>
      </c>
    </row>
    <row r="451" spans="1:10" hidden="1">
      <c r="A451" s="103" t="s">
        <v>709</v>
      </c>
      <c r="B451" s="104">
        <v>0</v>
      </c>
      <c r="C451" s="104">
        <v>66158</v>
      </c>
      <c r="D451" s="104">
        <v>0</v>
      </c>
      <c r="E451" s="104">
        <v>66158</v>
      </c>
      <c r="F451" s="104"/>
      <c r="G451" s="102">
        <f t="shared" ref="G451:G514" si="8">E451+F451</f>
        <v>66158</v>
      </c>
      <c r="H451" s="103" t="s">
        <v>51</v>
      </c>
      <c r="I451" s="103">
        <f>SUMIF('APRIL - TB -'!A:A,'MAY- TB - '!A451,'APRIL - TB -'!E:E)</f>
        <v>29564</v>
      </c>
      <c r="J451" s="102">
        <f t="shared" si="7"/>
        <v>36594</v>
      </c>
    </row>
    <row r="452" spans="1:10" hidden="1">
      <c r="A452" s="103" t="s">
        <v>710</v>
      </c>
      <c r="B452" s="104">
        <v>0</v>
      </c>
      <c r="C452" s="104">
        <v>769212.5</v>
      </c>
      <c r="D452" s="104">
        <v>0</v>
      </c>
      <c r="E452" s="104">
        <v>769212.5</v>
      </c>
      <c r="F452" s="104"/>
      <c r="G452" s="102">
        <f t="shared" si="8"/>
        <v>769212.5</v>
      </c>
      <c r="H452" s="103" t="s">
        <v>51</v>
      </c>
      <c r="I452" s="103">
        <f>SUMIF('APRIL - TB -'!A:A,'MAY- TB - '!A452,'APRIL - TB -'!E:E)</f>
        <v>384865</v>
      </c>
      <c r="J452" s="102">
        <f t="shared" si="7"/>
        <v>384347.5</v>
      </c>
    </row>
    <row r="453" spans="1:10" hidden="1">
      <c r="A453" s="103" t="s">
        <v>353</v>
      </c>
      <c r="B453" s="104">
        <v>0</v>
      </c>
      <c r="C453" s="104">
        <v>368305.24</v>
      </c>
      <c r="D453" s="104">
        <v>133060</v>
      </c>
      <c r="E453" s="104">
        <v>235245.24</v>
      </c>
      <c r="F453" s="104"/>
      <c r="G453" s="102">
        <f t="shared" si="8"/>
        <v>235245.24</v>
      </c>
      <c r="H453" s="103" t="s">
        <v>54</v>
      </c>
      <c r="I453" s="103"/>
    </row>
    <row r="454" spans="1:10" hidden="1">
      <c r="A454" s="103" t="s">
        <v>344</v>
      </c>
      <c r="B454" s="104">
        <v>0</v>
      </c>
      <c r="C454" s="104">
        <v>29981</v>
      </c>
      <c r="D454" s="104">
        <v>0</v>
      </c>
      <c r="E454" s="104">
        <v>29981</v>
      </c>
      <c r="F454" s="104"/>
      <c r="G454" s="102">
        <f t="shared" si="8"/>
        <v>29981</v>
      </c>
      <c r="H454" s="103" t="s">
        <v>54</v>
      </c>
      <c r="I454" s="103"/>
    </row>
    <row r="455" spans="1:10" hidden="1">
      <c r="A455" s="103" t="s">
        <v>359</v>
      </c>
      <c r="B455" s="104">
        <v>0</v>
      </c>
      <c r="C455" s="104">
        <v>506563.8</v>
      </c>
      <c r="D455" s="104">
        <v>1669.95</v>
      </c>
      <c r="E455" s="104">
        <v>504893.85</v>
      </c>
      <c r="F455" s="104"/>
      <c r="G455" s="102">
        <f t="shared" si="8"/>
        <v>504893.85</v>
      </c>
      <c r="H455" s="103" t="s">
        <v>1054</v>
      </c>
      <c r="I455" s="103"/>
    </row>
    <row r="456" spans="1:10" hidden="1">
      <c r="A456" s="103" t="s">
        <v>1043</v>
      </c>
      <c r="B456" s="104">
        <v>0</v>
      </c>
      <c r="C456" s="104">
        <v>29500</v>
      </c>
      <c r="D456" s="104">
        <v>0</v>
      </c>
      <c r="E456" s="104">
        <v>29500</v>
      </c>
      <c r="F456" s="104"/>
      <c r="G456" s="102">
        <f t="shared" si="8"/>
        <v>29500</v>
      </c>
      <c r="H456" s="103" t="s">
        <v>1054</v>
      </c>
      <c r="I456" s="103"/>
    </row>
    <row r="457" spans="1:10" hidden="1">
      <c r="A457" s="103" t="s">
        <v>711</v>
      </c>
      <c r="B457" s="104">
        <v>0</v>
      </c>
      <c r="C457" s="104">
        <v>11254.8</v>
      </c>
      <c r="D457" s="104">
        <v>0</v>
      </c>
      <c r="E457" s="104">
        <v>11254.8</v>
      </c>
      <c r="F457" s="104"/>
      <c r="G457" s="102">
        <f t="shared" si="8"/>
        <v>11254.8</v>
      </c>
      <c r="H457" s="103" t="s">
        <v>1054</v>
      </c>
      <c r="I457" s="103"/>
    </row>
    <row r="458" spans="1:10" hidden="1">
      <c r="A458" s="103" t="s">
        <v>712</v>
      </c>
      <c r="B458" s="104">
        <v>0</v>
      </c>
      <c r="C458" s="104">
        <v>2360</v>
      </c>
      <c r="D458" s="104">
        <v>0</v>
      </c>
      <c r="E458" s="104">
        <v>2360</v>
      </c>
      <c r="F458" s="104"/>
      <c r="G458" s="102">
        <f t="shared" si="8"/>
        <v>2360</v>
      </c>
      <c r="H458" s="103" t="s">
        <v>1054</v>
      </c>
      <c r="I458" s="103"/>
    </row>
    <row r="459" spans="1:10" hidden="1">
      <c r="A459" s="103" t="s">
        <v>360</v>
      </c>
      <c r="B459" s="104">
        <v>0</v>
      </c>
      <c r="C459" s="104">
        <v>71282.12</v>
      </c>
      <c r="D459" s="104">
        <v>0</v>
      </c>
      <c r="E459" s="104">
        <v>71282.12</v>
      </c>
      <c r="F459" s="104"/>
      <c r="G459" s="102">
        <f t="shared" si="8"/>
        <v>71282.12</v>
      </c>
      <c r="H459" s="103" t="s">
        <v>1054</v>
      </c>
      <c r="I459" s="103"/>
    </row>
    <row r="460" spans="1:10" hidden="1">
      <c r="A460" s="103" t="s">
        <v>414</v>
      </c>
      <c r="B460" s="104">
        <v>0</v>
      </c>
      <c r="C460" s="104">
        <v>2920</v>
      </c>
      <c r="D460" s="104">
        <v>0</v>
      </c>
      <c r="E460" s="104">
        <v>2920</v>
      </c>
      <c r="F460" s="104"/>
      <c r="G460" s="102">
        <f t="shared" si="8"/>
        <v>2920</v>
      </c>
      <c r="H460" s="103" t="s">
        <v>1054</v>
      </c>
      <c r="I460" s="103"/>
    </row>
    <row r="461" spans="1:10" hidden="1">
      <c r="A461" s="103" t="s">
        <v>361</v>
      </c>
      <c r="B461" s="104">
        <v>0</v>
      </c>
      <c r="C461" s="104">
        <v>6000</v>
      </c>
      <c r="D461" s="104">
        <v>0</v>
      </c>
      <c r="E461" s="104">
        <v>6000</v>
      </c>
      <c r="F461" s="104"/>
      <c r="G461" s="102">
        <f t="shared" si="8"/>
        <v>6000</v>
      </c>
      <c r="H461" s="103" t="s">
        <v>1054</v>
      </c>
      <c r="I461" s="103"/>
    </row>
    <row r="462" spans="1:10" hidden="1">
      <c r="A462" s="103" t="s">
        <v>713</v>
      </c>
      <c r="B462" s="104">
        <v>0</v>
      </c>
      <c r="C462" s="104">
        <v>2360</v>
      </c>
      <c r="D462" s="104">
        <v>0</v>
      </c>
      <c r="E462" s="104">
        <v>2360</v>
      </c>
      <c r="F462" s="104"/>
      <c r="G462" s="102">
        <f t="shared" si="8"/>
        <v>2360</v>
      </c>
      <c r="H462" s="103" t="s">
        <v>1054</v>
      </c>
      <c r="I462" s="103"/>
    </row>
    <row r="463" spans="1:10" hidden="1">
      <c r="A463" s="103" t="s">
        <v>362</v>
      </c>
      <c r="B463" s="104">
        <v>0</v>
      </c>
      <c r="C463" s="104">
        <v>843629.25</v>
      </c>
      <c r="D463" s="104">
        <v>708677.28</v>
      </c>
      <c r="E463" s="104">
        <v>134951.97</v>
      </c>
      <c r="F463" s="104"/>
      <c r="G463" s="102">
        <f t="shared" si="8"/>
        <v>134951.97</v>
      </c>
      <c r="H463" s="103" t="s">
        <v>1054</v>
      </c>
      <c r="I463" s="103"/>
    </row>
    <row r="464" spans="1:10" hidden="1">
      <c r="A464" s="103" t="s">
        <v>357</v>
      </c>
      <c r="B464" s="104">
        <v>0</v>
      </c>
      <c r="C464" s="104">
        <v>25162830.379999999</v>
      </c>
      <c r="D464" s="104">
        <v>8899417.8399999999</v>
      </c>
      <c r="E464" s="104">
        <v>16263412.539999999</v>
      </c>
      <c r="F464" s="108">
        <v>-25161872</v>
      </c>
      <c r="G464" s="102">
        <f t="shared" si="8"/>
        <v>-8898459.4600000009</v>
      </c>
      <c r="H464" s="103" t="s">
        <v>73</v>
      </c>
      <c r="I464" s="103"/>
    </row>
    <row r="465" spans="1:9" hidden="1">
      <c r="A465" s="166" t="s">
        <v>714</v>
      </c>
      <c r="B465" s="102">
        <v>0</v>
      </c>
      <c r="C465" s="102">
        <v>22116.86</v>
      </c>
      <c r="D465" s="102">
        <v>0</v>
      </c>
      <c r="E465" s="102">
        <v>22116.86</v>
      </c>
      <c r="G465" s="102">
        <f t="shared" si="8"/>
        <v>22116.86</v>
      </c>
      <c r="H465" s="103" t="s">
        <v>73</v>
      </c>
    </row>
    <row r="466" spans="1:9" hidden="1">
      <c r="A466" s="103" t="s">
        <v>1044</v>
      </c>
      <c r="B466" s="104">
        <v>0</v>
      </c>
      <c r="C466" s="104">
        <v>4242539</v>
      </c>
      <c r="D466" s="104">
        <v>0</v>
      </c>
      <c r="E466" s="104">
        <v>4242539</v>
      </c>
      <c r="F466" s="104"/>
      <c r="G466" s="102">
        <f t="shared" si="8"/>
        <v>4242539</v>
      </c>
      <c r="H466" s="103" t="s">
        <v>1055</v>
      </c>
      <c r="I466" s="103"/>
    </row>
    <row r="467" spans="1:9" hidden="1">
      <c r="A467" s="103" t="s">
        <v>346</v>
      </c>
      <c r="B467" s="104">
        <v>0</v>
      </c>
      <c r="C467" s="104">
        <v>261835.84</v>
      </c>
      <c r="D467" s="104">
        <v>0</v>
      </c>
      <c r="E467" s="104">
        <v>261835.84</v>
      </c>
      <c r="F467" s="104"/>
      <c r="G467" s="102">
        <f t="shared" si="8"/>
        <v>261835.84</v>
      </c>
      <c r="H467" s="103" t="s">
        <v>1054</v>
      </c>
      <c r="I467" s="103"/>
    </row>
    <row r="468" spans="1:9" hidden="1">
      <c r="A468" s="103" t="s">
        <v>715</v>
      </c>
      <c r="B468" s="104">
        <v>0</v>
      </c>
      <c r="C468" s="104">
        <v>4626218.51</v>
      </c>
      <c r="D468" s="104">
        <v>129875.02</v>
      </c>
      <c r="E468" s="104">
        <v>4496343.49</v>
      </c>
      <c r="F468" s="104"/>
      <c r="G468" s="102">
        <f t="shared" si="8"/>
        <v>4496343.49</v>
      </c>
      <c r="H468" s="103" t="s">
        <v>339</v>
      </c>
      <c r="I468" s="103"/>
    </row>
    <row r="469" spans="1:9" hidden="1">
      <c r="A469" s="103" t="s">
        <v>338</v>
      </c>
      <c r="B469" s="104">
        <v>0</v>
      </c>
      <c r="C469" s="104">
        <v>1594988.94</v>
      </c>
      <c r="D469" s="104">
        <v>842849.76</v>
      </c>
      <c r="E469" s="104">
        <v>752139.18</v>
      </c>
      <c r="F469" s="104"/>
      <c r="G469" s="102">
        <f t="shared" si="8"/>
        <v>752139.18</v>
      </c>
      <c r="H469" s="103" t="s">
        <v>339</v>
      </c>
      <c r="I469" s="103"/>
    </row>
    <row r="470" spans="1:9" hidden="1">
      <c r="A470" s="103" t="s">
        <v>716</v>
      </c>
      <c r="B470" s="104">
        <v>0</v>
      </c>
      <c r="C470" s="104">
        <v>2094632.1</v>
      </c>
      <c r="D470" s="104">
        <v>0</v>
      </c>
      <c r="E470" s="104">
        <v>2094632.1</v>
      </c>
      <c r="F470" s="104"/>
      <c r="G470" s="102">
        <f t="shared" si="8"/>
        <v>2094632.1</v>
      </c>
      <c r="H470" s="103" t="s">
        <v>339</v>
      </c>
      <c r="I470" s="103"/>
    </row>
    <row r="471" spans="1:9" hidden="1">
      <c r="A471" s="103" t="s">
        <v>717</v>
      </c>
      <c r="B471" s="104">
        <v>0</v>
      </c>
      <c r="C471" s="104">
        <v>2067437</v>
      </c>
      <c r="D471" s="104">
        <v>0</v>
      </c>
      <c r="E471" s="104">
        <v>2067437</v>
      </c>
      <c r="F471" s="104"/>
      <c r="G471" s="102">
        <f t="shared" si="8"/>
        <v>2067437</v>
      </c>
      <c r="H471" s="103" t="s">
        <v>1056</v>
      </c>
      <c r="I471" s="103"/>
    </row>
    <row r="472" spans="1:9" hidden="1">
      <c r="A472" s="103" t="s">
        <v>339</v>
      </c>
      <c r="B472" s="104">
        <v>0</v>
      </c>
      <c r="C472" s="104">
        <v>271895.84000000003</v>
      </c>
      <c r="D472" s="104">
        <v>56823</v>
      </c>
      <c r="E472" s="104">
        <v>215072.84</v>
      </c>
      <c r="F472" s="104"/>
      <c r="G472" s="102">
        <f t="shared" si="8"/>
        <v>215072.84</v>
      </c>
      <c r="H472" s="103" t="s">
        <v>339</v>
      </c>
      <c r="I472" s="103"/>
    </row>
    <row r="473" spans="1:9" hidden="1">
      <c r="A473" s="103" t="s">
        <v>1441</v>
      </c>
      <c r="B473" s="104">
        <v>0</v>
      </c>
      <c r="C473" s="104">
        <v>0</v>
      </c>
      <c r="D473" s="104">
        <v>500000</v>
      </c>
      <c r="E473" s="104">
        <v>-500000</v>
      </c>
      <c r="F473" s="104">
        <v>500000</v>
      </c>
      <c r="G473" s="102">
        <f t="shared" si="8"/>
        <v>0</v>
      </c>
      <c r="H473" s="103" t="s">
        <v>71</v>
      </c>
      <c r="I473" s="103"/>
    </row>
    <row r="474" spans="1:9" hidden="1">
      <c r="A474" s="101" t="s">
        <v>1159</v>
      </c>
      <c r="B474" s="102">
        <v>0</v>
      </c>
      <c r="C474" s="102">
        <v>271.67</v>
      </c>
      <c r="D474" s="102">
        <v>0</v>
      </c>
      <c r="E474" s="102">
        <v>271.67</v>
      </c>
      <c r="G474" s="102">
        <f t="shared" si="8"/>
        <v>271.67</v>
      </c>
      <c r="H474" s="101" t="s">
        <v>80</v>
      </c>
    </row>
    <row r="475" spans="1:9" hidden="1">
      <c r="A475" s="101" t="s">
        <v>1160</v>
      </c>
      <c r="B475" s="102">
        <v>0</v>
      </c>
      <c r="C475" s="102">
        <v>890</v>
      </c>
      <c r="D475" s="102">
        <v>0</v>
      </c>
      <c r="E475" s="102">
        <v>890</v>
      </c>
      <c r="G475" s="102">
        <f t="shared" si="8"/>
        <v>890</v>
      </c>
      <c r="H475" s="101" t="s">
        <v>80</v>
      </c>
    </row>
    <row r="476" spans="1:9" hidden="1">
      <c r="A476" s="103" t="s">
        <v>334</v>
      </c>
      <c r="B476" s="104">
        <v>0</v>
      </c>
      <c r="C476" s="104">
        <v>2162641</v>
      </c>
      <c r="D476" s="104">
        <v>0</v>
      </c>
      <c r="E476" s="104">
        <v>2162641</v>
      </c>
      <c r="F476" s="104"/>
      <c r="G476" s="102">
        <f t="shared" si="8"/>
        <v>2162641</v>
      </c>
      <c r="H476" s="103" t="s">
        <v>71</v>
      </c>
      <c r="I476" s="103"/>
    </row>
    <row r="477" spans="1:9" hidden="1">
      <c r="A477" s="103" t="s">
        <v>337</v>
      </c>
      <c r="B477" s="104">
        <v>0</v>
      </c>
      <c r="C477" s="104">
        <v>342799</v>
      </c>
      <c r="D477" s="104">
        <v>0</v>
      </c>
      <c r="E477" s="104">
        <v>342799</v>
      </c>
      <c r="F477" s="108">
        <f>2200800/12+183400</f>
        <v>366800</v>
      </c>
      <c r="G477" s="102">
        <f t="shared" si="8"/>
        <v>709599</v>
      </c>
      <c r="H477" s="103" t="s">
        <v>70</v>
      </c>
      <c r="I477" s="103"/>
    </row>
    <row r="478" spans="1:9" hidden="1">
      <c r="A478" s="103" t="s">
        <v>342</v>
      </c>
      <c r="B478" s="104">
        <v>0</v>
      </c>
      <c r="C478" s="104">
        <v>3820</v>
      </c>
      <c r="D478" s="104">
        <v>0</v>
      </c>
      <c r="E478" s="104">
        <v>3820</v>
      </c>
      <c r="F478" s="104"/>
      <c r="G478" s="102">
        <f t="shared" si="8"/>
        <v>3820</v>
      </c>
      <c r="H478" s="103" t="s">
        <v>71</v>
      </c>
      <c r="I478" s="103"/>
    </row>
    <row r="479" spans="1:9" hidden="1">
      <c r="A479" s="103" t="s">
        <v>324</v>
      </c>
      <c r="B479" s="104">
        <v>0</v>
      </c>
      <c r="C479" s="104">
        <v>792788.9</v>
      </c>
      <c r="D479" s="104">
        <v>243750</v>
      </c>
      <c r="E479" s="104">
        <v>549038.9</v>
      </c>
      <c r="F479" s="104"/>
      <c r="G479" s="102">
        <f t="shared" si="8"/>
        <v>549038.9</v>
      </c>
      <c r="H479" s="103" t="s">
        <v>71</v>
      </c>
      <c r="I479" s="103"/>
    </row>
    <row r="480" spans="1:9" hidden="1">
      <c r="A480" s="103" t="s">
        <v>354</v>
      </c>
      <c r="B480" s="104">
        <v>0</v>
      </c>
      <c r="C480" s="104">
        <v>2110569.2999999998</v>
      </c>
      <c r="D480" s="104">
        <v>0</v>
      </c>
      <c r="E480" s="104">
        <v>2110569.2999999998</v>
      </c>
      <c r="F480" s="104"/>
      <c r="G480" s="102">
        <f t="shared" si="8"/>
        <v>2110569.2999999998</v>
      </c>
      <c r="H480" s="103" t="s">
        <v>67</v>
      </c>
      <c r="I480" s="103"/>
    </row>
    <row r="481" spans="1:12" hidden="1">
      <c r="A481" s="103" t="s">
        <v>1161</v>
      </c>
      <c r="B481" s="104">
        <v>0</v>
      </c>
      <c r="C481" s="104">
        <v>68300.73</v>
      </c>
      <c r="D481" s="104">
        <v>0</v>
      </c>
      <c r="E481" s="104">
        <v>68300.73</v>
      </c>
      <c r="F481" s="104"/>
      <c r="G481" s="102">
        <f t="shared" si="8"/>
        <v>68300.73</v>
      </c>
      <c r="H481" s="103" t="s">
        <v>303</v>
      </c>
      <c r="I481" s="103">
        <f>SUMIF('APRIL - TB -'!A:A,'MAY- TB - '!A481,'APRIL - TB -'!E:E)</f>
        <v>0</v>
      </c>
      <c r="J481" s="102">
        <f t="shared" ref="J481" si="9">E481-I481</f>
        <v>68300.73</v>
      </c>
      <c r="L481" s="102">
        <f>J481-K481</f>
        <v>68300.73</v>
      </c>
    </row>
    <row r="482" spans="1:12" hidden="1">
      <c r="A482" s="103" t="s">
        <v>718</v>
      </c>
      <c r="B482" s="104">
        <v>0</v>
      </c>
      <c r="C482" s="104">
        <v>16073.88</v>
      </c>
      <c r="D482" s="104">
        <v>0</v>
      </c>
      <c r="E482" s="104">
        <v>16073.88</v>
      </c>
      <c r="F482" s="104"/>
      <c r="G482" s="102">
        <f t="shared" si="8"/>
        <v>16073.88</v>
      </c>
      <c r="H482" s="103" t="s">
        <v>67</v>
      </c>
      <c r="I482" s="103"/>
    </row>
    <row r="483" spans="1:12" hidden="1">
      <c r="A483" s="103" t="s">
        <v>398</v>
      </c>
      <c r="B483" s="104">
        <v>0</v>
      </c>
      <c r="C483" s="104">
        <v>2036.06</v>
      </c>
      <c r="D483" s="104">
        <v>708</v>
      </c>
      <c r="E483" s="104">
        <v>1328.06</v>
      </c>
      <c r="F483" s="104"/>
      <c r="G483" s="102">
        <f t="shared" si="8"/>
        <v>1328.06</v>
      </c>
      <c r="H483" s="103" t="s">
        <v>71</v>
      </c>
      <c r="I483" s="103"/>
    </row>
    <row r="484" spans="1:12" hidden="1">
      <c r="A484" s="103" t="s">
        <v>349</v>
      </c>
      <c r="B484" s="104">
        <v>0</v>
      </c>
      <c r="C484" s="104">
        <v>994350</v>
      </c>
      <c r="D484" s="104">
        <f>13955372.74</f>
        <v>13955372.74</v>
      </c>
      <c r="E484" s="104">
        <f>C484-D484</f>
        <v>-12961022.74</v>
      </c>
      <c r="F484" s="108">
        <v>-10733989</v>
      </c>
      <c r="G484" s="108">
        <f>E484-F484</f>
        <v>-2227033.7400000002</v>
      </c>
      <c r="H484" s="103" t="s">
        <v>67</v>
      </c>
      <c r="I484" s="103"/>
    </row>
    <row r="485" spans="1:12" hidden="1">
      <c r="A485" s="103" t="s">
        <v>350</v>
      </c>
      <c r="B485" s="104">
        <v>0</v>
      </c>
      <c r="C485" s="104">
        <v>845000</v>
      </c>
      <c r="D485" s="104">
        <v>0</v>
      </c>
      <c r="E485" s="104">
        <v>845000</v>
      </c>
      <c r="F485" s="104"/>
      <c r="G485" s="102">
        <f t="shared" si="8"/>
        <v>845000</v>
      </c>
      <c r="H485" s="103" t="s">
        <v>67</v>
      </c>
      <c r="I485" s="103"/>
    </row>
    <row r="486" spans="1:12" hidden="1">
      <c r="A486" s="103" t="s">
        <v>351</v>
      </c>
      <c r="B486" s="104">
        <v>0</v>
      </c>
      <c r="C486" s="104">
        <v>3010198.72</v>
      </c>
      <c r="D486" s="104">
        <v>4200</v>
      </c>
      <c r="E486" s="104">
        <v>3005998.72</v>
      </c>
      <c r="F486" s="104"/>
      <c r="G486" s="102">
        <f t="shared" si="8"/>
        <v>3005998.72</v>
      </c>
      <c r="H486" s="103" t="s">
        <v>67</v>
      </c>
      <c r="I486" s="103"/>
    </row>
    <row r="487" spans="1:12" hidden="1">
      <c r="A487" s="103" t="s">
        <v>1162</v>
      </c>
      <c r="B487" s="104">
        <v>0</v>
      </c>
      <c r="C487" s="104">
        <v>23800</v>
      </c>
      <c r="D487" s="104">
        <v>0</v>
      </c>
      <c r="E487" s="104">
        <v>23800</v>
      </c>
      <c r="F487" s="104"/>
      <c r="G487" s="102">
        <f t="shared" si="8"/>
        <v>23800</v>
      </c>
      <c r="H487" s="103" t="s">
        <v>67</v>
      </c>
      <c r="I487" s="103"/>
    </row>
    <row r="488" spans="1:12" hidden="1">
      <c r="A488" s="103" t="s">
        <v>1163</v>
      </c>
      <c r="B488" s="104">
        <v>0</v>
      </c>
      <c r="C488" s="104">
        <v>11457.6</v>
      </c>
      <c r="D488" s="104">
        <v>0</v>
      </c>
      <c r="E488" s="104">
        <v>11457.6</v>
      </c>
      <c r="F488" s="104"/>
      <c r="G488" s="102">
        <f t="shared" si="8"/>
        <v>11457.6</v>
      </c>
      <c r="H488" s="103" t="s">
        <v>67</v>
      </c>
      <c r="I488" s="103"/>
    </row>
    <row r="489" spans="1:12" hidden="1">
      <c r="A489" s="103" t="s">
        <v>719</v>
      </c>
      <c r="B489" s="104">
        <v>0</v>
      </c>
      <c r="C489" s="104">
        <v>776350.38</v>
      </c>
      <c r="D489" s="104">
        <v>0</v>
      </c>
      <c r="E489" s="104">
        <v>776350.38</v>
      </c>
      <c r="F489" s="104"/>
      <c r="G489" s="102">
        <f t="shared" si="8"/>
        <v>776350.38</v>
      </c>
      <c r="H489" s="103" t="s">
        <v>67</v>
      </c>
      <c r="I489" s="103"/>
    </row>
    <row r="490" spans="1:12" hidden="1">
      <c r="A490" s="103" t="s">
        <v>336</v>
      </c>
      <c r="B490" s="104">
        <v>0</v>
      </c>
      <c r="C490" s="104">
        <v>0</v>
      </c>
      <c r="D490" s="104">
        <v>29971.56</v>
      </c>
      <c r="E490" s="104">
        <v>-29971.56</v>
      </c>
      <c r="F490" s="104"/>
      <c r="G490" s="102">
        <f t="shared" si="8"/>
        <v>-29971.56</v>
      </c>
      <c r="H490" s="103" t="s">
        <v>67</v>
      </c>
      <c r="I490" s="103"/>
    </row>
    <row r="491" spans="1:12" hidden="1">
      <c r="A491" s="103" t="s">
        <v>305</v>
      </c>
      <c r="B491" s="104">
        <v>0</v>
      </c>
      <c r="C491" s="104">
        <v>0</v>
      </c>
      <c r="D491" s="104">
        <v>5535434</v>
      </c>
      <c r="E491" s="104">
        <v>-5535434</v>
      </c>
      <c r="F491" s="104"/>
      <c r="G491" s="102">
        <f t="shared" si="8"/>
        <v>-5535434</v>
      </c>
      <c r="H491" s="103" t="s">
        <v>303</v>
      </c>
      <c r="I491" s="103">
        <f>SUMIF('APRIL - TB -'!A:A,'MAY- TB - '!A491,'APRIL - TB -'!E:E)</f>
        <v>-2132234</v>
      </c>
      <c r="J491" s="105">
        <f>E491-I491</f>
        <v>-3403200</v>
      </c>
      <c r="K491" s="101">
        <v>3403200</v>
      </c>
      <c r="L491" s="102">
        <f t="shared" ref="L491:L494" si="10">J491+K491</f>
        <v>0</v>
      </c>
    </row>
    <row r="492" spans="1:12" hidden="1">
      <c r="A492" s="103" t="s">
        <v>307</v>
      </c>
      <c r="B492" s="104">
        <v>0</v>
      </c>
      <c r="C492" s="104">
        <v>478700.42</v>
      </c>
      <c r="D492" s="104">
        <v>163102825.88999999</v>
      </c>
      <c r="E492" s="104">
        <v>-162624125.47</v>
      </c>
      <c r="F492" s="104"/>
      <c r="G492" s="102">
        <f t="shared" si="8"/>
        <v>-162624125.47</v>
      </c>
      <c r="H492" s="103" t="s">
        <v>303</v>
      </c>
      <c r="I492" s="103">
        <f>SUMIF('APRIL - TB -'!A:A,'MAY- TB - '!A492,'APRIL - TB -'!E:E)</f>
        <v>-103779480.76000001</v>
      </c>
      <c r="J492" s="102">
        <f t="shared" ref="J492:J494" si="11">E492-I492</f>
        <v>-58844644.709999993</v>
      </c>
      <c r="K492" s="110">
        <v>58266579.129999965</v>
      </c>
      <c r="L492" s="102">
        <f t="shared" si="10"/>
        <v>-578065.58000002801</v>
      </c>
    </row>
    <row r="493" spans="1:12" hidden="1">
      <c r="A493" s="103" t="s">
        <v>304</v>
      </c>
      <c r="B493" s="104">
        <v>0</v>
      </c>
      <c r="C493" s="104">
        <v>0</v>
      </c>
      <c r="D493" s="104">
        <v>153689335.13999999</v>
      </c>
      <c r="E493" s="104">
        <v>-153689335.13999999</v>
      </c>
      <c r="F493" s="104"/>
      <c r="G493" s="102">
        <f t="shared" si="8"/>
        <v>-153689335.13999999</v>
      </c>
      <c r="H493" s="103" t="s">
        <v>303</v>
      </c>
      <c r="I493" s="103">
        <f>SUMIF('APRIL - TB -'!A:A,'MAY- TB - '!A493,'APRIL - TB -'!E:E)</f>
        <v>-44967399.460000001</v>
      </c>
      <c r="J493" s="105">
        <f t="shared" si="11"/>
        <v>-108721935.67999998</v>
      </c>
      <c r="K493" s="101">
        <v>108721935.68000002</v>
      </c>
      <c r="L493" s="102">
        <f t="shared" si="10"/>
        <v>0</v>
      </c>
    </row>
    <row r="494" spans="1:12" hidden="1">
      <c r="A494" s="103" t="s">
        <v>405</v>
      </c>
      <c r="B494" s="104">
        <v>0</v>
      </c>
      <c r="C494" s="104">
        <v>0</v>
      </c>
      <c r="D494" s="104">
        <v>55162588.039999999</v>
      </c>
      <c r="E494" s="104">
        <v>-55162588.039999999</v>
      </c>
      <c r="F494" s="104"/>
      <c r="G494" s="102">
        <f t="shared" si="8"/>
        <v>-55162588.039999999</v>
      </c>
      <c r="H494" s="103" t="s">
        <v>303</v>
      </c>
      <c r="I494" s="103">
        <f>SUMIF('APRIL - TB -'!A:A,'MAY- TB - '!A494,'APRIL - TB -'!E:E)</f>
        <v>-28149041.52</v>
      </c>
      <c r="J494" s="105">
        <f t="shared" si="11"/>
        <v>-27013546.52</v>
      </c>
      <c r="K494" s="101">
        <v>27013546.52</v>
      </c>
      <c r="L494" s="102">
        <f t="shared" si="10"/>
        <v>0</v>
      </c>
    </row>
    <row r="495" spans="1:12" hidden="1">
      <c r="A495" s="103" t="s">
        <v>1164</v>
      </c>
      <c r="B495" s="104">
        <v>0</v>
      </c>
      <c r="C495" s="104">
        <v>0</v>
      </c>
      <c r="D495" s="104">
        <v>5117576.01</v>
      </c>
      <c r="E495" s="104">
        <v>-5117576.01</v>
      </c>
      <c r="F495" s="104"/>
      <c r="G495" s="102">
        <f t="shared" si="8"/>
        <v>-5117576.01</v>
      </c>
      <c r="H495" s="103" t="s">
        <v>10</v>
      </c>
      <c r="I495" s="103">
        <v>0</v>
      </c>
      <c r="J495" s="105">
        <f t="shared" ref="J495:J499" si="12">E495-I495</f>
        <v>-5117576.01</v>
      </c>
      <c r="K495" s="101">
        <v>5117576.01</v>
      </c>
      <c r="L495" s="102">
        <f>J495+K495</f>
        <v>0</v>
      </c>
    </row>
    <row r="496" spans="1:12">
      <c r="A496" s="103" t="s">
        <v>29</v>
      </c>
      <c r="B496" s="104">
        <v>0</v>
      </c>
      <c r="C496" s="104">
        <v>200000</v>
      </c>
      <c r="D496" s="104">
        <v>0</v>
      </c>
      <c r="E496" s="104">
        <v>200000</v>
      </c>
      <c r="F496" s="104"/>
      <c r="G496" s="102">
        <f t="shared" si="8"/>
        <v>200000</v>
      </c>
      <c r="H496" s="103" t="s">
        <v>29</v>
      </c>
      <c r="I496" s="103"/>
    </row>
    <row r="497" spans="1:12" hidden="1">
      <c r="A497" s="103" t="s">
        <v>441</v>
      </c>
      <c r="B497" s="104">
        <v>0</v>
      </c>
      <c r="C497" s="104">
        <v>0</v>
      </c>
      <c r="D497" s="104">
        <v>60900</v>
      </c>
      <c r="E497" s="104">
        <v>-60900</v>
      </c>
      <c r="F497" s="104"/>
      <c r="G497" s="102">
        <f t="shared" si="8"/>
        <v>-60900</v>
      </c>
      <c r="H497" s="103" t="s">
        <v>6</v>
      </c>
      <c r="I497" s="103">
        <f>SUMIF('APRIL - TB -'!A:A,'MAY- TB - '!A497,'APRIL - TB -'!E:E)</f>
        <v>-60900</v>
      </c>
      <c r="J497" s="102">
        <f t="shared" si="12"/>
        <v>0</v>
      </c>
      <c r="L497" s="102">
        <f t="shared" ref="L497:L499" si="13">J497+K497</f>
        <v>0</v>
      </c>
    </row>
    <row r="498" spans="1:12" hidden="1">
      <c r="A498" s="103" t="s">
        <v>308</v>
      </c>
      <c r="B498" s="104">
        <v>0</v>
      </c>
      <c r="C498" s="104">
        <v>0</v>
      </c>
      <c r="D498" s="104">
        <v>4738980.08</v>
      </c>
      <c r="E498" s="104">
        <v>-4738980.08</v>
      </c>
      <c r="F498" s="104"/>
      <c r="G498" s="102">
        <f t="shared" si="8"/>
        <v>-4738980.08</v>
      </c>
      <c r="H498" s="103" t="s">
        <v>306</v>
      </c>
      <c r="I498" s="103">
        <f>SUMIF('APRIL - TB -'!A:A,'MAY- TB - '!A498,'APRIL - TB -'!E:E)</f>
        <v>-4047207.35</v>
      </c>
      <c r="J498" s="105">
        <f t="shared" si="12"/>
        <v>-691772.73</v>
      </c>
      <c r="K498" s="101">
        <v>16708.73</v>
      </c>
      <c r="L498" s="102">
        <f t="shared" si="13"/>
        <v>-675064</v>
      </c>
    </row>
    <row r="499" spans="1:12" hidden="1">
      <c r="A499" s="103" t="s">
        <v>20</v>
      </c>
      <c r="B499" s="104">
        <v>0</v>
      </c>
      <c r="C499" s="104">
        <v>0</v>
      </c>
      <c r="D499" s="104">
        <v>393330</v>
      </c>
      <c r="E499" s="104">
        <v>-393330</v>
      </c>
      <c r="F499" s="104"/>
      <c r="G499" s="102">
        <f t="shared" si="8"/>
        <v>-393330</v>
      </c>
      <c r="H499" s="103" t="s">
        <v>20</v>
      </c>
      <c r="I499" s="103">
        <f>SUMIF('APRIL - TB -'!A:A,'MAY- TB - '!A499,'APRIL - TB -'!E:E)</f>
        <v>-35000</v>
      </c>
      <c r="J499" s="105">
        <f t="shared" si="12"/>
        <v>-358330</v>
      </c>
      <c r="K499" s="101">
        <v>358330</v>
      </c>
      <c r="L499" s="102">
        <f t="shared" si="13"/>
        <v>0</v>
      </c>
    </row>
    <row r="500" spans="1:12" hidden="1">
      <c r="A500" s="101" t="s">
        <v>720</v>
      </c>
      <c r="B500" s="102">
        <v>0</v>
      </c>
      <c r="C500" s="102">
        <v>8.6300000000000008</v>
      </c>
      <c r="D500" s="102">
        <v>0</v>
      </c>
      <c r="E500" s="102">
        <v>8.6300000000000008</v>
      </c>
      <c r="G500" s="102">
        <f t="shared" si="8"/>
        <v>8.6300000000000008</v>
      </c>
      <c r="H500" s="101" t="s">
        <v>80</v>
      </c>
    </row>
    <row r="501" spans="1:12" hidden="1">
      <c r="A501" s="101" t="s">
        <v>721</v>
      </c>
      <c r="B501" s="102">
        <v>-12205204.52</v>
      </c>
      <c r="C501" s="102">
        <v>0</v>
      </c>
      <c r="D501" s="102">
        <v>0</v>
      </c>
      <c r="E501" s="102">
        <v>-12205204.52</v>
      </c>
      <c r="G501" s="102">
        <f t="shared" si="8"/>
        <v>-12205204.52</v>
      </c>
      <c r="H501" s="101" t="s">
        <v>80</v>
      </c>
    </row>
    <row r="502" spans="1:12" hidden="1">
      <c r="A502" s="101" t="s">
        <v>722</v>
      </c>
      <c r="B502" s="102">
        <v>-444856832.20999998</v>
      </c>
      <c r="C502" s="102">
        <v>0</v>
      </c>
      <c r="D502" s="102">
        <v>0</v>
      </c>
      <c r="E502" s="102">
        <v>-444856832.20999998</v>
      </c>
      <c r="G502" s="102">
        <f t="shared" si="8"/>
        <v>-444856832.20999998</v>
      </c>
      <c r="H502" s="101" t="s">
        <v>80</v>
      </c>
    </row>
    <row r="503" spans="1:12" hidden="1">
      <c r="A503" s="101" t="s">
        <v>723</v>
      </c>
      <c r="B503" s="102">
        <v>-1497794</v>
      </c>
      <c r="C503" s="102">
        <v>0</v>
      </c>
      <c r="D503" s="102">
        <v>0</v>
      </c>
      <c r="E503" s="102">
        <v>-1497794</v>
      </c>
      <c r="G503" s="102">
        <f t="shared" si="8"/>
        <v>-1497794</v>
      </c>
      <c r="H503" s="101" t="s">
        <v>80</v>
      </c>
    </row>
    <row r="504" spans="1:12" hidden="1">
      <c r="A504" s="101" t="s">
        <v>724</v>
      </c>
      <c r="B504" s="102">
        <v>-88032460</v>
      </c>
      <c r="C504" s="102">
        <v>0</v>
      </c>
      <c r="D504" s="102">
        <v>0</v>
      </c>
      <c r="E504" s="102">
        <v>-88032460</v>
      </c>
      <c r="G504" s="102">
        <f t="shared" si="8"/>
        <v>-88032460</v>
      </c>
      <c r="H504" s="101" t="s">
        <v>80</v>
      </c>
    </row>
    <row r="505" spans="1:12" hidden="1">
      <c r="A505" s="101" t="s">
        <v>725</v>
      </c>
      <c r="B505" s="102">
        <v>-3559700</v>
      </c>
      <c r="C505" s="102">
        <v>0</v>
      </c>
      <c r="D505" s="102">
        <v>0</v>
      </c>
      <c r="E505" s="102">
        <v>-3559700</v>
      </c>
      <c r="G505" s="102">
        <f t="shared" si="8"/>
        <v>-3559700</v>
      </c>
      <c r="H505" s="101" t="s">
        <v>80</v>
      </c>
    </row>
    <row r="506" spans="1:12" hidden="1">
      <c r="A506" s="101" t="s">
        <v>272</v>
      </c>
      <c r="B506" s="102">
        <v>0</v>
      </c>
      <c r="C506" s="102">
        <v>15057131.92</v>
      </c>
      <c r="D506" s="102">
        <v>15057133.720000001</v>
      </c>
      <c r="E506" s="102">
        <v>-1.8</v>
      </c>
      <c r="G506" s="102">
        <f t="shared" si="8"/>
        <v>-1.8</v>
      </c>
      <c r="H506" s="101" t="s">
        <v>80</v>
      </c>
    </row>
    <row r="507" spans="1:12" hidden="1">
      <c r="A507" s="101" t="s">
        <v>726</v>
      </c>
      <c r="B507" s="102">
        <v>-27624138.809999999</v>
      </c>
      <c r="C507" s="102">
        <v>68542101</v>
      </c>
      <c r="D507" s="102">
        <v>40920727.420000002</v>
      </c>
      <c r="E507" s="102">
        <v>-2765.23</v>
      </c>
      <c r="G507" s="102">
        <f t="shared" si="8"/>
        <v>-2765.23</v>
      </c>
      <c r="H507" s="101" t="s">
        <v>80</v>
      </c>
    </row>
    <row r="508" spans="1:12" hidden="1">
      <c r="A508" s="101" t="s">
        <v>727</v>
      </c>
      <c r="B508" s="102">
        <v>-1788030.1</v>
      </c>
      <c r="C508" s="102">
        <v>1823362</v>
      </c>
      <c r="D508" s="102">
        <v>291689</v>
      </c>
      <c r="E508" s="102">
        <v>-256357.1</v>
      </c>
      <c r="G508" s="102">
        <f t="shared" si="8"/>
        <v>-256357.1</v>
      </c>
      <c r="H508" s="101" t="s">
        <v>80</v>
      </c>
    </row>
    <row r="509" spans="1:12" hidden="1">
      <c r="A509" s="101" t="s">
        <v>243</v>
      </c>
      <c r="B509" s="102">
        <v>0</v>
      </c>
      <c r="C509" s="102">
        <v>10925860.439999999</v>
      </c>
      <c r="D509" s="102">
        <v>10925860.439999999</v>
      </c>
      <c r="E509" s="102">
        <v>0</v>
      </c>
      <c r="G509" s="102">
        <f t="shared" si="8"/>
        <v>0</v>
      </c>
      <c r="H509" s="101" t="s">
        <v>80</v>
      </c>
    </row>
    <row r="510" spans="1:12" hidden="1">
      <c r="A510" s="101" t="s">
        <v>180</v>
      </c>
      <c r="B510" s="102">
        <v>0</v>
      </c>
      <c r="C510" s="102">
        <v>15057131.92</v>
      </c>
      <c r="D510" s="102">
        <v>15057133.720000001</v>
      </c>
      <c r="E510" s="102">
        <v>-1.8</v>
      </c>
      <c r="G510" s="102">
        <f t="shared" si="8"/>
        <v>-1.8</v>
      </c>
      <c r="H510" s="101" t="s">
        <v>80</v>
      </c>
    </row>
    <row r="511" spans="1:12" hidden="1">
      <c r="A511" s="101" t="s">
        <v>202</v>
      </c>
      <c r="B511" s="102">
        <v>-128600</v>
      </c>
      <c r="C511" s="102">
        <v>223800</v>
      </c>
      <c r="D511" s="102">
        <v>184800</v>
      </c>
      <c r="E511" s="102">
        <v>-89600</v>
      </c>
      <c r="G511" s="102">
        <f t="shared" si="8"/>
        <v>-89600</v>
      </c>
      <c r="H511" s="101" t="s">
        <v>80</v>
      </c>
    </row>
    <row r="512" spans="1:12" hidden="1">
      <c r="A512" s="101" t="s">
        <v>1165</v>
      </c>
      <c r="B512" s="102">
        <v>0</v>
      </c>
      <c r="C512" s="102">
        <v>0</v>
      </c>
      <c r="D512" s="102">
        <v>0</v>
      </c>
      <c r="E512" s="102">
        <v>0</v>
      </c>
      <c r="G512" s="102">
        <f t="shared" si="8"/>
        <v>0</v>
      </c>
      <c r="H512" s="101" t="s">
        <v>80</v>
      </c>
    </row>
    <row r="513" spans="1:8" hidden="1">
      <c r="A513" s="101" t="s">
        <v>1166</v>
      </c>
      <c r="B513" s="102">
        <v>0</v>
      </c>
      <c r="C513" s="102">
        <v>0</v>
      </c>
      <c r="D513" s="102">
        <v>0</v>
      </c>
      <c r="E513" s="102">
        <v>0</v>
      </c>
      <c r="G513" s="102">
        <f t="shared" si="8"/>
        <v>0</v>
      </c>
      <c r="H513" s="101" t="s">
        <v>80</v>
      </c>
    </row>
    <row r="514" spans="1:8" hidden="1">
      <c r="A514" s="101" t="s">
        <v>1167</v>
      </c>
      <c r="B514" s="102">
        <v>0</v>
      </c>
      <c r="C514" s="102">
        <v>0</v>
      </c>
      <c r="D514" s="102">
        <v>0</v>
      </c>
      <c r="E514" s="102">
        <v>0</v>
      </c>
      <c r="G514" s="102">
        <f t="shared" si="8"/>
        <v>0</v>
      </c>
      <c r="H514" s="101" t="s">
        <v>80</v>
      </c>
    </row>
    <row r="515" spans="1:8" hidden="1">
      <c r="A515" s="101" t="s">
        <v>1168</v>
      </c>
      <c r="B515" s="102">
        <v>0</v>
      </c>
      <c r="C515" s="102">
        <v>0</v>
      </c>
      <c r="D515" s="102">
        <v>0</v>
      </c>
      <c r="E515" s="102">
        <v>0</v>
      </c>
      <c r="G515" s="102">
        <f t="shared" ref="G515:G578" si="14">E515+F515</f>
        <v>0</v>
      </c>
      <c r="H515" s="101" t="s">
        <v>80</v>
      </c>
    </row>
    <row r="516" spans="1:8" hidden="1">
      <c r="A516" s="101" t="s">
        <v>476</v>
      </c>
      <c r="B516" s="102">
        <v>0.09</v>
      </c>
      <c r="C516" s="102">
        <v>0</v>
      </c>
      <c r="D516" s="102">
        <v>0</v>
      </c>
      <c r="E516" s="102">
        <v>0.09</v>
      </c>
      <c r="G516" s="102">
        <f t="shared" si="14"/>
        <v>0.09</v>
      </c>
      <c r="H516" s="101" t="s">
        <v>80</v>
      </c>
    </row>
    <row r="517" spans="1:8" hidden="1">
      <c r="A517" s="101" t="s">
        <v>432</v>
      </c>
      <c r="B517" s="102">
        <v>-1541.53</v>
      </c>
      <c r="C517" s="102">
        <v>1542</v>
      </c>
      <c r="D517" s="102">
        <v>0</v>
      </c>
      <c r="E517" s="102">
        <v>0.47</v>
      </c>
      <c r="G517" s="102">
        <f t="shared" si="14"/>
        <v>0.47</v>
      </c>
      <c r="H517" s="101" t="s">
        <v>80</v>
      </c>
    </row>
    <row r="518" spans="1:8" hidden="1">
      <c r="A518" s="101" t="s">
        <v>506</v>
      </c>
      <c r="B518" s="102">
        <v>0</v>
      </c>
      <c r="C518" s="102">
        <v>0</v>
      </c>
      <c r="D518" s="102">
        <v>8869.59</v>
      </c>
      <c r="E518" s="102">
        <v>-8869.59</v>
      </c>
      <c r="G518" s="102">
        <f t="shared" si="14"/>
        <v>-8869.59</v>
      </c>
      <c r="H518" s="101" t="s">
        <v>80</v>
      </c>
    </row>
    <row r="519" spans="1:8" hidden="1">
      <c r="A519" s="101" t="s">
        <v>161</v>
      </c>
      <c r="B519" s="102">
        <v>-40000</v>
      </c>
      <c r="C519" s="102">
        <v>40000</v>
      </c>
      <c r="D519" s="102">
        <v>20000</v>
      </c>
      <c r="E519" s="102">
        <v>-20000</v>
      </c>
      <c r="G519" s="102">
        <f t="shared" si="14"/>
        <v>-20000</v>
      </c>
      <c r="H519" s="101" t="s">
        <v>80</v>
      </c>
    </row>
    <row r="520" spans="1:8" hidden="1">
      <c r="A520" s="101" t="s">
        <v>162</v>
      </c>
      <c r="B520" s="102">
        <v>-24187</v>
      </c>
      <c r="C520" s="102">
        <v>1107.69</v>
      </c>
      <c r="D520" s="102">
        <v>1049807</v>
      </c>
      <c r="E520" s="102">
        <v>-1072886.31</v>
      </c>
      <c r="G520" s="102">
        <f t="shared" si="14"/>
        <v>-1072886.31</v>
      </c>
      <c r="H520" s="101" t="s">
        <v>80</v>
      </c>
    </row>
    <row r="521" spans="1:8" hidden="1">
      <c r="A521" s="101" t="s">
        <v>1169</v>
      </c>
      <c r="B521" s="102">
        <v>0</v>
      </c>
      <c r="C521" s="102">
        <v>0</v>
      </c>
      <c r="D521" s="102">
        <v>0</v>
      </c>
      <c r="E521" s="102">
        <v>0</v>
      </c>
      <c r="G521" s="102">
        <f t="shared" si="14"/>
        <v>0</v>
      </c>
      <c r="H521" s="101" t="s">
        <v>80</v>
      </c>
    </row>
    <row r="522" spans="1:8" hidden="1">
      <c r="A522" s="101" t="s">
        <v>412</v>
      </c>
      <c r="B522" s="102">
        <v>-4000</v>
      </c>
      <c r="C522" s="102">
        <v>0</v>
      </c>
      <c r="D522" s="102">
        <v>143790</v>
      </c>
      <c r="E522" s="102">
        <v>-147790</v>
      </c>
      <c r="G522" s="102">
        <f t="shared" si="14"/>
        <v>-147790</v>
      </c>
      <c r="H522" s="101" t="s">
        <v>80</v>
      </c>
    </row>
    <row r="523" spans="1:8" hidden="1">
      <c r="A523" s="101" t="s">
        <v>163</v>
      </c>
      <c r="B523" s="102">
        <v>-6160</v>
      </c>
      <c r="C523" s="102">
        <v>0</v>
      </c>
      <c r="D523" s="102">
        <v>75240</v>
      </c>
      <c r="E523" s="102">
        <v>-81400</v>
      </c>
      <c r="G523" s="102">
        <f t="shared" si="14"/>
        <v>-81400</v>
      </c>
      <c r="H523" s="101" t="s">
        <v>80</v>
      </c>
    </row>
    <row r="524" spans="1:8" hidden="1">
      <c r="A524" s="101" t="s">
        <v>164</v>
      </c>
      <c r="B524" s="102">
        <v>-0.01</v>
      </c>
      <c r="C524" s="102">
        <v>25737</v>
      </c>
      <c r="D524" s="102">
        <v>113184.95</v>
      </c>
      <c r="E524" s="102">
        <v>-87447.96</v>
      </c>
      <c r="G524" s="102">
        <f t="shared" si="14"/>
        <v>-87447.96</v>
      </c>
      <c r="H524" s="101" t="s">
        <v>80</v>
      </c>
    </row>
    <row r="525" spans="1:8" hidden="1">
      <c r="A525" s="101" t="s">
        <v>728</v>
      </c>
      <c r="B525" s="102">
        <v>-2290689.1800000002</v>
      </c>
      <c r="C525" s="102">
        <v>3288495</v>
      </c>
      <c r="D525" s="102">
        <v>0</v>
      </c>
      <c r="E525" s="102">
        <v>997805.82</v>
      </c>
      <c r="G525" s="102">
        <f t="shared" si="14"/>
        <v>997805.82</v>
      </c>
      <c r="H525" s="101" t="s">
        <v>80</v>
      </c>
    </row>
    <row r="526" spans="1:8" hidden="1">
      <c r="A526" s="101" t="s">
        <v>277</v>
      </c>
      <c r="B526" s="102">
        <v>-870981</v>
      </c>
      <c r="C526" s="102">
        <v>0</v>
      </c>
      <c r="D526" s="102">
        <v>0</v>
      </c>
      <c r="E526" s="102">
        <v>-870981</v>
      </c>
      <c r="G526" s="102">
        <f t="shared" si="14"/>
        <v>-870981</v>
      </c>
      <c r="H526" s="101" t="s">
        <v>80</v>
      </c>
    </row>
    <row r="527" spans="1:8" hidden="1">
      <c r="A527" s="101" t="s">
        <v>729</v>
      </c>
      <c r="B527" s="102">
        <v>-43685.8</v>
      </c>
      <c r="C527" s="102">
        <v>134822</v>
      </c>
      <c r="D527" s="102">
        <v>115156</v>
      </c>
      <c r="E527" s="102">
        <v>-24019.8</v>
      </c>
      <c r="G527" s="102">
        <f t="shared" si="14"/>
        <v>-24019.8</v>
      </c>
      <c r="H527" s="101" t="s">
        <v>80</v>
      </c>
    </row>
    <row r="528" spans="1:8" hidden="1">
      <c r="A528" s="101" t="s">
        <v>264</v>
      </c>
      <c r="B528" s="102">
        <v>-1279831.54</v>
      </c>
      <c r="C528" s="102">
        <v>1160912</v>
      </c>
      <c r="D528" s="102">
        <v>996481</v>
      </c>
      <c r="E528" s="102">
        <v>-1115400.54</v>
      </c>
      <c r="G528" s="102">
        <f t="shared" si="14"/>
        <v>-1115400.54</v>
      </c>
      <c r="H528" s="101" t="s">
        <v>80</v>
      </c>
    </row>
    <row r="529" spans="1:9" hidden="1">
      <c r="A529" s="101" t="s">
        <v>258</v>
      </c>
      <c r="B529" s="102">
        <v>0</v>
      </c>
      <c r="C529" s="102">
        <v>100163.12</v>
      </c>
      <c r="D529" s="102">
        <v>12490</v>
      </c>
      <c r="E529" s="102">
        <v>87673.12</v>
      </c>
      <c r="G529" s="102">
        <f t="shared" si="14"/>
        <v>87673.12</v>
      </c>
      <c r="H529" s="101" t="s">
        <v>80</v>
      </c>
    </row>
    <row r="530" spans="1:9" hidden="1">
      <c r="A530" s="101" t="s">
        <v>730</v>
      </c>
      <c r="B530" s="102">
        <v>-9060315</v>
      </c>
      <c r="C530" s="102">
        <v>0</v>
      </c>
      <c r="D530" s="102">
        <v>0</v>
      </c>
      <c r="E530" s="102">
        <v>-9060315</v>
      </c>
      <c r="G530" s="102">
        <f t="shared" si="14"/>
        <v>-9060315</v>
      </c>
      <c r="H530" s="101" t="s">
        <v>80</v>
      </c>
    </row>
    <row r="531" spans="1:9" hidden="1">
      <c r="A531" s="101" t="s">
        <v>192</v>
      </c>
      <c r="B531" s="102">
        <v>-31239162.649999999</v>
      </c>
      <c r="C531" s="102">
        <v>41582410</v>
      </c>
      <c r="D531" s="102">
        <v>25681215.600000001</v>
      </c>
      <c r="E531" s="102">
        <v>-15337968.25</v>
      </c>
      <c r="G531" s="102">
        <f t="shared" si="14"/>
        <v>-15337968.25</v>
      </c>
      <c r="H531" s="101" t="s">
        <v>80</v>
      </c>
    </row>
    <row r="532" spans="1:9" hidden="1">
      <c r="A532" s="101" t="s">
        <v>731</v>
      </c>
      <c r="B532" s="102">
        <v>0</v>
      </c>
      <c r="C532" s="102">
        <v>534996</v>
      </c>
      <c r="D532" s="102">
        <v>528282</v>
      </c>
      <c r="E532" s="102">
        <v>6714</v>
      </c>
      <c r="G532" s="102">
        <f t="shared" si="14"/>
        <v>6714</v>
      </c>
      <c r="H532" s="101" t="s">
        <v>80</v>
      </c>
    </row>
    <row r="533" spans="1:9" hidden="1">
      <c r="A533" s="103" t="s">
        <v>732</v>
      </c>
      <c r="B533" s="104">
        <v>-56823</v>
      </c>
      <c r="C533" s="104">
        <v>56823</v>
      </c>
      <c r="D533" s="104">
        <v>0</v>
      </c>
      <c r="E533" s="104">
        <v>0</v>
      </c>
      <c r="F533" s="104"/>
      <c r="G533" s="102">
        <f t="shared" si="14"/>
        <v>0</v>
      </c>
      <c r="H533" s="103" t="s">
        <v>339</v>
      </c>
      <c r="I533" s="103"/>
    </row>
    <row r="534" spans="1:9" hidden="1">
      <c r="A534" s="101" t="s">
        <v>733</v>
      </c>
      <c r="B534" s="102">
        <v>1</v>
      </c>
      <c r="C534" s="102">
        <v>0</v>
      </c>
      <c r="D534" s="102">
        <v>0</v>
      </c>
      <c r="E534" s="102">
        <v>1</v>
      </c>
      <c r="G534" s="102">
        <f t="shared" si="14"/>
        <v>1</v>
      </c>
      <c r="H534" s="101" t="s">
        <v>80</v>
      </c>
    </row>
    <row r="535" spans="1:9" hidden="1">
      <c r="A535" s="101" t="s">
        <v>734</v>
      </c>
      <c r="B535" s="102">
        <v>-11132423</v>
      </c>
      <c r="C535" s="102">
        <v>11132423</v>
      </c>
      <c r="D535" s="102">
        <v>0</v>
      </c>
      <c r="E535" s="102">
        <v>0</v>
      </c>
      <c r="G535" s="102">
        <f t="shared" si="14"/>
        <v>0</v>
      </c>
      <c r="H535" s="101" t="s">
        <v>80</v>
      </c>
    </row>
    <row r="536" spans="1:9" hidden="1">
      <c r="A536" s="101" t="s">
        <v>1170</v>
      </c>
      <c r="B536" s="102">
        <v>0</v>
      </c>
      <c r="C536" s="102">
        <v>0</v>
      </c>
      <c r="D536" s="102">
        <v>0</v>
      </c>
      <c r="E536" s="102">
        <v>0</v>
      </c>
      <c r="G536" s="102">
        <f t="shared" si="14"/>
        <v>0</v>
      </c>
      <c r="H536" s="101" t="s">
        <v>80</v>
      </c>
    </row>
    <row r="537" spans="1:9" hidden="1">
      <c r="A537" s="101" t="s">
        <v>1171</v>
      </c>
      <c r="B537" s="102">
        <v>0</v>
      </c>
      <c r="C537" s="102">
        <v>0</v>
      </c>
      <c r="D537" s="102">
        <v>8078.11</v>
      </c>
      <c r="E537" s="102">
        <v>-8078.11</v>
      </c>
      <c r="G537" s="102">
        <f t="shared" si="14"/>
        <v>-8078.11</v>
      </c>
      <c r="H537" s="101" t="s">
        <v>80</v>
      </c>
    </row>
    <row r="538" spans="1:9" hidden="1">
      <c r="A538" s="101" t="s">
        <v>1172</v>
      </c>
      <c r="B538" s="102">
        <v>0</v>
      </c>
      <c r="C538" s="102">
        <v>40179</v>
      </c>
      <c r="D538" s="102">
        <v>40179</v>
      </c>
      <c r="E538" s="102">
        <v>0</v>
      </c>
      <c r="G538" s="102">
        <f t="shared" si="14"/>
        <v>0</v>
      </c>
      <c r="H538" s="101" t="s">
        <v>80</v>
      </c>
    </row>
    <row r="539" spans="1:9" hidden="1">
      <c r="A539" s="101" t="s">
        <v>735</v>
      </c>
      <c r="B539" s="102">
        <v>-6336</v>
      </c>
      <c r="C539" s="102">
        <v>0</v>
      </c>
      <c r="D539" s="102">
        <v>0</v>
      </c>
      <c r="E539" s="102">
        <v>-6336</v>
      </c>
      <c r="G539" s="102">
        <f t="shared" si="14"/>
        <v>-6336</v>
      </c>
      <c r="H539" s="101" t="s">
        <v>80</v>
      </c>
    </row>
    <row r="540" spans="1:9" hidden="1">
      <c r="A540" s="101" t="s">
        <v>483</v>
      </c>
      <c r="B540" s="102">
        <v>0</v>
      </c>
      <c r="C540" s="102">
        <v>10535</v>
      </c>
      <c r="D540" s="102">
        <v>10535</v>
      </c>
      <c r="E540" s="102">
        <v>0</v>
      </c>
      <c r="G540" s="102">
        <f t="shared" si="14"/>
        <v>0</v>
      </c>
      <c r="H540" s="101" t="s">
        <v>80</v>
      </c>
    </row>
    <row r="541" spans="1:9" hidden="1">
      <c r="A541" s="101" t="s">
        <v>267</v>
      </c>
      <c r="B541" s="102">
        <v>-0.2</v>
      </c>
      <c r="C541" s="102">
        <v>0</v>
      </c>
      <c r="D541" s="102">
        <v>0</v>
      </c>
      <c r="E541" s="102">
        <v>-0.2</v>
      </c>
      <c r="G541" s="102">
        <f t="shared" si="14"/>
        <v>-0.2</v>
      </c>
      <c r="H541" s="101" t="s">
        <v>80</v>
      </c>
    </row>
    <row r="542" spans="1:9" hidden="1">
      <c r="A542" s="101" t="s">
        <v>227</v>
      </c>
      <c r="B542" s="102">
        <v>-15147</v>
      </c>
      <c r="C542" s="102">
        <v>43615</v>
      </c>
      <c r="D542" s="102">
        <v>28468</v>
      </c>
      <c r="E542" s="102">
        <v>0</v>
      </c>
      <c r="G542" s="102">
        <f t="shared" si="14"/>
        <v>0</v>
      </c>
      <c r="H542" s="101" t="s">
        <v>80</v>
      </c>
    </row>
    <row r="543" spans="1:9" hidden="1">
      <c r="A543" s="101" t="s">
        <v>736</v>
      </c>
      <c r="B543" s="102">
        <v>-135575</v>
      </c>
      <c r="C543" s="102">
        <v>271150</v>
      </c>
      <c r="D543" s="102">
        <v>135575</v>
      </c>
      <c r="E543" s="102">
        <v>0</v>
      </c>
      <c r="G543" s="102">
        <f t="shared" si="14"/>
        <v>0</v>
      </c>
      <c r="H543" s="101" t="s">
        <v>80</v>
      </c>
    </row>
    <row r="544" spans="1:9" hidden="1">
      <c r="A544" s="101" t="s">
        <v>1405</v>
      </c>
      <c r="B544" s="102">
        <v>0</v>
      </c>
      <c r="C544" s="102">
        <v>0</v>
      </c>
      <c r="D544" s="102">
        <v>0</v>
      </c>
      <c r="E544" s="102">
        <v>0</v>
      </c>
      <c r="G544" s="102">
        <f t="shared" si="14"/>
        <v>0</v>
      </c>
      <c r="H544" s="101" t="s">
        <v>80</v>
      </c>
    </row>
    <row r="545" spans="1:8" hidden="1">
      <c r="A545" s="101" t="s">
        <v>1173</v>
      </c>
      <c r="B545" s="102">
        <v>0</v>
      </c>
      <c r="C545" s="102">
        <v>0</v>
      </c>
      <c r="D545" s="102">
        <v>0</v>
      </c>
      <c r="E545" s="102">
        <v>0</v>
      </c>
      <c r="G545" s="102">
        <f t="shared" si="14"/>
        <v>0</v>
      </c>
      <c r="H545" s="101" t="s">
        <v>80</v>
      </c>
    </row>
    <row r="546" spans="1:8" hidden="1">
      <c r="A546" s="101" t="s">
        <v>1174</v>
      </c>
      <c r="B546" s="102">
        <v>0</v>
      </c>
      <c r="C546" s="102">
        <v>0</v>
      </c>
      <c r="D546" s="102">
        <v>0</v>
      </c>
      <c r="E546" s="102">
        <v>0</v>
      </c>
      <c r="G546" s="102">
        <f t="shared" si="14"/>
        <v>0</v>
      </c>
      <c r="H546" s="101" t="s">
        <v>80</v>
      </c>
    </row>
    <row r="547" spans="1:8" hidden="1">
      <c r="A547" s="101" t="s">
        <v>200</v>
      </c>
      <c r="B547" s="102">
        <v>-92736</v>
      </c>
      <c r="C547" s="102">
        <v>92736</v>
      </c>
      <c r="D547" s="102">
        <v>0</v>
      </c>
      <c r="E547" s="102">
        <v>0</v>
      </c>
      <c r="G547" s="102">
        <f t="shared" si="14"/>
        <v>0</v>
      </c>
      <c r="H547" s="101" t="s">
        <v>80</v>
      </c>
    </row>
    <row r="548" spans="1:8" hidden="1">
      <c r="A548" s="101" t="s">
        <v>1175</v>
      </c>
      <c r="B548" s="102">
        <v>0</v>
      </c>
      <c r="C548" s="102">
        <v>0</v>
      </c>
      <c r="D548" s="102">
        <v>0</v>
      </c>
      <c r="E548" s="102">
        <v>0</v>
      </c>
      <c r="G548" s="102">
        <f t="shared" si="14"/>
        <v>0</v>
      </c>
      <c r="H548" s="101" t="s">
        <v>80</v>
      </c>
    </row>
    <row r="549" spans="1:8" hidden="1">
      <c r="A549" s="101" t="s">
        <v>177</v>
      </c>
      <c r="B549" s="102">
        <v>-633655.30000000005</v>
      </c>
      <c r="C549" s="102">
        <v>633655</v>
      </c>
      <c r="D549" s="102">
        <v>0</v>
      </c>
      <c r="E549" s="102">
        <v>-0.3</v>
      </c>
      <c r="G549" s="102">
        <f t="shared" si="14"/>
        <v>-0.3</v>
      </c>
      <c r="H549" s="101" t="s">
        <v>80</v>
      </c>
    </row>
    <row r="550" spans="1:8" hidden="1">
      <c r="A550" s="101" t="s">
        <v>172</v>
      </c>
      <c r="B550" s="102">
        <v>-72395.7</v>
      </c>
      <c r="C550" s="102">
        <v>0</v>
      </c>
      <c r="D550" s="102">
        <v>14514</v>
      </c>
      <c r="E550" s="102">
        <v>-86909.7</v>
      </c>
      <c r="G550" s="102">
        <f t="shared" si="14"/>
        <v>-86909.7</v>
      </c>
      <c r="H550" s="101" t="s">
        <v>80</v>
      </c>
    </row>
    <row r="551" spans="1:8" hidden="1">
      <c r="A551" s="101" t="s">
        <v>171</v>
      </c>
      <c r="B551" s="102">
        <v>-65926.83</v>
      </c>
      <c r="C551" s="102">
        <v>0</v>
      </c>
      <c r="D551" s="102">
        <v>0</v>
      </c>
      <c r="E551" s="102">
        <v>-65926.83</v>
      </c>
      <c r="G551" s="102">
        <f t="shared" si="14"/>
        <v>-65926.83</v>
      </c>
      <c r="H551" s="101" t="s">
        <v>80</v>
      </c>
    </row>
    <row r="552" spans="1:8" hidden="1">
      <c r="A552" s="101" t="s">
        <v>157</v>
      </c>
      <c r="B552" s="102">
        <v>-479073.48</v>
      </c>
      <c r="C552" s="102">
        <v>479073.48</v>
      </c>
      <c r="D552" s="102">
        <v>0</v>
      </c>
      <c r="E552" s="102">
        <v>0</v>
      </c>
      <c r="G552" s="102">
        <f t="shared" si="14"/>
        <v>0</v>
      </c>
      <c r="H552" s="101" t="s">
        <v>80</v>
      </c>
    </row>
    <row r="553" spans="1:8" hidden="1">
      <c r="A553" s="101" t="s">
        <v>737</v>
      </c>
      <c r="B553" s="102">
        <v>-2985</v>
      </c>
      <c r="C553" s="102">
        <v>0</v>
      </c>
      <c r="D553" s="102">
        <v>0</v>
      </c>
      <c r="E553" s="102">
        <v>-2985</v>
      </c>
      <c r="G553" s="102">
        <f t="shared" si="14"/>
        <v>-2985</v>
      </c>
      <c r="H553" s="101" t="s">
        <v>80</v>
      </c>
    </row>
    <row r="554" spans="1:8" hidden="1">
      <c r="A554" s="101" t="s">
        <v>738</v>
      </c>
      <c r="B554" s="102">
        <v>-36573.800000000003</v>
      </c>
      <c r="C554" s="102">
        <v>27281.599999999999</v>
      </c>
      <c r="D554" s="102">
        <v>36580</v>
      </c>
      <c r="E554" s="102">
        <v>-45872.2</v>
      </c>
      <c r="G554" s="102">
        <f t="shared" si="14"/>
        <v>-45872.2</v>
      </c>
      <c r="H554" s="101" t="s">
        <v>80</v>
      </c>
    </row>
    <row r="555" spans="1:8" hidden="1">
      <c r="A555" s="101" t="s">
        <v>1176</v>
      </c>
      <c r="B555" s="102">
        <v>0</v>
      </c>
      <c r="C555" s="102">
        <v>0</v>
      </c>
      <c r="D555" s="102">
        <v>0</v>
      </c>
      <c r="E555" s="102">
        <v>0</v>
      </c>
      <c r="G555" s="102">
        <f t="shared" si="14"/>
        <v>0</v>
      </c>
      <c r="H555" s="101" t="s">
        <v>80</v>
      </c>
    </row>
    <row r="556" spans="1:8" hidden="1">
      <c r="A556" s="101" t="s">
        <v>739</v>
      </c>
      <c r="B556" s="102">
        <v>47790</v>
      </c>
      <c r="C556" s="102">
        <v>0</v>
      </c>
      <c r="D556" s="102">
        <v>47790</v>
      </c>
      <c r="E556" s="102">
        <v>0</v>
      </c>
      <c r="G556" s="102">
        <f t="shared" si="14"/>
        <v>0</v>
      </c>
      <c r="H556" s="101" t="s">
        <v>80</v>
      </c>
    </row>
    <row r="557" spans="1:8" hidden="1">
      <c r="A557" s="101" t="s">
        <v>301</v>
      </c>
      <c r="B557" s="102">
        <v>-133056</v>
      </c>
      <c r="C557" s="102">
        <v>133056</v>
      </c>
      <c r="D557" s="102">
        <v>0</v>
      </c>
      <c r="E557" s="102">
        <v>0</v>
      </c>
      <c r="G557" s="102">
        <f t="shared" si="14"/>
        <v>0</v>
      </c>
      <c r="H557" s="101" t="s">
        <v>80</v>
      </c>
    </row>
    <row r="558" spans="1:8" hidden="1">
      <c r="A558" s="101" t="s">
        <v>302</v>
      </c>
      <c r="B558" s="102">
        <v>-31860</v>
      </c>
      <c r="C558" s="102">
        <v>87084</v>
      </c>
      <c r="D558" s="102">
        <v>55224</v>
      </c>
      <c r="E558" s="102">
        <v>0</v>
      </c>
      <c r="G558" s="102">
        <f t="shared" si="14"/>
        <v>0</v>
      </c>
      <c r="H558" s="101" t="s">
        <v>80</v>
      </c>
    </row>
    <row r="559" spans="1:8" hidden="1">
      <c r="A559" s="101" t="s">
        <v>1177</v>
      </c>
      <c r="B559" s="102">
        <v>0</v>
      </c>
      <c r="C559" s="102">
        <v>0</v>
      </c>
      <c r="D559" s="102">
        <v>0</v>
      </c>
      <c r="E559" s="102">
        <v>0</v>
      </c>
      <c r="G559" s="102">
        <f t="shared" si="14"/>
        <v>0</v>
      </c>
      <c r="H559" s="101" t="s">
        <v>80</v>
      </c>
    </row>
    <row r="560" spans="1:8" hidden="1">
      <c r="A560" s="101" t="s">
        <v>1178</v>
      </c>
      <c r="B560" s="102">
        <v>0</v>
      </c>
      <c r="C560" s="102">
        <v>0</v>
      </c>
      <c r="D560" s="102">
        <v>0</v>
      </c>
      <c r="E560" s="102">
        <v>0</v>
      </c>
      <c r="G560" s="102">
        <f t="shared" si="14"/>
        <v>0</v>
      </c>
      <c r="H560" s="101" t="s">
        <v>80</v>
      </c>
    </row>
    <row r="561" spans="1:8" hidden="1">
      <c r="A561" s="101" t="s">
        <v>1406</v>
      </c>
      <c r="B561" s="102">
        <v>0</v>
      </c>
      <c r="C561" s="102">
        <v>0</v>
      </c>
      <c r="D561" s="102">
        <v>0</v>
      </c>
      <c r="E561" s="102">
        <v>0</v>
      </c>
      <c r="G561" s="102">
        <f t="shared" si="14"/>
        <v>0</v>
      </c>
      <c r="H561" s="101" t="s">
        <v>80</v>
      </c>
    </row>
    <row r="562" spans="1:8" hidden="1">
      <c r="A562" s="101" t="s">
        <v>279</v>
      </c>
      <c r="B562" s="102">
        <v>0</v>
      </c>
      <c r="C562" s="102">
        <v>56994</v>
      </c>
      <c r="D562" s="102">
        <v>82397</v>
      </c>
      <c r="E562" s="102">
        <v>-25403</v>
      </c>
      <c r="G562" s="102">
        <f t="shared" si="14"/>
        <v>-25403</v>
      </c>
      <c r="H562" s="101" t="s">
        <v>80</v>
      </c>
    </row>
    <row r="563" spans="1:8" hidden="1">
      <c r="A563" s="101" t="s">
        <v>298</v>
      </c>
      <c r="B563" s="102">
        <v>-45937</v>
      </c>
      <c r="C563" s="102">
        <v>45937</v>
      </c>
      <c r="D563" s="102">
        <v>18375</v>
      </c>
      <c r="E563" s="102">
        <v>-18375</v>
      </c>
      <c r="G563" s="102">
        <f t="shared" si="14"/>
        <v>-18375</v>
      </c>
      <c r="H563" s="101" t="s">
        <v>80</v>
      </c>
    </row>
    <row r="564" spans="1:8" hidden="1">
      <c r="A564" s="101" t="s">
        <v>1179</v>
      </c>
      <c r="B564" s="102">
        <v>0</v>
      </c>
      <c r="C564" s="102">
        <v>0</v>
      </c>
      <c r="D564" s="102">
        <v>0</v>
      </c>
      <c r="E564" s="102">
        <v>0</v>
      </c>
      <c r="G564" s="102">
        <f t="shared" si="14"/>
        <v>0</v>
      </c>
      <c r="H564" s="101" t="s">
        <v>80</v>
      </c>
    </row>
    <row r="565" spans="1:8" hidden="1">
      <c r="A565" s="101" t="s">
        <v>507</v>
      </c>
      <c r="B565" s="102">
        <v>0</v>
      </c>
      <c r="C565" s="102">
        <v>0</v>
      </c>
      <c r="D565" s="102">
        <v>44569</v>
      </c>
      <c r="E565" s="102">
        <v>-44569</v>
      </c>
      <c r="G565" s="102">
        <f t="shared" si="14"/>
        <v>-44569</v>
      </c>
      <c r="H565" s="101" t="s">
        <v>80</v>
      </c>
    </row>
    <row r="566" spans="1:8" hidden="1">
      <c r="A566" s="101" t="s">
        <v>740</v>
      </c>
      <c r="B566" s="102">
        <v>5168.22</v>
      </c>
      <c r="C566" s="102">
        <v>38963</v>
      </c>
      <c r="D566" s="102">
        <v>44132</v>
      </c>
      <c r="E566" s="102">
        <v>-0.78</v>
      </c>
      <c r="G566" s="102">
        <f t="shared" si="14"/>
        <v>-0.78</v>
      </c>
      <c r="H566" s="101" t="s">
        <v>80</v>
      </c>
    </row>
    <row r="567" spans="1:8" hidden="1">
      <c r="A567" s="101" t="s">
        <v>1180</v>
      </c>
      <c r="B567" s="102">
        <v>0</v>
      </c>
      <c r="C567" s="102">
        <v>18874</v>
      </c>
      <c r="D567" s="102">
        <v>18874</v>
      </c>
      <c r="E567" s="102">
        <v>0</v>
      </c>
      <c r="G567" s="102">
        <f t="shared" si="14"/>
        <v>0</v>
      </c>
      <c r="H567" s="101" t="s">
        <v>80</v>
      </c>
    </row>
    <row r="568" spans="1:8" hidden="1">
      <c r="A568" s="101" t="s">
        <v>297</v>
      </c>
      <c r="B568" s="102">
        <v>-390771.28</v>
      </c>
      <c r="C568" s="102">
        <v>1105614.1399999999</v>
      </c>
      <c r="D568" s="102">
        <v>1451326.46</v>
      </c>
      <c r="E568" s="102">
        <v>-736483.6</v>
      </c>
      <c r="G568" s="102">
        <f t="shared" si="14"/>
        <v>-736483.6</v>
      </c>
      <c r="H568" s="101" t="s">
        <v>80</v>
      </c>
    </row>
    <row r="569" spans="1:8" hidden="1">
      <c r="A569" s="101" t="s">
        <v>296</v>
      </c>
      <c r="B569" s="102">
        <v>-3203522</v>
      </c>
      <c r="C569" s="102">
        <v>0</v>
      </c>
      <c r="D569" s="102">
        <v>0</v>
      </c>
      <c r="E569" s="102">
        <v>-3203522</v>
      </c>
      <c r="G569" s="102">
        <f t="shared" si="14"/>
        <v>-3203522</v>
      </c>
      <c r="H569" s="101" t="s">
        <v>80</v>
      </c>
    </row>
    <row r="570" spans="1:8" hidden="1">
      <c r="A570" s="101" t="s">
        <v>478</v>
      </c>
      <c r="B570" s="102">
        <v>-1378</v>
      </c>
      <c r="C570" s="102">
        <v>0</v>
      </c>
      <c r="D570" s="102">
        <v>0</v>
      </c>
      <c r="E570" s="102">
        <v>-1378</v>
      </c>
      <c r="G570" s="102">
        <f t="shared" si="14"/>
        <v>-1378</v>
      </c>
      <c r="H570" s="101" t="s">
        <v>80</v>
      </c>
    </row>
    <row r="571" spans="1:8" hidden="1">
      <c r="A571" s="101" t="s">
        <v>1407</v>
      </c>
      <c r="B571" s="102">
        <v>0</v>
      </c>
      <c r="C571" s="102">
        <v>0</v>
      </c>
      <c r="D571" s="102">
        <v>0</v>
      </c>
      <c r="E571" s="102">
        <v>0</v>
      </c>
      <c r="G571" s="102">
        <f t="shared" si="14"/>
        <v>0</v>
      </c>
      <c r="H571" s="101" t="s">
        <v>80</v>
      </c>
    </row>
    <row r="572" spans="1:8" hidden="1">
      <c r="A572" s="101" t="s">
        <v>294</v>
      </c>
      <c r="B572" s="102">
        <v>-6785</v>
      </c>
      <c r="C572" s="102">
        <v>6785</v>
      </c>
      <c r="D572" s="102">
        <v>2997</v>
      </c>
      <c r="E572" s="102">
        <v>-2997</v>
      </c>
      <c r="G572" s="102">
        <f t="shared" si="14"/>
        <v>-2997</v>
      </c>
      <c r="H572" s="101" t="s">
        <v>80</v>
      </c>
    </row>
    <row r="573" spans="1:8" hidden="1">
      <c r="A573" s="101" t="s">
        <v>1181</v>
      </c>
      <c r="B573" s="102">
        <v>0</v>
      </c>
      <c r="C573" s="102">
        <v>0</v>
      </c>
      <c r="D573" s="102">
        <v>0</v>
      </c>
      <c r="E573" s="102">
        <v>0</v>
      </c>
      <c r="G573" s="102">
        <f t="shared" si="14"/>
        <v>0</v>
      </c>
      <c r="H573" s="101" t="s">
        <v>80</v>
      </c>
    </row>
    <row r="574" spans="1:8" hidden="1">
      <c r="A574" s="101" t="s">
        <v>741</v>
      </c>
      <c r="B574" s="102">
        <v>-0.5</v>
      </c>
      <c r="C574" s="102">
        <v>0</v>
      </c>
      <c r="D574" s="102">
        <v>0</v>
      </c>
      <c r="E574" s="102">
        <v>-0.5</v>
      </c>
      <c r="G574" s="102">
        <f t="shared" si="14"/>
        <v>-0.5</v>
      </c>
      <c r="H574" s="101" t="s">
        <v>80</v>
      </c>
    </row>
    <row r="575" spans="1:8" hidden="1">
      <c r="A575" s="101" t="s">
        <v>1182</v>
      </c>
      <c r="B575" s="102">
        <v>0</v>
      </c>
      <c r="C575" s="102">
        <v>0</v>
      </c>
      <c r="D575" s="102">
        <v>0</v>
      </c>
      <c r="E575" s="102">
        <v>0</v>
      </c>
      <c r="G575" s="102">
        <f t="shared" si="14"/>
        <v>0</v>
      </c>
      <c r="H575" s="101" t="s">
        <v>80</v>
      </c>
    </row>
    <row r="576" spans="1:8" hidden="1">
      <c r="A576" s="101" t="s">
        <v>295</v>
      </c>
      <c r="B576" s="102">
        <v>-6440</v>
      </c>
      <c r="C576" s="102">
        <v>6440</v>
      </c>
      <c r="D576" s="102">
        <v>0</v>
      </c>
      <c r="E576" s="102">
        <v>0</v>
      </c>
      <c r="G576" s="102">
        <f t="shared" si="14"/>
        <v>0</v>
      </c>
      <c r="H576" s="101" t="s">
        <v>80</v>
      </c>
    </row>
    <row r="577" spans="1:8" hidden="1">
      <c r="A577" s="101" t="s">
        <v>1183</v>
      </c>
      <c r="B577" s="102">
        <v>0</v>
      </c>
      <c r="C577" s="102">
        <v>0</v>
      </c>
      <c r="D577" s="102">
        <v>0</v>
      </c>
      <c r="E577" s="102">
        <v>0</v>
      </c>
      <c r="G577" s="102">
        <f t="shared" si="14"/>
        <v>0</v>
      </c>
      <c r="H577" s="101" t="s">
        <v>80</v>
      </c>
    </row>
    <row r="578" spans="1:8" hidden="1">
      <c r="A578" s="101" t="s">
        <v>1522</v>
      </c>
      <c r="B578" s="102">
        <v>0</v>
      </c>
      <c r="C578" s="102">
        <v>0</v>
      </c>
      <c r="D578" s="102">
        <v>0</v>
      </c>
      <c r="E578" s="102">
        <v>0</v>
      </c>
      <c r="G578" s="102">
        <f t="shared" si="14"/>
        <v>0</v>
      </c>
      <c r="H578" s="101" t="s">
        <v>80</v>
      </c>
    </row>
    <row r="579" spans="1:8" hidden="1">
      <c r="A579" s="101" t="s">
        <v>742</v>
      </c>
      <c r="B579" s="102">
        <v>-11769</v>
      </c>
      <c r="C579" s="102">
        <v>0</v>
      </c>
      <c r="D579" s="102">
        <v>0</v>
      </c>
      <c r="E579" s="102">
        <v>-11769</v>
      </c>
      <c r="G579" s="102">
        <f t="shared" ref="G579:G642" si="15">E579+F579</f>
        <v>-11769</v>
      </c>
      <c r="H579" s="101" t="s">
        <v>80</v>
      </c>
    </row>
    <row r="580" spans="1:8" hidden="1">
      <c r="A580" s="101" t="s">
        <v>446</v>
      </c>
      <c r="B580" s="102">
        <v>29531.9</v>
      </c>
      <c r="C580" s="102">
        <v>0</v>
      </c>
      <c r="D580" s="102">
        <v>0</v>
      </c>
      <c r="E580" s="102">
        <v>29531.9</v>
      </c>
      <c r="G580" s="102">
        <f t="shared" si="15"/>
        <v>29531.9</v>
      </c>
      <c r="H580" s="101" t="s">
        <v>80</v>
      </c>
    </row>
    <row r="581" spans="1:8" hidden="1">
      <c r="A581" s="101" t="s">
        <v>743</v>
      </c>
      <c r="B581" s="102">
        <v>-95975.8</v>
      </c>
      <c r="C581" s="102">
        <v>31223</v>
      </c>
      <c r="D581" s="102">
        <v>72253</v>
      </c>
      <c r="E581" s="102">
        <v>-137005.79999999999</v>
      </c>
      <c r="G581" s="102">
        <f t="shared" si="15"/>
        <v>-137005.79999999999</v>
      </c>
      <c r="H581" s="101" t="s">
        <v>80</v>
      </c>
    </row>
    <row r="582" spans="1:8" hidden="1">
      <c r="A582" s="101" t="s">
        <v>293</v>
      </c>
      <c r="B582" s="102">
        <v>-97297.53</v>
      </c>
      <c r="C582" s="102">
        <v>193531</v>
      </c>
      <c r="D582" s="102">
        <v>176087.96</v>
      </c>
      <c r="E582" s="102">
        <v>-79854.490000000005</v>
      </c>
      <c r="G582" s="102">
        <f t="shared" si="15"/>
        <v>-79854.490000000005</v>
      </c>
      <c r="H582" s="101" t="s">
        <v>80</v>
      </c>
    </row>
    <row r="583" spans="1:8" hidden="1">
      <c r="A583" s="101" t="s">
        <v>1184</v>
      </c>
      <c r="B583" s="102">
        <v>0</v>
      </c>
      <c r="C583" s="102">
        <v>0</v>
      </c>
      <c r="D583" s="102">
        <v>0</v>
      </c>
      <c r="E583" s="102">
        <v>0</v>
      </c>
      <c r="G583" s="102">
        <f t="shared" si="15"/>
        <v>0</v>
      </c>
      <c r="H583" s="101" t="s">
        <v>80</v>
      </c>
    </row>
    <row r="584" spans="1:8" hidden="1">
      <c r="A584" s="101" t="s">
        <v>286</v>
      </c>
      <c r="B584" s="102">
        <v>0</v>
      </c>
      <c r="C584" s="102">
        <v>33955</v>
      </c>
      <c r="D584" s="102">
        <v>33955</v>
      </c>
      <c r="E584" s="102">
        <v>0</v>
      </c>
      <c r="G584" s="102">
        <f t="shared" si="15"/>
        <v>0</v>
      </c>
      <c r="H584" s="101" t="s">
        <v>80</v>
      </c>
    </row>
    <row r="585" spans="1:8" hidden="1">
      <c r="A585" s="101" t="s">
        <v>744</v>
      </c>
      <c r="B585" s="102">
        <v>-0.05</v>
      </c>
      <c r="C585" s="102">
        <v>0</v>
      </c>
      <c r="D585" s="102">
        <v>0</v>
      </c>
      <c r="E585" s="102">
        <v>-0.05</v>
      </c>
      <c r="G585" s="102">
        <f t="shared" si="15"/>
        <v>-0.05</v>
      </c>
      <c r="H585" s="101" t="s">
        <v>80</v>
      </c>
    </row>
    <row r="586" spans="1:8" hidden="1">
      <c r="A586" s="101" t="s">
        <v>1185</v>
      </c>
      <c r="B586" s="102">
        <v>0</v>
      </c>
      <c r="C586" s="102">
        <v>0</v>
      </c>
      <c r="D586" s="102">
        <v>0</v>
      </c>
      <c r="E586" s="102">
        <v>0</v>
      </c>
      <c r="G586" s="102">
        <f t="shared" si="15"/>
        <v>0</v>
      </c>
      <c r="H586" s="101" t="s">
        <v>80</v>
      </c>
    </row>
    <row r="587" spans="1:8" hidden="1">
      <c r="A587" s="101" t="s">
        <v>1186</v>
      </c>
      <c r="B587" s="102">
        <v>0</v>
      </c>
      <c r="C587" s="102">
        <v>0</v>
      </c>
      <c r="D587" s="102">
        <v>10544</v>
      </c>
      <c r="E587" s="102">
        <v>-10544</v>
      </c>
      <c r="G587" s="102">
        <f t="shared" si="15"/>
        <v>-10544</v>
      </c>
      <c r="H587" s="101" t="s">
        <v>80</v>
      </c>
    </row>
    <row r="588" spans="1:8" hidden="1">
      <c r="A588" s="101" t="s">
        <v>1187</v>
      </c>
      <c r="B588" s="102">
        <v>0</v>
      </c>
      <c r="C588" s="102">
        <v>0</v>
      </c>
      <c r="D588" s="102">
        <v>800457</v>
      </c>
      <c r="E588" s="102">
        <v>-800457</v>
      </c>
      <c r="G588" s="102">
        <f t="shared" si="15"/>
        <v>-800457</v>
      </c>
      <c r="H588" s="101" t="s">
        <v>80</v>
      </c>
    </row>
    <row r="589" spans="1:8" hidden="1">
      <c r="A589" s="101" t="s">
        <v>287</v>
      </c>
      <c r="B589" s="102">
        <v>0.36</v>
      </c>
      <c r="C589" s="102">
        <v>0</v>
      </c>
      <c r="D589" s="102">
        <v>0</v>
      </c>
      <c r="E589" s="102">
        <v>0.36</v>
      </c>
      <c r="G589" s="102">
        <f t="shared" si="15"/>
        <v>0.36</v>
      </c>
      <c r="H589" s="101" t="s">
        <v>80</v>
      </c>
    </row>
    <row r="590" spans="1:8" hidden="1">
      <c r="A590" s="101" t="s">
        <v>288</v>
      </c>
      <c r="B590" s="102">
        <v>-55980.07</v>
      </c>
      <c r="C590" s="102">
        <v>71439.509999999995</v>
      </c>
      <c r="D590" s="102">
        <v>49203</v>
      </c>
      <c r="E590" s="102">
        <v>-33743.56</v>
      </c>
      <c r="G590" s="102">
        <f t="shared" si="15"/>
        <v>-33743.56</v>
      </c>
      <c r="H590" s="101" t="s">
        <v>80</v>
      </c>
    </row>
    <row r="591" spans="1:8" hidden="1">
      <c r="A591" s="101" t="s">
        <v>1188</v>
      </c>
      <c r="B591" s="102">
        <v>0</v>
      </c>
      <c r="C591" s="102">
        <v>0</v>
      </c>
      <c r="D591" s="102">
        <v>0</v>
      </c>
      <c r="E591" s="102">
        <v>0</v>
      </c>
      <c r="G591" s="102">
        <f t="shared" si="15"/>
        <v>0</v>
      </c>
      <c r="H591" s="101" t="s">
        <v>80</v>
      </c>
    </row>
    <row r="592" spans="1:8" hidden="1">
      <c r="A592" s="101" t="s">
        <v>1408</v>
      </c>
      <c r="B592" s="102">
        <v>0</v>
      </c>
      <c r="C592" s="102">
        <v>0</v>
      </c>
      <c r="D592" s="102">
        <v>0</v>
      </c>
      <c r="E592" s="102">
        <v>0</v>
      </c>
      <c r="G592" s="102">
        <f t="shared" si="15"/>
        <v>0</v>
      </c>
      <c r="H592" s="101" t="s">
        <v>80</v>
      </c>
    </row>
    <row r="593" spans="1:8" hidden="1">
      <c r="A593" s="101" t="s">
        <v>290</v>
      </c>
      <c r="B593" s="102">
        <v>-67376.240000000005</v>
      </c>
      <c r="C593" s="102">
        <v>0</v>
      </c>
      <c r="D593" s="102">
        <v>0</v>
      </c>
      <c r="E593" s="102">
        <v>-67376.240000000005</v>
      </c>
      <c r="G593" s="102">
        <f t="shared" si="15"/>
        <v>-67376.240000000005</v>
      </c>
      <c r="H593" s="101" t="s">
        <v>80</v>
      </c>
    </row>
    <row r="594" spans="1:8" hidden="1">
      <c r="A594" s="101" t="s">
        <v>284</v>
      </c>
      <c r="B594" s="102">
        <v>0.2</v>
      </c>
      <c r="C594" s="102">
        <v>0</v>
      </c>
      <c r="D594" s="102">
        <v>0</v>
      </c>
      <c r="E594" s="102">
        <v>0.2</v>
      </c>
      <c r="G594" s="102">
        <f t="shared" si="15"/>
        <v>0.2</v>
      </c>
      <c r="H594" s="101" t="s">
        <v>80</v>
      </c>
    </row>
    <row r="595" spans="1:8" hidden="1">
      <c r="A595" s="101" t="s">
        <v>745</v>
      </c>
      <c r="B595" s="102">
        <v>-16520</v>
      </c>
      <c r="C595" s="102">
        <v>0</v>
      </c>
      <c r="D595" s="102">
        <v>0</v>
      </c>
      <c r="E595" s="102">
        <v>-16520</v>
      </c>
      <c r="G595" s="102">
        <f t="shared" si="15"/>
        <v>-16520</v>
      </c>
      <c r="H595" s="101" t="s">
        <v>80</v>
      </c>
    </row>
    <row r="596" spans="1:8" hidden="1">
      <c r="A596" s="101" t="s">
        <v>1189</v>
      </c>
      <c r="B596" s="102">
        <v>0</v>
      </c>
      <c r="C596" s="102">
        <v>0</v>
      </c>
      <c r="D596" s="102">
        <v>0</v>
      </c>
      <c r="E596" s="102">
        <v>0</v>
      </c>
      <c r="G596" s="102">
        <f t="shared" si="15"/>
        <v>0</v>
      </c>
      <c r="H596" s="101" t="s">
        <v>80</v>
      </c>
    </row>
    <row r="597" spans="1:8" hidden="1">
      <c r="A597" s="101" t="s">
        <v>746</v>
      </c>
      <c r="B597" s="102">
        <v>-97707</v>
      </c>
      <c r="C597" s="102">
        <v>85650</v>
      </c>
      <c r="D597" s="102">
        <v>35064</v>
      </c>
      <c r="E597" s="102">
        <v>-47121</v>
      </c>
      <c r="G597" s="102">
        <f t="shared" si="15"/>
        <v>-47121</v>
      </c>
      <c r="H597" s="101" t="s">
        <v>80</v>
      </c>
    </row>
    <row r="598" spans="1:8" hidden="1">
      <c r="A598" s="101" t="s">
        <v>1190</v>
      </c>
      <c r="B598" s="102">
        <v>0</v>
      </c>
      <c r="C598" s="102">
        <v>0</v>
      </c>
      <c r="D598" s="102">
        <v>0</v>
      </c>
      <c r="E598" s="102">
        <v>0</v>
      </c>
      <c r="G598" s="102">
        <f t="shared" si="15"/>
        <v>0</v>
      </c>
      <c r="H598" s="101" t="s">
        <v>80</v>
      </c>
    </row>
    <row r="599" spans="1:8" hidden="1">
      <c r="A599" s="101" t="s">
        <v>281</v>
      </c>
      <c r="B599" s="102">
        <v>-63981.1</v>
      </c>
      <c r="C599" s="102">
        <v>94302</v>
      </c>
      <c r="D599" s="102">
        <v>70820</v>
      </c>
      <c r="E599" s="102">
        <v>-40499.1</v>
      </c>
      <c r="G599" s="102">
        <f t="shared" si="15"/>
        <v>-40499.1</v>
      </c>
      <c r="H599" s="101" t="s">
        <v>80</v>
      </c>
    </row>
    <row r="600" spans="1:8" hidden="1">
      <c r="A600" s="101" t="s">
        <v>278</v>
      </c>
      <c r="B600" s="102">
        <v>-427455</v>
      </c>
      <c r="C600" s="102">
        <v>427455</v>
      </c>
      <c r="D600" s="102">
        <v>71862</v>
      </c>
      <c r="E600" s="102">
        <v>-71862</v>
      </c>
      <c r="G600" s="102">
        <f t="shared" si="15"/>
        <v>-71862</v>
      </c>
      <c r="H600" s="101" t="s">
        <v>80</v>
      </c>
    </row>
    <row r="601" spans="1:8" hidden="1">
      <c r="A601" s="101" t="s">
        <v>274</v>
      </c>
      <c r="B601" s="102">
        <v>-99775.5</v>
      </c>
      <c r="C601" s="102">
        <v>71521</v>
      </c>
      <c r="D601" s="102">
        <v>34148</v>
      </c>
      <c r="E601" s="102">
        <v>-62402.5</v>
      </c>
      <c r="G601" s="102">
        <f t="shared" si="15"/>
        <v>-62402.5</v>
      </c>
      <c r="H601" s="101" t="s">
        <v>80</v>
      </c>
    </row>
    <row r="602" spans="1:8" hidden="1">
      <c r="A602" s="101" t="s">
        <v>275</v>
      </c>
      <c r="B602" s="102">
        <v>-407361.01</v>
      </c>
      <c r="C602" s="102">
        <v>319463</v>
      </c>
      <c r="D602" s="102">
        <v>119940</v>
      </c>
      <c r="E602" s="102">
        <v>-207838.01</v>
      </c>
      <c r="G602" s="102">
        <f t="shared" si="15"/>
        <v>-207838.01</v>
      </c>
      <c r="H602" s="101" t="s">
        <v>80</v>
      </c>
    </row>
    <row r="603" spans="1:8" hidden="1">
      <c r="A603" s="101" t="s">
        <v>276</v>
      </c>
      <c r="B603" s="102">
        <v>-1775316.58</v>
      </c>
      <c r="C603" s="102">
        <v>860882.97</v>
      </c>
      <c r="D603" s="102">
        <v>49985</v>
      </c>
      <c r="E603" s="102">
        <v>-964418.61</v>
      </c>
      <c r="G603" s="102">
        <f t="shared" si="15"/>
        <v>-964418.61</v>
      </c>
      <c r="H603" s="101" t="s">
        <v>80</v>
      </c>
    </row>
    <row r="604" spans="1:8" hidden="1">
      <c r="A604" s="101" t="s">
        <v>280</v>
      </c>
      <c r="B604" s="102">
        <v>-6136</v>
      </c>
      <c r="C604" s="102">
        <v>3068</v>
      </c>
      <c r="D604" s="102">
        <v>0</v>
      </c>
      <c r="E604" s="102">
        <v>-3068</v>
      </c>
      <c r="G604" s="102">
        <f t="shared" si="15"/>
        <v>-3068</v>
      </c>
      <c r="H604" s="101" t="s">
        <v>80</v>
      </c>
    </row>
    <row r="605" spans="1:8" hidden="1">
      <c r="A605" s="101" t="s">
        <v>1409</v>
      </c>
      <c r="B605" s="102">
        <v>0</v>
      </c>
      <c r="C605" s="102">
        <v>0</v>
      </c>
      <c r="D605" s="102">
        <v>0</v>
      </c>
      <c r="E605" s="102">
        <v>0</v>
      </c>
      <c r="G605" s="102">
        <f t="shared" si="15"/>
        <v>0</v>
      </c>
      <c r="H605" s="101" t="s">
        <v>80</v>
      </c>
    </row>
    <row r="606" spans="1:8" hidden="1">
      <c r="A606" s="101" t="s">
        <v>454</v>
      </c>
      <c r="B606" s="102">
        <v>257505.5</v>
      </c>
      <c r="C606" s="102">
        <v>0</v>
      </c>
      <c r="D606" s="102">
        <v>0</v>
      </c>
      <c r="E606" s="102">
        <v>257505.5</v>
      </c>
      <c r="G606" s="102">
        <f t="shared" si="15"/>
        <v>257505.5</v>
      </c>
      <c r="H606" s="101" t="s">
        <v>80</v>
      </c>
    </row>
    <row r="607" spans="1:8" hidden="1">
      <c r="A607" s="101" t="s">
        <v>271</v>
      </c>
      <c r="B607" s="102">
        <v>-29832.6</v>
      </c>
      <c r="C607" s="102">
        <v>0</v>
      </c>
      <c r="D607" s="102">
        <v>0</v>
      </c>
      <c r="E607" s="102">
        <v>-29832.6</v>
      </c>
      <c r="G607" s="102">
        <f t="shared" si="15"/>
        <v>-29832.6</v>
      </c>
      <c r="H607" s="101" t="s">
        <v>80</v>
      </c>
    </row>
    <row r="608" spans="1:8" hidden="1">
      <c r="A608" s="101" t="s">
        <v>1191</v>
      </c>
      <c r="B608" s="102">
        <v>0</v>
      </c>
      <c r="C608" s="102">
        <v>0</v>
      </c>
      <c r="D608" s="102">
        <v>0</v>
      </c>
      <c r="E608" s="102">
        <v>0</v>
      </c>
      <c r="G608" s="102">
        <f t="shared" si="15"/>
        <v>0</v>
      </c>
      <c r="H608" s="101" t="s">
        <v>80</v>
      </c>
    </row>
    <row r="609" spans="1:8" hidden="1">
      <c r="A609" s="101" t="s">
        <v>747</v>
      </c>
      <c r="B609" s="102">
        <v>-449535.74</v>
      </c>
      <c r="C609" s="102">
        <v>876819</v>
      </c>
      <c r="D609" s="102">
        <v>610148</v>
      </c>
      <c r="E609" s="102">
        <v>-182864.74</v>
      </c>
      <c r="G609" s="102">
        <f t="shared" si="15"/>
        <v>-182864.74</v>
      </c>
      <c r="H609" s="101" t="s">
        <v>80</v>
      </c>
    </row>
    <row r="610" spans="1:8" hidden="1">
      <c r="A610" s="101" t="s">
        <v>748</v>
      </c>
      <c r="B610" s="102">
        <v>-20650.5</v>
      </c>
      <c r="C610" s="102">
        <v>20650</v>
      </c>
      <c r="D610" s="102">
        <v>0</v>
      </c>
      <c r="E610" s="102">
        <v>-0.5</v>
      </c>
      <c r="G610" s="102">
        <f t="shared" si="15"/>
        <v>-0.5</v>
      </c>
      <c r="H610" s="101" t="s">
        <v>80</v>
      </c>
    </row>
    <row r="611" spans="1:8" hidden="1">
      <c r="A611" s="101" t="s">
        <v>749</v>
      </c>
      <c r="B611" s="102">
        <v>-23187</v>
      </c>
      <c r="C611" s="102">
        <v>23187</v>
      </c>
      <c r="D611" s="102">
        <v>0</v>
      </c>
      <c r="E611" s="102">
        <v>0</v>
      </c>
      <c r="G611" s="102">
        <f t="shared" si="15"/>
        <v>0</v>
      </c>
      <c r="H611" s="101" t="s">
        <v>80</v>
      </c>
    </row>
    <row r="612" spans="1:8" hidden="1">
      <c r="A612" s="101" t="s">
        <v>750</v>
      </c>
      <c r="B612" s="102">
        <v>-851</v>
      </c>
      <c r="C612" s="102">
        <v>0</v>
      </c>
      <c r="D612" s="102">
        <v>0</v>
      </c>
      <c r="E612" s="102">
        <v>-851</v>
      </c>
      <c r="G612" s="102">
        <f t="shared" si="15"/>
        <v>-851</v>
      </c>
      <c r="H612" s="101" t="s">
        <v>80</v>
      </c>
    </row>
    <row r="613" spans="1:8" hidden="1">
      <c r="A613" s="101" t="s">
        <v>751</v>
      </c>
      <c r="B613" s="102">
        <v>-46728</v>
      </c>
      <c r="C613" s="102">
        <v>52315</v>
      </c>
      <c r="D613" s="102">
        <v>160167</v>
      </c>
      <c r="E613" s="102">
        <v>-154580</v>
      </c>
      <c r="G613" s="102">
        <f t="shared" si="15"/>
        <v>-154580</v>
      </c>
      <c r="H613" s="101" t="s">
        <v>80</v>
      </c>
    </row>
    <row r="614" spans="1:8" hidden="1">
      <c r="A614" s="101" t="s">
        <v>752</v>
      </c>
      <c r="B614" s="102">
        <v>-12095</v>
      </c>
      <c r="C614" s="102">
        <v>0</v>
      </c>
      <c r="D614" s="102">
        <v>0</v>
      </c>
      <c r="E614" s="102">
        <v>-12095</v>
      </c>
      <c r="G614" s="102">
        <f t="shared" si="15"/>
        <v>-12095</v>
      </c>
      <c r="H614" s="101" t="s">
        <v>80</v>
      </c>
    </row>
    <row r="615" spans="1:8" hidden="1">
      <c r="A615" s="101" t="s">
        <v>753</v>
      </c>
      <c r="B615" s="102">
        <v>-1872</v>
      </c>
      <c r="C615" s="102">
        <v>0</v>
      </c>
      <c r="D615" s="102">
        <v>0</v>
      </c>
      <c r="E615" s="102">
        <v>-1872</v>
      </c>
      <c r="G615" s="102">
        <f t="shared" si="15"/>
        <v>-1872</v>
      </c>
      <c r="H615" s="101" t="s">
        <v>80</v>
      </c>
    </row>
    <row r="616" spans="1:8" hidden="1">
      <c r="A616" s="101" t="s">
        <v>455</v>
      </c>
      <c r="B616" s="102">
        <v>0</v>
      </c>
      <c r="C616" s="102">
        <v>0</v>
      </c>
      <c r="D616" s="102">
        <v>28586</v>
      </c>
      <c r="E616" s="102">
        <v>-28586</v>
      </c>
      <c r="G616" s="102">
        <f t="shared" si="15"/>
        <v>-28586</v>
      </c>
      <c r="H616" s="101" t="s">
        <v>80</v>
      </c>
    </row>
    <row r="617" spans="1:8" hidden="1">
      <c r="A617" s="101" t="s">
        <v>265</v>
      </c>
      <c r="B617" s="102">
        <v>0</v>
      </c>
      <c r="C617" s="102">
        <v>525650.37</v>
      </c>
      <c r="D617" s="102">
        <v>1092004.1200000001</v>
      </c>
      <c r="E617" s="102">
        <v>-566353.75</v>
      </c>
      <c r="G617" s="102">
        <f t="shared" si="15"/>
        <v>-566353.75</v>
      </c>
      <c r="H617" s="101" t="s">
        <v>80</v>
      </c>
    </row>
    <row r="618" spans="1:8" hidden="1">
      <c r="A618" s="101" t="s">
        <v>754</v>
      </c>
      <c r="B618" s="102">
        <v>-2006</v>
      </c>
      <c r="C618" s="102">
        <v>2006</v>
      </c>
      <c r="D618" s="102">
        <v>0</v>
      </c>
      <c r="E618" s="102">
        <v>0</v>
      </c>
      <c r="G618" s="102">
        <f t="shared" si="15"/>
        <v>0</v>
      </c>
      <c r="H618" s="101" t="s">
        <v>80</v>
      </c>
    </row>
    <row r="619" spans="1:8" hidden="1">
      <c r="A619" s="101" t="s">
        <v>527</v>
      </c>
      <c r="B619" s="102">
        <v>-55322.5</v>
      </c>
      <c r="C619" s="102">
        <v>0</v>
      </c>
      <c r="D619" s="102">
        <v>0</v>
      </c>
      <c r="E619" s="102">
        <v>-55322.5</v>
      </c>
      <c r="G619" s="102">
        <f t="shared" si="15"/>
        <v>-55322.5</v>
      </c>
      <c r="H619" s="101" t="s">
        <v>80</v>
      </c>
    </row>
    <row r="620" spans="1:8" hidden="1">
      <c r="A620" s="101" t="s">
        <v>1192</v>
      </c>
      <c r="B620" s="102">
        <v>0</v>
      </c>
      <c r="C620" s="102">
        <v>0</v>
      </c>
      <c r="D620" s="102">
        <v>0</v>
      </c>
      <c r="E620" s="102">
        <v>0</v>
      </c>
      <c r="G620" s="102">
        <f t="shared" si="15"/>
        <v>0</v>
      </c>
      <c r="H620" s="101" t="s">
        <v>80</v>
      </c>
    </row>
    <row r="621" spans="1:8" hidden="1">
      <c r="A621" s="101" t="s">
        <v>388</v>
      </c>
      <c r="B621" s="102">
        <v>-122909</v>
      </c>
      <c r="C621" s="102">
        <v>122909</v>
      </c>
      <c r="D621" s="102">
        <v>0</v>
      </c>
      <c r="E621" s="102">
        <v>0</v>
      </c>
      <c r="G621" s="102">
        <f t="shared" si="15"/>
        <v>0</v>
      </c>
      <c r="H621" s="101" t="s">
        <v>80</v>
      </c>
    </row>
    <row r="622" spans="1:8" hidden="1">
      <c r="A622" s="101" t="s">
        <v>263</v>
      </c>
      <c r="B622" s="102">
        <v>-33816</v>
      </c>
      <c r="C622" s="102">
        <v>30276</v>
      </c>
      <c r="D622" s="102">
        <v>17889</v>
      </c>
      <c r="E622" s="102">
        <v>-21429</v>
      </c>
      <c r="G622" s="102">
        <f t="shared" si="15"/>
        <v>-21429</v>
      </c>
      <c r="H622" s="101" t="s">
        <v>80</v>
      </c>
    </row>
    <row r="623" spans="1:8" hidden="1">
      <c r="A623" s="101" t="s">
        <v>403</v>
      </c>
      <c r="B623" s="102">
        <v>-11800</v>
      </c>
      <c r="C623" s="102">
        <v>11800</v>
      </c>
      <c r="D623" s="102">
        <v>0</v>
      </c>
      <c r="E623" s="102">
        <v>0</v>
      </c>
      <c r="G623" s="102">
        <f t="shared" si="15"/>
        <v>0</v>
      </c>
      <c r="H623" s="101" t="s">
        <v>80</v>
      </c>
    </row>
    <row r="624" spans="1:8" hidden="1">
      <c r="A624" s="101" t="s">
        <v>1194</v>
      </c>
      <c r="B624" s="102">
        <v>0</v>
      </c>
      <c r="C624" s="102">
        <v>0</v>
      </c>
      <c r="D624" s="102">
        <v>0</v>
      </c>
      <c r="E624" s="102">
        <v>0</v>
      </c>
      <c r="G624" s="102">
        <f t="shared" si="15"/>
        <v>0</v>
      </c>
      <c r="H624" s="101" t="s">
        <v>80</v>
      </c>
    </row>
    <row r="625" spans="1:8" hidden="1">
      <c r="A625" s="101" t="s">
        <v>262</v>
      </c>
      <c r="B625" s="102">
        <v>-16862</v>
      </c>
      <c r="C625" s="102">
        <v>0</v>
      </c>
      <c r="D625" s="102">
        <v>25724</v>
      </c>
      <c r="E625" s="102">
        <v>-42586</v>
      </c>
      <c r="G625" s="102">
        <f t="shared" si="15"/>
        <v>-42586</v>
      </c>
      <c r="H625" s="101" t="s">
        <v>80</v>
      </c>
    </row>
    <row r="626" spans="1:8" hidden="1">
      <c r="A626" s="101" t="s">
        <v>452</v>
      </c>
      <c r="B626" s="102">
        <v>10968.82</v>
      </c>
      <c r="C626" s="102">
        <v>0</v>
      </c>
      <c r="D626" s="102">
        <v>11292.26</v>
      </c>
      <c r="E626" s="102">
        <v>-323.44</v>
      </c>
      <c r="G626" s="102">
        <f t="shared" si="15"/>
        <v>-323.44</v>
      </c>
      <c r="H626" s="101" t="s">
        <v>80</v>
      </c>
    </row>
    <row r="627" spans="1:8" hidden="1">
      <c r="A627" s="101" t="s">
        <v>259</v>
      </c>
      <c r="B627" s="102">
        <v>-1180</v>
      </c>
      <c r="C627" s="102">
        <v>5310</v>
      </c>
      <c r="D627" s="102">
        <v>4130</v>
      </c>
      <c r="E627" s="102">
        <v>0</v>
      </c>
      <c r="G627" s="102">
        <f t="shared" si="15"/>
        <v>0</v>
      </c>
      <c r="H627" s="101" t="s">
        <v>80</v>
      </c>
    </row>
    <row r="628" spans="1:8" hidden="1">
      <c r="A628" s="101" t="s">
        <v>755</v>
      </c>
      <c r="B628" s="102">
        <v>-50551</v>
      </c>
      <c r="C628" s="102">
        <v>50551</v>
      </c>
      <c r="D628" s="102">
        <v>0</v>
      </c>
      <c r="E628" s="102">
        <v>0</v>
      </c>
      <c r="G628" s="102">
        <f t="shared" si="15"/>
        <v>0</v>
      </c>
      <c r="H628" s="101" t="s">
        <v>80</v>
      </c>
    </row>
    <row r="629" spans="1:8" hidden="1">
      <c r="A629" s="101" t="s">
        <v>756</v>
      </c>
      <c r="B629" s="102">
        <v>0</v>
      </c>
      <c r="C629" s="102">
        <v>0</v>
      </c>
      <c r="D629" s="102">
        <v>70375</v>
      </c>
      <c r="E629" s="102">
        <v>-70375</v>
      </c>
      <c r="G629" s="102">
        <f t="shared" si="15"/>
        <v>-70375</v>
      </c>
      <c r="H629" s="101" t="s">
        <v>80</v>
      </c>
    </row>
    <row r="630" spans="1:8" hidden="1">
      <c r="A630" s="101" t="s">
        <v>466</v>
      </c>
      <c r="B630" s="102">
        <v>-13803</v>
      </c>
      <c r="C630" s="102">
        <v>0</v>
      </c>
      <c r="D630" s="102">
        <v>2714</v>
      </c>
      <c r="E630" s="102">
        <v>-16517</v>
      </c>
      <c r="G630" s="102">
        <f t="shared" si="15"/>
        <v>-16517</v>
      </c>
      <c r="H630" s="101" t="s">
        <v>80</v>
      </c>
    </row>
    <row r="631" spans="1:8" hidden="1">
      <c r="A631" s="101" t="s">
        <v>257</v>
      </c>
      <c r="B631" s="102">
        <v>-1523</v>
      </c>
      <c r="C631" s="102">
        <v>1523</v>
      </c>
      <c r="D631" s="102">
        <v>46568</v>
      </c>
      <c r="E631" s="102">
        <v>-46568</v>
      </c>
      <c r="G631" s="102">
        <f t="shared" si="15"/>
        <v>-46568</v>
      </c>
      <c r="H631" s="101" t="s">
        <v>80</v>
      </c>
    </row>
    <row r="632" spans="1:8" hidden="1">
      <c r="A632" s="101" t="s">
        <v>385</v>
      </c>
      <c r="B632" s="102">
        <v>-17220</v>
      </c>
      <c r="C632" s="102">
        <v>15930</v>
      </c>
      <c r="D632" s="102">
        <v>0</v>
      </c>
      <c r="E632" s="102">
        <v>-1290</v>
      </c>
      <c r="G632" s="102">
        <f t="shared" si="15"/>
        <v>-1290</v>
      </c>
      <c r="H632" s="101" t="s">
        <v>80</v>
      </c>
    </row>
    <row r="633" spans="1:8" hidden="1">
      <c r="A633" s="101" t="s">
        <v>256</v>
      </c>
      <c r="B633" s="102">
        <v>-49192.44</v>
      </c>
      <c r="C633" s="102">
        <v>68013.52</v>
      </c>
      <c r="D633" s="102">
        <v>38269.4</v>
      </c>
      <c r="E633" s="102">
        <v>-19448.32</v>
      </c>
      <c r="G633" s="102">
        <f t="shared" si="15"/>
        <v>-19448.32</v>
      </c>
      <c r="H633" s="101" t="s">
        <v>80</v>
      </c>
    </row>
    <row r="634" spans="1:8" hidden="1">
      <c r="A634" s="101" t="s">
        <v>255</v>
      </c>
      <c r="B634" s="102">
        <v>-9803.18</v>
      </c>
      <c r="C634" s="102">
        <v>35717.4</v>
      </c>
      <c r="D634" s="102">
        <v>32128.09</v>
      </c>
      <c r="E634" s="102">
        <v>-6213.87</v>
      </c>
      <c r="G634" s="102">
        <f t="shared" si="15"/>
        <v>-6213.87</v>
      </c>
      <c r="H634" s="101" t="s">
        <v>80</v>
      </c>
    </row>
    <row r="635" spans="1:8" hidden="1">
      <c r="A635" s="101" t="s">
        <v>253</v>
      </c>
      <c r="B635" s="102">
        <v>-269120.09999999998</v>
      </c>
      <c r="C635" s="102">
        <v>197651</v>
      </c>
      <c r="D635" s="102">
        <v>93968</v>
      </c>
      <c r="E635" s="102">
        <v>-165437.1</v>
      </c>
      <c r="G635" s="102">
        <f t="shared" si="15"/>
        <v>-165437.1</v>
      </c>
      <c r="H635" s="101" t="s">
        <v>80</v>
      </c>
    </row>
    <row r="636" spans="1:8" hidden="1">
      <c r="A636" s="101" t="s">
        <v>252</v>
      </c>
      <c r="B636" s="102">
        <v>-920</v>
      </c>
      <c r="C636" s="102">
        <v>920</v>
      </c>
      <c r="D636" s="102">
        <v>0</v>
      </c>
      <c r="E636" s="102">
        <v>0</v>
      </c>
      <c r="G636" s="102">
        <f t="shared" si="15"/>
        <v>0</v>
      </c>
      <c r="H636" s="101" t="s">
        <v>80</v>
      </c>
    </row>
    <row r="637" spans="1:8" hidden="1">
      <c r="A637" s="101" t="s">
        <v>757</v>
      </c>
      <c r="B637" s="102">
        <v>5133</v>
      </c>
      <c r="C637" s="102">
        <v>0</v>
      </c>
      <c r="D637" s="102">
        <v>0</v>
      </c>
      <c r="E637" s="102">
        <v>5133</v>
      </c>
      <c r="G637" s="102">
        <f t="shared" si="15"/>
        <v>5133</v>
      </c>
      <c r="H637" s="101" t="s">
        <v>80</v>
      </c>
    </row>
    <row r="638" spans="1:8" hidden="1">
      <c r="A638" s="101" t="s">
        <v>250</v>
      </c>
      <c r="B638" s="102">
        <v>-108360</v>
      </c>
      <c r="C638" s="102">
        <v>0</v>
      </c>
      <c r="D638" s="102">
        <v>105344</v>
      </c>
      <c r="E638" s="102">
        <v>-213704</v>
      </c>
      <c r="G638" s="102">
        <f t="shared" si="15"/>
        <v>-213704</v>
      </c>
      <c r="H638" s="101" t="s">
        <v>80</v>
      </c>
    </row>
    <row r="639" spans="1:8" hidden="1">
      <c r="A639" s="101" t="s">
        <v>1195</v>
      </c>
      <c r="B639" s="102">
        <v>0</v>
      </c>
      <c r="C639" s="102">
        <v>33030.559999999998</v>
      </c>
      <c r="D639" s="102">
        <v>0</v>
      </c>
      <c r="E639" s="102">
        <v>33030.559999999998</v>
      </c>
      <c r="G639" s="102">
        <f t="shared" si="15"/>
        <v>33030.559999999998</v>
      </c>
      <c r="H639" s="101" t="s">
        <v>80</v>
      </c>
    </row>
    <row r="640" spans="1:8" hidden="1">
      <c r="A640" s="101" t="s">
        <v>462</v>
      </c>
      <c r="B640" s="102">
        <v>-30990</v>
      </c>
      <c r="C640" s="102">
        <v>30990</v>
      </c>
      <c r="D640" s="102">
        <v>26096</v>
      </c>
      <c r="E640" s="102">
        <v>-26096</v>
      </c>
      <c r="G640" s="102">
        <f t="shared" si="15"/>
        <v>-26096</v>
      </c>
      <c r="H640" s="101" t="s">
        <v>80</v>
      </c>
    </row>
    <row r="641" spans="1:8" hidden="1">
      <c r="A641" s="101" t="s">
        <v>1196</v>
      </c>
      <c r="B641" s="102">
        <v>0</v>
      </c>
      <c r="C641" s="102">
        <v>0</v>
      </c>
      <c r="D641" s="102">
        <v>0</v>
      </c>
      <c r="E641" s="102">
        <v>0</v>
      </c>
      <c r="G641" s="102">
        <f t="shared" si="15"/>
        <v>0</v>
      </c>
      <c r="H641" s="101" t="s">
        <v>80</v>
      </c>
    </row>
    <row r="642" spans="1:8" hidden="1">
      <c r="A642" s="101" t="s">
        <v>1410</v>
      </c>
      <c r="B642" s="102">
        <v>0</v>
      </c>
      <c r="C642" s="102">
        <v>0</v>
      </c>
      <c r="D642" s="102">
        <v>0</v>
      </c>
      <c r="E642" s="102">
        <v>0</v>
      </c>
      <c r="G642" s="102">
        <f t="shared" si="15"/>
        <v>0</v>
      </c>
      <c r="H642" s="101" t="s">
        <v>80</v>
      </c>
    </row>
    <row r="643" spans="1:8" hidden="1">
      <c r="A643" s="101" t="s">
        <v>758</v>
      </c>
      <c r="B643" s="102">
        <v>0.2</v>
      </c>
      <c r="C643" s="102">
        <v>0</v>
      </c>
      <c r="D643" s="102">
        <v>0</v>
      </c>
      <c r="E643" s="102">
        <v>0.2</v>
      </c>
      <c r="G643" s="102">
        <f t="shared" ref="G643:G706" si="16">E643+F643</f>
        <v>0.2</v>
      </c>
      <c r="H643" s="101" t="s">
        <v>80</v>
      </c>
    </row>
    <row r="644" spans="1:8" hidden="1">
      <c r="A644" s="101" t="s">
        <v>246</v>
      </c>
      <c r="B644" s="102">
        <v>-0.5</v>
      </c>
      <c r="C644" s="102">
        <v>0</v>
      </c>
      <c r="D644" s="102">
        <v>0</v>
      </c>
      <c r="E644" s="102">
        <v>-0.5</v>
      </c>
      <c r="G644" s="102">
        <f t="shared" si="16"/>
        <v>-0.5</v>
      </c>
      <c r="H644" s="101" t="s">
        <v>80</v>
      </c>
    </row>
    <row r="645" spans="1:8" hidden="1">
      <c r="A645" s="101" t="s">
        <v>528</v>
      </c>
      <c r="B645" s="102">
        <v>-10684</v>
      </c>
      <c r="C645" s="102">
        <v>10684</v>
      </c>
      <c r="D645" s="102">
        <v>0</v>
      </c>
      <c r="E645" s="102">
        <v>0</v>
      </c>
      <c r="G645" s="102">
        <f t="shared" si="16"/>
        <v>0</v>
      </c>
      <c r="H645" s="101" t="s">
        <v>80</v>
      </c>
    </row>
    <row r="646" spans="1:8" hidden="1">
      <c r="A646" s="101" t="s">
        <v>242</v>
      </c>
      <c r="B646" s="102">
        <v>-11800</v>
      </c>
      <c r="C646" s="102">
        <v>11800</v>
      </c>
      <c r="D646" s="102">
        <v>0</v>
      </c>
      <c r="E646" s="102">
        <v>0</v>
      </c>
      <c r="G646" s="102">
        <f t="shared" si="16"/>
        <v>0</v>
      </c>
      <c r="H646" s="101" t="s">
        <v>80</v>
      </c>
    </row>
    <row r="647" spans="1:8" hidden="1">
      <c r="A647" s="101" t="s">
        <v>1197</v>
      </c>
      <c r="B647" s="102">
        <v>0</v>
      </c>
      <c r="C647" s="102">
        <v>0</v>
      </c>
      <c r="D647" s="102">
        <v>0</v>
      </c>
      <c r="E647" s="102">
        <v>0</v>
      </c>
      <c r="G647" s="102">
        <f t="shared" si="16"/>
        <v>0</v>
      </c>
      <c r="H647" s="101" t="s">
        <v>80</v>
      </c>
    </row>
    <row r="648" spans="1:8" hidden="1">
      <c r="A648" s="101" t="s">
        <v>467</v>
      </c>
      <c r="B648" s="102">
        <v>-15882.8</v>
      </c>
      <c r="C648" s="102">
        <v>15882.8</v>
      </c>
      <c r="D648" s="102">
        <v>0</v>
      </c>
      <c r="E648" s="102">
        <v>0</v>
      </c>
      <c r="G648" s="102">
        <f t="shared" si="16"/>
        <v>0</v>
      </c>
      <c r="H648" s="101" t="s">
        <v>80</v>
      </c>
    </row>
    <row r="649" spans="1:8" hidden="1">
      <c r="A649" s="101" t="s">
        <v>1411</v>
      </c>
      <c r="B649" s="102">
        <v>0</v>
      </c>
      <c r="C649" s="102">
        <v>0</v>
      </c>
      <c r="D649" s="102">
        <v>0</v>
      </c>
      <c r="E649" s="102">
        <v>0</v>
      </c>
      <c r="G649" s="102">
        <f t="shared" si="16"/>
        <v>0</v>
      </c>
      <c r="H649" s="101" t="s">
        <v>80</v>
      </c>
    </row>
    <row r="650" spans="1:8" hidden="1">
      <c r="A650" s="101" t="s">
        <v>759</v>
      </c>
      <c r="B650" s="102">
        <v>-53100</v>
      </c>
      <c r="C650" s="102">
        <v>137942</v>
      </c>
      <c r="D650" s="102">
        <v>90034</v>
      </c>
      <c r="E650" s="102">
        <v>-5192</v>
      </c>
      <c r="G650" s="102">
        <f t="shared" si="16"/>
        <v>-5192</v>
      </c>
      <c r="H650" s="101" t="s">
        <v>80</v>
      </c>
    </row>
    <row r="651" spans="1:8" hidden="1">
      <c r="A651" s="101" t="s">
        <v>760</v>
      </c>
      <c r="B651" s="102">
        <v>-8942.01</v>
      </c>
      <c r="C651" s="102">
        <v>0</v>
      </c>
      <c r="D651" s="102">
        <v>0</v>
      </c>
      <c r="E651" s="102">
        <v>-8942.01</v>
      </c>
      <c r="G651" s="102">
        <f t="shared" si="16"/>
        <v>-8942.01</v>
      </c>
      <c r="H651" s="101" t="s">
        <v>80</v>
      </c>
    </row>
    <row r="652" spans="1:8" hidden="1">
      <c r="A652" s="101" t="s">
        <v>236</v>
      </c>
      <c r="B652" s="102">
        <v>3337</v>
      </c>
      <c r="C652" s="102">
        <v>0</v>
      </c>
      <c r="D652" s="102">
        <v>0</v>
      </c>
      <c r="E652" s="102">
        <v>3337</v>
      </c>
      <c r="G652" s="102">
        <f t="shared" si="16"/>
        <v>3337</v>
      </c>
      <c r="H652" s="101" t="s">
        <v>80</v>
      </c>
    </row>
    <row r="653" spans="1:8" hidden="1">
      <c r="A653" s="101" t="s">
        <v>434</v>
      </c>
      <c r="B653" s="102">
        <v>0</v>
      </c>
      <c r="C653" s="102">
        <v>13895</v>
      </c>
      <c r="D653" s="102">
        <v>22945</v>
      </c>
      <c r="E653" s="102">
        <v>-9050</v>
      </c>
      <c r="G653" s="102">
        <f t="shared" si="16"/>
        <v>-9050</v>
      </c>
      <c r="H653" s="101" t="s">
        <v>80</v>
      </c>
    </row>
    <row r="654" spans="1:8" hidden="1">
      <c r="A654" s="101" t="s">
        <v>238</v>
      </c>
      <c r="B654" s="102">
        <v>-4528.3999999999996</v>
      </c>
      <c r="C654" s="102">
        <v>2507</v>
      </c>
      <c r="D654" s="102">
        <v>0</v>
      </c>
      <c r="E654" s="102">
        <v>-2021.4</v>
      </c>
      <c r="G654" s="102">
        <f t="shared" si="16"/>
        <v>-2021.4</v>
      </c>
      <c r="H654" s="101" t="s">
        <v>80</v>
      </c>
    </row>
    <row r="655" spans="1:8" hidden="1">
      <c r="A655" s="101" t="s">
        <v>457</v>
      </c>
      <c r="B655" s="102">
        <v>-500</v>
      </c>
      <c r="C655" s="102">
        <v>0</v>
      </c>
      <c r="D655" s="102">
        <v>0</v>
      </c>
      <c r="E655" s="102">
        <v>-500</v>
      </c>
      <c r="G655" s="102">
        <f t="shared" si="16"/>
        <v>-500</v>
      </c>
      <c r="H655" s="101" t="s">
        <v>80</v>
      </c>
    </row>
    <row r="656" spans="1:8" hidden="1">
      <c r="A656" s="101" t="s">
        <v>761</v>
      </c>
      <c r="B656" s="102">
        <v>0</v>
      </c>
      <c r="C656" s="102">
        <v>1534</v>
      </c>
      <c r="D656" s="102">
        <v>1534</v>
      </c>
      <c r="E656" s="102">
        <v>0</v>
      </c>
      <c r="G656" s="102">
        <f t="shared" si="16"/>
        <v>0</v>
      </c>
      <c r="H656" s="101" t="s">
        <v>80</v>
      </c>
    </row>
    <row r="657" spans="1:8" hidden="1">
      <c r="A657" s="101" t="s">
        <v>1198</v>
      </c>
      <c r="B657" s="102">
        <v>0</v>
      </c>
      <c r="C657" s="102">
        <v>0</v>
      </c>
      <c r="D657" s="102">
        <v>0</v>
      </c>
      <c r="E657" s="102">
        <v>0</v>
      </c>
      <c r="G657" s="102">
        <f t="shared" si="16"/>
        <v>0</v>
      </c>
      <c r="H657" s="101" t="s">
        <v>80</v>
      </c>
    </row>
    <row r="658" spans="1:8" hidden="1">
      <c r="A658" s="101" t="s">
        <v>233</v>
      </c>
      <c r="B658" s="102">
        <v>-130013</v>
      </c>
      <c r="C658" s="102">
        <v>159489</v>
      </c>
      <c r="D658" s="102">
        <v>73993</v>
      </c>
      <c r="E658" s="102">
        <v>-44517</v>
      </c>
      <c r="G658" s="102">
        <f t="shared" si="16"/>
        <v>-44517</v>
      </c>
      <c r="H658" s="101" t="s">
        <v>80</v>
      </c>
    </row>
    <row r="659" spans="1:8" hidden="1">
      <c r="A659" s="101" t="s">
        <v>229</v>
      </c>
      <c r="B659" s="102">
        <v>-7646.4</v>
      </c>
      <c r="C659" s="102">
        <v>1947</v>
      </c>
      <c r="D659" s="102">
        <v>1947</v>
      </c>
      <c r="E659" s="102">
        <v>-7646.4</v>
      </c>
      <c r="G659" s="102">
        <f t="shared" si="16"/>
        <v>-7646.4</v>
      </c>
      <c r="H659" s="101" t="s">
        <v>80</v>
      </c>
    </row>
    <row r="660" spans="1:8" hidden="1">
      <c r="A660" s="101" t="s">
        <v>230</v>
      </c>
      <c r="B660" s="102">
        <v>-29064</v>
      </c>
      <c r="C660" s="102">
        <v>6278</v>
      </c>
      <c r="D660" s="102">
        <v>14160</v>
      </c>
      <c r="E660" s="102">
        <v>-36946</v>
      </c>
      <c r="G660" s="102">
        <f t="shared" si="16"/>
        <v>-36946</v>
      </c>
      <c r="H660" s="101" t="s">
        <v>80</v>
      </c>
    </row>
    <row r="661" spans="1:8" hidden="1">
      <c r="A661" s="101" t="s">
        <v>1199</v>
      </c>
      <c r="B661" s="102">
        <v>0</v>
      </c>
      <c r="C661" s="102">
        <v>0</v>
      </c>
      <c r="D661" s="102">
        <v>0</v>
      </c>
      <c r="E661" s="102">
        <v>0</v>
      </c>
      <c r="G661" s="102">
        <f t="shared" si="16"/>
        <v>0</v>
      </c>
      <c r="H661" s="101" t="s">
        <v>80</v>
      </c>
    </row>
    <row r="662" spans="1:8" hidden="1">
      <c r="A662" s="101" t="s">
        <v>1200</v>
      </c>
      <c r="B662" s="102">
        <v>0</v>
      </c>
      <c r="C662" s="102">
        <v>3492.8</v>
      </c>
      <c r="D662" s="102">
        <v>3492.8</v>
      </c>
      <c r="E662" s="102">
        <v>0</v>
      </c>
      <c r="G662" s="102">
        <f t="shared" si="16"/>
        <v>0</v>
      </c>
      <c r="H662" s="101" t="s">
        <v>80</v>
      </c>
    </row>
    <row r="663" spans="1:8" hidden="1">
      <c r="A663" s="101" t="s">
        <v>232</v>
      </c>
      <c r="B663" s="102">
        <v>-42959</v>
      </c>
      <c r="C663" s="102">
        <v>42959</v>
      </c>
      <c r="D663" s="102">
        <v>23601</v>
      </c>
      <c r="E663" s="102">
        <v>-23601</v>
      </c>
      <c r="G663" s="102">
        <f t="shared" si="16"/>
        <v>-23601</v>
      </c>
      <c r="H663" s="101" t="s">
        <v>80</v>
      </c>
    </row>
    <row r="664" spans="1:8" hidden="1">
      <c r="A664" s="101" t="s">
        <v>1201</v>
      </c>
      <c r="B664" s="102">
        <v>0</v>
      </c>
      <c r="C664" s="102">
        <v>0</v>
      </c>
      <c r="D664" s="102">
        <v>0</v>
      </c>
      <c r="E664" s="102">
        <v>0</v>
      </c>
      <c r="G664" s="102">
        <f t="shared" si="16"/>
        <v>0</v>
      </c>
      <c r="H664" s="101" t="s">
        <v>80</v>
      </c>
    </row>
    <row r="665" spans="1:8" hidden="1">
      <c r="A665" s="101" t="s">
        <v>469</v>
      </c>
      <c r="B665" s="102">
        <v>-3894</v>
      </c>
      <c r="C665" s="102">
        <v>5841</v>
      </c>
      <c r="D665" s="102">
        <v>1947</v>
      </c>
      <c r="E665" s="102">
        <v>0</v>
      </c>
      <c r="G665" s="102">
        <f t="shared" si="16"/>
        <v>0</v>
      </c>
      <c r="H665" s="101" t="s">
        <v>80</v>
      </c>
    </row>
    <row r="666" spans="1:8" hidden="1">
      <c r="A666" s="101" t="s">
        <v>508</v>
      </c>
      <c r="B666" s="102">
        <v>-1357</v>
      </c>
      <c r="C666" s="102">
        <v>3599</v>
      </c>
      <c r="D666" s="102">
        <v>2242</v>
      </c>
      <c r="E666" s="102">
        <v>0</v>
      </c>
      <c r="G666" s="102">
        <f t="shared" si="16"/>
        <v>0</v>
      </c>
      <c r="H666" s="101" t="s">
        <v>80</v>
      </c>
    </row>
    <row r="667" spans="1:8" hidden="1">
      <c r="A667" s="101" t="s">
        <v>1202</v>
      </c>
      <c r="B667" s="102">
        <v>0</v>
      </c>
      <c r="C667" s="102">
        <v>0</v>
      </c>
      <c r="D667" s="102">
        <v>0</v>
      </c>
      <c r="E667" s="102">
        <v>0</v>
      </c>
      <c r="G667" s="102">
        <f t="shared" si="16"/>
        <v>0</v>
      </c>
      <c r="H667" s="101" t="s">
        <v>80</v>
      </c>
    </row>
    <row r="668" spans="1:8" hidden="1">
      <c r="A668" s="101" t="s">
        <v>226</v>
      </c>
      <c r="B668" s="102">
        <v>-8574</v>
      </c>
      <c r="C668" s="102">
        <v>8574</v>
      </c>
      <c r="D668" s="102">
        <v>14535</v>
      </c>
      <c r="E668" s="102">
        <v>-14535</v>
      </c>
      <c r="G668" s="102">
        <f t="shared" si="16"/>
        <v>-14535</v>
      </c>
      <c r="H668" s="101" t="s">
        <v>80</v>
      </c>
    </row>
    <row r="669" spans="1:8" hidden="1">
      <c r="A669" s="101" t="s">
        <v>1203</v>
      </c>
      <c r="B669" s="102">
        <v>0</v>
      </c>
      <c r="C669" s="102">
        <v>0</v>
      </c>
      <c r="D669" s="102">
        <v>0</v>
      </c>
      <c r="E669" s="102">
        <v>0</v>
      </c>
      <c r="G669" s="102">
        <f t="shared" si="16"/>
        <v>0</v>
      </c>
      <c r="H669" s="101" t="s">
        <v>80</v>
      </c>
    </row>
    <row r="670" spans="1:8" hidden="1">
      <c r="A670" s="101" t="s">
        <v>1204</v>
      </c>
      <c r="B670" s="102">
        <v>0</v>
      </c>
      <c r="C670" s="102">
        <v>0</v>
      </c>
      <c r="D670" s="102">
        <v>5369</v>
      </c>
      <c r="E670" s="102">
        <v>-5369</v>
      </c>
      <c r="G670" s="102">
        <f t="shared" si="16"/>
        <v>-5369</v>
      </c>
      <c r="H670" s="101" t="s">
        <v>80</v>
      </c>
    </row>
    <row r="671" spans="1:8" hidden="1">
      <c r="A671" s="101" t="s">
        <v>228</v>
      </c>
      <c r="B671" s="102">
        <v>-11611.8</v>
      </c>
      <c r="C671" s="102">
        <v>12850</v>
      </c>
      <c r="D671" s="102">
        <v>2537</v>
      </c>
      <c r="E671" s="102">
        <v>-1298.8</v>
      </c>
      <c r="G671" s="102">
        <f t="shared" si="16"/>
        <v>-1298.8</v>
      </c>
      <c r="H671" s="101" t="s">
        <v>80</v>
      </c>
    </row>
    <row r="672" spans="1:8" hidden="1">
      <c r="A672" s="101" t="s">
        <v>1412</v>
      </c>
      <c r="B672" s="102">
        <v>0</v>
      </c>
      <c r="C672" s="102">
        <v>0</v>
      </c>
      <c r="D672" s="102">
        <v>0</v>
      </c>
      <c r="E672" s="102">
        <v>0</v>
      </c>
      <c r="G672" s="102">
        <f t="shared" si="16"/>
        <v>0</v>
      </c>
      <c r="H672" s="101" t="s">
        <v>80</v>
      </c>
    </row>
    <row r="673" spans="1:8" hidden="1">
      <c r="A673" s="101" t="s">
        <v>401</v>
      </c>
      <c r="B673" s="102">
        <v>-438567.49</v>
      </c>
      <c r="C673" s="102">
        <v>431733.52</v>
      </c>
      <c r="D673" s="102">
        <v>30334.9</v>
      </c>
      <c r="E673" s="102">
        <v>-37168.870000000003</v>
      </c>
      <c r="G673" s="102">
        <f t="shared" si="16"/>
        <v>-37168.870000000003</v>
      </c>
      <c r="H673" s="101" t="s">
        <v>80</v>
      </c>
    </row>
    <row r="674" spans="1:8" hidden="1">
      <c r="A674" s="101" t="s">
        <v>402</v>
      </c>
      <c r="B674" s="102">
        <v>212861.49</v>
      </c>
      <c r="C674" s="102">
        <v>184704.02</v>
      </c>
      <c r="D674" s="102">
        <v>12794.16</v>
      </c>
      <c r="E674" s="102">
        <v>384771.35</v>
      </c>
      <c r="G674" s="102">
        <f t="shared" si="16"/>
        <v>384771.35</v>
      </c>
      <c r="H674" s="101" t="s">
        <v>80</v>
      </c>
    </row>
    <row r="675" spans="1:8" hidden="1">
      <c r="A675" s="101" t="s">
        <v>1205</v>
      </c>
      <c r="B675" s="102">
        <v>0</v>
      </c>
      <c r="C675" s="102">
        <v>0</v>
      </c>
      <c r="D675" s="102">
        <v>0</v>
      </c>
      <c r="E675" s="102">
        <v>0</v>
      </c>
      <c r="G675" s="102">
        <f t="shared" si="16"/>
        <v>0</v>
      </c>
      <c r="H675" s="101" t="s">
        <v>80</v>
      </c>
    </row>
    <row r="676" spans="1:8" hidden="1">
      <c r="A676" s="101" t="s">
        <v>225</v>
      </c>
      <c r="B676" s="102">
        <v>-0.05</v>
      </c>
      <c r="C676" s="102">
        <v>0</v>
      </c>
      <c r="D676" s="102">
        <v>0</v>
      </c>
      <c r="E676" s="102">
        <v>-0.05</v>
      </c>
      <c r="G676" s="102">
        <f t="shared" si="16"/>
        <v>-0.05</v>
      </c>
      <c r="H676" s="101" t="s">
        <v>80</v>
      </c>
    </row>
    <row r="677" spans="1:8" hidden="1">
      <c r="A677" s="101" t="s">
        <v>1413</v>
      </c>
      <c r="B677" s="102">
        <v>0</v>
      </c>
      <c r="C677" s="102">
        <v>0</v>
      </c>
      <c r="D677" s="102">
        <v>0</v>
      </c>
      <c r="E677" s="102">
        <v>0</v>
      </c>
      <c r="G677" s="102">
        <f t="shared" si="16"/>
        <v>0</v>
      </c>
      <c r="H677" s="101" t="s">
        <v>80</v>
      </c>
    </row>
    <row r="678" spans="1:8" hidden="1">
      <c r="A678" s="101" t="s">
        <v>1414</v>
      </c>
      <c r="B678" s="102">
        <v>0</v>
      </c>
      <c r="C678" s="102">
        <v>0</v>
      </c>
      <c r="D678" s="102">
        <v>0</v>
      </c>
      <c r="E678" s="102">
        <v>0</v>
      </c>
      <c r="G678" s="102">
        <f t="shared" si="16"/>
        <v>0</v>
      </c>
      <c r="H678" s="101" t="s">
        <v>80</v>
      </c>
    </row>
    <row r="679" spans="1:8" hidden="1">
      <c r="A679" s="101" t="s">
        <v>521</v>
      </c>
      <c r="B679" s="102">
        <v>0</v>
      </c>
      <c r="C679" s="102">
        <v>23010</v>
      </c>
      <c r="D679" s="102">
        <v>23010</v>
      </c>
      <c r="E679" s="102">
        <v>0</v>
      </c>
      <c r="G679" s="102">
        <f t="shared" si="16"/>
        <v>0</v>
      </c>
      <c r="H679" s="101" t="s">
        <v>80</v>
      </c>
    </row>
    <row r="680" spans="1:8" hidden="1">
      <c r="A680" s="101" t="s">
        <v>762</v>
      </c>
      <c r="B680" s="102">
        <v>-0.24</v>
      </c>
      <c r="C680" s="102">
        <v>0</v>
      </c>
      <c r="D680" s="102">
        <v>0</v>
      </c>
      <c r="E680" s="102">
        <v>-0.24</v>
      </c>
      <c r="G680" s="102">
        <f t="shared" si="16"/>
        <v>-0.24</v>
      </c>
      <c r="H680" s="101" t="s">
        <v>80</v>
      </c>
    </row>
    <row r="681" spans="1:8" hidden="1">
      <c r="A681" s="101" t="s">
        <v>763</v>
      </c>
      <c r="B681" s="102">
        <v>-8083</v>
      </c>
      <c r="C681" s="102">
        <v>10738</v>
      </c>
      <c r="D681" s="102">
        <v>2655</v>
      </c>
      <c r="E681" s="102">
        <v>0</v>
      </c>
      <c r="G681" s="102">
        <f t="shared" si="16"/>
        <v>0</v>
      </c>
      <c r="H681" s="101" t="s">
        <v>80</v>
      </c>
    </row>
    <row r="682" spans="1:8" hidden="1">
      <c r="A682" s="101" t="s">
        <v>223</v>
      </c>
      <c r="B682" s="102">
        <v>0.23</v>
      </c>
      <c r="C682" s="102">
        <v>0</v>
      </c>
      <c r="D682" s="102">
        <v>0</v>
      </c>
      <c r="E682" s="102">
        <v>0.23</v>
      </c>
      <c r="G682" s="102">
        <f t="shared" si="16"/>
        <v>0.23</v>
      </c>
      <c r="H682" s="101" t="s">
        <v>80</v>
      </c>
    </row>
    <row r="683" spans="1:8" hidden="1">
      <c r="A683" s="101" t="s">
        <v>764</v>
      </c>
      <c r="B683" s="102">
        <v>-1449</v>
      </c>
      <c r="C683" s="102">
        <v>31034</v>
      </c>
      <c r="D683" s="102">
        <v>206323</v>
      </c>
      <c r="E683" s="102">
        <v>-176738</v>
      </c>
      <c r="G683" s="102">
        <f t="shared" si="16"/>
        <v>-176738</v>
      </c>
      <c r="H683" s="101" t="s">
        <v>80</v>
      </c>
    </row>
    <row r="684" spans="1:8" hidden="1">
      <c r="A684" s="101" t="s">
        <v>765</v>
      </c>
      <c r="B684" s="102">
        <v>0</v>
      </c>
      <c r="C684" s="102">
        <v>45175</v>
      </c>
      <c r="D684" s="102">
        <v>45175</v>
      </c>
      <c r="E684" s="102">
        <v>0</v>
      </c>
      <c r="G684" s="102">
        <f t="shared" si="16"/>
        <v>0</v>
      </c>
      <c r="H684" s="101" t="s">
        <v>80</v>
      </c>
    </row>
    <row r="685" spans="1:8" hidden="1">
      <c r="A685" s="101" t="s">
        <v>766</v>
      </c>
      <c r="B685" s="102">
        <v>5550</v>
      </c>
      <c r="C685" s="102">
        <v>0</v>
      </c>
      <c r="D685" s="102">
        <v>0</v>
      </c>
      <c r="E685" s="102">
        <v>5550</v>
      </c>
      <c r="G685" s="102">
        <f t="shared" si="16"/>
        <v>5550</v>
      </c>
      <c r="H685" s="101" t="s">
        <v>80</v>
      </c>
    </row>
    <row r="686" spans="1:8" hidden="1">
      <c r="A686" s="101" t="s">
        <v>458</v>
      </c>
      <c r="B686" s="102">
        <v>-632</v>
      </c>
      <c r="C686" s="102">
        <v>632</v>
      </c>
      <c r="D686" s="102">
        <v>14018</v>
      </c>
      <c r="E686" s="102">
        <v>-14018</v>
      </c>
      <c r="G686" s="102">
        <f t="shared" si="16"/>
        <v>-14018</v>
      </c>
      <c r="H686" s="101" t="s">
        <v>80</v>
      </c>
    </row>
    <row r="687" spans="1:8" hidden="1">
      <c r="A687" s="101" t="s">
        <v>220</v>
      </c>
      <c r="B687" s="102">
        <v>-94425</v>
      </c>
      <c r="C687" s="102">
        <v>262575</v>
      </c>
      <c r="D687" s="102">
        <v>399906</v>
      </c>
      <c r="E687" s="102">
        <v>-231756</v>
      </c>
      <c r="G687" s="102">
        <f t="shared" si="16"/>
        <v>-231756</v>
      </c>
      <c r="H687" s="101" t="s">
        <v>80</v>
      </c>
    </row>
    <row r="688" spans="1:8" hidden="1">
      <c r="A688" s="101" t="s">
        <v>445</v>
      </c>
      <c r="B688" s="102">
        <v>-66080</v>
      </c>
      <c r="C688" s="102">
        <v>66080</v>
      </c>
      <c r="D688" s="102">
        <v>0</v>
      </c>
      <c r="E688" s="102">
        <v>0</v>
      </c>
      <c r="G688" s="102">
        <f t="shared" si="16"/>
        <v>0</v>
      </c>
      <c r="H688" s="101" t="s">
        <v>80</v>
      </c>
    </row>
    <row r="689" spans="1:8" hidden="1">
      <c r="A689" s="101" t="s">
        <v>219</v>
      </c>
      <c r="B689" s="102">
        <v>0</v>
      </c>
      <c r="C689" s="102">
        <v>46020</v>
      </c>
      <c r="D689" s="102">
        <v>60920</v>
      </c>
      <c r="E689" s="102">
        <v>-14900</v>
      </c>
      <c r="G689" s="102">
        <f t="shared" si="16"/>
        <v>-14900</v>
      </c>
      <c r="H689" s="101" t="s">
        <v>80</v>
      </c>
    </row>
    <row r="690" spans="1:8" hidden="1">
      <c r="A690" s="101" t="s">
        <v>422</v>
      </c>
      <c r="B690" s="102">
        <v>-37760</v>
      </c>
      <c r="C690" s="102">
        <v>61124</v>
      </c>
      <c r="D690" s="102">
        <v>35046</v>
      </c>
      <c r="E690" s="102">
        <v>-11682</v>
      </c>
      <c r="G690" s="102">
        <f t="shared" si="16"/>
        <v>-11682</v>
      </c>
      <c r="H690" s="101" t="s">
        <v>80</v>
      </c>
    </row>
    <row r="691" spans="1:8" hidden="1">
      <c r="A691" s="101" t="s">
        <v>479</v>
      </c>
      <c r="B691" s="102">
        <v>-19540</v>
      </c>
      <c r="C691" s="102">
        <v>0</v>
      </c>
      <c r="D691" s="102">
        <v>0</v>
      </c>
      <c r="E691" s="102">
        <v>-19540</v>
      </c>
      <c r="G691" s="102">
        <f t="shared" si="16"/>
        <v>-19540</v>
      </c>
      <c r="H691" s="101" t="s">
        <v>80</v>
      </c>
    </row>
    <row r="692" spans="1:8" hidden="1">
      <c r="A692" s="101" t="s">
        <v>468</v>
      </c>
      <c r="B692" s="102">
        <v>-18526</v>
      </c>
      <c r="C692" s="102">
        <v>18526</v>
      </c>
      <c r="D692" s="102">
        <v>0</v>
      </c>
      <c r="E692" s="102">
        <v>0</v>
      </c>
      <c r="G692" s="102">
        <f t="shared" si="16"/>
        <v>0</v>
      </c>
      <c r="H692" s="101" t="s">
        <v>80</v>
      </c>
    </row>
    <row r="693" spans="1:8" hidden="1">
      <c r="A693" s="101" t="s">
        <v>767</v>
      </c>
      <c r="B693" s="102">
        <v>-25960</v>
      </c>
      <c r="C693" s="102">
        <v>0</v>
      </c>
      <c r="D693" s="102">
        <v>0</v>
      </c>
      <c r="E693" s="102">
        <v>-25960</v>
      </c>
      <c r="G693" s="102">
        <f t="shared" si="16"/>
        <v>-25960</v>
      </c>
      <c r="H693" s="101" t="s">
        <v>80</v>
      </c>
    </row>
    <row r="694" spans="1:8" hidden="1">
      <c r="A694" s="101" t="s">
        <v>768</v>
      </c>
      <c r="B694" s="102">
        <v>-52156</v>
      </c>
      <c r="C694" s="102">
        <v>296298</v>
      </c>
      <c r="D694" s="102">
        <v>266444</v>
      </c>
      <c r="E694" s="102">
        <v>-22302</v>
      </c>
      <c r="G694" s="102">
        <f t="shared" si="16"/>
        <v>-22302</v>
      </c>
      <c r="H694" s="101" t="s">
        <v>80</v>
      </c>
    </row>
    <row r="695" spans="1:8" hidden="1">
      <c r="A695" s="101" t="s">
        <v>217</v>
      </c>
      <c r="B695" s="102">
        <v>-59714</v>
      </c>
      <c r="C695" s="102">
        <v>59714</v>
      </c>
      <c r="D695" s="102">
        <v>50190</v>
      </c>
      <c r="E695" s="102">
        <v>-50190</v>
      </c>
      <c r="G695" s="102">
        <f t="shared" si="16"/>
        <v>-50190</v>
      </c>
      <c r="H695" s="101" t="s">
        <v>80</v>
      </c>
    </row>
    <row r="696" spans="1:8" hidden="1">
      <c r="A696" s="101" t="s">
        <v>769</v>
      </c>
      <c r="B696" s="102">
        <v>-367395</v>
      </c>
      <c r="C696" s="102">
        <v>367395</v>
      </c>
      <c r="D696" s="102">
        <v>345177</v>
      </c>
      <c r="E696" s="102">
        <v>-345177</v>
      </c>
      <c r="G696" s="102">
        <f t="shared" si="16"/>
        <v>-345177</v>
      </c>
      <c r="H696" s="101" t="s">
        <v>80</v>
      </c>
    </row>
    <row r="697" spans="1:8" hidden="1">
      <c r="A697" s="101" t="s">
        <v>770</v>
      </c>
      <c r="B697" s="102">
        <v>-0.36</v>
      </c>
      <c r="C697" s="102">
        <v>0</v>
      </c>
      <c r="D697" s="102">
        <v>4779</v>
      </c>
      <c r="E697" s="102">
        <v>-4779.3599999999997</v>
      </c>
      <c r="G697" s="102">
        <f t="shared" si="16"/>
        <v>-4779.3599999999997</v>
      </c>
      <c r="H697" s="101" t="s">
        <v>80</v>
      </c>
    </row>
    <row r="698" spans="1:8" hidden="1">
      <c r="A698" s="101" t="s">
        <v>771</v>
      </c>
      <c r="B698" s="102">
        <v>-12596</v>
      </c>
      <c r="C698" s="102">
        <v>12596</v>
      </c>
      <c r="D698" s="102">
        <v>45988</v>
      </c>
      <c r="E698" s="102">
        <v>-45988</v>
      </c>
      <c r="G698" s="102">
        <f t="shared" si="16"/>
        <v>-45988</v>
      </c>
      <c r="H698" s="101" t="s">
        <v>80</v>
      </c>
    </row>
    <row r="699" spans="1:8" hidden="1">
      <c r="A699" s="101" t="s">
        <v>216</v>
      </c>
      <c r="B699" s="102">
        <v>-40380</v>
      </c>
      <c r="C699" s="102">
        <v>37524</v>
      </c>
      <c r="D699" s="102">
        <v>66587</v>
      </c>
      <c r="E699" s="102">
        <v>-69443</v>
      </c>
      <c r="G699" s="102">
        <f t="shared" si="16"/>
        <v>-69443</v>
      </c>
      <c r="H699" s="101" t="s">
        <v>80</v>
      </c>
    </row>
    <row r="700" spans="1:8" hidden="1">
      <c r="A700" s="101" t="s">
        <v>1207</v>
      </c>
      <c r="B700" s="102">
        <v>0</v>
      </c>
      <c r="C700" s="102">
        <v>0</v>
      </c>
      <c r="D700" s="102">
        <v>18148</v>
      </c>
      <c r="E700" s="102">
        <v>-18148</v>
      </c>
      <c r="G700" s="102">
        <f t="shared" si="16"/>
        <v>-18148</v>
      </c>
      <c r="H700" s="101" t="s">
        <v>80</v>
      </c>
    </row>
    <row r="701" spans="1:8" hidden="1">
      <c r="A701" s="101" t="s">
        <v>1415</v>
      </c>
      <c r="B701" s="102">
        <v>0</v>
      </c>
      <c r="C701" s="102">
        <v>0</v>
      </c>
      <c r="D701" s="102">
        <v>0</v>
      </c>
      <c r="E701" s="102">
        <v>0</v>
      </c>
      <c r="G701" s="102">
        <f t="shared" si="16"/>
        <v>0</v>
      </c>
      <c r="H701" s="101" t="s">
        <v>80</v>
      </c>
    </row>
    <row r="702" spans="1:8" hidden="1">
      <c r="A702" s="101" t="s">
        <v>215</v>
      </c>
      <c r="B702" s="102">
        <v>-11328</v>
      </c>
      <c r="C702" s="102">
        <v>0</v>
      </c>
      <c r="D702" s="102">
        <v>0</v>
      </c>
      <c r="E702" s="102">
        <v>-11328</v>
      </c>
      <c r="G702" s="102">
        <f t="shared" si="16"/>
        <v>-11328</v>
      </c>
      <c r="H702" s="101" t="s">
        <v>80</v>
      </c>
    </row>
    <row r="703" spans="1:8" hidden="1">
      <c r="A703" s="101" t="s">
        <v>421</v>
      </c>
      <c r="B703" s="102">
        <v>-0.2</v>
      </c>
      <c r="C703" s="102">
        <v>15576</v>
      </c>
      <c r="D703" s="102">
        <v>15576</v>
      </c>
      <c r="E703" s="102">
        <v>-0.2</v>
      </c>
      <c r="G703" s="102">
        <f t="shared" si="16"/>
        <v>-0.2</v>
      </c>
      <c r="H703" s="101" t="s">
        <v>80</v>
      </c>
    </row>
    <row r="704" spans="1:8" hidden="1">
      <c r="A704" s="101" t="s">
        <v>772</v>
      </c>
      <c r="B704" s="102">
        <v>-9865</v>
      </c>
      <c r="C704" s="102">
        <v>9865</v>
      </c>
      <c r="D704" s="102">
        <v>0</v>
      </c>
      <c r="E704" s="102">
        <v>0</v>
      </c>
      <c r="G704" s="102">
        <f t="shared" si="16"/>
        <v>0</v>
      </c>
      <c r="H704" s="101" t="s">
        <v>80</v>
      </c>
    </row>
    <row r="705" spans="1:8" hidden="1">
      <c r="A705" s="101" t="s">
        <v>1208</v>
      </c>
      <c r="B705" s="102">
        <v>0</v>
      </c>
      <c r="C705" s="102">
        <v>38409</v>
      </c>
      <c r="D705" s="102">
        <v>0</v>
      </c>
      <c r="E705" s="102">
        <v>38409</v>
      </c>
      <c r="G705" s="102">
        <f t="shared" si="16"/>
        <v>38409</v>
      </c>
      <c r="H705" s="101" t="s">
        <v>80</v>
      </c>
    </row>
    <row r="706" spans="1:8" hidden="1">
      <c r="A706" s="101" t="s">
        <v>377</v>
      </c>
      <c r="B706" s="102">
        <v>-68342</v>
      </c>
      <c r="C706" s="102">
        <v>86904</v>
      </c>
      <c r="D706" s="102">
        <v>30796.01</v>
      </c>
      <c r="E706" s="102">
        <v>-12234.01</v>
      </c>
      <c r="G706" s="102">
        <f t="shared" si="16"/>
        <v>-12234.01</v>
      </c>
      <c r="H706" s="101" t="s">
        <v>80</v>
      </c>
    </row>
    <row r="707" spans="1:8" hidden="1">
      <c r="A707" s="101" t="s">
        <v>773</v>
      </c>
      <c r="B707" s="102">
        <v>-1510</v>
      </c>
      <c r="C707" s="102">
        <v>0</v>
      </c>
      <c r="D707" s="102">
        <v>0</v>
      </c>
      <c r="E707" s="102">
        <v>-1510</v>
      </c>
      <c r="G707" s="102">
        <f t="shared" ref="G707:G770" si="17">E707+F707</f>
        <v>-1510</v>
      </c>
      <c r="H707" s="101" t="s">
        <v>80</v>
      </c>
    </row>
    <row r="708" spans="1:8" hidden="1">
      <c r="A708" s="101" t="s">
        <v>774</v>
      </c>
      <c r="B708" s="102">
        <v>-20387</v>
      </c>
      <c r="C708" s="102">
        <v>0</v>
      </c>
      <c r="D708" s="102">
        <v>6396</v>
      </c>
      <c r="E708" s="102">
        <v>-26783</v>
      </c>
      <c r="G708" s="102">
        <f t="shared" si="17"/>
        <v>-26783</v>
      </c>
      <c r="H708" s="101" t="s">
        <v>80</v>
      </c>
    </row>
    <row r="709" spans="1:8" hidden="1">
      <c r="A709" s="101" t="s">
        <v>443</v>
      </c>
      <c r="B709" s="102">
        <v>-6263.98</v>
      </c>
      <c r="C709" s="102">
        <v>14614</v>
      </c>
      <c r="D709" s="102">
        <v>19712</v>
      </c>
      <c r="E709" s="102">
        <v>-11361.98</v>
      </c>
      <c r="G709" s="102">
        <f t="shared" si="17"/>
        <v>-11361.98</v>
      </c>
      <c r="H709" s="101" t="s">
        <v>80</v>
      </c>
    </row>
    <row r="710" spans="1:8" hidden="1">
      <c r="A710" s="101" t="s">
        <v>775</v>
      </c>
      <c r="B710" s="102">
        <v>0</v>
      </c>
      <c r="C710" s="102">
        <v>16638</v>
      </c>
      <c r="D710" s="102">
        <v>16638</v>
      </c>
      <c r="E710" s="102">
        <v>0</v>
      </c>
      <c r="G710" s="102">
        <f t="shared" si="17"/>
        <v>0</v>
      </c>
      <c r="H710" s="101" t="s">
        <v>80</v>
      </c>
    </row>
    <row r="711" spans="1:8" hidden="1">
      <c r="A711" s="101" t="s">
        <v>206</v>
      </c>
      <c r="B711" s="102">
        <v>0</v>
      </c>
      <c r="C711" s="102">
        <v>10033</v>
      </c>
      <c r="D711" s="102">
        <v>38943</v>
      </c>
      <c r="E711" s="102">
        <v>-28910</v>
      </c>
      <c r="G711" s="102">
        <f t="shared" si="17"/>
        <v>-28910</v>
      </c>
      <c r="H711" s="101" t="s">
        <v>80</v>
      </c>
    </row>
    <row r="712" spans="1:8" hidden="1">
      <c r="A712" s="101" t="s">
        <v>384</v>
      </c>
      <c r="B712" s="102">
        <v>-24824</v>
      </c>
      <c r="C712" s="102">
        <v>64109</v>
      </c>
      <c r="D712" s="102">
        <v>64109</v>
      </c>
      <c r="E712" s="102">
        <v>-24824</v>
      </c>
      <c r="G712" s="102">
        <f t="shared" si="17"/>
        <v>-24824</v>
      </c>
      <c r="H712" s="101" t="s">
        <v>80</v>
      </c>
    </row>
    <row r="713" spans="1:8" hidden="1">
      <c r="A713" s="101" t="s">
        <v>1210</v>
      </c>
      <c r="B713" s="102">
        <v>0</v>
      </c>
      <c r="C713" s="102">
        <v>0</v>
      </c>
      <c r="D713" s="102">
        <v>0</v>
      </c>
      <c r="E713" s="102">
        <v>0</v>
      </c>
      <c r="G713" s="102">
        <f t="shared" si="17"/>
        <v>0</v>
      </c>
      <c r="H713" s="101" t="s">
        <v>80</v>
      </c>
    </row>
    <row r="714" spans="1:8" hidden="1">
      <c r="A714" s="101" t="s">
        <v>776</v>
      </c>
      <c r="B714" s="102">
        <v>-216819</v>
      </c>
      <c r="C714" s="102">
        <v>88205</v>
      </c>
      <c r="D714" s="102">
        <v>0</v>
      </c>
      <c r="E714" s="102">
        <v>-128614</v>
      </c>
      <c r="G714" s="102">
        <f t="shared" si="17"/>
        <v>-128614</v>
      </c>
      <c r="H714" s="101" t="s">
        <v>80</v>
      </c>
    </row>
    <row r="715" spans="1:8" hidden="1">
      <c r="A715" s="101" t="s">
        <v>1211</v>
      </c>
      <c r="B715" s="102">
        <v>0</v>
      </c>
      <c r="C715" s="102">
        <v>0</v>
      </c>
      <c r="D715" s="102">
        <v>0</v>
      </c>
      <c r="E715" s="102">
        <v>0</v>
      </c>
      <c r="G715" s="102">
        <f t="shared" si="17"/>
        <v>0</v>
      </c>
      <c r="H715" s="101" t="s">
        <v>80</v>
      </c>
    </row>
    <row r="716" spans="1:8" hidden="1">
      <c r="A716" s="101" t="s">
        <v>201</v>
      </c>
      <c r="B716" s="102">
        <v>-9973.26</v>
      </c>
      <c r="C716" s="102">
        <v>38092.26</v>
      </c>
      <c r="D716" s="102">
        <v>28119</v>
      </c>
      <c r="E716" s="102">
        <v>0</v>
      </c>
      <c r="G716" s="102">
        <f t="shared" si="17"/>
        <v>0</v>
      </c>
      <c r="H716" s="101" t="s">
        <v>80</v>
      </c>
    </row>
    <row r="717" spans="1:8" hidden="1">
      <c r="A717" s="101" t="s">
        <v>417</v>
      </c>
      <c r="B717" s="102">
        <v>-26609</v>
      </c>
      <c r="C717" s="102">
        <v>26609</v>
      </c>
      <c r="D717" s="102">
        <v>0</v>
      </c>
      <c r="E717" s="102">
        <v>0</v>
      </c>
      <c r="G717" s="102">
        <f t="shared" si="17"/>
        <v>0</v>
      </c>
      <c r="H717" s="101" t="s">
        <v>80</v>
      </c>
    </row>
    <row r="718" spans="1:8" hidden="1">
      <c r="A718" s="101" t="s">
        <v>777</v>
      </c>
      <c r="B718" s="102">
        <v>-36650</v>
      </c>
      <c r="C718" s="102">
        <v>51459</v>
      </c>
      <c r="D718" s="102">
        <v>25334</v>
      </c>
      <c r="E718" s="102">
        <v>-10525</v>
      </c>
      <c r="G718" s="102">
        <f t="shared" si="17"/>
        <v>-10525</v>
      </c>
      <c r="H718" s="101" t="s">
        <v>80</v>
      </c>
    </row>
    <row r="719" spans="1:8" hidden="1">
      <c r="A719" s="101" t="s">
        <v>199</v>
      </c>
      <c r="B719" s="102">
        <v>1162.8</v>
      </c>
      <c r="C719" s="102">
        <v>991.2</v>
      </c>
      <c r="D719" s="102">
        <v>0</v>
      </c>
      <c r="E719" s="102">
        <v>2154</v>
      </c>
      <c r="G719" s="102">
        <f t="shared" si="17"/>
        <v>2154</v>
      </c>
      <c r="H719" s="101" t="s">
        <v>80</v>
      </c>
    </row>
    <row r="720" spans="1:8" hidden="1">
      <c r="A720" s="101" t="s">
        <v>778</v>
      </c>
      <c r="B720" s="102">
        <v>-0.54</v>
      </c>
      <c r="C720" s="102">
        <v>12887.7</v>
      </c>
      <c r="D720" s="102">
        <v>12887</v>
      </c>
      <c r="E720" s="102">
        <v>0.16</v>
      </c>
      <c r="G720" s="102">
        <f t="shared" si="17"/>
        <v>0.16</v>
      </c>
      <c r="H720" s="101" t="s">
        <v>80</v>
      </c>
    </row>
    <row r="721" spans="1:8" hidden="1">
      <c r="A721" s="101" t="s">
        <v>1212</v>
      </c>
      <c r="B721" s="102">
        <v>0</v>
      </c>
      <c r="C721" s="102">
        <v>12887.7</v>
      </c>
      <c r="D721" s="102">
        <v>0</v>
      </c>
      <c r="E721" s="102">
        <v>12887.7</v>
      </c>
      <c r="G721" s="102">
        <f t="shared" si="17"/>
        <v>12887.7</v>
      </c>
      <c r="H721" s="101" t="s">
        <v>80</v>
      </c>
    </row>
    <row r="722" spans="1:8" hidden="1">
      <c r="A722" s="101" t="s">
        <v>379</v>
      </c>
      <c r="B722" s="102">
        <v>-38527</v>
      </c>
      <c r="C722" s="102">
        <v>38527</v>
      </c>
      <c r="D722" s="102">
        <v>5546</v>
      </c>
      <c r="E722" s="102">
        <v>-5546</v>
      </c>
      <c r="G722" s="102">
        <f t="shared" si="17"/>
        <v>-5546</v>
      </c>
      <c r="H722" s="101" t="s">
        <v>80</v>
      </c>
    </row>
    <row r="723" spans="1:8" hidden="1">
      <c r="A723" s="101" t="s">
        <v>387</v>
      </c>
      <c r="B723" s="102">
        <v>408.6</v>
      </c>
      <c r="C723" s="102">
        <v>0</v>
      </c>
      <c r="D723" s="102">
        <v>0</v>
      </c>
      <c r="E723" s="102">
        <v>408.6</v>
      </c>
      <c r="G723" s="102">
        <f t="shared" si="17"/>
        <v>408.6</v>
      </c>
      <c r="H723" s="101" t="s">
        <v>80</v>
      </c>
    </row>
    <row r="724" spans="1:8" hidden="1">
      <c r="A724" s="101" t="s">
        <v>463</v>
      </c>
      <c r="B724" s="102">
        <v>-44075</v>
      </c>
      <c r="C724" s="102">
        <v>0</v>
      </c>
      <c r="D724" s="102">
        <v>68920</v>
      </c>
      <c r="E724" s="102">
        <v>-112995</v>
      </c>
      <c r="G724" s="102">
        <f t="shared" si="17"/>
        <v>-112995</v>
      </c>
      <c r="H724" s="101" t="s">
        <v>80</v>
      </c>
    </row>
    <row r="725" spans="1:8" hidden="1">
      <c r="A725" s="101" t="s">
        <v>1213</v>
      </c>
      <c r="B725" s="102">
        <v>0</v>
      </c>
      <c r="C725" s="102">
        <v>0</v>
      </c>
      <c r="D725" s="102">
        <v>0</v>
      </c>
      <c r="E725" s="102">
        <v>0</v>
      </c>
      <c r="G725" s="102">
        <f t="shared" si="17"/>
        <v>0</v>
      </c>
      <c r="H725" s="101" t="s">
        <v>80</v>
      </c>
    </row>
    <row r="726" spans="1:8" hidden="1">
      <c r="A726" s="101" t="s">
        <v>779</v>
      </c>
      <c r="B726" s="102">
        <v>0</v>
      </c>
      <c r="C726" s="102">
        <v>12637.8</v>
      </c>
      <c r="D726" s="102">
        <v>12637.8</v>
      </c>
      <c r="E726" s="102">
        <v>0</v>
      </c>
      <c r="G726" s="102">
        <f t="shared" si="17"/>
        <v>0</v>
      </c>
      <c r="H726" s="101" t="s">
        <v>80</v>
      </c>
    </row>
    <row r="727" spans="1:8" hidden="1">
      <c r="A727" s="101" t="s">
        <v>1215</v>
      </c>
      <c r="B727" s="102">
        <v>0</v>
      </c>
      <c r="C727" s="102">
        <v>117471.78</v>
      </c>
      <c r="D727" s="102">
        <v>167084.29999999999</v>
      </c>
      <c r="E727" s="102">
        <v>-49612.52</v>
      </c>
      <c r="G727" s="102">
        <f t="shared" si="17"/>
        <v>-49612.52</v>
      </c>
      <c r="H727" s="101" t="s">
        <v>80</v>
      </c>
    </row>
    <row r="728" spans="1:8" hidden="1">
      <c r="A728" s="101" t="s">
        <v>194</v>
      </c>
      <c r="B728" s="102">
        <v>-17750</v>
      </c>
      <c r="C728" s="102">
        <v>0</v>
      </c>
      <c r="D728" s="102">
        <v>0</v>
      </c>
      <c r="E728" s="102">
        <v>-17750</v>
      </c>
      <c r="G728" s="102">
        <f t="shared" si="17"/>
        <v>-17750</v>
      </c>
      <c r="H728" s="101" t="s">
        <v>80</v>
      </c>
    </row>
    <row r="729" spans="1:8" hidden="1">
      <c r="A729" s="101" t="s">
        <v>1216</v>
      </c>
      <c r="B729" s="102">
        <v>0</v>
      </c>
      <c r="C729" s="102">
        <v>0</v>
      </c>
      <c r="D729" s="102">
        <v>61360</v>
      </c>
      <c r="E729" s="102">
        <v>-61360</v>
      </c>
      <c r="G729" s="102">
        <f t="shared" si="17"/>
        <v>-61360</v>
      </c>
      <c r="H729" s="101" t="s">
        <v>80</v>
      </c>
    </row>
    <row r="730" spans="1:8" hidden="1">
      <c r="A730" s="101" t="s">
        <v>509</v>
      </c>
      <c r="B730" s="102">
        <v>-4790</v>
      </c>
      <c r="C730" s="102">
        <v>0</v>
      </c>
      <c r="D730" s="102">
        <v>0</v>
      </c>
      <c r="E730" s="102">
        <v>-4790</v>
      </c>
      <c r="G730" s="102">
        <f t="shared" si="17"/>
        <v>-4790</v>
      </c>
      <c r="H730" s="101" t="s">
        <v>80</v>
      </c>
    </row>
    <row r="731" spans="1:8" hidden="1">
      <c r="A731" s="101" t="s">
        <v>1217</v>
      </c>
      <c r="B731" s="102">
        <v>0</v>
      </c>
      <c r="C731" s="102">
        <v>0</v>
      </c>
      <c r="D731" s="102">
        <v>0</v>
      </c>
      <c r="E731" s="102">
        <v>0</v>
      </c>
      <c r="G731" s="102">
        <f t="shared" si="17"/>
        <v>0</v>
      </c>
      <c r="H731" s="101" t="s">
        <v>80</v>
      </c>
    </row>
    <row r="732" spans="1:8" hidden="1">
      <c r="A732" s="101" t="s">
        <v>1218</v>
      </c>
      <c r="B732" s="102">
        <v>0</v>
      </c>
      <c r="C732" s="102">
        <v>0</v>
      </c>
      <c r="D732" s="102">
        <v>0</v>
      </c>
      <c r="E732" s="102">
        <v>0</v>
      </c>
      <c r="G732" s="102">
        <f t="shared" si="17"/>
        <v>0</v>
      </c>
      <c r="H732" s="101" t="s">
        <v>80</v>
      </c>
    </row>
    <row r="733" spans="1:8" hidden="1">
      <c r="A733" s="101" t="s">
        <v>1219</v>
      </c>
      <c r="B733" s="102">
        <v>0</v>
      </c>
      <c r="C733" s="102">
        <v>0</v>
      </c>
      <c r="D733" s="102">
        <v>0</v>
      </c>
      <c r="E733" s="102">
        <v>0</v>
      </c>
      <c r="G733" s="102">
        <f t="shared" si="17"/>
        <v>0</v>
      </c>
      <c r="H733" s="101" t="s">
        <v>80</v>
      </c>
    </row>
    <row r="734" spans="1:8" hidden="1">
      <c r="A734" s="101" t="s">
        <v>191</v>
      </c>
      <c r="B734" s="102">
        <v>-242458</v>
      </c>
      <c r="C734" s="102">
        <v>294000.75</v>
      </c>
      <c r="D734" s="102">
        <v>176720.75</v>
      </c>
      <c r="E734" s="102">
        <v>-125178</v>
      </c>
      <c r="G734" s="102">
        <f t="shared" si="17"/>
        <v>-125178</v>
      </c>
      <c r="H734" s="101" t="s">
        <v>80</v>
      </c>
    </row>
    <row r="735" spans="1:8" hidden="1">
      <c r="A735" s="101" t="s">
        <v>780</v>
      </c>
      <c r="B735" s="102">
        <v>-270397</v>
      </c>
      <c r="C735" s="102">
        <v>173637</v>
      </c>
      <c r="D735" s="102">
        <v>0</v>
      </c>
      <c r="E735" s="102">
        <v>-96760</v>
      </c>
      <c r="G735" s="102">
        <f t="shared" si="17"/>
        <v>-96760</v>
      </c>
      <c r="H735" s="101" t="s">
        <v>80</v>
      </c>
    </row>
    <row r="736" spans="1:8" hidden="1">
      <c r="A736" s="101" t="s">
        <v>1221</v>
      </c>
      <c r="B736" s="102">
        <v>0</v>
      </c>
      <c r="C736" s="102">
        <v>0</v>
      </c>
      <c r="D736" s="102">
        <v>0</v>
      </c>
      <c r="E736" s="102">
        <v>0</v>
      </c>
      <c r="G736" s="102">
        <f t="shared" si="17"/>
        <v>0</v>
      </c>
      <c r="H736" s="101" t="s">
        <v>80</v>
      </c>
    </row>
    <row r="737" spans="1:8" hidden="1">
      <c r="A737" s="101" t="s">
        <v>781</v>
      </c>
      <c r="B737" s="102">
        <v>-21308.5</v>
      </c>
      <c r="C737" s="102">
        <v>14998</v>
      </c>
      <c r="D737" s="102">
        <v>12968</v>
      </c>
      <c r="E737" s="102">
        <v>-19278.5</v>
      </c>
      <c r="G737" s="102">
        <f t="shared" si="17"/>
        <v>-19278.5</v>
      </c>
      <c r="H737" s="101" t="s">
        <v>80</v>
      </c>
    </row>
    <row r="738" spans="1:8" hidden="1">
      <c r="A738" s="101" t="s">
        <v>782</v>
      </c>
      <c r="B738" s="102">
        <v>-1888.5</v>
      </c>
      <c r="C738" s="102">
        <v>20031</v>
      </c>
      <c r="D738" s="102">
        <v>18998</v>
      </c>
      <c r="E738" s="102">
        <v>-855.5</v>
      </c>
      <c r="G738" s="102">
        <f t="shared" si="17"/>
        <v>-855.5</v>
      </c>
      <c r="H738" s="101" t="s">
        <v>80</v>
      </c>
    </row>
    <row r="739" spans="1:8" hidden="1">
      <c r="A739" s="101" t="s">
        <v>187</v>
      </c>
      <c r="B739" s="102">
        <v>-344330</v>
      </c>
      <c r="C739" s="102">
        <v>333723</v>
      </c>
      <c r="D739" s="102">
        <v>198356</v>
      </c>
      <c r="E739" s="102">
        <v>-208963</v>
      </c>
      <c r="G739" s="102">
        <f t="shared" si="17"/>
        <v>-208963</v>
      </c>
      <c r="H739" s="101" t="s">
        <v>80</v>
      </c>
    </row>
    <row r="740" spans="1:8" hidden="1">
      <c r="A740" s="101" t="s">
        <v>1222</v>
      </c>
      <c r="B740" s="102">
        <v>0</v>
      </c>
      <c r="C740" s="102">
        <v>0</v>
      </c>
      <c r="D740" s="102">
        <v>0</v>
      </c>
      <c r="E740" s="102">
        <v>0</v>
      </c>
      <c r="G740" s="102">
        <f t="shared" si="17"/>
        <v>0</v>
      </c>
      <c r="H740" s="101" t="s">
        <v>80</v>
      </c>
    </row>
    <row r="741" spans="1:8" hidden="1">
      <c r="A741" s="101" t="s">
        <v>188</v>
      </c>
      <c r="B741" s="102">
        <v>0</v>
      </c>
      <c r="C741" s="102">
        <v>7222</v>
      </c>
      <c r="D741" s="102">
        <v>8201</v>
      </c>
      <c r="E741" s="102">
        <v>-979</v>
      </c>
      <c r="G741" s="102">
        <f t="shared" si="17"/>
        <v>-979</v>
      </c>
      <c r="H741" s="101" t="s">
        <v>80</v>
      </c>
    </row>
    <row r="742" spans="1:8" hidden="1">
      <c r="A742" s="101" t="s">
        <v>189</v>
      </c>
      <c r="B742" s="102">
        <v>-74340</v>
      </c>
      <c r="C742" s="102">
        <v>254526</v>
      </c>
      <c r="D742" s="102">
        <v>380550</v>
      </c>
      <c r="E742" s="102">
        <v>-200364</v>
      </c>
      <c r="G742" s="102">
        <f t="shared" si="17"/>
        <v>-200364</v>
      </c>
      <c r="H742" s="101" t="s">
        <v>80</v>
      </c>
    </row>
    <row r="743" spans="1:8" hidden="1">
      <c r="A743" s="101" t="s">
        <v>1223</v>
      </c>
      <c r="B743" s="102">
        <v>0</v>
      </c>
      <c r="C743" s="102">
        <v>10000</v>
      </c>
      <c r="D743" s="102">
        <v>0</v>
      </c>
      <c r="E743" s="102">
        <v>10000</v>
      </c>
      <c r="G743" s="102">
        <f t="shared" si="17"/>
        <v>10000</v>
      </c>
      <c r="H743" s="101" t="s">
        <v>80</v>
      </c>
    </row>
    <row r="744" spans="1:8" hidden="1">
      <c r="A744" s="101" t="s">
        <v>190</v>
      </c>
      <c r="B744" s="102">
        <v>0.86</v>
      </c>
      <c r="C744" s="102">
        <v>0</v>
      </c>
      <c r="D744" s="102">
        <v>0</v>
      </c>
      <c r="E744" s="102">
        <v>0.86</v>
      </c>
      <c r="G744" s="102">
        <f t="shared" si="17"/>
        <v>0.86</v>
      </c>
      <c r="H744" s="101" t="s">
        <v>80</v>
      </c>
    </row>
    <row r="745" spans="1:8" hidden="1">
      <c r="A745" s="101" t="s">
        <v>181</v>
      </c>
      <c r="B745" s="102">
        <v>-3000</v>
      </c>
      <c r="C745" s="102">
        <v>0</v>
      </c>
      <c r="D745" s="102">
        <v>0</v>
      </c>
      <c r="E745" s="102">
        <v>-3000</v>
      </c>
      <c r="G745" s="102">
        <f t="shared" si="17"/>
        <v>-3000</v>
      </c>
      <c r="H745" s="101" t="s">
        <v>80</v>
      </c>
    </row>
    <row r="746" spans="1:8" hidden="1">
      <c r="A746" s="101" t="s">
        <v>1523</v>
      </c>
      <c r="B746" s="102">
        <v>0</v>
      </c>
      <c r="C746" s="102">
        <v>0</v>
      </c>
      <c r="D746" s="102">
        <v>0</v>
      </c>
      <c r="E746" s="102">
        <v>0</v>
      </c>
      <c r="G746" s="102">
        <f t="shared" si="17"/>
        <v>0</v>
      </c>
      <c r="H746" s="101" t="s">
        <v>80</v>
      </c>
    </row>
    <row r="747" spans="1:8" hidden="1">
      <c r="A747" s="101" t="s">
        <v>783</v>
      </c>
      <c r="B747" s="102">
        <v>-7446</v>
      </c>
      <c r="C747" s="102">
        <v>7446</v>
      </c>
      <c r="D747" s="102">
        <v>0</v>
      </c>
      <c r="E747" s="102">
        <v>0</v>
      </c>
      <c r="G747" s="102">
        <f t="shared" si="17"/>
        <v>0</v>
      </c>
      <c r="H747" s="101" t="s">
        <v>80</v>
      </c>
    </row>
    <row r="748" spans="1:8" hidden="1">
      <c r="A748" s="101" t="s">
        <v>182</v>
      </c>
      <c r="B748" s="102">
        <v>-13539.4</v>
      </c>
      <c r="C748" s="102">
        <v>0</v>
      </c>
      <c r="D748" s="102">
        <v>0</v>
      </c>
      <c r="E748" s="102">
        <v>-13539.4</v>
      </c>
      <c r="G748" s="102">
        <f t="shared" si="17"/>
        <v>-13539.4</v>
      </c>
      <c r="H748" s="101" t="s">
        <v>80</v>
      </c>
    </row>
    <row r="749" spans="1:8" hidden="1">
      <c r="A749" s="101" t="s">
        <v>1224</v>
      </c>
      <c r="B749" s="102">
        <v>0</v>
      </c>
      <c r="C749" s="102">
        <v>0</v>
      </c>
      <c r="D749" s="102">
        <v>0</v>
      </c>
      <c r="E749" s="102">
        <v>0</v>
      </c>
      <c r="G749" s="102">
        <f t="shared" si="17"/>
        <v>0</v>
      </c>
      <c r="H749" s="101" t="s">
        <v>80</v>
      </c>
    </row>
    <row r="750" spans="1:8" hidden="1">
      <c r="A750" s="101" t="s">
        <v>480</v>
      </c>
      <c r="B750" s="102">
        <v>-31860</v>
      </c>
      <c r="C750" s="102">
        <v>0</v>
      </c>
      <c r="D750" s="102">
        <v>46433</v>
      </c>
      <c r="E750" s="102">
        <v>-78293</v>
      </c>
      <c r="G750" s="102">
        <f t="shared" si="17"/>
        <v>-78293</v>
      </c>
      <c r="H750" s="101" t="s">
        <v>80</v>
      </c>
    </row>
    <row r="751" spans="1:8" hidden="1">
      <c r="A751" s="101" t="s">
        <v>1225</v>
      </c>
      <c r="B751" s="102">
        <v>0</v>
      </c>
      <c r="C751" s="102">
        <v>0</v>
      </c>
      <c r="D751" s="102">
        <v>5369</v>
      </c>
      <c r="E751" s="102">
        <v>-5369</v>
      </c>
      <c r="G751" s="102">
        <f t="shared" si="17"/>
        <v>-5369</v>
      </c>
      <c r="H751" s="101" t="s">
        <v>80</v>
      </c>
    </row>
    <row r="752" spans="1:8" hidden="1">
      <c r="A752" s="101" t="s">
        <v>178</v>
      </c>
      <c r="B752" s="102">
        <v>-0.08</v>
      </c>
      <c r="C752" s="102">
        <v>0</v>
      </c>
      <c r="D752" s="102">
        <v>0</v>
      </c>
      <c r="E752" s="102">
        <v>-0.08</v>
      </c>
      <c r="G752" s="102">
        <f t="shared" si="17"/>
        <v>-0.08</v>
      </c>
      <c r="H752" s="101" t="s">
        <v>80</v>
      </c>
    </row>
    <row r="753" spans="1:8" hidden="1">
      <c r="A753" s="101" t="s">
        <v>1226</v>
      </c>
      <c r="B753" s="102">
        <v>0</v>
      </c>
      <c r="C753" s="102">
        <v>0</v>
      </c>
      <c r="D753" s="102">
        <v>0</v>
      </c>
      <c r="E753" s="102">
        <v>0</v>
      </c>
      <c r="G753" s="102">
        <f t="shared" si="17"/>
        <v>0</v>
      </c>
      <c r="H753" s="101" t="s">
        <v>80</v>
      </c>
    </row>
    <row r="754" spans="1:8" hidden="1">
      <c r="A754" s="101" t="s">
        <v>179</v>
      </c>
      <c r="B754" s="102">
        <v>3628.6</v>
      </c>
      <c r="C754" s="102">
        <v>0</v>
      </c>
      <c r="D754" s="102">
        <v>0</v>
      </c>
      <c r="E754" s="102">
        <v>3628.6</v>
      </c>
      <c r="G754" s="102">
        <f t="shared" si="17"/>
        <v>3628.6</v>
      </c>
      <c r="H754" s="101" t="s">
        <v>80</v>
      </c>
    </row>
    <row r="755" spans="1:8" hidden="1">
      <c r="A755" s="101" t="s">
        <v>176</v>
      </c>
      <c r="B755" s="102">
        <v>-122795</v>
      </c>
      <c r="C755" s="102">
        <v>83587</v>
      </c>
      <c r="D755" s="102">
        <v>38439</v>
      </c>
      <c r="E755" s="102">
        <v>-77647</v>
      </c>
      <c r="G755" s="102">
        <f t="shared" si="17"/>
        <v>-77647</v>
      </c>
      <c r="H755" s="101" t="s">
        <v>80</v>
      </c>
    </row>
    <row r="756" spans="1:8" hidden="1">
      <c r="A756" s="101" t="s">
        <v>481</v>
      </c>
      <c r="B756" s="102">
        <v>-229003</v>
      </c>
      <c r="C756" s="102">
        <v>209994</v>
      </c>
      <c r="D756" s="102">
        <v>0</v>
      </c>
      <c r="E756" s="102">
        <v>-19009</v>
      </c>
      <c r="G756" s="102">
        <f t="shared" si="17"/>
        <v>-19009</v>
      </c>
      <c r="H756" s="101" t="s">
        <v>80</v>
      </c>
    </row>
    <row r="757" spans="1:8" hidden="1">
      <c r="A757" s="101" t="s">
        <v>1227</v>
      </c>
      <c r="B757" s="102">
        <v>0</v>
      </c>
      <c r="C757" s="102">
        <v>0</v>
      </c>
      <c r="D757" s="102">
        <v>0</v>
      </c>
      <c r="E757" s="102">
        <v>0</v>
      </c>
      <c r="G757" s="102">
        <f t="shared" si="17"/>
        <v>0</v>
      </c>
      <c r="H757" s="101" t="s">
        <v>80</v>
      </c>
    </row>
    <row r="758" spans="1:8" hidden="1">
      <c r="A758" s="101" t="s">
        <v>174</v>
      </c>
      <c r="B758" s="102">
        <v>-4956</v>
      </c>
      <c r="C758" s="102">
        <v>4956</v>
      </c>
      <c r="D758" s="102">
        <v>0</v>
      </c>
      <c r="E758" s="102">
        <v>0</v>
      </c>
      <c r="G758" s="102">
        <f t="shared" si="17"/>
        <v>0</v>
      </c>
      <c r="H758" s="101" t="s">
        <v>80</v>
      </c>
    </row>
    <row r="759" spans="1:8" hidden="1">
      <c r="A759" s="101" t="s">
        <v>175</v>
      </c>
      <c r="B759" s="102">
        <v>-108335</v>
      </c>
      <c r="C759" s="102">
        <v>11434</v>
      </c>
      <c r="D759" s="102">
        <v>11434</v>
      </c>
      <c r="E759" s="102">
        <v>-108335</v>
      </c>
      <c r="G759" s="102">
        <f t="shared" si="17"/>
        <v>-108335</v>
      </c>
      <c r="H759" s="101" t="s">
        <v>80</v>
      </c>
    </row>
    <row r="760" spans="1:8" hidden="1">
      <c r="A760" s="101" t="s">
        <v>1228</v>
      </c>
      <c r="B760" s="102">
        <v>0</v>
      </c>
      <c r="C760" s="102">
        <v>43750</v>
      </c>
      <c r="D760" s="102">
        <v>0</v>
      </c>
      <c r="E760" s="102">
        <v>43750</v>
      </c>
      <c r="G760" s="102">
        <f t="shared" si="17"/>
        <v>43750</v>
      </c>
      <c r="H760" s="101" t="s">
        <v>80</v>
      </c>
    </row>
    <row r="761" spans="1:8" hidden="1">
      <c r="A761" s="101" t="s">
        <v>784</v>
      </c>
      <c r="B761" s="102">
        <v>-6903.78</v>
      </c>
      <c r="C761" s="102">
        <v>5900</v>
      </c>
      <c r="D761" s="102">
        <v>35612</v>
      </c>
      <c r="E761" s="102">
        <v>-36615.78</v>
      </c>
      <c r="G761" s="102">
        <f t="shared" si="17"/>
        <v>-36615.78</v>
      </c>
      <c r="H761" s="101" t="s">
        <v>80</v>
      </c>
    </row>
    <row r="762" spans="1:8" hidden="1">
      <c r="A762" s="101" t="s">
        <v>420</v>
      </c>
      <c r="B762" s="102">
        <v>-1305516.8500000001</v>
      </c>
      <c r="C762" s="102">
        <v>1763749</v>
      </c>
      <c r="D762" s="102">
        <v>1052732.7</v>
      </c>
      <c r="E762" s="102">
        <v>-594500.55000000005</v>
      </c>
      <c r="G762" s="102">
        <f t="shared" si="17"/>
        <v>-594500.55000000005</v>
      </c>
      <c r="H762" s="101" t="s">
        <v>80</v>
      </c>
    </row>
    <row r="763" spans="1:8" hidden="1">
      <c r="A763" s="101" t="s">
        <v>407</v>
      </c>
      <c r="B763" s="102">
        <v>-19765</v>
      </c>
      <c r="C763" s="102">
        <v>19765</v>
      </c>
      <c r="D763" s="102">
        <v>0</v>
      </c>
      <c r="E763" s="102">
        <v>0</v>
      </c>
      <c r="G763" s="102">
        <f t="shared" si="17"/>
        <v>0</v>
      </c>
      <c r="H763" s="101" t="s">
        <v>80</v>
      </c>
    </row>
    <row r="764" spans="1:8" hidden="1">
      <c r="A764" s="101" t="s">
        <v>785</v>
      </c>
      <c r="B764" s="102">
        <v>-8200</v>
      </c>
      <c r="C764" s="102">
        <v>0</v>
      </c>
      <c r="D764" s="102">
        <v>0</v>
      </c>
      <c r="E764" s="102">
        <v>-8200</v>
      </c>
      <c r="G764" s="102">
        <f t="shared" si="17"/>
        <v>-8200</v>
      </c>
      <c r="H764" s="101" t="s">
        <v>80</v>
      </c>
    </row>
    <row r="765" spans="1:8" hidden="1">
      <c r="A765" s="101" t="s">
        <v>442</v>
      </c>
      <c r="B765" s="102">
        <v>-300009.86</v>
      </c>
      <c r="C765" s="102">
        <v>180704</v>
      </c>
      <c r="D765" s="102">
        <v>53935</v>
      </c>
      <c r="E765" s="102">
        <v>-173240.86</v>
      </c>
      <c r="G765" s="102">
        <f t="shared" si="17"/>
        <v>-173240.86</v>
      </c>
      <c r="H765" s="101" t="s">
        <v>80</v>
      </c>
    </row>
    <row r="766" spans="1:8" hidden="1">
      <c r="A766" s="101" t="s">
        <v>170</v>
      </c>
      <c r="B766" s="102">
        <v>-3014.89</v>
      </c>
      <c r="C766" s="102">
        <v>2006</v>
      </c>
      <c r="D766" s="102">
        <v>8083</v>
      </c>
      <c r="E766" s="102">
        <v>-9091.89</v>
      </c>
      <c r="G766" s="102">
        <f t="shared" si="17"/>
        <v>-9091.89</v>
      </c>
      <c r="H766" s="101" t="s">
        <v>80</v>
      </c>
    </row>
    <row r="767" spans="1:8" hidden="1">
      <c r="A767" s="101" t="s">
        <v>786</v>
      </c>
      <c r="B767" s="102">
        <v>-14650</v>
      </c>
      <c r="C767" s="102">
        <v>0</v>
      </c>
      <c r="D767" s="102">
        <v>0</v>
      </c>
      <c r="E767" s="102">
        <v>-14650</v>
      </c>
      <c r="G767" s="102">
        <f t="shared" si="17"/>
        <v>-14650</v>
      </c>
      <c r="H767" s="101" t="s">
        <v>80</v>
      </c>
    </row>
    <row r="768" spans="1:8" hidden="1">
      <c r="A768" s="101" t="s">
        <v>522</v>
      </c>
      <c r="B768" s="102">
        <v>-5310</v>
      </c>
      <c r="C768" s="102">
        <v>0</v>
      </c>
      <c r="D768" s="102">
        <v>19322</v>
      </c>
      <c r="E768" s="102">
        <v>-24632</v>
      </c>
      <c r="G768" s="102">
        <f t="shared" si="17"/>
        <v>-24632</v>
      </c>
      <c r="H768" s="101" t="s">
        <v>80</v>
      </c>
    </row>
    <row r="769" spans="1:8" hidden="1">
      <c r="A769" s="101" t="s">
        <v>1229</v>
      </c>
      <c r="B769" s="102">
        <v>0</v>
      </c>
      <c r="C769" s="102">
        <v>0</v>
      </c>
      <c r="D769" s="102">
        <v>0</v>
      </c>
      <c r="E769" s="102">
        <v>0</v>
      </c>
      <c r="G769" s="102">
        <f t="shared" si="17"/>
        <v>0</v>
      </c>
      <c r="H769" s="101" t="s">
        <v>80</v>
      </c>
    </row>
    <row r="770" spans="1:8" hidden="1">
      <c r="A770" s="101" t="s">
        <v>1230</v>
      </c>
      <c r="B770" s="102">
        <v>0</v>
      </c>
      <c r="C770" s="102">
        <v>0</v>
      </c>
      <c r="D770" s="102">
        <v>0</v>
      </c>
      <c r="E770" s="102">
        <v>0</v>
      </c>
      <c r="G770" s="102">
        <f t="shared" si="17"/>
        <v>0</v>
      </c>
      <c r="H770" s="101" t="s">
        <v>80</v>
      </c>
    </row>
    <row r="771" spans="1:8" hidden="1">
      <c r="A771" s="101" t="s">
        <v>787</v>
      </c>
      <c r="B771" s="102">
        <v>173483.6</v>
      </c>
      <c r="C771" s="102">
        <v>0</v>
      </c>
      <c r="D771" s="102">
        <v>0</v>
      </c>
      <c r="E771" s="102">
        <v>173483.6</v>
      </c>
      <c r="G771" s="102">
        <f t="shared" ref="G771:G834" si="18">E771+F771</f>
        <v>173483.6</v>
      </c>
      <c r="H771" s="101" t="s">
        <v>80</v>
      </c>
    </row>
    <row r="772" spans="1:8" hidden="1">
      <c r="A772" s="101" t="s">
        <v>788</v>
      </c>
      <c r="B772" s="102">
        <v>12744</v>
      </c>
      <c r="C772" s="102">
        <v>0</v>
      </c>
      <c r="D772" s="102">
        <v>12744</v>
      </c>
      <c r="E772" s="102">
        <v>0</v>
      </c>
      <c r="G772" s="102">
        <f t="shared" si="18"/>
        <v>0</v>
      </c>
      <c r="H772" s="101" t="s">
        <v>80</v>
      </c>
    </row>
    <row r="773" spans="1:8" hidden="1">
      <c r="A773" s="101" t="s">
        <v>168</v>
      </c>
      <c r="B773" s="102">
        <v>-11706</v>
      </c>
      <c r="C773" s="102">
        <v>11706</v>
      </c>
      <c r="D773" s="102">
        <v>57823</v>
      </c>
      <c r="E773" s="102">
        <v>-57823</v>
      </c>
      <c r="G773" s="102">
        <f t="shared" si="18"/>
        <v>-57823</v>
      </c>
      <c r="H773" s="101" t="s">
        <v>80</v>
      </c>
    </row>
    <row r="774" spans="1:8" hidden="1">
      <c r="A774" s="101" t="s">
        <v>789</v>
      </c>
      <c r="B774" s="102">
        <v>-151278</v>
      </c>
      <c r="C774" s="102">
        <v>76187</v>
      </c>
      <c r="D774" s="102">
        <v>21712</v>
      </c>
      <c r="E774" s="102">
        <v>-96803</v>
      </c>
      <c r="G774" s="102">
        <f t="shared" si="18"/>
        <v>-96803</v>
      </c>
      <c r="H774" s="101" t="s">
        <v>80</v>
      </c>
    </row>
    <row r="775" spans="1:8" hidden="1">
      <c r="A775" s="101" t="s">
        <v>167</v>
      </c>
      <c r="B775" s="102">
        <v>-48734</v>
      </c>
      <c r="C775" s="102">
        <v>48734</v>
      </c>
      <c r="D775" s="102">
        <v>63720</v>
      </c>
      <c r="E775" s="102">
        <v>-63720</v>
      </c>
      <c r="G775" s="102">
        <f t="shared" si="18"/>
        <v>-63720</v>
      </c>
      <c r="H775" s="101" t="s">
        <v>80</v>
      </c>
    </row>
    <row r="776" spans="1:8" hidden="1">
      <c r="A776" s="101" t="s">
        <v>1231</v>
      </c>
      <c r="B776" s="102">
        <v>0</v>
      </c>
      <c r="C776" s="102">
        <v>0</v>
      </c>
      <c r="D776" s="102">
        <v>0</v>
      </c>
      <c r="E776" s="102">
        <v>0</v>
      </c>
      <c r="G776" s="102">
        <f t="shared" si="18"/>
        <v>0</v>
      </c>
      <c r="H776" s="101" t="s">
        <v>80</v>
      </c>
    </row>
    <row r="777" spans="1:8" hidden="1">
      <c r="A777" s="101" t="s">
        <v>790</v>
      </c>
      <c r="B777" s="102">
        <v>-38781.4</v>
      </c>
      <c r="C777" s="102">
        <v>30037</v>
      </c>
      <c r="D777" s="102">
        <v>6313</v>
      </c>
      <c r="E777" s="102">
        <v>-15057.4</v>
      </c>
      <c r="G777" s="102">
        <f t="shared" si="18"/>
        <v>-15057.4</v>
      </c>
      <c r="H777" s="101" t="s">
        <v>80</v>
      </c>
    </row>
    <row r="778" spans="1:8" hidden="1">
      <c r="A778" s="101" t="s">
        <v>166</v>
      </c>
      <c r="B778" s="102">
        <v>-38242</v>
      </c>
      <c r="C778" s="102">
        <v>78211</v>
      </c>
      <c r="D778" s="102">
        <v>70512</v>
      </c>
      <c r="E778" s="102">
        <v>-30543</v>
      </c>
      <c r="G778" s="102">
        <f t="shared" si="18"/>
        <v>-30543</v>
      </c>
      <c r="H778" s="101" t="s">
        <v>80</v>
      </c>
    </row>
    <row r="779" spans="1:8" hidden="1">
      <c r="A779" s="101" t="s">
        <v>791</v>
      </c>
      <c r="B779" s="102">
        <v>4152.88</v>
      </c>
      <c r="C779" s="102">
        <v>60694</v>
      </c>
      <c r="D779" s="102">
        <v>66854</v>
      </c>
      <c r="E779" s="102">
        <v>-2007.12</v>
      </c>
      <c r="G779" s="102">
        <f t="shared" si="18"/>
        <v>-2007.12</v>
      </c>
      <c r="H779" s="101" t="s">
        <v>80</v>
      </c>
    </row>
    <row r="780" spans="1:8" hidden="1">
      <c r="A780" s="101" t="s">
        <v>792</v>
      </c>
      <c r="B780" s="102">
        <v>0</v>
      </c>
      <c r="C780" s="102">
        <v>8177.4</v>
      </c>
      <c r="D780" s="102">
        <v>8177</v>
      </c>
      <c r="E780" s="102">
        <v>0.4</v>
      </c>
      <c r="G780" s="102">
        <f t="shared" si="18"/>
        <v>0.4</v>
      </c>
      <c r="H780" s="101" t="s">
        <v>80</v>
      </c>
    </row>
    <row r="781" spans="1:8" hidden="1">
      <c r="A781" s="101" t="s">
        <v>386</v>
      </c>
      <c r="B781" s="102">
        <v>-14331</v>
      </c>
      <c r="C781" s="102">
        <v>0</v>
      </c>
      <c r="D781" s="102">
        <v>0</v>
      </c>
      <c r="E781" s="102">
        <v>-14331</v>
      </c>
      <c r="G781" s="102">
        <f t="shared" si="18"/>
        <v>-14331</v>
      </c>
      <c r="H781" s="101" t="s">
        <v>80</v>
      </c>
    </row>
    <row r="782" spans="1:8" hidden="1">
      <c r="A782" s="101" t="s">
        <v>165</v>
      </c>
      <c r="B782" s="102">
        <v>-243959</v>
      </c>
      <c r="C782" s="102">
        <v>243959</v>
      </c>
      <c r="D782" s="102">
        <v>483210</v>
      </c>
      <c r="E782" s="102">
        <v>-483210</v>
      </c>
      <c r="G782" s="102">
        <f t="shared" si="18"/>
        <v>-483210</v>
      </c>
      <c r="H782" s="101" t="s">
        <v>80</v>
      </c>
    </row>
    <row r="783" spans="1:8" hidden="1">
      <c r="A783" s="101" t="s">
        <v>793</v>
      </c>
      <c r="B783" s="102">
        <v>-17818</v>
      </c>
      <c r="C783" s="102">
        <v>17818</v>
      </c>
      <c r="D783" s="102">
        <v>0</v>
      </c>
      <c r="E783" s="102">
        <v>0</v>
      </c>
      <c r="G783" s="102">
        <f t="shared" si="18"/>
        <v>0</v>
      </c>
      <c r="H783" s="101" t="s">
        <v>80</v>
      </c>
    </row>
    <row r="784" spans="1:8" hidden="1">
      <c r="A784" s="101" t="s">
        <v>1232</v>
      </c>
      <c r="B784" s="102">
        <v>0</v>
      </c>
      <c r="C784" s="102">
        <v>0</v>
      </c>
      <c r="D784" s="102">
        <v>7788</v>
      </c>
      <c r="E784" s="102">
        <v>-7788</v>
      </c>
      <c r="G784" s="102">
        <f t="shared" si="18"/>
        <v>-7788</v>
      </c>
      <c r="H784" s="101" t="s">
        <v>80</v>
      </c>
    </row>
    <row r="785" spans="1:8" hidden="1">
      <c r="A785" s="101" t="s">
        <v>1233</v>
      </c>
      <c r="B785" s="102">
        <v>0</v>
      </c>
      <c r="C785" s="102">
        <v>0</v>
      </c>
      <c r="D785" s="102">
        <v>0</v>
      </c>
      <c r="E785" s="102">
        <v>0</v>
      </c>
      <c r="G785" s="102">
        <f t="shared" si="18"/>
        <v>0</v>
      </c>
      <c r="H785" s="101" t="s">
        <v>80</v>
      </c>
    </row>
    <row r="786" spans="1:8" hidden="1">
      <c r="A786" s="101" t="s">
        <v>1416</v>
      </c>
      <c r="B786" s="102">
        <v>0</v>
      </c>
      <c r="C786" s="102">
        <v>0</v>
      </c>
      <c r="D786" s="102">
        <v>0</v>
      </c>
      <c r="E786" s="102">
        <v>0</v>
      </c>
      <c r="G786" s="102">
        <f t="shared" si="18"/>
        <v>0</v>
      </c>
      <c r="H786" s="101" t="s">
        <v>80</v>
      </c>
    </row>
    <row r="787" spans="1:8" hidden="1">
      <c r="A787" s="101" t="s">
        <v>1045</v>
      </c>
      <c r="B787" s="102">
        <v>-110802</v>
      </c>
      <c r="C787" s="102">
        <v>110802</v>
      </c>
      <c r="D787" s="102">
        <v>0</v>
      </c>
      <c r="E787" s="102">
        <v>0</v>
      </c>
      <c r="G787" s="102">
        <f t="shared" si="18"/>
        <v>0</v>
      </c>
      <c r="H787" s="101" t="s">
        <v>80</v>
      </c>
    </row>
    <row r="788" spans="1:8" hidden="1">
      <c r="A788" s="101" t="s">
        <v>510</v>
      </c>
      <c r="B788" s="102">
        <v>-7.0000000000000007E-2</v>
      </c>
      <c r="C788" s="102">
        <v>0</v>
      </c>
      <c r="D788" s="102">
        <v>0</v>
      </c>
      <c r="E788" s="102">
        <v>-7.0000000000000007E-2</v>
      </c>
      <c r="G788" s="102">
        <f t="shared" si="18"/>
        <v>-7.0000000000000007E-2</v>
      </c>
      <c r="H788" s="101" t="s">
        <v>80</v>
      </c>
    </row>
    <row r="789" spans="1:8" hidden="1">
      <c r="A789" s="101" t="s">
        <v>159</v>
      </c>
      <c r="B789" s="102">
        <v>-163695</v>
      </c>
      <c r="C789" s="102">
        <v>97317</v>
      </c>
      <c r="D789" s="102">
        <v>0</v>
      </c>
      <c r="E789" s="102">
        <v>-66378</v>
      </c>
      <c r="G789" s="102">
        <f t="shared" si="18"/>
        <v>-66378</v>
      </c>
      <c r="H789" s="101" t="s">
        <v>80</v>
      </c>
    </row>
    <row r="790" spans="1:8" hidden="1">
      <c r="A790" s="101" t="s">
        <v>794</v>
      </c>
      <c r="B790" s="102">
        <v>-200.6</v>
      </c>
      <c r="C790" s="102">
        <v>0</v>
      </c>
      <c r="D790" s="102">
        <v>0</v>
      </c>
      <c r="E790" s="102">
        <v>-200.6</v>
      </c>
      <c r="G790" s="102">
        <f t="shared" si="18"/>
        <v>-200.6</v>
      </c>
      <c r="H790" s="101" t="s">
        <v>80</v>
      </c>
    </row>
    <row r="791" spans="1:8" hidden="1">
      <c r="A791" s="101" t="s">
        <v>795</v>
      </c>
      <c r="B791" s="102">
        <v>23954</v>
      </c>
      <c r="C791" s="102">
        <v>68936</v>
      </c>
      <c r="D791" s="102">
        <v>108655</v>
      </c>
      <c r="E791" s="102">
        <v>-15765</v>
      </c>
      <c r="G791" s="102">
        <f t="shared" si="18"/>
        <v>-15765</v>
      </c>
      <c r="H791" s="101" t="s">
        <v>80</v>
      </c>
    </row>
    <row r="792" spans="1:8" hidden="1">
      <c r="A792" s="101" t="s">
        <v>796</v>
      </c>
      <c r="B792" s="102">
        <v>-219303</v>
      </c>
      <c r="C792" s="102">
        <v>219303</v>
      </c>
      <c r="D792" s="102">
        <v>159831</v>
      </c>
      <c r="E792" s="102">
        <v>-159831</v>
      </c>
      <c r="G792" s="102">
        <f t="shared" si="18"/>
        <v>-159831</v>
      </c>
      <c r="H792" s="101" t="s">
        <v>80</v>
      </c>
    </row>
    <row r="793" spans="1:8" hidden="1">
      <c r="A793" s="101" t="s">
        <v>797</v>
      </c>
      <c r="B793" s="102">
        <v>-236085.4</v>
      </c>
      <c r="C793" s="102">
        <v>163213</v>
      </c>
      <c r="D793" s="102">
        <v>219757</v>
      </c>
      <c r="E793" s="102">
        <v>-292629.40000000002</v>
      </c>
      <c r="G793" s="102">
        <f t="shared" si="18"/>
        <v>-292629.40000000002</v>
      </c>
      <c r="H793" s="101" t="s">
        <v>80</v>
      </c>
    </row>
    <row r="794" spans="1:8" hidden="1">
      <c r="A794" s="101" t="s">
        <v>158</v>
      </c>
      <c r="B794" s="102">
        <v>-49320.34</v>
      </c>
      <c r="C794" s="102">
        <v>0</v>
      </c>
      <c r="D794" s="102">
        <v>0</v>
      </c>
      <c r="E794" s="102">
        <v>-49320.34</v>
      </c>
      <c r="G794" s="102">
        <f t="shared" si="18"/>
        <v>-49320.34</v>
      </c>
      <c r="H794" s="101" t="s">
        <v>80</v>
      </c>
    </row>
    <row r="795" spans="1:8" hidden="1">
      <c r="A795" s="101" t="s">
        <v>1234</v>
      </c>
      <c r="B795" s="102">
        <v>0</v>
      </c>
      <c r="C795" s="102">
        <v>0</v>
      </c>
      <c r="D795" s="102">
        <v>0</v>
      </c>
      <c r="E795" s="102">
        <v>0</v>
      </c>
      <c r="G795" s="102">
        <f t="shared" si="18"/>
        <v>0</v>
      </c>
      <c r="H795" s="101" t="s">
        <v>80</v>
      </c>
    </row>
    <row r="796" spans="1:8" hidden="1">
      <c r="A796" s="101" t="s">
        <v>156</v>
      </c>
      <c r="B796" s="102">
        <v>-0.01</v>
      </c>
      <c r="C796" s="102">
        <v>0</v>
      </c>
      <c r="D796" s="102">
        <v>0</v>
      </c>
      <c r="E796" s="102">
        <v>-0.01</v>
      </c>
      <c r="G796" s="102">
        <f t="shared" si="18"/>
        <v>-0.01</v>
      </c>
      <c r="H796" s="101" t="s">
        <v>80</v>
      </c>
    </row>
    <row r="797" spans="1:8" hidden="1">
      <c r="A797" s="101" t="s">
        <v>1235</v>
      </c>
      <c r="B797" s="102">
        <v>0</v>
      </c>
      <c r="C797" s="102">
        <v>0</v>
      </c>
      <c r="D797" s="102">
        <v>68502</v>
      </c>
      <c r="E797" s="102">
        <v>-68502</v>
      </c>
      <c r="G797" s="102">
        <f t="shared" si="18"/>
        <v>-68502</v>
      </c>
      <c r="H797" s="101" t="s">
        <v>80</v>
      </c>
    </row>
    <row r="798" spans="1:8" hidden="1">
      <c r="A798" s="101" t="s">
        <v>425</v>
      </c>
      <c r="B798" s="102">
        <v>-0.01</v>
      </c>
      <c r="C798" s="102">
        <v>0</v>
      </c>
      <c r="D798" s="102">
        <v>50598</v>
      </c>
      <c r="E798" s="102">
        <v>-50598.01</v>
      </c>
      <c r="G798" s="102">
        <f t="shared" si="18"/>
        <v>-50598.01</v>
      </c>
      <c r="H798" s="101" t="s">
        <v>80</v>
      </c>
    </row>
    <row r="799" spans="1:8" hidden="1">
      <c r="A799" s="101" t="s">
        <v>798</v>
      </c>
      <c r="B799" s="102">
        <v>780</v>
      </c>
      <c r="C799" s="102">
        <v>0</v>
      </c>
      <c r="D799" s="102">
        <v>0</v>
      </c>
      <c r="E799" s="102">
        <v>780</v>
      </c>
      <c r="G799" s="102">
        <f t="shared" si="18"/>
        <v>780</v>
      </c>
      <c r="H799" s="101" t="s">
        <v>80</v>
      </c>
    </row>
    <row r="800" spans="1:8" hidden="1">
      <c r="A800" s="101" t="s">
        <v>799</v>
      </c>
      <c r="B800" s="102">
        <v>-5283</v>
      </c>
      <c r="C800" s="102">
        <v>0</v>
      </c>
      <c r="D800" s="102">
        <v>6656</v>
      </c>
      <c r="E800" s="102">
        <v>-11939</v>
      </c>
      <c r="G800" s="102">
        <f t="shared" si="18"/>
        <v>-11939</v>
      </c>
      <c r="H800" s="101" t="s">
        <v>80</v>
      </c>
    </row>
    <row r="801" spans="1:8" hidden="1">
      <c r="A801" s="101" t="s">
        <v>800</v>
      </c>
      <c r="B801" s="102">
        <v>0.03</v>
      </c>
      <c r="C801" s="102">
        <v>0</v>
      </c>
      <c r="D801" s="102">
        <v>0</v>
      </c>
      <c r="E801" s="102">
        <v>0.03</v>
      </c>
      <c r="G801" s="102">
        <f t="shared" si="18"/>
        <v>0.03</v>
      </c>
      <c r="H801" s="101" t="s">
        <v>80</v>
      </c>
    </row>
    <row r="802" spans="1:8" hidden="1">
      <c r="A802" s="101" t="s">
        <v>1236</v>
      </c>
      <c r="B802" s="102">
        <v>0</v>
      </c>
      <c r="C802" s="102">
        <v>0</v>
      </c>
      <c r="D802" s="102">
        <v>0</v>
      </c>
      <c r="E802" s="102">
        <v>0</v>
      </c>
      <c r="G802" s="102">
        <f t="shared" si="18"/>
        <v>0</v>
      </c>
      <c r="H802" s="101" t="s">
        <v>80</v>
      </c>
    </row>
    <row r="803" spans="1:8" hidden="1">
      <c r="A803" s="101" t="s">
        <v>153</v>
      </c>
      <c r="B803" s="102">
        <v>-33075.040000000001</v>
      </c>
      <c r="C803" s="102">
        <v>89329</v>
      </c>
      <c r="D803" s="102">
        <v>80496</v>
      </c>
      <c r="E803" s="102">
        <v>-24242.04</v>
      </c>
      <c r="G803" s="102">
        <f t="shared" si="18"/>
        <v>-24242.04</v>
      </c>
      <c r="H803" s="101" t="s">
        <v>80</v>
      </c>
    </row>
    <row r="804" spans="1:8" hidden="1">
      <c r="A804" s="101" t="s">
        <v>152</v>
      </c>
      <c r="B804" s="102">
        <v>-1156</v>
      </c>
      <c r="C804" s="102">
        <v>1156</v>
      </c>
      <c r="D804" s="102">
        <v>0</v>
      </c>
      <c r="E804" s="102">
        <v>0</v>
      </c>
      <c r="G804" s="102">
        <f t="shared" si="18"/>
        <v>0</v>
      </c>
      <c r="H804" s="101" t="s">
        <v>80</v>
      </c>
    </row>
    <row r="805" spans="1:8" hidden="1">
      <c r="A805" s="101" t="s">
        <v>474</v>
      </c>
      <c r="B805" s="102">
        <v>-1510</v>
      </c>
      <c r="C805" s="102">
        <v>1510</v>
      </c>
      <c r="D805" s="102">
        <v>0</v>
      </c>
      <c r="E805" s="102">
        <v>0</v>
      </c>
      <c r="G805" s="102">
        <f t="shared" si="18"/>
        <v>0</v>
      </c>
      <c r="H805" s="101" t="s">
        <v>80</v>
      </c>
    </row>
    <row r="806" spans="1:8" hidden="1">
      <c r="A806" s="101" t="s">
        <v>1237</v>
      </c>
      <c r="B806" s="102">
        <v>0</v>
      </c>
      <c r="C806" s="102">
        <v>0</v>
      </c>
      <c r="D806" s="102">
        <v>0</v>
      </c>
      <c r="E806" s="102">
        <v>0</v>
      </c>
      <c r="G806" s="102">
        <f t="shared" si="18"/>
        <v>0</v>
      </c>
      <c r="H806" s="101" t="s">
        <v>80</v>
      </c>
    </row>
    <row r="807" spans="1:8" hidden="1">
      <c r="A807" s="101" t="s">
        <v>511</v>
      </c>
      <c r="B807" s="102">
        <v>-84830</v>
      </c>
      <c r="C807" s="102">
        <v>84830</v>
      </c>
      <c r="D807" s="102">
        <v>119771</v>
      </c>
      <c r="E807" s="102">
        <v>-119771</v>
      </c>
      <c r="G807" s="102">
        <f t="shared" si="18"/>
        <v>-119771</v>
      </c>
      <c r="H807" s="101" t="s">
        <v>80</v>
      </c>
    </row>
    <row r="808" spans="1:8" hidden="1">
      <c r="A808" s="101" t="s">
        <v>1238</v>
      </c>
      <c r="B808" s="102">
        <v>0</v>
      </c>
      <c r="C808" s="102">
        <v>0</v>
      </c>
      <c r="D808" s="102">
        <v>47200</v>
      </c>
      <c r="E808" s="102">
        <v>-47200</v>
      </c>
      <c r="G808" s="102">
        <f t="shared" si="18"/>
        <v>-47200</v>
      </c>
      <c r="H808" s="101" t="s">
        <v>80</v>
      </c>
    </row>
    <row r="809" spans="1:8" hidden="1">
      <c r="A809" s="101" t="s">
        <v>1239</v>
      </c>
      <c r="B809" s="102">
        <v>0</v>
      </c>
      <c r="C809" s="102">
        <v>0</v>
      </c>
      <c r="D809" s="102">
        <v>27848</v>
      </c>
      <c r="E809" s="102">
        <v>-27848</v>
      </c>
      <c r="G809" s="102">
        <f t="shared" si="18"/>
        <v>-27848</v>
      </c>
      <c r="H809" s="101" t="s">
        <v>80</v>
      </c>
    </row>
    <row r="810" spans="1:8" hidden="1">
      <c r="A810" s="101" t="s">
        <v>801</v>
      </c>
      <c r="B810" s="102">
        <v>0.08</v>
      </c>
      <c r="C810" s="102">
        <v>0</v>
      </c>
      <c r="D810" s="102">
        <v>0</v>
      </c>
      <c r="E810" s="102">
        <v>0.08</v>
      </c>
      <c r="G810" s="102">
        <f t="shared" si="18"/>
        <v>0.08</v>
      </c>
      <c r="H810" s="101" t="s">
        <v>80</v>
      </c>
    </row>
    <row r="811" spans="1:8" hidden="1">
      <c r="A811" s="101" t="s">
        <v>1240</v>
      </c>
      <c r="B811" s="102">
        <v>0</v>
      </c>
      <c r="C811" s="102">
        <v>0</v>
      </c>
      <c r="D811" s="102">
        <v>0</v>
      </c>
      <c r="E811" s="102">
        <v>0</v>
      </c>
      <c r="G811" s="102">
        <f t="shared" si="18"/>
        <v>0</v>
      </c>
      <c r="H811" s="101" t="s">
        <v>80</v>
      </c>
    </row>
    <row r="812" spans="1:8" hidden="1">
      <c r="A812" s="101" t="s">
        <v>802</v>
      </c>
      <c r="B812" s="102">
        <v>-45900</v>
      </c>
      <c r="C812" s="102">
        <v>0</v>
      </c>
      <c r="D812" s="102">
        <v>0</v>
      </c>
      <c r="E812" s="102">
        <v>-45900</v>
      </c>
      <c r="G812" s="102">
        <f t="shared" si="18"/>
        <v>-45900</v>
      </c>
      <c r="H812" s="101" t="s">
        <v>80</v>
      </c>
    </row>
    <row r="813" spans="1:8" hidden="1">
      <c r="A813" s="101" t="s">
        <v>803</v>
      </c>
      <c r="B813" s="102">
        <v>0</v>
      </c>
      <c r="C813" s="102">
        <v>8850</v>
      </c>
      <c r="D813" s="102">
        <v>0</v>
      </c>
      <c r="E813" s="102">
        <v>8850</v>
      </c>
      <c r="G813" s="102">
        <f t="shared" si="18"/>
        <v>8850</v>
      </c>
      <c r="H813" s="101" t="s">
        <v>80</v>
      </c>
    </row>
    <row r="814" spans="1:8" hidden="1">
      <c r="A814" s="101" t="s">
        <v>1241</v>
      </c>
      <c r="B814" s="102">
        <v>0</v>
      </c>
      <c r="C814" s="102">
        <v>0</v>
      </c>
      <c r="D814" s="102">
        <v>0</v>
      </c>
      <c r="E814" s="102">
        <v>0</v>
      </c>
      <c r="G814" s="102">
        <f t="shared" si="18"/>
        <v>0</v>
      </c>
      <c r="H814" s="101" t="s">
        <v>80</v>
      </c>
    </row>
    <row r="815" spans="1:8" hidden="1">
      <c r="A815" s="101" t="s">
        <v>804</v>
      </c>
      <c r="B815" s="102">
        <v>0</v>
      </c>
      <c r="C815" s="102">
        <v>21500</v>
      </c>
      <c r="D815" s="102">
        <v>10620</v>
      </c>
      <c r="E815" s="102">
        <v>10880</v>
      </c>
      <c r="G815" s="102">
        <f t="shared" si="18"/>
        <v>10880</v>
      </c>
      <c r="H815" s="101" t="s">
        <v>80</v>
      </c>
    </row>
    <row r="816" spans="1:8" hidden="1">
      <c r="A816" s="101" t="s">
        <v>805</v>
      </c>
      <c r="B816" s="102">
        <v>-1374524.97</v>
      </c>
      <c r="C816" s="102">
        <v>2910340</v>
      </c>
      <c r="D816" s="102">
        <v>1344941.94</v>
      </c>
      <c r="E816" s="102">
        <v>190873.09</v>
      </c>
      <c r="G816" s="102">
        <f t="shared" si="18"/>
        <v>190873.09</v>
      </c>
      <c r="H816" s="101" t="s">
        <v>80</v>
      </c>
    </row>
    <row r="817" spans="1:8" hidden="1">
      <c r="A817" s="101" t="s">
        <v>806</v>
      </c>
      <c r="B817" s="102">
        <v>-39407.160000000003</v>
      </c>
      <c r="C817" s="102">
        <v>64544</v>
      </c>
      <c r="D817" s="102">
        <v>48607</v>
      </c>
      <c r="E817" s="102">
        <v>-23470.16</v>
      </c>
      <c r="G817" s="102">
        <f t="shared" si="18"/>
        <v>-23470.16</v>
      </c>
      <c r="H817" s="101" t="s">
        <v>80</v>
      </c>
    </row>
    <row r="818" spans="1:8" hidden="1">
      <c r="A818" s="101" t="s">
        <v>484</v>
      </c>
      <c r="B818" s="102">
        <v>6931.32</v>
      </c>
      <c r="C818" s="102">
        <v>0</v>
      </c>
      <c r="D818" s="102">
        <v>6931</v>
      </c>
      <c r="E818" s="102">
        <v>0.32</v>
      </c>
      <c r="G818" s="102">
        <f t="shared" si="18"/>
        <v>0.32</v>
      </c>
      <c r="H818" s="101" t="s">
        <v>80</v>
      </c>
    </row>
    <row r="819" spans="1:8" hidden="1">
      <c r="A819" s="101" t="s">
        <v>807</v>
      </c>
      <c r="B819" s="102">
        <v>0</v>
      </c>
      <c r="C819" s="102">
        <v>0</v>
      </c>
      <c r="D819" s="102">
        <v>9636358.9199999999</v>
      </c>
      <c r="E819" s="102">
        <v>-9636358.9199999999</v>
      </c>
      <c r="G819" s="102">
        <f t="shared" si="18"/>
        <v>-9636358.9199999999</v>
      </c>
      <c r="H819" s="101" t="s">
        <v>80</v>
      </c>
    </row>
    <row r="820" spans="1:8" hidden="1">
      <c r="A820" s="101" t="s">
        <v>1242</v>
      </c>
      <c r="B820" s="102">
        <v>0</v>
      </c>
      <c r="C820" s="102">
        <v>0</v>
      </c>
      <c r="D820" s="102">
        <v>0</v>
      </c>
      <c r="E820" s="102">
        <v>0</v>
      </c>
      <c r="G820" s="102">
        <f t="shared" si="18"/>
        <v>0</v>
      </c>
      <c r="H820" s="101" t="s">
        <v>80</v>
      </c>
    </row>
    <row r="821" spans="1:8" hidden="1">
      <c r="A821" s="101" t="s">
        <v>291</v>
      </c>
      <c r="B821" s="102">
        <v>3064.5</v>
      </c>
      <c r="C821" s="102">
        <v>0</v>
      </c>
      <c r="D821" s="102">
        <v>0</v>
      </c>
      <c r="E821" s="102">
        <v>3064.5</v>
      </c>
      <c r="G821" s="102">
        <f t="shared" si="18"/>
        <v>3064.5</v>
      </c>
      <c r="H821" s="101" t="s">
        <v>80</v>
      </c>
    </row>
    <row r="822" spans="1:8" hidden="1">
      <c r="A822" s="101" t="s">
        <v>808</v>
      </c>
      <c r="B822" s="102">
        <v>108708</v>
      </c>
      <c r="C822" s="102">
        <v>330676.8</v>
      </c>
      <c r="D822" s="102">
        <v>0</v>
      </c>
      <c r="E822" s="102">
        <v>439384.8</v>
      </c>
      <c r="G822" s="102">
        <f t="shared" si="18"/>
        <v>439384.8</v>
      </c>
      <c r="H822" s="101" t="s">
        <v>80</v>
      </c>
    </row>
    <row r="823" spans="1:8" hidden="1">
      <c r="A823" s="101" t="s">
        <v>809</v>
      </c>
      <c r="B823" s="102">
        <v>5098</v>
      </c>
      <c r="C823" s="102">
        <v>980073</v>
      </c>
      <c r="D823" s="102">
        <v>985131</v>
      </c>
      <c r="E823" s="102">
        <v>40</v>
      </c>
      <c r="G823" s="102">
        <f t="shared" si="18"/>
        <v>40</v>
      </c>
      <c r="H823" s="101" t="s">
        <v>80</v>
      </c>
    </row>
    <row r="824" spans="1:8" hidden="1">
      <c r="A824" s="101" t="s">
        <v>440</v>
      </c>
      <c r="B824" s="102">
        <v>-341383</v>
      </c>
      <c r="C824" s="102">
        <v>5421739.8799999999</v>
      </c>
      <c r="D824" s="102">
        <v>8671105.2799999993</v>
      </c>
      <c r="E824" s="102">
        <v>-3590748.4</v>
      </c>
      <c r="G824" s="102">
        <f t="shared" si="18"/>
        <v>-3590748.4</v>
      </c>
      <c r="H824" s="101" t="s">
        <v>80</v>
      </c>
    </row>
    <row r="825" spans="1:8" hidden="1">
      <c r="A825" s="101" t="s">
        <v>1243</v>
      </c>
      <c r="B825" s="102">
        <v>0</v>
      </c>
      <c r="C825" s="102">
        <v>42200</v>
      </c>
      <c r="D825" s="102">
        <v>47200</v>
      </c>
      <c r="E825" s="102">
        <v>-5000</v>
      </c>
      <c r="G825" s="102">
        <f t="shared" si="18"/>
        <v>-5000</v>
      </c>
      <c r="H825" s="101" t="s">
        <v>80</v>
      </c>
    </row>
    <row r="826" spans="1:8" hidden="1">
      <c r="A826" s="101" t="s">
        <v>810</v>
      </c>
      <c r="B826" s="102">
        <v>-53909</v>
      </c>
      <c r="C826" s="102">
        <v>54125</v>
      </c>
      <c r="D826" s="102">
        <v>12732</v>
      </c>
      <c r="E826" s="102">
        <v>-12516</v>
      </c>
      <c r="G826" s="102">
        <f t="shared" si="18"/>
        <v>-12516</v>
      </c>
      <c r="H826" s="101" t="s">
        <v>80</v>
      </c>
    </row>
    <row r="827" spans="1:8" hidden="1">
      <c r="A827" s="101" t="s">
        <v>1244</v>
      </c>
      <c r="B827" s="102">
        <v>0</v>
      </c>
      <c r="C827" s="102">
        <v>0</v>
      </c>
      <c r="D827" s="102">
        <v>0</v>
      </c>
      <c r="E827" s="102">
        <v>0</v>
      </c>
      <c r="G827" s="102">
        <f t="shared" si="18"/>
        <v>0</v>
      </c>
      <c r="H827" s="101" t="s">
        <v>80</v>
      </c>
    </row>
    <row r="828" spans="1:8" hidden="1">
      <c r="A828" s="101" t="s">
        <v>811</v>
      </c>
      <c r="B828" s="102">
        <v>0</v>
      </c>
      <c r="C828" s="102">
        <v>575461</v>
      </c>
      <c r="D828" s="102">
        <v>575461</v>
      </c>
      <c r="E828" s="102">
        <v>0</v>
      </c>
      <c r="G828" s="102">
        <f t="shared" si="18"/>
        <v>0</v>
      </c>
      <c r="H828" s="101" t="s">
        <v>80</v>
      </c>
    </row>
    <row r="829" spans="1:8" hidden="1">
      <c r="A829" s="101" t="s">
        <v>812</v>
      </c>
      <c r="B829" s="102">
        <v>-4661</v>
      </c>
      <c r="C829" s="102">
        <v>6785</v>
      </c>
      <c r="D829" s="102">
        <v>5900</v>
      </c>
      <c r="E829" s="102">
        <v>-3776</v>
      </c>
      <c r="G829" s="102">
        <f t="shared" si="18"/>
        <v>-3776</v>
      </c>
      <c r="H829" s="101" t="s">
        <v>80</v>
      </c>
    </row>
    <row r="830" spans="1:8" hidden="1">
      <c r="A830" s="101" t="s">
        <v>404</v>
      </c>
      <c r="B830" s="102">
        <v>-6072774.5499999998</v>
      </c>
      <c r="C830" s="102">
        <v>7922794.75</v>
      </c>
      <c r="D830" s="102">
        <v>5462338.6799999997</v>
      </c>
      <c r="E830" s="102">
        <v>-3612318.48</v>
      </c>
      <c r="G830" s="102">
        <f t="shared" si="18"/>
        <v>-3612318.48</v>
      </c>
      <c r="H830" s="101" t="s">
        <v>80</v>
      </c>
    </row>
    <row r="831" spans="1:8" hidden="1">
      <c r="A831" s="101" t="s">
        <v>390</v>
      </c>
      <c r="B831" s="102">
        <v>-1270766</v>
      </c>
      <c r="C831" s="102">
        <v>1463586</v>
      </c>
      <c r="D831" s="102">
        <v>0</v>
      </c>
      <c r="E831" s="102">
        <v>192820</v>
      </c>
      <c r="G831" s="102">
        <f t="shared" si="18"/>
        <v>192820</v>
      </c>
      <c r="H831" s="101" t="s">
        <v>80</v>
      </c>
    </row>
    <row r="832" spans="1:8" hidden="1">
      <c r="A832" s="101" t="s">
        <v>1245</v>
      </c>
      <c r="B832" s="102">
        <v>0</v>
      </c>
      <c r="C832" s="102">
        <v>0</v>
      </c>
      <c r="D832" s="102">
        <v>4720</v>
      </c>
      <c r="E832" s="102">
        <v>-4720</v>
      </c>
      <c r="G832" s="102">
        <f t="shared" si="18"/>
        <v>-4720</v>
      </c>
      <c r="H832" s="101" t="s">
        <v>80</v>
      </c>
    </row>
    <row r="833" spans="1:8" hidden="1">
      <c r="A833" s="101" t="s">
        <v>269</v>
      </c>
      <c r="B833" s="102">
        <v>-74490.36</v>
      </c>
      <c r="C833" s="102">
        <v>1112</v>
      </c>
      <c r="D833" s="102">
        <v>59977</v>
      </c>
      <c r="E833" s="102">
        <v>-133355.35999999999</v>
      </c>
      <c r="G833" s="102">
        <f t="shared" si="18"/>
        <v>-133355.35999999999</v>
      </c>
      <c r="H833" s="101" t="s">
        <v>80</v>
      </c>
    </row>
    <row r="834" spans="1:8" hidden="1">
      <c r="A834" s="101" t="s">
        <v>813</v>
      </c>
      <c r="B834" s="102">
        <v>0</v>
      </c>
      <c r="C834" s="102">
        <v>10244</v>
      </c>
      <c r="D834" s="102">
        <v>10244</v>
      </c>
      <c r="E834" s="102">
        <v>0</v>
      </c>
      <c r="G834" s="102">
        <f t="shared" si="18"/>
        <v>0</v>
      </c>
      <c r="H834" s="101" t="s">
        <v>80</v>
      </c>
    </row>
    <row r="835" spans="1:8" hidden="1">
      <c r="A835" s="101" t="s">
        <v>1246</v>
      </c>
      <c r="B835" s="102">
        <v>0</v>
      </c>
      <c r="C835" s="102">
        <v>0</v>
      </c>
      <c r="D835" s="102">
        <v>0</v>
      </c>
      <c r="E835" s="102">
        <v>0</v>
      </c>
      <c r="G835" s="102">
        <f t="shared" ref="G835:G898" si="19">E835+F835</f>
        <v>0</v>
      </c>
      <c r="H835" s="101" t="s">
        <v>80</v>
      </c>
    </row>
    <row r="836" spans="1:8" hidden="1">
      <c r="A836" s="101" t="s">
        <v>1247</v>
      </c>
      <c r="B836" s="102">
        <v>0</v>
      </c>
      <c r="C836" s="102">
        <v>29500</v>
      </c>
      <c r="D836" s="102">
        <v>29500</v>
      </c>
      <c r="E836" s="102">
        <v>0</v>
      </c>
      <c r="G836" s="102">
        <f t="shared" si="19"/>
        <v>0</v>
      </c>
      <c r="H836" s="101" t="s">
        <v>80</v>
      </c>
    </row>
    <row r="837" spans="1:8" hidden="1">
      <c r="A837" s="101" t="s">
        <v>814</v>
      </c>
      <c r="B837" s="102">
        <v>-258278</v>
      </c>
      <c r="C837" s="102">
        <v>258278</v>
      </c>
      <c r="D837" s="102">
        <v>0</v>
      </c>
      <c r="E837" s="102">
        <v>0</v>
      </c>
      <c r="G837" s="102">
        <f t="shared" si="19"/>
        <v>0</v>
      </c>
      <c r="H837" s="101" t="s">
        <v>80</v>
      </c>
    </row>
    <row r="838" spans="1:8" hidden="1">
      <c r="A838" s="101" t="s">
        <v>815</v>
      </c>
      <c r="B838" s="102">
        <v>579</v>
      </c>
      <c r="C838" s="102">
        <v>67424</v>
      </c>
      <c r="D838" s="102">
        <v>68003</v>
      </c>
      <c r="E838" s="102">
        <v>0</v>
      </c>
      <c r="G838" s="102">
        <f t="shared" si="19"/>
        <v>0</v>
      </c>
      <c r="H838" s="101" t="s">
        <v>80</v>
      </c>
    </row>
    <row r="839" spans="1:8" hidden="1">
      <c r="A839" s="101" t="s">
        <v>1046</v>
      </c>
      <c r="B839" s="102">
        <v>0</v>
      </c>
      <c r="C839" s="102">
        <v>38440</v>
      </c>
      <c r="D839" s="102">
        <v>38440</v>
      </c>
      <c r="E839" s="102">
        <v>0</v>
      </c>
      <c r="G839" s="102">
        <f t="shared" si="19"/>
        <v>0</v>
      </c>
      <c r="H839" s="101" t="s">
        <v>80</v>
      </c>
    </row>
    <row r="840" spans="1:8" hidden="1">
      <c r="A840" s="101" t="s">
        <v>1248</v>
      </c>
      <c r="B840" s="102">
        <v>0</v>
      </c>
      <c r="C840" s="102">
        <v>0</v>
      </c>
      <c r="D840" s="102">
        <v>0</v>
      </c>
      <c r="E840" s="102">
        <v>0</v>
      </c>
      <c r="G840" s="102">
        <f t="shared" si="19"/>
        <v>0</v>
      </c>
      <c r="H840" s="101" t="s">
        <v>80</v>
      </c>
    </row>
    <row r="841" spans="1:8" hidden="1">
      <c r="A841" s="101" t="s">
        <v>816</v>
      </c>
      <c r="B841" s="102">
        <v>-283452</v>
      </c>
      <c r="C841" s="102">
        <v>568679</v>
      </c>
      <c r="D841" s="102">
        <v>285227</v>
      </c>
      <c r="E841" s="102">
        <v>0</v>
      </c>
      <c r="G841" s="102">
        <f t="shared" si="19"/>
        <v>0</v>
      </c>
      <c r="H841" s="101" t="s">
        <v>80</v>
      </c>
    </row>
    <row r="842" spans="1:8" hidden="1">
      <c r="A842" s="101" t="s">
        <v>817</v>
      </c>
      <c r="B842" s="102">
        <v>2601937</v>
      </c>
      <c r="C842" s="102">
        <v>0</v>
      </c>
      <c r="D842" s="102">
        <v>0</v>
      </c>
      <c r="E842" s="102">
        <v>2601937</v>
      </c>
      <c r="G842" s="102">
        <f t="shared" si="19"/>
        <v>2601937</v>
      </c>
      <c r="H842" s="101" t="s">
        <v>80</v>
      </c>
    </row>
    <row r="843" spans="1:8" hidden="1">
      <c r="A843" s="101" t="s">
        <v>1249</v>
      </c>
      <c r="B843" s="102">
        <v>0</v>
      </c>
      <c r="C843" s="102">
        <v>0</v>
      </c>
      <c r="D843" s="102">
        <v>0</v>
      </c>
      <c r="E843" s="102">
        <v>0</v>
      </c>
      <c r="G843" s="102">
        <f t="shared" si="19"/>
        <v>0</v>
      </c>
      <c r="H843" s="101" t="s">
        <v>80</v>
      </c>
    </row>
    <row r="844" spans="1:8" hidden="1">
      <c r="A844" s="101" t="s">
        <v>1250</v>
      </c>
      <c r="B844" s="102">
        <v>0</v>
      </c>
      <c r="C844" s="102">
        <v>146000.22</v>
      </c>
      <c r="D844" s="102">
        <v>146000</v>
      </c>
      <c r="E844" s="102">
        <v>0.22</v>
      </c>
      <c r="G844" s="102">
        <f t="shared" si="19"/>
        <v>0.22</v>
      </c>
      <c r="H844" s="101" t="s">
        <v>80</v>
      </c>
    </row>
    <row r="845" spans="1:8" hidden="1">
      <c r="A845" s="101" t="s">
        <v>818</v>
      </c>
      <c r="B845" s="102">
        <v>5500</v>
      </c>
      <c r="C845" s="102">
        <v>0</v>
      </c>
      <c r="D845" s="102">
        <v>0</v>
      </c>
      <c r="E845" s="102">
        <v>5500</v>
      </c>
      <c r="G845" s="102">
        <f t="shared" si="19"/>
        <v>5500</v>
      </c>
      <c r="H845" s="101" t="s">
        <v>80</v>
      </c>
    </row>
    <row r="846" spans="1:8" hidden="1">
      <c r="A846" s="101" t="s">
        <v>1476</v>
      </c>
      <c r="B846" s="102">
        <v>0</v>
      </c>
      <c r="C846" s="102">
        <v>0</v>
      </c>
      <c r="D846" s="102">
        <v>0</v>
      </c>
      <c r="E846" s="102">
        <v>0</v>
      </c>
      <c r="G846" s="102">
        <f t="shared" si="19"/>
        <v>0</v>
      </c>
      <c r="H846" s="101" t="s">
        <v>80</v>
      </c>
    </row>
    <row r="847" spans="1:8" hidden="1">
      <c r="A847" s="101" t="s">
        <v>819</v>
      </c>
      <c r="B847" s="102">
        <v>1768</v>
      </c>
      <c r="C847" s="102">
        <v>4137</v>
      </c>
      <c r="D847" s="102">
        <v>0</v>
      </c>
      <c r="E847" s="102">
        <v>5905</v>
      </c>
      <c r="G847" s="102">
        <f t="shared" si="19"/>
        <v>5905</v>
      </c>
      <c r="H847" s="101" t="s">
        <v>80</v>
      </c>
    </row>
    <row r="848" spans="1:8" hidden="1">
      <c r="A848" s="101" t="s">
        <v>820</v>
      </c>
      <c r="B848" s="102">
        <v>-40657.5</v>
      </c>
      <c r="C848" s="102">
        <v>0</v>
      </c>
      <c r="D848" s="102">
        <v>0</v>
      </c>
      <c r="E848" s="102">
        <v>-40657.5</v>
      </c>
      <c r="G848" s="102">
        <f t="shared" si="19"/>
        <v>-40657.5</v>
      </c>
      <c r="H848" s="101" t="s">
        <v>80</v>
      </c>
    </row>
    <row r="849" spans="1:8" hidden="1">
      <c r="A849" s="101" t="s">
        <v>435</v>
      </c>
      <c r="B849" s="102">
        <v>0</v>
      </c>
      <c r="C849" s="102">
        <v>14278</v>
      </c>
      <c r="D849" s="102">
        <v>14278</v>
      </c>
      <c r="E849" s="102">
        <v>0</v>
      </c>
      <c r="G849" s="102">
        <f t="shared" si="19"/>
        <v>0</v>
      </c>
      <c r="H849" s="101" t="s">
        <v>80</v>
      </c>
    </row>
    <row r="850" spans="1:8" hidden="1">
      <c r="A850" s="101" t="s">
        <v>821</v>
      </c>
      <c r="B850" s="102">
        <v>0</v>
      </c>
      <c r="C850" s="102">
        <v>423092</v>
      </c>
      <c r="D850" s="102">
        <v>1590428</v>
      </c>
      <c r="E850" s="102">
        <v>-1167336</v>
      </c>
      <c r="G850" s="102">
        <f t="shared" si="19"/>
        <v>-1167336</v>
      </c>
      <c r="H850" s="101" t="s">
        <v>80</v>
      </c>
    </row>
    <row r="851" spans="1:8" hidden="1">
      <c r="A851" s="101" t="s">
        <v>1251</v>
      </c>
      <c r="B851" s="102">
        <v>0</v>
      </c>
      <c r="C851" s="102">
        <v>36222</v>
      </c>
      <c r="D851" s="102">
        <v>36222</v>
      </c>
      <c r="E851" s="102">
        <v>0</v>
      </c>
      <c r="G851" s="102">
        <f t="shared" si="19"/>
        <v>0</v>
      </c>
      <c r="H851" s="101" t="s">
        <v>80</v>
      </c>
    </row>
    <row r="852" spans="1:8" hidden="1">
      <c r="A852" s="101" t="s">
        <v>260</v>
      </c>
      <c r="B852" s="102">
        <v>-62205</v>
      </c>
      <c r="C852" s="102">
        <v>8638</v>
      </c>
      <c r="D852" s="102">
        <v>24037</v>
      </c>
      <c r="E852" s="102">
        <v>-77604</v>
      </c>
      <c r="G852" s="102">
        <f t="shared" si="19"/>
        <v>-77604</v>
      </c>
      <c r="H852" s="101" t="s">
        <v>80</v>
      </c>
    </row>
    <row r="853" spans="1:8" hidden="1">
      <c r="A853" s="101" t="s">
        <v>1252</v>
      </c>
      <c r="B853" s="102">
        <v>0</v>
      </c>
      <c r="C853" s="102">
        <v>0</v>
      </c>
      <c r="D853" s="102">
        <v>0</v>
      </c>
      <c r="E853" s="102">
        <v>0</v>
      </c>
      <c r="G853" s="102">
        <f t="shared" si="19"/>
        <v>0</v>
      </c>
      <c r="H853" s="101" t="s">
        <v>80</v>
      </c>
    </row>
    <row r="854" spans="1:8" hidden="1">
      <c r="A854" s="101" t="s">
        <v>822</v>
      </c>
      <c r="B854" s="102">
        <v>5900</v>
      </c>
      <c r="C854" s="102">
        <v>0</v>
      </c>
      <c r="D854" s="102">
        <v>0</v>
      </c>
      <c r="E854" s="102">
        <v>5900</v>
      </c>
      <c r="G854" s="102">
        <f t="shared" si="19"/>
        <v>5900</v>
      </c>
      <c r="H854" s="101" t="s">
        <v>80</v>
      </c>
    </row>
    <row r="855" spans="1:8" hidden="1">
      <c r="A855" s="101" t="s">
        <v>1253</v>
      </c>
      <c r="B855" s="102">
        <v>0</v>
      </c>
      <c r="C855" s="102">
        <v>0</v>
      </c>
      <c r="D855" s="102">
        <v>0</v>
      </c>
      <c r="E855" s="102">
        <v>0</v>
      </c>
      <c r="G855" s="102">
        <f t="shared" si="19"/>
        <v>0</v>
      </c>
      <c r="H855" s="101" t="s">
        <v>80</v>
      </c>
    </row>
    <row r="856" spans="1:8" hidden="1">
      <c r="A856" s="101" t="s">
        <v>823</v>
      </c>
      <c r="B856" s="102">
        <v>9238234</v>
      </c>
      <c r="C856" s="102">
        <v>43000000</v>
      </c>
      <c r="D856" s="102">
        <v>0</v>
      </c>
      <c r="E856" s="102">
        <v>52238234</v>
      </c>
      <c r="G856" s="102">
        <f t="shared" si="19"/>
        <v>52238234</v>
      </c>
      <c r="H856" s="101" t="s">
        <v>80</v>
      </c>
    </row>
    <row r="857" spans="1:8" hidden="1">
      <c r="A857" s="101" t="s">
        <v>824</v>
      </c>
      <c r="B857" s="102">
        <v>-0.2</v>
      </c>
      <c r="C857" s="102">
        <v>16620</v>
      </c>
      <c r="D857" s="102">
        <v>16620</v>
      </c>
      <c r="E857" s="102">
        <v>-0.2</v>
      </c>
      <c r="G857" s="102">
        <f t="shared" si="19"/>
        <v>-0.2</v>
      </c>
      <c r="H857" s="101" t="s">
        <v>80</v>
      </c>
    </row>
    <row r="858" spans="1:8" hidden="1">
      <c r="A858" s="101" t="s">
        <v>825</v>
      </c>
      <c r="B858" s="102">
        <v>0</v>
      </c>
      <c r="C858" s="102">
        <v>119416</v>
      </c>
      <c r="D858" s="102">
        <v>119416</v>
      </c>
      <c r="E858" s="102">
        <v>0</v>
      </c>
      <c r="G858" s="102">
        <f t="shared" si="19"/>
        <v>0</v>
      </c>
      <c r="H858" s="101" t="s">
        <v>80</v>
      </c>
    </row>
    <row r="859" spans="1:8" hidden="1">
      <c r="A859" s="101" t="s">
        <v>1254</v>
      </c>
      <c r="B859" s="102">
        <v>0</v>
      </c>
      <c r="C859" s="102">
        <v>0</v>
      </c>
      <c r="D859" s="102">
        <v>24880</v>
      </c>
      <c r="E859" s="102">
        <v>-24880</v>
      </c>
      <c r="G859" s="102">
        <f t="shared" si="19"/>
        <v>-24880</v>
      </c>
      <c r="H859" s="101" t="s">
        <v>80</v>
      </c>
    </row>
    <row r="860" spans="1:8" hidden="1">
      <c r="A860" s="101" t="s">
        <v>826</v>
      </c>
      <c r="B860" s="102">
        <v>-64110</v>
      </c>
      <c r="C860" s="102">
        <v>115053</v>
      </c>
      <c r="D860" s="102">
        <v>68735</v>
      </c>
      <c r="E860" s="102">
        <v>-17792</v>
      </c>
      <c r="G860" s="102">
        <f t="shared" si="19"/>
        <v>-17792</v>
      </c>
      <c r="H860" s="101" t="s">
        <v>80</v>
      </c>
    </row>
    <row r="861" spans="1:8" hidden="1">
      <c r="A861" s="101" t="s">
        <v>249</v>
      </c>
      <c r="B861" s="102">
        <v>42147955.299999997</v>
      </c>
      <c r="C861" s="102">
        <v>0</v>
      </c>
      <c r="D861" s="102">
        <v>0</v>
      </c>
      <c r="E861" s="102">
        <v>42147955.299999997</v>
      </c>
      <c r="G861" s="102">
        <f t="shared" si="19"/>
        <v>42147955.299999997</v>
      </c>
      <c r="H861" s="101" t="s">
        <v>80</v>
      </c>
    </row>
    <row r="862" spans="1:8" hidden="1">
      <c r="A862" s="101" t="s">
        <v>248</v>
      </c>
      <c r="B862" s="102">
        <v>1092151.3400000001</v>
      </c>
      <c r="C862" s="102">
        <v>136691.79999999999</v>
      </c>
      <c r="D862" s="102">
        <v>21044198</v>
      </c>
      <c r="E862" s="102">
        <v>-19815354.859999999</v>
      </c>
      <c r="G862" s="102">
        <f t="shared" si="19"/>
        <v>-19815354.859999999</v>
      </c>
      <c r="H862" s="101" t="s">
        <v>80</v>
      </c>
    </row>
    <row r="863" spans="1:8" hidden="1">
      <c r="A863" s="101" t="s">
        <v>439</v>
      </c>
      <c r="B863" s="102">
        <v>-4548</v>
      </c>
      <c r="C863" s="102">
        <v>32805</v>
      </c>
      <c r="D863" s="102">
        <v>56928</v>
      </c>
      <c r="E863" s="102">
        <v>-28671</v>
      </c>
      <c r="G863" s="102">
        <f t="shared" si="19"/>
        <v>-28671</v>
      </c>
      <c r="H863" s="101" t="s">
        <v>80</v>
      </c>
    </row>
    <row r="864" spans="1:8" hidden="1">
      <c r="A864" s="101" t="s">
        <v>1255</v>
      </c>
      <c r="B864" s="102">
        <v>0</v>
      </c>
      <c r="C864" s="102">
        <v>3957932</v>
      </c>
      <c r="D864" s="102">
        <v>4139440</v>
      </c>
      <c r="E864" s="102">
        <v>-181508</v>
      </c>
      <c r="G864" s="102">
        <f t="shared" si="19"/>
        <v>-181508</v>
      </c>
      <c r="H864" s="101" t="s">
        <v>80</v>
      </c>
    </row>
    <row r="865" spans="1:8" hidden="1">
      <c r="A865" s="101" t="s">
        <v>1417</v>
      </c>
      <c r="B865" s="102">
        <v>0</v>
      </c>
      <c r="C865" s="102">
        <v>0</v>
      </c>
      <c r="D865" s="102">
        <v>0</v>
      </c>
      <c r="E865" s="102">
        <v>0</v>
      </c>
      <c r="G865" s="102">
        <f t="shared" si="19"/>
        <v>0</v>
      </c>
      <c r="H865" s="101" t="s">
        <v>80</v>
      </c>
    </row>
    <row r="866" spans="1:8" hidden="1">
      <c r="A866" s="101" t="s">
        <v>1256</v>
      </c>
      <c r="B866" s="102">
        <v>0</v>
      </c>
      <c r="C866" s="102">
        <v>0</v>
      </c>
      <c r="D866" s="102">
        <v>0</v>
      </c>
      <c r="E866" s="102">
        <v>0</v>
      </c>
      <c r="G866" s="102">
        <f t="shared" si="19"/>
        <v>0</v>
      </c>
      <c r="H866" s="101" t="s">
        <v>80</v>
      </c>
    </row>
    <row r="867" spans="1:8" hidden="1">
      <c r="A867" s="101" t="s">
        <v>244</v>
      </c>
      <c r="B867" s="102">
        <v>11258</v>
      </c>
      <c r="C867" s="102">
        <v>26622</v>
      </c>
      <c r="D867" s="102">
        <v>0</v>
      </c>
      <c r="E867" s="102">
        <v>37880</v>
      </c>
      <c r="G867" s="102">
        <f t="shared" si="19"/>
        <v>37880</v>
      </c>
      <c r="H867" s="101" t="s">
        <v>80</v>
      </c>
    </row>
    <row r="868" spans="1:8" hidden="1">
      <c r="A868" s="101" t="s">
        <v>245</v>
      </c>
      <c r="B868" s="102">
        <v>-203061.43</v>
      </c>
      <c r="C868" s="102">
        <v>197186</v>
      </c>
      <c r="D868" s="102">
        <v>482599</v>
      </c>
      <c r="E868" s="102">
        <v>-488474.43</v>
      </c>
      <c r="G868" s="102">
        <f t="shared" si="19"/>
        <v>-488474.43</v>
      </c>
      <c r="H868" s="101" t="s">
        <v>80</v>
      </c>
    </row>
    <row r="869" spans="1:8" hidden="1">
      <c r="A869" s="101" t="s">
        <v>1418</v>
      </c>
      <c r="B869" s="102">
        <v>0</v>
      </c>
      <c r="C869" s="102">
        <v>0</v>
      </c>
      <c r="D869" s="102">
        <v>0</v>
      </c>
      <c r="E869" s="102">
        <v>0</v>
      </c>
      <c r="G869" s="102">
        <f t="shared" si="19"/>
        <v>0</v>
      </c>
      <c r="H869" s="101" t="s">
        <v>80</v>
      </c>
    </row>
    <row r="870" spans="1:8" hidden="1">
      <c r="A870" s="101" t="s">
        <v>456</v>
      </c>
      <c r="B870" s="102">
        <v>-0.4</v>
      </c>
      <c r="C870" s="102">
        <v>0</v>
      </c>
      <c r="D870" s="102">
        <v>0</v>
      </c>
      <c r="E870" s="102">
        <v>-0.4</v>
      </c>
      <c r="G870" s="102">
        <f t="shared" si="19"/>
        <v>-0.4</v>
      </c>
      <c r="H870" s="101" t="s">
        <v>80</v>
      </c>
    </row>
    <row r="871" spans="1:8" hidden="1">
      <c r="A871" s="101" t="s">
        <v>408</v>
      </c>
      <c r="B871" s="102">
        <v>-46545.14</v>
      </c>
      <c r="C871" s="102">
        <v>47293</v>
      </c>
      <c r="D871" s="102">
        <v>44132</v>
      </c>
      <c r="E871" s="102">
        <v>-43384.14</v>
      </c>
      <c r="G871" s="102">
        <f t="shared" si="19"/>
        <v>-43384.14</v>
      </c>
      <c r="H871" s="101" t="s">
        <v>80</v>
      </c>
    </row>
    <row r="872" spans="1:8" hidden="1">
      <c r="A872" s="101" t="s">
        <v>827</v>
      </c>
      <c r="B872" s="102">
        <v>548427.9</v>
      </c>
      <c r="C872" s="102">
        <v>0</v>
      </c>
      <c r="D872" s="102">
        <v>0</v>
      </c>
      <c r="E872" s="102">
        <v>548427.9</v>
      </c>
      <c r="G872" s="102">
        <f t="shared" si="19"/>
        <v>548427.9</v>
      </c>
      <c r="H872" s="101" t="s">
        <v>80</v>
      </c>
    </row>
    <row r="873" spans="1:8" hidden="1">
      <c r="A873" s="101" t="s">
        <v>473</v>
      </c>
      <c r="B873" s="102">
        <v>-3500</v>
      </c>
      <c r="C873" s="102">
        <v>0</v>
      </c>
      <c r="D873" s="102">
        <v>0</v>
      </c>
      <c r="E873" s="102">
        <v>-3500</v>
      </c>
      <c r="G873" s="102">
        <f t="shared" si="19"/>
        <v>-3500</v>
      </c>
      <c r="H873" s="101" t="s">
        <v>80</v>
      </c>
    </row>
    <row r="874" spans="1:8" hidden="1">
      <c r="A874" s="101" t="s">
        <v>1257</v>
      </c>
      <c r="B874" s="102">
        <v>0</v>
      </c>
      <c r="C874" s="102">
        <v>0</v>
      </c>
      <c r="D874" s="102">
        <v>0</v>
      </c>
      <c r="E874" s="102">
        <v>0</v>
      </c>
      <c r="G874" s="102">
        <f t="shared" si="19"/>
        <v>0</v>
      </c>
      <c r="H874" s="101" t="s">
        <v>80</v>
      </c>
    </row>
    <row r="875" spans="1:8" hidden="1">
      <c r="A875" s="101" t="s">
        <v>241</v>
      </c>
      <c r="B875" s="102">
        <v>-311880</v>
      </c>
      <c r="C875" s="102">
        <v>0</v>
      </c>
      <c r="D875" s="102">
        <v>0</v>
      </c>
      <c r="E875" s="102">
        <v>-311880</v>
      </c>
      <c r="G875" s="102">
        <f t="shared" si="19"/>
        <v>-311880</v>
      </c>
      <c r="H875" s="101" t="s">
        <v>80</v>
      </c>
    </row>
    <row r="876" spans="1:8" hidden="1">
      <c r="A876" s="101" t="s">
        <v>828</v>
      </c>
      <c r="B876" s="102">
        <v>44975</v>
      </c>
      <c r="C876" s="102">
        <v>0</v>
      </c>
      <c r="D876" s="102">
        <v>0</v>
      </c>
      <c r="E876" s="102">
        <v>44975</v>
      </c>
      <c r="G876" s="102">
        <f t="shared" si="19"/>
        <v>44975</v>
      </c>
      <c r="H876" s="101" t="s">
        <v>80</v>
      </c>
    </row>
    <row r="877" spans="1:8" hidden="1">
      <c r="A877" s="101" t="s">
        <v>1258</v>
      </c>
      <c r="B877" s="102">
        <v>0</v>
      </c>
      <c r="C877" s="102">
        <v>0</v>
      </c>
      <c r="D877" s="102">
        <v>0</v>
      </c>
      <c r="E877" s="102">
        <v>0</v>
      </c>
      <c r="G877" s="102">
        <f t="shared" si="19"/>
        <v>0</v>
      </c>
      <c r="H877" s="101" t="s">
        <v>80</v>
      </c>
    </row>
    <row r="878" spans="1:8" hidden="1">
      <c r="A878" s="101" t="s">
        <v>1259</v>
      </c>
      <c r="B878" s="102">
        <v>0</v>
      </c>
      <c r="C878" s="102">
        <v>0</v>
      </c>
      <c r="D878" s="102">
        <v>0</v>
      </c>
      <c r="E878" s="102">
        <v>0</v>
      </c>
      <c r="G878" s="102">
        <f t="shared" si="19"/>
        <v>0</v>
      </c>
      <c r="H878" s="101" t="s">
        <v>80</v>
      </c>
    </row>
    <row r="879" spans="1:8" hidden="1">
      <c r="A879" s="101" t="s">
        <v>829</v>
      </c>
      <c r="B879" s="102">
        <v>32398</v>
      </c>
      <c r="C879" s="102">
        <v>0</v>
      </c>
      <c r="D879" s="102">
        <v>0</v>
      </c>
      <c r="E879" s="102">
        <v>32398</v>
      </c>
      <c r="G879" s="102">
        <f t="shared" si="19"/>
        <v>32398</v>
      </c>
      <c r="H879" s="101" t="s">
        <v>80</v>
      </c>
    </row>
    <row r="880" spans="1:8" hidden="1">
      <c r="A880" s="101" t="s">
        <v>830</v>
      </c>
      <c r="B880" s="102">
        <v>-1442</v>
      </c>
      <c r="C880" s="102">
        <v>0</v>
      </c>
      <c r="D880" s="102">
        <v>0</v>
      </c>
      <c r="E880" s="102">
        <v>-1442</v>
      </c>
      <c r="G880" s="102">
        <f t="shared" si="19"/>
        <v>-1442</v>
      </c>
      <c r="H880" s="101" t="s">
        <v>80</v>
      </c>
    </row>
    <row r="881" spans="1:8" hidden="1">
      <c r="A881" s="101" t="s">
        <v>1260</v>
      </c>
      <c r="B881" s="102">
        <v>0</v>
      </c>
      <c r="C881" s="102">
        <v>35745</v>
      </c>
      <c r="D881" s="102">
        <v>35745</v>
      </c>
      <c r="E881" s="102">
        <v>0</v>
      </c>
      <c r="G881" s="102">
        <f t="shared" si="19"/>
        <v>0</v>
      </c>
      <c r="H881" s="101" t="s">
        <v>80</v>
      </c>
    </row>
    <row r="882" spans="1:8" hidden="1">
      <c r="A882" s="101" t="s">
        <v>831</v>
      </c>
      <c r="B882" s="102">
        <v>-16520</v>
      </c>
      <c r="C882" s="102">
        <v>0</v>
      </c>
      <c r="D882" s="102">
        <v>0</v>
      </c>
      <c r="E882" s="102">
        <v>-16520</v>
      </c>
      <c r="G882" s="102">
        <f t="shared" si="19"/>
        <v>-16520</v>
      </c>
      <c r="H882" s="101" t="s">
        <v>80</v>
      </c>
    </row>
    <row r="883" spans="1:8" hidden="1">
      <c r="A883" s="101" t="s">
        <v>832</v>
      </c>
      <c r="B883" s="102">
        <v>16834618.210000001</v>
      </c>
      <c r="C883" s="102">
        <v>0</v>
      </c>
      <c r="D883" s="102">
        <v>0</v>
      </c>
      <c r="E883" s="102">
        <v>16834618.210000001</v>
      </c>
      <c r="G883" s="102">
        <f t="shared" si="19"/>
        <v>16834618.210000001</v>
      </c>
      <c r="H883" s="101" t="s">
        <v>80</v>
      </c>
    </row>
    <row r="884" spans="1:8" hidden="1">
      <c r="A884" s="101" t="s">
        <v>235</v>
      </c>
      <c r="B884" s="102">
        <v>-17148820.5</v>
      </c>
      <c r="C884" s="102">
        <v>0</v>
      </c>
      <c r="D884" s="102">
        <v>0</v>
      </c>
      <c r="E884" s="102">
        <v>-17148820.5</v>
      </c>
      <c r="G884" s="102">
        <f t="shared" si="19"/>
        <v>-17148820.5</v>
      </c>
      <c r="H884" s="101" t="s">
        <v>80</v>
      </c>
    </row>
    <row r="885" spans="1:8" hidden="1">
      <c r="A885" s="101" t="s">
        <v>234</v>
      </c>
      <c r="B885" s="102">
        <v>137982122.58000001</v>
      </c>
      <c r="C885" s="102">
        <v>0</v>
      </c>
      <c r="D885" s="102">
        <v>0</v>
      </c>
      <c r="E885" s="102">
        <v>137982122.58000001</v>
      </c>
      <c r="G885" s="102">
        <f t="shared" si="19"/>
        <v>137982122.58000001</v>
      </c>
      <c r="H885" s="101" t="s">
        <v>80</v>
      </c>
    </row>
    <row r="886" spans="1:8" hidden="1">
      <c r="A886" s="101" t="s">
        <v>833</v>
      </c>
      <c r="B886" s="102">
        <v>-34650</v>
      </c>
      <c r="C886" s="102">
        <v>69650</v>
      </c>
      <c r="D886" s="102">
        <v>35000</v>
      </c>
      <c r="E886" s="102">
        <v>0</v>
      </c>
      <c r="G886" s="102">
        <f t="shared" si="19"/>
        <v>0</v>
      </c>
      <c r="H886" s="101" t="s">
        <v>80</v>
      </c>
    </row>
    <row r="887" spans="1:8" hidden="1">
      <c r="A887" s="101" t="s">
        <v>834</v>
      </c>
      <c r="B887" s="102">
        <v>-43641</v>
      </c>
      <c r="C887" s="102">
        <v>39992</v>
      </c>
      <c r="D887" s="102">
        <v>206918</v>
      </c>
      <c r="E887" s="102">
        <v>-210567</v>
      </c>
      <c r="G887" s="102">
        <f t="shared" si="19"/>
        <v>-210567</v>
      </c>
      <c r="H887" s="101" t="s">
        <v>80</v>
      </c>
    </row>
    <row r="888" spans="1:8" hidden="1">
      <c r="A888" s="101" t="s">
        <v>835</v>
      </c>
      <c r="B888" s="102">
        <v>-1782</v>
      </c>
      <c r="C888" s="102">
        <v>0</v>
      </c>
      <c r="D888" s="102">
        <v>0</v>
      </c>
      <c r="E888" s="102">
        <v>-1782</v>
      </c>
      <c r="G888" s="102">
        <f t="shared" si="19"/>
        <v>-1782</v>
      </c>
      <c r="H888" s="101" t="s">
        <v>80</v>
      </c>
    </row>
    <row r="889" spans="1:8" hidden="1">
      <c r="A889" s="101" t="s">
        <v>836</v>
      </c>
      <c r="B889" s="102">
        <v>0.44</v>
      </c>
      <c r="C889" s="102">
        <v>96422</v>
      </c>
      <c r="D889" s="102">
        <v>96422</v>
      </c>
      <c r="E889" s="102">
        <v>0.44</v>
      </c>
      <c r="G889" s="102">
        <f t="shared" si="19"/>
        <v>0.44</v>
      </c>
      <c r="H889" s="101" t="s">
        <v>80</v>
      </c>
    </row>
    <row r="890" spans="1:8" hidden="1">
      <c r="A890" s="101" t="s">
        <v>1261</v>
      </c>
      <c r="B890" s="102">
        <v>0</v>
      </c>
      <c r="C890" s="102">
        <v>0</v>
      </c>
      <c r="D890" s="102">
        <v>0</v>
      </c>
      <c r="E890" s="102">
        <v>0</v>
      </c>
      <c r="G890" s="102">
        <f t="shared" si="19"/>
        <v>0</v>
      </c>
      <c r="H890" s="101" t="s">
        <v>80</v>
      </c>
    </row>
    <row r="891" spans="1:8" hidden="1">
      <c r="A891" s="101" t="s">
        <v>837</v>
      </c>
      <c r="B891" s="102">
        <v>3846</v>
      </c>
      <c r="C891" s="102">
        <v>459664</v>
      </c>
      <c r="D891" s="102">
        <v>463510</v>
      </c>
      <c r="E891" s="102">
        <v>0</v>
      </c>
      <c r="G891" s="102">
        <f t="shared" si="19"/>
        <v>0</v>
      </c>
      <c r="H891" s="101" t="s">
        <v>80</v>
      </c>
    </row>
    <row r="892" spans="1:8" hidden="1">
      <c r="A892" s="101" t="s">
        <v>838</v>
      </c>
      <c r="B892" s="102">
        <v>-0.28000000000000003</v>
      </c>
      <c r="C892" s="102">
        <v>0</v>
      </c>
      <c r="D892" s="102">
        <v>0</v>
      </c>
      <c r="E892" s="102">
        <v>-0.28000000000000003</v>
      </c>
      <c r="G892" s="102">
        <f t="shared" si="19"/>
        <v>-0.28000000000000003</v>
      </c>
      <c r="H892" s="101" t="s">
        <v>80</v>
      </c>
    </row>
    <row r="893" spans="1:8" hidden="1">
      <c r="A893" s="101" t="s">
        <v>1262</v>
      </c>
      <c r="B893" s="102">
        <v>0</v>
      </c>
      <c r="C893" s="102">
        <v>0</v>
      </c>
      <c r="D893" s="102">
        <v>0</v>
      </c>
      <c r="E893" s="102">
        <v>0</v>
      </c>
      <c r="G893" s="102">
        <f t="shared" si="19"/>
        <v>0</v>
      </c>
      <c r="H893" s="101" t="s">
        <v>80</v>
      </c>
    </row>
    <row r="894" spans="1:8" hidden="1">
      <c r="A894" s="101" t="s">
        <v>839</v>
      </c>
      <c r="B894" s="102">
        <v>-136.63</v>
      </c>
      <c r="C894" s="102">
        <v>0</v>
      </c>
      <c r="D894" s="102">
        <v>0</v>
      </c>
      <c r="E894" s="102">
        <v>-136.63</v>
      </c>
      <c r="G894" s="102">
        <f t="shared" si="19"/>
        <v>-136.63</v>
      </c>
      <c r="H894" s="101" t="s">
        <v>80</v>
      </c>
    </row>
    <row r="895" spans="1:8" hidden="1">
      <c r="A895" s="101" t="s">
        <v>1483</v>
      </c>
      <c r="B895" s="102">
        <v>0</v>
      </c>
      <c r="C895" s="102">
        <v>0</v>
      </c>
      <c r="D895" s="102">
        <v>0</v>
      </c>
      <c r="E895" s="102">
        <v>0</v>
      </c>
      <c r="G895" s="102">
        <f t="shared" si="19"/>
        <v>0</v>
      </c>
      <c r="H895" s="101" t="s">
        <v>80</v>
      </c>
    </row>
    <row r="896" spans="1:8" hidden="1">
      <c r="A896" s="101" t="s">
        <v>224</v>
      </c>
      <c r="B896" s="102">
        <v>-21780</v>
      </c>
      <c r="C896" s="102">
        <v>0</v>
      </c>
      <c r="D896" s="102">
        <v>0</v>
      </c>
      <c r="E896" s="102">
        <v>-21780</v>
      </c>
      <c r="G896" s="102">
        <f t="shared" si="19"/>
        <v>-21780</v>
      </c>
      <c r="H896" s="101" t="s">
        <v>80</v>
      </c>
    </row>
    <row r="897" spans="1:8" hidden="1">
      <c r="A897" s="101" t="s">
        <v>1263</v>
      </c>
      <c r="B897" s="102">
        <v>0</v>
      </c>
      <c r="C897" s="102">
        <v>0</v>
      </c>
      <c r="D897" s="102">
        <v>0</v>
      </c>
      <c r="E897" s="102">
        <v>0</v>
      </c>
      <c r="G897" s="102">
        <f t="shared" si="19"/>
        <v>0</v>
      </c>
      <c r="H897" s="101" t="s">
        <v>80</v>
      </c>
    </row>
    <row r="898" spans="1:8" hidden="1">
      <c r="A898" s="101" t="s">
        <v>840</v>
      </c>
      <c r="B898" s="102">
        <v>1620</v>
      </c>
      <c r="C898" s="102">
        <v>0</v>
      </c>
      <c r="D898" s="102">
        <v>0</v>
      </c>
      <c r="E898" s="102">
        <v>1620</v>
      </c>
      <c r="G898" s="102">
        <f t="shared" si="19"/>
        <v>1620</v>
      </c>
      <c r="H898" s="101" t="s">
        <v>80</v>
      </c>
    </row>
    <row r="899" spans="1:8" hidden="1">
      <c r="A899" s="101" t="s">
        <v>841</v>
      </c>
      <c r="B899" s="102">
        <v>0</v>
      </c>
      <c r="C899" s="102">
        <v>119000</v>
      </c>
      <c r="D899" s="102">
        <v>118000</v>
      </c>
      <c r="E899" s="102">
        <v>1000</v>
      </c>
      <c r="G899" s="102">
        <f t="shared" ref="G899:G962" si="20">E899+F899</f>
        <v>1000</v>
      </c>
      <c r="H899" s="101" t="s">
        <v>80</v>
      </c>
    </row>
    <row r="900" spans="1:8" hidden="1">
      <c r="A900" s="101" t="s">
        <v>222</v>
      </c>
      <c r="B900" s="102">
        <v>-517434.81</v>
      </c>
      <c r="C900" s="102">
        <v>704627</v>
      </c>
      <c r="D900" s="102">
        <v>704627</v>
      </c>
      <c r="E900" s="102">
        <v>-517434.81</v>
      </c>
      <c r="G900" s="102">
        <f t="shared" si="20"/>
        <v>-517434.81</v>
      </c>
      <c r="H900" s="101" t="s">
        <v>80</v>
      </c>
    </row>
    <row r="901" spans="1:8" hidden="1">
      <c r="A901" s="101" t="s">
        <v>1264</v>
      </c>
      <c r="B901" s="102">
        <v>0</v>
      </c>
      <c r="C901" s="102">
        <v>39853</v>
      </c>
      <c r="D901" s="102">
        <v>39853</v>
      </c>
      <c r="E901" s="102">
        <v>0</v>
      </c>
      <c r="G901" s="102">
        <f t="shared" si="20"/>
        <v>0</v>
      </c>
      <c r="H901" s="101" t="s">
        <v>80</v>
      </c>
    </row>
    <row r="902" spans="1:8" hidden="1">
      <c r="A902" s="101" t="s">
        <v>842</v>
      </c>
      <c r="B902" s="102">
        <v>1491</v>
      </c>
      <c r="C902" s="102">
        <v>206693</v>
      </c>
      <c r="D902" s="102">
        <v>208184</v>
      </c>
      <c r="E902" s="102">
        <v>0</v>
      </c>
      <c r="G902" s="102">
        <f t="shared" si="20"/>
        <v>0</v>
      </c>
      <c r="H902" s="101" t="s">
        <v>80</v>
      </c>
    </row>
    <row r="903" spans="1:8" hidden="1">
      <c r="A903" s="101" t="s">
        <v>843</v>
      </c>
      <c r="B903" s="102">
        <v>0</v>
      </c>
      <c r="C903" s="102">
        <v>0</v>
      </c>
      <c r="D903" s="102">
        <v>44722</v>
      </c>
      <c r="E903" s="102">
        <v>-44722</v>
      </c>
      <c r="G903" s="102">
        <f t="shared" si="20"/>
        <v>-44722</v>
      </c>
      <c r="H903" s="101" t="s">
        <v>80</v>
      </c>
    </row>
    <row r="904" spans="1:8" hidden="1">
      <c r="A904" s="101" t="s">
        <v>844</v>
      </c>
      <c r="B904" s="102">
        <v>-0.86</v>
      </c>
      <c r="C904" s="102">
        <v>0</v>
      </c>
      <c r="D904" s="102">
        <v>0</v>
      </c>
      <c r="E904" s="102">
        <v>-0.86</v>
      </c>
      <c r="G904" s="102">
        <f t="shared" si="20"/>
        <v>-0.86</v>
      </c>
      <c r="H904" s="101" t="s">
        <v>80</v>
      </c>
    </row>
    <row r="905" spans="1:8" hidden="1">
      <c r="A905" s="101" t="s">
        <v>845</v>
      </c>
      <c r="B905" s="102">
        <v>-400</v>
      </c>
      <c r="C905" s="102">
        <v>0</v>
      </c>
      <c r="D905" s="102">
        <v>0</v>
      </c>
      <c r="E905" s="102">
        <v>-400</v>
      </c>
      <c r="G905" s="102">
        <f t="shared" si="20"/>
        <v>-400</v>
      </c>
      <c r="H905" s="101" t="s">
        <v>80</v>
      </c>
    </row>
    <row r="906" spans="1:8" hidden="1">
      <c r="A906" s="101" t="s">
        <v>485</v>
      </c>
      <c r="B906" s="102">
        <v>-31784</v>
      </c>
      <c r="C906" s="102">
        <v>14750</v>
      </c>
      <c r="D906" s="102">
        <v>14750</v>
      </c>
      <c r="E906" s="102">
        <v>-31784</v>
      </c>
      <c r="G906" s="102">
        <f t="shared" si="20"/>
        <v>-31784</v>
      </c>
      <c r="H906" s="101" t="s">
        <v>80</v>
      </c>
    </row>
    <row r="907" spans="1:8" hidden="1">
      <c r="A907" s="101" t="s">
        <v>846</v>
      </c>
      <c r="B907" s="102">
        <v>13933</v>
      </c>
      <c r="C907" s="102">
        <v>0</v>
      </c>
      <c r="D907" s="102">
        <v>0</v>
      </c>
      <c r="E907" s="102">
        <v>13933</v>
      </c>
      <c r="G907" s="102">
        <f t="shared" si="20"/>
        <v>13933</v>
      </c>
      <c r="H907" s="101" t="s">
        <v>80</v>
      </c>
    </row>
    <row r="908" spans="1:8" hidden="1">
      <c r="A908" s="101" t="s">
        <v>1265</v>
      </c>
      <c r="B908" s="102">
        <v>0</v>
      </c>
      <c r="C908" s="102">
        <v>0</v>
      </c>
      <c r="D908" s="102">
        <v>0</v>
      </c>
      <c r="E908" s="102">
        <v>0</v>
      </c>
      <c r="G908" s="102">
        <f t="shared" si="20"/>
        <v>0</v>
      </c>
      <c r="H908" s="101" t="s">
        <v>80</v>
      </c>
    </row>
    <row r="909" spans="1:8" hidden="1">
      <c r="A909" s="101" t="s">
        <v>1266</v>
      </c>
      <c r="B909" s="102">
        <v>0</v>
      </c>
      <c r="C909" s="102">
        <v>0</v>
      </c>
      <c r="D909" s="102">
        <v>0</v>
      </c>
      <c r="E909" s="102">
        <v>0</v>
      </c>
      <c r="G909" s="102">
        <f t="shared" si="20"/>
        <v>0</v>
      </c>
      <c r="H909" s="101" t="s">
        <v>80</v>
      </c>
    </row>
    <row r="910" spans="1:8" hidden="1">
      <c r="A910" s="101" t="s">
        <v>1420</v>
      </c>
      <c r="B910" s="102">
        <v>0</v>
      </c>
      <c r="C910" s="102">
        <v>0</v>
      </c>
      <c r="D910" s="102">
        <v>0</v>
      </c>
      <c r="E910" s="102">
        <v>0</v>
      </c>
      <c r="G910" s="102">
        <f t="shared" si="20"/>
        <v>0</v>
      </c>
      <c r="H910" s="101" t="s">
        <v>80</v>
      </c>
    </row>
    <row r="911" spans="1:8" hidden="1">
      <c r="A911" s="101" t="s">
        <v>1267</v>
      </c>
      <c r="B911" s="102">
        <v>0</v>
      </c>
      <c r="C911" s="102">
        <v>0</v>
      </c>
      <c r="D911" s="102">
        <v>0</v>
      </c>
      <c r="E911" s="102">
        <v>0</v>
      </c>
      <c r="G911" s="102">
        <f t="shared" si="20"/>
        <v>0</v>
      </c>
      <c r="H911" s="101" t="s">
        <v>80</v>
      </c>
    </row>
    <row r="912" spans="1:8" hidden="1">
      <c r="A912" s="101" t="s">
        <v>1268</v>
      </c>
      <c r="B912" s="102">
        <v>0</v>
      </c>
      <c r="C912" s="102">
        <v>17700</v>
      </c>
      <c r="D912" s="102">
        <v>17700</v>
      </c>
      <c r="E912" s="102">
        <v>0</v>
      </c>
      <c r="G912" s="102">
        <f t="shared" si="20"/>
        <v>0</v>
      </c>
      <c r="H912" s="101" t="s">
        <v>80</v>
      </c>
    </row>
    <row r="913" spans="1:8" hidden="1">
      <c r="A913" s="101" t="s">
        <v>1269</v>
      </c>
      <c r="B913" s="102">
        <v>0</v>
      </c>
      <c r="C913" s="102">
        <v>0</v>
      </c>
      <c r="D913" s="102">
        <v>0</v>
      </c>
      <c r="E913" s="102">
        <v>0</v>
      </c>
      <c r="G913" s="102">
        <f t="shared" si="20"/>
        <v>0</v>
      </c>
      <c r="H913" s="101" t="s">
        <v>80</v>
      </c>
    </row>
    <row r="914" spans="1:8" hidden="1">
      <c r="A914" s="101" t="s">
        <v>1421</v>
      </c>
      <c r="B914" s="102">
        <v>0</v>
      </c>
      <c r="C914" s="102">
        <v>0</v>
      </c>
      <c r="D914" s="102">
        <v>0</v>
      </c>
      <c r="E914" s="102">
        <v>0</v>
      </c>
      <c r="G914" s="102">
        <f t="shared" si="20"/>
        <v>0</v>
      </c>
      <c r="H914" s="101" t="s">
        <v>80</v>
      </c>
    </row>
    <row r="915" spans="1:8" hidden="1">
      <c r="A915" s="101" t="s">
        <v>847</v>
      </c>
      <c r="B915" s="102">
        <v>345500</v>
      </c>
      <c r="C915" s="102">
        <v>0</v>
      </c>
      <c r="D915" s="102">
        <v>0</v>
      </c>
      <c r="E915" s="102">
        <v>345500</v>
      </c>
      <c r="G915" s="102">
        <f t="shared" si="20"/>
        <v>345500</v>
      </c>
      <c r="H915" s="101" t="s">
        <v>80</v>
      </c>
    </row>
    <row r="916" spans="1:8" hidden="1">
      <c r="A916" s="101" t="s">
        <v>848</v>
      </c>
      <c r="B916" s="102">
        <v>-2.2599999999999998</v>
      </c>
      <c r="C916" s="102">
        <v>0</v>
      </c>
      <c r="D916" s="102">
        <v>0</v>
      </c>
      <c r="E916" s="102">
        <v>-2.2599999999999998</v>
      </c>
      <c r="G916" s="102">
        <f t="shared" si="20"/>
        <v>-2.2599999999999998</v>
      </c>
      <c r="H916" s="101" t="s">
        <v>80</v>
      </c>
    </row>
    <row r="917" spans="1:8" hidden="1">
      <c r="A917" s="101" t="s">
        <v>1270</v>
      </c>
      <c r="B917" s="102">
        <v>0</v>
      </c>
      <c r="C917" s="102">
        <v>0</v>
      </c>
      <c r="D917" s="102">
        <v>0</v>
      </c>
      <c r="E917" s="102">
        <v>0</v>
      </c>
      <c r="G917" s="102">
        <f t="shared" si="20"/>
        <v>0</v>
      </c>
      <c r="H917" s="101" t="s">
        <v>80</v>
      </c>
    </row>
    <row r="918" spans="1:8" hidden="1">
      <c r="A918" s="101" t="s">
        <v>849</v>
      </c>
      <c r="B918" s="102">
        <v>-236204</v>
      </c>
      <c r="C918" s="102">
        <v>236204</v>
      </c>
      <c r="D918" s="102">
        <v>0</v>
      </c>
      <c r="E918" s="102">
        <v>0</v>
      </c>
      <c r="G918" s="102">
        <f t="shared" si="20"/>
        <v>0</v>
      </c>
      <c r="H918" s="101" t="s">
        <v>80</v>
      </c>
    </row>
    <row r="919" spans="1:8" hidden="1">
      <c r="A919" s="101" t="s">
        <v>433</v>
      </c>
      <c r="B919" s="102">
        <v>-7128</v>
      </c>
      <c r="C919" s="102">
        <v>0</v>
      </c>
      <c r="D919" s="102">
        <v>0</v>
      </c>
      <c r="E919" s="102">
        <v>-7128</v>
      </c>
      <c r="G919" s="102">
        <f t="shared" si="20"/>
        <v>-7128</v>
      </c>
      <c r="H919" s="101" t="s">
        <v>80</v>
      </c>
    </row>
    <row r="920" spans="1:8" hidden="1">
      <c r="A920" s="101" t="s">
        <v>850</v>
      </c>
      <c r="B920" s="102">
        <v>-970</v>
      </c>
      <c r="C920" s="102">
        <v>0</v>
      </c>
      <c r="D920" s="102">
        <v>0</v>
      </c>
      <c r="E920" s="102">
        <v>-970</v>
      </c>
      <c r="G920" s="102">
        <f t="shared" si="20"/>
        <v>-970</v>
      </c>
      <c r="H920" s="101" t="s">
        <v>80</v>
      </c>
    </row>
    <row r="921" spans="1:8" hidden="1">
      <c r="A921" s="101" t="s">
        <v>851</v>
      </c>
      <c r="B921" s="102">
        <v>384450</v>
      </c>
      <c r="C921" s="102">
        <v>0</v>
      </c>
      <c r="D921" s="102">
        <v>384450</v>
      </c>
      <c r="E921" s="102">
        <v>0</v>
      </c>
      <c r="G921" s="102">
        <f t="shared" si="20"/>
        <v>0</v>
      </c>
      <c r="H921" s="101" t="s">
        <v>80</v>
      </c>
    </row>
    <row r="922" spans="1:8" hidden="1">
      <c r="A922" s="101" t="s">
        <v>852</v>
      </c>
      <c r="B922" s="102">
        <v>-56901.93</v>
      </c>
      <c r="C922" s="102">
        <v>23246</v>
      </c>
      <c r="D922" s="102">
        <v>52811</v>
      </c>
      <c r="E922" s="102">
        <v>-86466.93</v>
      </c>
      <c r="G922" s="102">
        <f t="shared" si="20"/>
        <v>-86466.93</v>
      </c>
      <c r="H922" s="101" t="s">
        <v>80</v>
      </c>
    </row>
    <row r="923" spans="1:8" hidden="1">
      <c r="A923" s="101" t="s">
        <v>394</v>
      </c>
      <c r="B923" s="102">
        <v>0</v>
      </c>
      <c r="C923" s="102">
        <v>18585</v>
      </c>
      <c r="D923" s="102">
        <v>19234</v>
      </c>
      <c r="E923" s="102">
        <v>-649</v>
      </c>
      <c r="G923" s="102">
        <f t="shared" si="20"/>
        <v>-649</v>
      </c>
      <c r="H923" s="101" t="s">
        <v>80</v>
      </c>
    </row>
    <row r="924" spans="1:8" hidden="1">
      <c r="A924" s="101" t="s">
        <v>213</v>
      </c>
      <c r="B924" s="102">
        <v>1443.13</v>
      </c>
      <c r="C924" s="102">
        <v>0</v>
      </c>
      <c r="D924" s="102">
        <v>0</v>
      </c>
      <c r="E924" s="102">
        <v>1443.13</v>
      </c>
      <c r="G924" s="102">
        <f t="shared" si="20"/>
        <v>1443.13</v>
      </c>
      <c r="H924" s="101" t="s">
        <v>80</v>
      </c>
    </row>
    <row r="925" spans="1:8" hidden="1">
      <c r="A925" s="101" t="s">
        <v>212</v>
      </c>
      <c r="B925" s="102">
        <v>-10701996.76</v>
      </c>
      <c r="C925" s="102">
        <v>0</v>
      </c>
      <c r="D925" s="102">
        <v>0</v>
      </c>
      <c r="E925" s="102">
        <v>-10701996.76</v>
      </c>
      <c r="G925" s="102">
        <f t="shared" si="20"/>
        <v>-10701996.76</v>
      </c>
      <c r="H925" s="101" t="s">
        <v>80</v>
      </c>
    </row>
    <row r="926" spans="1:8" hidden="1">
      <c r="A926" s="101" t="s">
        <v>210</v>
      </c>
      <c r="B926" s="102">
        <v>-15232000</v>
      </c>
      <c r="C926" s="102">
        <v>442291917</v>
      </c>
      <c r="D926" s="102">
        <v>386733376.04000002</v>
      </c>
      <c r="E926" s="102">
        <v>40326540.960000001</v>
      </c>
      <c r="G926" s="102">
        <f t="shared" si="20"/>
        <v>40326540.960000001</v>
      </c>
      <c r="H926" s="101" t="s">
        <v>80</v>
      </c>
    </row>
    <row r="927" spans="1:8" hidden="1">
      <c r="A927" s="101" t="s">
        <v>853</v>
      </c>
      <c r="B927" s="102">
        <v>65324336.740000002</v>
      </c>
      <c r="C927" s="102">
        <v>148548</v>
      </c>
      <c r="D927" s="102">
        <v>43060447.280000001</v>
      </c>
      <c r="E927" s="102">
        <v>22412437.460000001</v>
      </c>
      <c r="G927" s="102">
        <f t="shared" si="20"/>
        <v>22412437.460000001</v>
      </c>
      <c r="H927" s="101" t="s">
        <v>80</v>
      </c>
    </row>
    <row r="928" spans="1:8" hidden="1">
      <c r="A928" s="101" t="s">
        <v>1422</v>
      </c>
      <c r="B928" s="102">
        <v>0</v>
      </c>
      <c r="C928" s="102">
        <v>0</v>
      </c>
      <c r="D928" s="102">
        <v>0</v>
      </c>
      <c r="E928" s="102">
        <v>0</v>
      </c>
      <c r="G928" s="102">
        <f t="shared" si="20"/>
        <v>0</v>
      </c>
      <c r="H928" s="101" t="s">
        <v>80</v>
      </c>
    </row>
    <row r="929" spans="1:8" hidden="1">
      <c r="A929" s="101" t="s">
        <v>209</v>
      </c>
      <c r="B929" s="102">
        <v>-800893.59</v>
      </c>
      <c r="C929" s="102">
        <v>0</v>
      </c>
      <c r="D929" s="102">
        <v>0</v>
      </c>
      <c r="E929" s="102">
        <v>-800893.59</v>
      </c>
      <c r="G929" s="102">
        <f t="shared" si="20"/>
        <v>-800893.59</v>
      </c>
      <c r="H929" s="101" t="s">
        <v>80</v>
      </c>
    </row>
    <row r="930" spans="1:8" hidden="1">
      <c r="A930" s="101" t="s">
        <v>1272</v>
      </c>
      <c r="B930" s="102">
        <v>0</v>
      </c>
      <c r="C930" s="102">
        <v>0</v>
      </c>
      <c r="D930" s="102">
        <v>0</v>
      </c>
      <c r="E930" s="102">
        <v>0</v>
      </c>
      <c r="G930" s="102">
        <f t="shared" si="20"/>
        <v>0</v>
      </c>
      <c r="H930" s="101" t="s">
        <v>80</v>
      </c>
    </row>
    <row r="931" spans="1:8" hidden="1">
      <c r="A931" s="101" t="s">
        <v>208</v>
      </c>
      <c r="B931" s="102">
        <v>50181786.509999998</v>
      </c>
      <c r="C931" s="102">
        <v>433328</v>
      </c>
      <c r="D931" s="102">
        <v>37350869.490000002</v>
      </c>
      <c r="E931" s="102">
        <v>13264245.02</v>
      </c>
      <c r="G931" s="102">
        <f t="shared" si="20"/>
        <v>13264245.02</v>
      </c>
      <c r="H931" s="101" t="s">
        <v>80</v>
      </c>
    </row>
    <row r="932" spans="1:8" hidden="1">
      <c r="A932" s="101" t="s">
        <v>1273</v>
      </c>
      <c r="B932" s="102">
        <v>0</v>
      </c>
      <c r="C932" s="102">
        <v>0</v>
      </c>
      <c r="D932" s="102">
        <v>0</v>
      </c>
      <c r="E932" s="102">
        <v>0</v>
      </c>
      <c r="G932" s="102">
        <f t="shared" si="20"/>
        <v>0</v>
      </c>
      <c r="H932" s="101" t="s">
        <v>80</v>
      </c>
    </row>
    <row r="933" spans="1:8" hidden="1">
      <c r="A933" s="101" t="s">
        <v>854</v>
      </c>
      <c r="B933" s="102">
        <v>44417.64</v>
      </c>
      <c r="C933" s="102">
        <v>0</v>
      </c>
      <c r="D933" s="102">
        <v>0</v>
      </c>
      <c r="E933" s="102">
        <v>44417.64</v>
      </c>
      <c r="G933" s="102">
        <f t="shared" si="20"/>
        <v>44417.64</v>
      </c>
      <c r="H933" s="101" t="s">
        <v>80</v>
      </c>
    </row>
    <row r="934" spans="1:8" hidden="1">
      <c r="A934" s="101" t="s">
        <v>1274</v>
      </c>
      <c r="B934" s="102">
        <v>0</v>
      </c>
      <c r="C934" s="102">
        <v>0</v>
      </c>
      <c r="D934" s="102">
        <v>0</v>
      </c>
      <c r="E934" s="102">
        <v>0</v>
      </c>
      <c r="G934" s="102">
        <f t="shared" si="20"/>
        <v>0</v>
      </c>
      <c r="H934" s="101" t="s">
        <v>80</v>
      </c>
    </row>
    <row r="935" spans="1:8" hidden="1">
      <c r="A935" s="101" t="s">
        <v>855</v>
      </c>
      <c r="B935" s="102">
        <v>-1415.11</v>
      </c>
      <c r="C935" s="102">
        <v>0</v>
      </c>
      <c r="D935" s="102">
        <v>0</v>
      </c>
      <c r="E935" s="102">
        <v>-1415.11</v>
      </c>
      <c r="G935" s="102">
        <f t="shared" si="20"/>
        <v>-1415.11</v>
      </c>
      <c r="H935" s="101" t="s">
        <v>80</v>
      </c>
    </row>
    <row r="936" spans="1:8" hidden="1">
      <c r="A936" s="101" t="s">
        <v>1275</v>
      </c>
      <c r="B936" s="102">
        <v>0</v>
      </c>
      <c r="C936" s="102">
        <v>0</v>
      </c>
      <c r="D936" s="102">
        <v>0</v>
      </c>
      <c r="E936" s="102">
        <v>0</v>
      </c>
      <c r="G936" s="102">
        <f t="shared" si="20"/>
        <v>0</v>
      </c>
      <c r="H936" s="101" t="s">
        <v>80</v>
      </c>
    </row>
    <row r="937" spans="1:8" hidden="1">
      <c r="A937" s="101" t="s">
        <v>486</v>
      </c>
      <c r="B937" s="102">
        <v>25960</v>
      </c>
      <c r="C937" s="102">
        <v>0</v>
      </c>
      <c r="D937" s="102">
        <v>25960</v>
      </c>
      <c r="E937" s="102">
        <v>0</v>
      </c>
      <c r="G937" s="102">
        <f t="shared" si="20"/>
        <v>0</v>
      </c>
      <c r="H937" s="101" t="s">
        <v>80</v>
      </c>
    </row>
    <row r="938" spans="1:8" hidden="1">
      <c r="A938" s="101" t="s">
        <v>1276</v>
      </c>
      <c r="B938" s="102">
        <v>0</v>
      </c>
      <c r="C938" s="102">
        <v>0</v>
      </c>
      <c r="D938" s="102">
        <v>0</v>
      </c>
      <c r="E938" s="102">
        <v>0</v>
      </c>
      <c r="G938" s="102">
        <f t="shared" si="20"/>
        <v>0</v>
      </c>
      <c r="H938" s="101" t="s">
        <v>80</v>
      </c>
    </row>
    <row r="939" spans="1:8" hidden="1">
      <c r="A939" s="101" t="s">
        <v>197</v>
      </c>
      <c r="B939" s="102">
        <v>-43913.23</v>
      </c>
      <c r="C939" s="102">
        <v>43913</v>
      </c>
      <c r="D939" s="102">
        <v>0</v>
      </c>
      <c r="E939" s="102">
        <v>-0.23</v>
      </c>
      <c r="G939" s="102">
        <f t="shared" si="20"/>
        <v>-0.23</v>
      </c>
      <c r="H939" s="101" t="s">
        <v>80</v>
      </c>
    </row>
    <row r="940" spans="1:8" hidden="1">
      <c r="A940" s="101" t="s">
        <v>1423</v>
      </c>
      <c r="B940" s="102">
        <v>0</v>
      </c>
      <c r="C940" s="102">
        <v>0</v>
      </c>
      <c r="D940" s="102">
        <v>0</v>
      </c>
      <c r="E940" s="102">
        <v>0</v>
      </c>
      <c r="G940" s="102">
        <f t="shared" si="20"/>
        <v>0</v>
      </c>
      <c r="H940" s="101" t="s">
        <v>80</v>
      </c>
    </row>
    <row r="941" spans="1:8" hidden="1">
      <c r="A941" s="101" t="s">
        <v>856</v>
      </c>
      <c r="B941" s="102">
        <v>2400</v>
      </c>
      <c r="C941" s="102">
        <v>0</v>
      </c>
      <c r="D941" s="102">
        <v>0</v>
      </c>
      <c r="E941" s="102">
        <v>2400</v>
      </c>
      <c r="G941" s="102">
        <f t="shared" si="20"/>
        <v>2400</v>
      </c>
      <c r="H941" s="101" t="s">
        <v>80</v>
      </c>
    </row>
    <row r="942" spans="1:8" hidden="1">
      <c r="A942" s="101" t="s">
        <v>857</v>
      </c>
      <c r="B942" s="102">
        <v>0</v>
      </c>
      <c r="C942" s="102">
        <v>14499</v>
      </c>
      <c r="D942" s="102">
        <v>41899</v>
      </c>
      <c r="E942" s="102">
        <v>-27400</v>
      </c>
      <c r="G942" s="102">
        <f t="shared" si="20"/>
        <v>-27400</v>
      </c>
      <c r="H942" s="101" t="s">
        <v>80</v>
      </c>
    </row>
    <row r="943" spans="1:8" hidden="1">
      <c r="A943" s="101" t="s">
        <v>193</v>
      </c>
      <c r="B943" s="102">
        <v>-0.34</v>
      </c>
      <c r="C943" s="102">
        <v>0</v>
      </c>
      <c r="D943" s="102">
        <v>0</v>
      </c>
      <c r="E943" s="102">
        <v>-0.34</v>
      </c>
      <c r="G943" s="102">
        <f t="shared" si="20"/>
        <v>-0.34</v>
      </c>
      <c r="H943" s="101" t="s">
        <v>80</v>
      </c>
    </row>
    <row r="944" spans="1:8" hidden="1">
      <c r="A944" s="101" t="s">
        <v>1277</v>
      </c>
      <c r="B944" s="102">
        <v>0</v>
      </c>
      <c r="C944" s="102">
        <v>0</v>
      </c>
      <c r="D944" s="102">
        <v>198050</v>
      </c>
      <c r="E944" s="102">
        <v>-198050</v>
      </c>
      <c r="G944" s="102">
        <f t="shared" si="20"/>
        <v>-198050</v>
      </c>
      <c r="H944" s="101" t="s">
        <v>80</v>
      </c>
    </row>
    <row r="945" spans="1:8" hidden="1">
      <c r="A945" s="101" t="s">
        <v>1278</v>
      </c>
      <c r="B945" s="102">
        <v>0</v>
      </c>
      <c r="C945" s="102">
        <v>100000</v>
      </c>
      <c r="D945" s="102">
        <v>0</v>
      </c>
      <c r="E945" s="102">
        <v>100000</v>
      </c>
      <c r="G945" s="102">
        <f t="shared" si="20"/>
        <v>100000</v>
      </c>
      <c r="H945" s="101" t="s">
        <v>80</v>
      </c>
    </row>
    <row r="946" spans="1:8" hidden="1">
      <c r="A946" s="101" t="s">
        <v>858</v>
      </c>
      <c r="B946" s="102">
        <v>-12949</v>
      </c>
      <c r="C946" s="102">
        <v>72415</v>
      </c>
      <c r="D946" s="102">
        <v>59466</v>
      </c>
      <c r="E946" s="102">
        <v>0</v>
      </c>
      <c r="G946" s="102">
        <f t="shared" si="20"/>
        <v>0</v>
      </c>
      <c r="H946" s="101" t="s">
        <v>80</v>
      </c>
    </row>
    <row r="947" spans="1:8" hidden="1">
      <c r="A947" s="101" t="s">
        <v>859</v>
      </c>
      <c r="B947" s="102">
        <v>0</v>
      </c>
      <c r="C947" s="102">
        <v>9086</v>
      </c>
      <c r="D947" s="102">
        <v>9086</v>
      </c>
      <c r="E947" s="102">
        <v>0</v>
      </c>
      <c r="G947" s="102">
        <f t="shared" si="20"/>
        <v>0</v>
      </c>
      <c r="H947" s="101" t="s">
        <v>80</v>
      </c>
    </row>
    <row r="948" spans="1:8" hidden="1">
      <c r="A948" s="101" t="s">
        <v>1279</v>
      </c>
      <c r="B948" s="102">
        <v>0</v>
      </c>
      <c r="C948" s="102">
        <v>0</v>
      </c>
      <c r="D948" s="102">
        <v>0</v>
      </c>
      <c r="E948" s="102">
        <v>0</v>
      </c>
      <c r="G948" s="102">
        <f t="shared" si="20"/>
        <v>0</v>
      </c>
      <c r="H948" s="101" t="s">
        <v>80</v>
      </c>
    </row>
    <row r="949" spans="1:8" hidden="1">
      <c r="A949" s="101" t="s">
        <v>438</v>
      </c>
      <c r="B949" s="102">
        <v>-4725</v>
      </c>
      <c r="C949" s="102">
        <v>0</v>
      </c>
      <c r="D949" s="102">
        <v>0</v>
      </c>
      <c r="E949" s="102">
        <v>-4725</v>
      </c>
      <c r="G949" s="102">
        <f t="shared" si="20"/>
        <v>-4725</v>
      </c>
      <c r="H949" s="101" t="s">
        <v>80</v>
      </c>
    </row>
    <row r="950" spans="1:8" hidden="1">
      <c r="A950" s="101" t="s">
        <v>860</v>
      </c>
      <c r="B950" s="102">
        <v>-2771100.1</v>
      </c>
      <c r="C950" s="102">
        <v>4729626</v>
      </c>
      <c r="D950" s="102">
        <v>2172443.31</v>
      </c>
      <c r="E950" s="102">
        <v>-213917.41</v>
      </c>
      <c r="G950" s="102">
        <f t="shared" si="20"/>
        <v>-213917.41</v>
      </c>
      <c r="H950" s="101" t="s">
        <v>80</v>
      </c>
    </row>
    <row r="951" spans="1:8" hidden="1">
      <c r="A951" s="101" t="s">
        <v>1280</v>
      </c>
      <c r="B951" s="102">
        <v>0</v>
      </c>
      <c r="C951" s="102">
        <v>0</v>
      </c>
      <c r="D951" s="102">
        <v>48380</v>
      </c>
      <c r="E951" s="102">
        <v>-48380</v>
      </c>
      <c r="G951" s="102">
        <f t="shared" si="20"/>
        <v>-48380</v>
      </c>
      <c r="H951" s="101" t="s">
        <v>80</v>
      </c>
    </row>
    <row r="952" spans="1:8" hidden="1">
      <c r="A952" s="101" t="s">
        <v>861</v>
      </c>
      <c r="B952" s="102">
        <v>-34000</v>
      </c>
      <c r="C952" s="102">
        <v>68000</v>
      </c>
      <c r="D952" s="102">
        <v>34000</v>
      </c>
      <c r="E952" s="102">
        <v>0</v>
      </c>
      <c r="G952" s="102">
        <f t="shared" si="20"/>
        <v>0</v>
      </c>
      <c r="H952" s="101" t="s">
        <v>80</v>
      </c>
    </row>
    <row r="953" spans="1:8" hidden="1">
      <c r="A953" s="101" t="s">
        <v>1487</v>
      </c>
      <c r="B953" s="102">
        <v>0</v>
      </c>
      <c r="C953" s="102">
        <v>0</v>
      </c>
      <c r="D953" s="102">
        <v>0</v>
      </c>
      <c r="E953" s="102">
        <v>0</v>
      </c>
      <c r="G953" s="102">
        <f t="shared" si="20"/>
        <v>0</v>
      </c>
      <c r="H953" s="101" t="s">
        <v>80</v>
      </c>
    </row>
    <row r="954" spans="1:8" hidden="1">
      <c r="A954" s="101" t="s">
        <v>862</v>
      </c>
      <c r="B954" s="102">
        <v>0</v>
      </c>
      <c r="C954" s="102">
        <v>32061</v>
      </c>
      <c r="D954" s="102">
        <v>32061</v>
      </c>
      <c r="E954" s="102">
        <v>0</v>
      </c>
      <c r="G954" s="102">
        <f t="shared" si="20"/>
        <v>0</v>
      </c>
      <c r="H954" s="101" t="s">
        <v>80</v>
      </c>
    </row>
    <row r="955" spans="1:8" hidden="1">
      <c r="A955" s="101" t="s">
        <v>863</v>
      </c>
      <c r="B955" s="102">
        <v>-24544</v>
      </c>
      <c r="C955" s="102">
        <v>24544</v>
      </c>
      <c r="D955" s="102">
        <v>62894</v>
      </c>
      <c r="E955" s="102">
        <v>-62894</v>
      </c>
      <c r="G955" s="102">
        <f t="shared" si="20"/>
        <v>-62894</v>
      </c>
      <c r="H955" s="101" t="s">
        <v>80</v>
      </c>
    </row>
    <row r="956" spans="1:8" hidden="1">
      <c r="A956" s="101" t="s">
        <v>864</v>
      </c>
      <c r="B956" s="102">
        <v>-0.34</v>
      </c>
      <c r="C956" s="102">
        <v>0</v>
      </c>
      <c r="D956" s="102">
        <v>0</v>
      </c>
      <c r="E956" s="102">
        <v>-0.34</v>
      </c>
      <c r="G956" s="102">
        <f t="shared" si="20"/>
        <v>-0.34</v>
      </c>
      <c r="H956" s="101" t="s">
        <v>80</v>
      </c>
    </row>
    <row r="957" spans="1:8" hidden="1">
      <c r="A957" s="101" t="s">
        <v>865</v>
      </c>
      <c r="B957" s="102">
        <v>0</v>
      </c>
      <c r="C957" s="102">
        <v>0</v>
      </c>
      <c r="D957" s="102">
        <v>62658</v>
      </c>
      <c r="E957" s="102">
        <v>-62658</v>
      </c>
      <c r="G957" s="102">
        <f t="shared" si="20"/>
        <v>-62658</v>
      </c>
      <c r="H957" s="101" t="s">
        <v>80</v>
      </c>
    </row>
    <row r="958" spans="1:8" hidden="1">
      <c r="A958" s="101" t="s">
        <v>169</v>
      </c>
      <c r="B958" s="102">
        <v>-77102</v>
      </c>
      <c r="C958" s="102">
        <v>476</v>
      </c>
      <c r="D958" s="102">
        <v>28084</v>
      </c>
      <c r="E958" s="102">
        <v>-104710</v>
      </c>
      <c r="G958" s="102">
        <f t="shared" si="20"/>
        <v>-104710</v>
      </c>
      <c r="H958" s="101" t="s">
        <v>80</v>
      </c>
    </row>
    <row r="959" spans="1:8" hidden="1">
      <c r="A959" s="101" t="s">
        <v>866</v>
      </c>
      <c r="B959" s="102">
        <v>-76080</v>
      </c>
      <c r="C959" s="102">
        <v>83780</v>
      </c>
      <c r="D959" s="102">
        <v>0</v>
      </c>
      <c r="E959" s="102">
        <v>7700</v>
      </c>
      <c r="G959" s="102">
        <f t="shared" si="20"/>
        <v>7700</v>
      </c>
      <c r="H959" s="101" t="s">
        <v>80</v>
      </c>
    </row>
    <row r="960" spans="1:8" hidden="1">
      <c r="A960" s="101" t="s">
        <v>867</v>
      </c>
      <c r="B960" s="102">
        <v>-5841.8</v>
      </c>
      <c r="C960" s="102">
        <v>11480</v>
      </c>
      <c r="D960" s="102">
        <v>5920</v>
      </c>
      <c r="E960" s="102">
        <v>-281.8</v>
      </c>
      <c r="G960" s="102">
        <f t="shared" si="20"/>
        <v>-281.8</v>
      </c>
      <c r="H960" s="101" t="s">
        <v>80</v>
      </c>
    </row>
    <row r="961" spans="1:8" hidden="1">
      <c r="A961" s="101" t="s">
        <v>1282</v>
      </c>
      <c r="B961" s="102">
        <v>0</v>
      </c>
      <c r="C961" s="102">
        <v>0</v>
      </c>
      <c r="D961" s="102">
        <v>103840</v>
      </c>
      <c r="E961" s="102">
        <v>-103840</v>
      </c>
      <c r="G961" s="102">
        <f t="shared" si="20"/>
        <v>-103840</v>
      </c>
      <c r="H961" s="101" t="s">
        <v>80</v>
      </c>
    </row>
    <row r="962" spans="1:8" hidden="1">
      <c r="A962" s="101" t="s">
        <v>868</v>
      </c>
      <c r="B962" s="102">
        <v>-0.46</v>
      </c>
      <c r="C962" s="102">
        <v>0</v>
      </c>
      <c r="D962" s="102">
        <v>0</v>
      </c>
      <c r="E962" s="102">
        <v>-0.46</v>
      </c>
      <c r="G962" s="102">
        <f t="shared" si="20"/>
        <v>-0.46</v>
      </c>
      <c r="H962" s="101" t="s">
        <v>80</v>
      </c>
    </row>
    <row r="963" spans="1:8" hidden="1">
      <c r="A963" s="101" t="s">
        <v>470</v>
      </c>
      <c r="B963" s="102">
        <v>-444860</v>
      </c>
      <c r="C963" s="102">
        <v>439180</v>
      </c>
      <c r="D963" s="102">
        <v>178180</v>
      </c>
      <c r="E963" s="102">
        <v>-183860</v>
      </c>
      <c r="G963" s="102">
        <f t="shared" ref="G963:G1026" si="21">E963+F963</f>
        <v>-183860</v>
      </c>
      <c r="H963" s="101" t="s">
        <v>80</v>
      </c>
    </row>
    <row r="964" spans="1:8" hidden="1">
      <c r="A964" s="101" t="s">
        <v>869</v>
      </c>
      <c r="B964" s="102">
        <v>-41849.269999999997</v>
      </c>
      <c r="C964" s="102">
        <v>91299</v>
      </c>
      <c r="D964" s="102">
        <v>92844</v>
      </c>
      <c r="E964" s="102">
        <v>-43394.27</v>
      </c>
      <c r="G964" s="102">
        <f t="shared" si="21"/>
        <v>-43394.27</v>
      </c>
      <c r="H964" s="101" t="s">
        <v>80</v>
      </c>
    </row>
    <row r="965" spans="1:8" hidden="1">
      <c r="A965" s="101" t="s">
        <v>870</v>
      </c>
      <c r="B965" s="102">
        <v>0</v>
      </c>
      <c r="C965" s="102">
        <v>13570</v>
      </c>
      <c r="D965" s="102">
        <v>13570</v>
      </c>
      <c r="E965" s="102">
        <v>0</v>
      </c>
      <c r="G965" s="102">
        <f t="shared" si="21"/>
        <v>0</v>
      </c>
      <c r="H965" s="101" t="s">
        <v>80</v>
      </c>
    </row>
    <row r="966" spans="1:8" hidden="1">
      <c r="A966" s="101" t="s">
        <v>871</v>
      </c>
      <c r="B966" s="102">
        <v>2520</v>
      </c>
      <c r="C966" s="102">
        <v>0</v>
      </c>
      <c r="D966" s="102">
        <v>0</v>
      </c>
      <c r="E966" s="102">
        <v>2520</v>
      </c>
      <c r="G966" s="102">
        <f t="shared" si="21"/>
        <v>2520</v>
      </c>
      <c r="H966" s="101" t="s">
        <v>80</v>
      </c>
    </row>
    <row r="967" spans="1:8" hidden="1">
      <c r="A967" s="101" t="s">
        <v>872</v>
      </c>
      <c r="B967" s="102">
        <v>-3885</v>
      </c>
      <c r="C967" s="102">
        <v>83759</v>
      </c>
      <c r="D967" s="102">
        <v>83760</v>
      </c>
      <c r="E967" s="102">
        <v>-3886</v>
      </c>
      <c r="G967" s="102">
        <f t="shared" si="21"/>
        <v>-3886</v>
      </c>
      <c r="H967" s="101" t="s">
        <v>80</v>
      </c>
    </row>
    <row r="968" spans="1:8" hidden="1">
      <c r="A968" s="101" t="s">
        <v>1283</v>
      </c>
      <c r="B968" s="102">
        <v>0</v>
      </c>
      <c r="C968" s="102">
        <v>0</v>
      </c>
      <c r="D968" s="102">
        <v>165714</v>
      </c>
      <c r="E968" s="102">
        <v>-165714</v>
      </c>
      <c r="G968" s="102">
        <f t="shared" si="21"/>
        <v>-165714</v>
      </c>
      <c r="H968" s="101" t="s">
        <v>80</v>
      </c>
    </row>
    <row r="969" spans="1:8" hidden="1">
      <c r="A969" s="101" t="s">
        <v>1284</v>
      </c>
      <c r="B969" s="102">
        <v>0</v>
      </c>
      <c r="C969" s="102">
        <v>0</v>
      </c>
      <c r="D969" s="102">
        <v>0</v>
      </c>
      <c r="E969" s="102">
        <v>0</v>
      </c>
      <c r="G969" s="102">
        <f t="shared" si="21"/>
        <v>0</v>
      </c>
      <c r="H969" s="101" t="s">
        <v>80</v>
      </c>
    </row>
    <row r="970" spans="1:8" hidden="1">
      <c r="A970" s="101" t="s">
        <v>1489</v>
      </c>
      <c r="B970" s="102">
        <v>0</v>
      </c>
      <c r="C970" s="102">
        <v>0</v>
      </c>
      <c r="D970" s="102">
        <v>0</v>
      </c>
      <c r="E970" s="102">
        <v>0</v>
      </c>
      <c r="G970" s="102">
        <f t="shared" si="21"/>
        <v>0</v>
      </c>
      <c r="H970" s="101" t="s">
        <v>80</v>
      </c>
    </row>
    <row r="971" spans="1:8" hidden="1">
      <c r="A971" s="101" t="s">
        <v>873</v>
      </c>
      <c r="B971" s="102">
        <v>-8191.48</v>
      </c>
      <c r="C971" s="102">
        <v>22200</v>
      </c>
      <c r="D971" s="102">
        <v>22200</v>
      </c>
      <c r="E971" s="102">
        <v>-8191.48</v>
      </c>
      <c r="G971" s="102">
        <f t="shared" si="21"/>
        <v>-8191.48</v>
      </c>
      <c r="H971" s="101" t="s">
        <v>80</v>
      </c>
    </row>
    <row r="972" spans="1:8" hidden="1">
      <c r="A972" s="101" t="s">
        <v>874</v>
      </c>
      <c r="B972" s="102">
        <v>-49400</v>
      </c>
      <c r="C972" s="102">
        <v>49400</v>
      </c>
      <c r="D972" s="102">
        <v>0</v>
      </c>
      <c r="E972" s="102">
        <v>0</v>
      </c>
      <c r="G972" s="102">
        <f t="shared" si="21"/>
        <v>0</v>
      </c>
      <c r="H972" s="101" t="s">
        <v>80</v>
      </c>
    </row>
    <row r="973" spans="1:8" hidden="1">
      <c r="A973" s="101" t="s">
        <v>875</v>
      </c>
      <c r="B973" s="102">
        <v>0</v>
      </c>
      <c r="C973" s="102">
        <v>14650</v>
      </c>
      <c r="D973" s="102">
        <v>14650</v>
      </c>
      <c r="E973" s="102">
        <v>0</v>
      </c>
      <c r="G973" s="102">
        <f t="shared" si="21"/>
        <v>0</v>
      </c>
      <c r="H973" s="101" t="s">
        <v>80</v>
      </c>
    </row>
    <row r="974" spans="1:8" hidden="1">
      <c r="A974" s="101" t="s">
        <v>1285</v>
      </c>
      <c r="B974" s="102">
        <v>0</v>
      </c>
      <c r="C974" s="102">
        <v>0</v>
      </c>
      <c r="D974" s="102">
        <v>21240</v>
      </c>
      <c r="E974" s="102">
        <v>-21240</v>
      </c>
      <c r="G974" s="102">
        <f t="shared" si="21"/>
        <v>-21240</v>
      </c>
      <c r="H974" s="101" t="s">
        <v>80</v>
      </c>
    </row>
    <row r="975" spans="1:8" hidden="1">
      <c r="A975" s="101" t="s">
        <v>876</v>
      </c>
      <c r="B975" s="102">
        <v>-1386</v>
      </c>
      <c r="C975" s="102">
        <v>0</v>
      </c>
      <c r="D975" s="102">
        <v>2950</v>
      </c>
      <c r="E975" s="102">
        <v>-4336</v>
      </c>
      <c r="G975" s="102">
        <f t="shared" si="21"/>
        <v>-4336</v>
      </c>
      <c r="H975" s="101" t="s">
        <v>80</v>
      </c>
    </row>
    <row r="976" spans="1:8" hidden="1">
      <c r="A976" s="101" t="s">
        <v>877</v>
      </c>
      <c r="B976" s="102">
        <v>790350</v>
      </c>
      <c r="C976" s="102">
        <v>0</v>
      </c>
      <c r="D976" s="102">
        <v>0</v>
      </c>
      <c r="E976" s="102">
        <v>790350</v>
      </c>
      <c r="G976" s="102">
        <f t="shared" si="21"/>
        <v>790350</v>
      </c>
      <c r="H976" s="101" t="s">
        <v>80</v>
      </c>
    </row>
    <row r="977" spans="1:8" hidden="1">
      <c r="A977" s="101" t="s">
        <v>878</v>
      </c>
      <c r="B977" s="102">
        <v>-18682.599999999999</v>
      </c>
      <c r="C977" s="102">
        <v>0</v>
      </c>
      <c r="D977" s="102">
        <v>0</v>
      </c>
      <c r="E977" s="102">
        <v>-18682.599999999999</v>
      </c>
      <c r="G977" s="102">
        <f t="shared" si="21"/>
        <v>-18682.599999999999</v>
      </c>
      <c r="H977" s="101" t="s">
        <v>80</v>
      </c>
    </row>
    <row r="978" spans="1:8" hidden="1">
      <c r="A978" s="101" t="s">
        <v>487</v>
      </c>
      <c r="B978" s="102">
        <v>-141412</v>
      </c>
      <c r="C978" s="102">
        <v>181327</v>
      </c>
      <c r="D978" s="102">
        <v>87580</v>
      </c>
      <c r="E978" s="102">
        <v>-47665</v>
      </c>
      <c r="G978" s="102">
        <f t="shared" si="21"/>
        <v>-47665</v>
      </c>
      <c r="H978" s="101" t="s">
        <v>80</v>
      </c>
    </row>
    <row r="979" spans="1:8" hidden="1">
      <c r="A979" s="101" t="s">
        <v>488</v>
      </c>
      <c r="B979" s="102">
        <v>0</v>
      </c>
      <c r="C979" s="102">
        <v>0</v>
      </c>
      <c r="D979" s="102">
        <v>7875</v>
      </c>
      <c r="E979" s="102">
        <v>-7875</v>
      </c>
      <c r="G979" s="102">
        <f t="shared" si="21"/>
        <v>-7875</v>
      </c>
      <c r="H979" s="101" t="s">
        <v>80</v>
      </c>
    </row>
    <row r="980" spans="1:8" hidden="1">
      <c r="A980" s="101" t="s">
        <v>400</v>
      </c>
      <c r="B980" s="102">
        <v>-392656</v>
      </c>
      <c r="C980" s="102">
        <v>507369</v>
      </c>
      <c r="D980" s="102">
        <v>458289</v>
      </c>
      <c r="E980" s="102">
        <v>-343576</v>
      </c>
      <c r="G980" s="102">
        <f t="shared" si="21"/>
        <v>-343576</v>
      </c>
      <c r="H980" s="101" t="s">
        <v>80</v>
      </c>
    </row>
    <row r="981" spans="1:8" hidden="1">
      <c r="A981" s="101" t="s">
        <v>879</v>
      </c>
      <c r="B981" s="102">
        <v>0</v>
      </c>
      <c r="C981" s="102">
        <v>16095</v>
      </c>
      <c r="D981" s="102">
        <v>16095</v>
      </c>
      <c r="E981" s="102">
        <v>0</v>
      </c>
      <c r="G981" s="102">
        <f t="shared" si="21"/>
        <v>0</v>
      </c>
      <c r="H981" s="101" t="s">
        <v>80</v>
      </c>
    </row>
    <row r="982" spans="1:8" hidden="1">
      <c r="A982" s="101" t="s">
        <v>1524</v>
      </c>
      <c r="B982" s="102">
        <v>0</v>
      </c>
      <c r="C982" s="102">
        <v>0</v>
      </c>
      <c r="D982" s="102">
        <v>0</v>
      </c>
      <c r="E982" s="102">
        <v>0</v>
      </c>
      <c r="G982" s="102">
        <f t="shared" si="21"/>
        <v>0</v>
      </c>
      <c r="H982" s="101" t="s">
        <v>80</v>
      </c>
    </row>
    <row r="983" spans="1:8" hidden="1">
      <c r="A983" s="101" t="s">
        <v>427</v>
      </c>
      <c r="B983" s="102">
        <v>9031787.25</v>
      </c>
      <c r="C983" s="102">
        <v>352112</v>
      </c>
      <c r="D983" s="102">
        <v>291408</v>
      </c>
      <c r="E983" s="102">
        <v>9092491.25</v>
      </c>
      <c r="G983" s="102">
        <f t="shared" si="21"/>
        <v>9092491.25</v>
      </c>
      <c r="H983" s="101" t="s">
        <v>80</v>
      </c>
    </row>
    <row r="984" spans="1:8" hidden="1">
      <c r="A984" s="101" t="s">
        <v>449</v>
      </c>
      <c r="B984" s="102">
        <v>0</v>
      </c>
      <c r="C984" s="102">
        <v>226023</v>
      </c>
      <c r="D984" s="102">
        <v>226023</v>
      </c>
      <c r="E984" s="102">
        <v>0</v>
      </c>
      <c r="G984" s="102">
        <f t="shared" si="21"/>
        <v>0</v>
      </c>
      <c r="H984" s="101" t="s">
        <v>80</v>
      </c>
    </row>
    <row r="985" spans="1:8" hidden="1">
      <c r="A985" s="101" t="s">
        <v>880</v>
      </c>
      <c r="B985" s="102">
        <v>-57819</v>
      </c>
      <c r="C985" s="102">
        <v>60180</v>
      </c>
      <c r="D985" s="102">
        <v>0</v>
      </c>
      <c r="E985" s="102">
        <v>2361</v>
      </c>
      <c r="G985" s="102">
        <f t="shared" si="21"/>
        <v>2361</v>
      </c>
      <c r="H985" s="101" t="s">
        <v>80</v>
      </c>
    </row>
    <row r="986" spans="1:8" hidden="1">
      <c r="A986" s="101" t="s">
        <v>1286</v>
      </c>
      <c r="B986" s="102">
        <v>0</v>
      </c>
      <c r="C986" s="102">
        <v>286972</v>
      </c>
      <c r="D986" s="102">
        <v>286972</v>
      </c>
      <c r="E986" s="102">
        <v>0</v>
      </c>
      <c r="G986" s="102">
        <f t="shared" si="21"/>
        <v>0</v>
      </c>
      <c r="H986" s="101" t="s">
        <v>80</v>
      </c>
    </row>
    <row r="987" spans="1:8" hidden="1">
      <c r="A987" s="101" t="s">
        <v>1047</v>
      </c>
      <c r="B987" s="102">
        <v>7118.1</v>
      </c>
      <c r="C987" s="102">
        <v>0</v>
      </c>
      <c r="D987" s="102">
        <v>0</v>
      </c>
      <c r="E987" s="102">
        <v>7118.1</v>
      </c>
      <c r="G987" s="102">
        <f t="shared" si="21"/>
        <v>7118.1</v>
      </c>
      <c r="H987" s="101" t="s">
        <v>80</v>
      </c>
    </row>
    <row r="988" spans="1:8" hidden="1">
      <c r="A988" s="101" t="s">
        <v>1287</v>
      </c>
      <c r="B988" s="102">
        <v>0</v>
      </c>
      <c r="C988" s="102">
        <v>0</v>
      </c>
      <c r="D988" s="102">
        <v>0</v>
      </c>
      <c r="E988" s="102">
        <v>0</v>
      </c>
      <c r="G988" s="102">
        <f t="shared" si="21"/>
        <v>0</v>
      </c>
      <c r="H988" s="101" t="s">
        <v>80</v>
      </c>
    </row>
    <row r="989" spans="1:8" hidden="1">
      <c r="A989" s="101" t="s">
        <v>881</v>
      </c>
      <c r="B989" s="102">
        <v>6162</v>
      </c>
      <c r="C989" s="102">
        <v>500000</v>
      </c>
      <c r="D989" s="102">
        <v>0</v>
      </c>
      <c r="E989" s="102">
        <v>506162</v>
      </c>
      <c r="G989" s="102">
        <f t="shared" si="21"/>
        <v>506162</v>
      </c>
      <c r="H989" s="101" t="s">
        <v>80</v>
      </c>
    </row>
    <row r="990" spans="1:8" hidden="1">
      <c r="A990" s="101" t="s">
        <v>882</v>
      </c>
      <c r="B990" s="102">
        <v>-6200</v>
      </c>
      <c r="C990" s="102">
        <v>12400</v>
      </c>
      <c r="D990" s="102">
        <v>12400</v>
      </c>
      <c r="E990" s="102">
        <v>-6200</v>
      </c>
      <c r="G990" s="102">
        <f t="shared" si="21"/>
        <v>-6200</v>
      </c>
      <c r="H990" s="101" t="s">
        <v>80</v>
      </c>
    </row>
    <row r="991" spans="1:8" hidden="1">
      <c r="A991" s="101" t="s">
        <v>883</v>
      </c>
      <c r="B991" s="102">
        <v>-17244</v>
      </c>
      <c r="C991" s="102">
        <v>0</v>
      </c>
      <c r="D991" s="102">
        <v>0</v>
      </c>
      <c r="E991" s="102">
        <v>-17244</v>
      </c>
      <c r="G991" s="102">
        <f t="shared" si="21"/>
        <v>-17244</v>
      </c>
      <c r="H991" s="101" t="s">
        <v>80</v>
      </c>
    </row>
    <row r="992" spans="1:8" hidden="1">
      <c r="A992" s="101" t="s">
        <v>154</v>
      </c>
      <c r="B992" s="102">
        <v>-188280.18</v>
      </c>
      <c r="C992" s="102">
        <v>376000</v>
      </c>
      <c r="D992" s="102">
        <v>188800</v>
      </c>
      <c r="E992" s="102">
        <v>-1080.18</v>
      </c>
      <c r="G992" s="102">
        <f t="shared" si="21"/>
        <v>-1080.18</v>
      </c>
      <c r="H992" s="101" t="s">
        <v>80</v>
      </c>
    </row>
    <row r="993" spans="1:8" hidden="1">
      <c r="A993" s="101" t="s">
        <v>884</v>
      </c>
      <c r="B993" s="102">
        <v>8785.2000000000007</v>
      </c>
      <c r="C993" s="102">
        <v>0</v>
      </c>
      <c r="D993" s="102">
        <v>0</v>
      </c>
      <c r="E993" s="102">
        <v>8785.2000000000007</v>
      </c>
      <c r="G993" s="102">
        <f t="shared" si="21"/>
        <v>8785.2000000000007</v>
      </c>
      <c r="H993" s="101" t="s">
        <v>80</v>
      </c>
    </row>
    <row r="994" spans="1:8" hidden="1">
      <c r="A994" s="101" t="s">
        <v>1288</v>
      </c>
      <c r="B994" s="102">
        <v>0</v>
      </c>
      <c r="C994" s="102">
        <v>100890</v>
      </c>
      <c r="D994" s="102">
        <v>100890</v>
      </c>
      <c r="E994" s="102">
        <v>0</v>
      </c>
      <c r="G994" s="102">
        <f t="shared" si="21"/>
        <v>0</v>
      </c>
      <c r="H994" s="101" t="s">
        <v>80</v>
      </c>
    </row>
    <row r="995" spans="1:8" hidden="1">
      <c r="A995" s="101" t="s">
        <v>512</v>
      </c>
      <c r="B995" s="102">
        <v>-146216</v>
      </c>
      <c r="C995" s="102">
        <v>164615</v>
      </c>
      <c r="D995" s="102">
        <v>18399</v>
      </c>
      <c r="E995" s="102">
        <v>0</v>
      </c>
      <c r="G995" s="102">
        <f t="shared" si="21"/>
        <v>0</v>
      </c>
      <c r="H995" s="101" t="s">
        <v>80</v>
      </c>
    </row>
    <row r="996" spans="1:8" hidden="1">
      <c r="A996" s="101" t="s">
        <v>885</v>
      </c>
      <c r="B996" s="102">
        <v>65785</v>
      </c>
      <c r="C996" s="102">
        <v>0</v>
      </c>
      <c r="D996" s="102">
        <v>0</v>
      </c>
      <c r="E996" s="102">
        <v>65785</v>
      </c>
      <c r="G996" s="102">
        <f t="shared" si="21"/>
        <v>65785</v>
      </c>
      <c r="H996" s="101" t="s">
        <v>80</v>
      </c>
    </row>
    <row r="997" spans="1:8" hidden="1">
      <c r="A997" s="101" t="s">
        <v>886</v>
      </c>
      <c r="B997" s="102">
        <v>-6720</v>
      </c>
      <c r="C997" s="102">
        <v>0</v>
      </c>
      <c r="D997" s="102">
        <v>0</v>
      </c>
      <c r="E997" s="102">
        <v>-6720</v>
      </c>
      <c r="G997" s="102">
        <f t="shared" si="21"/>
        <v>-6720</v>
      </c>
      <c r="H997" s="101" t="s">
        <v>80</v>
      </c>
    </row>
    <row r="998" spans="1:8" hidden="1">
      <c r="A998" s="101" t="s">
        <v>1289</v>
      </c>
      <c r="B998" s="102">
        <v>0</v>
      </c>
      <c r="C998" s="102">
        <v>14750</v>
      </c>
      <c r="D998" s="102">
        <v>0</v>
      </c>
      <c r="E998" s="102">
        <v>14750</v>
      </c>
      <c r="G998" s="102">
        <f t="shared" si="21"/>
        <v>14750</v>
      </c>
      <c r="H998" s="101" t="s">
        <v>80</v>
      </c>
    </row>
    <row r="999" spans="1:8" hidden="1">
      <c r="A999" s="101" t="s">
        <v>1290</v>
      </c>
      <c r="B999" s="102">
        <v>0</v>
      </c>
      <c r="C999" s="102">
        <v>0</v>
      </c>
      <c r="D999" s="102">
        <v>0</v>
      </c>
      <c r="E999" s="102">
        <v>0</v>
      </c>
      <c r="G999" s="102">
        <f t="shared" si="21"/>
        <v>0</v>
      </c>
      <c r="H999" s="101" t="s">
        <v>80</v>
      </c>
    </row>
    <row r="1000" spans="1:8" hidden="1">
      <c r="A1000" s="101" t="s">
        <v>887</v>
      </c>
      <c r="B1000" s="102">
        <v>0</v>
      </c>
      <c r="C1000" s="102">
        <v>269162</v>
      </c>
      <c r="D1000" s="102">
        <v>474708</v>
      </c>
      <c r="E1000" s="102">
        <v>-205546</v>
      </c>
      <c r="G1000" s="102">
        <f t="shared" si="21"/>
        <v>-205546</v>
      </c>
      <c r="H1000" s="101" t="s">
        <v>80</v>
      </c>
    </row>
    <row r="1001" spans="1:8" hidden="1">
      <c r="A1001" s="101" t="s">
        <v>1291</v>
      </c>
      <c r="B1001" s="102">
        <v>0</v>
      </c>
      <c r="C1001" s="102">
        <v>0</v>
      </c>
      <c r="D1001" s="102">
        <v>0</v>
      </c>
      <c r="E1001" s="102">
        <v>0</v>
      </c>
      <c r="G1001" s="102">
        <f t="shared" si="21"/>
        <v>0</v>
      </c>
      <c r="H1001" s="101" t="s">
        <v>80</v>
      </c>
    </row>
    <row r="1002" spans="1:8" hidden="1">
      <c r="A1002" s="101" t="s">
        <v>300</v>
      </c>
      <c r="B1002" s="102">
        <v>497669</v>
      </c>
      <c r="C1002" s="102">
        <v>2019</v>
      </c>
      <c r="D1002" s="102">
        <v>117321</v>
      </c>
      <c r="E1002" s="102">
        <v>382367</v>
      </c>
      <c r="G1002" s="102">
        <f t="shared" si="21"/>
        <v>382367</v>
      </c>
      <c r="H1002" s="101" t="s">
        <v>80</v>
      </c>
    </row>
    <row r="1003" spans="1:8" hidden="1">
      <c r="A1003" s="101" t="s">
        <v>453</v>
      </c>
      <c r="B1003" s="102">
        <v>-1539.42</v>
      </c>
      <c r="C1003" s="102">
        <v>255</v>
      </c>
      <c r="D1003" s="102">
        <v>15078</v>
      </c>
      <c r="E1003" s="102">
        <v>-16362.42</v>
      </c>
      <c r="G1003" s="102">
        <f t="shared" si="21"/>
        <v>-16362.42</v>
      </c>
      <c r="H1003" s="101" t="s">
        <v>80</v>
      </c>
    </row>
    <row r="1004" spans="1:8" hidden="1">
      <c r="A1004" s="101" t="s">
        <v>888</v>
      </c>
      <c r="B1004" s="102">
        <v>-40</v>
      </c>
      <c r="C1004" s="102">
        <v>0</v>
      </c>
      <c r="D1004" s="102">
        <v>0</v>
      </c>
      <c r="E1004" s="102">
        <v>-40</v>
      </c>
      <c r="G1004" s="102">
        <f t="shared" si="21"/>
        <v>-40</v>
      </c>
      <c r="H1004" s="101" t="s">
        <v>80</v>
      </c>
    </row>
    <row r="1005" spans="1:8" hidden="1">
      <c r="A1005" s="101" t="s">
        <v>292</v>
      </c>
      <c r="B1005" s="102">
        <v>-2000</v>
      </c>
      <c r="C1005" s="102">
        <v>0</v>
      </c>
      <c r="D1005" s="102">
        <v>0</v>
      </c>
      <c r="E1005" s="102">
        <v>-2000</v>
      </c>
      <c r="G1005" s="102">
        <f t="shared" si="21"/>
        <v>-2000</v>
      </c>
      <c r="H1005" s="101" t="s">
        <v>80</v>
      </c>
    </row>
    <row r="1006" spans="1:8" hidden="1">
      <c r="A1006" s="101" t="s">
        <v>889</v>
      </c>
      <c r="B1006" s="102">
        <v>-8280</v>
      </c>
      <c r="C1006" s="102">
        <v>8280</v>
      </c>
      <c r="D1006" s="102">
        <v>0</v>
      </c>
      <c r="E1006" s="102">
        <v>0</v>
      </c>
      <c r="G1006" s="102">
        <f t="shared" si="21"/>
        <v>0</v>
      </c>
      <c r="H1006" s="101" t="s">
        <v>80</v>
      </c>
    </row>
    <row r="1007" spans="1:8" hidden="1">
      <c r="A1007" s="101" t="s">
        <v>285</v>
      </c>
      <c r="B1007" s="102">
        <v>-610</v>
      </c>
      <c r="C1007" s="102">
        <v>0</v>
      </c>
      <c r="D1007" s="102">
        <v>0</v>
      </c>
      <c r="E1007" s="102">
        <v>-610</v>
      </c>
      <c r="G1007" s="102">
        <f t="shared" si="21"/>
        <v>-610</v>
      </c>
      <c r="H1007" s="101" t="s">
        <v>80</v>
      </c>
    </row>
    <row r="1008" spans="1:8" hidden="1">
      <c r="A1008" s="101" t="s">
        <v>289</v>
      </c>
      <c r="B1008" s="102">
        <v>-59895</v>
      </c>
      <c r="C1008" s="102">
        <v>98895</v>
      </c>
      <c r="D1008" s="102">
        <v>39000</v>
      </c>
      <c r="E1008" s="102">
        <v>0</v>
      </c>
      <c r="G1008" s="102">
        <f t="shared" si="21"/>
        <v>0</v>
      </c>
      <c r="H1008" s="101" t="s">
        <v>80</v>
      </c>
    </row>
    <row r="1009" spans="1:8" hidden="1">
      <c r="A1009" s="101" t="s">
        <v>1292</v>
      </c>
      <c r="B1009" s="102">
        <v>0</v>
      </c>
      <c r="C1009" s="102">
        <v>0</v>
      </c>
      <c r="D1009" s="102">
        <v>0</v>
      </c>
      <c r="E1009" s="102">
        <v>0</v>
      </c>
      <c r="G1009" s="102">
        <f t="shared" si="21"/>
        <v>0</v>
      </c>
      <c r="H1009" s="101" t="s">
        <v>80</v>
      </c>
    </row>
    <row r="1010" spans="1:8" hidden="1">
      <c r="A1010" s="101" t="s">
        <v>489</v>
      </c>
      <c r="B1010" s="102">
        <v>102</v>
      </c>
      <c r="C1010" s="102">
        <v>37260</v>
      </c>
      <c r="D1010" s="102">
        <v>37362</v>
      </c>
      <c r="E1010" s="102">
        <v>0</v>
      </c>
      <c r="G1010" s="102">
        <f t="shared" si="21"/>
        <v>0</v>
      </c>
      <c r="H1010" s="101" t="s">
        <v>80</v>
      </c>
    </row>
    <row r="1011" spans="1:8" hidden="1">
      <c r="A1011" s="101" t="s">
        <v>282</v>
      </c>
      <c r="B1011" s="102">
        <v>445</v>
      </c>
      <c r="C1011" s="102">
        <v>118083</v>
      </c>
      <c r="D1011" s="102">
        <v>118528</v>
      </c>
      <c r="E1011" s="102">
        <v>0</v>
      </c>
      <c r="G1011" s="102">
        <f t="shared" si="21"/>
        <v>0</v>
      </c>
      <c r="H1011" s="101" t="s">
        <v>80</v>
      </c>
    </row>
    <row r="1012" spans="1:8" hidden="1">
      <c r="A1012" s="101" t="s">
        <v>523</v>
      </c>
      <c r="B1012" s="102">
        <v>-281496</v>
      </c>
      <c r="C1012" s="102">
        <v>657172</v>
      </c>
      <c r="D1012" s="102">
        <v>375676</v>
      </c>
      <c r="E1012" s="102">
        <v>0</v>
      </c>
      <c r="G1012" s="102">
        <f t="shared" si="21"/>
        <v>0</v>
      </c>
      <c r="H1012" s="101" t="s">
        <v>80</v>
      </c>
    </row>
    <row r="1013" spans="1:8" hidden="1">
      <c r="A1013" s="101" t="s">
        <v>273</v>
      </c>
      <c r="B1013" s="102">
        <v>-80916</v>
      </c>
      <c r="C1013" s="102">
        <v>770400</v>
      </c>
      <c r="D1013" s="102">
        <v>770400</v>
      </c>
      <c r="E1013" s="102">
        <v>-80916</v>
      </c>
      <c r="G1013" s="102">
        <f t="shared" si="21"/>
        <v>-80916</v>
      </c>
      <c r="H1013" s="101" t="s">
        <v>80</v>
      </c>
    </row>
    <row r="1014" spans="1:8" hidden="1">
      <c r="A1014" s="101" t="s">
        <v>1293</v>
      </c>
      <c r="B1014" s="102">
        <v>0</v>
      </c>
      <c r="C1014" s="102">
        <v>187170</v>
      </c>
      <c r="D1014" s="102">
        <v>187170</v>
      </c>
      <c r="E1014" s="102">
        <v>0</v>
      </c>
      <c r="G1014" s="102">
        <f t="shared" si="21"/>
        <v>0</v>
      </c>
      <c r="H1014" s="101" t="s">
        <v>80</v>
      </c>
    </row>
    <row r="1015" spans="1:8" hidden="1">
      <c r="A1015" s="101" t="s">
        <v>270</v>
      </c>
      <c r="B1015" s="102">
        <v>-38357.480000000003</v>
      </c>
      <c r="C1015" s="102">
        <v>0</v>
      </c>
      <c r="D1015" s="102">
        <v>0</v>
      </c>
      <c r="E1015" s="102">
        <v>-38357.480000000003</v>
      </c>
      <c r="G1015" s="102">
        <f t="shared" si="21"/>
        <v>-38357.480000000003</v>
      </c>
      <c r="H1015" s="101" t="s">
        <v>80</v>
      </c>
    </row>
    <row r="1016" spans="1:8" hidden="1">
      <c r="A1016" s="101" t="s">
        <v>890</v>
      </c>
      <c r="B1016" s="102">
        <v>-4230</v>
      </c>
      <c r="C1016" s="102">
        <v>0</v>
      </c>
      <c r="D1016" s="102">
        <v>0</v>
      </c>
      <c r="E1016" s="102">
        <v>-4230</v>
      </c>
      <c r="G1016" s="102">
        <f t="shared" si="21"/>
        <v>-4230</v>
      </c>
      <c r="H1016" s="101" t="s">
        <v>80</v>
      </c>
    </row>
    <row r="1017" spans="1:8" hidden="1">
      <c r="A1017" s="101" t="s">
        <v>268</v>
      </c>
      <c r="B1017" s="102">
        <v>6313</v>
      </c>
      <c r="C1017" s="102">
        <v>0</v>
      </c>
      <c r="D1017" s="102">
        <v>0</v>
      </c>
      <c r="E1017" s="102">
        <v>6313</v>
      </c>
      <c r="G1017" s="102">
        <f t="shared" si="21"/>
        <v>6313</v>
      </c>
      <c r="H1017" s="101" t="s">
        <v>80</v>
      </c>
    </row>
    <row r="1018" spans="1:8" hidden="1">
      <c r="A1018" s="101" t="s">
        <v>266</v>
      </c>
      <c r="B1018" s="102">
        <v>-174560</v>
      </c>
      <c r="C1018" s="102">
        <v>586942.01</v>
      </c>
      <c r="D1018" s="102">
        <v>443923.01</v>
      </c>
      <c r="E1018" s="102">
        <v>-31541</v>
      </c>
      <c r="G1018" s="102">
        <f t="shared" si="21"/>
        <v>-31541</v>
      </c>
      <c r="H1018" s="101" t="s">
        <v>80</v>
      </c>
    </row>
    <row r="1019" spans="1:8" hidden="1">
      <c r="A1019" s="101" t="s">
        <v>490</v>
      </c>
      <c r="B1019" s="102">
        <v>0</v>
      </c>
      <c r="C1019" s="102">
        <v>477500</v>
      </c>
      <c r="D1019" s="102">
        <v>477500</v>
      </c>
      <c r="E1019" s="102">
        <v>0</v>
      </c>
      <c r="G1019" s="102">
        <f t="shared" si="21"/>
        <v>0</v>
      </c>
      <c r="H1019" s="101" t="s">
        <v>80</v>
      </c>
    </row>
    <row r="1020" spans="1:8" hidden="1">
      <c r="A1020" s="101" t="s">
        <v>1294</v>
      </c>
      <c r="B1020" s="102">
        <v>0</v>
      </c>
      <c r="C1020" s="102">
        <v>131404.49</v>
      </c>
      <c r="D1020" s="102">
        <v>129214.49</v>
      </c>
      <c r="E1020" s="102">
        <v>2190</v>
      </c>
      <c r="G1020" s="102">
        <f t="shared" si="21"/>
        <v>2190</v>
      </c>
      <c r="H1020" s="101" t="s">
        <v>80</v>
      </c>
    </row>
    <row r="1021" spans="1:8" hidden="1">
      <c r="A1021" s="101" t="s">
        <v>891</v>
      </c>
      <c r="B1021" s="102">
        <v>1161</v>
      </c>
      <c r="C1021" s="102">
        <v>67367</v>
      </c>
      <c r="D1021" s="102">
        <v>68528</v>
      </c>
      <c r="E1021" s="102">
        <v>0</v>
      </c>
      <c r="G1021" s="102">
        <f t="shared" si="21"/>
        <v>0</v>
      </c>
      <c r="H1021" s="101" t="s">
        <v>80</v>
      </c>
    </row>
    <row r="1022" spans="1:8" hidden="1">
      <c r="A1022" s="101" t="s">
        <v>1295</v>
      </c>
      <c r="B1022" s="102">
        <v>0</v>
      </c>
      <c r="C1022" s="102">
        <v>0</v>
      </c>
      <c r="D1022" s="102">
        <v>0</v>
      </c>
      <c r="E1022" s="102">
        <v>0</v>
      </c>
      <c r="G1022" s="102">
        <f t="shared" si="21"/>
        <v>0</v>
      </c>
      <c r="H1022" s="101" t="s">
        <v>80</v>
      </c>
    </row>
    <row r="1023" spans="1:8" hidden="1">
      <c r="A1023" s="101" t="s">
        <v>261</v>
      </c>
      <c r="B1023" s="102">
        <v>-58000</v>
      </c>
      <c r="C1023" s="102">
        <v>0</v>
      </c>
      <c r="D1023" s="102">
        <v>0</v>
      </c>
      <c r="E1023" s="102">
        <v>-58000</v>
      </c>
      <c r="G1023" s="102">
        <f t="shared" si="21"/>
        <v>-58000</v>
      </c>
      <c r="H1023" s="101" t="s">
        <v>80</v>
      </c>
    </row>
    <row r="1024" spans="1:8" hidden="1">
      <c r="A1024" s="101" t="s">
        <v>1296</v>
      </c>
      <c r="B1024" s="102">
        <v>0</v>
      </c>
      <c r="C1024" s="102">
        <v>0</v>
      </c>
      <c r="D1024" s="102">
        <v>0</v>
      </c>
      <c r="E1024" s="102">
        <v>0</v>
      </c>
      <c r="G1024" s="102">
        <f t="shared" si="21"/>
        <v>0</v>
      </c>
      <c r="H1024" s="101" t="s">
        <v>80</v>
      </c>
    </row>
    <row r="1025" spans="1:8" hidden="1">
      <c r="A1025" s="101" t="s">
        <v>892</v>
      </c>
      <c r="B1025" s="102">
        <v>-0.46</v>
      </c>
      <c r="C1025" s="102">
        <v>0</v>
      </c>
      <c r="D1025" s="102">
        <v>0</v>
      </c>
      <c r="E1025" s="102">
        <v>-0.46</v>
      </c>
      <c r="G1025" s="102">
        <f t="shared" si="21"/>
        <v>-0.46</v>
      </c>
      <c r="H1025" s="101" t="s">
        <v>80</v>
      </c>
    </row>
    <row r="1026" spans="1:8" hidden="1">
      <c r="A1026" s="101" t="s">
        <v>893</v>
      </c>
      <c r="B1026" s="102">
        <v>1263</v>
      </c>
      <c r="C1026" s="102">
        <v>0</v>
      </c>
      <c r="D1026" s="102">
        <v>0</v>
      </c>
      <c r="E1026" s="102">
        <v>1263</v>
      </c>
      <c r="G1026" s="102">
        <f t="shared" si="21"/>
        <v>1263</v>
      </c>
      <c r="H1026" s="101" t="s">
        <v>80</v>
      </c>
    </row>
    <row r="1027" spans="1:8" hidden="1">
      <c r="A1027" s="101" t="s">
        <v>254</v>
      </c>
      <c r="B1027" s="102">
        <v>-190218</v>
      </c>
      <c r="C1027" s="102">
        <v>190218</v>
      </c>
      <c r="D1027" s="102">
        <v>0</v>
      </c>
      <c r="E1027" s="102">
        <v>0</v>
      </c>
      <c r="G1027" s="102">
        <f t="shared" ref="G1027:G1090" si="22">E1027+F1027</f>
        <v>0</v>
      </c>
      <c r="H1027" s="101" t="s">
        <v>80</v>
      </c>
    </row>
    <row r="1028" spans="1:8" hidden="1">
      <c r="A1028" s="101" t="s">
        <v>894</v>
      </c>
      <c r="B1028" s="102">
        <v>-105883</v>
      </c>
      <c r="C1028" s="102">
        <v>105883</v>
      </c>
      <c r="D1028" s="102">
        <v>0</v>
      </c>
      <c r="E1028" s="102">
        <v>0</v>
      </c>
      <c r="G1028" s="102">
        <f t="shared" si="22"/>
        <v>0</v>
      </c>
      <c r="H1028" s="101" t="s">
        <v>80</v>
      </c>
    </row>
    <row r="1029" spans="1:8" hidden="1">
      <c r="A1029" s="101" t="s">
        <v>251</v>
      </c>
      <c r="B1029" s="102">
        <v>7280</v>
      </c>
      <c r="C1029" s="102">
        <v>29330</v>
      </c>
      <c r="D1029" s="102">
        <v>28910</v>
      </c>
      <c r="E1029" s="102">
        <v>7700</v>
      </c>
      <c r="G1029" s="102">
        <f t="shared" si="22"/>
        <v>7700</v>
      </c>
      <c r="H1029" s="101" t="s">
        <v>80</v>
      </c>
    </row>
    <row r="1030" spans="1:8" hidden="1">
      <c r="A1030" s="101" t="s">
        <v>247</v>
      </c>
      <c r="B1030" s="102">
        <v>548</v>
      </c>
      <c r="C1030" s="102">
        <v>68544</v>
      </c>
      <c r="D1030" s="102">
        <v>69092</v>
      </c>
      <c r="E1030" s="102">
        <v>0</v>
      </c>
      <c r="G1030" s="102">
        <f t="shared" si="22"/>
        <v>0</v>
      </c>
      <c r="H1030" s="101" t="s">
        <v>80</v>
      </c>
    </row>
    <row r="1031" spans="1:8" hidden="1">
      <c r="A1031" s="101" t="s">
        <v>1297</v>
      </c>
      <c r="B1031" s="102">
        <v>0</v>
      </c>
      <c r="C1031" s="102">
        <v>0</v>
      </c>
      <c r="D1031" s="102">
        <v>0</v>
      </c>
      <c r="E1031" s="102">
        <v>0</v>
      </c>
      <c r="G1031" s="102">
        <f t="shared" si="22"/>
        <v>0</v>
      </c>
      <c r="H1031" s="101" t="s">
        <v>80</v>
      </c>
    </row>
    <row r="1032" spans="1:8" hidden="1">
      <c r="A1032" s="101" t="s">
        <v>895</v>
      </c>
      <c r="B1032" s="102">
        <v>-44936.54</v>
      </c>
      <c r="C1032" s="102">
        <v>0</v>
      </c>
      <c r="D1032" s="102">
        <v>0</v>
      </c>
      <c r="E1032" s="102">
        <v>-44936.54</v>
      </c>
      <c r="G1032" s="102">
        <f t="shared" si="22"/>
        <v>-44936.54</v>
      </c>
      <c r="H1032" s="101" t="s">
        <v>80</v>
      </c>
    </row>
    <row r="1033" spans="1:8" hidden="1">
      <c r="A1033" s="101" t="s">
        <v>237</v>
      </c>
      <c r="B1033" s="102">
        <v>-6000</v>
      </c>
      <c r="C1033" s="102">
        <v>6000</v>
      </c>
      <c r="D1033" s="102">
        <v>0</v>
      </c>
      <c r="E1033" s="102">
        <v>0</v>
      </c>
      <c r="G1033" s="102">
        <f t="shared" si="22"/>
        <v>0</v>
      </c>
      <c r="H1033" s="101" t="s">
        <v>80</v>
      </c>
    </row>
    <row r="1034" spans="1:8" hidden="1">
      <c r="A1034" s="101" t="s">
        <v>1298</v>
      </c>
      <c r="B1034" s="102">
        <v>0</v>
      </c>
      <c r="C1034" s="102">
        <v>17000</v>
      </c>
      <c r="D1034" s="102">
        <v>17000</v>
      </c>
      <c r="E1034" s="102">
        <v>0</v>
      </c>
      <c r="G1034" s="102">
        <f t="shared" si="22"/>
        <v>0</v>
      </c>
      <c r="H1034" s="101" t="s">
        <v>80</v>
      </c>
    </row>
    <row r="1035" spans="1:8" hidden="1">
      <c r="A1035" s="101" t="s">
        <v>450</v>
      </c>
      <c r="B1035" s="102">
        <v>-10000</v>
      </c>
      <c r="C1035" s="102">
        <v>6500</v>
      </c>
      <c r="D1035" s="102">
        <v>6500</v>
      </c>
      <c r="E1035" s="102">
        <v>-10000</v>
      </c>
      <c r="G1035" s="102">
        <f t="shared" si="22"/>
        <v>-10000</v>
      </c>
      <c r="H1035" s="101" t="s">
        <v>80</v>
      </c>
    </row>
    <row r="1036" spans="1:8" hidden="1">
      <c r="A1036" s="101" t="s">
        <v>218</v>
      </c>
      <c r="B1036" s="102">
        <v>-17248</v>
      </c>
      <c r="C1036" s="102">
        <v>672189</v>
      </c>
      <c r="D1036" s="102">
        <v>547231</v>
      </c>
      <c r="E1036" s="102">
        <v>107710</v>
      </c>
      <c r="G1036" s="102">
        <f t="shared" si="22"/>
        <v>107710</v>
      </c>
      <c r="H1036" s="101" t="s">
        <v>80</v>
      </c>
    </row>
    <row r="1037" spans="1:8" hidden="1">
      <c r="A1037" s="101" t="s">
        <v>395</v>
      </c>
      <c r="B1037" s="102">
        <v>29840.84</v>
      </c>
      <c r="C1037" s="102">
        <v>0</v>
      </c>
      <c r="D1037" s="102">
        <v>0</v>
      </c>
      <c r="E1037" s="102">
        <v>29840.84</v>
      </c>
      <c r="G1037" s="102">
        <f t="shared" si="22"/>
        <v>29840.84</v>
      </c>
      <c r="H1037" s="101" t="s">
        <v>80</v>
      </c>
    </row>
    <row r="1038" spans="1:8" hidden="1">
      <c r="A1038" s="101" t="s">
        <v>896</v>
      </c>
      <c r="B1038" s="102">
        <v>-47500</v>
      </c>
      <c r="C1038" s="102">
        <v>0</v>
      </c>
      <c r="D1038" s="102">
        <v>0</v>
      </c>
      <c r="E1038" s="102">
        <v>-47500</v>
      </c>
      <c r="G1038" s="102">
        <f t="shared" si="22"/>
        <v>-47500</v>
      </c>
      <c r="H1038" s="101" t="s">
        <v>80</v>
      </c>
    </row>
    <row r="1039" spans="1:8" hidden="1">
      <c r="A1039" s="101" t="s">
        <v>444</v>
      </c>
      <c r="B1039" s="102">
        <v>502</v>
      </c>
      <c r="C1039" s="102">
        <v>62911</v>
      </c>
      <c r="D1039" s="102">
        <v>63413</v>
      </c>
      <c r="E1039" s="102">
        <v>0</v>
      </c>
      <c r="G1039" s="102">
        <f t="shared" si="22"/>
        <v>0</v>
      </c>
      <c r="H1039" s="101" t="s">
        <v>80</v>
      </c>
    </row>
    <row r="1040" spans="1:8" hidden="1">
      <c r="A1040" s="101" t="s">
        <v>198</v>
      </c>
      <c r="B1040" s="102">
        <v>106866.67</v>
      </c>
      <c r="C1040" s="102">
        <v>54430.34</v>
      </c>
      <c r="D1040" s="102">
        <v>3755.24</v>
      </c>
      <c r="E1040" s="102">
        <v>157541.76999999999</v>
      </c>
      <c r="G1040" s="102">
        <f t="shared" si="22"/>
        <v>157541.76999999999</v>
      </c>
      <c r="H1040" s="101" t="s">
        <v>80</v>
      </c>
    </row>
    <row r="1041" spans="1:8" hidden="1">
      <c r="A1041" s="101" t="s">
        <v>897</v>
      </c>
      <c r="B1041" s="102">
        <v>-14457</v>
      </c>
      <c r="C1041" s="102">
        <v>14457</v>
      </c>
      <c r="D1041" s="102">
        <v>0</v>
      </c>
      <c r="E1041" s="102">
        <v>0</v>
      </c>
      <c r="G1041" s="102">
        <f t="shared" si="22"/>
        <v>0</v>
      </c>
      <c r="H1041" s="101" t="s">
        <v>80</v>
      </c>
    </row>
    <row r="1042" spans="1:8" hidden="1">
      <c r="A1042" s="101" t="s">
        <v>898</v>
      </c>
      <c r="B1042" s="102">
        <v>4172</v>
      </c>
      <c r="C1042" s="102">
        <v>0</v>
      </c>
      <c r="D1042" s="102">
        <v>0</v>
      </c>
      <c r="E1042" s="102">
        <v>4172</v>
      </c>
      <c r="G1042" s="102">
        <f t="shared" si="22"/>
        <v>4172</v>
      </c>
      <c r="H1042" s="101" t="s">
        <v>80</v>
      </c>
    </row>
    <row r="1043" spans="1:8" hidden="1">
      <c r="A1043" s="101" t="s">
        <v>899</v>
      </c>
      <c r="B1043" s="102">
        <v>-265438</v>
      </c>
      <c r="C1043" s="102">
        <v>265438</v>
      </c>
      <c r="D1043" s="102">
        <v>0</v>
      </c>
      <c r="E1043" s="102">
        <v>0</v>
      </c>
      <c r="G1043" s="102">
        <f t="shared" si="22"/>
        <v>0</v>
      </c>
      <c r="H1043" s="101" t="s">
        <v>80</v>
      </c>
    </row>
    <row r="1044" spans="1:8" hidden="1">
      <c r="A1044" s="101" t="s">
        <v>459</v>
      </c>
      <c r="B1044" s="102">
        <v>0</v>
      </c>
      <c r="C1044" s="102">
        <v>385788</v>
      </c>
      <c r="D1044" s="102">
        <v>385788</v>
      </c>
      <c r="E1044" s="102">
        <v>0</v>
      </c>
      <c r="G1044" s="102">
        <f t="shared" si="22"/>
        <v>0</v>
      </c>
      <c r="H1044" s="101" t="s">
        <v>80</v>
      </c>
    </row>
    <row r="1045" spans="1:8" hidden="1">
      <c r="A1045" s="101" t="s">
        <v>513</v>
      </c>
      <c r="B1045" s="102">
        <v>-50</v>
      </c>
      <c r="C1045" s="102">
        <v>0</v>
      </c>
      <c r="D1045" s="102">
        <v>0</v>
      </c>
      <c r="E1045" s="102">
        <v>-50</v>
      </c>
      <c r="G1045" s="102">
        <f t="shared" si="22"/>
        <v>-50</v>
      </c>
      <c r="H1045" s="101" t="s">
        <v>80</v>
      </c>
    </row>
    <row r="1046" spans="1:8" hidden="1">
      <c r="A1046" s="101" t="s">
        <v>184</v>
      </c>
      <c r="B1046" s="102">
        <v>-322</v>
      </c>
      <c r="C1046" s="102">
        <v>37881</v>
      </c>
      <c r="D1046" s="102">
        <v>37961</v>
      </c>
      <c r="E1046" s="102">
        <v>-402</v>
      </c>
      <c r="G1046" s="102">
        <f t="shared" si="22"/>
        <v>-402</v>
      </c>
      <c r="H1046" s="101" t="s">
        <v>80</v>
      </c>
    </row>
    <row r="1047" spans="1:8" hidden="1">
      <c r="A1047" s="101" t="s">
        <v>183</v>
      </c>
      <c r="B1047" s="102">
        <v>-9074.7199999999993</v>
      </c>
      <c r="C1047" s="102">
        <v>0</v>
      </c>
      <c r="D1047" s="102">
        <v>0</v>
      </c>
      <c r="E1047" s="102">
        <v>-9074.7199999999993</v>
      </c>
      <c r="G1047" s="102">
        <f t="shared" si="22"/>
        <v>-9074.7199999999993</v>
      </c>
      <c r="H1047" s="101" t="s">
        <v>80</v>
      </c>
    </row>
    <row r="1048" spans="1:8" hidden="1">
      <c r="A1048" s="101" t="s">
        <v>900</v>
      </c>
      <c r="B1048" s="102">
        <v>0</v>
      </c>
      <c r="C1048" s="102">
        <v>6500</v>
      </c>
      <c r="D1048" s="102">
        <v>6500</v>
      </c>
      <c r="E1048" s="102">
        <v>0</v>
      </c>
      <c r="G1048" s="102">
        <f t="shared" si="22"/>
        <v>0</v>
      </c>
      <c r="H1048" s="101" t="s">
        <v>80</v>
      </c>
    </row>
    <row r="1049" spans="1:8" hidden="1">
      <c r="A1049" s="101" t="s">
        <v>173</v>
      </c>
      <c r="B1049" s="102">
        <v>-98500</v>
      </c>
      <c r="C1049" s="102">
        <v>287500</v>
      </c>
      <c r="D1049" s="102">
        <v>189000</v>
      </c>
      <c r="E1049" s="102">
        <v>0</v>
      </c>
      <c r="G1049" s="102">
        <f t="shared" si="22"/>
        <v>0</v>
      </c>
      <c r="H1049" s="101" t="s">
        <v>80</v>
      </c>
    </row>
    <row r="1050" spans="1:8" hidden="1">
      <c r="A1050" s="101" t="s">
        <v>901</v>
      </c>
      <c r="B1050" s="102">
        <v>-21200</v>
      </c>
      <c r="C1050" s="102">
        <v>0</v>
      </c>
      <c r="D1050" s="102">
        <v>0</v>
      </c>
      <c r="E1050" s="102">
        <v>-21200</v>
      </c>
      <c r="G1050" s="102">
        <f t="shared" si="22"/>
        <v>-21200</v>
      </c>
      <c r="H1050" s="101" t="s">
        <v>80</v>
      </c>
    </row>
    <row r="1051" spans="1:8" hidden="1">
      <c r="A1051" s="101" t="s">
        <v>1299</v>
      </c>
      <c r="B1051" s="102">
        <v>0</v>
      </c>
      <c r="C1051" s="102">
        <v>1081056</v>
      </c>
      <c r="D1051" s="102">
        <v>67461</v>
      </c>
      <c r="E1051" s="102">
        <v>1013595</v>
      </c>
      <c r="G1051" s="102">
        <f t="shared" si="22"/>
        <v>1013595</v>
      </c>
      <c r="H1051" s="101" t="s">
        <v>80</v>
      </c>
    </row>
    <row r="1052" spans="1:8" hidden="1">
      <c r="A1052" s="101" t="s">
        <v>464</v>
      </c>
      <c r="B1052" s="102">
        <v>0</v>
      </c>
      <c r="C1052" s="102">
        <v>233000</v>
      </c>
      <c r="D1052" s="102">
        <v>233000</v>
      </c>
      <c r="E1052" s="102">
        <v>0</v>
      </c>
      <c r="G1052" s="102">
        <f t="shared" si="22"/>
        <v>0</v>
      </c>
      <c r="H1052" s="101" t="s">
        <v>80</v>
      </c>
    </row>
    <row r="1053" spans="1:8" hidden="1">
      <c r="A1053" s="101" t="s">
        <v>381</v>
      </c>
      <c r="B1053" s="102">
        <v>-948403.69</v>
      </c>
      <c r="C1053" s="102">
        <v>1180978</v>
      </c>
      <c r="D1053" s="102">
        <v>467268</v>
      </c>
      <c r="E1053" s="102">
        <v>-234693.69</v>
      </c>
      <c r="G1053" s="102">
        <f t="shared" si="22"/>
        <v>-234693.69</v>
      </c>
      <c r="H1053" s="101" t="s">
        <v>80</v>
      </c>
    </row>
    <row r="1054" spans="1:8" hidden="1">
      <c r="A1054" s="101" t="s">
        <v>902</v>
      </c>
      <c r="B1054" s="102">
        <v>-14800</v>
      </c>
      <c r="C1054" s="102">
        <v>0</v>
      </c>
      <c r="D1054" s="102">
        <v>0</v>
      </c>
      <c r="E1054" s="102">
        <v>-14800</v>
      </c>
      <c r="G1054" s="102">
        <f t="shared" si="22"/>
        <v>-14800</v>
      </c>
      <c r="H1054" s="101" t="s">
        <v>80</v>
      </c>
    </row>
    <row r="1055" spans="1:8" hidden="1">
      <c r="A1055" s="101" t="s">
        <v>903</v>
      </c>
      <c r="B1055" s="102">
        <v>204859</v>
      </c>
      <c r="C1055" s="102">
        <v>0</v>
      </c>
      <c r="D1055" s="102">
        <v>0</v>
      </c>
      <c r="E1055" s="102">
        <v>204859</v>
      </c>
      <c r="G1055" s="102">
        <f t="shared" si="22"/>
        <v>204859</v>
      </c>
      <c r="H1055" s="101" t="s">
        <v>80</v>
      </c>
    </row>
    <row r="1056" spans="1:8" hidden="1">
      <c r="A1056" s="101" t="s">
        <v>904</v>
      </c>
      <c r="B1056" s="102">
        <v>1421.19</v>
      </c>
      <c r="C1056" s="102">
        <v>1624</v>
      </c>
      <c r="D1056" s="102">
        <v>0</v>
      </c>
      <c r="E1056" s="102">
        <v>3045.19</v>
      </c>
      <c r="G1056" s="102">
        <f t="shared" si="22"/>
        <v>3045.19</v>
      </c>
      <c r="H1056" s="101" t="s">
        <v>80</v>
      </c>
    </row>
    <row r="1057" spans="1:8" hidden="1">
      <c r="A1057" s="101" t="s">
        <v>396</v>
      </c>
      <c r="B1057" s="102">
        <v>39937.550000000003</v>
      </c>
      <c r="C1057" s="102">
        <v>3845</v>
      </c>
      <c r="D1057" s="102">
        <v>0</v>
      </c>
      <c r="E1057" s="102">
        <v>43782.55</v>
      </c>
      <c r="G1057" s="102">
        <f t="shared" si="22"/>
        <v>43782.55</v>
      </c>
      <c r="H1057" s="101" t="s">
        <v>80</v>
      </c>
    </row>
    <row r="1058" spans="1:8" hidden="1">
      <c r="A1058" s="101" t="s">
        <v>905</v>
      </c>
      <c r="B1058" s="102">
        <v>-2811.03</v>
      </c>
      <c r="C1058" s="102">
        <v>0</v>
      </c>
      <c r="D1058" s="102">
        <v>0</v>
      </c>
      <c r="E1058" s="102">
        <v>-2811.03</v>
      </c>
      <c r="G1058" s="102">
        <f t="shared" si="22"/>
        <v>-2811.03</v>
      </c>
      <c r="H1058" s="101" t="s">
        <v>80</v>
      </c>
    </row>
    <row r="1059" spans="1:8" hidden="1">
      <c r="A1059" s="101" t="s">
        <v>426</v>
      </c>
      <c r="B1059" s="102">
        <v>18348.53</v>
      </c>
      <c r="C1059" s="102">
        <v>6738</v>
      </c>
      <c r="D1059" s="102">
        <v>0</v>
      </c>
      <c r="E1059" s="102">
        <v>25086.53</v>
      </c>
      <c r="G1059" s="102">
        <f t="shared" si="22"/>
        <v>25086.53</v>
      </c>
      <c r="H1059" s="101" t="s">
        <v>80</v>
      </c>
    </row>
    <row r="1060" spans="1:8" hidden="1">
      <c r="A1060" s="101" t="s">
        <v>406</v>
      </c>
      <c r="B1060" s="102">
        <v>0</v>
      </c>
      <c r="C1060" s="102">
        <v>607</v>
      </c>
      <c r="D1060" s="102">
        <v>0</v>
      </c>
      <c r="E1060" s="102">
        <v>607</v>
      </c>
      <c r="G1060" s="102">
        <f t="shared" si="22"/>
        <v>607</v>
      </c>
      <c r="H1060" s="101" t="s">
        <v>80</v>
      </c>
    </row>
    <row r="1061" spans="1:8" hidden="1">
      <c r="A1061" s="101" t="s">
        <v>906</v>
      </c>
      <c r="B1061" s="102">
        <v>2480</v>
      </c>
      <c r="C1061" s="102">
        <v>0</v>
      </c>
      <c r="D1061" s="102">
        <v>0</v>
      </c>
      <c r="E1061" s="102">
        <v>2480</v>
      </c>
      <c r="G1061" s="102">
        <f t="shared" si="22"/>
        <v>2480</v>
      </c>
      <c r="H1061" s="101" t="s">
        <v>80</v>
      </c>
    </row>
    <row r="1062" spans="1:8" hidden="1">
      <c r="A1062" s="101" t="s">
        <v>907</v>
      </c>
      <c r="B1062" s="102">
        <v>2290</v>
      </c>
      <c r="C1062" s="102">
        <v>2140</v>
      </c>
      <c r="D1062" s="102">
        <v>0</v>
      </c>
      <c r="E1062" s="102">
        <v>4430</v>
      </c>
      <c r="G1062" s="102">
        <f t="shared" si="22"/>
        <v>4430</v>
      </c>
      <c r="H1062" s="101" t="s">
        <v>80</v>
      </c>
    </row>
    <row r="1063" spans="1:8" hidden="1">
      <c r="A1063" s="101" t="s">
        <v>908</v>
      </c>
      <c r="B1063" s="102">
        <v>379</v>
      </c>
      <c r="C1063" s="102">
        <v>21967</v>
      </c>
      <c r="D1063" s="102">
        <v>22346</v>
      </c>
      <c r="E1063" s="102">
        <v>0</v>
      </c>
      <c r="G1063" s="102">
        <f t="shared" si="22"/>
        <v>0</v>
      </c>
      <c r="H1063" s="101" t="s">
        <v>80</v>
      </c>
    </row>
    <row r="1064" spans="1:8" hidden="1">
      <c r="A1064" s="101" t="s">
        <v>909</v>
      </c>
      <c r="B1064" s="102">
        <v>0</v>
      </c>
      <c r="C1064" s="102">
        <v>473742</v>
      </c>
      <c r="D1064" s="102">
        <v>473742</v>
      </c>
      <c r="E1064" s="102">
        <v>0</v>
      </c>
      <c r="G1064" s="102">
        <f t="shared" si="22"/>
        <v>0</v>
      </c>
      <c r="H1064" s="101" t="s">
        <v>80</v>
      </c>
    </row>
    <row r="1065" spans="1:8" hidden="1">
      <c r="A1065" s="101" t="s">
        <v>1525</v>
      </c>
      <c r="B1065" s="102">
        <v>0</v>
      </c>
      <c r="C1065" s="102">
        <v>0</v>
      </c>
      <c r="D1065" s="102">
        <v>0</v>
      </c>
      <c r="E1065" s="102">
        <v>0</v>
      </c>
      <c r="G1065" s="102">
        <f t="shared" si="22"/>
        <v>0</v>
      </c>
      <c r="H1065" s="101" t="s">
        <v>80</v>
      </c>
    </row>
    <row r="1066" spans="1:8" hidden="1">
      <c r="A1066" s="101" t="s">
        <v>428</v>
      </c>
      <c r="B1066" s="102">
        <v>-98438</v>
      </c>
      <c r="C1066" s="102">
        <v>98438</v>
      </c>
      <c r="D1066" s="102">
        <v>109473</v>
      </c>
      <c r="E1066" s="102">
        <v>-109473</v>
      </c>
      <c r="G1066" s="102">
        <f t="shared" si="22"/>
        <v>-109473</v>
      </c>
      <c r="H1066" s="101" t="s">
        <v>80</v>
      </c>
    </row>
    <row r="1067" spans="1:8" hidden="1">
      <c r="A1067" s="101" t="s">
        <v>1300</v>
      </c>
      <c r="B1067" s="102">
        <v>0</v>
      </c>
      <c r="C1067" s="102">
        <v>0</v>
      </c>
      <c r="D1067" s="102">
        <v>0</v>
      </c>
      <c r="E1067" s="102">
        <v>0</v>
      </c>
      <c r="G1067" s="102">
        <f t="shared" si="22"/>
        <v>0</v>
      </c>
      <c r="H1067" s="101" t="s">
        <v>80</v>
      </c>
    </row>
    <row r="1068" spans="1:8" hidden="1">
      <c r="A1068" s="101" t="s">
        <v>389</v>
      </c>
      <c r="B1068" s="102">
        <v>264055.32</v>
      </c>
      <c r="C1068" s="102">
        <v>0</v>
      </c>
      <c r="D1068" s="102">
        <v>0</v>
      </c>
      <c r="E1068" s="102">
        <v>264055.32</v>
      </c>
      <c r="G1068" s="102">
        <f t="shared" si="22"/>
        <v>264055.32</v>
      </c>
      <c r="H1068" s="101" t="s">
        <v>80</v>
      </c>
    </row>
    <row r="1069" spans="1:8" hidden="1">
      <c r="A1069" s="101" t="s">
        <v>1301</v>
      </c>
      <c r="B1069" s="102">
        <v>0</v>
      </c>
      <c r="C1069" s="102">
        <v>0</v>
      </c>
      <c r="D1069" s="102">
        <v>0</v>
      </c>
      <c r="E1069" s="102">
        <v>0</v>
      </c>
      <c r="G1069" s="102">
        <f t="shared" si="22"/>
        <v>0</v>
      </c>
      <c r="H1069" s="101" t="s">
        <v>80</v>
      </c>
    </row>
    <row r="1070" spans="1:8" hidden="1">
      <c r="A1070" s="101" t="s">
        <v>910</v>
      </c>
      <c r="B1070" s="102">
        <v>0</v>
      </c>
      <c r="C1070" s="102">
        <v>24743</v>
      </c>
      <c r="D1070" s="102">
        <v>24743</v>
      </c>
      <c r="E1070" s="102">
        <v>0</v>
      </c>
      <c r="G1070" s="102">
        <f t="shared" si="22"/>
        <v>0</v>
      </c>
      <c r="H1070" s="101" t="s">
        <v>80</v>
      </c>
    </row>
    <row r="1071" spans="1:8" hidden="1">
      <c r="A1071" s="101" t="s">
        <v>911</v>
      </c>
      <c r="B1071" s="102">
        <v>0</v>
      </c>
      <c r="C1071" s="102">
        <v>2357740</v>
      </c>
      <c r="D1071" s="102">
        <v>2357740</v>
      </c>
      <c r="E1071" s="102">
        <v>0</v>
      </c>
      <c r="G1071" s="102">
        <f t="shared" si="22"/>
        <v>0</v>
      </c>
      <c r="H1071" s="101" t="s">
        <v>80</v>
      </c>
    </row>
    <row r="1072" spans="1:8" hidden="1">
      <c r="A1072" s="101" t="s">
        <v>912</v>
      </c>
      <c r="B1072" s="102">
        <v>0</v>
      </c>
      <c r="C1072" s="102">
        <v>96272</v>
      </c>
      <c r="D1072" s="102">
        <v>96272</v>
      </c>
      <c r="E1072" s="102">
        <v>0</v>
      </c>
      <c r="G1072" s="102">
        <f t="shared" si="22"/>
        <v>0</v>
      </c>
      <c r="H1072" s="101" t="s">
        <v>80</v>
      </c>
    </row>
    <row r="1073" spans="1:8" hidden="1">
      <c r="A1073" s="101" t="s">
        <v>913</v>
      </c>
      <c r="B1073" s="102">
        <v>5637.6</v>
      </c>
      <c r="C1073" s="102">
        <v>0</v>
      </c>
      <c r="D1073" s="102">
        <v>0</v>
      </c>
      <c r="E1073" s="102">
        <v>5637.6</v>
      </c>
      <c r="G1073" s="102">
        <f t="shared" si="22"/>
        <v>5637.6</v>
      </c>
      <c r="H1073" s="101" t="s">
        <v>80</v>
      </c>
    </row>
    <row r="1074" spans="1:8" hidden="1">
      <c r="A1074" s="101" t="s">
        <v>1302</v>
      </c>
      <c r="B1074" s="102">
        <v>0</v>
      </c>
      <c r="C1074" s="102">
        <v>0</v>
      </c>
      <c r="D1074" s="102">
        <v>0</v>
      </c>
      <c r="E1074" s="102">
        <v>0</v>
      </c>
      <c r="G1074" s="102">
        <f t="shared" si="22"/>
        <v>0</v>
      </c>
      <c r="H1074" s="101" t="s">
        <v>80</v>
      </c>
    </row>
    <row r="1075" spans="1:8" hidden="1">
      <c r="A1075" s="101" t="s">
        <v>914</v>
      </c>
      <c r="B1075" s="102">
        <v>-36738.54</v>
      </c>
      <c r="C1075" s="102">
        <v>0</v>
      </c>
      <c r="D1075" s="102">
        <v>0</v>
      </c>
      <c r="E1075" s="102">
        <v>-36738.54</v>
      </c>
      <c r="G1075" s="102">
        <f t="shared" si="22"/>
        <v>-36738.54</v>
      </c>
      <c r="H1075" s="101" t="s">
        <v>80</v>
      </c>
    </row>
    <row r="1076" spans="1:8" hidden="1">
      <c r="A1076" s="101" t="s">
        <v>1303</v>
      </c>
      <c r="B1076" s="102">
        <v>0</v>
      </c>
      <c r="C1076" s="102">
        <v>0</v>
      </c>
      <c r="D1076" s="102">
        <v>0</v>
      </c>
      <c r="E1076" s="102">
        <v>0</v>
      </c>
      <c r="G1076" s="102">
        <f t="shared" si="22"/>
        <v>0</v>
      </c>
      <c r="H1076" s="101" t="s">
        <v>80</v>
      </c>
    </row>
    <row r="1077" spans="1:8" hidden="1">
      <c r="A1077" s="101" t="s">
        <v>915</v>
      </c>
      <c r="B1077" s="102">
        <v>-20029488</v>
      </c>
      <c r="C1077" s="102">
        <v>0</v>
      </c>
      <c r="D1077" s="102">
        <v>0</v>
      </c>
      <c r="E1077" s="102">
        <v>-20029488</v>
      </c>
      <c r="G1077" s="102">
        <f t="shared" si="22"/>
        <v>-20029488</v>
      </c>
      <c r="H1077" s="101" t="s">
        <v>80</v>
      </c>
    </row>
    <row r="1078" spans="1:8" hidden="1">
      <c r="A1078" s="101" t="s">
        <v>1304</v>
      </c>
      <c r="B1078" s="102">
        <v>0</v>
      </c>
      <c r="C1078" s="102">
        <v>0</v>
      </c>
      <c r="D1078" s="102">
        <v>0</v>
      </c>
      <c r="E1078" s="102">
        <v>0</v>
      </c>
      <c r="G1078" s="102">
        <f t="shared" si="22"/>
        <v>0</v>
      </c>
      <c r="H1078" s="101" t="s">
        <v>80</v>
      </c>
    </row>
    <row r="1079" spans="1:8" hidden="1">
      <c r="A1079" s="101" t="s">
        <v>1305</v>
      </c>
      <c r="B1079" s="102">
        <v>0</v>
      </c>
      <c r="C1079" s="102">
        <v>0</v>
      </c>
      <c r="D1079" s="102">
        <v>0</v>
      </c>
      <c r="E1079" s="102">
        <v>0</v>
      </c>
      <c r="G1079" s="102">
        <f t="shared" si="22"/>
        <v>0</v>
      </c>
      <c r="H1079" s="101" t="s">
        <v>80</v>
      </c>
    </row>
    <row r="1080" spans="1:8" hidden="1">
      <c r="A1080" s="101" t="s">
        <v>1306</v>
      </c>
      <c r="B1080" s="102">
        <v>0</v>
      </c>
      <c r="C1080" s="102">
        <v>0</v>
      </c>
      <c r="D1080" s="102">
        <v>0</v>
      </c>
      <c r="E1080" s="102">
        <v>0</v>
      </c>
      <c r="G1080" s="102">
        <f t="shared" si="22"/>
        <v>0</v>
      </c>
      <c r="H1080" s="101" t="s">
        <v>80</v>
      </c>
    </row>
    <row r="1081" spans="1:8" hidden="1">
      <c r="A1081" s="101" t="s">
        <v>916</v>
      </c>
      <c r="B1081" s="102">
        <v>0.01</v>
      </c>
      <c r="C1081" s="102">
        <v>0</v>
      </c>
      <c r="D1081" s="102">
        <v>0</v>
      </c>
      <c r="E1081" s="102">
        <v>0.01</v>
      </c>
      <c r="G1081" s="102">
        <f t="shared" si="22"/>
        <v>0.01</v>
      </c>
      <c r="H1081" s="101" t="s">
        <v>80</v>
      </c>
    </row>
    <row r="1082" spans="1:8" hidden="1">
      <c r="A1082" s="101" t="s">
        <v>1307</v>
      </c>
      <c r="B1082" s="102">
        <v>0</v>
      </c>
      <c r="C1082" s="102">
        <v>0</v>
      </c>
      <c r="D1082" s="102">
        <v>0</v>
      </c>
      <c r="E1082" s="102">
        <v>0</v>
      </c>
      <c r="G1082" s="102">
        <f t="shared" si="22"/>
        <v>0</v>
      </c>
      <c r="H1082" s="101" t="s">
        <v>80</v>
      </c>
    </row>
    <row r="1083" spans="1:8" hidden="1">
      <c r="A1083" s="101" t="s">
        <v>917</v>
      </c>
      <c r="B1083" s="102">
        <v>-7206296.8700000001</v>
      </c>
      <c r="C1083" s="102">
        <v>7227000</v>
      </c>
      <c r="D1083" s="102">
        <v>0</v>
      </c>
      <c r="E1083" s="102">
        <v>20703.13</v>
      </c>
      <c r="G1083" s="102">
        <f t="shared" si="22"/>
        <v>20703.13</v>
      </c>
      <c r="H1083" s="101" t="s">
        <v>80</v>
      </c>
    </row>
    <row r="1084" spans="1:8" hidden="1">
      <c r="A1084" s="101" t="s">
        <v>1308</v>
      </c>
      <c r="B1084" s="102">
        <v>0</v>
      </c>
      <c r="C1084" s="102">
        <v>0</v>
      </c>
      <c r="D1084" s="102">
        <v>0</v>
      </c>
      <c r="E1084" s="102">
        <v>0</v>
      </c>
      <c r="G1084" s="102">
        <f t="shared" si="22"/>
        <v>0</v>
      </c>
      <c r="H1084" s="101" t="s">
        <v>80</v>
      </c>
    </row>
    <row r="1085" spans="1:8" hidden="1">
      <c r="A1085" s="101" t="s">
        <v>1309</v>
      </c>
      <c r="B1085" s="102">
        <v>0</v>
      </c>
      <c r="C1085" s="102">
        <v>0</v>
      </c>
      <c r="D1085" s="102">
        <v>0</v>
      </c>
      <c r="E1085" s="102">
        <v>0</v>
      </c>
      <c r="G1085" s="102">
        <f t="shared" si="22"/>
        <v>0</v>
      </c>
      <c r="H1085" s="101" t="s">
        <v>80</v>
      </c>
    </row>
    <row r="1086" spans="1:8" hidden="1">
      <c r="A1086" s="101" t="s">
        <v>1310</v>
      </c>
      <c r="B1086" s="102">
        <v>0</v>
      </c>
      <c r="C1086" s="102">
        <v>0</v>
      </c>
      <c r="D1086" s="102">
        <v>0</v>
      </c>
      <c r="E1086" s="102">
        <v>0</v>
      </c>
      <c r="G1086" s="102">
        <f t="shared" si="22"/>
        <v>0</v>
      </c>
      <c r="H1086" s="101" t="s">
        <v>80</v>
      </c>
    </row>
    <row r="1087" spans="1:8" hidden="1">
      <c r="A1087" s="101" t="s">
        <v>1526</v>
      </c>
      <c r="B1087" s="102">
        <v>0</v>
      </c>
      <c r="C1087" s="102">
        <v>0</v>
      </c>
      <c r="D1087" s="102">
        <v>0</v>
      </c>
      <c r="E1087" s="102">
        <v>0</v>
      </c>
      <c r="G1087" s="102">
        <f t="shared" si="22"/>
        <v>0</v>
      </c>
      <c r="H1087" s="101" t="s">
        <v>80</v>
      </c>
    </row>
    <row r="1088" spans="1:8" hidden="1">
      <c r="A1088" s="101" t="s">
        <v>918</v>
      </c>
      <c r="B1088" s="102">
        <v>-3007.5</v>
      </c>
      <c r="C1088" s="102">
        <v>0</v>
      </c>
      <c r="D1088" s="102">
        <v>0</v>
      </c>
      <c r="E1088" s="102">
        <v>-3007.5</v>
      </c>
      <c r="G1088" s="102">
        <f t="shared" si="22"/>
        <v>-3007.5</v>
      </c>
      <c r="H1088" s="101" t="s">
        <v>80</v>
      </c>
    </row>
    <row r="1089" spans="1:8" hidden="1">
      <c r="A1089" s="101" t="s">
        <v>919</v>
      </c>
      <c r="B1089" s="102">
        <v>-362124.3</v>
      </c>
      <c r="C1089" s="102">
        <v>362124.3</v>
      </c>
      <c r="D1089" s="102">
        <v>0</v>
      </c>
      <c r="E1089" s="102">
        <v>0</v>
      </c>
      <c r="G1089" s="102">
        <f t="shared" si="22"/>
        <v>0</v>
      </c>
      <c r="H1089" s="101" t="s">
        <v>80</v>
      </c>
    </row>
    <row r="1090" spans="1:8" hidden="1">
      <c r="A1090" s="101" t="s">
        <v>1311</v>
      </c>
      <c r="B1090" s="102">
        <v>0</v>
      </c>
      <c r="C1090" s="102">
        <v>0</v>
      </c>
      <c r="D1090" s="102">
        <v>0</v>
      </c>
      <c r="E1090" s="102">
        <v>0</v>
      </c>
      <c r="G1090" s="102">
        <f t="shared" si="22"/>
        <v>0</v>
      </c>
      <c r="H1090" s="101" t="s">
        <v>80</v>
      </c>
    </row>
    <row r="1091" spans="1:8" hidden="1">
      <c r="A1091" s="101" t="s">
        <v>1527</v>
      </c>
      <c r="B1091" s="102">
        <v>0</v>
      </c>
      <c r="C1091" s="102">
        <v>0</v>
      </c>
      <c r="D1091" s="102">
        <v>0</v>
      </c>
      <c r="E1091" s="102">
        <v>0</v>
      </c>
      <c r="G1091" s="102">
        <f t="shared" ref="G1091:G1154" si="23">E1091+F1091</f>
        <v>0</v>
      </c>
      <c r="H1091" s="101" t="s">
        <v>80</v>
      </c>
    </row>
    <row r="1092" spans="1:8" hidden="1">
      <c r="A1092" s="101" t="s">
        <v>460</v>
      </c>
      <c r="B1092" s="102">
        <v>0</v>
      </c>
      <c r="C1092" s="102">
        <v>1339302</v>
      </c>
      <c r="D1092" s="102">
        <v>1339302</v>
      </c>
      <c r="E1092" s="102">
        <v>0</v>
      </c>
      <c r="G1092" s="102">
        <f t="shared" si="23"/>
        <v>0</v>
      </c>
      <c r="H1092" s="101" t="s">
        <v>80</v>
      </c>
    </row>
    <row r="1093" spans="1:8" hidden="1">
      <c r="A1093" s="101" t="s">
        <v>920</v>
      </c>
      <c r="B1093" s="102">
        <v>-390679</v>
      </c>
      <c r="C1093" s="102">
        <v>390679</v>
      </c>
      <c r="D1093" s="102">
        <v>0</v>
      </c>
      <c r="E1093" s="102">
        <v>0</v>
      </c>
      <c r="G1093" s="102">
        <f t="shared" si="23"/>
        <v>0</v>
      </c>
      <c r="H1093" s="101" t="s">
        <v>80</v>
      </c>
    </row>
    <row r="1094" spans="1:8" hidden="1">
      <c r="A1094" s="101" t="s">
        <v>1312</v>
      </c>
      <c r="B1094" s="102">
        <v>0</v>
      </c>
      <c r="C1094" s="102">
        <v>0</v>
      </c>
      <c r="D1094" s="102">
        <v>0</v>
      </c>
      <c r="E1094" s="102">
        <v>0</v>
      </c>
      <c r="G1094" s="102">
        <f t="shared" si="23"/>
        <v>0</v>
      </c>
      <c r="H1094" s="101" t="s">
        <v>80</v>
      </c>
    </row>
    <row r="1095" spans="1:8" hidden="1">
      <c r="A1095" s="101" t="s">
        <v>1313</v>
      </c>
      <c r="B1095" s="102">
        <v>0</v>
      </c>
      <c r="C1095" s="102">
        <v>0</v>
      </c>
      <c r="D1095" s="102">
        <v>0</v>
      </c>
      <c r="E1095" s="102">
        <v>0</v>
      </c>
      <c r="G1095" s="102">
        <f t="shared" si="23"/>
        <v>0</v>
      </c>
      <c r="H1095" s="101" t="s">
        <v>80</v>
      </c>
    </row>
    <row r="1096" spans="1:8" hidden="1">
      <c r="A1096" s="101" t="s">
        <v>1314</v>
      </c>
      <c r="B1096" s="102">
        <v>0</v>
      </c>
      <c r="C1096" s="102">
        <v>0</v>
      </c>
      <c r="D1096" s="102">
        <v>0</v>
      </c>
      <c r="E1096" s="102">
        <v>0</v>
      </c>
      <c r="G1096" s="102">
        <f t="shared" si="23"/>
        <v>0</v>
      </c>
      <c r="H1096" s="101" t="s">
        <v>80</v>
      </c>
    </row>
    <row r="1097" spans="1:8" hidden="1">
      <c r="A1097" s="101" t="s">
        <v>451</v>
      </c>
      <c r="B1097" s="102">
        <v>-113701170.09</v>
      </c>
      <c r="C1097" s="102">
        <v>14600000</v>
      </c>
      <c r="D1097" s="102">
        <v>23214834.050000001</v>
      </c>
      <c r="E1097" s="102">
        <v>-122316004.14</v>
      </c>
      <c r="G1097" s="102">
        <f t="shared" si="23"/>
        <v>-122316004.14</v>
      </c>
      <c r="H1097" s="101" t="s">
        <v>80</v>
      </c>
    </row>
    <row r="1098" spans="1:8" hidden="1">
      <c r="A1098" s="101" t="s">
        <v>1315</v>
      </c>
      <c r="B1098" s="102">
        <v>0</v>
      </c>
      <c r="C1098" s="102">
        <v>0</v>
      </c>
      <c r="D1098" s="102">
        <v>0</v>
      </c>
      <c r="E1098" s="102">
        <v>0</v>
      </c>
      <c r="G1098" s="102">
        <f t="shared" si="23"/>
        <v>0</v>
      </c>
      <c r="H1098" s="101" t="s">
        <v>80</v>
      </c>
    </row>
    <row r="1099" spans="1:8" hidden="1">
      <c r="A1099" s="101" t="s">
        <v>239</v>
      </c>
      <c r="B1099" s="102">
        <v>0</v>
      </c>
      <c r="C1099" s="102">
        <v>4141237.5</v>
      </c>
      <c r="D1099" s="102">
        <v>4144750</v>
      </c>
      <c r="E1099" s="102">
        <v>-3512.5</v>
      </c>
      <c r="G1099" s="102">
        <f t="shared" si="23"/>
        <v>-3512.5</v>
      </c>
      <c r="H1099" s="101" t="s">
        <v>80</v>
      </c>
    </row>
    <row r="1100" spans="1:8" hidden="1">
      <c r="A1100" s="101" t="s">
        <v>1316</v>
      </c>
      <c r="B1100" s="102">
        <v>0</v>
      </c>
      <c r="C1100" s="102">
        <v>38333260</v>
      </c>
      <c r="D1100" s="102">
        <v>0</v>
      </c>
      <c r="E1100" s="102">
        <v>38333260</v>
      </c>
      <c r="G1100" s="102">
        <f t="shared" si="23"/>
        <v>38333260</v>
      </c>
      <c r="H1100" s="101" t="s">
        <v>80</v>
      </c>
    </row>
    <row r="1101" spans="1:8" hidden="1">
      <c r="A1101" s="101" t="s">
        <v>1317</v>
      </c>
      <c r="B1101" s="102">
        <v>0</v>
      </c>
      <c r="C1101" s="102">
        <v>0</v>
      </c>
      <c r="D1101" s="102">
        <v>0</v>
      </c>
      <c r="E1101" s="102">
        <v>0</v>
      </c>
      <c r="G1101" s="102">
        <f t="shared" si="23"/>
        <v>0</v>
      </c>
      <c r="H1101" s="101" t="s">
        <v>80</v>
      </c>
    </row>
    <row r="1102" spans="1:8" hidden="1">
      <c r="A1102" s="101" t="s">
        <v>1318</v>
      </c>
      <c r="B1102" s="102">
        <v>0</v>
      </c>
      <c r="C1102" s="102">
        <v>3540000</v>
      </c>
      <c r="D1102" s="102">
        <v>0</v>
      </c>
      <c r="E1102" s="102">
        <v>3540000</v>
      </c>
      <c r="G1102" s="102">
        <f t="shared" si="23"/>
        <v>3540000</v>
      </c>
      <c r="H1102" s="101" t="s">
        <v>80</v>
      </c>
    </row>
    <row r="1103" spans="1:8" hidden="1">
      <c r="A1103" s="101" t="s">
        <v>1319</v>
      </c>
      <c r="B1103" s="102">
        <v>0</v>
      </c>
      <c r="C1103" s="102">
        <v>0</v>
      </c>
      <c r="D1103" s="102">
        <v>0</v>
      </c>
      <c r="E1103" s="102">
        <v>0</v>
      </c>
      <c r="G1103" s="102">
        <f t="shared" si="23"/>
        <v>0</v>
      </c>
      <c r="H1103" s="101" t="s">
        <v>80</v>
      </c>
    </row>
    <row r="1104" spans="1:8" hidden="1">
      <c r="A1104" s="101" t="s">
        <v>1320</v>
      </c>
      <c r="B1104" s="102">
        <v>0</v>
      </c>
      <c r="C1104" s="102">
        <v>0</v>
      </c>
      <c r="D1104" s="102">
        <v>0</v>
      </c>
      <c r="E1104" s="102">
        <v>0</v>
      </c>
      <c r="G1104" s="102">
        <f t="shared" si="23"/>
        <v>0</v>
      </c>
      <c r="H1104" s="101" t="s">
        <v>80</v>
      </c>
    </row>
    <row r="1105" spans="1:8" hidden="1">
      <c r="A1105" s="101" t="s">
        <v>1321</v>
      </c>
      <c r="B1105" s="102">
        <v>0.01</v>
      </c>
      <c r="C1105" s="102">
        <v>0</v>
      </c>
      <c r="D1105" s="102">
        <v>0</v>
      </c>
      <c r="E1105" s="102">
        <v>0.01</v>
      </c>
      <c r="G1105" s="102">
        <f t="shared" si="23"/>
        <v>0.01</v>
      </c>
      <c r="H1105" s="101" t="s">
        <v>80</v>
      </c>
    </row>
    <row r="1106" spans="1:8" hidden="1">
      <c r="A1106" s="101" t="s">
        <v>921</v>
      </c>
      <c r="B1106" s="102">
        <v>2177.2800000000002</v>
      </c>
      <c r="C1106" s="102">
        <v>0</v>
      </c>
      <c r="D1106" s="102">
        <v>0</v>
      </c>
      <c r="E1106" s="102">
        <v>2177.2800000000002</v>
      </c>
      <c r="G1106" s="102">
        <f t="shared" si="23"/>
        <v>2177.2800000000002</v>
      </c>
      <c r="H1106" s="101" t="s">
        <v>80</v>
      </c>
    </row>
    <row r="1107" spans="1:8" hidden="1">
      <c r="A1107" s="101" t="s">
        <v>524</v>
      </c>
      <c r="B1107" s="102">
        <v>-1349976.14</v>
      </c>
      <c r="C1107" s="102">
        <v>894834.97</v>
      </c>
      <c r="D1107" s="102">
        <v>2697549</v>
      </c>
      <c r="E1107" s="102">
        <v>-3152690.17</v>
      </c>
      <c r="G1107" s="102">
        <f t="shared" si="23"/>
        <v>-3152690.17</v>
      </c>
      <c r="H1107" s="101" t="s">
        <v>80</v>
      </c>
    </row>
    <row r="1108" spans="1:8" hidden="1">
      <c r="A1108" s="101" t="s">
        <v>1322</v>
      </c>
      <c r="B1108" s="102">
        <v>0</v>
      </c>
      <c r="C1108" s="102">
        <v>0</v>
      </c>
      <c r="D1108" s="102">
        <v>0</v>
      </c>
      <c r="E1108" s="102">
        <v>0</v>
      </c>
      <c r="G1108" s="102">
        <f t="shared" si="23"/>
        <v>0</v>
      </c>
      <c r="H1108" s="101" t="s">
        <v>80</v>
      </c>
    </row>
    <row r="1109" spans="1:8" hidden="1">
      <c r="A1109" s="101" t="s">
        <v>514</v>
      </c>
      <c r="B1109" s="102">
        <v>-6093</v>
      </c>
      <c r="C1109" s="102">
        <v>0</v>
      </c>
      <c r="D1109" s="102">
        <v>0</v>
      </c>
      <c r="E1109" s="102">
        <v>-6093</v>
      </c>
      <c r="G1109" s="102">
        <f t="shared" si="23"/>
        <v>-6093</v>
      </c>
      <c r="H1109" s="101" t="s">
        <v>80</v>
      </c>
    </row>
    <row r="1110" spans="1:8" hidden="1">
      <c r="A1110" s="101" t="s">
        <v>922</v>
      </c>
      <c r="B1110" s="102">
        <v>-2815223.04</v>
      </c>
      <c r="C1110" s="102">
        <v>0</v>
      </c>
      <c r="D1110" s="102">
        <v>0</v>
      </c>
      <c r="E1110" s="102">
        <v>-2815223.04</v>
      </c>
      <c r="G1110" s="102">
        <f t="shared" si="23"/>
        <v>-2815223.04</v>
      </c>
      <c r="H1110" s="101" t="s">
        <v>80</v>
      </c>
    </row>
    <row r="1111" spans="1:8" hidden="1">
      <c r="A1111" s="101" t="s">
        <v>515</v>
      </c>
      <c r="B1111" s="102">
        <v>-60939205.399999999</v>
      </c>
      <c r="C1111" s="102">
        <v>25711863</v>
      </c>
      <c r="D1111" s="102">
        <v>17145531.199999999</v>
      </c>
      <c r="E1111" s="102">
        <v>-52372873.600000001</v>
      </c>
      <c r="G1111" s="102">
        <f t="shared" si="23"/>
        <v>-52372873.600000001</v>
      </c>
      <c r="H1111" s="101" t="s">
        <v>80</v>
      </c>
    </row>
    <row r="1112" spans="1:8" hidden="1">
      <c r="A1112" s="101" t="s">
        <v>516</v>
      </c>
      <c r="B1112" s="102">
        <v>121956043.03</v>
      </c>
      <c r="C1112" s="102">
        <v>20088</v>
      </c>
      <c r="D1112" s="102">
        <v>0</v>
      </c>
      <c r="E1112" s="102">
        <v>121976131.03</v>
      </c>
      <c r="G1112" s="102">
        <f t="shared" si="23"/>
        <v>121976131.03</v>
      </c>
      <c r="H1112" s="101" t="s">
        <v>80</v>
      </c>
    </row>
    <row r="1113" spans="1:8" hidden="1">
      <c r="A1113" s="101" t="s">
        <v>214</v>
      </c>
      <c r="B1113" s="102">
        <v>-178274.77</v>
      </c>
      <c r="C1113" s="102">
        <v>58153.79</v>
      </c>
      <c r="D1113" s="102">
        <v>1107.69</v>
      </c>
      <c r="E1113" s="102">
        <v>-121228.67</v>
      </c>
      <c r="G1113" s="102">
        <f t="shared" si="23"/>
        <v>-121228.67</v>
      </c>
      <c r="H1113" s="101" t="s">
        <v>80</v>
      </c>
    </row>
    <row r="1114" spans="1:8" hidden="1">
      <c r="A1114" s="101" t="s">
        <v>1528</v>
      </c>
      <c r="B1114" s="102">
        <v>0</v>
      </c>
      <c r="C1114" s="102">
        <v>0</v>
      </c>
      <c r="D1114" s="102">
        <v>0</v>
      </c>
      <c r="E1114" s="102">
        <v>0</v>
      </c>
      <c r="G1114" s="102">
        <f t="shared" si="23"/>
        <v>0</v>
      </c>
      <c r="H1114" s="101" t="s">
        <v>80</v>
      </c>
    </row>
    <row r="1115" spans="1:8" hidden="1">
      <c r="A1115" s="101" t="s">
        <v>207</v>
      </c>
      <c r="B1115" s="102">
        <v>-0.16</v>
      </c>
      <c r="C1115" s="102">
        <v>0</v>
      </c>
      <c r="D1115" s="102">
        <v>0</v>
      </c>
      <c r="E1115" s="102">
        <v>-0.16</v>
      </c>
      <c r="G1115" s="102">
        <f t="shared" si="23"/>
        <v>-0.16</v>
      </c>
      <c r="H1115" s="101" t="s">
        <v>80</v>
      </c>
    </row>
    <row r="1116" spans="1:8" hidden="1">
      <c r="A1116" s="101" t="s">
        <v>923</v>
      </c>
      <c r="B1116" s="102">
        <v>-288057.3</v>
      </c>
      <c r="C1116" s="102">
        <v>27479518.260000002</v>
      </c>
      <c r="D1116" s="102">
        <v>27922268.98</v>
      </c>
      <c r="E1116" s="102">
        <v>-730808.02</v>
      </c>
      <c r="G1116" s="102">
        <f t="shared" si="23"/>
        <v>-730808.02</v>
      </c>
      <c r="H1116" s="101" t="s">
        <v>80</v>
      </c>
    </row>
    <row r="1117" spans="1:8" hidden="1">
      <c r="A1117" s="101" t="s">
        <v>195</v>
      </c>
      <c r="B1117" s="102">
        <v>-3347574.91</v>
      </c>
      <c r="C1117" s="102">
        <v>0</v>
      </c>
      <c r="D1117" s="102">
        <v>0</v>
      </c>
      <c r="E1117" s="102">
        <v>-3347574.91</v>
      </c>
      <c r="G1117" s="102">
        <f t="shared" si="23"/>
        <v>-3347574.91</v>
      </c>
      <c r="H1117" s="101" t="s">
        <v>80</v>
      </c>
    </row>
    <row r="1118" spans="1:8" hidden="1">
      <c r="A1118" s="101" t="s">
        <v>196</v>
      </c>
      <c r="B1118" s="102">
        <v>-4968583.95</v>
      </c>
      <c r="C1118" s="102">
        <v>5900509.9100000001</v>
      </c>
      <c r="D1118" s="102">
        <v>1264495.67</v>
      </c>
      <c r="E1118" s="102">
        <v>-332569.71000000002</v>
      </c>
      <c r="G1118" s="102">
        <f t="shared" si="23"/>
        <v>-332569.71000000002</v>
      </c>
      <c r="H1118" s="101" t="s">
        <v>80</v>
      </c>
    </row>
    <row r="1119" spans="1:8" hidden="1">
      <c r="A1119" s="101" t="s">
        <v>924</v>
      </c>
      <c r="B1119" s="102">
        <v>0</v>
      </c>
      <c r="C1119" s="102">
        <v>0</v>
      </c>
      <c r="D1119" s="102">
        <v>3241696</v>
      </c>
      <c r="E1119" s="102">
        <v>-3241696</v>
      </c>
      <c r="G1119" s="102">
        <f t="shared" si="23"/>
        <v>-3241696</v>
      </c>
      <c r="H1119" s="101" t="s">
        <v>80</v>
      </c>
    </row>
    <row r="1120" spans="1:8" hidden="1">
      <c r="A1120" s="101" t="s">
        <v>1323</v>
      </c>
      <c r="B1120" s="102">
        <v>0</v>
      </c>
      <c r="C1120" s="102">
        <v>0</v>
      </c>
      <c r="D1120" s="102">
        <v>0</v>
      </c>
      <c r="E1120" s="102">
        <v>0</v>
      </c>
      <c r="G1120" s="102">
        <f t="shared" si="23"/>
        <v>0</v>
      </c>
      <c r="H1120" s="101" t="s">
        <v>80</v>
      </c>
    </row>
    <row r="1121" spans="1:8" hidden="1">
      <c r="A1121" s="101" t="s">
        <v>925</v>
      </c>
      <c r="B1121" s="102">
        <v>397122</v>
      </c>
      <c r="C1121" s="102">
        <v>0</v>
      </c>
      <c r="D1121" s="102">
        <v>0</v>
      </c>
      <c r="E1121" s="102">
        <v>397122</v>
      </c>
      <c r="G1121" s="102">
        <f t="shared" si="23"/>
        <v>397122</v>
      </c>
      <c r="H1121" s="101" t="s">
        <v>80</v>
      </c>
    </row>
    <row r="1122" spans="1:8" hidden="1">
      <c r="A1122" s="101" t="s">
        <v>1324</v>
      </c>
      <c r="B1122" s="102">
        <v>0</v>
      </c>
      <c r="C1122" s="102">
        <v>0</v>
      </c>
      <c r="D1122" s="102">
        <v>0</v>
      </c>
      <c r="E1122" s="102">
        <v>0</v>
      </c>
      <c r="G1122" s="102">
        <f t="shared" si="23"/>
        <v>0</v>
      </c>
      <c r="H1122" s="101" t="s">
        <v>80</v>
      </c>
    </row>
    <row r="1123" spans="1:8" hidden="1">
      <c r="A1123" s="101" t="s">
        <v>517</v>
      </c>
      <c r="B1123" s="102">
        <v>9070549</v>
      </c>
      <c r="C1123" s="102">
        <v>0</v>
      </c>
      <c r="D1123" s="102">
        <v>0</v>
      </c>
      <c r="E1123" s="102">
        <v>9070549</v>
      </c>
      <c r="G1123" s="102">
        <f t="shared" si="23"/>
        <v>9070549</v>
      </c>
      <c r="H1123" s="101" t="s">
        <v>80</v>
      </c>
    </row>
    <row r="1124" spans="1:8" hidden="1">
      <c r="A1124" s="101" t="s">
        <v>1326</v>
      </c>
      <c r="B1124" s="102">
        <v>0</v>
      </c>
      <c r="C1124" s="102">
        <v>0</v>
      </c>
      <c r="D1124" s="102">
        <v>0</v>
      </c>
      <c r="E1124" s="102">
        <v>0</v>
      </c>
      <c r="G1124" s="102">
        <f t="shared" si="23"/>
        <v>0</v>
      </c>
      <c r="H1124" s="101" t="s">
        <v>80</v>
      </c>
    </row>
    <row r="1125" spans="1:8" hidden="1">
      <c r="A1125" s="101" t="s">
        <v>1327</v>
      </c>
      <c r="B1125" s="102">
        <v>0</v>
      </c>
      <c r="C1125" s="102">
        <v>0</v>
      </c>
      <c r="D1125" s="102">
        <v>0</v>
      </c>
      <c r="E1125" s="102">
        <v>0</v>
      </c>
      <c r="G1125" s="102">
        <f t="shared" si="23"/>
        <v>0</v>
      </c>
      <c r="H1125" s="101" t="s">
        <v>80</v>
      </c>
    </row>
    <row r="1126" spans="1:8" hidden="1">
      <c r="A1126" s="101" t="s">
        <v>437</v>
      </c>
      <c r="B1126" s="102">
        <v>-9289728</v>
      </c>
      <c r="C1126" s="102">
        <v>0</v>
      </c>
      <c r="D1126" s="102">
        <v>0</v>
      </c>
      <c r="E1126" s="102">
        <v>-9289728</v>
      </c>
      <c r="G1126" s="102">
        <f t="shared" si="23"/>
        <v>-9289728</v>
      </c>
      <c r="H1126" s="101" t="s">
        <v>80</v>
      </c>
    </row>
    <row r="1127" spans="1:8" hidden="1">
      <c r="A1127" s="101" t="s">
        <v>926</v>
      </c>
      <c r="B1127" s="102">
        <v>15352.4</v>
      </c>
      <c r="C1127" s="102">
        <v>0</v>
      </c>
      <c r="D1127" s="102">
        <v>0</v>
      </c>
      <c r="E1127" s="102">
        <v>15352.4</v>
      </c>
      <c r="G1127" s="102">
        <f t="shared" si="23"/>
        <v>15352.4</v>
      </c>
      <c r="H1127" s="101" t="s">
        <v>80</v>
      </c>
    </row>
    <row r="1128" spans="1:8" hidden="1">
      <c r="A1128" s="101" t="s">
        <v>378</v>
      </c>
      <c r="B1128" s="102">
        <v>3704282.43</v>
      </c>
      <c r="C1128" s="102">
        <v>958118.04</v>
      </c>
      <c r="D1128" s="102">
        <v>919735.67</v>
      </c>
      <c r="E1128" s="102">
        <v>3742664.8</v>
      </c>
      <c r="G1128" s="102">
        <f t="shared" si="23"/>
        <v>3742664.8</v>
      </c>
      <c r="H1128" s="101" t="s">
        <v>80</v>
      </c>
    </row>
    <row r="1129" spans="1:8" hidden="1">
      <c r="A1129" s="101" t="s">
        <v>927</v>
      </c>
      <c r="B1129" s="102">
        <v>-1667849.04</v>
      </c>
      <c r="C1129" s="102">
        <v>0</v>
      </c>
      <c r="D1129" s="102">
        <v>0</v>
      </c>
      <c r="E1129" s="102">
        <v>-1667849.04</v>
      </c>
      <c r="G1129" s="102">
        <f t="shared" si="23"/>
        <v>-1667849.04</v>
      </c>
      <c r="H1129" s="101" t="s">
        <v>80</v>
      </c>
    </row>
    <row r="1130" spans="1:8" hidden="1">
      <c r="A1130" s="101" t="s">
        <v>160</v>
      </c>
      <c r="B1130" s="102">
        <v>-120912.47</v>
      </c>
      <c r="C1130" s="102">
        <v>0</v>
      </c>
      <c r="D1130" s="102">
        <v>0</v>
      </c>
      <c r="E1130" s="102">
        <v>-120912.47</v>
      </c>
      <c r="G1130" s="102">
        <f t="shared" si="23"/>
        <v>-120912.47</v>
      </c>
      <c r="H1130" s="101" t="s">
        <v>80</v>
      </c>
    </row>
    <row r="1131" spans="1:8" hidden="1">
      <c r="A1131" s="101" t="s">
        <v>1328</v>
      </c>
      <c r="B1131" s="102">
        <v>0</v>
      </c>
      <c r="C1131" s="102">
        <v>0</v>
      </c>
      <c r="D1131" s="102">
        <v>0</v>
      </c>
      <c r="E1131" s="102">
        <v>0</v>
      </c>
      <c r="G1131" s="102">
        <f t="shared" si="23"/>
        <v>0</v>
      </c>
      <c r="H1131" s="101" t="s">
        <v>80</v>
      </c>
    </row>
    <row r="1132" spans="1:8" hidden="1">
      <c r="A1132" s="101" t="s">
        <v>491</v>
      </c>
      <c r="B1132" s="102">
        <v>-3.14</v>
      </c>
      <c r="C1132" s="102">
        <v>0</v>
      </c>
      <c r="D1132" s="102">
        <v>0</v>
      </c>
      <c r="E1132" s="102">
        <v>-3.14</v>
      </c>
      <c r="G1132" s="102">
        <f t="shared" si="23"/>
        <v>-3.14</v>
      </c>
      <c r="H1132" s="101" t="s">
        <v>80</v>
      </c>
    </row>
    <row r="1133" spans="1:8" hidden="1">
      <c r="A1133" s="101" t="s">
        <v>928</v>
      </c>
      <c r="B1133" s="102">
        <v>6686760.96</v>
      </c>
      <c r="C1133" s="102">
        <v>0</v>
      </c>
      <c r="D1133" s="102">
        <v>0</v>
      </c>
      <c r="E1133" s="102">
        <v>6686760.96</v>
      </c>
      <c r="G1133" s="102">
        <f t="shared" si="23"/>
        <v>6686760.96</v>
      </c>
      <c r="H1133" s="101" t="s">
        <v>80</v>
      </c>
    </row>
    <row r="1134" spans="1:8" hidden="1">
      <c r="A1134" s="101" t="s">
        <v>929</v>
      </c>
      <c r="B1134" s="102">
        <v>-0.01</v>
      </c>
      <c r="C1134" s="102">
        <v>0</v>
      </c>
      <c r="D1134" s="102">
        <v>0</v>
      </c>
      <c r="E1134" s="102">
        <v>-0.01</v>
      </c>
      <c r="G1134" s="102">
        <f t="shared" si="23"/>
        <v>-0.01</v>
      </c>
      <c r="H1134" s="101" t="s">
        <v>80</v>
      </c>
    </row>
    <row r="1135" spans="1:8" hidden="1">
      <c r="A1135" s="101" t="s">
        <v>399</v>
      </c>
      <c r="B1135" s="102">
        <v>-1380670.92</v>
      </c>
      <c r="C1135" s="102">
        <v>1194112</v>
      </c>
      <c r="D1135" s="102">
        <v>1198880</v>
      </c>
      <c r="E1135" s="102">
        <v>-1385438.92</v>
      </c>
      <c r="G1135" s="102">
        <f t="shared" si="23"/>
        <v>-1385438.92</v>
      </c>
      <c r="H1135" s="101" t="s">
        <v>80</v>
      </c>
    </row>
    <row r="1136" spans="1:8" hidden="1">
      <c r="A1136" s="101" t="s">
        <v>930</v>
      </c>
      <c r="B1136" s="102">
        <v>-0.63</v>
      </c>
      <c r="C1136" s="102">
        <v>0</v>
      </c>
      <c r="D1136" s="102">
        <v>0</v>
      </c>
      <c r="E1136" s="102">
        <v>-0.63</v>
      </c>
      <c r="G1136" s="102">
        <f t="shared" si="23"/>
        <v>-0.63</v>
      </c>
      <c r="H1136" s="101" t="s">
        <v>80</v>
      </c>
    </row>
    <row r="1137" spans="1:8" hidden="1">
      <c r="A1137" s="101" t="s">
        <v>931</v>
      </c>
      <c r="B1137" s="102">
        <v>1800</v>
      </c>
      <c r="C1137" s="102">
        <v>0</v>
      </c>
      <c r="D1137" s="102">
        <v>0</v>
      </c>
      <c r="E1137" s="102">
        <v>1800</v>
      </c>
      <c r="G1137" s="102">
        <f t="shared" si="23"/>
        <v>1800</v>
      </c>
      <c r="H1137" s="101" t="s">
        <v>80</v>
      </c>
    </row>
    <row r="1138" spans="1:8" hidden="1">
      <c r="A1138" s="101" t="s">
        <v>397</v>
      </c>
      <c r="B1138" s="102">
        <v>-44301.5</v>
      </c>
      <c r="C1138" s="102">
        <v>0</v>
      </c>
      <c r="D1138" s="102">
        <v>0</v>
      </c>
      <c r="E1138" s="102">
        <v>-44301.5</v>
      </c>
      <c r="G1138" s="102">
        <f t="shared" si="23"/>
        <v>-44301.5</v>
      </c>
      <c r="H1138" s="101" t="s">
        <v>80</v>
      </c>
    </row>
    <row r="1139" spans="1:8" hidden="1">
      <c r="A1139" s="101" t="s">
        <v>1329</v>
      </c>
      <c r="B1139" s="102">
        <v>0</v>
      </c>
      <c r="C1139" s="102">
        <v>0</v>
      </c>
      <c r="D1139" s="102">
        <v>0</v>
      </c>
      <c r="E1139" s="102">
        <v>0</v>
      </c>
      <c r="G1139" s="102">
        <f t="shared" si="23"/>
        <v>0</v>
      </c>
      <c r="H1139" s="101" t="s">
        <v>80</v>
      </c>
    </row>
    <row r="1140" spans="1:8" hidden="1">
      <c r="A1140" s="101" t="s">
        <v>932</v>
      </c>
      <c r="B1140" s="102">
        <v>-25323.73</v>
      </c>
      <c r="C1140" s="102">
        <v>658284</v>
      </c>
      <c r="D1140" s="102">
        <v>658284</v>
      </c>
      <c r="E1140" s="102">
        <v>-25323.73</v>
      </c>
      <c r="G1140" s="102">
        <f t="shared" si="23"/>
        <v>-25323.73</v>
      </c>
      <c r="H1140" s="101" t="s">
        <v>80</v>
      </c>
    </row>
    <row r="1141" spans="1:8" hidden="1">
      <c r="A1141" s="101" t="s">
        <v>299</v>
      </c>
      <c r="B1141" s="102">
        <v>30429</v>
      </c>
      <c r="C1141" s="102">
        <v>0</v>
      </c>
      <c r="D1141" s="102">
        <v>0</v>
      </c>
      <c r="E1141" s="102">
        <v>30429</v>
      </c>
      <c r="G1141" s="102">
        <f t="shared" si="23"/>
        <v>30429</v>
      </c>
      <c r="H1141" s="101" t="s">
        <v>80</v>
      </c>
    </row>
    <row r="1142" spans="1:8" hidden="1">
      <c r="A1142" s="101" t="s">
        <v>933</v>
      </c>
      <c r="B1142" s="102">
        <v>200000</v>
      </c>
      <c r="C1142" s="102">
        <v>50000</v>
      </c>
      <c r="D1142" s="102">
        <v>0</v>
      </c>
      <c r="E1142" s="102">
        <v>250000</v>
      </c>
      <c r="G1142" s="102">
        <f t="shared" si="23"/>
        <v>250000</v>
      </c>
      <c r="H1142" s="101" t="s">
        <v>80</v>
      </c>
    </row>
    <row r="1143" spans="1:8" hidden="1">
      <c r="A1143" s="101" t="s">
        <v>1330</v>
      </c>
      <c r="B1143" s="102">
        <v>0</v>
      </c>
      <c r="C1143" s="102">
        <v>5000</v>
      </c>
      <c r="D1143" s="102">
        <v>5000</v>
      </c>
      <c r="E1143" s="102">
        <v>0</v>
      </c>
      <c r="G1143" s="102">
        <f t="shared" si="23"/>
        <v>0</v>
      </c>
      <c r="H1143" s="101" t="s">
        <v>80</v>
      </c>
    </row>
    <row r="1144" spans="1:8" hidden="1">
      <c r="A1144" s="101" t="s">
        <v>934</v>
      </c>
      <c r="B1144" s="102">
        <v>7668</v>
      </c>
      <c r="C1144" s="102">
        <v>0</v>
      </c>
      <c r="D1144" s="102">
        <v>0</v>
      </c>
      <c r="E1144" s="102">
        <v>7668</v>
      </c>
      <c r="G1144" s="102">
        <f t="shared" si="23"/>
        <v>7668</v>
      </c>
      <c r="H1144" s="101" t="s">
        <v>80</v>
      </c>
    </row>
    <row r="1145" spans="1:8" hidden="1">
      <c r="A1145" s="101" t="s">
        <v>1331</v>
      </c>
      <c r="B1145" s="102">
        <v>0</v>
      </c>
      <c r="C1145" s="102">
        <v>0</v>
      </c>
      <c r="D1145" s="102">
        <v>0</v>
      </c>
      <c r="E1145" s="102">
        <v>0</v>
      </c>
      <c r="G1145" s="102">
        <f t="shared" si="23"/>
        <v>0</v>
      </c>
      <c r="H1145" s="101" t="s">
        <v>80</v>
      </c>
    </row>
    <row r="1146" spans="1:8" hidden="1">
      <c r="A1146" s="101" t="s">
        <v>935</v>
      </c>
      <c r="B1146" s="102">
        <v>500</v>
      </c>
      <c r="C1146" s="102">
        <v>116500</v>
      </c>
      <c r="D1146" s="102">
        <v>118000</v>
      </c>
      <c r="E1146" s="102">
        <v>-1000</v>
      </c>
      <c r="G1146" s="102">
        <f t="shared" si="23"/>
        <v>-1000</v>
      </c>
      <c r="H1146" s="101" t="s">
        <v>80</v>
      </c>
    </row>
    <row r="1147" spans="1:8" hidden="1">
      <c r="A1147" s="101" t="s">
        <v>936</v>
      </c>
      <c r="B1147" s="102">
        <v>-21426</v>
      </c>
      <c r="C1147" s="102">
        <v>19518</v>
      </c>
      <c r="D1147" s="102">
        <v>0</v>
      </c>
      <c r="E1147" s="102">
        <v>-1908</v>
      </c>
      <c r="G1147" s="102">
        <f t="shared" si="23"/>
        <v>-1908</v>
      </c>
      <c r="H1147" s="101" t="s">
        <v>80</v>
      </c>
    </row>
    <row r="1148" spans="1:8" hidden="1">
      <c r="A1148" s="101" t="s">
        <v>1332</v>
      </c>
      <c r="B1148" s="102">
        <v>0</v>
      </c>
      <c r="C1148" s="102">
        <v>0</v>
      </c>
      <c r="D1148" s="102">
        <v>0</v>
      </c>
      <c r="E1148" s="102">
        <v>0</v>
      </c>
      <c r="G1148" s="102">
        <f t="shared" si="23"/>
        <v>0</v>
      </c>
      <c r="H1148" s="101" t="s">
        <v>80</v>
      </c>
    </row>
    <row r="1149" spans="1:8" hidden="1">
      <c r="A1149" s="101" t="s">
        <v>937</v>
      </c>
      <c r="B1149" s="102">
        <v>4000</v>
      </c>
      <c r="C1149" s="102">
        <v>0</v>
      </c>
      <c r="D1149" s="102">
        <v>0</v>
      </c>
      <c r="E1149" s="102">
        <v>4000</v>
      </c>
      <c r="G1149" s="102">
        <f t="shared" si="23"/>
        <v>4000</v>
      </c>
      <c r="H1149" s="101" t="s">
        <v>80</v>
      </c>
    </row>
    <row r="1150" spans="1:8" hidden="1">
      <c r="A1150" s="101" t="s">
        <v>938</v>
      </c>
      <c r="B1150" s="102">
        <v>-180000</v>
      </c>
      <c r="C1150" s="102">
        <v>380000</v>
      </c>
      <c r="D1150" s="102">
        <v>200000</v>
      </c>
      <c r="E1150" s="102">
        <v>0</v>
      </c>
      <c r="G1150" s="102">
        <f t="shared" si="23"/>
        <v>0</v>
      </c>
      <c r="H1150" s="101" t="s">
        <v>80</v>
      </c>
    </row>
    <row r="1151" spans="1:8" hidden="1">
      <c r="A1151" s="101" t="s">
        <v>382</v>
      </c>
      <c r="B1151" s="102">
        <v>-40406.5</v>
      </c>
      <c r="C1151" s="102">
        <v>0</v>
      </c>
      <c r="D1151" s="102">
        <v>0</v>
      </c>
      <c r="E1151" s="102">
        <v>-40406.5</v>
      </c>
      <c r="G1151" s="102">
        <f t="shared" si="23"/>
        <v>-40406.5</v>
      </c>
      <c r="H1151" s="101" t="s">
        <v>80</v>
      </c>
    </row>
    <row r="1152" spans="1:8" hidden="1">
      <c r="A1152" s="101" t="s">
        <v>939</v>
      </c>
      <c r="B1152" s="102">
        <v>-0.06</v>
      </c>
      <c r="C1152" s="102">
        <v>586218.72</v>
      </c>
      <c r="D1152" s="102">
        <v>586218.72</v>
      </c>
      <c r="E1152" s="102">
        <v>-0.06</v>
      </c>
      <c r="G1152" s="102">
        <f t="shared" si="23"/>
        <v>-0.06</v>
      </c>
      <c r="H1152" s="101" t="s">
        <v>80</v>
      </c>
    </row>
    <row r="1153" spans="1:8" hidden="1">
      <c r="A1153" s="101" t="s">
        <v>940</v>
      </c>
      <c r="B1153" s="102">
        <v>-0.45</v>
      </c>
      <c r="C1153" s="102">
        <v>7796.85</v>
      </c>
      <c r="D1153" s="102">
        <v>7796.85</v>
      </c>
      <c r="E1153" s="102">
        <v>-0.45</v>
      </c>
      <c r="G1153" s="102">
        <f t="shared" si="23"/>
        <v>-0.45</v>
      </c>
      <c r="H1153" s="101" t="s">
        <v>80</v>
      </c>
    </row>
    <row r="1154" spans="1:8" hidden="1">
      <c r="A1154" s="101" t="s">
        <v>941</v>
      </c>
      <c r="B1154" s="102">
        <v>-54000</v>
      </c>
      <c r="C1154" s="102">
        <v>114000</v>
      </c>
      <c r="D1154" s="102">
        <v>60000</v>
      </c>
      <c r="E1154" s="102">
        <v>0</v>
      </c>
      <c r="G1154" s="102">
        <f t="shared" si="23"/>
        <v>0</v>
      </c>
      <c r="H1154" s="101" t="s">
        <v>80</v>
      </c>
    </row>
    <row r="1155" spans="1:8" hidden="1">
      <c r="A1155" s="101" t="s">
        <v>942</v>
      </c>
      <c r="B1155" s="102">
        <v>-113400</v>
      </c>
      <c r="C1155" s="102">
        <v>239400</v>
      </c>
      <c r="D1155" s="102">
        <v>126000</v>
      </c>
      <c r="E1155" s="102">
        <v>0</v>
      </c>
      <c r="G1155" s="102">
        <f t="shared" ref="G1155:G1218" si="24">E1155+F1155</f>
        <v>0</v>
      </c>
      <c r="H1155" s="101" t="s">
        <v>80</v>
      </c>
    </row>
    <row r="1156" spans="1:8" hidden="1">
      <c r="A1156" s="101" t="s">
        <v>943</v>
      </c>
      <c r="B1156" s="102">
        <v>-108000</v>
      </c>
      <c r="C1156" s="102">
        <v>228000</v>
      </c>
      <c r="D1156" s="102">
        <v>120000</v>
      </c>
      <c r="E1156" s="102">
        <v>0</v>
      </c>
      <c r="G1156" s="102">
        <f t="shared" si="24"/>
        <v>0</v>
      </c>
      <c r="H1156" s="101" t="s">
        <v>80</v>
      </c>
    </row>
    <row r="1157" spans="1:8" hidden="1">
      <c r="A1157" s="101" t="s">
        <v>944</v>
      </c>
      <c r="B1157" s="102">
        <v>-34000</v>
      </c>
      <c r="C1157" s="102">
        <v>68000</v>
      </c>
      <c r="D1157" s="102">
        <v>34000</v>
      </c>
      <c r="E1157" s="102">
        <v>0</v>
      </c>
      <c r="G1157" s="102">
        <f t="shared" si="24"/>
        <v>0</v>
      </c>
      <c r="H1157" s="101" t="s">
        <v>80</v>
      </c>
    </row>
    <row r="1158" spans="1:8" hidden="1">
      <c r="A1158" s="101" t="s">
        <v>945</v>
      </c>
      <c r="B1158" s="102">
        <v>4256</v>
      </c>
      <c r="C1158" s="102">
        <v>17032</v>
      </c>
      <c r="D1158" s="102">
        <v>0</v>
      </c>
      <c r="E1158" s="102">
        <v>21288</v>
      </c>
      <c r="G1158" s="102">
        <f t="shared" si="24"/>
        <v>21288</v>
      </c>
      <c r="H1158" s="101" t="s">
        <v>80</v>
      </c>
    </row>
    <row r="1159" spans="1:8" hidden="1">
      <c r="A1159" s="101" t="s">
        <v>946</v>
      </c>
      <c r="B1159" s="102">
        <v>4000</v>
      </c>
      <c r="C1159" s="102">
        <v>0</v>
      </c>
      <c r="D1159" s="102">
        <v>0</v>
      </c>
      <c r="E1159" s="102">
        <v>4000</v>
      </c>
      <c r="G1159" s="102">
        <f t="shared" si="24"/>
        <v>4000</v>
      </c>
      <c r="H1159" s="101" t="s">
        <v>80</v>
      </c>
    </row>
    <row r="1160" spans="1:8" hidden="1">
      <c r="A1160" s="101" t="s">
        <v>283</v>
      </c>
      <c r="B1160" s="102">
        <v>-6600</v>
      </c>
      <c r="C1160" s="102">
        <v>0</v>
      </c>
      <c r="D1160" s="102">
        <v>0</v>
      </c>
      <c r="E1160" s="102">
        <v>-6600</v>
      </c>
      <c r="G1160" s="102">
        <f t="shared" si="24"/>
        <v>-6600</v>
      </c>
      <c r="H1160" s="101" t="s">
        <v>80</v>
      </c>
    </row>
    <row r="1161" spans="1:8" hidden="1">
      <c r="A1161" s="101" t="s">
        <v>947</v>
      </c>
      <c r="B1161" s="102">
        <v>-10726</v>
      </c>
      <c r="C1161" s="102">
        <v>6431</v>
      </c>
      <c r="D1161" s="102">
        <v>8390</v>
      </c>
      <c r="E1161" s="102">
        <v>-12685</v>
      </c>
      <c r="G1161" s="102">
        <f t="shared" si="24"/>
        <v>-12685</v>
      </c>
      <c r="H1161" s="101" t="s">
        <v>80</v>
      </c>
    </row>
    <row r="1162" spans="1:8" hidden="1">
      <c r="A1162" s="101" t="s">
        <v>529</v>
      </c>
      <c r="B1162" s="102">
        <v>73828</v>
      </c>
      <c r="C1162" s="102">
        <v>0</v>
      </c>
      <c r="D1162" s="102">
        <v>0</v>
      </c>
      <c r="E1162" s="102">
        <v>73828</v>
      </c>
      <c r="G1162" s="102">
        <f t="shared" si="24"/>
        <v>73828</v>
      </c>
      <c r="H1162" s="101" t="s">
        <v>80</v>
      </c>
    </row>
    <row r="1163" spans="1:8" hidden="1">
      <c r="A1163" s="101" t="s">
        <v>1333</v>
      </c>
      <c r="B1163" s="102">
        <v>0</v>
      </c>
      <c r="C1163" s="102">
        <v>0</v>
      </c>
      <c r="D1163" s="102">
        <v>0</v>
      </c>
      <c r="E1163" s="102">
        <v>0</v>
      </c>
      <c r="G1163" s="102">
        <f t="shared" si="24"/>
        <v>0</v>
      </c>
      <c r="H1163" s="101" t="s">
        <v>80</v>
      </c>
    </row>
    <row r="1164" spans="1:8" hidden="1">
      <c r="A1164" s="101" t="s">
        <v>411</v>
      </c>
      <c r="B1164" s="102">
        <v>-252702.42</v>
      </c>
      <c r="C1164" s="102">
        <v>5533687.75</v>
      </c>
      <c r="D1164" s="102">
        <v>11421719.34</v>
      </c>
      <c r="E1164" s="102">
        <v>-6140734.0099999998</v>
      </c>
      <c r="G1164" s="102">
        <f t="shared" si="24"/>
        <v>-6140734.0099999998</v>
      </c>
      <c r="H1164" s="101" t="s">
        <v>80</v>
      </c>
    </row>
    <row r="1165" spans="1:8" hidden="1">
      <c r="A1165" s="101" t="s">
        <v>948</v>
      </c>
      <c r="B1165" s="102">
        <v>-34300</v>
      </c>
      <c r="C1165" s="102">
        <v>105000</v>
      </c>
      <c r="D1165" s="102">
        <v>35000</v>
      </c>
      <c r="E1165" s="102">
        <v>35700</v>
      </c>
      <c r="G1165" s="102">
        <f t="shared" si="24"/>
        <v>35700</v>
      </c>
      <c r="H1165" s="101" t="s">
        <v>80</v>
      </c>
    </row>
    <row r="1166" spans="1:8" hidden="1">
      <c r="A1166" s="101" t="s">
        <v>1334</v>
      </c>
      <c r="B1166" s="102">
        <v>0</v>
      </c>
      <c r="C1166" s="102">
        <v>0</v>
      </c>
      <c r="D1166" s="102">
        <v>0</v>
      </c>
      <c r="E1166" s="102">
        <v>0</v>
      </c>
      <c r="G1166" s="102">
        <f t="shared" si="24"/>
        <v>0</v>
      </c>
      <c r="H1166" s="101" t="s">
        <v>80</v>
      </c>
    </row>
    <row r="1167" spans="1:8" hidden="1">
      <c r="A1167" s="101" t="s">
        <v>1335</v>
      </c>
      <c r="B1167" s="102">
        <v>0</v>
      </c>
      <c r="C1167" s="102">
        <v>0</v>
      </c>
      <c r="D1167" s="102">
        <v>0</v>
      </c>
      <c r="E1167" s="102">
        <v>0</v>
      </c>
      <c r="G1167" s="102">
        <f t="shared" si="24"/>
        <v>0</v>
      </c>
      <c r="H1167" s="101" t="s">
        <v>80</v>
      </c>
    </row>
    <row r="1168" spans="1:8" hidden="1">
      <c r="A1168" s="101" t="s">
        <v>949</v>
      </c>
      <c r="B1168" s="102">
        <v>-38243</v>
      </c>
      <c r="C1168" s="102">
        <v>0</v>
      </c>
      <c r="D1168" s="102">
        <v>0</v>
      </c>
      <c r="E1168" s="102">
        <v>-38243</v>
      </c>
      <c r="G1168" s="102">
        <f t="shared" si="24"/>
        <v>-38243</v>
      </c>
      <c r="H1168" s="101" t="s">
        <v>80</v>
      </c>
    </row>
    <row r="1169" spans="1:9" hidden="1">
      <c r="A1169" s="101" t="s">
        <v>1529</v>
      </c>
      <c r="B1169" s="102">
        <v>0</v>
      </c>
      <c r="C1169" s="102">
        <v>0</v>
      </c>
      <c r="D1169" s="102">
        <v>0</v>
      </c>
      <c r="E1169" s="102">
        <v>0</v>
      </c>
      <c r="G1169" s="102">
        <f t="shared" si="24"/>
        <v>0</v>
      </c>
      <c r="H1169" s="101" t="s">
        <v>80</v>
      </c>
    </row>
    <row r="1170" spans="1:9" hidden="1">
      <c r="A1170" s="101" t="s">
        <v>1336</v>
      </c>
      <c r="B1170" s="102">
        <v>0</v>
      </c>
      <c r="C1170" s="102">
        <v>0</v>
      </c>
      <c r="D1170" s="102">
        <v>0</v>
      </c>
      <c r="E1170" s="102">
        <v>0</v>
      </c>
      <c r="G1170" s="102">
        <f t="shared" si="24"/>
        <v>0</v>
      </c>
      <c r="H1170" s="101" t="s">
        <v>80</v>
      </c>
    </row>
    <row r="1171" spans="1:9" hidden="1">
      <c r="A1171" s="101" t="s">
        <v>1501</v>
      </c>
      <c r="B1171" s="102">
        <v>0</v>
      </c>
      <c r="C1171" s="102">
        <v>0</v>
      </c>
      <c r="D1171" s="102">
        <v>0</v>
      </c>
      <c r="E1171" s="102">
        <v>0</v>
      </c>
      <c r="G1171" s="102">
        <f t="shared" si="24"/>
        <v>0</v>
      </c>
      <c r="H1171" s="101" t="s">
        <v>80</v>
      </c>
    </row>
    <row r="1172" spans="1:9" hidden="1">
      <c r="A1172" s="101" t="s">
        <v>950</v>
      </c>
      <c r="B1172" s="102">
        <v>63</v>
      </c>
      <c r="C1172" s="102">
        <v>100461</v>
      </c>
      <c r="D1172" s="102">
        <v>52333</v>
      </c>
      <c r="E1172" s="102">
        <v>48191</v>
      </c>
      <c r="G1172" s="102">
        <f t="shared" si="24"/>
        <v>48191</v>
      </c>
      <c r="H1172" s="101" t="s">
        <v>80</v>
      </c>
    </row>
    <row r="1173" spans="1:9" hidden="1">
      <c r="A1173" s="101" t="s">
        <v>951</v>
      </c>
      <c r="B1173" s="102">
        <v>-29686.23</v>
      </c>
      <c r="C1173" s="102">
        <v>0</v>
      </c>
      <c r="D1173" s="102">
        <v>0</v>
      </c>
      <c r="E1173" s="102">
        <v>-29686.23</v>
      </c>
      <c r="G1173" s="102">
        <f t="shared" si="24"/>
        <v>-29686.23</v>
      </c>
      <c r="H1173" s="101" t="s">
        <v>80</v>
      </c>
    </row>
    <row r="1174" spans="1:9" hidden="1">
      <c r="A1174" s="101" t="s">
        <v>1337</v>
      </c>
      <c r="B1174" s="102">
        <v>0</v>
      </c>
      <c r="C1174" s="102">
        <v>3245</v>
      </c>
      <c r="D1174" s="102">
        <v>3245</v>
      </c>
      <c r="E1174" s="102">
        <v>0</v>
      </c>
      <c r="G1174" s="102">
        <f t="shared" si="24"/>
        <v>0</v>
      </c>
      <c r="H1174" s="101" t="s">
        <v>80</v>
      </c>
    </row>
    <row r="1175" spans="1:9" hidden="1">
      <c r="A1175" s="101" t="s">
        <v>952</v>
      </c>
      <c r="B1175" s="102">
        <v>0</v>
      </c>
      <c r="C1175" s="102">
        <v>125090</v>
      </c>
      <c r="D1175" s="102">
        <v>125500</v>
      </c>
      <c r="E1175" s="102">
        <v>-410</v>
      </c>
      <c r="G1175" s="102">
        <f t="shared" si="24"/>
        <v>-410</v>
      </c>
      <c r="H1175" s="101" t="s">
        <v>80</v>
      </c>
    </row>
    <row r="1176" spans="1:9" hidden="1">
      <c r="A1176" s="101" t="s">
        <v>953</v>
      </c>
      <c r="B1176" s="102">
        <v>-458</v>
      </c>
      <c r="C1176" s="102">
        <v>0</v>
      </c>
      <c r="D1176" s="102">
        <v>0</v>
      </c>
      <c r="E1176" s="102">
        <v>-458</v>
      </c>
      <c r="G1176" s="102">
        <f t="shared" si="24"/>
        <v>-458</v>
      </c>
      <c r="H1176" s="101" t="s">
        <v>80</v>
      </c>
    </row>
    <row r="1177" spans="1:9" hidden="1">
      <c r="A1177" s="101" t="s">
        <v>954</v>
      </c>
      <c r="B1177" s="102">
        <v>-12744</v>
      </c>
      <c r="C1177" s="102">
        <v>12744</v>
      </c>
      <c r="D1177" s="102">
        <v>0</v>
      </c>
      <c r="E1177" s="102">
        <v>0</v>
      </c>
      <c r="G1177" s="102">
        <f t="shared" si="24"/>
        <v>0</v>
      </c>
      <c r="H1177" s="101" t="s">
        <v>80</v>
      </c>
    </row>
    <row r="1178" spans="1:9" hidden="1">
      <c r="A1178" s="101" t="s">
        <v>955</v>
      </c>
      <c r="B1178" s="102">
        <v>-52200</v>
      </c>
      <c r="C1178" s="102">
        <v>102600</v>
      </c>
      <c r="D1178" s="102">
        <v>54000</v>
      </c>
      <c r="E1178" s="102">
        <v>-3600</v>
      </c>
      <c r="G1178" s="102">
        <f t="shared" si="24"/>
        <v>-3600</v>
      </c>
      <c r="H1178" s="101" t="s">
        <v>80</v>
      </c>
    </row>
    <row r="1179" spans="1:9" hidden="1">
      <c r="A1179" s="103" t="s">
        <v>956</v>
      </c>
      <c r="B1179" s="104">
        <v>31469</v>
      </c>
      <c r="C1179" s="104">
        <v>205745</v>
      </c>
      <c r="D1179" s="104">
        <v>205745</v>
      </c>
      <c r="E1179" s="104">
        <v>31469</v>
      </c>
      <c r="F1179" s="104"/>
      <c r="G1179" s="102">
        <f t="shared" si="24"/>
        <v>31469</v>
      </c>
      <c r="H1179" s="103" t="s">
        <v>71</v>
      </c>
      <c r="I1179" s="103"/>
    </row>
    <row r="1180" spans="1:9" hidden="1">
      <c r="A1180" s="101" t="s">
        <v>957</v>
      </c>
      <c r="B1180" s="102">
        <v>0</v>
      </c>
      <c r="C1180" s="102">
        <v>50000</v>
      </c>
      <c r="D1180" s="102">
        <v>69738</v>
      </c>
      <c r="E1180" s="102">
        <v>-19738</v>
      </c>
      <c r="G1180" s="102">
        <f t="shared" si="24"/>
        <v>-19738</v>
      </c>
      <c r="H1180" s="101" t="s">
        <v>80</v>
      </c>
    </row>
    <row r="1181" spans="1:9" hidden="1">
      <c r="A1181" s="101" t="s">
        <v>1338</v>
      </c>
      <c r="B1181" s="102">
        <v>0</v>
      </c>
      <c r="C1181" s="102">
        <v>206548.18</v>
      </c>
      <c r="D1181" s="102">
        <v>0</v>
      </c>
      <c r="E1181" s="102">
        <v>206548.18</v>
      </c>
      <c r="G1181" s="102">
        <f t="shared" si="24"/>
        <v>206548.18</v>
      </c>
      <c r="H1181" s="101" t="s">
        <v>80</v>
      </c>
    </row>
    <row r="1182" spans="1:9" hidden="1">
      <c r="A1182" s="101" t="s">
        <v>423</v>
      </c>
      <c r="B1182" s="102">
        <v>19469</v>
      </c>
      <c r="C1182" s="102">
        <v>0</v>
      </c>
      <c r="D1182" s="102">
        <v>0</v>
      </c>
      <c r="E1182" s="102">
        <v>19469</v>
      </c>
      <c r="G1182" s="102">
        <f t="shared" si="24"/>
        <v>19469</v>
      </c>
      <c r="H1182" s="101" t="s">
        <v>80</v>
      </c>
    </row>
    <row r="1183" spans="1:9" hidden="1">
      <c r="A1183" s="101" t="s">
        <v>958</v>
      </c>
      <c r="B1183" s="102">
        <v>-41104.67</v>
      </c>
      <c r="C1183" s="102">
        <v>24</v>
      </c>
      <c r="D1183" s="102">
        <v>2855.6</v>
      </c>
      <c r="E1183" s="102">
        <v>-43936.27</v>
      </c>
      <c r="G1183" s="102">
        <f t="shared" si="24"/>
        <v>-43936.27</v>
      </c>
      <c r="H1183" s="101" t="s">
        <v>80</v>
      </c>
    </row>
    <row r="1184" spans="1:9" hidden="1">
      <c r="A1184" s="101" t="s">
        <v>1339</v>
      </c>
      <c r="B1184" s="102">
        <v>0</v>
      </c>
      <c r="C1184" s="102">
        <v>0</v>
      </c>
      <c r="D1184" s="102">
        <v>10450</v>
      </c>
      <c r="E1184" s="102">
        <v>-10450</v>
      </c>
      <c r="G1184" s="102">
        <f t="shared" si="24"/>
        <v>-10450</v>
      </c>
      <c r="H1184" s="101" t="s">
        <v>80</v>
      </c>
    </row>
    <row r="1185" spans="1:8" hidden="1">
      <c r="A1185" s="101" t="s">
        <v>959</v>
      </c>
      <c r="B1185" s="102">
        <v>0</v>
      </c>
      <c r="C1185" s="102">
        <v>64800</v>
      </c>
      <c r="D1185" s="102">
        <v>64800</v>
      </c>
      <c r="E1185" s="102">
        <v>0</v>
      </c>
      <c r="G1185" s="102">
        <f t="shared" si="24"/>
        <v>0</v>
      </c>
      <c r="H1185" s="101" t="s">
        <v>80</v>
      </c>
    </row>
    <row r="1186" spans="1:8" hidden="1">
      <c r="A1186" s="101" t="s">
        <v>960</v>
      </c>
      <c r="B1186" s="102">
        <v>-45062</v>
      </c>
      <c r="C1186" s="102">
        <v>94962</v>
      </c>
      <c r="D1186" s="102">
        <v>49980</v>
      </c>
      <c r="E1186" s="102">
        <v>-80</v>
      </c>
      <c r="G1186" s="102">
        <f t="shared" si="24"/>
        <v>-80</v>
      </c>
      <c r="H1186" s="101" t="s">
        <v>80</v>
      </c>
    </row>
    <row r="1187" spans="1:8" hidden="1">
      <c r="A1187" s="101" t="s">
        <v>961</v>
      </c>
      <c r="B1187" s="102">
        <v>-81000</v>
      </c>
      <c r="C1187" s="102">
        <v>171000</v>
      </c>
      <c r="D1187" s="102">
        <v>90000</v>
      </c>
      <c r="E1187" s="102">
        <v>0</v>
      </c>
      <c r="G1187" s="102">
        <f t="shared" si="24"/>
        <v>0</v>
      </c>
      <c r="H1187" s="101" t="s">
        <v>80</v>
      </c>
    </row>
    <row r="1188" spans="1:8" hidden="1">
      <c r="A1188" s="101" t="s">
        <v>962</v>
      </c>
      <c r="B1188" s="102">
        <v>-500</v>
      </c>
      <c r="C1188" s="102">
        <v>0</v>
      </c>
      <c r="D1188" s="102">
        <v>0</v>
      </c>
      <c r="E1188" s="102">
        <v>-500</v>
      </c>
      <c r="G1188" s="102">
        <f t="shared" si="24"/>
        <v>-500</v>
      </c>
      <c r="H1188" s="101" t="s">
        <v>80</v>
      </c>
    </row>
    <row r="1189" spans="1:8" hidden="1">
      <c r="A1189" s="101" t="s">
        <v>963</v>
      </c>
      <c r="B1189" s="102">
        <v>-129.69999999999999</v>
      </c>
      <c r="C1189" s="102">
        <v>0</v>
      </c>
      <c r="D1189" s="102">
        <v>0</v>
      </c>
      <c r="E1189" s="102">
        <v>-129.69999999999999</v>
      </c>
      <c r="G1189" s="102">
        <f t="shared" si="24"/>
        <v>-129.69999999999999</v>
      </c>
      <c r="H1189" s="101" t="s">
        <v>80</v>
      </c>
    </row>
    <row r="1190" spans="1:8" hidden="1">
      <c r="A1190" s="101" t="s">
        <v>964</v>
      </c>
      <c r="B1190" s="102">
        <v>0</v>
      </c>
      <c r="C1190" s="102">
        <v>170177.29</v>
      </c>
      <c r="D1190" s="102">
        <v>170177.29</v>
      </c>
      <c r="E1190" s="102">
        <v>0</v>
      </c>
      <c r="G1190" s="102">
        <f t="shared" si="24"/>
        <v>0</v>
      </c>
      <c r="H1190" s="101" t="s">
        <v>80</v>
      </c>
    </row>
    <row r="1191" spans="1:8" hidden="1">
      <c r="A1191" s="101" t="s">
        <v>471</v>
      </c>
      <c r="B1191" s="102">
        <v>1728</v>
      </c>
      <c r="C1191" s="102">
        <v>0</v>
      </c>
      <c r="D1191" s="102">
        <v>0</v>
      </c>
      <c r="E1191" s="102">
        <v>1728</v>
      </c>
      <c r="G1191" s="102">
        <f t="shared" si="24"/>
        <v>1728</v>
      </c>
      <c r="H1191" s="101" t="s">
        <v>80</v>
      </c>
    </row>
    <row r="1192" spans="1:8" hidden="1">
      <c r="A1192" s="101" t="s">
        <v>965</v>
      </c>
      <c r="B1192" s="102">
        <v>2016</v>
      </c>
      <c r="C1192" s="102">
        <v>0</v>
      </c>
      <c r="D1192" s="102">
        <v>0</v>
      </c>
      <c r="E1192" s="102">
        <v>2016</v>
      </c>
      <c r="G1192" s="102">
        <f t="shared" si="24"/>
        <v>2016</v>
      </c>
      <c r="H1192" s="101" t="s">
        <v>80</v>
      </c>
    </row>
    <row r="1193" spans="1:8" hidden="1">
      <c r="A1193" s="101" t="s">
        <v>966</v>
      </c>
      <c r="B1193" s="102">
        <v>9000</v>
      </c>
      <c r="C1193" s="102">
        <v>0</v>
      </c>
      <c r="D1193" s="102">
        <v>0</v>
      </c>
      <c r="E1193" s="102">
        <v>9000</v>
      </c>
      <c r="G1193" s="102">
        <f t="shared" si="24"/>
        <v>9000</v>
      </c>
      <c r="H1193" s="101" t="s">
        <v>80</v>
      </c>
    </row>
    <row r="1194" spans="1:8" hidden="1">
      <c r="A1194" s="101" t="s">
        <v>1340</v>
      </c>
      <c r="B1194" s="102">
        <v>0</v>
      </c>
      <c r="C1194" s="102">
        <v>0</v>
      </c>
      <c r="D1194" s="102">
        <v>0</v>
      </c>
      <c r="E1194" s="102">
        <v>0</v>
      </c>
      <c r="G1194" s="102">
        <f t="shared" si="24"/>
        <v>0</v>
      </c>
      <c r="H1194" s="101" t="s">
        <v>80</v>
      </c>
    </row>
    <row r="1195" spans="1:8" hidden="1">
      <c r="A1195" s="101" t="s">
        <v>240</v>
      </c>
      <c r="B1195" s="102">
        <v>-1516300</v>
      </c>
      <c r="C1195" s="102">
        <v>1516300</v>
      </c>
      <c r="D1195" s="102">
        <v>0</v>
      </c>
      <c r="E1195" s="102">
        <v>0</v>
      </c>
      <c r="G1195" s="102">
        <f t="shared" si="24"/>
        <v>0</v>
      </c>
      <c r="H1195" s="101" t="s">
        <v>80</v>
      </c>
    </row>
    <row r="1196" spans="1:8" hidden="1">
      <c r="A1196" s="101" t="s">
        <v>967</v>
      </c>
      <c r="B1196" s="102">
        <v>-48600</v>
      </c>
      <c r="C1196" s="102">
        <v>102600</v>
      </c>
      <c r="D1196" s="102">
        <v>54000</v>
      </c>
      <c r="E1196" s="102">
        <v>0</v>
      </c>
      <c r="G1196" s="102">
        <f t="shared" si="24"/>
        <v>0</v>
      </c>
      <c r="H1196" s="101" t="s">
        <v>80</v>
      </c>
    </row>
    <row r="1197" spans="1:8" hidden="1">
      <c r="A1197" s="101" t="s">
        <v>968</v>
      </c>
      <c r="B1197" s="102">
        <v>-6504</v>
      </c>
      <c r="C1197" s="102">
        <v>1416</v>
      </c>
      <c r="D1197" s="102">
        <v>3540</v>
      </c>
      <c r="E1197" s="102">
        <v>-8628</v>
      </c>
      <c r="G1197" s="102">
        <f t="shared" si="24"/>
        <v>-8628</v>
      </c>
      <c r="H1197" s="101" t="s">
        <v>80</v>
      </c>
    </row>
    <row r="1198" spans="1:8" hidden="1">
      <c r="A1198" s="101" t="s">
        <v>1048</v>
      </c>
      <c r="B1198" s="102">
        <v>-0.4</v>
      </c>
      <c r="C1198" s="102">
        <v>0</v>
      </c>
      <c r="D1198" s="102">
        <v>0</v>
      </c>
      <c r="E1198" s="102">
        <v>-0.4</v>
      </c>
      <c r="G1198" s="102">
        <f t="shared" si="24"/>
        <v>-0.4</v>
      </c>
      <c r="H1198" s="101" t="s">
        <v>80</v>
      </c>
    </row>
    <row r="1199" spans="1:8" hidden="1">
      <c r="A1199" s="101" t="s">
        <v>969</v>
      </c>
      <c r="B1199" s="102">
        <v>-64800</v>
      </c>
      <c r="C1199" s="102">
        <v>64800</v>
      </c>
      <c r="D1199" s="102">
        <v>0</v>
      </c>
      <c r="E1199" s="102">
        <v>0</v>
      </c>
      <c r="G1199" s="102">
        <f t="shared" si="24"/>
        <v>0</v>
      </c>
      <c r="H1199" s="101" t="s">
        <v>80</v>
      </c>
    </row>
    <row r="1200" spans="1:8" hidden="1">
      <c r="A1200" s="101" t="s">
        <v>970</v>
      </c>
      <c r="B1200" s="102">
        <v>-37141</v>
      </c>
      <c r="C1200" s="102">
        <v>86671</v>
      </c>
      <c r="D1200" s="102">
        <v>51005</v>
      </c>
      <c r="E1200" s="102">
        <v>-1475</v>
      </c>
      <c r="G1200" s="102">
        <f t="shared" si="24"/>
        <v>-1475</v>
      </c>
      <c r="H1200" s="101" t="s">
        <v>80</v>
      </c>
    </row>
    <row r="1201" spans="1:8" hidden="1">
      <c r="A1201" s="101" t="s">
        <v>971</v>
      </c>
      <c r="B1201" s="102">
        <v>-147150</v>
      </c>
      <c r="C1201" s="102">
        <v>296400</v>
      </c>
      <c r="D1201" s="102">
        <v>156000</v>
      </c>
      <c r="E1201" s="102">
        <v>-6750</v>
      </c>
      <c r="G1201" s="102">
        <f t="shared" si="24"/>
        <v>-6750</v>
      </c>
      <c r="H1201" s="101" t="s">
        <v>80</v>
      </c>
    </row>
    <row r="1202" spans="1:8" hidden="1">
      <c r="A1202" s="101" t="s">
        <v>972</v>
      </c>
      <c r="B1202" s="102">
        <v>-0.6</v>
      </c>
      <c r="C1202" s="102">
        <v>58141.35</v>
      </c>
      <c r="D1202" s="102">
        <v>58141.35</v>
      </c>
      <c r="E1202" s="102">
        <v>-0.6</v>
      </c>
      <c r="G1202" s="102">
        <f t="shared" si="24"/>
        <v>-0.6</v>
      </c>
      <c r="H1202" s="101" t="s">
        <v>80</v>
      </c>
    </row>
    <row r="1203" spans="1:8" hidden="1">
      <c r="A1203" s="101" t="s">
        <v>231</v>
      </c>
      <c r="B1203" s="102">
        <v>-365814.01</v>
      </c>
      <c r="C1203" s="102">
        <v>966215</v>
      </c>
      <c r="D1203" s="102">
        <v>600401</v>
      </c>
      <c r="E1203" s="102">
        <v>-0.01</v>
      </c>
      <c r="G1203" s="102">
        <f t="shared" si="24"/>
        <v>-0.01</v>
      </c>
      <c r="H1203" s="101" t="s">
        <v>80</v>
      </c>
    </row>
    <row r="1204" spans="1:8" hidden="1">
      <c r="A1204" s="101" t="s">
        <v>973</v>
      </c>
      <c r="B1204" s="102">
        <v>-484417.06</v>
      </c>
      <c r="C1204" s="102">
        <v>1102976</v>
      </c>
      <c r="D1204" s="102">
        <v>518559.85</v>
      </c>
      <c r="E1204" s="102">
        <v>99999.09</v>
      </c>
      <c r="G1204" s="102">
        <f t="shared" si="24"/>
        <v>99999.09</v>
      </c>
      <c r="H1204" s="101" t="s">
        <v>80</v>
      </c>
    </row>
    <row r="1205" spans="1:8" hidden="1">
      <c r="A1205" s="101" t="s">
        <v>974</v>
      </c>
      <c r="B1205" s="102">
        <v>-389</v>
      </c>
      <c r="C1205" s="102">
        <v>0</v>
      </c>
      <c r="D1205" s="102">
        <v>0</v>
      </c>
      <c r="E1205" s="102">
        <v>-389</v>
      </c>
      <c r="G1205" s="102">
        <f t="shared" si="24"/>
        <v>-389</v>
      </c>
      <c r="H1205" s="101" t="s">
        <v>80</v>
      </c>
    </row>
    <row r="1206" spans="1:8" hidden="1">
      <c r="A1206" s="101" t="s">
        <v>975</v>
      </c>
      <c r="B1206" s="102">
        <v>-128520</v>
      </c>
      <c r="C1206" s="102">
        <v>271320</v>
      </c>
      <c r="D1206" s="102">
        <v>142800</v>
      </c>
      <c r="E1206" s="102">
        <v>0</v>
      </c>
      <c r="G1206" s="102">
        <f t="shared" si="24"/>
        <v>0</v>
      </c>
      <c r="H1206" s="101" t="s">
        <v>80</v>
      </c>
    </row>
    <row r="1207" spans="1:8" hidden="1">
      <c r="A1207" s="101" t="s">
        <v>380</v>
      </c>
      <c r="B1207" s="102">
        <v>-36315</v>
      </c>
      <c r="C1207" s="102">
        <v>60000</v>
      </c>
      <c r="D1207" s="102">
        <v>20000</v>
      </c>
      <c r="E1207" s="102">
        <v>3685</v>
      </c>
      <c r="G1207" s="102">
        <f t="shared" si="24"/>
        <v>3685</v>
      </c>
      <c r="H1207" s="101" t="s">
        <v>80</v>
      </c>
    </row>
    <row r="1208" spans="1:8" hidden="1">
      <c r="A1208" s="101" t="s">
        <v>1341</v>
      </c>
      <c r="B1208" s="102">
        <v>0</v>
      </c>
      <c r="C1208" s="102">
        <v>10000</v>
      </c>
      <c r="D1208" s="102">
        <v>10000</v>
      </c>
      <c r="E1208" s="102">
        <v>0</v>
      </c>
      <c r="G1208" s="102">
        <f t="shared" si="24"/>
        <v>0</v>
      </c>
      <c r="H1208" s="101" t="s">
        <v>80</v>
      </c>
    </row>
    <row r="1209" spans="1:8" hidden="1">
      <c r="A1209" s="101" t="s">
        <v>976</v>
      </c>
      <c r="B1209" s="102">
        <v>-6431</v>
      </c>
      <c r="C1209" s="102">
        <v>0</v>
      </c>
      <c r="D1209" s="102">
        <v>0</v>
      </c>
      <c r="E1209" s="102">
        <v>-6431</v>
      </c>
      <c r="G1209" s="102">
        <f t="shared" si="24"/>
        <v>-6431</v>
      </c>
      <c r="H1209" s="101" t="s">
        <v>80</v>
      </c>
    </row>
    <row r="1210" spans="1:8" hidden="1">
      <c r="A1210" s="101" t="s">
        <v>977</v>
      </c>
      <c r="B1210" s="102">
        <v>150000</v>
      </c>
      <c r="C1210" s="102">
        <v>0</v>
      </c>
      <c r="D1210" s="102">
        <v>0</v>
      </c>
      <c r="E1210" s="102">
        <v>150000</v>
      </c>
      <c r="G1210" s="102">
        <f t="shared" si="24"/>
        <v>150000</v>
      </c>
      <c r="H1210" s="101" t="s">
        <v>80</v>
      </c>
    </row>
    <row r="1211" spans="1:8" hidden="1">
      <c r="A1211" s="101" t="s">
        <v>1342</v>
      </c>
      <c r="B1211" s="102">
        <v>0</v>
      </c>
      <c r="C1211" s="102">
        <v>0</v>
      </c>
      <c r="D1211" s="102">
        <v>0</v>
      </c>
      <c r="E1211" s="102">
        <v>0</v>
      </c>
      <c r="G1211" s="102">
        <f t="shared" si="24"/>
        <v>0</v>
      </c>
      <c r="H1211" s="101" t="s">
        <v>80</v>
      </c>
    </row>
    <row r="1212" spans="1:8" hidden="1">
      <c r="A1212" s="101" t="s">
        <v>221</v>
      </c>
      <c r="B1212" s="102">
        <v>-5311.43</v>
      </c>
      <c r="C1212" s="102">
        <v>10620</v>
      </c>
      <c r="D1212" s="102">
        <v>5310</v>
      </c>
      <c r="E1212" s="102">
        <v>-1.43</v>
      </c>
      <c r="G1212" s="102">
        <f t="shared" si="24"/>
        <v>-1.43</v>
      </c>
      <c r="H1212" s="101" t="s">
        <v>80</v>
      </c>
    </row>
    <row r="1213" spans="1:8" hidden="1">
      <c r="A1213" s="101" t="s">
        <v>465</v>
      </c>
      <c r="B1213" s="102">
        <v>-39722</v>
      </c>
      <c r="C1213" s="102">
        <v>895</v>
      </c>
      <c r="D1213" s="102">
        <v>52827</v>
      </c>
      <c r="E1213" s="102">
        <v>-91654</v>
      </c>
      <c r="G1213" s="102">
        <f t="shared" si="24"/>
        <v>-91654</v>
      </c>
      <c r="H1213" s="101" t="s">
        <v>80</v>
      </c>
    </row>
    <row r="1214" spans="1:8" hidden="1">
      <c r="A1214" s="101" t="s">
        <v>1343</v>
      </c>
      <c r="B1214" s="102">
        <v>0</v>
      </c>
      <c r="C1214" s="102">
        <v>1024</v>
      </c>
      <c r="D1214" s="102">
        <v>60401</v>
      </c>
      <c r="E1214" s="102">
        <v>-59377</v>
      </c>
      <c r="G1214" s="102">
        <f t="shared" si="24"/>
        <v>-59377</v>
      </c>
      <c r="H1214" s="101" t="s">
        <v>80</v>
      </c>
    </row>
    <row r="1215" spans="1:8" hidden="1">
      <c r="A1215" s="101" t="s">
        <v>424</v>
      </c>
      <c r="B1215" s="102">
        <v>-215570</v>
      </c>
      <c r="C1215" s="102">
        <v>2510</v>
      </c>
      <c r="D1215" s="102">
        <v>148090</v>
      </c>
      <c r="E1215" s="102">
        <v>-361150</v>
      </c>
      <c r="G1215" s="102">
        <f t="shared" si="24"/>
        <v>-361150</v>
      </c>
      <c r="H1215" s="101" t="s">
        <v>80</v>
      </c>
    </row>
    <row r="1216" spans="1:8" hidden="1">
      <c r="A1216" s="101" t="s">
        <v>978</v>
      </c>
      <c r="B1216" s="102">
        <v>2445855</v>
      </c>
      <c r="C1216" s="102">
        <v>148500</v>
      </c>
      <c r="D1216" s="102">
        <v>0</v>
      </c>
      <c r="E1216" s="102">
        <v>2594355</v>
      </c>
      <c r="G1216" s="102">
        <f t="shared" si="24"/>
        <v>2594355</v>
      </c>
      <c r="H1216" s="101" t="s">
        <v>80</v>
      </c>
    </row>
    <row r="1217" spans="1:8" hidden="1">
      <c r="A1217" s="101" t="s">
        <v>979</v>
      </c>
      <c r="B1217" s="102">
        <v>-31904</v>
      </c>
      <c r="C1217" s="102">
        <v>0</v>
      </c>
      <c r="D1217" s="102">
        <v>0</v>
      </c>
      <c r="E1217" s="102">
        <v>-31904</v>
      </c>
      <c r="G1217" s="102">
        <f t="shared" si="24"/>
        <v>-31904</v>
      </c>
      <c r="H1217" s="101" t="s">
        <v>80</v>
      </c>
    </row>
    <row r="1218" spans="1:8" hidden="1">
      <c r="A1218" s="101" t="s">
        <v>1344</v>
      </c>
      <c r="B1218" s="102">
        <v>0</v>
      </c>
      <c r="C1218" s="102">
        <v>0</v>
      </c>
      <c r="D1218" s="102">
        <v>0</v>
      </c>
      <c r="E1218" s="102">
        <v>0</v>
      </c>
      <c r="G1218" s="102">
        <f t="shared" si="24"/>
        <v>0</v>
      </c>
      <c r="H1218" s="101" t="s">
        <v>80</v>
      </c>
    </row>
    <row r="1219" spans="1:8" hidden="1">
      <c r="A1219" s="101" t="s">
        <v>1345</v>
      </c>
      <c r="B1219" s="102">
        <v>0</v>
      </c>
      <c r="C1219" s="102">
        <v>13190</v>
      </c>
      <c r="D1219" s="102">
        <v>0</v>
      </c>
      <c r="E1219" s="102">
        <v>13190</v>
      </c>
      <c r="G1219" s="102">
        <f t="shared" ref="G1219:G1282" si="25">E1219+F1219</f>
        <v>13190</v>
      </c>
      <c r="H1219" s="101" t="s">
        <v>80</v>
      </c>
    </row>
    <row r="1220" spans="1:8" hidden="1">
      <c r="A1220" s="101" t="s">
        <v>980</v>
      </c>
      <c r="B1220" s="102">
        <v>19410</v>
      </c>
      <c r="C1220" s="102">
        <v>5900</v>
      </c>
      <c r="D1220" s="102">
        <v>11800</v>
      </c>
      <c r="E1220" s="102">
        <v>13510</v>
      </c>
      <c r="G1220" s="102">
        <f t="shared" si="25"/>
        <v>13510</v>
      </c>
      <c r="H1220" s="101" t="s">
        <v>80</v>
      </c>
    </row>
    <row r="1221" spans="1:8" hidden="1">
      <c r="A1221" s="101" t="s">
        <v>981</v>
      </c>
      <c r="B1221" s="102">
        <v>49500</v>
      </c>
      <c r="C1221" s="102">
        <v>99000</v>
      </c>
      <c r="D1221" s="102">
        <v>0</v>
      </c>
      <c r="E1221" s="102">
        <v>148500</v>
      </c>
      <c r="G1221" s="102">
        <f t="shared" si="25"/>
        <v>148500</v>
      </c>
      <c r="H1221" s="101" t="s">
        <v>80</v>
      </c>
    </row>
    <row r="1222" spans="1:8" hidden="1">
      <c r="A1222" s="101" t="s">
        <v>982</v>
      </c>
      <c r="B1222" s="102">
        <v>30000</v>
      </c>
      <c r="C1222" s="102">
        <v>0</v>
      </c>
      <c r="D1222" s="102">
        <v>0</v>
      </c>
      <c r="E1222" s="102">
        <v>30000</v>
      </c>
      <c r="G1222" s="102">
        <f t="shared" si="25"/>
        <v>30000</v>
      </c>
      <c r="H1222" s="101" t="s">
        <v>80</v>
      </c>
    </row>
    <row r="1223" spans="1:8" hidden="1">
      <c r="A1223" s="101" t="s">
        <v>983</v>
      </c>
      <c r="B1223" s="102">
        <v>21240</v>
      </c>
      <c r="C1223" s="102">
        <v>0</v>
      </c>
      <c r="D1223" s="102">
        <v>0</v>
      </c>
      <c r="E1223" s="102">
        <v>21240</v>
      </c>
      <c r="G1223" s="102">
        <f t="shared" si="25"/>
        <v>21240</v>
      </c>
      <c r="H1223" s="101" t="s">
        <v>80</v>
      </c>
    </row>
    <row r="1224" spans="1:8" hidden="1">
      <c r="A1224" s="101" t="s">
        <v>984</v>
      </c>
      <c r="B1224" s="102">
        <v>-47200</v>
      </c>
      <c r="C1224" s="102">
        <v>47200</v>
      </c>
      <c r="D1224" s="102">
        <v>0</v>
      </c>
      <c r="E1224" s="102">
        <v>0</v>
      </c>
      <c r="G1224" s="102">
        <f t="shared" si="25"/>
        <v>0</v>
      </c>
      <c r="H1224" s="101" t="s">
        <v>80</v>
      </c>
    </row>
    <row r="1225" spans="1:8" hidden="1">
      <c r="A1225" s="101" t="s">
        <v>461</v>
      </c>
      <c r="B1225" s="102">
        <v>-1223853.24</v>
      </c>
      <c r="C1225" s="102">
        <v>2617996</v>
      </c>
      <c r="D1225" s="102">
        <v>822171.28</v>
      </c>
      <c r="E1225" s="102">
        <v>571971.48</v>
      </c>
      <c r="G1225" s="102">
        <f t="shared" si="25"/>
        <v>571971.48</v>
      </c>
      <c r="H1225" s="101" t="s">
        <v>80</v>
      </c>
    </row>
    <row r="1226" spans="1:8" hidden="1">
      <c r="A1226" s="101" t="s">
        <v>985</v>
      </c>
      <c r="B1226" s="102">
        <v>-132120</v>
      </c>
      <c r="C1226" s="102">
        <v>273600</v>
      </c>
      <c r="D1226" s="102">
        <v>144000</v>
      </c>
      <c r="E1226" s="102">
        <v>-2520</v>
      </c>
      <c r="G1226" s="102">
        <f t="shared" si="25"/>
        <v>-2520</v>
      </c>
      <c r="H1226" s="101" t="s">
        <v>80</v>
      </c>
    </row>
    <row r="1227" spans="1:8" hidden="1">
      <c r="A1227" s="101" t="s">
        <v>986</v>
      </c>
      <c r="B1227" s="102">
        <v>48980</v>
      </c>
      <c r="C1227" s="102">
        <v>0</v>
      </c>
      <c r="D1227" s="102">
        <v>0</v>
      </c>
      <c r="E1227" s="102">
        <v>48980</v>
      </c>
      <c r="G1227" s="102">
        <f t="shared" si="25"/>
        <v>48980</v>
      </c>
      <c r="H1227" s="101" t="s">
        <v>80</v>
      </c>
    </row>
    <row r="1228" spans="1:8" hidden="1">
      <c r="A1228" s="101" t="s">
        <v>987</v>
      </c>
      <c r="B1228" s="102">
        <v>9874</v>
      </c>
      <c r="C1228" s="102">
        <v>0</v>
      </c>
      <c r="D1228" s="102">
        <v>0</v>
      </c>
      <c r="E1228" s="102">
        <v>9874</v>
      </c>
      <c r="G1228" s="102">
        <f t="shared" si="25"/>
        <v>9874</v>
      </c>
      <c r="H1228" s="101" t="s">
        <v>80</v>
      </c>
    </row>
    <row r="1229" spans="1:8" hidden="1">
      <c r="A1229" s="101" t="s">
        <v>988</v>
      </c>
      <c r="B1229" s="102">
        <v>-132920</v>
      </c>
      <c r="C1229" s="102">
        <v>273600</v>
      </c>
      <c r="D1229" s="102">
        <v>144000</v>
      </c>
      <c r="E1229" s="102">
        <v>-3320</v>
      </c>
      <c r="G1229" s="102">
        <f t="shared" si="25"/>
        <v>-3320</v>
      </c>
      <c r="H1229" s="101" t="s">
        <v>80</v>
      </c>
    </row>
    <row r="1230" spans="1:8" hidden="1">
      <c r="A1230" s="101" t="s">
        <v>1347</v>
      </c>
      <c r="B1230" s="102">
        <v>0</v>
      </c>
      <c r="C1230" s="102">
        <v>246035</v>
      </c>
      <c r="D1230" s="102">
        <v>0</v>
      </c>
      <c r="E1230" s="102">
        <v>246035</v>
      </c>
      <c r="G1230" s="102">
        <f t="shared" si="25"/>
        <v>246035</v>
      </c>
      <c r="H1230" s="101" t="s">
        <v>80</v>
      </c>
    </row>
    <row r="1231" spans="1:8" hidden="1">
      <c r="A1231" s="101" t="s">
        <v>989</v>
      </c>
      <c r="B1231" s="102">
        <v>50500</v>
      </c>
      <c r="C1231" s="102">
        <v>0</v>
      </c>
      <c r="D1231" s="102">
        <v>0</v>
      </c>
      <c r="E1231" s="102">
        <v>50500</v>
      </c>
      <c r="G1231" s="102">
        <f t="shared" si="25"/>
        <v>50500</v>
      </c>
      <c r="H1231" s="101" t="s">
        <v>80</v>
      </c>
    </row>
    <row r="1232" spans="1:8" hidden="1">
      <c r="A1232" s="101" t="s">
        <v>990</v>
      </c>
      <c r="B1232" s="102">
        <v>410850</v>
      </c>
      <c r="C1232" s="102">
        <v>0</v>
      </c>
      <c r="D1232" s="102">
        <v>0</v>
      </c>
      <c r="E1232" s="102">
        <v>410850</v>
      </c>
      <c r="G1232" s="102">
        <f t="shared" si="25"/>
        <v>410850</v>
      </c>
      <c r="H1232" s="101" t="s">
        <v>80</v>
      </c>
    </row>
    <row r="1233" spans="1:8" hidden="1">
      <c r="A1233" s="101" t="s">
        <v>991</v>
      </c>
      <c r="B1233" s="102">
        <v>1187000</v>
      </c>
      <c r="C1233" s="102">
        <v>495000</v>
      </c>
      <c r="D1233" s="102">
        <v>0</v>
      </c>
      <c r="E1233" s="102">
        <v>1682000</v>
      </c>
      <c r="G1233" s="102">
        <f t="shared" si="25"/>
        <v>1682000</v>
      </c>
      <c r="H1233" s="101" t="s">
        <v>80</v>
      </c>
    </row>
    <row r="1234" spans="1:8" hidden="1">
      <c r="A1234" s="101" t="s">
        <v>992</v>
      </c>
      <c r="B1234" s="102">
        <v>-1170</v>
      </c>
      <c r="C1234" s="102">
        <v>0</v>
      </c>
      <c r="D1234" s="102">
        <v>9440</v>
      </c>
      <c r="E1234" s="102">
        <v>-10610</v>
      </c>
      <c r="G1234" s="102">
        <f t="shared" si="25"/>
        <v>-10610</v>
      </c>
      <c r="H1234" s="101" t="s">
        <v>80</v>
      </c>
    </row>
    <row r="1235" spans="1:8" hidden="1">
      <c r="A1235" s="101" t="s">
        <v>993</v>
      </c>
      <c r="B1235" s="102">
        <v>-168000</v>
      </c>
      <c r="C1235" s="102">
        <v>100000</v>
      </c>
      <c r="D1235" s="102">
        <v>0</v>
      </c>
      <c r="E1235" s="102">
        <v>-68000</v>
      </c>
      <c r="G1235" s="102">
        <f t="shared" si="25"/>
        <v>-68000</v>
      </c>
      <c r="H1235" s="101" t="s">
        <v>80</v>
      </c>
    </row>
    <row r="1236" spans="1:8" hidden="1">
      <c r="A1236" s="101" t="s">
        <v>994</v>
      </c>
      <c r="B1236" s="102">
        <v>3806.64</v>
      </c>
      <c r="C1236" s="102">
        <v>0</v>
      </c>
      <c r="D1236" s="102">
        <v>0</v>
      </c>
      <c r="E1236" s="102">
        <v>3806.64</v>
      </c>
      <c r="G1236" s="102">
        <f t="shared" si="25"/>
        <v>3806.64</v>
      </c>
      <c r="H1236" s="101" t="s">
        <v>80</v>
      </c>
    </row>
    <row r="1237" spans="1:8" hidden="1">
      <c r="A1237" s="101" t="s">
        <v>1348</v>
      </c>
      <c r="B1237" s="102">
        <v>0</v>
      </c>
      <c r="C1237" s="102">
        <v>0</v>
      </c>
      <c r="D1237" s="102">
        <v>0</v>
      </c>
      <c r="E1237" s="102">
        <v>0</v>
      </c>
      <c r="G1237" s="102">
        <f t="shared" si="25"/>
        <v>0</v>
      </c>
      <c r="H1237" s="101" t="s">
        <v>80</v>
      </c>
    </row>
    <row r="1238" spans="1:8" hidden="1">
      <c r="A1238" s="101" t="s">
        <v>995</v>
      </c>
      <c r="B1238" s="102">
        <v>-51408</v>
      </c>
      <c r="C1238" s="102">
        <v>108528</v>
      </c>
      <c r="D1238" s="102">
        <v>57120</v>
      </c>
      <c r="E1238" s="102">
        <v>0</v>
      </c>
      <c r="G1238" s="102">
        <f t="shared" si="25"/>
        <v>0</v>
      </c>
      <c r="H1238" s="101" t="s">
        <v>80</v>
      </c>
    </row>
    <row r="1239" spans="1:8" hidden="1">
      <c r="A1239" s="101" t="s">
        <v>1349</v>
      </c>
      <c r="B1239" s="102">
        <v>0</v>
      </c>
      <c r="C1239" s="102">
        <v>24375</v>
      </c>
      <c r="D1239" s="102">
        <v>287626</v>
      </c>
      <c r="E1239" s="102">
        <v>-263251</v>
      </c>
      <c r="G1239" s="102">
        <f t="shared" si="25"/>
        <v>-263251</v>
      </c>
      <c r="H1239" s="101" t="s">
        <v>80</v>
      </c>
    </row>
    <row r="1240" spans="1:8" hidden="1">
      <c r="A1240" s="101" t="s">
        <v>996</v>
      </c>
      <c r="B1240" s="102">
        <v>21121</v>
      </c>
      <c r="C1240" s="102">
        <v>11210</v>
      </c>
      <c r="D1240" s="102">
        <v>11210</v>
      </c>
      <c r="E1240" s="102">
        <v>21121</v>
      </c>
      <c r="G1240" s="102">
        <f t="shared" si="25"/>
        <v>21121</v>
      </c>
      <c r="H1240" s="101" t="s">
        <v>80</v>
      </c>
    </row>
    <row r="1241" spans="1:8" hidden="1">
      <c r="A1241" s="101" t="s">
        <v>997</v>
      </c>
      <c r="B1241" s="102">
        <v>9136</v>
      </c>
      <c r="C1241" s="102">
        <v>0</v>
      </c>
      <c r="D1241" s="102">
        <v>9136</v>
      </c>
      <c r="E1241" s="102">
        <v>0</v>
      </c>
      <c r="G1241" s="102">
        <f t="shared" si="25"/>
        <v>0</v>
      </c>
      <c r="H1241" s="101" t="s">
        <v>80</v>
      </c>
    </row>
    <row r="1242" spans="1:8" hidden="1">
      <c r="A1242" s="101" t="s">
        <v>1350</v>
      </c>
      <c r="B1242" s="102">
        <v>0</v>
      </c>
      <c r="C1242" s="102">
        <v>105365</v>
      </c>
      <c r="D1242" s="102">
        <v>128093.48</v>
      </c>
      <c r="E1242" s="102">
        <v>-22728.48</v>
      </c>
      <c r="G1242" s="102">
        <f t="shared" si="25"/>
        <v>-22728.48</v>
      </c>
      <c r="H1242" s="101" t="s">
        <v>80</v>
      </c>
    </row>
    <row r="1243" spans="1:8" hidden="1">
      <c r="A1243" s="101" t="s">
        <v>998</v>
      </c>
      <c r="B1243" s="102">
        <v>81969</v>
      </c>
      <c r="C1243" s="102">
        <v>1320</v>
      </c>
      <c r="D1243" s="102">
        <v>80388</v>
      </c>
      <c r="E1243" s="102">
        <v>2901</v>
      </c>
      <c r="G1243" s="102">
        <f t="shared" si="25"/>
        <v>2901</v>
      </c>
      <c r="H1243" s="101" t="s">
        <v>80</v>
      </c>
    </row>
    <row r="1244" spans="1:8" hidden="1">
      <c r="A1244" s="101" t="s">
        <v>1351</v>
      </c>
      <c r="B1244" s="102">
        <v>0</v>
      </c>
      <c r="C1244" s="102">
        <v>0</v>
      </c>
      <c r="D1244" s="102">
        <v>7080</v>
      </c>
      <c r="E1244" s="102">
        <v>-7080</v>
      </c>
      <c r="G1244" s="102">
        <f t="shared" si="25"/>
        <v>-7080</v>
      </c>
      <c r="H1244" s="101" t="s">
        <v>80</v>
      </c>
    </row>
    <row r="1245" spans="1:8" hidden="1">
      <c r="A1245" s="101" t="s">
        <v>1352</v>
      </c>
      <c r="B1245" s="102">
        <v>0</v>
      </c>
      <c r="C1245" s="102">
        <v>0</v>
      </c>
      <c r="D1245" s="102">
        <v>0</v>
      </c>
      <c r="E1245" s="102">
        <v>0</v>
      </c>
      <c r="G1245" s="102">
        <f t="shared" si="25"/>
        <v>0</v>
      </c>
      <c r="H1245" s="101" t="s">
        <v>80</v>
      </c>
    </row>
    <row r="1246" spans="1:8" hidden="1">
      <c r="A1246" s="101" t="s">
        <v>999</v>
      </c>
      <c r="B1246" s="102">
        <v>-29700</v>
      </c>
      <c r="C1246" s="102">
        <v>29700</v>
      </c>
      <c r="D1246" s="102">
        <v>0</v>
      </c>
      <c r="E1246" s="102">
        <v>0</v>
      </c>
      <c r="G1246" s="102">
        <f t="shared" si="25"/>
        <v>0</v>
      </c>
      <c r="H1246" s="101" t="s">
        <v>80</v>
      </c>
    </row>
    <row r="1247" spans="1:8" hidden="1">
      <c r="A1247" s="101" t="s">
        <v>1353</v>
      </c>
      <c r="B1247" s="102">
        <v>0</v>
      </c>
      <c r="C1247" s="102">
        <v>90793</v>
      </c>
      <c r="D1247" s="102">
        <v>90793</v>
      </c>
      <c r="E1247" s="102">
        <v>0</v>
      </c>
      <c r="G1247" s="102">
        <f t="shared" si="25"/>
        <v>0</v>
      </c>
      <c r="H1247" s="101" t="s">
        <v>80</v>
      </c>
    </row>
    <row r="1248" spans="1:8" hidden="1">
      <c r="A1248" s="101" t="s">
        <v>1000</v>
      </c>
      <c r="B1248" s="102">
        <v>86828</v>
      </c>
      <c r="C1248" s="102">
        <v>148500</v>
      </c>
      <c r="D1248" s="102">
        <v>0</v>
      </c>
      <c r="E1248" s="102">
        <v>235328</v>
      </c>
      <c r="G1248" s="102">
        <f t="shared" si="25"/>
        <v>235328</v>
      </c>
      <c r="H1248" s="101" t="s">
        <v>80</v>
      </c>
    </row>
    <row r="1249" spans="1:8" hidden="1">
      <c r="A1249" s="101" t="s">
        <v>1001</v>
      </c>
      <c r="B1249" s="102">
        <v>-6863.39</v>
      </c>
      <c r="C1249" s="102">
        <v>0</v>
      </c>
      <c r="D1249" s="102">
        <v>230341.39</v>
      </c>
      <c r="E1249" s="102">
        <v>-237204.78</v>
      </c>
      <c r="G1249" s="102">
        <f t="shared" si="25"/>
        <v>-237204.78</v>
      </c>
      <c r="H1249" s="101" t="s">
        <v>80</v>
      </c>
    </row>
    <row r="1250" spans="1:8" hidden="1">
      <c r="A1250" s="101" t="s">
        <v>1354</v>
      </c>
      <c r="B1250" s="102">
        <v>0</v>
      </c>
      <c r="C1250" s="102">
        <v>0</v>
      </c>
      <c r="D1250" s="102">
        <v>0</v>
      </c>
      <c r="E1250" s="102">
        <v>0</v>
      </c>
      <c r="G1250" s="102">
        <f t="shared" si="25"/>
        <v>0</v>
      </c>
      <c r="H1250" s="101" t="s">
        <v>80</v>
      </c>
    </row>
    <row r="1251" spans="1:8" hidden="1">
      <c r="A1251" s="101" t="s">
        <v>1002</v>
      </c>
      <c r="B1251" s="102">
        <v>125</v>
      </c>
      <c r="C1251" s="102">
        <v>3750</v>
      </c>
      <c r="D1251" s="102">
        <v>6250</v>
      </c>
      <c r="E1251" s="102">
        <v>-2375</v>
      </c>
      <c r="G1251" s="102">
        <f t="shared" si="25"/>
        <v>-2375</v>
      </c>
      <c r="H1251" s="101" t="s">
        <v>80</v>
      </c>
    </row>
    <row r="1252" spans="1:8" hidden="1">
      <c r="A1252" s="101" t="s">
        <v>1003</v>
      </c>
      <c r="B1252" s="102">
        <v>-35425.25</v>
      </c>
      <c r="C1252" s="102">
        <v>0</v>
      </c>
      <c r="D1252" s="102">
        <v>0</v>
      </c>
      <c r="E1252" s="102">
        <v>-35425.25</v>
      </c>
      <c r="G1252" s="102">
        <f t="shared" si="25"/>
        <v>-35425.25</v>
      </c>
      <c r="H1252" s="101" t="s">
        <v>80</v>
      </c>
    </row>
    <row r="1253" spans="1:8" hidden="1">
      <c r="A1253" s="101" t="s">
        <v>1004</v>
      </c>
      <c r="B1253" s="102">
        <v>-31512.92</v>
      </c>
      <c r="C1253" s="102">
        <v>0</v>
      </c>
      <c r="D1253" s="102">
        <v>0</v>
      </c>
      <c r="E1253" s="102">
        <v>-31512.92</v>
      </c>
      <c r="G1253" s="102">
        <f t="shared" si="25"/>
        <v>-31512.92</v>
      </c>
      <c r="H1253" s="101" t="s">
        <v>80</v>
      </c>
    </row>
    <row r="1254" spans="1:8" hidden="1">
      <c r="A1254" s="101" t="s">
        <v>1005</v>
      </c>
      <c r="B1254" s="102">
        <v>-11280</v>
      </c>
      <c r="C1254" s="102">
        <v>0</v>
      </c>
      <c r="D1254" s="102">
        <v>0</v>
      </c>
      <c r="E1254" s="102">
        <v>-11280</v>
      </c>
      <c r="G1254" s="102">
        <f t="shared" si="25"/>
        <v>-11280</v>
      </c>
      <c r="H1254" s="101" t="s">
        <v>80</v>
      </c>
    </row>
    <row r="1255" spans="1:8" hidden="1">
      <c r="A1255" s="101" t="s">
        <v>1006</v>
      </c>
      <c r="B1255" s="102">
        <v>-153381</v>
      </c>
      <c r="C1255" s="102">
        <v>106791</v>
      </c>
      <c r="D1255" s="102">
        <v>153369</v>
      </c>
      <c r="E1255" s="102">
        <v>-199959</v>
      </c>
      <c r="G1255" s="102">
        <f t="shared" si="25"/>
        <v>-199959</v>
      </c>
      <c r="H1255" s="101" t="s">
        <v>80</v>
      </c>
    </row>
    <row r="1256" spans="1:8" hidden="1">
      <c r="A1256" s="101" t="s">
        <v>1355</v>
      </c>
      <c r="B1256" s="102">
        <v>0</v>
      </c>
      <c r="C1256" s="102">
        <v>122106</v>
      </c>
      <c r="D1256" s="102">
        <v>122106</v>
      </c>
      <c r="E1256" s="102">
        <v>0</v>
      </c>
      <c r="G1256" s="102">
        <f t="shared" si="25"/>
        <v>0</v>
      </c>
      <c r="H1256" s="101" t="s">
        <v>80</v>
      </c>
    </row>
    <row r="1257" spans="1:8" hidden="1">
      <c r="A1257" s="101" t="s">
        <v>1007</v>
      </c>
      <c r="B1257" s="102">
        <v>350000</v>
      </c>
      <c r="C1257" s="102">
        <v>0</v>
      </c>
      <c r="D1257" s="102">
        <v>0</v>
      </c>
      <c r="E1257" s="102">
        <v>350000</v>
      </c>
      <c r="G1257" s="102">
        <f t="shared" si="25"/>
        <v>350000</v>
      </c>
      <c r="H1257" s="101" t="s">
        <v>80</v>
      </c>
    </row>
    <row r="1258" spans="1:8" hidden="1">
      <c r="A1258" s="101" t="s">
        <v>1356</v>
      </c>
      <c r="B1258" s="102">
        <v>0</v>
      </c>
      <c r="C1258" s="102">
        <v>0</v>
      </c>
      <c r="D1258" s="102">
        <v>0</v>
      </c>
      <c r="E1258" s="102">
        <v>0</v>
      </c>
      <c r="G1258" s="102">
        <f t="shared" si="25"/>
        <v>0</v>
      </c>
      <c r="H1258" s="101" t="s">
        <v>80</v>
      </c>
    </row>
    <row r="1259" spans="1:8" hidden="1">
      <c r="A1259" s="101" t="s">
        <v>1357</v>
      </c>
      <c r="B1259" s="102">
        <v>0</v>
      </c>
      <c r="C1259" s="102">
        <v>5100</v>
      </c>
      <c r="D1259" s="102">
        <v>0</v>
      </c>
      <c r="E1259" s="102">
        <v>5100</v>
      </c>
      <c r="G1259" s="102">
        <f t="shared" si="25"/>
        <v>5100</v>
      </c>
      <c r="H1259" s="101" t="s">
        <v>80</v>
      </c>
    </row>
    <row r="1260" spans="1:8" hidden="1">
      <c r="A1260" s="101" t="s">
        <v>1358</v>
      </c>
      <c r="B1260" s="102">
        <v>0</v>
      </c>
      <c r="C1260" s="102">
        <v>0</v>
      </c>
      <c r="D1260" s="102">
        <v>0</v>
      </c>
      <c r="E1260" s="102">
        <v>0</v>
      </c>
      <c r="G1260" s="102">
        <f t="shared" si="25"/>
        <v>0</v>
      </c>
      <c r="H1260" s="101" t="s">
        <v>80</v>
      </c>
    </row>
    <row r="1261" spans="1:8" hidden="1">
      <c r="A1261" s="101" t="s">
        <v>419</v>
      </c>
      <c r="B1261" s="102">
        <v>-20234.669999999998</v>
      </c>
      <c r="C1261" s="102">
        <v>1294377</v>
      </c>
      <c r="D1261" s="102">
        <v>1294377</v>
      </c>
      <c r="E1261" s="102">
        <v>-20234.669999999998</v>
      </c>
      <c r="G1261" s="102">
        <f t="shared" si="25"/>
        <v>-20234.669999999998</v>
      </c>
      <c r="H1261" s="101" t="s">
        <v>80</v>
      </c>
    </row>
    <row r="1262" spans="1:8" hidden="1">
      <c r="A1262" s="101" t="s">
        <v>1008</v>
      </c>
      <c r="B1262" s="102">
        <v>19025</v>
      </c>
      <c r="C1262" s="102">
        <v>144239</v>
      </c>
      <c r="D1262" s="102">
        <v>0</v>
      </c>
      <c r="E1262" s="102">
        <v>163264</v>
      </c>
      <c r="G1262" s="102">
        <f t="shared" si="25"/>
        <v>163264</v>
      </c>
      <c r="H1262" s="101" t="s">
        <v>80</v>
      </c>
    </row>
    <row r="1263" spans="1:8" hidden="1">
      <c r="A1263" s="101" t="s">
        <v>1009</v>
      </c>
      <c r="B1263" s="102">
        <v>0</v>
      </c>
      <c r="C1263" s="102">
        <v>1616</v>
      </c>
      <c r="D1263" s="102">
        <v>708</v>
      </c>
      <c r="E1263" s="102">
        <v>908</v>
      </c>
      <c r="G1263" s="102">
        <f t="shared" si="25"/>
        <v>908</v>
      </c>
      <c r="H1263" s="101" t="s">
        <v>80</v>
      </c>
    </row>
    <row r="1264" spans="1:8" hidden="1">
      <c r="A1264" s="101" t="s">
        <v>1010</v>
      </c>
      <c r="B1264" s="102">
        <v>-3581</v>
      </c>
      <c r="C1264" s="102">
        <v>0</v>
      </c>
      <c r="D1264" s="102">
        <v>0</v>
      </c>
      <c r="E1264" s="102">
        <v>-3581</v>
      </c>
      <c r="G1264" s="102">
        <f t="shared" si="25"/>
        <v>-3581</v>
      </c>
      <c r="H1264" s="101" t="s">
        <v>80</v>
      </c>
    </row>
    <row r="1265" spans="1:8" hidden="1">
      <c r="A1265" s="101" t="s">
        <v>1359</v>
      </c>
      <c r="B1265" s="102">
        <v>0</v>
      </c>
      <c r="C1265" s="102">
        <v>0</v>
      </c>
      <c r="D1265" s="102">
        <v>21476</v>
      </c>
      <c r="E1265" s="102">
        <v>-21476</v>
      </c>
      <c r="G1265" s="102">
        <f t="shared" si="25"/>
        <v>-21476</v>
      </c>
      <c r="H1265" s="101" t="s">
        <v>80</v>
      </c>
    </row>
    <row r="1266" spans="1:8" hidden="1">
      <c r="A1266" s="101" t="s">
        <v>1011</v>
      </c>
      <c r="B1266" s="102">
        <v>-0.64</v>
      </c>
      <c r="C1266" s="102">
        <v>0</v>
      </c>
      <c r="D1266" s="102">
        <v>0</v>
      </c>
      <c r="E1266" s="102">
        <v>-0.64</v>
      </c>
      <c r="G1266" s="102">
        <f t="shared" si="25"/>
        <v>-0.64</v>
      </c>
      <c r="H1266" s="101" t="s">
        <v>80</v>
      </c>
    </row>
    <row r="1267" spans="1:8" hidden="1">
      <c r="A1267" s="101" t="s">
        <v>1012</v>
      </c>
      <c r="B1267" s="102">
        <v>-146369.48000000001</v>
      </c>
      <c r="C1267" s="102">
        <v>180765</v>
      </c>
      <c r="D1267" s="102">
        <v>42775</v>
      </c>
      <c r="E1267" s="102">
        <v>-8379.48</v>
      </c>
      <c r="G1267" s="102">
        <f t="shared" si="25"/>
        <v>-8379.48</v>
      </c>
      <c r="H1267" s="101" t="s">
        <v>80</v>
      </c>
    </row>
    <row r="1268" spans="1:8" hidden="1">
      <c r="A1268" s="101" t="s">
        <v>155</v>
      </c>
      <c r="B1268" s="102">
        <v>-4150455.4</v>
      </c>
      <c r="C1268" s="102">
        <v>8657800</v>
      </c>
      <c r="D1268" s="102">
        <v>3576447</v>
      </c>
      <c r="E1268" s="102">
        <v>930897.6</v>
      </c>
      <c r="G1268" s="102">
        <f t="shared" si="25"/>
        <v>930897.6</v>
      </c>
      <c r="H1268" s="101" t="s">
        <v>80</v>
      </c>
    </row>
    <row r="1269" spans="1:8" hidden="1">
      <c r="A1269" s="101" t="s">
        <v>1013</v>
      </c>
      <c r="B1269" s="102">
        <v>-854</v>
      </c>
      <c r="C1269" s="102">
        <v>0</v>
      </c>
      <c r="D1269" s="102">
        <v>0</v>
      </c>
      <c r="E1269" s="102">
        <v>-854</v>
      </c>
      <c r="G1269" s="102">
        <f t="shared" si="25"/>
        <v>-854</v>
      </c>
      <c r="H1269" s="101" t="s">
        <v>80</v>
      </c>
    </row>
    <row r="1270" spans="1:8" hidden="1">
      <c r="A1270" s="101" t="s">
        <v>393</v>
      </c>
      <c r="B1270" s="102">
        <v>15853.21</v>
      </c>
      <c r="C1270" s="102">
        <v>4945</v>
      </c>
      <c r="D1270" s="102">
        <v>0</v>
      </c>
      <c r="E1270" s="102">
        <v>20798.21</v>
      </c>
      <c r="G1270" s="102">
        <f t="shared" si="25"/>
        <v>20798.21</v>
      </c>
      <c r="H1270" s="101" t="s">
        <v>80</v>
      </c>
    </row>
    <row r="1271" spans="1:8" hidden="1">
      <c r="A1271" s="101" t="s">
        <v>1360</v>
      </c>
      <c r="B1271" s="102">
        <v>0</v>
      </c>
      <c r="C1271" s="102">
        <v>0</v>
      </c>
      <c r="D1271" s="102">
        <v>18580</v>
      </c>
      <c r="E1271" s="102">
        <v>-18580</v>
      </c>
      <c r="G1271" s="102">
        <f t="shared" si="25"/>
        <v>-18580</v>
      </c>
      <c r="H1271" s="101" t="s">
        <v>80</v>
      </c>
    </row>
    <row r="1272" spans="1:8" hidden="1">
      <c r="A1272" s="101" t="s">
        <v>1014</v>
      </c>
      <c r="B1272" s="102">
        <v>-52030</v>
      </c>
      <c r="C1272" s="102">
        <v>0</v>
      </c>
      <c r="D1272" s="102">
        <v>0</v>
      </c>
      <c r="E1272" s="102">
        <v>-52030</v>
      </c>
      <c r="G1272" s="102">
        <f t="shared" si="25"/>
        <v>-52030</v>
      </c>
      <c r="H1272" s="101" t="s">
        <v>80</v>
      </c>
    </row>
    <row r="1273" spans="1:8" hidden="1">
      <c r="A1273" s="101" t="s">
        <v>1015</v>
      </c>
      <c r="B1273" s="102">
        <v>-0.46</v>
      </c>
      <c r="C1273" s="102">
        <v>0</v>
      </c>
      <c r="D1273" s="102">
        <v>0</v>
      </c>
      <c r="E1273" s="102">
        <v>-0.46</v>
      </c>
      <c r="G1273" s="102">
        <f t="shared" si="25"/>
        <v>-0.46</v>
      </c>
      <c r="H1273" s="101" t="s">
        <v>80</v>
      </c>
    </row>
    <row r="1274" spans="1:8" hidden="1">
      <c r="A1274" s="101" t="s">
        <v>413</v>
      </c>
      <c r="B1274" s="102">
        <v>-8850</v>
      </c>
      <c r="C1274" s="102">
        <v>0</v>
      </c>
      <c r="D1274" s="102">
        <v>0</v>
      </c>
      <c r="E1274" s="102">
        <v>-8850</v>
      </c>
      <c r="G1274" s="102">
        <f t="shared" si="25"/>
        <v>-8850</v>
      </c>
      <c r="H1274" s="101" t="s">
        <v>80</v>
      </c>
    </row>
    <row r="1275" spans="1:8" hidden="1">
      <c r="A1275" s="101" t="s">
        <v>1016</v>
      </c>
      <c r="B1275" s="102">
        <v>0</v>
      </c>
      <c r="C1275" s="102">
        <v>110000</v>
      </c>
      <c r="D1275" s="102">
        <v>110000</v>
      </c>
      <c r="E1275" s="102">
        <v>0</v>
      </c>
      <c r="G1275" s="102">
        <f t="shared" si="25"/>
        <v>0</v>
      </c>
      <c r="H1275" s="101" t="s">
        <v>80</v>
      </c>
    </row>
    <row r="1276" spans="1:8" hidden="1">
      <c r="A1276" s="101" t="s">
        <v>1017</v>
      </c>
      <c r="B1276" s="102">
        <v>-1770</v>
      </c>
      <c r="C1276" s="102">
        <v>5310</v>
      </c>
      <c r="D1276" s="102">
        <v>5310</v>
      </c>
      <c r="E1276" s="102">
        <v>-1770</v>
      </c>
      <c r="G1276" s="102">
        <f t="shared" si="25"/>
        <v>-1770</v>
      </c>
      <c r="H1276" s="101" t="s">
        <v>80</v>
      </c>
    </row>
    <row r="1277" spans="1:8" hidden="1">
      <c r="A1277" s="101" t="s">
        <v>1018</v>
      </c>
      <c r="B1277" s="102">
        <v>-448828868.54000002</v>
      </c>
      <c r="C1277" s="102">
        <v>648327148.41999996</v>
      </c>
      <c r="D1277" s="102">
        <v>563075008.51999998</v>
      </c>
      <c r="E1277" s="102">
        <v>-363576728.63999999</v>
      </c>
      <c r="G1277" s="102">
        <f t="shared" si="25"/>
        <v>-363576728.63999999</v>
      </c>
      <c r="H1277" s="101" t="s">
        <v>80</v>
      </c>
    </row>
    <row r="1278" spans="1:8" hidden="1">
      <c r="A1278" s="101" t="s">
        <v>1019</v>
      </c>
      <c r="B1278" s="102">
        <v>536708.4</v>
      </c>
      <c r="C1278" s="102">
        <v>0</v>
      </c>
      <c r="D1278" s="102">
        <v>118</v>
      </c>
      <c r="E1278" s="102">
        <v>536590.4</v>
      </c>
      <c r="G1278" s="102">
        <f t="shared" si="25"/>
        <v>536590.4</v>
      </c>
      <c r="H1278" s="101" t="s">
        <v>80</v>
      </c>
    </row>
    <row r="1279" spans="1:8" hidden="1">
      <c r="A1279" s="101" t="s">
        <v>1020</v>
      </c>
      <c r="B1279" s="102">
        <v>-59604687.869999997</v>
      </c>
      <c r="C1279" s="102">
        <v>104876280.59999999</v>
      </c>
      <c r="D1279" s="102">
        <v>104300354.04000001</v>
      </c>
      <c r="E1279" s="102">
        <v>-59028761.310000002</v>
      </c>
      <c r="G1279" s="102">
        <f t="shared" si="25"/>
        <v>-59028761.310000002</v>
      </c>
      <c r="H1279" s="101" t="s">
        <v>80</v>
      </c>
    </row>
    <row r="1280" spans="1:8" hidden="1">
      <c r="A1280" s="101" t="s">
        <v>1021</v>
      </c>
      <c r="B1280" s="102">
        <v>-904527117</v>
      </c>
      <c r="C1280" s="102">
        <v>92911181</v>
      </c>
      <c r="D1280" s="102">
        <v>104497200</v>
      </c>
      <c r="E1280" s="102">
        <v>-916113136</v>
      </c>
      <c r="G1280" s="102">
        <f t="shared" si="25"/>
        <v>-916113136</v>
      </c>
      <c r="H1280" s="101" t="s">
        <v>80</v>
      </c>
    </row>
    <row r="1281" spans="1:8" hidden="1">
      <c r="A1281" s="101" t="s">
        <v>1022</v>
      </c>
      <c r="B1281" s="102">
        <v>-254791622.38</v>
      </c>
      <c r="C1281" s="102">
        <v>0</v>
      </c>
      <c r="D1281" s="102">
        <v>0</v>
      </c>
      <c r="E1281" s="102">
        <v>-254791622.38</v>
      </c>
      <c r="G1281" s="102">
        <f t="shared" si="25"/>
        <v>-254791622.38</v>
      </c>
      <c r="H1281" s="101" t="s">
        <v>80</v>
      </c>
    </row>
    <row r="1282" spans="1:8" hidden="1">
      <c r="A1282" s="101" t="s">
        <v>1023</v>
      </c>
      <c r="B1282" s="102">
        <v>-27509624.390000001</v>
      </c>
      <c r="C1282" s="102">
        <v>12000000</v>
      </c>
      <c r="D1282" s="102">
        <v>0</v>
      </c>
      <c r="E1282" s="102">
        <v>-15509624.390000001</v>
      </c>
      <c r="G1282" s="102">
        <f t="shared" si="25"/>
        <v>-15509624.390000001</v>
      </c>
      <c r="H1282" s="101" t="s">
        <v>80</v>
      </c>
    </row>
    <row r="1283" spans="1:8" hidden="1">
      <c r="A1283" s="101" t="s">
        <v>1024</v>
      </c>
      <c r="B1283" s="102">
        <v>-77618334.810000002</v>
      </c>
      <c r="C1283" s="102">
        <v>1488937</v>
      </c>
      <c r="D1283" s="102">
        <v>1488937</v>
      </c>
      <c r="E1283" s="102">
        <v>-77618334.810000002</v>
      </c>
      <c r="G1283" s="102">
        <f t="shared" ref="G1283:G1317" si="26">E1283+F1283</f>
        <v>-77618334.810000002</v>
      </c>
      <c r="H1283" s="101" t="s">
        <v>80</v>
      </c>
    </row>
    <row r="1284" spans="1:8" hidden="1">
      <c r="A1284" s="101" t="s">
        <v>1025</v>
      </c>
      <c r="B1284" s="102">
        <v>-17551333.5</v>
      </c>
      <c r="C1284" s="102">
        <v>1281873.32</v>
      </c>
      <c r="D1284" s="102">
        <v>278940</v>
      </c>
      <c r="E1284" s="102">
        <v>-16548400.18</v>
      </c>
      <c r="G1284" s="102">
        <f t="shared" si="26"/>
        <v>-16548400.18</v>
      </c>
      <c r="H1284" s="101" t="s">
        <v>80</v>
      </c>
    </row>
    <row r="1285" spans="1:8" hidden="1">
      <c r="A1285" s="101" t="s">
        <v>1026</v>
      </c>
      <c r="B1285" s="102">
        <v>-1755555.59</v>
      </c>
      <c r="C1285" s="102">
        <v>700810.22</v>
      </c>
      <c r="D1285" s="102">
        <v>78588</v>
      </c>
      <c r="E1285" s="102">
        <v>-1133333.3700000001</v>
      </c>
      <c r="G1285" s="102">
        <f t="shared" si="26"/>
        <v>-1133333.3700000001</v>
      </c>
      <c r="H1285" s="101" t="s">
        <v>80</v>
      </c>
    </row>
    <row r="1286" spans="1:8" hidden="1">
      <c r="A1286" s="101" t="s">
        <v>1027</v>
      </c>
      <c r="B1286" s="102">
        <v>-29027778</v>
      </c>
      <c r="C1286" s="102">
        <v>5705783.7599999998</v>
      </c>
      <c r="D1286" s="102">
        <v>428006</v>
      </c>
      <c r="E1286" s="102">
        <v>-23750000.239999998</v>
      </c>
      <c r="G1286" s="102">
        <f t="shared" si="26"/>
        <v>-23750000.239999998</v>
      </c>
      <c r="H1286" s="101" t="s">
        <v>80</v>
      </c>
    </row>
    <row r="1287" spans="1:8" hidden="1">
      <c r="A1287" s="101" t="s">
        <v>1049</v>
      </c>
      <c r="B1287" s="102">
        <v>-60000000</v>
      </c>
      <c r="C1287" s="102">
        <v>753205</v>
      </c>
      <c r="D1287" s="102">
        <v>753205</v>
      </c>
      <c r="E1287" s="102">
        <v>-60000000</v>
      </c>
      <c r="G1287" s="102">
        <f t="shared" si="26"/>
        <v>-60000000</v>
      </c>
      <c r="H1287" s="101" t="s">
        <v>80</v>
      </c>
    </row>
    <row r="1288" spans="1:8" hidden="1">
      <c r="A1288" s="101" t="s">
        <v>1028</v>
      </c>
      <c r="B1288" s="102">
        <v>-50000000</v>
      </c>
      <c r="C1288" s="102">
        <v>480205</v>
      </c>
      <c r="D1288" s="102">
        <v>480205</v>
      </c>
      <c r="E1288" s="102">
        <v>-50000000</v>
      </c>
      <c r="G1288" s="102">
        <f t="shared" si="26"/>
        <v>-50000000</v>
      </c>
      <c r="H1288" s="101" t="s">
        <v>80</v>
      </c>
    </row>
    <row r="1289" spans="1:8" hidden="1">
      <c r="A1289" s="101" t="s">
        <v>1050</v>
      </c>
      <c r="B1289" s="102">
        <v>-50000000</v>
      </c>
      <c r="C1289" s="102">
        <v>735047.4</v>
      </c>
      <c r="D1289" s="102">
        <v>735047.4</v>
      </c>
      <c r="E1289" s="102">
        <v>-50000000</v>
      </c>
      <c r="G1289" s="102">
        <f t="shared" si="26"/>
        <v>-50000000</v>
      </c>
      <c r="H1289" s="101" t="s">
        <v>80</v>
      </c>
    </row>
    <row r="1290" spans="1:8" hidden="1">
      <c r="A1290" s="101" t="s">
        <v>1362</v>
      </c>
      <c r="B1290" s="102">
        <v>0</v>
      </c>
      <c r="C1290" s="102">
        <v>0</v>
      </c>
      <c r="D1290" s="102">
        <v>0</v>
      </c>
      <c r="E1290" s="102">
        <v>0</v>
      </c>
      <c r="G1290" s="102">
        <f t="shared" si="26"/>
        <v>0</v>
      </c>
      <c r="H1290" s="101" t="s">
        <v>80</v>
      </c>
    </row>
    <row r="1291" spans="1:8" hidden="1">
      <c r="A1291" s="101" t="s">
        <v>1363</v>
      </c>
      <c r="B1291" s="102">
        <v>0</v>
      </c>
      <c r="C1291" s="102">
        <v>0</v>
      </c>
      <c r="D1291" s="102">
        <v>0</v>
      </c>
      <c r="E1291" s="102">
        <v>0</v>
      </c>
      <c r="G1291" s="102">
        <f t="shared" si="26"/>
        <v>0</v>
      </c>
      <c r="H1291" s="101" t="s">
        <v>80</v>
      </c>
    </row>
    <row r="1292" spans="1:8" hidden="1">
      <c r="A1292" s="101" t="s">
        <v>1364</v>
      </c>
      <c r="B1292" s="102">
        <v>0</v>
      </c>
      <c r="C1292" s="102">
        <v>0</v>
      </c>
      <c r="D1292" s="102">
        <v>0</v>
      </c>
      <c r="E1292" s="102">
        <v>0</v>
      </c>
      <c r="G1292" s="102">
        <f t="shared" si="26"/>
        <v>0</v>
      </c>
      <c r="H1292" s="101" t="s">
        <v>80</v>
      </c>
    </row>
    <row r="1293" spans="1:8" hidden="1">
      <c r="A1293" s="101" t="s">
        <v>1051</v>
      </c>
      <c r="B1293" s="102">
        <v>-446984.54</v>
      </c>
      <c r="C1293" s="102">
        <v>0</v>
      </c>
      <c r="D1293" s="102">
        <v>0</v>
      </c>
      <c r="E1293" s="102">
        <v>-446984.54</v>
      </c>
      <c r="G1293" s="102">
        <f t="shared" si="26"/>
        <v>-446984.54</v>
      </c>
      <c r="H1293" s="101" t="s">
        <v>80</v>
      </c>
    </row>
    <row r="1294" spans="1:8" hidden="1">
      <c r="A1294" s="101" t="s">
        <v>1029</v>
      </c>
      <c r="B1294" s="102">
        <v>-26668954.620000001</v>
      </c>
      <c r="C1294" s="102">
        <v>73071837</v>
      </c>
      <c r="D1294" s="102">
        <v>107822736.64</v>
      </c>
      <c r="E1294" s="102">
        <v>-61419854.259999998</v>
      </c>
      <c r="G1294" s="102">
        <f t="shared" si="26"/>
        <v>-61419854.259999998</v>
      </c>
      <c r="H1294" s="101" t="s">
        <v>80</v>
      </c>
    </row>
    <row r="1295" spans="1:8" hidden="1">
      <c r="A1295" s="101" t="s">
        <v>1030</v>
      </c>
      <c r="B1295" s="102">
        <v>-124620173.98</v>
      </c>
      <c r="C1295" s="102">
        <v>0</v>
      </c>
      <c r="D1295" s="102">
        <v>0</v>
      </c>
      <c r="E1295" s="102">
        <v>-124620173.98</v>
      </c>
      <c r="G1295" s="102">
        <f t="shared" si="26"/>
        <v>-124620173.98</v>
      </c>
      <c r="H1295" s="101" t="s">
        <v>80</v>
      </c>
    </row>
    <row r="1296" spans="1:8" hidden="1">
      <c r="A1296" s="101" t="s">
        <v>1365</v>
      </c>
      <c r="B1296" s="102">
        <v>0</v>
      </c>
      <c r="C1296" s="102">
        <v>0</v>
      </c>
      <c r="D1296" s="102">
        <v>0</v>
      </c>
      <c r="E1296" s="102">
        <v>0</v>
      </c>
      <c r="G1296" s="102">
        <f t="shared" si="26"/>
        <v>0</v>
      </c>
      <c r="H1296" s="101" t="s">
        <v>80</v>
      </c>
    </row>
    <row r="1297" spans="1:8" hidden="1">
      <c r="A1297" s="101" t="s">
        <v>1366</v>
      </c>
      <c r="B1297" s="102">
        <v>0</v>
      </c>
      <c r="C1297" s="102">
        <v>0</v>
      </c>
      <c r="D1297" s="102">
        <v>0</v>
      </c>
      <c r="E1297" s="102">
        <v>0</v>
      </c>
      <c r="G1297" s="102">
        <f t="shared" si="26"/>
        <v>0</v>
      </c>
      <c r="H1297" s="101" t="s">
        <v>80</v>
      </c>
    </row>
    <row r="1298" spans="1:8" hidden="1">
      <c r="A1298" s="101" t="s">
        <v>1367</v>
      </c>
      <c r="B1298" s="102">
        <v>0</v>
      </c>
      <c r="C1298" s="102">
        <v>0</v>
      </c>
      <c r="D1298" s="102">
        <v>0</v>
      </c>
      <c r="E1298" s="102">
        <v>0</v>
      </c>
      <c r="G1298" s="102">
        <f t="shared" si="26"/>
        <v>0</v>
      </c>
      <c r="H1298" s="101" t="s">
        <v>80</v>
      </c>
    </row>
    <row r="1299" spans="1:8" hidden="1">
      <c r="A1299" s="101" t="s">
        <v>1031</v>
      </c>
      <c r="B1299" s="102">
        <v>549499</v>
      </c>
      <c r="C1299" s="102">
        <v>0</v>
      </c>
      <c r="D1299" s="102">
        <v>0</v>
      </c>
      <c r="E1299" s="102">
        <v>549499</v>
      </c>
      <c r="G1299" s="102">
        <f t="shared" si="26"/>
        <v>549499</v>
      </c>
      <c r="H1299" s="101" t="s">
        <v>80</v>
      </c>
    </row>
    <row r="1300" spans="1:8" hidden="1">
      <c r="A1300" s="101" t="s">
        <v>1032</v>
      </c>
      <c r="B1300" s="102">
        <v>-264850888</v>
      </c>
      <c r="C1300" s="102">
        <v>22996124</v>
      </c>
      <c r="D1300" s="102">
        <v>22878000</v>
      </c>
      <c r="E1300" s="102">
        <v>-264732764</v>
      </c>
      <c r="G1300" s="102">
        <f t="shared" si="26"/>
        <v>-264732764</v>
      </c>
      <c r="H1300" s="101" t="s">
        <v>80</v>
      </c>
    </row>
    <row r="1301" spans="1:8" hidden="1">
      <c r="A1301" s="101" t="s">
        <v>1033</v>
      </c>
      <c r="B1301" s="102">
        <v>-16745374.66</v>
      </c>
      <c r="C1301" s="102">
        <v>0</v>
      </c>
      <c r="D1301" s="102">
        <v>0</v>
      </c>
      <c r="E1301" s="102">
        <v>-16745374.66</v>
      </c>
      <c r="G1301" s="102">
        <f t="shared" si="26"/>
        <v>-16745374.66</v>
      </c>
      <c r="H1301" s="101" t="s">
        <v>80</v>
      </c>
    </row>
    <row r="1302" spans="1:8" hidden="1">
      <c r="A1302" s="101" t="s">
        <v>1034</v>
      </c>
      <c r="B1302" s="102">
        <v>-3784803.05</v>
      </c>
      <c r="C1302" s="102">
        <v>0</v>
      </c>
      <c r="D1302" s="102">
        <v>0</v>
      </c>
      <c r="E1302" s="102">
        <v>-3784803.05</v>
      </c>
      <c r="G1302" s="102">
        <f t="shared" si="26"/>
        <v>-3784803.05</v>
      </c>
      <c r="H1302" s="101" t="s">
        <v>80</v>
      </c>
    </row>
    <row r="1303" spans="1:8" hidden="1">
      <c r="A1303" s="101" t="s">
        <v>1035</v>
      </c>
      <c r="B1303" s="102">
        <v>-14538782.1</v>
      </c>
      <c r="C1303" s="102">
        <v>0</v>
      </c>
      <c r="D1303" s="102">
        <v>0</v>
      </c>
      <c r="E1303" s="102">
        <v>-14538782.1</v>
      </c>
      <c r="G1303" s="102">
        <f t="shared" si="26"/>
        <v>-14538782.1</v>
      </c>
      <c r="H1303" s="101" t="s">
        <v>80</v>
      </c>
    </row>
    <row r="1304" spans="1:8" hidden="1">
      <c r="A1304" s="101" t="s">
        <v>1036</v>
      </c>
      <c r="B1304" s="102">
        <v>-3103131</v>
      </c>
      <c r="C1304" s="102">
        <v>0</v>
      </c>
      <c r="D1304" s="102">
        <v>0</v>
      </c>
      <c r="E1304" s="102">
        <v>-3103131</v>
      </c>
      <c r="G1304" s="102">
        <f t="shared" si="26"/>
        <v>-3103131</v>
      </c>
      <c r="H1304" s="101" t="s">
        <v>80</v>
      </c>
    </row>
    <row r="1305" spans="1:8" hidden="1">
      <c r="A1305" s="101" t="s">
        <v>1037</v>
      </c>
      <c r="B1305" s="102">
        <v>-12629931</v>
      </c>
      <c r="C1305" s="102">
        <v>0</v>
      </c>
      <c r="D1305" s="102">
        <v>0</v>
      </c>
      <c r="E1305" s="102">
        <v>-12629931</v>
      </c>
      <c r="G1305" s="102">
        <f t="shared" si="26"/>
        <v>-12629931</v>
      </c>
      <c r="H1305" s="101" t="s">
        <v>80</v>
      </c>
    </row>
    <row r="1306" spans="1:8" hidden="1">
      <c r="A1306" s="101" t="s">
        <v>185</v>
      </c>
      <c r="B1306" s="102">
        <v>655608.93999999994</v>
      </c>
      <c r="C1306" s="102">
        <v>0</v>
      </c>
      <c r="D1306" s="102">
        <v>0</v>
      </c>
      <c r="E1306" s="102">
        <v>655608.93999999994</v>
      </c>
      <c r="G1306" s="102">
        <f t="shared" si="26"/>
        <v>655608.93999999994</v>
      </c>
      <c r="H1306" s="101" t="s">
        <v>80</v>
      </c>
    </row>
    <row r="1307" spans="1:8" hidden="1">
      <c r="A1307" s="101" t="s">
        <v>186</v>
      </c>
      <c r="B1307" s="102">
        <v>3464.96</v>
      </c>
      <c r="C1307" s="102">
        <v>36553552.890000001</v>
      </c>
      <c r="D1307" s="102">
        <v>36553552.890000001</v>
      </c>
      <c r="E1307" s="102">
        <v>3464.96</v>
      </c>
      <c r="G1307" s="102">
        <f t="shared" si="26"/>
        <v>3464.96</v>
      </c>
      <c r="H1307" s="101" t="s">
        <v>80</v>
      </c>
    </row>
    <row r="1308" spans="1:8" hidden="1">
      <c r="A1308" s="101" t="s">
        <v>1368</v>
      </c>
      <c r="B1308" s="102">
        <v>0</v>
      </c>
      <c r="C1308" s="102">
        <v>0</v>
      </c>
      <c r="D1308" s="102">
        <v>0</v>
      </c>
      <c r="E1308" s="102">
        <v>0</v>
      </c>
      <c r="G1308" s="102">
        <f t="shared" si="26"/>
        <v>0</v>
      </c>
      <c r="H1308" s="101" t="s">
        <v>80</v>
      </c>
    </row>
    <row r="1309" spans="1:8" hidden="1">
      <c r="A1309" s="101" t="s">
        <v>1369</v>
      </c>
      <c r="B1309" s="102">
        <v>0</v>
      </c>
      <c r="C1309" s="102">
        <v>0</v>
      </c>
      <c r="D1309" s="102">
        <v>0</v>
      </c>
      <c r="E1309" s="102">
        <v>0</v>
      </c>
      <c r="G1309" s="102">
        <f t="shared" si="26"/>
        <v>0</v>
      </c>
      <c r="H1309" s="101" t="s">
        <v>80</v>
      </c>
    </row>
    <row r="1310" spans="1:8" hidden="1">
      <c r="A1310" s="101" t="s">
        <v>1038</v>
      </c>
      <c r="B1310" s="102">
        <v>-2618078.6</v>
      </c>
      <c r="C1310" s="102">
        <v>0</v>
      </c>
      <c r="D1310" s="102">
        <v>0</v>
      </c>
      <c r="E1310" s="102">
        <v>-2618078.6</v>
      </c>
      <c r="G1310" s="102">
        <f t="shared" si="26"/>
        <v>-2618078.6</v>
      </c>
      <c r="H1310" s="101" t="s">
        <v>80</v>
      </c>
    </row>
    <row r="1311" spans="1:8" hidden="1">
      <c r="A1311" s="101" t="s">
        <v>1039</v>
      </c>
      <c r="B1311" s="102">
        <v>-220384430.65000001</v>
      </c>
      <c r="C1311" s="102">
        <v>39690021.990000002</v>
      </c>
      <c r="D1311" s="102">
        <v>50169355</v>
      </c>
      <c r="E1311" s="102">
        <v>-230863763.66</v>
      </c>
      <c r="G1311" s="102">
        <f t="shared" si="26"/>
        <v>-230863763.66</v>
      </c>
      <c r="H1311" s="101" t="s">
        <v>80</v>
      </c>
    </row>
    <row r="1312" spans="1:8" hidden="1">
      <c r="A1312" s="101" t="s">
        <v>211</v>
      </c>
      <c r="B1312" s="102">
        <v>-817212928.11000001</v>
      </c>
      <c r="C1312" s="102">
        <v>0</v>
      </c>
      <c r="D1312" s="102">
        <v>0</v>
      </c>
      <c r="E1312" s="102">
        <v>-817212928.11000001</v>
      </c>
      <c r="G1312" s="102">
        <f t="shared" si="26"/>
        <v>-817212928.11000001</v>
      </c>
      <c r="H1312" s="101" t="s">
        <v>80</v>
      </c>
    </row>
    <row r="1313" spans="1:10" hidden="1">
      <c r="A1313" s="101" t="s">
        <v>203</v>
      </c>
      <c r="B1313" s="102">
        <v>-260850171.12</v>
      </c>
      <c r="C1313" s="102">
        <v>0</v>
      </c>
      <c r="D1313" s="102">
        <v>0</v>
      </c>
      <c r="E1313" s="102">
        <v>-260850171.12</v>
      </c>
      <c r="G1313" s="102">
        <f t="shared" si="26"/>
        <v>-260850171.12</v>
      </c>
      <c r="H1313" s="101" t="s">
        <v>80</v>
      </c>
    </row>
    <row r="1314" spans="1:10" hidden="1">
      <c r="A1314" s="101" t="s">
        <v>204</v>
      </c>
      <c r="B1314" s="102">
        <v>-14666932</v>
      </c>
      <c r="C1314" s="102">
        <v>14658432</v>
      </c>
      <c r="D1314" s="102">
        <v>1500</v>
      </c>
      <c r="E1314" s="102">
        <v>-10000</v>
      </c>
      <c r="G1314" s="102">
        <f t="shared" si="26"/>
        <v>-10000</v>
      </c>
      <c r="H1314" s="101" t="s">
        <v>80</v>
      </c>
    </row>
    <row r="1315" spans="1:10" hidden="1">
      <c r="A1315" s="101" t="s">
        <v>205</v>
      </c>
      <c r="B1315" s="102">
        <v>-1123027</v>
      </c>
      <c r="C1315" s="102">
        <v>0</v>
      </c>
      <c r="D1315" s="102">
        <v>0</v>
      </c>
      <c r="E1315" s="102">
        <v>-1123027</v>
      </c>
      <c r="G1315" s="102">
        <f t="shared" si="26"/>
        <v>-1123027</v>
      </c>
      <c r="H1315" s="101" t="s">
        <v>80</v>
      </c>
    </row>
    <row r="1316" spans="1:10" hidden="1">
      <c r="A1316" s="101" t="s">
        <v>1040</v>
      </c>
      <c r="B1316" s="102">
        <v>-44079386.990000002</v>
      </c>
      <c r="C1316" s="102">
        <v>0</v>
      </c>
      <c r="D1316" s="102">
        <v>0</v>
      </c>
      <c r="E1316" s="102">
        <v>-44079386.990000002</v>
      </c>
      <c r="G1316" s="102">
        <f t="shared" si="26"/>
        <v>-44079386.990000002</v>
      </c>
      <c r="H1316" s="101" t="s">
        <v>80</v>
      </c>
    </row>
    <row r="1317" spans="1:10" hidden="1">
      <c r="A1317" s="101" t="s">
        <v>375</v>
      </c>
      <c r="B1317" s="102">
        <v>30173509.920000002</v>
      </c>
      <c r="C1317" s="102">
        <v>0</v>
      </c>
      <c r="D1317" s="102">
        <v>0.02</v>
      </c>
      <c r="E1317" s="102">
        <v>30173509.899999999</v>
      </c>
      <c r="G1317" s="102">
        <f t="shared" si="26"/>
        <v>30173509.899999999</v>
      </c>
      <c r="H1317" s="101" t="s">
        <v>80</v>
      </c>
    </row>
    <row r="1319" spans="1:10">
      <c r="E1319" s="101">
        <f>SUBTOTAL(9,E395:E1318)</f>
        <v>200000</v>
      </c>
      <c r="F1319" s="101">
        <f>SUBTOTAL(9,F395:F1318)</f>
        <v>0</v>
      </c>
      <c r="G1319" s="101">
        <f>SUBTOTAL(9,G44:G1318)</f>
        <v>200000</v>
      </c>
      <c r="J1319" s="101">
        <f>SUBTOTAL(9,J481:J1318)</f>
        <v>0</v>
      </c>
    </row>
    <row r="1320" spans="1:10">
      <c r="J1320" s="101">
        <f>EBIDTA!I9+EBIDTA!I17</f>
        <v>198965128.91</v>
      </c>
    </row>
    <row r="1321" spans="1:10">
      <c r="J1321" s="101">
        <f>J1320+J1319</f>
        <v>198965128.91</v>
      </c>
    </row>
  </sheetData>
  <autoFilter ref="A1:J1317" xr:uid="{A14A6CBC-DB4C-465C-8090-61178501A2D7}">
    <filterColumn colId="7">
      <filters>
        <filter val="Rent Income"/>
      </filters>
    </filterColumn>
  </autoFilter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8ECA2-84B9-4023-9F1E-0493DF642E58}">
  <sheetPr>
    <tabColor rgb="FFFFFF00"/>
  </sheetPr>
  <dimension ref="A1:L1360"/>
  <sheetViews>
    <sheetView zoomScale="80" zoomScaleNormal="80" workbookViewId="0">
      <pane ySplit="1" topLeftCell="A2" activePane="bottomLeft" state="frozen"/>
      <selection pane="bottomLeft" activeCell="I8" sqref="I8"/>
    </sheetView>
  </sheetViews>
  <sheetFormatPr defaultRowHeight="14.5"/>
  <cols>
    <col min="1" max="1" width="41.81640625" style="126" customWidth="1"/>
    <col min="2" max="7" width="14.453125" style="126" customWidth="1"/>
    <col min="8" max="8" width="28.36328125" style="126" customWidth="1"/>
    <col min="9" max="9" width="14.36328125" style="126" customWidth="1"/>
    <col min="10" max="10" width="45.6328125" style="126" bestFit="1" customWidth="1"/>
    <col min="11" max="11" width="12.6328125" style="126" bestFit="1" customWidth="1"/>
    <col min="12" max="16384" width="8.7265625" style="126"/>
  </cols>
  <sheetData>
    <row r="1" spans="1:8" s="125" customFormat="1" ht="26" customHeight="1">
      <c r="A1" s="124" t="s">
        <v>530</v>
      </c>
      <c r="B1" s="124" t="s">
        <v>497</v>
      </c>
      <c r="C1" s="124" t="s">
        <v>499</v>
      </c>
      <c r="D1" s="124" t="s">
        <v>500</v>
      </c>
      <c r="E1" s="124" t="s">
        <v>498</v>
      </c>
      <c r="F1" s="124" t="s">
        <v>1517</v>
      </c>
      <c r="G1" s="124" t="s">
        <v>518</v>
      </c>
      <c r="H1" s="106" t="s">
        <v>1607</v>
      </c>
    </row>
    <row r="2" spans="1:8">
      <c r="A2" s="126" t="s">
        <v>145</v>
      </c>
      <c r="B2" s="126">
        <v>-418818</v>
      </c>
      <c r="C2" s="126">
        <v>0</v>
      </c>
      <c r="D2" s="126">
        <v>0</v>
      </c>
      <c r="E2" s="126">
        <v>-418818</v>
      </c>
      <c r="G2" s="126">
        <f>E2+F2</f>
        <v>-418818</v>
      </c>
      <c r="H2" s="126" t="s">
        <v>80</v>
      </c>
    </row>
    <row r="3" spans="1:8">
      <c r="A3" s="126" t="s">
        <v>146</v>
      </c>
      <c r="B3" s="126">
        <v>66480</v>
      </c>
      <c r="C3" s="126">
        <v>0</v>
      </c>
      <c r="D3" s="126">
        <v>0</v>
      </c>
      <c r="E3" s="126">
        <v>66480</v>
      </c>
      <c r="G3" s="126">
        <f t="shared" ref="G3:G66" si="0">E3+F3</f>
        <v>66480</v>
      </c>
      <c r="H3" s="126" t="s">
        <v>80</v>
      </c>
    </row>
    <row r="4" spans="1:8">
      <c r="A4" s="126" t="s">
        <v>392</v>
      </c>
      <c r="B4" s="126">
        <v>1767704.75</v>
      </c>
      <c r="C4" s="126">
        <v>0</v>
      </c>
      <c r="D4" s="126">
        <v>0</v>
      </c>
      <c r="E4" s="126">
        <v>1767704.75</v>
      </c>
      <c r="G4" s="126">
        <f t="shared" si="0"/>
        <v>1767704.75</v>
      </c>
      <c r="H4" s="126" t="s">
        <v>80</v>
      </c>
    </row>
    <row r="5" spans="1:8">
      <c r="A5" s="126" t="s">
        <v>431</v>
      </c>
      <c r="B5" s="126">
        <v>1324336.43</v>
      </c>
      <c r="C5" s="126">
        <v>1788.8</v>
      </c>
      <c r="D5" s="126">
        <v>0</v>
      </c>
      <c r="E5" s="126">
        <v>1326125.23</v>
      </c>
      <c r="G5" s="126">
        <f t="shared" si="0"/>
        <v>1326125.23</v>
      </c>
      <c r="H5" s="126" t="s">
        <v>80</v>
      </c>
    </row>
    <row r="6" spans="1:8">
      <c r="A6" s="126" t="s">
        <v>501</v>
      </c>
      <c r="B6" s="126">
        <v>0</v>
      </c>
      <c r="C6" s="126">
        <v>695424.7</v>
      </c>
      <c r="D6" s="126">
        <v>0</v>
      </c>
      <c r="E6" s="126">
        <v>695424.7</v>
      </c>
      <c r="G6" s="126">
        <f t="shared" si="0"/>
        <v>695424.7</v>
      </c>
      <c r="H6" s="126" t="s">
        <v>80</v>
      </c>
    </row>
    <row r="7" spans="1:8">
      <c r="A7" s="126" t="s">
        <v>538</v>
      </c>
      <c r="B7" s="126">
        <v>2176060</v>
      </c>
      <c r="C7" s="126">
        <v>0</v>
      </c>
      <c r="D7" s="126">
        <v>0</v>
      </c>
      <c r="E7" s="126">
        <v>2176060</v>
      </c>
      <c r="G7" s="126">
        <f t="shared" si="0"/>
        <v>2176060</v>
      </c>
      <c r="H7" s="126" t="s">
        <v>80</v>
      </c>
    </row>
    <row r="8" spans="1:8">
      <c r="A8" s="126" t="s">
        <v>539</v>
      </c>
      <c r="B8" s="126">
        <v>2589775</v>
      </c>
      <c r="C8" s="126">
        <v>0</v>
      </c>
      <c r="D8" s="126">
        <v>0</v>
      </c>
      <c r="E8" s="126">
        <v>2589775</v>
      </c>
      <c r="G8" s="126">
        <f t="shared" si="0"/>
        <v>2589775</v>
      </c>
      <c r="H8" s="126" t="s">
        <v>80</v>
      </c>
    </row>
    <row r="9" spans="1:8">
      <c r="A9" s="126" t="s">
        <v>540</v>
      </c>
      <c r="B9" s="126">
        <v>6100000</v>
      </c>
      <c r="C9" s="126">
        <v>0</v>
      </c>
      <c r="D9" s="126">
        <v>6177119</v>
      </c>
      <c r="E9" s="126">
        <v>-77119</v>
      </c>
      <c r="G9" s="126">
        <f t="shared" si="0"/>
        <v>-77119</v>
      </c>
      <c r="H9" s="126" t="s">
        <v>80</v>
      </c>
    </row>
    <row r="10" spans="1:8">
      <c r="A10" s="126" t="s">
        <v>541</v>
      </c>
      <c r="B10" s="126">
        <v>60017754</v>
      </c>
      <c r="C10" s="126">
        <v>0</v>
      </c>
      <c r="D10" s="126">
        <v>60142043</v>
      </c>
      <c r="E10" s="126">
        <v>-124289</v>
      </c>
      <c r="G10" s="126">
        <f t="shared" si="0"/>
        <v>-124289</v>
      </c>
      <c r="H10" s="126" t="s">
        <v>80</v>
      </c>
    </row>
    <row r="11" spans="1:8">
      <c r="A11" s="126" t="s">
        <v>542</v>
      </c>
      <c r="B11" s="126">
        <v>2300953</v>
      </c>
      <c r="C11" s="126">
        <v>33543</v>
      </c>
      <c r="D11" s="126">
        <v>0</v>
      </c>
      <c r="E11" s="126">
        <v>2334496</v>
      </c>
      <c r="G11" s="126">
        <f t="shared" si="0"/>
        <v>2334496</v>
      </c>
      <c r="H11" s="126" t="s">
        <v>80</v>
      </c>
    </row>
    <row r="12" spans="1:8">
      <c r="A12" s="126" t="s">
        <v>543</v>
      </c>
      <c r="B12" s="126">
        <v>50000000</v>
      </c>
      <c r="C12" s="126">
        <v>0</v>
      </c>
      <c r="D12" s="126">
        <v>532910</v>
      </c>
      <c r="E12" s="126">
        <v>49467090</v>
      </c>
      <c r="G12" s="126">
        <f t="shared" si="0"/>
        <v>49467090</v>
      </c>
      <c r="H12" s="126" t="s">
        <v>80</v>
      </c>
    </row>
    <row r="13" spans="1:8">
      <c r="A13" s="126" t="s">
        <v>544</v>
      </c>
      <c r="B13" s="126">
        <v>13000000</v>
      </c>
      <c r="C13" s="126">
        <v>0</v>
      </c>
      <c r="D13" s="126">
        <v>153952</v>
      </c>
      <c r="E13" s="126">
        <v>12846048</v>
      </c>
      <c r="G13" s="126">
        <f t="shared" si="0"/>
        <v>12846048</v>
      </c>
      <c r="H13" s="126" t="s">
        <v>80</v>
      </c>
    </row>
    <row r="14" spans="1:8">
      <c r="A14" s="126" t="s">
        <v>537</v>
      </c>
      <c r="B14" s="126">
        <v>12658</v>
      </c>
      <c r="C14" s="126">
        <v>0</v>
      </c>
      <c r="D14" s="126">
        <v>0</v>
      </c>
      <c r="E14" s="126">
        <v>12658</v>
      </c>
      <c r="G14" s="126">
        <f t="shared" si="0"/>
        <v>12658</v>
      </c>
      <c r="H14" s="126" t="s">
        <v>80</v>
      </c>
    </row>
    <row r="15" spans="1:8">
      <c r="A15" s="126" t="s">
        <v>85</v>
      </c>
      <c r="B15" s="126">
        <v>895</v>
      </c>
      <c r="C15" s="126">
        <v>200000</v>
      </c>
      <c r="D15" s="126">
        <v>119654</v>
      </c>
      <c r="E15" s="126">
        <v>81241</v>
      </c>
      <c r="G15" s="126">
        <f t="shared" si="0"/>
        <v>81241</v>
      </c>
      <c r="H15" s="126" t="s">
        <v>80</v>
      </c>
    </row>
    <row r="16" spans="1:8">
      <c r="A16" s="126" t="s">
        <v>84</v>
      </c>
      <c r="B16" s="126">
        <v>41258.14</v>
      </c>
      <c r="C16" s="126">
        <v>900000</v>
      </c>
      <c r="D16" s="126">
        <v>886216</v>
      </c>
      <c r="E16" s="126">
        <v>55042.14</v>
      </c>
      <c r="G16" s="126">
        <f t="shared" si="0"/>
        <v>55042.14</v>
      </c>
      <c r="H16" s="126" t="s">
        <v>80</v>
      </c>
    </row>
    <row r="17" spans="1:8">
      <c r="A17" s="126" t="s">
        <v>551</v>
      </c>
      <c r="B17" s="126">
        <v>5175000</v>
      </c>
      <c r="C17" s="126">
        <v>0</v>
      </c>
      <c r="D17" s="126">
        <v>0</v>
      </c>
      <c r="E17" s="126">
        <v>5175000</v>
      </c>
      <c r="G17" s="126">
        <f t="shared" si="0"/>
        <v>5175000</v>
      </c>
      <c r="H17" s="126" t="s">
        <v>80</v>
      </c>
    </row>
    <row r="18" spans="1:8">
      <c r="A18" s="126" t="s">
        <v>1057</v>
      </c>
      <c r="B18" s="126">
        <v>0</v>
      </c>
      <c r="C18" s="126">
        <v>0</v>
      </c>
      <c r="D18" s="126">
        <v>0</v>
      </c>
      <c r="E18" s="126">
        <v>0</v>
      </c>
      <c r="G18" s="126">
        <f t="shared" si="0"/>
        <v>0</v>
      </c>
      <c r="H18" s="126" t="s">
        <v>80</v>
      </c>
    </row>
    <row r="19" spans="1:8">
      <c r="A19" s="126" t="s">
        <v>1058</v>
      </c>
      <c r="B19" s="126">
        <v>0</v>
      </c>
      <c r="C19" s="126">
        <v>0</v>
      </c>
      <c r="D19" s="126">
        <v>0</v>
      </c>
      <c r="E19" s="126">
        <v>0</v>
      </c>
      <c r="G19" s="126">
        <f t="shared" si="0"/>
        <v>0</v>
      </c>
      <c r="H19" s="126" t="s">
        <v>80</v>
      </c>
    </row>
    <row r="20" spans="1:8">
      <c r="A20" s="126" t="s">
        <v>536</v>
      </c>
      <c r="B20" s="126">
        <v>0.06</v>
      </c>
      <c r="C20" s="126">
        <v>0</v>
      </c>
      <c r="D20" s="126">
        <v>0</v>
      </c>
      <c r="E20" s="126">
        <v>0.06</v>
      </c>
      <c r="G20" s="126">
        <f t="shared" si="0"/>
        <v>0.06</v>
      </c>
      <c r="H20" s="126" t="s">
        <v>80</v>
      </c>
    </row>
    <row r="21" spans="1:8">
      <c r="A21" s="126" t="s">
        <v>535</v>
      </c>
      <c r="B21" s="126">
        <v>0.01</v>
      </c>
      <c r="C21" s="126">
        <v>0</v>
      </c>
      <c r="D21" s="126">
        <v>0</v>
      </c>
      <c r="E21" s="126">
        <v>0.01</v>
      </c>
      <c r="G21" s="126">
        <f t="shared" si="0"/>
        <v>0.01</v>
      </c>
      <c r="H21" s="126" t="s">
        <v>80</v>
      </c>
    </row>
    <row r="22" spans="1:8">
      <c r="A22" s="126" t="s">
        <v>534</v>
      </c>
      <c r="B22" s="126">
        <v>1205388922.52</v>
      </c>
      <c r="C22" s="126">
        <v>169737414.84999999</v>
      </c>
      <c r="D22" s="126">
        <v>47986418</v>
      </c>
      <c r="E22" s="126">
        <v>1327139919.3699999</v>
      </c>
      <c r="G22" s="126">
        <f t="shared" si="0"/>
        <v>1327139919.3699999</v>
      </c>
      <c r="H22" s="126" t="s">
        <v>80</v>
      </c>
    </row>
    <row r="23" spans="1:8">
      <c r="A23" s="126" t="s">
        <v>1059</v>
      </c>
      <c r="B23" s="126">
        <v>0</v>
      </c>
      <c r="C23" s="126">
        <v>0</v>
      </c>
      <c r="D23" s="126">
        <v>0</v>
      </c>
      <c r="E23" s="126">
        <v>0</v>
      </c>
      <c r="G23" s="126">
        <f t="shared" si="0"/>
        <v>0</v>
      </c>
      <c r="H23" s="126" t="s">
        <v>80</v>
      </c>
    </row>
    <row r="24" spans="1:8">
      <c r="A24" s="126" t="s">
        <v>1060</v>
      </c>
      <c r="B24" s="126">
        <v>0</v>
      </c>
      <c r="C24" s="126">
        <v>0</v>
      </c>
      <c r="D24" s="126">
        <v>0</v>
      </c>
      <c r="E24" s="126">
        <v>0</v>
      </c>
      <c r="G24" s="126">
        <f t="shared" si="0"/>
        <v>0</v>
      </c>
      <c r="H24" s="126" t="s">
        <v>80</v>
      </c>
    </row>
    <row r="25" spans="1:8">
      <c r="A25" s="126" t="s">
        <v>1540</v>
      </c>
      <c r="B25" s="126">
        <v>0</v>
      </c>
      <c r="C25" s="126">
        <v>0</v>
      </c>
      <c r="D25" s="126">
        <v>0</v>
      </c>
      <c r="E25" s="126">
        <v>0</v>
      </c>
      <c r="G25" s="126">
        <f t="shared" si="0"/>
        <v>0</v>
      </c>
      <c r="H25" s="126" t="s">
        <v>80</v>
      </c>
    </row>
    <row r="26" spans="1:8">
      <c r="A26" s="126" t="s">
        <v>87</v>
      </c>
      <c r="B26" s="126">
        <v>0</v>
      </c>
      <c r="C26" s="126">
        <v>27386778.690000001</v>
      </c>
      <c r="D26" s="126">
        <v>27386913.690000001</v>
      </c>
      <c r="E26" s="126">
        <v>-135</v>
      </c>
      <c r="G26" s="126">
        <f t="shared" si="0"/>
        <v>-135</v>
      </c>
      <c r="H26" s="126" t="s">
        <v>80</v>
      </c>
    </row>
    <row r="27" spans="1:8">
      <c r="A27" s="126" t="s">
        <v>448</v>
      </c>
      <c r="B27" s="126">
        <v>1335.22</v>
      </c>
      <c r="C27" s="126">
        <v>0</v>
      </c>
      <c r="D27" s="126">
        <v>0</v>
      </c>
      <c r="E27" s="126">
        <v>1335.22</v>
      </c>
      <c r="G27" s="126">
        <f t="shared" si="0"/>
        <v>1335.22</v>
      </c>
      <c r="H27" s="126" t="s">
        <v>80</v>
      </c>
    </row>
    <row r="28" spans="1:8">
      <c r="A28" s="126" t="s">
        <v>1061</v>
      </c>
      <c r="B28" s="126">
        <v>1271337</v>
      </c>
      <c r="C28" s="126">
        <v>14115852.07</v>
      </c>
      <c r="D28" s="126">
        <v>15387189.07</v>
      </c>
      <c r="E28" s="126">
        <v>0</v>
      </c>
      <c r="G28" s="126">
        <f t="shared" si="0"/>
        <v>0</v>
      </c>
      <c r="H28" s="126" t="s">
        <v>80</v>
      </c>
    </row>
    <row r="29" spans="1:8">
      <c r="A29" s="126" t="s">
        <v>135</v>
      </c>
      <c r="B29" s="126">
        <v>0</v>
      </c>
      <c r="C29" s="126">
        <v>27386778.789999999</v>
      </c>
      <c r="D29" s="126">
        <v>27386913.789999999</v>
      </c>
      <c r="E29" s="126">
        <v>-135</v>
      </c>
      <c r="G29" s="126">
        <f t="shared" si="0"/>
        <v>-135</v>
      </c>
      <c r="H29" s="126" t="s">
        <v>80</v>
      </c>
    </row>
    <row r="30" spans="1:8">
      <c r="A30" s="126" t="s">
        <v>430</v>
      </c>
      <c r="B30" s="126">
        <v>30286.3</v>
      </c>
      <c r="C30" s="126">
        <v>0</v>
      </c>
      <c r="D30" s="126">
        <v>0</v>
      </c>
      <c r="E30" s="126">
        <v>30286.3</v>
      </c>
      <c r="G30" s="126">
        <f t="shared" si="0"/>
        <v>30286.3</v>
      </c>
      <c r="H30" s="126" t="s">
        <v>80</v>
      </c>
    </row>
    <row r="31" spans="1:8">
      <c r="A31" s="126" t="s">
        <v>144</v>
      </c>
      <c r="B31" s="126">
        <v>1151</v>
      </c>
      <c r="C31" s="126">
        <v>0</v>
      </c>
      <c r="D31" s="126">
        <v>0</v>
      </c>
      <c r="E31" s="126">
        <v>1151</v>
      </c>
      <c r="G31" s="126">
        <f t="shared" si="0"/>
        <v>1151</v>
      </c>
      <c r="H31" s="126" t="s">
        <v>80</v>
      </c>
    </row>
    <row r="32" spans="1:8">
      <c r="A32" s="126" t="s">
        <v>112</v>
      </c>
      <c r="B32" s="126">
        <v>23664031.890000001</v>
      </c>
      <c r="C32" s="126">
        <v>23360894.879999999</v>
      </c>
      <c r="D32" s="126">
        <v>30120313.550000001</v>
      </c>
      <c r="E32" s="126">
        <v>16904613.219999999</v>
      </c>
      <c r="G32" s="126">
        <f t="shared" si="0"/>
        <v>16904613.219999999</v>
      </c>
      <c r="H32" s="126" t="s">
        <v>80</v>
      </c>
    </row>
    <row r="33" spans="1:8">
      <c r="A33" s="126" t="s">
        <v>561</v>
      </c>
      <c r="B33" s="126">
        <v>-26904578.440000001</v>
      </c>
      <c r="C33" s="126">
        <v>0</v>
      </c>
      <c r="D33" s="126">
        <v>0</v>
      </c>
      <c r="E33" s="126">
        <v>-26904578.440000001</v>
      </c>
      <c r="G33" s="126">
        <f t="shared" si="0"/>
        <v>-26904578.440000001</v>
      </c>
      <c r="H33" s="126" t="s">
        <v>80</v>
      </c>
    </row>
    <row r="34" spans="1:8">
      <c r="A34" s="126" t="s">
        <v>562</v>
      </c>
      <c r="B34" s="126">
        <v>-85919.34</v>
      </c>
      <c r="C34" s="126">
        <v>0</v>
      </c>
      <c r="D34" s="126">
        <v>0</v>
      </c>
      <c r="E34" s="126">
        <v>-85919.34</v>
      </c>
      <c r="G34" s="126">
        <f t="shared" si="0"/>
        <v>-85919.34</v>
      </c>
      <c r="H34" s="126" t="s">
        <v>80</v>
      </c>
    </row>
    <row r="35" spans="1:8">
      <c r="A35" s="126" t="s">
        <v>143</v>
      </c>
      <c r="B35" s="126">
        <v>-18585.939999999999</v>
      </c>
      <c r="C35" s="126">
        <v>0</v>
      </c>
      <c r="D35" s="126">
        <v>0</v>
      </c>
      <c r="E35" s="126">
        <v>-18585.939999999999</v>
      </c>
      <c r="G35" s="126">
        <f t="shared" si="0"/>
        <v>-18585.939999999999</v>
      </c>
      <c r="H35" s="126" t="s">
        <v>80</v>
      </c>
    </row>
    <row r="36" spans="1:8">
      <c r="A36" s="126" t="s">
        <v>1062</v>
      </c>
      <c r="B36" s="126">
        <v>0</v>
      </c>
      <c r="C36" s="126">
        <v>0</v>
      </c>
      <c r="D36" s="126">
        <v>0</v>
      </c>
      <c r="E36" s="126">
        <v>0</v>
      </c>
      <c r="G36" s="126">
        <f t="shared" si="0"/>
        <v>0</v>
      </c>
      <c r="H36" s="126" t="s">
        <v>80</v>
      </c>
    </row>
    <row r="37" spans="1:8">
      <c r="A37" s="126" t="s">
        <v>1063</v>
      </c>
      <c r="B37" s="126">
        <v>0</v>
      </c>
      <c r="C37" s="126">
        <v>0</v>
      </c>
      <c r="D37" s="126">
        <v>0</v>
      </c>
      <c r="E37" s="126">
        <v>0</v>
      </c>
      <c r="G37" s="126">
        <f t="shared" si="0"/>
        <v>0</v>
      </c>
      <c r="H37" s="126" t="s">
        <v>80</v>
      </c>
    </row>
    <row r="38" spans="1:8">
      <c r="A38" s="126" t="s">
        <v>533</v>
      </c>
      <c r="B38" s="126">
        <v>108787</v>
      </c>
      <c r="C38" s="126">
        <v>0</v>
      </c>
      <c r="D38" s="126">
        <v>0</v>
      </c>
      <c r="E38" s="126">
        <v>108787</v>
      </c>
      <c r="G38" s="126">
        <f t="shared" si="0"/>
        <v>108787</v>
      </c>
      <c r="H38" s="126" t="s">
        <v>80</v>
      </c>
    </row>
    <row r="39" spans="1:8">
      <c r="A39" s="126" t="s">
        <v>532</v>
      </c>
      <c r="B39" s="126">
        <v>2200000</v>
      </c>
      <c r="C39" s="126">
        <v>0</v>
      </c>
      <c r="D39" s="126">
        <v>0</v>
      </c>
      <c r="E39" s="126">
        <v>2200000</v>
      </c>
      <c r="G39" s="126">
        <f t="shared" si="0"/>
        <v>2200000</v>
      </c>
      <c r="H39" s="126" t="s">
        <v>80</v>
      </c>
    </row>
    <row r="40" spans="1:8">
      <c r="A40" s="126" t="s">
        <v>531</v>
      </c>
      <c r="B40" s="126">
        <v>1607000</v>
      </c>
      <c r="C40" s="126">
        <v>0</v>
      </c>
      <c r="D40" s="126">
        <v>0</v>
      </c>
      <c r="E40" s="126">
        <v>1607000</v>
      </c>
      <c r="G40" s="126">
        <f t="shared" si="0"/>
        <v>1607000</v>
      </c>
      <c r="H40" s="126" t="s">
        <v>80</v>
      </c>
    </row>
    <row r="41" spans="1:8">
      <c r="A41" s="126" t="s">
        <v>94</v>
      </c>
      <c r="B41" s="126">
        <v>0</v>
      </c>
      <c r="C41" s="126">
        <v>12022374</v>
      </c>
      <c r="D41" s="126">
        <v>12022374</v>
      </c>
      <c r="E41" s="126">
        <v>0</v>
      </c>
      <c r="G41" s="126">
        <f t="shared" si="0"/>
        <v>0</v>
      </c>
      <c r="H41" s="126" t="s">
        <v>80</v>
      </c>
    </row>
    <row r="42" spans="1:8">
      <c r="A42" s="126" t="s">
        <v>568</v>
      </c>
      <c r="B42" s="126">
        <v>222566</v>
      </c>
      <c r="C42" s="126">
        <v>0</v>
      </c>
      <c r="D42" s="126">
        <v>0</v>
      </c>
      <c r="E42" s="126">
        <v>222566</v>
      </c>
      <c r="G42" s="126">
        <f t="shared" si="0"/>
        <v>222566</v>
      </c>
      <c r="H42" s="126" t="s">
        <v>80</v>
      </c>
    </row>
    <row r="43" spans="1:8">
      <c r="A43" s="126" t="s">
        <v>569</v>
      </c>
      <c r="B43" s="126">
        <v>173552</v>
      </c>
      <c r="C43" s="126">
        <v>0</v>
      </c>
      <c r="D43" s="126">
        <v>0</v>
      </c>
      <c r="E43" s="126">
        <v>173552</v>
      </c>
      <c r="G43" s="126">
        <f t="shared" si="0"/>
        <v>173552</v>
      </c>
      <c r="H43" s="126" t="s">
        <v>80</v>
      </c>
    </row>
    <row r="44" spans="1:8">
      <c r="A44" s="126" t="s">
        <v>570</v>
      </c>
      <c r="B44" s="126">
        <v>1600000</v>
      </c>
      <c r="C44" s="126">
        <v>0</v>
      </c>
      <c r="D44" s="126">
        <v>0</v>
      </c>
      <c r="E44" s="126">
        <v>1600000</v>
      </c>
      <c r="G44" s="126">
        <f t="shared" si="0"/>
        <v>1600000</v>
      </c>
      <c r="H44" s="126" t="s">
        <v>80</v>
      </c>
    </row>
    <row r="45" spans="1:8">
      <c r="A45" s="126" t="s">
        <v>548</v>
      </c>
      <c r="B45" s="126">
        <v>54931400</v>
      </c>
      <c r="C45" s="126">
        <v>0</v>
      </c>
      <c r="D45" s="126">
        <v>0</v>
      </c>
      <c r="E45" s="126">
        <v>54931400</v>
      </c>
      <c r="G45" s="126">
        <f t="shared" si="0"/>
        <v>54931400</v>
      </c>
      <c r="H45" s="126" t="s">
        <v>80</v>
      </c>
    </row>
    <row r="46" spans="1:8">
      <c r="A46" s="126" t="s">
        <v>547</v>
      </c>
      <c r="B46" s="126">
        <v>243605.52</v>
      </c>
      <c r="C46" s="126">
        <v>0</v>
      </c>
      <c r="D46" s="126">
        <v>0</v>
      </c>
      <c r="E46" s="126">
        <v>243605.52</v>
      </c>
      <c r="G46" s="126">
        <f t="shared" si="0"/>
        <v>243605.52</v>
      </c>
      <c r="H46" s="126" t="s">
        <v>80</v>
      </c>
    </row>
    <row r="47" spans="1:8">
      <c r="A47" s="126" t="s">
        <v>546</v>
      </c>
      <c r="B47" s="126">
        <v>60587491.689999998</v>
      </c>
      <c r="C47" s="126">
        <v>0</v>
      </c>
      <c r="D47" s="126">
        <v>0</v>
      </c>
      <c r="E47" s="126">
        <v>60587491.689999998</v>
      </c>
      <c r="G47" s="126">
        <f t="shared" si="0"/>
        <v>60587491.689999998</v>
      </c>
      <c r="H47" s="126" t="s">
        <v>80</v>
      </c>
    </row>
    <row r="48" spans="1:8">
      <c r="A48" s="126" t="s">
        <v>573</v>
      </c>
      <c r="B48" s="126">
        <v>5100</v>
      </c>
      <c r="C48" s="126">
        <v>44000</v>
      </c>
      <c r="D48" s="126">
        <v>45606</v>
      </c>
      <c r="E48" s="126">
        <v>3494</v>
      </c>
      <c r="G48" s="126">
        <f t="shared" si="0"/>
        <v>3494</v>
      </c>
      <c r="H48" s="126" t="s">
        <v>80</v>
      </c>
    </row>
    <row r="49" spans="1:8">
      <c r="A49" s="126" t="s">
        <v>545</v>
      </c>
      <c r="B49" s="126">
        <v>12166394.48</v>
      </c>
      <c r="C49" s="126">
        <v>0</v>
      </c>
      <c r="D49" s="126">
        <v>0</v>
      </c>
      <c r="E49" s="126">
        <v>12166394.48</v>
      </c>
      <c r="G49" s="126">
        <f t="shared" si="0"/>
        <v>12166394.48</v>
      </c>
      <c r="H49" s="126" t="s">
        <v>80</v>
      </c>
    </row>
    <row r="50" spans="1:8">
      <c r="A50" s="126" t="s">
        <v>519</v>
      </c>
      <c r="B50" s="126">
        <v>217112</v>
      </c>
      <c r="C50" s="126">
        <v>0</v>
      </c>
      <c r="D50" s="126">
        <v>0</v>
      </c>
      <c r="E50" s="126">
        <v>217112</v>
      </c>
      <c r="G50" s="126">
        <f t="shared" si="0"/>
        <v>217112</v>
      </c>
      <c r="H50" s="126" t="s">
        <v>80</v>
      </c>
    </row>
    <row r="51" spans="1:8">
      <c r="A51" s="126" t="s">
        <v>549</v>
      </c>
      <c r="B51" s="126">
        <v>-651515</v>
      </c>
      <c r="C51" s="126">
        <v>0</v>
      </c>
      <c r="D51" s="126">
        <v>0</v>
      </c>
      <c r="E51" s="126">
        <v>-651515</v>
      </c>
      <c r="G51" s="126">
        <f t="shared" si="0"/>
        <v>-651515</v>
      </c>
      <c r="H51" s="126" t="s">
        <v>80</v>
      </c>
    </row>
    <row r="52" spans="1:8">
      <c r="A52" s="126" t="s">
        <v>502</v>
      </c>
      <c r="B52" s="126">
        <v>107.89</v>
      </c>
      <c r="C52" s="126">
        <v>0</v>
      </c>
      <c r="D52" s="126">
        <v>0</v>
      </c>
      <c r="E52" s="126">
        <v>107.89</v>
      </c>
      <c r="G52" s="126">
        <f t="shared" si="0"/>
        <v>107.89</v>
      </c>
      <c r="H52" s="126" t="s">
        <v>80</v>
      </c>
    </row>
    <row r="53" spans="1:8">
      <c r="A53" s="126" t="s">
        <v>1064</v>
      </c>
      <c r="B53" s="126">
        <v>0</v>
      </c>
      <c r="C53" s="126">
        <v>0</v>
      </c>
      <c r="D53" s="126">
        <v>0</v>
      </c>
      <c r="E53" s="126">
        <v>0</v>
      </c>
      <c r="G53" s="126">
        <f t="shared" si="0"/>
        <v>0</v>
      </c>
      <c r="H53" s="126" t="s">
        <v>80</v>
      </c>
    </row>
    <row r="54" spans="1:8">
      <c r="A54" s="126" t="s">
        <v>574</v>
      </c>
      <c r="B54" s="126">
        <v>51907.76</v>
      </c>
      <c r="C54" s="126">
        <v>0</v>
      </c>
      <c r="D54" s="126">
        <v>51907.76</v>
      </c>
      <c r="E54" s="126">
        <v>0</v>
      </c>
      <c r="G54" s="126">
        <f t="shared" si="0"/>
        <v>0</v>
      </c>
      <c r="H54" s="126" t="s">
        <v>80</v>
      </c>
    </row>
    <row r="55" spans="1:8">
      <c r="A55" s="126" t="s">
        <v>482</v>
      </c>
      <c r="B55" s="126">
        <v>-0.2</v>
      </c>
      <c r="C55" s="126">
        <v>0.2</v>
      </c>
      <c r="D55" s="126">
        <v>0</v>
      </c>
      <c r="E55" s="126">
        <v>0</v>
      </c>
      <c r="G55" s="126">
        <f t="shared" si="0"/>
        <v>0</v>
      </c>
      <c r="H55" s="126" t="s">
        <v>80</v>
      </c>
    </row>
    <row r="56" spans="1:8">
      <c r="A56" s="126" t="s">
        <v>1065</v>
      </c>
      <c r="B56" s="126">
        <v>0</v>
      </c>
      <c r="C56" s="126">
        <v>0</v>
      </c>
      <c r="D56" s="126">
        <v>0</v>
      </c>
      <c r="E56" s="126">
        <v>0</v>
      </c>
      <c r="G56" s="126">
        <f t="shared" si="0"/>
        <v>0</v>
      </c>
      <c r="H56" s="126" t="s">
        <v>80</v>
      </c>
    </row>
    <row r="57" spans="1:8">
      <c r="A57" s="126" t="s">
        <v>83</v>
      </c>
      <c r="B57" s="126">
        <v>-10.19</v>
      </c>
      <c r="C57" s="126">
        <v>10.19</v>
      </c>
      <c r="D57" s="126">
        <v>0</v>
      </c>
      <c r="E57" s="126">
        <v>0</v>
      </c>
      <c r="G57" s="126">
        <f t="shared" si="0"/>
        <v>0</v>
      </c>
      <c r="H57" s="126" t="s">
        <v>80</v>
      </c>
    </row>
    <row r="58" spans="1:8">
      <c r="A58" s="126" t="s">
        <v>550</v>
      </c>
      <c r="B58" s="126">
        <v>289971000</v>
      </c>
      <c r="C58" s="126">
        <v>0</v>
      </c>
      <c r="D58" s="126">
        <v>0</v>
      </c>
      <c r="E58" s="126">
        <v>289971000</v>
      </c>
      <c r="G58" s="126">
        <f t="shared" si="0"/>
        <v>289971000</v>
      </c>
      <c r="H58" s="126" t="s">
        <v>80</v>
      </c>
    </row>
    <row r="59" spans="1:8">
      <c r="A59" s="126" t="s">
        <v>552</v>
      </c>
      <c r="B59" s="126">
        <v>120000000</v>
      </c>
      <c r="C59" s="126">
        <v>0</v>
      </c>
      <c r="D59" s="126">
        <v>120000000</v>
      </c>
      <c r="E59" s="126">
        <v>0</v>
      </c>
      <c r="G59" s="126">
        <f t="shared" si="0"/>
        <v>0</v>
      </c>
      <c r="H59" s="126" t="s">
        <v>80</v>
      </c>
    </row>
    <row r="60" spans="1:8">
      <c r="A60" s="126" t="s">
        <v>553</v>
      </c>
      <c r="B60" s="126">
        <v>788480</v>
      </c>
      <c r="C60" s="126">
        <v>0</v>
      </c>
      <c r="D60" s="126">
        <v>0</v>
      </c>
      <c r="E60" s="126">
        <v>788480</v>
      </c>
      <c r="G60" s="126">
        <f t="shared" si="0"/>
        <v>788480</v>
      </c>
      <c r="H60" s="126" t="s">
        <v>80</v>
      </c>
    </row>
    <row r="61" spans="1:8">
      <c r="A61" s="126" t="s">
        <v>555</v>
      </c>
      <c r="B61" s="126">
        <v>761067.47</v>
      </c>
      <c r="C61" s="126">
        <v>246644.52</v>
      </c>
      <c r="D61" s="126">
        <v>740821.64</v>
      </c>
      <c r="E61" s="126">
        <v>266890.34999999998</v>
      </c>
      <c r="G61" s="126">
        <f t="shared" si="0"/>
        <v>266890.34999999998</v>
      </c>
      <c r="H61" s="126" t="s">
        <v>80</v>
      </c>
    </row>
    <row r="62" spans="1:8">
      <c r="A62" s="126" t="s">
        <v>576</v>
      </c>
      <c r="B62" s="126">
        <v>6490.1</v>
      </c>
      <c r="C62" s="126">
        <v>1518890.1</v>
      </c>
      <c r="D62" s="126">
        <v>0</v>
      </c>
      <c r="E62" s="126">
        <v>1525380.2</v>
      </c>
      <c r="G62" s="126">
        <f t="shared" si="0"/>
        <v>1525380.2</v>
      </c>
      <c r="H62" s="126" t="s">
        <v>80</v>
      </c>
    </row>
    <row r="63" spans="1:8">
      <c r="A63" s="126" t="s">
        <v>556</v>
      </c>
      <c r="B63" s="126">
        <v>227369.96</v>
      </c>
      <c r="C63" s="126">
        <v>186427.62</v>
      </c>
      <c r="D63" s="126">
        <v>392262.7</v>
      </c>
      <c r="E63" s="126">
        <v>21534.880000000001</v>
      </c>
      <c r="G63" s="126">
        <f t="shared" si="0"/>
        <v>21534.880000000001</v>
      </c>
      <c r="H63" s="126" t="s">
        <v>80</v>
      </c>
    </row>
    <row r="64" spans="1:8">
      <c r="A64" s="126" t="s">
        <v>557</v>
      </c>
      <c r="B64" s="126">
        <v>761067.47</v>
      </c>
      <c r="C64" s="126">
        <v>246644.52</v>
      </c>
      <c r="D64" s="126">
        <v>740821.64</v>
      </c>
      <c r="E64" s="126">
        <v>266890.34999999998</v>
      </c>
      <c r="G64" s="126">
        <f t="shared" si="0"/>
        <v>266890.34999999998</v>
      </c>
      <c r="H64" s="126" t="s">
        <v>80</v>
      </c>
    </row>
    <row r="65" spans="1:8">
      <c r="A65" s="126" t="s">
        <v>558</v>
      </c>
      <c r="B65" s="126">
        <v>-3821334</v>
      </c>
      <c r="C65" s="126">
        <v>0</v>
      </c>
      <c r="D65" s="126">
        <v>0</v>
      </c>
      <c r="E65" s="126">
        <v>-3821334</v>
      </c>
      <c r="G65" s="126">
        <f t="shared" si="0"/>
        <v>-3821334</v>
      </c>
      <c r="H65" s="126" t="s">
        <v>80</v>
      </c>
    </row>
    <row r="66" spans="1:8">
      <c r="A66" s="126" t="s">
        <v>105</v>
      </c>
      <c r="B66" s="126">
        <v>0</v>
      </c>
      <c r="C66" s="126">
        <v>36033.040000000001</v>
      </c>
      <c r="D66" s="126">
        <v>36033.040000000001</v>
      </c>
      <c r="E66" s="126">
        <v>0</v>
      </c>
      <c r="G66" s="126">
        <f t="shared" si="0"/>
        <v>0</v>
      </c>
      <c r="H66" s="126" t="s">
        <v>80</v>
      </c>
    </row>
    <row r="67" spans="1:8">
      <c r="A67" s="126" t="s">
        <v>559</v>
      </c>
      <c r="B67" s="126">
        <v>1171.99</v>
      </c>
      <c r="C67" s="126">
        <v>34715983</v>
      </c>
      <c r="D67" s="126">
        <v>34715980.5</v>
      </c>
      <c r="E67" s="126">
        <v>1174.49</v>
      </c>
      <c r="G67" s="126">
        <f t="shared" ref="G67:G130" si="1">E67+F67</f>
        <v>1174.49</v>
      </c>
      <c r="H67" s="126" t="s">
        <v>80</v>
      </c>
    </row>
    <row r="68" spans="1:8">
      <c r="A68" s="126" t="s">
        <v>560</v>
      </c>
      <c r="B68" s="126">
        <v>-86936.05</v>
      </c>
      <c r="C68" s="126">
        <v>72582244.010000005</v>
      </c>
      <c r="D68" s="126">
        <v>65439925.799999997</v>
      </c>
      <c r="E68" s="126">
        <v>7055382.1600000001</v>
      </c>
      <c r="G68" s="126">
        <f t="shared" si="1"/>
        <v>7055382.1600000001</v>
      </c>
      <c r="H68" s="126" t="s">
        <v>80</v>
      </c>
    </row>
    <row r="69" spans="1:8">
      <c r="A69" s="126" t="s">
        <v>1068</v>
      </c>
      <c r="B69" s="126">
        <v>0</v>
      </c>
      <c r="C69" s="126">
        <v>0</v>
      </c>
      <c r="D69" s="126">
        <v>0</v>
      </c>
      <c r="E69" s="126">
        <v>0</v>
      </c>
      <c r="G69" s="126">
        <f t="shared" si="1"/>
        <v>0</v>
      </c>
      <c r="H69" s="126" t="s">
        <v>80</v>
      </c>
    </row>
    <row r="70" spans="1:8">
      <c r="A70" s="126" t="s">
        <v>580</v>
      </c>
      <c r="B70" s="126">
        <v>848480.5</v>
      </c>
      <c r="C70" s="126">
        <v>379434.5</v>
      </c>
      <c r="D70" s="126">
        <v>989725</v>
      </c>
      <c r="E70" s="126">
        <v>238190</v>
      </c>
      <c r="G70" s="126">
        <f t="shared" si="1"/>
        <v>238190</v>
      </c>
      <c r="H70" s="126" t="s">
        <v>80</v>
      </c>
    </row>
    <row r="71" spans="1:8">
      <c r="A71" s="126" t="s">
        <v>96</v>
      </c>
      <c r="B71" s="126">
        <v>407065.63</v>
      </c>
      <c r="C71" s="126">
        <v>0</v>
      </c>
      <c r="D71" s="126">
        <v>0</v>
      </c>
      <c r="E71" s="126">
        <v>407065.63</v>
      </c>
      <c r="G71" s="126">
        <f t="shared" si="1"/>
        <v>407065.63</v>
      </c>
      <c r="H71" s="126" t="s">
        <v>80</v>
      </c>
    </row>
    <row r="72" spans="1:8">
      <c r="A72" s="126" t="s">
        <v>563</v>
      </c>
      <c r="B72" s="126">
        <v>7359905.7999999998</v>
      </c>
      <c r="C72" s="126">
        <v>0</v>
      </c>
      <c r="D72" s="126">
        <v>0</v>
      </c>
      <c r="E72" s="126">
        <v>7359905.7999999998</v>
      </c>
      <c r="G72" s="126">
        <f t="shared" si="1"/>
        <v>7359905.7999999998</v>
      </c>
      <c r="H72" s="126" t="s">
        <v>80</v>
      </c>
    </row>
    <row r="73" spans="1:8">
      <c r="A73" s="126" t="s">
        <v>564</v>
      </c>
      <c r="B73" s="126">
        <v>-7246.93</v>
      </c>
      <c r="C73" s="126">
        <v>220823</v>
      </c>
      <c r="D73" s="126">
        <v>0</v>
      </c>
      <c r="E73" s="126">
        <v>213576.07</v>
      </c>
      <c r="G73" s="126">
        <f t="shared" si="1"/>
        <v>213576.07</v>
      </c>
      <c r="H73" s="126" t="s">
        <v>80</v>
      </c>
    </row>
    <row r="74" spans="1:8">
      <c r="A74" s="126" t="s">
        <v>129</v>
      </c>
      <c r="B74" s="126">
        <v>1986677</v>
      </c>
      <c r="C74" s="126">
        <v>12002</v>
      </c>
      <c r="D74" s="126">
        <v>342799</v>
      </c>
      <c r="E74" s="126">
        <v>1655880</v>
      </c>
      <c r="G74" s="126">
        <f t="shared" si="1"/>
        <v>1655880</v>
      </c>
      <c r="H74" s="126" t="s">
        <v>80</v>
      </c>
    </row>
    <row r="75" spans="1:8">
      <c r="A75" s="126" t="s">
        <v>583</v>
      </c>
      <c r="B75" s="126">
        <v>-913045</v>
      </c>
      <c r="C75" s="126">
        <v>913909.9</v>
      </c>
      <c r="D75" s="126">
        <v>865</v>
      </c>
      <c r="E75" s="126">
        <v>-0.1</v>
      </c>
      <c r="G75" s="126">
        <f t="shared" si="1"/>
        <v>-0.1</v>
      </c>
      <c r="H75" s="126" t="s">
        <v>80</v>
      </c>
    </row>
    <row r="76" spans="1:8">
      <c r="A76" s="126" t="s">
        <v>584</v>
      </c>
      <c r="B76" s="126">
        <v>-711.75</v>
      </c>
      <c r="C76" s="126">
        <v>711.75</v>
      </c>
      <c r="D76" s="126">
        <v>0</v>
      </c>
      <c r="E76" s="126">
        <v>0</v>
      </c>
      <c r="G76" s="126">
        <f t="shared" si="1"/>
        <v>0</v>
      </c>
      <c r="H76" s="126" t="s">
        <v>80</v>
      </c>
    </row>
    <row r="77" spans="1:8">
      <c r="A77" s="126" t="s">
        <v>1042</v>
      </c>
      <c r="B77" s="126">
        <v>1112150.8999999999</v>
      </c>
      <c r="C77" s="126">
        <v>0</v>
      </c>
      <c r="D77" s="126">
        <v>1112150</v>
      </c>
      <c r="E77" s="126">
        <v>0.9</v>
      </c>
      <c r="G77" s="126">
        <f t="shared" si="1"/>
        <v>0.9</v>
      </c>
      <c r="H77" s="126" t="s">
        <v>80</v>
      </c>
    </row>
    <row r="78" spans="1:8">
      <c r="A78" s="126" t="s">
        <v>585</v>
      </c>
      <c r="B78" s="126">
        <v>-10480.76</v>
      </c>
      <c r="C78" s="126">
        <v>0</v>
      </c>
      <c r="D78" s="126">
        <v>0</v>
      </c>
      <c r="E78" s="126">
        <v>-10480.76</v>
      </c>
      <c r="G78" s="126">
        <f t="shared" si="1"/>
        <v>-10480.76</v>
      </c>
      <c r="H78" s="126" t="s">
        <v>80</v>
      </c>
    </row>
    <row r="79" spans="1:8">
      <c r="A79" s="126" t="s">
        <v>586</v>
      </c>
      <c r="B79" s="126">
        <v>0.04</v>
      </c>
      <c r="C79" s="126">
        <v>1398831</v>
      </c>
      <c r="D79" s="126">
        <v>972261.49</v>
      </c>
      <c r="E79" s="126">
        <v>426569.55</v>
      </c>
      <c r="G79" s="126">
        <f t="shared" si="1"/>
        <v>426569.55</v>
      </c>
      <c r="H79" s="126" t="s">
        <v>80</v>
      </c>
    </row>
    <row r="80" spans="1:8">
      <c r="A80" s="126" t="s">
        <v>107</v>
      </c>
      <c r="B80" s="126">
        <v>1886778.93</v>
      </c>
      <c r="C80" s="126">
        <v>0</v>
      </c>
      <c r="D80" s="126">
        <v>0</v>
      </c>
      <c r="E80" s="126">
        <v>1886778.93</v>
      </c>
      <c r="G80" s="126">
        <f t="shared" si="1"/>
        <v>1886778.93</v>
      </c>
      <c r="H80" s="126" t="s">
        <v>80</v>
      </c>
    </row>
    <row r="81" spans="1:8">
      <c r="A81" s="126" t="s">
        <v>108</v>
      </c>
      <c r="B81" s="126">
        <v>42723370.759999998</v>
      </c>
      <c r="C81" s="126">
        <v>68826078.469999999</v>
      </c>
      <c r="D81" s="126">
        <v>148331676</v>
      </c>
      <c r="E81" s="126">
        <v>-36782226.770000003</v>
      </c>
      <c r="G81" s="126">
        <f t="shared" si="1"/>
        <v>-36782226.770000003</v>
      </c>
      <c r="H81" s="126" t="s">
        <v>80</v>
      </c>
    </row>
    <row r="82" spans="1:8">
      <c r="A82" s="126" t="s">
        <v>429</v>
      </c>
      <c r="B82" s="126">
        <v>-6977160</v>
      </c>
      <c r="C82" s="126">
        <v>1279459.81</v>
      </c>
      <c r="D82" s="126">
        <v>0</v>
      </c>
      <c r="E82" s="126">
        <v>-5697700.1900000004</v>
      </c>
      <c r="G82" s="126">
        <f t="shared" si="1"/>
        <v>-5697700.1900000004</v>
      </c>
      <c r="H82" s="126" t="s">
        <v>80</v>
      </c>
    </row>
    <row r="83" spans="1:8">
      <c r="A83" s="126" t="s">
        <v>1070</v>
      </c>
      <c r="B83" s="126">
        <v>0</v>
      </c>
      <c r="C83" s="126">
        <v>0</v>
      </c>
      <c r="D83" s="126">
        <v>0</v>
      </c>
      <c r="E83" s="126">
        <v>0</v>
      </c>
      <c r="G83" s="126">
        <f t="shared" si="1"/>
        <v>0</v>
      </c>
      <c r="H83" s="126" t="s">
        <v>80</v>
      </c>
    </row>
    <row r="84" spans="1:8">
      <c r="A84" s="126" t="s">
        <v>1071</v>
      </c>
      <c r="B84" s="126">
        <v>19769297.699999999</v>
      </c>
      <c r="C84" s="126">
        <v>34184464.280000001</v>
      </c>
      <c r="D84" s="126">
        <v>8145893.4299999997</v>
      </c>
      <c r="E84" s="126">
        <v>45807868.549999997</v>
      </c>
      <c r="G84" s="126">
        <f t="shared" si="1"/>
        <v>45807868.549999997</v>
      </c>
      <c r="H84" s="126" t="s">
        <v>80</v>
      </c>
    </row>
    <row r="85" spans="1:8">
      <c r="A85" s="126" t="s">
        <v>376</v>
      </c>
      <c r="B85" s="126">
        <v>-0.4</v>
      </c>
      <c r="C85" s="126">
        <v>0.4</v>
      </c>
      <c r="D85" s="126">
        <v>0</v>
      </c>
      <c r="E85" s="126">
        <v>0</v>
      </c>
      <c r="G85" s="126">
        <f t="shared" si="1"/>
        <v>0</v>
      </c>
      <c r="H85" s="126" t="s">
        <v>80</v>
      </c>
    </row>
    <row r="86" spans="1:8">
      <c r="A86" s="126" t="s">
        <v>587</v>
      </c>
      <c r="B86" s="126">
        <v>-1888</v>
      </c>
      <c r="C86" s="126">
        <v>0</v>
      </c>
      <c r="D86" s="126">
        <v>0</v>
      </c>
      <c r="E86" s="126">
        <v>-1888</v>
      </c>
      <c r="G86" s="126">
        <f t="shared" si="1"/>
        <v>-1888</v>
      </c>
      <c r="H86" s="126" t="s">
        <v>80</v>
      </c>
    </row>
    <row r="87" spans="1:8">
      <c r="A87" s="126" t="s">
        <v>588</v>
      </c>
      <c r="B87" s="126">
        <v>595</v>
      </c>
      <c r="C87" s="126">
        <v>702100</v>
      </c>
      <c r="D87" s="126">
        <v>701505</v>
      </c>
      <c r="E87" s="126">
        <v>1190</v>
      </c>
      <c r="G87" s="126">
        <f t="shared" si="1"/>
        <v>1190</v>
      </c>
      <c r="H87" s="126" t="s">
        <v>80</v>
      </c>
    </row>
    <row r="88" spans="1:8">
      <c r="A88" s="126" t="s">
        <v>589</v>
      </c>
      <c r="B88" s="126">
        <v>1851351</v>
      </c>
      <c r="C88" s="126">
        <v>0</v>
      </c>
      <c r="D88" s="126">
        <v>1848150</v>
      </c>
      <c r="E88" s="126">
        <v>3201</v>
      </c>
      <c r="G88" s="126">
        <f t="shared" si="1"/>
        <v>3201</v>
      </c>
      <c r="H88" s="126" t="s">
        <v>80</v>
      </c>
    </row>
    <row r="89" spans="1:8">
      <c r="A89" s="126" t="s">
        <v>113</v>
      </c>
      <c r="B89" s="126">
        <v>-0.71</v>
      </c>
      <c r="C89" s="126">
        <v>0.71</v>
      </c>
      <c r="D89" s="126">
        <v>0</v>
      </c>
      <c r="E89" s="126">
        <v>0</v>
      </c>
      <c r="G89" s="126">
        <f t="shared" si="1"/>
        <v>0</v>
      </c>
      <c r="H89" s="126" t="s">
        <v>80</v>
      </c>
    </row>
    <row r="90" spans="1:8">
      <c r="A90" s="126" t="s">
        <v>503</v>
      </c>
      <c r="B90" s="126">
        <v>1313148.6599999999</v>
      </c>
      <c r="C90" s="126">
        <v>1412948.52</v>
      </c>
      <c r="D90" s="126">
        <v>2503983</v>
      </c>
      <c r="E90" s="126">
        <v>222114.18</v>
      </c>
      <c r="G90" s="126">
        <f t="shared" si="1"/>
        <v>222114.18</v>
      </c>
      <c r="H90" s="126" t="s">
        <v>80</v>
      </c>
    </row>
    <row r="91" spans="1:8">
      <c r="A91" s="126" t="s">
        <v>565</v>
      </c>
      <c r="B91" s="126">
        <v>0</v>
      </c>
      <c r="C91" s="126">
        <v>282473</v>
      </c>
      <c r="D91" s="126">
        <v>282473</v>
      </c>
      <c r="E91" s="126">
        <v>0</v>
      </c>
      <c r="G91" s="126">
        <f t="shared" si="1"/>
        <v>0</v>
      </c>
      <c r="H91" s="126" t="s">
        <v>80</v>
      </c>
    </row>
    <row r="92" spans="1:8">
      <c r="A92" s="126" t="s">
        <v>566</v>
      </c>
      <c r="B92" s="126">
        <v>0</v>
      </c>
      <c r="C92" s="126">
        <v>1271337</v>
      </c>
      <c r="D92" s="126">
        <v>1271337</v>
      </c>
      <c r="E92" s="126">
        <v>0</v>
      </c>
      <c r="G92" s="126">
        <f t="shared" si="1"/>
        <v>0</v>
      </c>
      <c r="H92" s="126" t="s">
        <v>80</v>
      </c>
    </row>
    <row r="93" spans="1:8">
      <c r="A93" s="126" t="s">
        <v>590</v>
      </c>
      <c r="B93" s="126">
        <v>-2411133.14</v>
      </c>
      <c r="C93" s="126">
        <v>0</v>
      </c>
      <c r="D93" s="126">
        <v>0</v>
      </c>
      <c r="E93" s="126">
        <v>-2411133.14</v>
      </c>
      <c r="G93" s="126">
        <f t="shared" si="1"/>
        <v>-2411133.14</v>
      </c>
      <c r="H93" s="126" t="s">
        <v>80</v>
      </c>
    </row>
    <row r="94" spans="1:8">
      <c r="A94" s="126" t="s">
        <v>114</v>
      </c>
      <c r="B94" s="126">
        <v>59634946.859999999</v>
      </c>
      <c r="C94" s="126">
        <v>0</v>
      </c>
      <c r="D94" s="126">
        <v>0</v>
      </c>
      <c r="E94" s="126">
        <v>59634946.859999999</v>
      </c>
      <c r="G94" s="126">
        <f t="shared" si="1"/>
        <v>59634946.859999999</v>
      </c>
      <c r="H94" s="126" t="s">
        <v>80</v>
      </c>
    </row>
    <row r="95" spans="1:8">
      <c r="A95" s="126" t="s">
        <v>115</v>
      </c>
      <c r="B95" s="126">
        <v>-135139036.13</v>
      </c>
      <c r="C95" s="126">
        <v>0</v>
      </c>
      <c r="D95" s="126">
        <v>641232.61</v>
      </c>
      <c r="E95" s="126">
        <v>-135780268.74000001</v>
      </c>
      <c r="G95" s="126">
        <f t="shared" si="1"/>
        <v>-135780268.74000001</v>
      </c>
      <c r="H95" s="126" t="s">
        <v>80</v>
      </c>
    </row>
    <row r="96" spans="1:8">
      <c r="A96" s="126" t="s">
        <v>567</v>
      </c>
      <c r="B96" s="126">
        <v>0</v>
      </c>
      <c r="C96" s="126">
        <v>282473</v>
      </c>
      <c r="D96" s="126">
        <v>282473</v>
      </c>
      <c r="E96" s="126">
        <v>0</v>
      </c>
      <c r="G96" s="126">
        <f t="shared" si="1"/>
        <v>0</v>
      </c>
      <c r="H96" s="126" t="s">
        <v>80</v>
      </c>
    </row>
    <row r="97" spans="1:8">
      <c r="A97" s="126" t="s">
        <v>571</v>
      </c>
      <c r="B97" s="126">
        <v>37500</v>
      </c>
      <c r="C97" s="126">
        <v>200000</v>
      </c>
      <c r="D97" s="126">
        <v>0</v>
      </c>
      <c r="E97" s="126">
        <v>237500</v>
      </c>
      <c r="G97" s="126">
        <f t="shared" si="1"/>
        <v>237500</v>
      </c>
      <c r="H97" s="126" t="s">
        <v>80</v>
      </c>
    </row>
    <row r="98" spans="1:8">
      <c r="A98" s="126" t="s">
        <v>504</v>
      </c>
      <c r="B98" s="126">
        <v>0</v>
      </c>
      <c r="C98" s="126">
        <v>47200</v>
      </c>
      <c r="D98" s="126">
        <v>47200</v>
      </c>
      <c r="E98" s="126">
        <v>0</v>
      </c>
      <c r="G98" s="126">
        <f t="shared" si="1"/>
        <v>0</v>
      </c>
      <c r="H98" s="126" t="s">
        <v>80</v>
      </c>
    </row>
    <row r="99" spans="1:8">
      <c r="A99" s="126" t="s">
        <v>117</v>
      </c>
      <c r="B99" s="126">
        <v>9045.1299999999992</v>
      </c>
      <c r="C99" s="126">
        <v>0</v>
      </c>
      <c r="D99" s="126">
        <v>0</v>
      </c>
      <c r="E99" s="126">
        <v>9045.1299999999992</v>
      </c>
      <c r="G99" s="126">
        <f t="shared" si="1"/>
        <v>9045.1299999999992</v>
      </c>
      <c r="H99" s="126" t="s">
        <v>80</v>
      </c>
    </row>
    <row r="100" spans="1:8">
      <c r="A100" s="126" t="s">
        <v>1077</v>
      </c>
      <c r="B100" s="126">
        <v>0</v>
      </c>
      <c r="C100" s="126">
        <v>2582010</v>
      </c>
      <c r="D100" s="126">
        <v>0</v>
      </c>
      <c r="E100" s="126">
        <v>2582010</v>
      </c>
      <c r="G100" s="126">
        <f t="shared" si="1"/>
        <v>2582010</v>
      </c>
      <c r="H100" s="126" t="s">
        <v>80</v>
      </c>
    </row>
    <row r="101" spans="1:8">
      <c r="A101" s="126" t="s">
        <v>592</v>
      </c>
      <c r="B101" s="126">
        <v>2052.5</v>
      </c>
      <c r="C101" s="126">
        <v>0</v>
      </c>
      <c r="D101" s="126">
        <v>0</v>
      </c>
      <c r="E101" s="126">
        <v>2052.5</v>
      </c>
      <c r="G101" s="126">
        <f t="shared" si="1"/>
        <v>2052.5</v>
      </c>
      <c r="H101" s="126" t="s">
        <v>80</v>
      </c>
    </row>
    <row r="102" spans="1:8">
      <c r="A102" s="126" t="s">
        <v>1078</v>
      </c>
      <c r="B102" s="126">
        <v>0</v>
      </c>
      <c r="C102" s="126">
        <v>0</v>
      </c>
      <c r="D102" s="126">
        <v>3540000</v>
      </c>
      <c r="E102" s="126">
        <v>-3540000</v>
      </c>
      <c r="G102" s="126">
        <f t="shared" si="1"/>
        <v>-3540000</v>
      </c>
      <c r="H102" s="126" t="s">
        <v>80</v>
      </c>
    </row>
    <row r="103" spans="1:8">
      <c r="A103" s="126" t="s">
        <v>593</v>
      </c>
      <c r="B103" s="126">
        <v>1698.8</v>
      </c>
      <c r="C103" s="126">
        <v>0</v>
      </c>
      <c r="D103" s="126">
        <v>1698.8</v>
      </c>
      <c r="E103" s="126">
        <v>0</v>
      </c>
      <c r="G103" s="126">
        <f t="shared" si="1"/>
        <v>0</v>
      </c>
      <c r="H103" s="126" t="s">
        <v>80</v>
      </c>
    </row>
    <row r="104" spans="1:8">
      <c r="A104" s="126" t="s">
        <v>1386</v>
      </c>
      <c r="B104" s="126">
        <v>0</v>
      </c>
      <c r="C104" s="126">
        <v>0</v>
      </c>
      <c r="D104" s="126">
        <v>0</v>
      </c>
      <c r="E104" s="126">
        <v>0</v>
      </c>
      <c r="G104" s="126">
        <f t="shared" si="1"/>
        <v>0</v>
      </c>
      <c r="H104" s="126" t="s">
        <v>80</v>
      </c>
    </row>
    <row r="105" spans="1:8">
      <c r="A105" s="126" t="s">
        <v>572</v>
      </c>
      <c r="B105" s="126">
        <v>222030</v>
      </c>
      <c r="C105" s="126">
        <v>43000</v>
      </c>
      <c r="D105" s="126">
        <v>43000</v>
      </c>
      <c r="E105" s="126">
        <v>222030</v>
      </c>
      <c r="G105" s="126">
        <f t="shared" si="1"/>
        <v>222030</v>
      </c>
      <c r="H105" s="126" t="s">
        <v>80</v>
      </c>
    </row>
    <row r="106" spans="1:8">
      <c r="A106" s="126" t="s">
        <v>139</v>
      </c>
      <c r="B106" s="126">
        <v>1475496</v>
      </c>
      <c r="C106" s="126">
        <v>1397000</v>
      </c>
      <c r="D106" s="126">
        <v>1016213</v>
      </c>
      <c r="E106" s="126">
        <v>1856283</v>
      </c>
      <c r="G106" s="126">
        <f t="shared" si="1"/>
        <v>1856283</v>
      </c>
      <c r="H106" s="126" t="s">
        <v>80</v>
      </c>
    </row>
    <row r="107" spans="1:8">
      <c r="A107" s="126" t="s">
        <v>1041</v>
      </c>
      <c r="B107" s="126">
        <v>5000</v>
      </c>
      <c r="C107" s="126">
        <v>0</v>
      </c>
      <c r="D107" s="126">
        <v>0</v>
      </c>
      <c r="E107" s="126">
        <v>5000</v>
      </c>
      <c r="G107" s="126">
        <f t="shared" si="1"/>
        <v>5000</v>
      </c>
      <c r="H107" s="126" t="s">
        <v>80</v>
      </c>
    </row>
    <row r="108" spans="1:8">
      <c r="A108" s="126" t="s">
        <v>1075</v>
      </c>
      <c r="B108" s="126">
        <v>0</v>
      </c>
      <c r="C108" s="126">
        <v>0</v>
      </c>
      <c r="D108" s="126">
        <v>0</v>
      </c>
      <c r="E108" s="126">
        <v>0</v>
      </c>
      <c r="G108" s="126">
        <f t="shared" si="1"/>
        <v>0</v>
      </c>
      <c r="H108" s="126" t="s">
        <v>80</v>
      </c>
    </row>
    <row r="109" spans="1:8">
      <c r="A109" s="126" t="s">
        <v>575</v>
      </c>
      <c r="B109" s="126">
        <v>478152.9</v>
      </c>
      <c r="C109" s="126">
        <v>225380</v>
      </c>
      <c r="D109" s="126">
        <v>478490</v>
      </c>
      <c r="E109" s="126">
        <v>225042.9</v>
      </c>
      <c r="G109" s="126">
        <f t="shared" si="1"/>
        <v>225042.9</v>
      </c>
      <c r="H109" s="126" t="s">
        <v>80</v>
      </c>
    </row>
    <row r="110" spans="1:8">
      <c r="A110" s="126" t="s">
        <v>1082</v>
      </c>
      <c r="B110" s="126">
        <v>0</v>
      </c>
      <c r="C110" s="126">
        <v>62985.3</v>
      </c>
      <c r="D110" s="126">
        <v>0</v>
      </c>
      <c r="E110" s="126">
        <v>62985.3</v>
      </c>
      <c r="G110" s="126">
        <f t="shared" si="1"/>
        <v>62985.3</v>
      </c>
      <c r="H110" s="126" t="s">
        <v>80</v>
      </c>
    </row>
    <row r="111" spans="1:8">
      <c r="A111" s="126" t="s">
        <v>1430</v>
      </c>
      <c r="B111" s="126">
        <v>0</v>
      </c>
      <c r="C111" s="126">
        <v>3823200</v>
      </c>
      <c r="D111" s="126">
        <v>0</v>
      </c>
      <c r="E111" s="126">
        <v>3823200</v>
      </c>
      <c r="G111" s="126">
        <f t="shared" si="1"/>
        <v>3823200</v>
      </c>
      <c r="H111" s="126" t="s">
        <v>80</v>
      </c>
    </row>
    <row r="112" spans="1:8">
      <c r="A112" s="126" t="s">
        <v>1083</v>
      </c>
      <c r="B112" s="126">
        <v>0</v>
      </c>
      <c r="C112" s="126">
        <v>0</v>
      </c>
      <c r="D112" s="126">
        <v>0</v>
      </c>
      <c r="E112" s="126">
        <v>0</v>
      </c>
      <c r="G112" s="126">
        <f t="shared" si="1"/>
        <v>0</v>
      </c>
      <c r="H112" s="126" t="s">
        <v>80</v>
      </c>
    </row>
    <row r="113" spans="1:10">
      <c r="A113" s="126" t="s">
        <v>597</v>
      </c>
      <c r="B113" s="126">
        <v>419071.58</v>
      </c>
      <c r="C113" s="126">
        <v>0</v>
      </c>
      <c r="D113" s="126">
        <v>419071</v>
      </c>
      <c r="E113" s="126">
        <v>0.57999999999999996</v>
      </c>
      <c r="G113" s="126">
        <f t="shared" si="1"/>
        <v>0.57999999999999996</v>
      </c>
      <c r="H113" s="126" t="s">
        <v>80</v>
      </c>
    </row>
    <row r="114" spans="1:10">
      <c r="A114" s="126" t="s">
        <v>520</v>
      </c>
      <c r="B114" s="126">
        <v>-1.05</v>
      </c>
      <c r="C114" s="126">
        <v>1.05</v>
      </c>
      <c r="D114" s="126">
        <v>0</v>
      </c>
      <c r="E114" s="126">
        <v>0</v>
      </c>
      <c r="G114" s="126">
        <f t="shared" si="1"/>
        <v>0</v>
      </c>
      <c r="H114" s="126" t="s">
        <v>80</v>
      </c>
    </row>
    <row r="115" spans="1:10">
      <c r="A115" s="126" t="s">
        <v>1079</v>
      </c>
      <c r="B115" s="126">
        <v>0</v>
      </c>
      <c r="C115" s="126">
        <v>0</v>
      </c>
      <c r="D115" s="126">
        <v>0</v>
      </c>
      <c r="E115" s="126">
        <v>0</v>
      </c>
      <c r="G115" s="126">
        <f t="shared" si="1"/>
        <v>0</v>
      </c>
      <c r="H115" s="126" t="s">
        <v>80</v>
      </c>
    </row>
    <row r="116" spans="1:10">
      <c r="A116" s="126" t="s">
        <v>1080</v>
      </c>
      <c r="B116" s="126">
        <v>0</v>
      </c>
      <c r="C116" s="126">
        <v>0</v>
      </c>
      <c r="D116" s="126">
        <v>0</v>
      </c>
      <c r="E116" s="126">
        <v>0</v>
      </c>
      <c r="G116" s="126">
        <f t="shared" si="1"/>
        <v>0</v>
      </c>
      <c r="H116" s="126" t="s">
        <v>80</v>
      </c>
    </row>
    <row r="117" spans="1:10">
      <c r="A117" s="126" t="s">
        <v>554</v>
      </c>
      <c r="B117" s="126">
        <v>35987</v>
      </c>
      <c r="C117" s="126">
        <v>0</v>
      </c>
      <c r="D117" s="126">
        <v>0</v>
      </c>
      <c r="E117" s="126">
        <v>35987</v>
      </c>
      <c r="G117" s="126">
        <f t="shared" si="1"/>
        <v>35987</v>
      </c>
      <c r="H117" s="126" t="s">
        <v>339</v>
      </c>
      <c r="I117" s="126" t="e">
        <f>#REF!</f>
        <v>#REF!</v>
      </c>
      <c r="J117" s="126" t="e">
        <f>G117-I117</f>
        <v>#REF!</v>
      </c>
    </row>
    <row r="118" spans="1:10">
      <c r="A118" s="126" t="s">
        <v>577</v>
      </c>
      <c r="B118" s="126">
        <v>-2088.6999999999998</v>
      </c>
      <c r="C118" s="126">
        <v>0</v>
      </c>
      <c r="D118" s="126">
        <v>0</v>
      </c>
      <c r="E118" s="126">
        <v>-2088.6999999999998</v>
      </c>
      <c r="G118" s="126">
        <f t="shared" si="1"/>
        <v>-2088.6999999999998</v>
      </c>
      <c r="H118" s="126" t="s">
        <v>80</v>
      </c>
    </row>
    <row r="119" spans="1:10">
      <c r="A119" s="126" t="s">
        <v>1081</v>
      </c>
      <c r="B119" s="126">
        <v>0</v>
      </c>
      <c r="C119" s="126">
        <v>0</v>
      </c>
      <c r="D119" s="126">
        <v>0</v>
      </c>
      <c r="E119" s="126">
        <v>0</v>
      </c>
      <c r="G119" s="126">
        <f t="shared" si="1"/>
        <v>0</v>
      </c>
      <c r="H119" s="126" t="s">
        <v>80</v>
      </c>
    </row>
    <row r="120" spans="1:10">
      <c r="A120" s="126" t="s">
        <v>600</v>
      </c>
      <c r="B120" s="126">
        <v>675</v>
      </c>
      <c r="C120" s="126">
        <v>0</v>
      </c>
      <c r="D120" s="126">
        <v>0</v>
      </c>
      <c r="E120" s="126">
        <v>675</v>
      </c>
      <c r="G120" s="126">
        <f t="shared" si="1"/>
        <v>675</v>
      </c>
      <c r="H120" s="126" t="s">
        <v>80</v>
      </c>
    </row>
    <row r="121" spans="1:10">
      <c r="A121" s="126" t="s">
        <v>601</v>
      </c>
      <c r="B121" s="126">
        <v>4692.88</v>
      </c>
      <c r="C121" s="126">
        <v>0</v>
      </c>
      <c r="D121" s="126">
        <v>0</v>
      </c>
      <c r="E121" s="126">
        <v>4692.88</v>
      </c>
      <c r="G121" s="126">
        <f t="shared" si="1"/>
        <v>4692.88</v>
      </c>
      <c r="H121" s="126" t="s">
        <v>80</v>
      </c>
    </row>
    <row r="122" spans="1:10">
      <c r="A122" s="126" t="s">
        <v>415</v>
      </c>
      <c r="B122" s="126">
        <v>1789930</v>
      </c>
      <c r="C122" s="126">
        <v>0</v>
      </c>
      <c r="D122" s="126">
        <v>1300965</v>
      </c>
      <c r="E122" s="126">
        <v>488965</v>
      </c>
      <c r="G122" s="126">
        <f t="shared" si="1"/>
        <v>488965</v>
      </c>
      <c r="H122" s="126" t="s">
        <v>80</v>
      </c>
    </row>
    <row r="123" spans="1:10">
      <c r="A123" s="126" t="s">
        <v>1132</v>
      </c>
      <c r="B123" s="126">
        <v>0</v>
      </c>
      <c r="C123" s="126">
        <v>0</v>
      </c>
      <c r="D123" s="126">
        <v>0</v>
      </c>
      <c r="E123" s="126">
        <v>0</v>
      </c>
      <c r="G123" s="126">
        <f t="shared" si="1"/>
        <v>0</v>
      </c>
      <c r="H123" s="126" t="s">
        <v>80</v>
      </c>
    </row>
    <row r="124" spans="1:10">
      <c r="A124" s="126" t="s">
        <v>126</v>
      </c>
      <c r="B124" s="126">
        <v>-267736696.16</v>
      </c>
      <c r="C124" s="126">
        <v>398998026.29000002</v>
      </c>
      <c r="D124" s="126">
        <v>382072625.60000002</v>
      </c>
      <c r="E124" s="126">
        <v>-250811295.47</v>
      </c>
      <c r="G124" s="126">
        <f t="shared" si="1"/>
        <v>-250811295.47</v>
      </c>
      <c r="H124" s="126" t="s">
        <v>80</v>
      </c>
    </row>
    <row r="125" spans="1:10">
      <c r="A125" s="126" t="s">
        <v>602</v>
      </c>
      <c r="B125" s="126">
        <v>1168786097.95</v>
      </c>
      <c r="C125" s="126">
        <v>95743360.760000005</v>
      </c>
      <c r="D125" s="126">
        <v>7700</v>
      </c>
      <c r="E125" s="126">
        <v>1264521758.71</v>
      </c>
      <c r="G125" s="126">
        <f t="shared" si="1"/>
        <v>1264521758.71</v>
      </c>
      <c r="H125" s="126" t="s">
        <v>80</v>
      </c>
    </row>
    <row r="126" spans="1:10">
      <c r="A126" s="126" t="s">
        <v>127</v>
      </c>
      <c r="B126" s="126">
        <v>438946147.27999997</v>
      </c>
      <c r="C126" s="126">
        <v>0</v>
      </c>
      <c r="D126" s="126">
        <v>0</v>
      </c>
      <c r="E126" s="126">
        <v>438946147.27999997</v>
      </c>
      <c r="G126" s="126">
        <f t="shared" si="1"/>
        <v>438946147.27999997</v>
      </c>
      <c r="H126" s="126" t="s">
        <v>80</v>
      </c>
    </row>
    <row r="127" spans="1:10">
      <c r="A127" s="126" t="s">
        <v>128</v>
      </c>
      <c r="B127" s="126">
        <v>14316309.33</v>
      </c>
      <c r="C127" s="126">
        <v>49175815.770000003</v>
      </c>
      <c r="D127" s="126">
        <v>9000000</v>
      </c>
      <c r="E127" s="126">
        <v>54492125.100000001</v>
      </c>
      <c r="G127" s="126">
        <f t="shared" si="1"/>
        <v>54492125.100000001</v>
      </c>
      <c r="H127" s="126" t="s">
        <v>80</v>
      </c>
    </row>
    <row r="128" spans="1:10">
      <c r="A128" s="126" t="s">
        <v>1091</v>
      </c>
      <c r="B128" s="126">
        <v>0</v>
      </c>
      <c r="C128" s="126">
        <v>0</v>
      </c>
      <c r="D128" s="126">
        <v>0</v>
      </c>
      <c r="E128" s="126">
        <v>0</v>
      </c>
      <c r="G128" s="126">
        <f t="shared" si="1"/>
        <v>0</v>
      </c>
      <c r="H128" s="126" t="s">
        <v>80</v>
      </c>
    </row>
    <row r="129" spans="1:8">
      <c r="A129" s="126" t="s">
        <v>1431</v>
      </c>
      <c r="B129" s="126">
        <v>0</v>
      </c>
      <c r="C129" s="126">
        <v>138296</v>
      </c>
      <c r="D129" s="126">
        <v>138296</v>
      </c>
      <c r="E129" s="126">
        <v>0</v>
      </c>
      <c r="G129" s="126">
        <f t="shared" si="1"/>
        <v>0</v>
      </c>
      <c r="H129" s="126" t="s">
        <v>80</v>
      </c>
    </row>
    <row r="130" spans="1:8">
      <c r="A130" s="126" t="s">
        <v>1432</v>
      </c>
      <c r="B130" s="126">
        <v>0</v>
      </c>
      <c r="C130" s="126">
        <v>204912.9</v>
      </c>
      <c r="D130" s="126">
        <v>204913</v>
      </c>
      <c r="E130" s="126">
        <v>-0.1</v>
      </c>
      <c r="G130" s="126">
        <f t="shared" si="1"/>
        <v>-0.1</v>
      </c>
      <c r="H130" s="126" t="s">
        <v>80</v>
      </c>
    </row>
    <row r="131" spans="1:8">
      <c r="A131" s="126" t="s">
        <v>416</v>
      </c>
      <c r="B131" s="126">
        <v>-10432411.42</v>
      </c>
      <c r="C131" s="126">
        <v>9636358.9199999999</v>
      </c>
      <c r="D131" s="126">
        <v>0</v>
      </c>
      <c r="E131" s="126">
        <v>-796052.5</v>
      </c>
      <c r="G131" s="126">
        <f t="shared" ref="G131:G194" si="2">E131+F131</f>
        <v>-796052.5</v>
      </c>
      <c r="H131" s="126" t="s">
        <v>80</v>
      </c>
    </row>
    <row r="132" spans="1:8">
      <c r="A132" s="126" t="s">
        <v>603</v>
      </c>
      <c r="B132" s="126">
        <v>3042335.14</v>
      </c>
      <c r="C132" s="126">
        <v>9095347.7599999998</v>
      </c>
      <c r="D132" s="126">
        <v>12417886.210000001</v>
      </c>
      <c r="E132" s="126">
        <v>-280203.31</v>
      </c>
      <c r="G132" s="126">
        <f t="shared" si="2"/>
        <v>-280203.31</v>
      </c>
      <c r="H132" s="126" t="s">
        <v>80</v>
      </c>
    </row>
    <row r="133" spans="1:8">
      <c r="A133" s="126" t="s">
        <v>604</v>
      </c>
      <c r="B133" s="126">
        <v>4085294.79</v>
      </c>
      <c r="C133" s="126">
        <v>6592142.7000000002</v>
      </c>
      <c r="D133" s="126">
        <v>6791091</v>
      </c>
      <c r="E133" s="126">
        <v>3886346.49</v>
      </c>
      <c r="G133" s="126">
        <f t="shared" si="2"/>
        <v>3886346.49</v>
      </c>
      <c r="H133" s="126" t="s">
        <v>80</v>
      </c>
    </row>
    <row r="134" spans="1:8">
      <c r="A134" s="126" t="s">
        <v>1093</v>
      </c>
      <c r="B134" s="126">
        <v>0</v>
      </c>
      <c r="C134" s="126">
        <v>0</v>
      </c>
      <c r="D134" s="126">
        <v>0</v>
      </c>
      <c r="E134" s="126">
        <v>0</v>
      </c>
      <c r="G134" s="126">
        <f t="shared" si="2"/>
        <v>0</v>
      </c>
      <c r="H134" s="126" t="s">
        <v>80</v>
      </c>
    </row>
    <row r="135" spans="1:8">
      <c r="A135" s="126" t="s">
        <v>1094</v>
      </c>
      <c r="B135" s="126">
        <v>0</v>
      </c>
      <c r="C135" s="126">
        <v>0</v>
      </c>
      <c r="D135" s="126">
        <v>0</v>
      </c>
      <c r="E135" s="126">
        <v>0</v>
      </c>
      <c r="G135" s="126">
        <f t="shared" si="2"/>
        <v>0</v>
      </c>
      <c r="H135" s="126" t="s">
        <v>80</v>
      </c>
    </row>
    <row r="136" spans="1:8">
      <c r="A136" s="126" t="s">
        <v>578</v>
      </c>
      <c r="B136" s="126">
        <v>-779600</v>
      </c>
      <c r="C136" s="126">
        <v>779600</v>
      </c>
      <c r="D136" s="126">
        <v>0</v>
      </c>
      <c r="E136" s="126">
        <v>0</v>
      </c>
      <c r="G136" s="126">
        <f t="shared" si="2"/>
        <v>0</v>
      </c>
      <c r="H136" s="126" t="s">
        <v>80</v>
      </c>
    </row>
    <row r="137" spans="1:8">
      <c r="A137" s="126" t="s">
        <v>1519</v>
      </c>
      <c r="B137" s="126">
        <v>0</v>
      </c>
      <c r="C137" s="126">
        <v>0</v>
      </c>
      <c r="D137" s="126">
        <v>0</v>
      </c>
      <c r="E137" s="126">
        <v>0</v>
      </c>
      <c r="G137" s="126">
        <f t="shared" si="2"/>
        <v>0</v>
      </c>
      <c r="H137" s="126" t="s">
        <v>80</v>
      </c>
    </row>
    <row r="138" spans="1:8">
      <c r="A138" s="126" t="s">
        <v>1086</v>
      </c>
      <c r="B138" s="126">
        <v>0</v>
      </c>
      <c r="C138" s="126">
        <v>0</v>
      </c>
      <c r="D138" s="126">
        <v>0</v>
      </c>
      <c r="E138" s="126">
        <v>0</v>
      </c>
      <c r="G138" s="126">
        <f t="shared" si="2"/>
        <v>0</v>
      </c>
      <c r="H138" s="126" t="s">
        <v>80</v>
      </c>
    </row>
    <row r="139" spans="1:8">
      <c r="A139" s="126" t="s">
        <v>579</v>
      </c>
      <c r="B139" s="126">
        <v>61360</v>
      </c>
      <c r="C139" s="126">
        <v>0</v>
      </c>
      <c r="D139" s="126">
        <v>61360</v>
      </c>
      <c r="E139" s="126">
        <v>0</v>
      </c>
      <c r="G139" s="126">
        <f t="shared" si="2"/>
        <v>0</v>
      </c>
      <c r="H139" s="126" t="s">
        <v>80</v>
      </c>
    </row>
    <row r="140" spans="1:8">
      <c r="A140" s="126" t="s">
        <v>1120</v>
      </c>
      <c r="B140" s="126">
        <v>0</v>
      </c>
      <c r="C140" s="126">
        <v>0</v>
      </c>
      <c r="D140" s="126">
        <v>0</v>
      </c>
      <c r="E140" s="126">
        <v>0</v>
      </c>
      <c r="G140" s="126">
        <f t="shared" si="2"/>
        <v>0</v>
      </c>
      <c r="H140" s="126" t="s">
        <v>80</v>
      </c>
    </row>
    <row r="141" spans="1:8">
      <c r="A141" s="126" t="s">
        <v>581</v>
      </c>
      <c r="B141" s="126">
        <v>618393.16</v>
      </c>
      <c r="C141" s="126">
        <v>842033.26</v>
      </c>
      <c r="D141" s="126">
        <v>618393.16</v>
      </c>
      <c r="E141" s="126">
        <v>842033.26</v>
      </c>
      <c r="G141" s="126">
        <f t="shared" si="2"/>
        <v>842033.26</v>
      </c>
      <c r="H141" s="126" t="s">
        <v>80</v>
      </c>
    </row>
    <row r="142" spans="1:8">
      <c r="A142" s="126" t="s">
        <v>1100</v>
      </c>
      <c r="B142" s="126">
        <v>0</v>
      </c>
      <c r="C142" s="126">
        <v>0</v>
      </c>
      <c r="D142" s="126">
        <v>0</v>
      </c>
      <c r="E142" s="126">
        <v>0</v>
      </c>
      <c r="G142" s="126">
        <f t="shared" si="2"/>
        <v>0</v>
      </c>
      <c r="H142" s="126" t="s">
        <v>80</v>
      </c>
    </row>
    <row r="143" spans="1:8">
      <c r="A143" s="126" t="s">
        <v>606</v>
      </c>
      <c r="B143" s="126">
        <v>-1037.4000000000001</v>
      </c>
      <c r="C143" s="126">
        <v>0</v>
      </c>
      <c r="D143" s="126">
        <v>0</v>
      </c>
      <c r="E143" s="126">
        <v>-1037.4000000000001</v>
      </c>
      <c r="G143" s="126">
        <f t="shared" si="2"/>
        <v>-1037.4000000000001</v>
      </c>
      <c r="H143" s="126" t="s">
        <v>80</v>
      </c>
    </row>
    <row r="144" spans="1:8">
      <c r="A144" s="126" t="s">
        <v>383</v>
      </c>
      <c r="B144" s="126">
        <v>325669.58</v>
      </c>
      <c r="C144" s="126">
        <v>0</v>
      </c>
      <c r="D144" s="126">
        <v>0</v>
      </c>
      <c r="E144" s="126">
        <v>325669.58</v>
      </c>
      <c r="G144" s="126">
        <f t="shared" si="2"/>
        <v>325669.58</v>
      </c>
      <c r="H144" s="126" t="s">
        <v>80</v>
      </c>
    </row>
    <row r="145" spans="1:8">
      <c r="A145" s="126" t="s">
        <v>607</v>
      </c>
      <c r="B145" s="126">
        <v>0.06</v>
      </c>
      <c r="C145" s="126">
        <v>0</v>
      </c>
      <c r="D145" s="126">
        <v>0.06</v>
      </c>
      <c r="E145" s="126">
        <v>0</v>
      </c>
      <c r="G145" s="126">
        <f t="shared" si="2"/>
        <v>0</v>
      </c>
      <c r="H145" s="126" t="s">
        <v>80</v>
      </c>
    </row>
    <row r="146" spans="1:8">
      <c r="A146" s="126" t="s">
        <v>1400</v>
      </c>
      <c r="B146" s="126">
        <v>0</v>
      </c>
      <c r="C146" s="126">
        <v>0</v>
      </c>
      <c r="D146" s="126">
        <v>0</v>
      </c>
      <c r="E146" s="126">
        <v>0</v>
      </c>
      <c r="G146" s="126">
        <f t="shared" si="2"/>
        <v>0</v>
      </c>
      <c r="H146" s="126" t="s">
        <v>80</v>
      </c>
    </row>
    <row r="147" spans="1:8">
      <c r="A147" s="126" t="s">
        <v>526</v>
      </c>
      <c r="B147" s="126">
        <v>-70355</v>
      </c>
      <c r="C147" s="126">
        <v>0</v>
      </c>
      <c r="D147" s="126">
        <v>0</v>
      </c>
      <c r="E147" s="126">
        <v>-70355</v>
      </c>
      <c r="G147" s="126">
        <f t="shared" si="2"/>
        <v>-70355</v>
      </c>
      <c r="H147" s="126" t="s">
        <v>80</v>
      </c>
    </row>
    <row r="148" spans="1:8">
      <c r="A148" s="126" t="s">
        <v>505</v>
      </c>
      <c r="B148" s="126">
        <v>1363.56</v>
      </c>
      <c r="C148" s="126">
        <v>917500.59</v>
      </c>
      <c r="D148" s="126">
        <v>474406</v>
      </c>
      <c r="E148" s="126">
        <v>444458.15</v>
      </c>
      <c r="G148" s="126">
        <f t="shared" si="2"/>
        <v>444458.15</v>
      </c>
      <c r="H148" s="126" t="s">
        <v>80</v>
      </c>
    </row>
    <row r="149" spans="1:8">
      <c r="A149" s="126" t="s">
        <v>582</v>
      </c>
      <c r="B149" s="126">
        <v>0.06</v>
      </c>
      <c r="C149" s="126">
        <v>0.3</v>
      </c>
      <c r="D149" s="126">
        <v>0.36</v>
      </c>
      <c r="E149" s="126">
        <v>0</v>
      </c>
      <c r="G149" s="126">
        <f t="shared" si="2"/>
        <v>0</v>
      </c>
      <c r="H149" s="126" t="s">
        <v>80</v>
      </c>
    </row>
    <row r="150" spans="1:8">
      <c r="A150" s="126" t="s">
        <v>436</v>
      </c>
      <c r="B150" s="126">
        <v>0.46</v>
      </c>
      <c r="C150" s="126">
        <v>0</v>
      </c>
      <c r="D150" s="126">
        <v>0.46</v>
      </c>
      <c r="E150" s="126">
        <v>0</v>
      </c>
      <c r="G150" s="126">
        <f t="shared" si="2"/>
        <v>0</v>
      </c>
      <c r="H150" s="126" t="s">
        <v>80</v>
      </c>
    </row>
    <row r="151" spans="1:8">
      <c r="A151" s="126" t="s">
        <v>447</v>
      </c>
      <c r="B151" s="126">
        <v>0.64</v>
      </c>
      <c r="C151" s="126">
        <v>0</v>
      </c>
      <c r="D151" s="126">
        <v>0.64</v>
      </c>
      <c r="E151" s="126">
        <v>0</v>
      </c>
      <c r="G151" s="126">
        <f t="shared" si="2"/>
        <v>0</v>
      </c>
      <c r="H151" s="126" t="s">
        <v>80</v>
      </c>
    </row>
    <row r="152" spans="1:8">
      <c r="A152" s="126" t="s">
        <v>1104</v>
      </c>
      <c r="B152" s="126">
        <v>0</v>
      </c>
      <c r="C152" s="126">
        <v>0</v>
      </c>
      <c r="D152" s="126">
        <v>0</v>
      </c>
      <c r="E152" s="126">
        <v>0</v>
      </c>
      <c r="G152" s="126">
        <f t="shared" si="2"/>
        <v>0</v>
      </c>
      <c r="H152" s="126" t="s">
        <v>80</v>
      </c>
    </row>
    <row r="153" spans="1:8">
      <c r="A153" s="126" t="s">
        <v>1105</v>
      </c>
      <c r="B153" s="126">
        <v>0</v>
      </c>
      <c r="C153" s="126">
        <v>0</v>
      </c>
      <c r="D153" s="126">
        <v>0</v>
      </c>
      <c r="E153" s="126">
        <v>0</v>
      </c>
      <c r="G153" s="126">
        <f t="shared" si="2"/>
        <v>0</v>
      </c>
      <c r="H153" s="126" t="s">
        <v>80</v>
      </c>
    </row>
    <row r="154" spans="1:8">
      <c r="A154" s="126" t="s">
        <v>608</v>
      </c>
      <c r="B154" s="126">
        <v>1180148.46</v>
      </c>
      <c r="C154" s="126">
        <v>15991833.449999999</v>
      </c>
      <c r="D154" s="126">
        <v>14845715.869999999</v>
      </c>
      <c r="E154" s="126">
        <v>2326266.04</v>
      </c>
      <c r="G154" s="126">
        <f t="shared" si="2"/>
        <v>2326266.04</v>
      </c>
      <c r="H154" s="126" t="s">
        <v>80</v>
      </c>
    </row>
    <row r="155" spans="1:8">
      <c r="A155" s="126" t="s">
        <v>609</v>
      </c>
      <c r="B155" s="126">
        <v>-0.01</v>
      </c>
      <c r="C155" s="126">
        <v>0</v>
      </c>
      <c r="D155" s="126">
        <v>0</v>
      </c>
      <c r="E155" s="126">
        <v>-0.01</v>
      </c>
      <c r="G155" s="126">
        <f t="shared" si="2"/>
        <v>-0.01</v>
      </c>
      <c r="H155" s="126" t="s">
        <v>80</v>
      </c>
    </row>
    <row r="156" spans="1:8">
      <c r="A156" s="126" t="s">
        <v>610</v>
      </c>
      <c r="B156" s="126">
        <v>0</v>
      </c>
      <c r="C156" s="126">
        <v>2297213.92</v>
      </c>
      <c r="D156" s="126">
        <v>1829550.24</v>
      </c>
      <c r="E156" s="126">
        <v>467663.68</v>
      </c>
      <c r="G156" s="126">
        <f t="shared" si="2"/>
        <v>467663.68</v>
      </c>
      <c r="H156" s="126" t="s">
        <v>80</v>
      </c>
    </row>
    <row r="157" spans="1:8">
      <c r="A157" s="126" t="s">
        <v>611</v>
      </c>
      <c r="B157" s="126">
        <v>0.02</v>
      </c>
      <c r="C157" s="126">
        <v>10649170.130000001</v>
      </c>
      <c r="D157" s="126">
        <v>55999.38</v>
      </c>
      <c r="E157" s="126">
        <v>10593170.77</v>
      </c>
      <c r="G157" s="126">
        <f t="shared" si="2"/>
        <v>10593170.77</v>
      </c>
      <c r="H157" s="126" t="s">
        <v>80</v>
      </c>
    </row>
    <row r="158" spans="1:8">
      <c r="A158" s="126" t="s">
        <v>612</v>
      </c>
      <c r="B158" s="126">
        <v>1607471.88</v>
      </c>
      <c r="C158" s="126">
        <v>46.75</v>
      </c>
      <c r="D158" s="126">
        <v>1605902.88</v>
      </c>
      <c r="E158" s="126">
        <v>1615.75</v>
      </c>
      <c r="G158" s="126">
        <f t="shared" si="2"/>
        <v>1615.75</v>
      </c>
      <c r="H158" s="126" t="s">
        <v>80</v>
      </c>
    </row>
    <row r="159" spans="1:8">
      <c r="A159" s="126" t="s">
        <v>1106</v>
      </c>
      <c r="B159" s="126">
        <v>0</v>
      </c>
      <c r="C159" s="126">
        <v>0</v>
      </c>
      <c r="D159" s="126">
        <v>25173.97</v>
      </c>
      <c r="E159" s="126">
        <v>-25173.97</v>
      </c>
      <c r="G159" s="126">
        <f t="shared" si="2"/>
        <v>-25173.97</v>
      </c>
      <c r="H159" s="126" t="s">
        <v>80</v>
      </c>
    </row>
    <row r="160" spans="1:8">
      <c r="A160" s="126" t="s">
        <v>613</v>
      </c>
      <c r="B160" s="126">
        <v>38436340.109999999</v>
      </c>
      <c r="C160" s="126">
        <v>55497839.060000002</v>
      </c>
      <c r="D160" s="126">
        <v>68168222.159999996</v>
      </c>
      <c r="E160" s="126">
        <v>25765957.010000002</v>
      </c>
      <c r="G160" s="126">
        <f t="shared" si="2"/>
        <v>25765957.010000002</v>
      </c>
      <c r="H160" s="126" t="s">
        <v>80</v>
      </c>
    </row>
    <row r="161" spans="1:8">
      <c r="A161" s="126" t="s">
        <v>1107</v>
      </c>
      <c r="B161" s="126">
        <v>0</v>
      </c>
      <c r="C161" s="126">
        <v>340695.71</v>
      </c>
      <c r="D161" s="126">
        <v>0</v>
      </c>
      <c r="E161" s="126">
        <v>340695.71</v>
      </c>
      <c r="G161" s="126">
        <f t="shared" si="2"/>
        <v>340695.71</v>
      </c>
      <c r="H161" s="126" t="s">
        <v>80</v>
      </c>
    </row>
    <row r="162" spans="1:8">
      <c r="A162" s="126" t="s">
        <v>1108</v>
      </c>
      <c r="B162" s="126">
        <v>0</v>
      </c>
      <c r="C162" s="126">
        <v>0</v>
      </c>
      <c r="D162" s="126">
        <v>0</v>
      </c>
      <c r="E162" s="126">
        <v>0</v>
      </c>
      <c r="G162" s="126">
        <f t="shared" si="2"/>
        <v>0</v>
      </c>
      <c r="H162" s="126" t="s">
        <v>80</v>
      </c>
    </row>
    <row r="163" spans="1:8">
      <c r="A163" s="126" t="s">
        <v>86</v>
      </c>
      <c r="B163" s="126">
        <v>0.02</v>
      </c>
      <c r="C163" s="126">
        <v>0</v>
      </c>
      <c r="D163" s="126">
        <v>0.02</v>
      </c>
      <c r="E163" s="126">
        <v>0</v>
      </c>
      <c r="G163" s="126">
        <f t="shared" si="2"/>
        <v>0</v>
      </c>
      <c r="H163" s="126" t="s">
        <v>80</v>
      </c>
    </row>
    <row r="164" spans="1:8">
      <c r="A164" s="126" t="s">
        <v>1541</v>
      </c>
      <c r="B164" s="126">
        <v>0</v>
      </c>
      <c r="C164" s="126">
        <v>0</v>
      </c>
      <c r="D164" s="126">
        <v>0</v>
      </c>
      <c r="E164" s="126">
        <v>0</v>
      </c>
      <c r="G164" s="126">
        <f t="shared" si="2"/>
        <v>0</v>
      </c>
      <c r="H164" s="126" t="s">
        <v>80</v>
      </c>
    </row>
    <row r="165" spans="1:8">
      <c r="A165" s="126" t="s">
        <v>1109</v>
      </c>
      <c r="B165" s="126">
        <v>0</v>
      </c>
      <c r="C165" s="126">
        <v>0</v>
      </c>
      <c r="D165" s="126">
        <v>0</v>
      </c>
      <c r="E165" s="126">
        <v>0</v>
      </c>
      <c r="G165" s="126">
        <f t="shared" si="2"/>
        <v>0</v>
      </c>
      <c r="H165" s="126" t="s">
        <v>80</v>
      </c>
    </row>
    <row r="166" spans="1:8">
      <c r="A166" s="126" t="s">
        <v>1110</v>
      </c>
      <c r="B166" s="126">
        <v>0</v>
      </c>
      <c r="C166" s="126">
        <v>0</v>
      </c>
      <c r="D166" s="126">
        <v>0</v>
      </c>
      <c r="E166" s="126">
        <v>0</v>
      </c>
      <c r="G166" s="126">
        <f t="shared" si="2"/>
        <v>0</v>
      </c>
      <c r="H166" s="126" t="s">
        <v>80</v>
      </c>
    </row>
    <row r="167" spans="1:8">
      <c r="A167" s="126" t="s">
        <v>1111</v>
      </c>
      <c r="B167" s="126">
        <v>0</v>
      </c>
      <c r="C167" s="126">
        <v>0</v>
      </c>
      <c r="D167" s="126">
        <v>0</v>
      </c>
      <c r="E167" s="126">
        <v>0</v>
      </c>
      <c r="G167" s="126">
        <f t="shared" si="2"/>
        <v>0</v>
      </c>
      <c r="H167" s="126" t="s">
        <v>80</v>
      </c>
    </row>
    <row r="168" spans="1:8">
      <c r="A168" s="126" t="s">
        <v>92</v>
      </c>
      <c r="B168" s="126">
        <v>23898338.870000001</v>
      </c>
      <c r="C168" s="126">
        <v>6885911.46</v>
      </c>
      <c r="D168" s="126">
        <v>23796619.629999999</v>
      </c>
      <c r="E168" s="126">
        <v>6987630.7000000002</v>
      </c>
      <c r="G168" s="126">
        <f t="shared" si="2"/>
        <v>6987630.7000000002</v>
      </c>
      <c r="H168" s="126" t="s">
        <v>80</v>
      </c>
    </row>
    <row r="169" spans="1:8">
      <c r="A169" s="126" t="s">
        <v>614</v>
      </c>
      <c r="B169" s="126">
        <v>9599129.1400000006</v>
      </c>
      <c r="C169" s="126">
        <v>4165952.69</v>
      </c>
      <c r="D169" s="126">
        <v>9388302.8900000006</v>
      </c>
      <c r="E169" s="126">
        <v>4376778.9400000004</v>
      </c>
      <c r="G169" s="126">
        <f t="shared" si="2"/>
        <v>4376778.9400000004</v>
      </c>
      <c r="H169" s="126" t="s">
        <v>80</v>
      </c>
    </row>
    <row r="170" spans="1:8">
      <c r="A170" s="126" t="s">
        <v>1112</v>
      </c>
      <c r="B170" s="126">
        <v>0</v>
      </c>
      <c r="C170" s="126">
        <v>0</v>
      </c>
      <c r="D170" s="126">
        <v>0</v>
      </c>
      <c r="E170" s="126">
        <v>0</v>
      </c>
      <c r="G170" s="126">
        <f t="shared" si="2"/>
        <v>0</v>
      </c>
      <c r="H170" s="126" t="s">
        <v>80</v>
      </c>
    </row>
    <row r="171" spans="1:8">
      <c r="A171" s="126" t="s">
        <v>615</v>
      </c>
      <c r="B171" s="126">
        <v>3917952.01</v>
      </c>
      <c r="C171" s="126">
        <v>0</v>
      </c>
      <c r="D171" s="126">
        <v>3917952</v>
      </c>
      <c r="E171" s="126">
        <v>0.01</v>
      </c>
      <c r="G171" s="126">
        <f t="shared" si="2"/>
        <v>0.01</v>
      </c>
      <c r="H171" s="126" t="s">
        <v>80</v>
      </c>
    </row>
    <row r="172" spans="1:8">
      <c r="A172" s="126" t="s">
        <v>95</v>
      </c>
      <c r="B172" s="126">
        <v>22116.86</v>
      </c>
      <c r="C172" s="126">
        <v>0</v>
      </c>
      <c r="D172" s="126">
        <v>22116.86</v>
      </c>
      <c r="E172" s="126">
        <v>0</v>
      </c>
      <c r="G172" s="126">
        <f t="shared" si="2"/>
        <v>0</v>
      </c>
      <c r="H172" s="126" t="s">
        <v>80</v>
      </c>
    </row>
    <row r="173" spans="1:8">
      <c r="A173" s="126" t="s">
        <v>616</v>
      </c>
      <c r="B173" s="126">
        <v>25161872</v>
      </c>
      <c r="C173" s="126">
        <v>1491734</v>
      </c>
      <c r="D173" s="126">
        <v>25161872</v>
      </c>
      <c r="E173" s="126">
        <v>1491734</v>
      </c>
      <c r="G173" s="126">
        <f t="shared" si="2"/>
        <v>1491734</v>
      </c>
      <c r="H173" s="126" t="s">
        <v>80</v>
      </c>
    </row>
    <row r="174" spans="1:8">
      <c r="A174" s="126" t="s">
        <v>99</v>
      </c>
      <c r="B174" s="126">
        <v>6511336.79</v>
      </c>
      <c r="C174" s="126">
        <v>32484994.129999999</v>
      </c>
      <c r="D174" s="126">
        <v>41882011.049999997</v>
      </c>
      <c r="E174" s="126">
        <v>-2885680.13</v>
      </c>
      <c r="G174" s="126">
        <f t="shared" si="2"/>
        <v>-2885680.13</v>
      </c>
      <c r="H174" s="126" t="s">
        <v>80</v>
      </c>
    </row>
    <row r="175" spans="1:8">
      <c r="A175" s="126" t="s">
        <v>102</v>
      </c>
      <c r="B175" s="126">
        <v>44698801.439999998</v>
      </c>
      <c r="C175" s="126">
        <v>17928170.120000001</v>
      </c>
      <c r="D175" s="126">
        <v>0</v>
      </c>
      <c r="E175" s="126">
        <v>62626971.560000002</v>
      </c>
      <c r="G175" s="126">
        <f t="shared" si="2"/>
        <v>62626971.560000002</v>
      </c>
      <c r="H175" s="126" t="s">
        <v>80</v>
      </c>
    </row>
    <row r="176" spans="1:8">
      <c r="A176" s="126" t="s">
        <v>617</v>
      </c>
      <c r="B176" s="126">
        <v>3950256.13</v>
      </c>
      <c r="C176" s="126">
        <v>760.72</v>
      </c>
      <c r="D176" s="126">
        <v>3915870.09</v>
      </c>
      <c r="E176" s="126">
        <v>35146.76</v>
      </c>
      <c r="G176" s="126">
        <f t="shared" si="2"/>
        <v>35146.76</v>
      </c>
      <c r="H176" s="126" t="s">
        <v>80</v>
      </c>
    </row>
    <row r="177" spans="1:8">
      <c r="A177" s="126" t="s">
        <v>618</v>
      </c>
      <c r="B177" s="126">
        <v>13225854.939999999</v>
      </c>
      <c r="C177" s="126">
        <v>12597996.560000001</v>
      </c>
      <c r="D177" s="126">
        <v>5490425.0700000003</v>
      </c>
      <c r="E177" s="126">
        <v>20333426.43</v>
      </c>
      <c r="G177" s="126">
        <f t="shared" si="2"/>
        <v>20333426.43</v>
      </c>
      <c r="H177" s="126" t="s">
        <v>80</v>
      </c>
    </row>
    <row r="178" spans="1:8">
      <c r="A178" s="126" t="s">
        <v>1113</v>
      </c>
      <c r="B178" s="126">
        <v>0</v>
      </c>
      <c r="C178" s="126">
        <v>0</v>
      </c>
      <c r="D178" s="126">
        <v>0</v>
      </c>
      <c r="E178" s="126">
        <v>0</v>
      </c>
      <c r="G178" s="126">
        <f t="shared" si="2"/>
        <v>0</v>
      </c>
      <c r="H178" s="126" t="s">
        <v>80</v>
      </c>
    </row>
    <row r="179" spans="1:8">
      <c r="A179" s="126" t="s">
        <v>1114</v>
      </c>
      <c r="B179" s="126">
        <v>0.01</v>
      </c>
      <c r="C179" s="126">
        <v>0</v>
      </c>
      <c r="D179" s="126">
        <v>0</v>
      </c>
      <c r="E179" s="126">
        <v>0.01</v>
      </c>
      <c r="G179" s="126">
        <f t="shared" si="2"/>
        <v>0.01</v>
      </c>
      <c r="H179" s="126" t="s">
        <v>80</v>
      </c>
    </row>
    <row r="180" spans="1:8">
      <c r="A180" s="126" t="s">
        <v>1115</v>
      </c>
      <c r="B180" s="126">
        <v>0</v>
      </c>
      <c r="C180" s="126">
        <v>0</v>
      </c>
      <c r="D180" s="126">
        <v>0</v>
      </c>
      <c r="E180" s="126">
        <v>0</v>
      </c>
      <c r="G180" s="126">
        <f t="shared" si="2"/>
        <v>0</v>
      </c>
      <c r="H180" s="126" t="s">
        <v>80</v>
      </c>
    </row>
    <row r="181" spans="1:8">
      <c r="A181" s="126" t="s">
        <v>1116</v>
      </c>
      <c r="B181" s="126">
        <v>0</v>
      </c>
      <c r="C181" s="126">
        <v>0</v>
      </c>
      <c r="D181" s="126">
        <v>0</v>
      </c>
      <c r="E181" s="126">
        <v>0</v>
      </c>
      <c r="G181" s="126">
        <f t="shared" si="2"/>
        <v>0</v>
      </c>
      <c r="H181" s="126" t="s">
        <v>80</v>
      </c>
    </row>
    <row r="182" spans="1:8">
      <c r="A182" s="126" t="s">
        <v>1117</v>
      </c>
      <c r="B182" s="126">
        <v>0</v>
      </c>
      <c r="C182" s="126">
        <v>0</v>
      </c>
      <c r="D182" s="126">
        <v>0</v>
      </c>
      <c r="E182" s="126">
        <v>0</v>
      </c>
      <c r="G182" s="126">
        <f t="shared" si="2"/>
        <v>0</v>
      </c>
      <c r="H182" s="126" t="s">
        <v>80</v>
      </c>
    </row>
    <row r="183" spans="1:8">
      <c r="A183" s="126" t="s">
        <v>1118</v>
      </c>
      <c r="B183" s="126">
        <v>0</v>
      </c>
      <c r="C183" s="126">
        <v>0</v>
      </c>
      <c r="D183" s="126">
        <v>0</v>
      </c>
      <c r="E183" s="126">
        <v>0</v>
      </c>
      <c r="G183" s="126">
        <f t="shared" si="2"/>
        <v>0</v>
      </c>
      <c r="H183" s="126" t="s">
        <v>80</v>
      </c>
    </row>
    <row r="184" spans="1:8">
      <c r="A184" s="126" t="s">
        <v>1088</v>
      </c>
      <c r="B184" s="126">
        <v>0</v>
      </c>
      <c r="C184" s="126">
        <v>0</v>
      </c>
      <c r="D184" s="126">
        <v>0</v>
      </c>
      <c r="E184" s="126">
        <v>0</v>
      </c>
      <c r="G184" s="126">
        <f t="shared" si="2"/>
        <v>0</v>
      </c>
      <c r="H184" s="126" t="s">
        <v>80</v>
      </c>
    </row>
    <row r="185" spans="1:8">
      <c r="A185" s="126" t="s">
        <v>81</v>
      </c>
      <c r="B185" s="126">
        <v>-904063.5</v>
      </c>
      <c r="C185" s="126">
        <v>3423434</v>
      </c>
      <c r="D185" s="126">
        <v>2433437</v>
      </c>
      <c r="E185" s="126">
        <v>85933.5</v>
      </c>
      <c r="G185" s="126">
        <f t="shared" si="2"/>
        <v>85933.5</v>
      </c>
      <c r="H185" s="126" t="s">
        <v>80</v>
      </c>
    </row>
    <row r="186" spans="1:8">
      <c r="A186" s="126" t="s">
        <v>1097</v>
      </c>
      <c r="B186" s="126">
        <v>0</v>
      </c>
      <c r="C186" s="126">
        <v>0</v>
      </c>
      <c r="D186" s="126">
        <v>0</v>
      </c>
      <c r="E186" s="126">
        <v>0</v>
      </c>
      <c r="G186" s="126">
        <f t="shared" si="2"/>
        <v>0</v>
      </c>
      <c r="H186" s="126" t="s">
        <v>80</v>
      </c>
    </row>
    <row r="187" spans="1:8">
      <c r="A187" s="126" t="s">
        <v>594</v>
      </c>
      <c r="B187" s="126">
        <v>538.08000000000004</v>
      </c>
      <c r="C187" s="126">
        <v>0</v>
      </c>
      <c r="D187" s="126">
        <v>0</v>
      </c>
      <c r="E187" s="126">
        <v>538.08000000000004</v>
      </c>
      <c r="G187" s="126">
        <f t="shared" si="2"/>
        <v>538.08000000000004</v>
      </c>
      <c r="H187" s="126" t="s">
        <v>80</v>
      </c>
    </row>
    <row r="188" spans="1:8">
      <c r="A188" s="126" t="s">
        <v>1521</v>
      </c>
      <c r="B188" s="126">
        <v>0</v>
      </c>
      <c r="C188" s="126">
        <v>0</v>
      </c>
      <c r="D188" s="126">
        <v>0</v>
      </c>
      <c r="E188" s="126">
        <v>0</v>
      </c>
      <c r="G188" s="126">
        <f t="shared" si="2"/>
        <v>0</v>
      </c>
      <c r="H188" s="126" t="s">
        <v>80</v>
      </c>
    </row>
    <row r="189" spans="1:8">
      <c r="A189" s="126" t="s">
        <v>595</v>
      </c>
      <c r="B189" s="126">
        <v>54870</v>
      </c>
      <c r="C189" s="126">
        <v>0</v>
      </c>
      <c r="D189" s="126">
        <v>54870</v>
      </c>
      <c r="E189" s="126">
        <v>0</v>
      </c>
      <c r="G189" s="126">
        <f t="shared" si="2"/>
        <v>0</v>
      </c>
      <c r="H189" s="126" t="s">
        <v>80</v>
      </c>
    </row>
    <row r="190" spans="1:8">
      <c r="A190" s="126" t="s">
        <v>596</v>
      </c>
      <c r="B190" s="126">
        <v>0</v>
      </c>
      <c r="C190" s="126">
        <v>41713</v>
      </c>
      <c r="D190" s="126">
        <v>41713</v>
      </c>
      <c r="E190" s="126">
        <v>0</v>
      </c>
      <c r="G190" s="126">
        <f t="shared" si="2"/>
        <v>0</v>
      </c>
      <c r="H190" s="126" t="s">
        <v>80</v>
      </c>
    </row>
    <row r="191" spans="1:8">
      <c r="A191" s="126" t="s">
        <v>1098</v>
      </c>
      <c r="B191" s="126">
        <v>0</v>
      </c>
      <c r="C191" s="126">
        <v>0</v>
      </c>
      <c r="D191" s="126">
        <v>0</v>
      </c>
      <c r="E191" s="126">
        <v>0</v>
      </c>
      <c r="G191" s="126">
        <f t="shared" si="2"/>
        <v>0</v>
      </c>
      <c r="H191" s="126" t="s">
        <v>80</v>
      </c>
    </row>
    <row r="192" spans="1:8">
      <c r="A192" s="126" t="s">
        <v>598</v>
      </c>
      <c r="B192" s="126">
        <v>-0.2</v>
      </c>
      <c r="C192" s="126">
        <v>0.2</v>
      </c>
      <c r="D192" s="126">
        <v>0</v>
      </c>
      <c r="E192" s="126">
        <v>0</v>
      </c>
      <c r="G192" s="126">
        <f t="shared" si="2"/>
        <v>0</v>
      </c>
      <c r="H192" s="126" t="s">
        <v>80</v>
      </c>
    </row>
    <row r="193" spans="1:8">
      <c r="A193" s="126" t="s">
        <v>1099</v>
      </c>
      <c r="B193" s="126">
        <v>0</v>
      </c>
      <c r="C193" s="126">
        <v>0</v>
      </c>
      <c r="D193" s="126">
        <v>0</v>
      </c>
      <c r="E193" s="126">
        <v>0</v>
      </c>
      <c r="G193" s="126">
        <f t="shared" si="2"/>
        <v>0</v>
      </c>
      <c r="H193" s="126" t="s">
        <v>80</v>
      </c>
    </row>
    <row r="194" spans="1:8">
      <c r="A194" s="126" t="s">
        <v>123</v>
      </c>
      <c r="B194" s="126">
        <v>901287.81</v>
      </c>
      <c r="C194" s="126">
        <v>384450</v>
      </c>
      <c r="D194" s="126">
        <v>0</v>
      </c>
      <c r="E194" s="126">
        <v>1285737.81</v>
      </c>
      <c r="G194" s="126">
        <f t="shared" si="2"/>
        <v>1285737.81</v>
      </c>
      <c r="H194" s="126" t="s">
        <v>80</v>
      </c>
    </row>
    <row r="195" spans="1:8">
      <c r="A195" s="126" t="s">
        <v>1103</v>
      </c>
      <c r="B195" s="126">
        <v>0</v>
      </c>
      <c r="C195" s="126">
        <v>0</v>
      </c>
      <c r="D195" s="126">
        <v>0</v>
      </c>
      <c r="E195" s="126">
        <v>0</v>
      </c>
      <c r="G195" s="126">
        <f t="shared" ref="G195:G258" si="3">E195+F195</f>
        <v>0</v>
      </c>
      <c r="H195" s="126" t="s">
        <v>80</v>
      </c>
    </row>
    <row r="196" spans="1:8">
      <c r="A196" s="126" t="s">
        <v>599</v>
      </c>
      <c r="B196" s="126">
        <v>59633.75</v>
      </c>
      <c r="C196" s="126">
        <v>0</v>
      </c>
      <c r="D196" s="126">
        <v>0</v>
      </c>
      <c r="E196" s="126">
        <v>59633.75</v>
      </c>
      <c r="G196" s="126">
        <f t="shared" si="3"/>
        <v>59633.75</v>
      </c>
      <c r="H196" s="126" t="s">
        <v>80</v>
      </c>
    </row>
    <row r="197" spans="1:8">
      <c r="A197" s="126" t="s">
        <v>136</v>
      </c>
      <c r="B197" s="126">
        <v>0.93</v>
      </c>
      <c r="C197" s="126">
        <v>0</v>
      </c>
      <c r="D197" s="126">
        <v>0.93</v>
      </c>
      <c r="E197" s="126">
        <v>0</v>
      </c>
      <c r="G197" s="126">
        <f t="shared" si="3"/>
        <v>0</v>
      </c>
      <c r="H197" s="126" t="s">
        <v>80</v>
      </c>
    </row>
    <row r="198" spans="1:8">
      <c r="A198" s="126" t="s">
        <v>1121</v>
      </c>
      <c r="B198" s="126">
        <v>0</v>
      </c>
      <c r="C198" s="126">
        <v>0</v>
      </c>
      <c r="D198" s="126">
        <v>0</v>
      </c>
      <c r="E198" s="126">
        <v>0</v>
      </c>
      <c r="G198" s="126">
        <f t="shared" si="3"/>
        <v>0</v>
      </c>
      <c r="H198" s="126" t="s">
        <v>80</v>
      </c>
    </row>
    <row r="199" spans="1:8">
      <c r="A199" s="126" t="s">
        <v>1123</v>
      </c>
      <c r="B199" s="126">
        <v>0</v>
      </c>
      <c r="C199" s="126">
        <v>0</v>
      </c>
      <c r="D199" s="126">
        <v>0</v>
      </c>
      <c r="E199" s="126">
        <v>0</v>
      </c>
      <c r="G199" s="126">
        <f t="shared" si="3"/>
        <v>0</v>
      </c>
      <c r="H199" s="126" t="s">
        <v>80</v>
      </c>
    </row>
    <row r="200" spans="1:8">
      <c r="A200" s="126" t="s">
        <v>1125</v>
      </c>
      <c r="B200" s="126">
        <v>0</v>
      </c>
      <c r="C200" s="126">
        <v>0</v>
      </c>
      <c r="D200" s="126">
        <v>0</v>
      </c>
      <c r="E200" s="126">
        <v>0</v>
      </c>
      <c r="G200" s="126">
        <f t="shared" si="3"/>
        <v>0</v>
      </c>
      <c r="H200" s="126" t="s">
        <v>80</v>
      </c>
    </row>
    <row r="201" spans="1:8">
      <c r="A201" s="126" t="s">
        <v>605</v>
      </c>
      <c r="B201" s="126">
        <v>0</v>
      </c>
      <c r="C201" s="126">
        <v>795320</v>
      </c>
      <c r="D201" s="126">
        <v>795320</v>
      </c>
      <c r="E201" s="126">
        <v>0</v>
      </c>
      <c r="G201" s="126">
        <f t="shared" si="3"/>
        <v>0</v>
      </c>
      <c r="H201" s="126" t="s">
        <v>80</v>
      </c>
    </row>
    <row r="202" spans="1:8">
      <c r="A202" s="126" t="s">
        <v>1127</v>
      </c>
      <c r="B202" s="126">
        <v>0</v>
      </c>
      <c r="C202" s="126">
        <v>0</v>
      </c>
      <c r="D202" s="126">
        <v>0</v>
      </c>
      <c r="E202" s="126">
        <v>0</v>
      </c>
      <c r="G202" s="126">
        <f t="shared" si="3"/>
        <v>0</v>
      </c>
      <c r="H202" s="126" t="s">
        <v>80</v>
      </c>
    </row>
    <row r="203" spans="1:8">
      <c r="A203" s="126" t="s">
        <v>1130</v>
      </c>
      <c r="B203" s="126">
        <v>0</v>
      </c>
      <c r="C203" s="126">
        <v>0</v>
      </c>
      <c r="D203" s="126">
        <v>0</v>
      </c>
      <c r="E203" s="126">
        <v>0</v>
      </c>
      <c r="G203" s="126">
        <f t="shared" si="3"/>
        <v>0</v>
      </c>
      <c r="H203" s="126" t="s">
        <v>80</v>
      </c>
    </row>
    <row r="204" spans="1:8">
      <c r="A204" s="126" t="s">
        <v>1131</v>
      </c>
      <c r="B204" s="126">
        <v>0</v>
      </c>
      <c r="C204" s="126">
        <v>0</v>
      </c>
      <c r="D204" s="126">
        <v>0</v>
      </c>
      <c r="E204" s="126">
        <v>0</v>
      </c>
      <c r="G204" s="126">
        <f t="shared" si="3"/>
        <v>0</v>
      </c>
      <c r="H204" s="126" t="s">
        <v>80</v>
      </c>
    </row>
    <row r="205" spans="1:8">
      <c r="A205" s="126" t="s">
        <v>1433</v>
      </c>
      <c r="B205" s="126">
        <v>0</v>
      </c>
      <c r="C205" s="126">
        <v>35985.599999999999</v>
      </c>
      <c r="D205" s="126">
        <v>35985</v>
      </c>
      <c r="E205" s="126">
        <v>0.6</v>
      </c>
      <c r="G205" s="126">
        <f t="shared" si="3"/>
        <v>0.6</v>
      </c>
      <c r="H205" s="126" t="s">
        <v>80</v>
      </c>
    </row>
    <row r="206" spans="1:8">
      <c r="A206" s="126" t="s">
        <v>591</v>
      </c>
      <c r="B206" s="126">
        <v>3323083</v>
      </c>
      <c r="C206" s="126">
        <v>0</v>
      </c>
      <c r="D206" s="126">
        <v>0</v>
      </c>
      <c r="E206" s="126">
        <v>3323083</v>
      </c>
      <c r="G206" s="126">
        <f t="shared" si="3"/>
        <v>3323083</v>
      </c>
      <c r="H206" s="126" t="s">
        <v>80</v>
      </c>
    </row>
    <row r="207" spans="1:8">
      <c r="A207" s="126" t="s">
        <v>116</v>
      </c>
      <c r="B207" s="126">
        <v>0.09</v>
      </c>
      <c r="C207" s="126">
        <v>183596.7</v>
      </c>
      <c r="D207" s="126">
        <v>183596.79</v>
      </c>
      <c r="E207" s="126">
        <v>0</v>
      </c>
      <c r="G207" s="126">
        <f t="shared" si="3"/>
        <v>0</v>
      </c>
      <c r="H207" s="126" t="s">
        <v>80</v>
      </c>
    </row>
    <row r="208" spans="1:8">
      <c r="A208" s="126" t="s">
        <v>1119</v>
      </c>
      <c r="B208" s="126">
        <v>0</v>
      </c>
      <c r="C208" s="126">
        <v>0</v>
      </c>
      <c r="D208" s="126">
        <v>0</v>
      </c>
      <c r="E208" s="126">
        <v>0</v>
      </c>
      <c r="G208" s="126">
        <f t="shared" si="3"/>
        <v>0</v>
      </c>
      <c r="H208" s="126" t="s">
        <v>80</v>
      </c>
    </row>
    <row r="209" spans="1:8">
      <c r="A209" s="126" t="s">
        <v>619</v>
      </c>
      <c r="B209" s="126">
        <v>7765335.1699999999</v>
      </c>
      <c r="C209" s="126">
        <v>26888.23</v>
      </c>
      <c r="D209" s="126">
        <v>7443670.4000000004</v>
      </c>
      <c r="E209" s="126">
        <v>348553</v>
      </c>
      <c r="G209" s="126">
        <f t="shared" si="3"/>
        <v>348553</v>
      </c>
      <c r="H209" s="126" t="s">
        <v>80</v>
      </c>
    </row>
    <row r="210" spans="1:8">
      <c r="A210" s="126" t="s">
        <v>1133</v>
      </c>
      <c r="B210" s="126">
        <v>0</v>
      </c>
      <c r="C210" s="126">
        <v>12379472.43</v>
      </c>
      <c r="D210" s="126">
        <v>241213.14</v>
      </c>
      <c r="E210" s="126">
        <v>12138259.289999999</v>
      </c>
      <c r="G210" s="126">
        <f t="shared" si="3"/>
        <v>12138259.289999999</v>
      </c>
      <c r="H210" s="126" t="s">
        <v>80</v>
      </c>
    </row>
    <row r="211" spans="1:8">
      <c r="A211" s="126" t="s">
        <v>1134</v>
      </c>
      <c r="B211" s="126">
        <v>0</v>
      </c>
      <c r="C211" s="126">
        <v>0</v>
      </c>
      <c r="D211" s="126">
        <v>0</v>
      </c>
      <c r="E211" s="126">
        <v>0</v>
      </c>
      <c r="G211" s="126">
        <f t="shared" si="3"/>
        <v>0</v>
      </c>
      <c r="H211" s="126" t="s">
        <v>80</v>
      </c>
    </row>
    <row r="212" spans="1:8">
      <c r="A212" s="126" t="s">
        <v>620</v>
      </c>
      <c r="B212" s="126">
        <v>-21173.27</v>
      </c>
      <c r="C212" s="126">
        <v>30105.17</v>
      </c>
      <c r="D212" s="126">
        <v>8931.9</v>
      </c>
      <c r="E212" s="126">
        <v>0</v>
      </c>
      <c r="G212" s="126">
        <f t="shared" si="3"/>
        <v>0</v>
      </c>
      <c r="H212" s="126" t="s">
        <v>80</v>
      </c>
    </row>
    <row r="213" spans="1:8">
      <c r="A213" s="126" t="s">
        <v>121</v>
      </c>
      <c r="B213" s="126">
        <v>62465541.560000002</v>
      </c>
      <c r="C213" s="126">
        <v>18990749.030000001</v>
      </c>
      <c r="D213" s="126">
        <v>0</v>
      </c>
      <c r="E213" s="126">
        <v>81456290.590000004</v>
      </c>
      <c r="G213" s="126">
        <f t="shared" si="3"/>
        <v>81456290.590000004</v>
      </c>
      <c r="H213" s="126" t="s">
        <v>80</v>
      </c>
    </row>
    <row r="214" spans="1:8">
      <c r="A214" s="126" t="s">
        <v>122</v>
      </c>
      <c r="B214" s="126">
        <v>-114518759.02</v>
      </c>
      <c r="C214" s="126">
        <v>114518759.02</v>
      </c>
      <c r="D214" s="126">
        <v>0</v>
      </c>
      <c r="E214" s="126">
        <v>0</v>
      </c>
      <c r="G214" s="126">
        <f t="shared" si="3"/>
        <v>0</v>
      </c>
      <c r="H214" s="126" t="s">
        <v>80</v>
      </c>
    </row>
    <row r="215" spans="1:8">
      <c r="A215" s="126" t="s">
        <v>124</v>
      </c>
      <c r="B215" s="126">
        <v>23835.5</v>
      </c>
      <c r="C215" s="126">
        <v>0</v>
      </c>
      <c r="D215" s="126">
        <v>23835.5</v>
      </c>
      <c r="E215" s="126">
        <v>0</v>
      </c>
      <c r="G215" s="126">
        <f t="shared" si="3"/>
        <v>0</v>
      </c>
      <c r="H215" s="126" t="s">
        <v>80</v>
      </c>
    </row>
    <row r="216" spans="1:8">
      <c r="A216" s="126" t="s">
        <v>130</v>
      </c>
      <c r="B216" s="126">
        <v>722637.02</v>
      </c>
      <c r="C216" s="126">
        <v>177290.83</v>
      </c>
      <c r="D216" s="126">
        <v>0</v>
      </c>
      <c r="E216" s="126">
        <v>899927.85</v>
      </c>
      <c r="G216" s="126">
        <f t="shared" si="3"/>
        <v>899927.85</v>
      </c>
      <c r="H216" s="126" t="s">
        <v>80</v>
      </c>
    </row>
    <row r="217" spans="1:8">
      <c r="A217" s="126" t="s">
        <v>1135</v>
      </c>
      <c r="B217" s="126">
        <v>0</v>
      </c>
      <c r="C217" s="126">
        <v>0</v>
      </c>
      <c r="D217" s="126">
        <v>0</v>
      </c>
      <c r="E217" s="126">
        <v>0</v>
      </c>
      <c r="G217" s="126">
        <f t="shared" si="3"/>
        <v>0</v>
      </c>
      <c r="H217" s="126" t="s">
        <v>80</v>
      </c>
    </row>
    <row r="218" spans="1:8">
      <c r="A218" s="126" t="s">
        <v>1136</v>
      </c>
      <c r="B218" s="126">
        <v>0</v>
      </c>
      <c r="C218" s="126">
        <v>0</v>
      </c>
      <c r="D218" s="126">
        <v>0</v>
      </c>
      <c r="E218" s="126">
        <v>0</v>
      </c>
      <c r="G218" s="126">
        <f t="shared" si="3"/>
        <v>0</v>
      </c>
      <c r="H218" s="126" t="s">
        <v>80</v>
      </c>
    </row>
    <row r="219" spans="1:8">
      <c r="A219" s="126" t="s">
        <v>621</v>
      </c>
      <c r="B219" s="126">
        <v>12145757.09</v>
      </c>
      <c r="C219" s="126">
        <v>4181580.9</v>
      </c>
      <c r="D219" s="126">
        <v>16327337.99</v>
      </c>
      <c r="E219" s="126">
        <v>0</v>
      </c>
      <c r="G219" s="126">
        <f t="shared" si="3"/>
        <v>0</v>
      </c>
      <c r="H219" s="126" t="s">
        <v>80</v>
      </c>
    </row>
    <row r="220" spans="1:8">
      <c r="A220" s="126" t="s">
        <v>1137</v>
      </c>
      <c r="B220" s="126">
        <v>0</v>
      </c>
      <c r="C220" s="126">
        <v>9537120</v>
      </c>
      <c r="D220" s="126">
        <v>9537120</v>
      </c>
      <c r="E220" s="126">
        <v>0</v>
      </c>
      <c r="G220" s="126">
        <f t="shared" si="3"/>
        <v>0</v>
      </c>
      <c r="H220" s="126" t="s">
        <v>80</v>
      </c>
    </row>
    <row r="221" spans="1:8">
      <c r="A221" s="126" t="s">
        <v>477</v>
      </c>
      <c r="B221" s="126">
        <v>23454432.829999998</v>
      </c>
      <c r="C221" s="126">
        <v>25049727.16</v>
      </c>
      <c r="D221" s="126">
        <v>23474258.620000001</v>
      </c>
      <c r="E221" s="126">
        <v>25029901.370000001</v>
      </c>
      <c r="G221" s="126">
        <f t="shared" si="3"/>
        <v>25029901.370000001</v>
      </c>
      <c r="H221" s="126" t="s">
        <v>80</v>
      </c>
    </row>
    <row r="222" spans="1:8">
      <c r="A222" s="126" t="s">
        <v>132</v>
      </c>
      <c r="B222" s="126">
        <v>-85477.02</v>
      </c>
      <c r="C222" s="126">
        <v>0</v>
      </c>
      <c r="D222" s="126">
        <v>15819.87</v>
      </c>
      <c r="E222" s="126">
        <v>-101296.89</v>
      </c>
      <c r="G222" s="126">
        <f t="shared" si="3"/>
        <v>-101296.89</v>
      </c>
      <c r="H222" s="126" t="s">
        <v>80</v>
      </c>
    </row>
    <row r="223" spans="1:8">
      <c r="A223" s="126" t="s">
        <v>133</v>
      </c>
      <c r="B223" s="126">
        <v>7996440.0099999998</v>
      </c>
      <c r="C223" s="126">
        <v>26314227.25</v>
      </c>
      <c r="D223" s="126">
        <v>29861240.739999998</v>
      </c>
      <c r="E223" s="126">
        <v>4449426.5199999996</v>
      </c>
      <c r="G223" s="126">
        <f t="shared" si="3"/>
        <v>4449426.5199999996</v>
      </c>
      <c r="H223" s="126" t="s">
        <v>80</v>
      </c>
    </row>
    <row r="224" spans="1:8">
      <c r="A224" s="126" t="s">
        <v>1138</v>
      </c>
      <c r="B224" s="126">
        <v>0</v>
      </c>
      <c r="C224" s="126">
        <v>0</v>
      </c>
      <c r="D224" s="126">
        <v>0</v>
      </c>
      <c r="E224" s="126">
        <v>0</v>
      </c>
      <c r="G224" s="126">
        <f t="shared" si="3"/>
        <v>0</v>
      </c>
      <c r="H224" s="126" t="s">
        <v>80</v>
      </c>
    </row>
    <row r="225" spans="1:8">
      <c r="A225" s="126" t="s">
        <v>134</v>
      </c>
      <c r="B225" s="126">
        <v>26987540.149999999</v>
      </c>
      <c r="C225" s="126">
        <v>17544801.550000001</v>
      </c>
      <c r="D225" s="126">
        <v>39246044.350000001</v>
      </c>
      <c r="E225" s="126">
        <v>5286297.3499999996</v>
      </c>
      <c r="G225" s="126">
        <f t="shared" si="3"/>
        <v>5286297.3499999996</v>
      </c>
      <c r="H225" s="126" t="s">
        <v>80</v>
      </c>
    </row>
    <row r="226" spans="1:8">
      <c r="A226" s="126" t="s">
        <v>622</v>
      </c>
      <c r="B226" s="126">
        <v>17386919.91</v>
      </c>
      <c r="C226" s="126">
        <v>26635953.93</v>
      </c>
      <c r="D226" s="126">
        <v>27592440.420000002</v>
      </c>
      <c r="E226" s="126">
        <v>16430433.42</v>
      </c>
      <c r="G226" s="126">
        <f t="shared" si="3"/>
        <v>16430433.42</v>
      </c>
      <c r="H226" s="126" t="s">
        <v>80</v>
      </c>
    </row>
    <row r="227" spans="1:8">
      <c r="A227" s="126" t="s">
        <v>623</v>
      </c>
      <c r="B227" s="126">
        <v>325090.24</v>
      </c>
      <c r="C227" s="126">
        <v>9985503.7799999993</v>
      </c>
      <c r="D227" s="126">
        <v>2671609.19</v>
      </c>
      <c r="E227" s="126">
        <v>7638984.8300000001</v>
      </c>
      <c r="G227" s="126">
        <f t="shared" si="3"/>
        <v>7638984.8300000001</v>
      </c>
      <c r="H227" s="126" t="s">
        <v>80</v>
      </c>
    </row>
    <row r="228" spans="1:8">
      <c r="A228" s="126" t="s">
        <v>138</v>
      </c>
      <c r="B228" s="126">
        <v>0</v>
      </c>
      <c r="C228" s="126">
        <v>3161785.98</v>
      </c>
      <c r="D228" s="126">
        <v>3161785.98</v>
      </c>
      <c r="E228" s="126">
        <v>0</v>
      </c>
      <c r="G228" s="126">
        <f t="shared" si="3"/>
        <v>0</v>
      </c>
      <c r="H228" s="126" t="s">
        <v>80</v>
      </c>
    </row>
    <row r="229" spans="1:8">
      <c r="A229" s="126" t="s">
        <v>624</v>
      </c>
      <c r="B229" s="126">
        <v>4603883.3099999996</v>
      </c>
      <c r="C229" s="126">
        <v>14511797.880000001</v>
      </c>
      <c r="D229" s="126">
        <v>11450438.35</v>
      </c>
      <c r="E229" s="126">
        <v>7665242.8399999999</v>
      </c>
      <c r="G229" s="126">
        <f t="shared" si="3"/>
        <v>7665242.8399999999</v>
      </c>
      <c r="H229" s="126" t="s">
        <v>80</v>
      </c>
    </row>
    <row r="230" spans="1:8">
      <c r="A230" s="126" t="s">
        <v>147</v>
      </c>
      <c r="B230" s="126">
        <v>7292708.7199999997</v>
      </c>
      <c r="C230" s="126">
        <v>0</v>
      </c>
      <c r="D230" s="126">
        <v>4692916.37</v>
      </c>
      <c r="E230" s="126">
        <v>2599792.35</v>
      </c>
      <c r="G230" s="126">
        <f t="shared" si="3"/>
        <v>2599792.35</v>
      </c>
      <c r="H230" s="126" t="s">
        <v>80</v>
      </c>
    </row>
    <row r="231" spans="1:8">
      <c r="A231" s="126" t="s">
        <v>625</v>
      </c>
      <c r="B231" s="126">
        <v>5809384</v>
      </c>
      <c r="C231" s="126">
        <v>0</v>
      </c>
      <c r="D231" s="126">
        <v>5809384</v>
      </c>
      <c r="E231" s="126">
        <v>0</v>
      </c>
      <c r="G231" s="126">
        <f t="shared" si="3"/>
        <v>0</v>
      </c>
      <c r="H231" s="126" t="s">
        <v>80</v>
      </c>
    </row>
    <row r="232" spans="1:8">
      <c r="A232" s="126" t="s">
        <v>1139</v>
      </c>
      <c r="B232" s="126">
        <v>0</v>
      </c>
      <c r="C232" s="126">
        <v>0</v>
      </c>
      <c r="D232" s="126">
        <v>0</v>
      </c>
      <c r="E232" s="126">
        <v>0</v>
      </c>
      <c r="G232" s="126">
        <f t="shared" si="3"/>
        <v>0</v>
      </c>
      <c r="H232" s="126" t="s">
        <v>80</v>
      </c>
    </row>
    <row r="233" spans="1:8">
      <c r="A233" s="126" t="s">
        <v>626</v>
      </c>
      <c r="B233" s="126">
        <v>6794488.7999999998</v>
      </c>
      <c r="C233" s="126">
        <v>0</v>
      </c>
      <c r="D233" s="126">
        <v>6794488.7999999998</v>
      </c>
      <c r="E233" s="126">
        <v>0</v>
      </c>
      <c r="G233" s="126">
        <f t="shared" si="3"/>
        <v>0</v>
      </c>
      <c r="H233" s="126" t="s">
        <v>80</v>
      </c>
    </row>
    <row r="234" spans="1:8">
      <c r="A234" s="126" t="s">
        <v>1140</v>
      </c>
      <c r="B234" s="126">
        <v>0</v>
      </c>
      <c r="C234" s="126">
        <v>0</v>
      </c>
      <c r="D234" s="126">
        <v>0</v>
      </c>
      <c r="E234" s="126">
        <v>0</v>
      </c>
      <c r="G234" s="126">
        <f t="shared" si="3"/>
        <v>0</v>
      </c>
      <c r="H234" s="126" t="s">
        <v>80</v>
      </c>
    </row>
    <row r="235" spans="1:8">
      <c r="A235" s="126" t="s">
        <v>1141</v>
      </c>
      <c r="B235" s="126">
        <v>0</v>
      </c>
      <c r="C235" s="126">
        <v>0</v>
      </c>
      <c r="D235" s="126">
        <v>0</v>
      </c>
      <c r="E235" s="126">
        <v>0</v>
      </c>
      <c r="G235" s="126">
        <f t="shared" si="3"/>
        <v>0</v>
      </c>
      <c r="H235" s="126" t="s">
        <v>80</v>
      </c>
    </row>
    <row r="236" spans="1:8">
      <c r="A236" s="126" t="s">
        <v>1142</v>
      </c>
      <c r="B236" s="126">
        <v>0</v>
      </c>
      <c r="C236" s="126">
        <v>0</v>
      </c>
      <c r="D236" s="126">
        <v>0</v>
      </c>
      <c r="E236" s="126">
        <v>0</v>
      </c>
      <c r="G236" s="126">
        <f t="shared" si="3"/>
        <v>0</v>
      </c>
      <c r="H236" s="126" t="s">
        <v>80</v>
      </c>
    </row>
    <row r="237" spans="1:8">
      <c r="A237" s="126" t="s">
        <v>627</v>
      </c>
      <c r="B237" s="126">
        <v>4721686.2300000004</v>
      </c>
      <c r="C237" s="126">
        <v>0</v>
      </c>
      <c r="D237" s="126">
        <v>4721686.2</v>
      </c>
      <c r="E237" s="126">
        <v>0.03</v>
      </c>
      <c r="G237" s="126">
        <f t="shared" si="3"/>
        <v>0.03</v>
      </c>
      <c r="H237" s="126" t="s">
        <v>80</v>
      </c>
    </row>
    <row r="238" spans="1:8">
      <c r="A238" s="126" t="s">
        <v>151</v>
      </c>
      <c r="B238" s="126">
        <v>7201164.3600000003</v>
      </c>
      <c r="C238" s="126">
        <v>6836040.71</v>
      </c>
      <c r="D238" s="126">
        <v>9585446.7300000004</v>
      </c>
      <c r="E238" s="126">
        <v>4451758.34</v>
      </c>
      <c r="G238" s="126">
        <f t="shared" si="3"/>
        <v>4451758.34</v>
      </c>
      <c r="H238" s="126" t="s">
        <v>80</v>
      </c>
    </row>
    <row r="239" spans="1:8">
      <c r="A239" s="126" t="s">
        <v>628</v>
      </c>
      <c r="B239" s="126">
        <v>2690844.76</v>
      </c>
      <c r="C239" s="126">
        <v>4734124.2</v>
      </c>
      <c r="D239" s="126">
        <v>7424968.9500000002</v>
      </c>
      <c r="E239" s="126">
        <v>0.01</v>
      </c>
      <c r="G239" s="126">
        <f t="shared" si="3"/>
        <v>0.01</v>
      </c>
      <c r="H239" s="126" t="s">
        <v>80</v>
      </c>
    </row>
    <row r="240" spans="1:8">
      <c r="A240" s="126" t="s">
        <v>100</v>
      </c>
      <c r="B240" s="126">
        <v>-0.01</v>
      </c>
      <c r="C240" s="126">
        <v>81035</v>
      </c>
      <c r="D240" s="126">
        <v>29360</v>
      </c>
      <c r="E240" s="126">
        <v>51674.99</v>
      </c>
      <c r="G240" s="126">
        <f t="shared" si="3"/>
        <v>51674.99</v>
      </c>
      <c r="H240" s="126" t="s">
        <v>80</v>
      </c>
    </row>
    <row r="241" spans="1:8">
      <c r="A241" s="126" t="s">
        <v>629</v>
      </c>
      <c r="B241" s="126">
        <v>566971</v>
      </c>
      <c r="C241" s="126">
        <v>0</v>
      </c>
      <c r="D241" s="126">
        <v>0</v>
      </c>
      <c r="E241" s="126">
        <v>566971</v>
      </c>
      <c r="G241" s="126">
        <f t="shared" si="3"/>
        <v>566971</v>
      </c>
      <c r="H241" s="126" t="s">
        <v>80</v>
      </c>
    </row>
    <row r="242" spans="1:8">
      <c r="A242" s="126" t="s">
        <v>104</v>
      </c>
      <c r="B242" s="126">
        <v>5785049.6100000003</v>
      </c>
      <c r="C242" s="126">
        <v>960855.48</v>
      </c>
      <c r="D242" s="126">
        <v>0</v>
      </c>
      <c r="E242" s="126">
        <v>6745905.0899999999</v>
      </c>
      <c r="G242" s="126">
        <f t="shared" si="3"/>
        <v>6745905.0899999999</v>
      </c>
      <c r="H242" s="126" t="s">
        <v>80</v>
      </c>
    </row>
    <row r="243" spans="1:8">
      <c r="A243" s="126" t="s">
        <v>630</v>
      </c>
      <c r="B243" s="126">
        <v>1828000</v>
      </c>
      <c r="C243" s="126">
        <v>0</v>
      </c>
      <c r="D243" s="126">
        <v>0</v>
      </c>
      <c r="E243" s="126">
        <v>1828000</v>
      </c>
      <c r="G243" s="126">
        <f t="shared" si="3"/>
        <v>1828000</v>
      </c>
      <c r="H243" s="126" t="s">
        <v>80</v>
      </c>
    </row>
    <row r="244" spans="1:8">
      <c r="A244" s="126" t="s">
        <v>631</v>
      </c>
      <c r="B244" s="126">
        <v>15854746</v>
      </c>
      <c r="C244" s="126">
        <v>0</v>
      </c>
      <c r="D244" s="126">
        <v>0</v>
      </c>
      <c r="E244" s="126">
        <v>15854746</v>
      </c>
      <c r="G244" s="126">
        <f t="shared" si="3"/>
        <v>15854746</v>
      </c>
      <c r="H244" s="126" t="s">
        <v>80</v>
      </c>
    </row>
    <row r="245" spans="1:8">
      <c r="A245" s="126" t="s">
        <v>632</v>
      </c>
      <c r="B245" s="126">
        <v>94670795.629999995</v>
      </c>
      <c r="C245" s="126">
        <v>0</v>
      </c>
      <c r="D245" s="126">
        <v>0</v>
      </c>
      <c r="E245" s="126">
        <v>94670795.629999995</v>
      </c>
      <c r="G245" s="126">
        <f t="shared" si="3"/>
        <v>94670795.629999995</v>
      </c>
      <c r="H245" s="126" t="s">
        <v>80</v>
      </c>
    </row>
    <row r="246" spans="1:8">
      <c r="A246" s="126" t="s">
        <v>633</v>
      </c>
      <c r="B246" s="126">
        <v>25694213</v>
      </c>
      <c r="C246" s="126">
        <v>0</v>
      </c>
      <c r="D246" s="126">
        <v>0</v>
      </c>
      <c r="E246" s="126">
        <v>25694213</v>
      </c>
      <c r="G246" s="126">
        <f t="shared" si="3"/>
        <v>25694213</v>
      </c>
      <c r="H246" s="126" t="s">
        <v>80</v>
      </c>
    </row>
    <row r="247" spans="1:8">
      <c r="A247" s="126" t="s">
        <v>634</v>
      </c>
      <c r="B247" s="126">
        <v>173049403.75</v>
      </c>
      <c r="C247" s="126">
        <v>0</v>
      </c>
      <c r="D247" s="126">
        <v>0</v>
      </c>
      <c r="E247" s="126">
        <v>173049403.75</v>
      </c>
      <c r="G247" s="126">
        <f t="shared" si="3"/>
        <v>173049403.75</v>
      </c>
      <c r="H247" s="126" t="s">
        <v>80</v>
      </c>
    </row>
    <row r="248" spans="1:8">
      <c r="A248" s="126" t="s">
        <v>635</v>
      </c>
      <c r="B248" s="126">
        <v>520299.16</v>
      </c>
      <c r="C248" s="126">
        <v>0</v>
      </c>
      <c r="D248" s="126">
        <v>0</v>
      </c>
      <c r="E248" s="126">
        <v>520299.16</v>
      </c>
      <c r="G248" s="126">
        <f t="shared" si="3"/>
        <v>520299.16</v>
      </c>
      <c r="H248" s="126" t="s">
        <v>80</v>
      </c>
    </row>
    <row r="249" spans="1:8">
      <c r="A249" s="126" t="s">
        <v>636</v>
      </c>
      <c r="B249" s="126">
        <v>23800</v>
      </c>
      <c r="C249" s="126">
        <v>0</v>
      </c>
      <c r="D249" s="126">
        <v>0</v>
      </c>
      <c r="E249" s="126">
        <v>23800</v>
      </c>
      <c r="G249" s="126">
        <f t="shared" si="3"/>
        <v>23800</v>
      </c>
      <c r="H249" s="126" t="s">
        <v>80</v>
      </c>
    </row>
    <row r="250" spans="1:8">
      <c r="A250" s="126" t="s">
        <v>98</v>
      </c>
      <c r="B250" s="126">
        <v>24500</v>
      </c>
      <c r="C250" s="126">
        <v>0</v>
      </c>
      <c r="D250" s="126">
        <v>0</v>
      </c>
      <c r="E250" s="126">
        <v>24500</v>
      </c>
      <c r="G250" s="126">
        <f t="shared" si="3"/>
        <v>24500</v>
      </c>
      <c r="H250" s="126" t="s">
        <v>80</v>
      </c>
    </row>
    <row r="251" spans="1:8">
      <c r="A251" s="126" t="s">
        <v>118</v>
      </c>
      <c r="B251" s="126">
        <v>177117.8</v>
      </c>
      <c r="C251" s="126">
        <v>0</v>
      </c>
      <c r="D251" s="126">
        <v>0</v>
      </c>
      <c r="E251" s="126">
        <v>177117.8</v>
      </c>
      <c r="G251" s="126">
        <f t="shared" si="3"/>
        <v>177117.8</v>
      </c>
      <c r="H251" s="126" t="s">
        <v>80</v>
      </c>
    </row>
    <row r="252" spans="1:8">
      <c r="A252" s="126" t="s">
        <v>120</v>
      </c>
      <c r="B252" s="126">
        <v>2213684.23</v>
      </c>
      <c r="C252" s="126">
        <v>1471914.32</v>
      </c>
      <c r="D252" s="126">
        <v>0</v>
      </c>
      <c r="E252" s="126">
        <v>3685598.55</v>
      </c>
      <c r="G252" s="126">
        <f t="shared" si="3"/>
        <v>3685598.55</v>
      </c>
      <c r="H252" s="126" t="s">
        <v>80</v>
      </c>
    </row>
    <row r="253" spans="1:8">
      <c r="A253" s="126" t="s">
        <v>131</v>
      </c>
      <c r="B253" s="126">
        <v>200000</v>
      </c>
      <c r="C253" s="126">
        <v>0</v>
      </c>
      <c r="D253" s="126">
        <v>0</v>
      </c>
      <c r="E253" s="126">
        <v>200000</v>
      </c>
      <c r="G253" s="126">
        <f t="shared" si="3"/>
        <v>200000</v>
      </c>
      <c r="H253" s="126" t="s">
        <v>80</v>
      </c>
    </row>
    <row r="254" spans="1:8">
      <c r="A254" s="126" t="s">
        <v>637</v>
      </c>
      <c r="B254" s="126">
        <v>112500</v>
      </c>
      <c r="C254" s="126">
        <v>0</v>
      </c>
      <c r="D254" s="126">
        <v>0</v>
      </c>
      <c r="E254" s="126">
        <v>112500</v>
      </c>
      <c r="G254" s="126">
        <f t="shared" si="3"/>
        <v>112500</v>
      </c>
      <c r="H254" s="126" t="s">
        <v>80</v>
      </c>
    </row>
    <row r="255" spans="1:8">
      <c r="A255" s="126" t="s">
        <v>82</v>
      </c>
      <c r="B255" s="126">
        <v>2749599.1</v>
      </c>
      <c r="C255" s="126">
        <v>123728.81</v>
      </c>
      <c r="D255" s="126">
        <v>0</v>
      </c>
      <c r="E255" s="126">
        <v>2873327.91</v>
      </c>
      <c r="G255" s="126">
        <f t="shared" si="3"/>
        <v>2873327.91</v>
      </c>
      <c r="H255" s="126" t="s">
        <v>80</v>
      </c>
    </row>
    <row r="256" spans="1:8">
      <c r="A256" s="126" t="s">
        <v>638</v>
      </c>
      <c r="B256" s="126">
        <v>4602992.92</v>
      </c>
      <c r="C256" s="126">
        <v>0</v>
      </c>
      <c r="D256" s="126">
        <v>0</v>
      </c>
      <c r="E256" s="126">
        <v>4602992.92</v>
      </c>
      <c r="G256" s="126">
        <f t="shared" si="3"/>
        <v>4602992.92</v>
      </c>
      <c r="H256" s="126" t="s">
        <v>80</v>
      </c>
    </row>
    <row r="257" spans="1:8">
      <c r="A257" s="126" t="s">
        <v>639</v>
      </c>
      <c r="B257" s="126">
        <v>598700</v>
      </c>
      <c r="C257" s="126">
        <v>0</v>
      </c>
      <c r="D257" s="126">
        <v>0</v>
      </c>
      <c r="E257" s="126">
        <v>598700</v>
      </c>
      <c r="G257" s="126">
        <f t="shared" si="3"/>
        <v>598700</v>
      </c>
      <c r="H257" s="126" t="s">
        <v>80</v>
      </c>
    </row>
    <row r="258" spans="1:8">
      <c r="A258" s="126" t="s">
        <v>640</v>
      </c>
      <c r="B258" s="126">
        <v>285980</v>
      </c>
      <c r="C258" s="126">
        <v>0</v>
      </c>
      <c r="D258" s="126">
        <v>0</v>
      </c>
      <c r="E258" s="126">
        <v>285980</v>
      </c>
      <c r="G258" s="126">
        <f t="shared" si="3"/>
        <v>285980</v>
      </c>
      <c r="H258" s="126" t="s">
        <v>80</v>
      </c>
    </row>
    <row r="259" spans="1:8">
      <c r="A259" s="126" t="s">
        <v>641</v>
      </c>
      <c r="B259" s="126">
        <v>3462000</v>
      </c>
      <c r="C259" s="126">
        <v>0</v>
      </c>
      <c r="D259" s="126">
        <v>0</v>
      </c>
      <c r="E259" s="126">
        <v>3462000</v>
      </c>
      <c r="G259" s="126">
        <f t="shared" ref="G259:G322" si="4">E259+F259</f>
        <v>3462000</v>
      </c>
      <c r="H259" s="126" t="s">
        <v>80</v>
      </c>
    </row>
    <row r="260" spans="1:8">
      <c r="A260" s="126" t="s">
        <v>642</v>
      </c>
      <c r="B260" s="126">
        <v>1046000</v>
      </c>
      <c r="C260" s="126">
        <v>0</v>
      </c>
      <c r="D260" s="126">
        <v>0</v>
      </c>
      <c r="E260" s="126">
        <v>1046000</v>
      </c>
      <c r="G260" s="126">
        <f t="shared" si="4"/>
        <v>1046000</v>
      </c>
      <c r="H260" s="126" t="s">
        <v>80</v>
      </c>
    </row>
    <row r="261" spans="1:8">
      <c r="A261" s="126" t="s">
        <v>643</v>
      </c>
      <c r="B261" s="126">
        <v>519855</v>
      </c>
      <c r="C261" s="126">
        <v>0</v>
      </c>
      <c r="D261" s="126">
        <v>0</v>
      </c>
      <c r="E261" s="126">
        <v>519855</v>
      </c>
      <c r="G261" s="126">
        <f t="shared" si="4"/>
        <v>519855</v>
      </c>
      <c r="H261" s="126" t="s">
        <v>80</v>
      </c>
    </row>
    <row r="262" spans="1:8">
      <c r="A262" s="126" t="s">
        <v>644</v>
      </c>
      <c r="B262" s="126">
        <v>75085.7</v>
      </c>
      <c r="C262" s="126">
        <v>0</v>
      </c>
      <c r="D262" s="126">
        <v>0</v>
      </c>
      <c r="E262" s="126">
        <v>75085.7</v>
      </c>
      <c r="G262" s="126">
        <f t="shared" si="4"/>
        <v>75085.7</v>
      </c>
      <c r="H262" s="126" t="s">
        <v>80</v>
      </c>
    </row>
    <row r="263" spans="1:8">
      <c r="A263" s="126" t="s">
        <v>645</v>
      </c>
      <c r="B263" s="126">
        <v>89971.98</v>
      </c>
      <c r="C263" s="126">
        <v>0</v>
      </c>
      <c r="D263" s="126">
        <v>0</v>
      </c>
      <c r="E263" s="126">
        <v>89971.98</v>
      </c>
      <c r="G263" s="126">
        <f t="shared" si="4"/>
        <v>89971.98</v>
      </c>
      <c r="H263" s="126" t="s">
        <v>80</v>
      </c>
    </row>
    <row r="264" spans="1:8">
      <c r="A264" s="126" t="s">
        <v>646</v>
      </c>
      <c r="B264" s="126">
        <v>5570.4</v>
      </c>
      <c r="C264" s="126">
        <v>0</v>
      </c>
      <c r="D264" s="126">
        <v>0</v>
      </c>
      <c r="E264" s="126">
        <v>5570.4</v>
      </c>
      <c r="G264" s="126">
        <f t="shared" si="4"/>
        <v>5570.4</v>
      </c>
      <c r="H264" s="126" t="s">
        <v>80</v>
      </c>
    </row>
    <row r="265" spans="1:8">
      <c r="A265" s="126" t="s">
        <v>647</v>
      </c>
      <c r="B265" s="126">
        <v>12500</v>
      </c>
      <c r="C265" s="126">
        <v>0</v>
      </c>
      <c r="D265" s="126">
        <v>0</v>
      </c>
      <c r="E265" s="126">
        <v>12500</v>
      </c>
      <c r="G265" s="126">
        <f t="shared" si="4"/>
        <v>12500</v>
      </c>
      <c r="H265" s="126" t="s">
        <v>80</v>
      </c>
    </row>
    <row r="266" spans="1:8">
      <c r="A266" s="126" t="s">
        <v>648</v>
      </c>
      <c r="B266" s="126">
        <v>38680854.859999999</v>
      </c>
      <c r="C266" s="126">
        <v>320921.96000000002</v>
      </c>
      <c r="D266" s="126">
        <v>0</v>
      </c>
      <c r="E266" s="126">
        <v>39001776.82</v>
      </c>
      <c r="G266" s="126">
        <f t="shared" si="4"/>
        <v>39001776.82</v>
      </c>
      <c r="H266" s="126" t="s">
        <v>80</v>
      </c>
    </row>
    <row r="267" spans="1:8">
      <c r="A267" s="126" t="s">
        <v>101</v>
      </c>
      <c r="B267" s="126">
        <v>602491</v>
      </c>
      <c r="C267" s="126">
        <v>0</v>
      </c>
      <c r="D267" s="126">
        <v>0</v>
      </c>
      <c r="E267" s="126">
        <v>602491</v>
      </c>
      <c r="G267" s="126">
        <f t="shared" si="4"/>
        <v>602491</v>
      </c>
      <c r="H267" s="126" t="s">
        <v>80</v>
      </c>
    </row>
    <row r="268" spans="1:8">
      <c r="A268" s="126" t="s">
        <v>649</v>
      </c>
      <c r="B268" s="126">
        <v>121985.1</v>
      </c>
      <c r="C268" s="126">
        <v>0</v>
      </c>
      <c r="D268" s="126">
        <v>0</v>
      </c>
      <c r="E268" s="126">
        <v>121985.1</v>
      </c>
      <c r="G268" s="126">
        <f t="shared" si="4"/>
        <v>121985.1</v>
      </c>
      <c r="H268" s="126" t="s">
        <v>80</v>
      </c>
    </row>
    <row r="269" spans="1:8">
      <c r="A269" s="126" t="s">
        <v>650</v>
      </c>
      <c r="B269" s="126">
        <v>84189.4</v>
      </c>
      <c r="C269" s="126">
        <v>0</v>
      </c>
      <c r="D269" s="126">
        <v>0</v>
      </c>
      <c r="E269" s="126">
        <v>84189.4</v>
      </c>
      <c r="G269" s="126">
        <f t="shared" si="4"/>
        <v>84189.4</v>
      </c>
      <c r="H269" s="126" t="s">
        <v>80</v>
      </c>
    </row>
    <row r="270" spans="1:8">
      <c r="A270" s="126" t="s">
        <v>651</v>
      </c>
      <c r="B270" s="126">
        <v>188650</v>
      </c>
      <c r="C270" s="126">
        <v>0</v>
      </c>
      <c r="D270" s="126">
        <v>0</v>
      </c>
      <c r="E270" s="126">
        <v>188650</v>
      </c>
      <c r="G270" s="126">
        <f t="shared" si="4"/>
        <v>188650</v>
      </c>
      <c r="H270" s="126" t="s">
        <v>80</v>
      </c>
    </row>
    <row r="271" spans="1:8">
      <c r="A271" s="126" t="s">
        <v>652</v>
      </c>
      <c r="B271" s="126">
        <v>315000</v>
      </c>
      <c r="C271" s="126">
        <v>0</v>
      </c>
      <c r="D271" s="126">
        <v>0</v>
      </c>
      <c r="E271" s="126">
        <v>315000</v>
      </c>
      <c r="G271" s="126">
        <f t="shared" si="4"/>
        <v>315000</v>
      </c>
      <c r="H271" s="126" t="s">
        <v>80</v>
      </c>
    </row>
    <row r="272" spans="1:8">
      <c r="A272" s="126" t="s">
        <v>653</v>
      </c>
      <c r="B272" s="126">
        <v>315000</v>
      </c>
      <c r="C272" s="126">
        <v>0</v>
      </c>
      <c r="D272" s="126">
        <v>0</v>
      </c>
      <c r="E272" s="126">
        <v>315000</v>
      </c>
      <c r="G272" s="126">
        <f t="shared" si="4"/>
        <v>315000</v>
      </c>
      <c r="H272" s="126" t="s">
        <v>80</v>
      </c>
    </row>
    <row r="273" spans="1:8">
      <c r="A273" s="126" t="s">
        <v>97</v>
      </c>
      <c r="B273" s="126">
        <v>10284000</v>
      </c>
      <c r="C273" s="126">
        <v>0</v>
      </c>
      <c r="D273" s="126">
        <v>0</v>
      </c>
      <c r="E273" s="126">
        <v>10284000</v>
      </c>
      <c r="G273" s="126">
        <f t="shared" si="4"/>
        <v>10284000</v>
      </c>
      <c r="H273" s="126" t="s">
        <v>80</v>
      </c>
    </row>
    <row r="274" spans="1:8">
      <c r="A274" s="126" t="s">
        <v>654</v>
      </c>
      <c r="B274" s="126">
        <v>355999.99</v>
      </c>
      <c r="C274" s="126">
        <v>0</v>
      </c>
      <c r="D274" s="126">
        <v>0</v>
      </c>
      <c r="E274" s="126">
        <v>355999.99</v>
      </c>
      <c r="G274" s="126">
        <f t="shared" si="4"/>
        <v>355999.99</v>
      </c>
      <c r="H274" s="126" t="s">
        <v>80</v>
      </c>
    </row>
    <row r="275" spans="1:8">
      <c r="A275" s="126" t="s">
        <v>110</v>
      </c>
      <c r="B275" s="126">
        <v>4900000</v>
      </c>
      <c r="C275" s="126">
        <v>0</v>
      </c>
      <c r="D275" s="126">
        <v>0</v>
      </c>
      <c r="E275" s="126">
        <v>4900000</v>
      </c>
      <c r="G275" s="126">
        <f t="shared" si="4"/>
        <v>4900000</v>
      </c>
      <c r="H275" s="126" t="s">
        <v>80</v>
      </c>
    </row>
    <row r="276" spans="1:8">
      <c r="A276" s="126" t="s">
        <v>655</v>
      </c>
      <c r="B276" s="126">
        <v>1920666.88</v>
      </c>
      <c r="C276" s="126">
        <v>0</v>
      </c>
      <c r="D276" s="126">
        <v>0</v>
      </c>
      <c r="E276" s="126">
        <v>1920666.88</v>
      </c>
      <c r="G276" s="126">
        <f t="shared" si="4"/>
        <v>1920666.88</v>
      </c>
      <c r="H276" s="126" t="s">
        <v>80</v>
      </c>
    </row>
    <row r="277" spans="1:8">
      <c r="A277" s="126" t="s">
        <v>656</v>
      </c>
      <c r="B277" s="126">
        <v>3838045.93</v>
      </c>
      <c r="C277" s="126">
        <v>0</v>
      </c>
      <c r="D277" s="126">
        <v>0</v>
      </c>
      <c r="E277" s="126">
        <v>3838045.93</v>
      </c>
      <c r="G277" s="126">
        <f t="shared" si="4"/>
        <v>3838045.93</v>
      </c>
      <c r="H277" s="126" t="s">
        <v>80</v>
      </c>
    </row>
    <row r="278" spans="1:8">
      <c r="A278" s="126" t="s">
        <v>657</v>
      </c>
      <c r="B278" s="126">
        <v>1655000</v>
      </c>
      <c r="C278" s="126">
        <v>0</v>
      </c>
      <c r="D278" s="126">
        <v>0</v>
      </c>
      <c r="E278" s="126">
        <v>1655000</v>
      </c>
      <c r="G278" s="126">
        <f t="shared" si="4"/>
        <v>1655000</v>
      </c>
      <c r="H278" s="126" t="s">
        <v>80</v>
      </c>
    </row>
    <row r="279" spans="1:8">
      <c r="A279" s="126" t="s">
        <v>142</v>
      </c>
      <c r="B279" s="126">
        <v>722000</v>
      </c>
      <c r="C279" s="126">
        <v>0</v>
      </c>
      <c r="D279" s="126">
        <v>0</v>
      </c>
      <c r="E279" s="126">
        <v>722000</v>
      </c>
      <c r="G279" s="126">
        <f t="shared" si="4"/>
        <v>722000</v>
      </c>
      <c r="H279" s="126" t="s">
        <v>80</v>
      </c>
    </row>
    <row r="280" spans="1:8">
      <c r="A280" s="126" t="s">
        <v>658</v>
      </c>
      <c r="B280" s="126">
        <v>137000</v>
      </c>
      <c r="C280" s="126">
        <v>0</v>
      </c>
      <c r="D280" s="126">
        <v>0</v>
      </c>
      <c r="E280" s="126">
        <v>137000</v>
      </c>
      <c r="G280" s="126">
        <f t="shared" si="4"/>
        <v>137000</v>
      </c>
      <c r="H280" s="126" t="s">
        <v>80</v>
      </c>
    </row>
    <row r="281" spans="1:8">
      <c r="A281" s="126" t="s">
        <v>659</v>
      </c>
      <c r="B281" s="126">
        <v>37000</v>
      </c>
      <c r="C281" s="126">
        <v>0</v>
      </c>
      <c r="D281" s="126">
        <v>0</v>
      </c>
      <c r="E281" s="126">
        <v>37000</v>
      </c>
      <c r="G281" s="126">
        <f t="shared" si="4"/>
        <v>37000</v>
      </c>
      <c r="H281" s="126" t="s">
        <v>80</v>
      </c>
    </row>
    <row r="282" spans="1:8">
      <c r="A282" s="126" t="s">
        <v>660</v>
      </c>
      <c r="B282" s="126">
        <v>333354</v>
      </c>
      <c r="C282" s="126">
        <v>0</v>
      </c>
      <c r="D282" s="126">
        <v>0</v>
      </c>
      <c r="E282" s="126">
        <v>333354</v>
      </c>
      <c r="G282" s="126">
        <f t="shared" si="4"/>
        <v>333354</v>
      </c>
      <c r="H282" s="126" t="s">
        <v>80</v>
      </c>
    </row>
    <row r="283" spans="1:8">
      <c r="A283" s="126" t="s">
        <v>661</v>
      </c>
      <c r="B283" s="126">
        <v>55874.5</v>
      </c>
      <c r="C283" s="126">
        <v>0</v>
      </c>
      <c r="D283" s="126">
        <v>0</v>
      </c>
      <c r="E283" s="126">
        <v>55874.5</v>
      </c>
      <c r="G283" s="126">
        <f t="shared" si="4"/>
        <v>55874.5</v>
      </c>
      <c r="H283" s="126" t="s">
        <v>80</v>
      </c>
    </row>
    <row r="284" spans="1:8">
      <c r="A284" s="126" t="s">
        <v>662</v>
      </c>
      <c r="B284" s="126">
        <v>118000</v>
      </c>
      <c r="C284" s="126">
        <v>0</v>
      </c>
      <c r="D284" s="126">
        <v>0</v>
      </c>
      <c r="E284" s="126">
        <v>118000</v>
      </c>
      <c r="G284" s="126">
        <f t="shared" si="4"/>
        <v>118000</v>
      </c>
      <c r="H284" s="126" t="s">
        <v>80</v>
      </c>
    </row>
    <row r="285" spans="1:8">
      <c r="A285" s="126" t="s">
        <v>663</v>
      </c>
      <c r="B285" s="126">
        <v>1088169.3</v>
      </c>
      <c r="C285" s="126">
        <v>0</v>
      </c>
      <c r="D285" s="126">
        <v>0</v>
      </c>
      <c r="E285" s="126">
        <v>1088169.3</v>
      </c>
      <c r="G285" s="126">
        <f t="shared" si="4"/>
        <v>1088169.3</v>
      </c>
      <c r="H285" s="126" t="s">
        <v>80</v>
      </c>
    </row>
    <row r="286" spans="1:8">
      <c r="A286" s="126" t="s">
        <v>664</v>
      </c>
      <c r="B286" s="126">
        <v>7569717</v>
      </c>
      <c r="C286" s="126">
        <v>0</v>
      </c>
      <c r="D286" s="126">
        <v>0</v>
      </c>
      <c r="E286" s="126">
        <v>7569717</v>
      </c>
      <c r="G286" s="126">
        <f t="shared" si="4"/>
        <v>7569717</v>
      </c>
      <c r="H286" s="126" t="s">
        <v>80</v>
      </c>
    </row>
    <row r="287" spans="1:8">
      <c r="A287" s="126" t="s">
        <v>665</v>
      </c>
      <c r="B287" s="126">
        <v>1150000</v>
      </c>
      <c r="C287" s="126">
        <v>0</v>
      </c>
      <c r="D287" s="126">
        <v>0</v>
      </c>
      <c r="E287" s="126">
        <v>1150000</v>
      </c>
      <c r="G287" s="126">
        <f t="shared" si="4"/>
        <v>1150000</v>
      </c>
      <c r="H287" s="126" t="s">
        <v>80</v>
      </c>
    </row>
    <row r="288" spans="1:8">
      <c r="A288" s="126" t="s">
        <v>111</v>
      </c>
      <c r="B288" s="126">
        <v>262400</v>
      </c>
      <c r="C288" s="126">
        <v>0</v>
      </c>
      <c r="D288" s="126">
        <v>0</v>
      </c>
      <c r="E288" s="126">
        <v>262400</v>
      </c>
      <c r="G288" s="126">
        <f t="shared" si="4"/>
        <v>262400</v>
      </c>
      <c r="H288" s="126" t="s">
        <v>80</v>
      </c>
    </row>
    <row r="289" spans="1:8">
      <c r="A289" s="126" t="s">
        <v>666</v>
      </c>
      <c r="B289" s="126">
        <v>690000</v>
      </c>
      <c r="C289" s="126">
        <v>0</v>
      </c>
      <c r="D289" s="126">
        <v>0</v>
      </c>
      <c r="E289" s="126">
        <v>690000</v>
      </c>
      <c r="G289" s="126">
        <f t="shared" si="4"/>
        <v>690000</v>
      </c>
      <c r="H289" s="126" t="s">
        <v>80</v>
      </c>
    </row>
    <row r="290" spans="1:8">
      <c r="A290" s="126" t="s">
        <v>667</v>
      </c>
      <c r="B290" s="126">
        <v>5025000</v>
      </c>
      <c r="C290" s="126">
        <v>0</v>
      </c>
      <c r="D290" s="126">
        <v>0</v>
      </c>
      <c r="E290" s="126">
        <v>5025000</v>
      </c>
      <c r="G290" s="126">
        <f t="shared" si="4"/>
        <v>5025000</v>
      </c>
      <c r="H290" s="126" t="s">
        <v>80</v>
      </c>
    </row>
    <row r="291" spans="1:8">
      <c r="A291" s="126" t="s">
        <v>668</v>
      </c>
      <c r="B291" s="126">
        <v>115507</v>
      </c>
      <c r="C291" s="126">
        <v>0</v>
      </c>
      <c r="D291" s="126">
        <v>0</v>
      </c>
      <c r="E291" s="126">
        <v>115507</v>
      </c>
      <c r="G291" s="126">
        <f t="shared" si="4"/>
        <v>115507</v>
      </c>
      <c r="H291" s="126" t="s">
        <v>80</v>
      </c>
    </row>
    <row r="292" spans="1:8">
      <c r="A292" s="126" t="s">
        <v>669</v>
      </c>
      <c r="B292" s="126">
        <v>797721</v>
      </c>
      <c r="C292" s="126">
        <v>0</v>
      </c>
      <c r="D292" s="126">
        <v>0</v>
      </c>
      <c r="E292" s="126">
        <v>797721</v>
      </c>
      <c r="G292" s="126">
        <f t="shared" si="4"/>
        <v>797721</v>
      </c>
      <c r="H292" s="126" t="s">
        <v>80</v>
      </c>
    </row>
    <row r="293" spans="1:8">
      <c r="A293" s="126" t="s">
        <v>670</v>
      </c>
      <c r="B293" s="126">
        <v>2428500</v>
      </c>
      <c r="C293" s="126">
        <v>0</v>
      </c>
      <c r="D293" s="126">
        <v>0</v>
      </c>
      <c r="E293" s="126">
        <v>2428500</v>
      </c>
      <c r="G293" s="126">
        <f t="shared" si="4"/>
        <v>2428500</v>
      </c>
      <c r="H293" s="126" t="s">
        <v>80</v>
      </c>
    </row>
    <row r="294" spans="1:8">
      <c r="A294" s="126" t="s">
        <v>671</v>
      </c>
      <c r="B294" s="126">
        <v>2379800</v>
      </c>
      <c r="C294" s="126">
        <v>0</v>
      </c>
      <c r="D294" s="126">
        <v>0</v>
      </c>
      <c r="E294" s="126">
        <v>2379800</v>
      </c>
      <c r="G294" s="126">
        <f t="shared" si="4"/>
        <v>2379800</v>
      </c>
      <c r="H294" s="126" t="s">
        <v>80</v>
      </c>
    </row>
    <row r="295" spans="1:8">
      <c r="A295" s="126" t="s">
        <v>119</v>
      </c>
      <c r="B295" s="126">
        <v>3000235.6</v>
      </c>
      <c r="C295" s="126">
        <v>0</v>
      </c>
      <c r="D295" s="126">
        <v>0</v>
      </c>
      <c r="E295" s="126">
        <v>3000235.6</v>
      </c>
      <c r="G295" s="126">
        <f t="shared" si="4"/>
        <v>3000235.6</v>
      </c>
      <c r="H295" s="126" t="s">
        <v>80</v>
      </c>
    </row>
    <row r="296" spans="1:8">
      <c r="A296" s="126" t="s">
        <v>90</v>
      </c>
      <c r="B296" s="126">
        <v>256800</v>
      </c>
      <c r="C296" s="126">
        <v>0</v>
      </c>
      <c r="D296" s="126">
        <v>0</v>
      </c>
      <c r="E296" s="126">
        <v>256800</v>
      </c>
      <c r="G296" s="126">
        <f t="shared" si="4"/>
        <v>256800</v>
      </c>
      <c r="H296" s="126" t="s">
        <v>80</v>
      </c>
    </row>
    <row r="297" spans="1:8">
      <c r="A297" s="126" t="s">
        <v>103</v>
      </c>
      <c r="B297" s="126">
        <v>298965.82</v>
      </c>
      <c r="C297" s="126">
        <v>0</v>
      </c>
      <c r="D297" s="126">
        <v>0</v>
      </c>
      <c r="E297" s="126">
        <v>298965.82</v>
      </c>
      <c r="G297" s="126">
        <f t="shared" si="4"/>
        <v>298965.82</v>
      </c>
      <c r="H297" s="126" t="s">
        <v>80</v>
      </c>
    </row>
    <row r="298" spans="1:8">
      <c r="A298" s="126" t="s">
        <v>672</v>
      </c>
      <c r="B298" s="126">
        <v>13830</v>
      </c>
      <c r="C298" s="126">
        <v>0</v>
      </c>
      <c r="D298" s="126">
        <v>0</v>
      </c>
      <c r="E298" s="126">
        <v>13830</v>
      </c>
      <c r="G298" s="126">
        <f t="shared" si="4"/>
        <v>13830</v>
      </c>
      <c r="H298" s="126" t="s">
        <v>80</v>
      </c>
    </row>
    <row r="299" spans="1:8">
      <c r="A299" s="126" t="s">
        <v>125</v>
      </c>
      <c r="B299" s="126">
        <v>145950944.11000001</v>
      </c>
      <c r="C299" s="126">
        <v>1373646.8</v>
      </c>
      <c r="D299" s="126">
        <v>3316000</v>
      </c>
      <c r="E299" s="126">
        <v>144008590.91</v>
      </c>
      <c r="G299" s="126">
        <f t="shared" si="4"/>
        <v>144008590.91</v>
      </c>
      <c r="H299" s="126" t="s">
        <v>80</v>
      </c>
    </row>
    <row r="300" spans="1:8">
      <c r="A300" s="126" t="s">
        <v>673</v>
      </c>
      <c r="B300" s="126">
        <v>206006</v>
      </c>
      <c r="C300" s="126">
        <v>0</v>
      </c>
      <c r="D300" s="126">
        <v>0</v>
      </c>
      <c r="E300" s="126">
        <v>206006</v>
      </c>
      <c r="G300" s="126">
        <f t="shared" si="4"/>
        <v>206006</v>
      </c>
      <c r="H300" s="126" t="s">
        <v>80</v>
      </c>
    </row>
    <row r="301" spans="1:8">
      <c r="A301" s="126" t="s">
        <v>137</v>
      </c>
      <c r="B301" s="126">
        <v>36265015.420000002</v>
      </c>
      <c r="C301" s="126">
        <v>70375000</v>
      </c>
      <c r="D301" s="126">
        <v>0</v>
      </c>
      <c r="E301" s="126">
        <v>106640015.42</v>
      </c>
      <c r="G301" s="126">
        <f t="shared" si="4"/>
        <v>106640015.42</v>
      </c>
      <c r="H301" s="126" t="s">
        <v>80</v>
      </c>
    </row>
    <row r="302" spans="1:8">
      <c r="A302" s="126" t="s">
        <v>674</v>
      </c>
      <c r="B302" s="126">
        <v>128000</v>
      </c>
      <c r="C302" s="126">
        <v>0</v>
      </c>
      <c r="D302" s="126">
        <v>0</v>
      </c>
      <c r="E302" s="126">
        <v>128000</v>
      </c>
      <c r="G302" s="126">
        <f t="shared" si="4"/>
        <v>128000</v>
      </c>
      <c r="H302" s="126" t="s">
        <v>80</v>
      </c>
    </row>
    <row r="303" spans="1:8">
      <c r="A303" s="126" t="s">
        <v>675</v>
      </c>
      <c r="B303" s="126">
        <v>622000</v>
      </c>
      <c r="C303" s="126">
        <v>0</v>
      </c>
      <c r="D303" s="126">
        <v>0</v>
      </c>
      <c r="E303" s="126">
        <v>622000</v>
      </c>
      <c r="G303" s="126">
        <f t="shared" si="4"/>
        <v>622000</v>
      </c>
      <c r="H303" s="126" t="s">
        <v>80</v>
      </c>
    </row>
    <row r="304" spans="1:8">
      <c r="A304" s="126" t="s">
        <v>676</v>
      </c>
      <c r="B304" s="126">
        <v>1600000</v>
      </c>
      <c r="C304" s="126">
        <v>0</v>
      </c>
      <c r="D304" s="126">
        <v>0</v>
      </c>
      <c r="E304" s="126">
        <v>1600000</v>
      </c>
      <c r="G304" s="126">
        <f t="shared" si="4"/>
        <v>1600000</v>
      </c>
      <c r="H304" s="126" t="s">
        <v>80</v>
      </c>
    </row>
    <row r="305" spans="1:8">
      <c r="A305" s="126" t="s">
        <v>677</v>
      </c>
      <c r="B305" s="126">
        <v>400000</v>
      </c>
      <c r="C305" s="126">
        <v>0</v>
      </c>
      <c r="D305" s="126">
        <v>0</v>
      </c>
      <c r="E305" s="126">
        <v>400000</v>
      </c>
      <c r="G305" s="126">
        <f t="shared" si="4"/>
        <v>400000</v>
      </c>
      <c r="H305" s="126" t="s">
        <v>80</v>
      </c>
    </row>
    <row r="306" spans="1:8">
      <c r="A306" s="126" t="s">
        <v>678</v>
      </c>
      <c r="B306" s="126">
        <v>2200000</v>
      </c>
      <c r="C306" s="126">
        <v>0</v>
      </c>
      <c r="D306" s="126">
        <v>0</v>
      </c>
      <c r="E306" s="126">
        <v>2200000</v>
      </c>
      <c r="G306" s="126">
        <f t="shared" si="4"/>
        <v>2200000</v>
      </c>
      <c r="H306" s="126" t="s">
        <v>80</v>
      </c>
    </row>
    <row r="307" spans="1:8">
      <c r="A307" s="126" t="s">
        <v>140</v>
      </c>
      <c r="B307" s="126">
        <v>6546275.29</v>
      </c>
      <c r="C307" s="126">
        <v>0</v>
      </c>
      <c r="D307" s="126">
        <v>0</v>
      </c>
      <c r="E307" s="126">
        <v>6546275.29</v>
      </c>
      <c r="G307" s="126">
        <f t="shared" si="4"/>
        <v>6546275.29</v>
      </c>
      <c r="H307" s="126" t="s">
        <v>80</v>
      </c>
    </row>
    <row r="308" spans="1:8">
      <c r="A308" s="126" t="s">
        <v>679</v>
      </c>
      <c r="B308" s="126">
        <v>594227.06999999995</v>
      </c>
      <c r="C308" s="126">
        <v>0</v>
      </c>
      <c r="D308" s="126">
        <v>0</v>
      </c>
      <c r="E308" s="126">
        <v>594227.06999999995</v>
      </c>
      <c r="G308" s="126">
        <f t="shared" si="4"/>
        <v>594227.06999999995</v>
      </c>
      <c r="H308" s="126" t="s">
        <v>80</v>
      </c>
    </row>
    <row r="309" spans="1:8">
      <c r="A309" s="126" t="s">
        <v>680</v>
      </c>
      <c r="B309" s="126">
        <v>592658</v>
      </c>
      <c r="C309" s="126">
        <v>0</v>
      </c>
      <c r="D309" s="126">
        <v>0</v>
      </c>
      <c r="E309" s="126">
        <v>592658</v>
      </c>
      <c r="G309" s="126">
        <f t="shared" si="4"/>
        <v>592658</v>
      </c>
      <c r="H309" s="126" t="s">
        <v>80</v>
      </c>
    </row>
    <row r="310" spans="1:8">
      <c r="A310" s="126" t="s">
        <v>681</v>
      </c>
      <c r="B310" s="126">
        <v>434808.08</v>
      </c>
      <c r="C310" s="126">
        <v>0</v>
      </c>
      <c r="D310" s="126">
        <v>0</v>
      </c>
      <c r="E310" s="126">
        <v>434808.08</v>
      </c>
      <c r="G310" s="126">
        <f t="shared" si="4"/>
        <v>434808.08</v>
      </c>
      <c r="H310" s="126" t="s">
        <v>80</v>
      </c>
    </row>
    <row r="311" spans="1:8">
      <c r="A311" s="126" t="s">
        <v>141</v>
      </c>
      <c r="B311" s="126">
        <v>450000</v>
      </c>
      <c r="C311" s="126">
        <v>0</v>
      </c>
      <c r="D311" s="126">
        <v>0</v>
      </c>
      <c r="E311" s="126">
        <v>450000</v>
      </c>
      <c r="G311" s="126">
        <f t="shared" si="4"/>
        <v>450000</v>
      </c>
      <c r="H311" s="126" t="s">
        <v>80</v>
      </c>
    </row>
    <row r="312" spans="1:8">
      <c r="A312" s="126" t="s">
        <v>682</v>
      </c>
      <c r="B312" s="126">
        <v>3974330</v>
      </c>
      <c r="C312" s="126">
        <v>0</v>
      </c>
      <c r="D312" s="126">
        <v>0</v>
      </c>
      <c r="E312" s="126">
        <v>3974330</v>
      </c>
      <c r="G312" s="126">
        <f t="shared" si="4"/>
        <v>3974330</v>
      </c>
      <c r="H312" s="126" t="s">
        <v>80</v>
      </c>
    </row>
    <row r="313" spans="1:8">
      <c r="A313" s="126" t="s">
        <v>683</v>
      </c>
      <c r="B313" s="126">
        <v>40625001.740000002</v>
      </c>
      <c r="C313" s="126">
        <v>0</v>
      </c>
      <c r="D313" s="126">
        <v>0</v>
      </c>
      <c r="E313" s="126">
        <v>40625001.740000002</v>
      </c>
      <c r="G313" s="126">
        <f t="shared" si="4"/>
        <v>40625001.740000002</v>
      </c>
      <c r="H313" s="126" t="s">
        <v>80</v>
      </c>
    </row>
    <row r="314" spans="1:8">
      <c r="A314" s="126" t="s">
        <v>684</v>
      </c>
      <c r="B314" s="126">
        <v>375000</v>
      </c>
      <c r="C314" s="126">
        <v>0</v>
      </c>
      <c r="D314" s="126">
        <v>0</v>
      </c>
      <c r="E314" s="126">
        <v>375000</v>
      </c>
      <c r="G314" s="126">
        <f t="shared" si="4"/>
        <v>375000</v>
      </c>
      <c r="H314" s="126" t="s">
        <v>80</v>
      </c>
    </row>
    <row r="315" spans="1:8">
      <c r="A315" s="126" t="s">
        <v>88</v>
      </c>
      <c r="B315" s="126">
        <v>4790782.28</v>
      </c>
      <c r="C315" s="126">
        <v>0</v>
      </c>
      <c r="D315" s="126">
        <v>0</v>
      </c>
      <c r="E315" s="126">
        <v>4790782.28</v>
      </c>
      <c r="G315" s="126">
        <f t="shared" si="4"/>
        <v>4790782.28</v>
      </c>
      <c r="H315" s="126" t="s">
        <v>80</v>
      </c>
    </row>
    <row r="316" spans="1:8">
      <c r="A316" s="126" t="s">
        <v>89</v>
      </c>
      <c r="B316" s="126">
        <v>22376520</v>
      </c>
      <c r="C316" s="126">
        <v>0</v>
      </c>
      <c r="D316" s="126">
        <v>0</v>
      </c>
      <c r="E316" s="126">
        <v>22376520</v>
      </c>
      <c r="G316" s="126">
        <f t="shared" si="4"/>
        <v>22376520</v>
      </c>
      <c r="H316" s="126" t="s">
        <v>80</v>
      </c>
    </row>
    <row r="317" spans="1:8">
      <c r="A317" s="126" t="s">
        <v>685</v>
      </c>
      <c r="B317" s="126">
        <v>2725000</v>
      </c>
      <c r="C317" s="126">
        <v>0</v>
      </c>
      <c r="D317" s="126">
        <v>0</v>
      </c>
      <c r="E317" s="126">
        <v>2725000</v>
      </c>
      <c r="G317" s="126">
        <f t="shared" si="4"/>
        <v>2725000</v>
      </c>
      <c r="H317" s="126" t="s">
        <v>80</v>
      </c>
    </row>
    <row r="318" spans="1:8">
      <c r="A318" s="126" t="s">
        <v>109</v>
      </c>
      <c r="B318" s="126">
        <v>231700</v>
      </c>
      <c r="C318" s="126">
        <v>0</v>
      </c>
      <c r="D318" s="126">
        <v>0</v>
      </c>
      <c r="E318" s="126">
        <v>231700</v>
      </c>
      <c r="G318" s="126">
        <f t="shared" si="4"/>
        <v>231700</v>
      </c>
      <c r="H318" s="126" t="s">
        <v>80</v>
      </c>
    </row>
    <row r="319" spans="1:8">
      <c r="A319" s="126" t="s">
        <v>686</v>
      </c>
      <c r="B319" s="126">
        <v>4374015</v>
      </c>
      <c r="C319" s="126">
        <v>0</v>
      </c>
      <c r="D319" s="126">
        <v>0</v>
      </c>
      <c r="E319" s="126">
        <v>4374015</v>
      </c>
      <c r="G319" s="126">
        <f t="shared" si="4"/>
        <v>4374015</v>
      </c>
      <c r="H319" s="126" t="s">
        <v>80</v>
      </c>
    </row>
    <row r="320" spans="1:8">
      <c r="A320" s="126" t="s">
        <v>687</v>
      </c>
      <c r="B320" s="126">
        <v>26889466.899999999</v>
      </c>
      <c r="C320" s="126">
        <v>0</v>
      </c>
      <c r="D320" s="126">
        <v>0</v>
      </c>
      <c r="E320" s="126">
        <v>26889466.899999999</v>
      </c>
      <c r="G320" s="126">
        <f t="shared" si="4"/>
        <v>26889466.899999999</v>
      </c>
      <c r="H320" s="126" t="s">
        <v>80</v>
      </c>
    </row>
    <row r="321" spans="1:8">
      <c r="A321" s="126" t="s">
        <v>688</v>
      </c>
      <c r="B321" s="126">
        <v>15500</v>
      </c>
      <c r="C321" s="126">
        <v>0</v>
      </c>
      <c r="D321" s="126">
        <v>0</v>
      </c>
      <c r="E321" s="126">
        <v>15500</v>
      </c>
      <c r="G321" s="126">
        <f t="shared" si="4"/>
        <v>15500</v>
      </c>
      <c r="H321" s="126" t="s">
        <v>80</v>
      </c>
    </row>
    <row r="322" spans="1:8">
      <c r="A322" s="126" t="s">
        <v>689</v>
      </c>
      <c r="B322" s="126">
        <v>58560</v>
      </c>
      <c r="C322" s="126">
        <v>0</v>
      </c>
      <c r="D322" s="126">
        <v>0</v>
      </c>
      <c r="E322" s="126">
        <v>58560</v>
      </c>
      <c r="G322" s="126">
        <f t="shared" si="4"/>
        <v>58560</v>
      </c>
      <c r="H322" s="126" t="s">
        <v>80</v>
      </c>
    </row>
    <row r="323" spans="1:8">
      <c r="A323" s="126" t="s">
        <v>690</v>
      </c>
      <c r="B323" s="126">
        <v>1300000</v>
      </c>
      <c r="C323" s="126">
        <v>0</v>
      </c>
      <c r="D323" s="126">
        <v>0</v>
      </c>
      <c r="E323" s="126">
        <v>1300000</v>
      </c>
      <c r="G323" s="126">
        <f t="shared" ref="G323:G386" si="5">E323+F323</f>
        <v>1300000</v>
      </c>
      <c r="H323" s="126" t="s">
        <v>80</v>
      </c>
    </row>
    <row r="324" spans="1:8">
      <c r="A324" s="126" t="s">
        <v>691</v>
      </c>
      <c r="B324" s="126">
        <v>603990</v>
      </c>
      <c r="C324" s="126">
        <v>0</v>
      </c>
      <c r="D324" s="126">
        <v>0</v>
      </c>
      <c r="E324" s="126">
        <v>603990</v>
      </c>
      <c r="G324" s="126">
        <f t="shared" si="5"/>
        <v>603990</v>
      </c>
      <c r="H324" s="126" t="s">
        <v>80</v>
      </c>
    </row>
    <row r="325" spans="1:8">
      <c r="A325" s="126" t="s">
        <v>692</v>
      </c>
      <c r="B325" s="126">
        <v>1041000</v>
      </c>
      <c r="C325" s="126">
        <v>0</v>
      </c>
      <c r="D325" s="126">
        <v>0</v>
      </c>
      <c r="E325" s="126">
        <v>1041000</v>
      </c>
      <c r="G325" s="126">
        <f t="shared" si="5"/>
        <v>1041000</v>
      </c>
      <c r="H325" s="126" t="s">
        <v>80</v>
      </c>
    </row>
    <row r="326" spans="1:8">
      <c r="A326" s="126" t="s">
        <v>93</v>
      </c>
      <c r="B326" s="126">
        <v>5850</v>
      </c>
      <c r="C326" s="126">
        <v>0</v>
      </c>
      <c r="D326" s="126">
        <v>0</v>
      </c>
      <c r="E326" s="126">
        <v>5850</v>
      </c>
      <c r="G326" s="126">
        <f t="shared" si="5"/>
        <v>5850</v>
      </c>
      <c r="H326" s="126" t="s">
        <v>80</v>
      </c>
    </row>
    <row r="327" spans="1:8">
      <c r="A327" s="126" t="s">
        <v>693</v>
      </c>
      <c r="B327" s="126">
        <v>406900</v>
      </c>
      <c r="C327" s="126">
        <v>0</v>
      </c>
      <c r="D327" s="126">
        <v>0</v>
      </c>
      <c r="E327" s="126">
        <v>406900</v>
      </c>
      <c r="G327" s="126">
        <f t="shared" si="5"/>
        <v>406900</v>
      </c>
      <c r="H327" s="126" t="s">
        <v>80</v>
      </c>
    </row>
    <row r="328" spans="1:8">
      <c r="A328" s="126" t="s">
        <v>694</v>
      </c>
      <c r="B328" s="126">
        <v>1250</v>
      </c>
      <c r="C328" s="126">
        <v>0</v>
      </c>
      <c r="D328" s="126">
        <v>0</v>
      </c>
      <c r="E328" s="126">
        <v>1250</v>
      </c>
      <c r="G328" s="126">
        <f t="shared" si="5"/>
        <v>1250</v>
      </c>
      <c r="H328" s="126" t="s">
        <v>80</v>
      </c>
    </row>
    <row r="329" spans="1:8">
      <c r="A329" s="126" t="s">
        <v>106</v>
      </c>
      <c r="B329" s="126">
        <v>17770.400000000001</v>
      </c>
      <c r="C329" s="126">
        <v>0</v>
      </c>
      <c r="D329" s="126">
        <v>0</v>
      </c>
      <c r="E329" s="126">
        <v>17770.400000000001</v>
      </c>
      <c r="G329" s="126">
        <f t="shared" si="5"/>
        <v>17770.400000000001</v>
      </c>
      <c r="H329" s="126" t="s">
        <v>80</v>
      </c>
    </row>
    <row r="330" spans="1:8">
      <c r="A330" s="126" t="s">
        <v>695</v>
      </c>
      <c r="B330" s="126">
        <v>340500</v>
      </c>
      <c r="C330" s="126">
        <v>0</v>
      </c>
      <c r="D330" s="126">
        <v>0</v>
      </c>
      <c r="E330" s="126">
        <v>340500</v>
      </c>
      <c r="G330" s="126">
        <f t="shared" si="5"/>
        <v>340500</v>
      </c>
      <c r="H330" s="126" t="s">
        <v>80</v>
      </c>
    </row>
    <row r="331" spans="1:8">
      <c r="A331" s="126" t="s">
        <v>696</v>
      </c>
      <c r="B331" s="126">
        <v>391809.22</v>
      </c>
      <c r="C331" s="126">
        <v>0</v>
      </c>
      <c r="D331" s="126">
        <v>0</v>
      </c>
      <c r="E331" s="126">
        <v>391809.22</v>
      </c>
      <c r="G331" s="126">
        <f t="shared" si="5"/>
        <v>391809.22</v>
      </c>
      <c r="H331" s="126" t="s">
        <v>80</v>
      </c>
    </row>
    <row r="332" spans="1:8">
      <c r="A332" s="126" t="s">
        <v>697</v>
      </c>
      <c r="B332" s="126">
        <v>160000</v>
      </c>
      <c r="C332" s="126">
        <v>0</v>
      </c>
      <c r="D332" s="126">
        <v>0</v>
      </c>
      <c r="E332" s="126">
        <v>160000</v>
      </c>
      <c r="G332" s="126">
        <f t="shared" si="5"/>
        <v>160000</v>
      </c>
      <c r="H332" s="126" t="s">
        <v>80</v>
      </c>
    </row>
    <row r="333" spans="1:8">
      <c r="A333" s="126" t="s">
        <v>148</v>
      </c>
      <c r="B333" s="126">
        <v>197984.96</v>
      </c>
      <c r="C333" s="126">
        <v>0</v>
      </c>
      <c r="D333" s="126">
        <v>0</v>
      </c>
      <c r="E333" s="126">
        <v>197984.96</v>
      </c>
      <c r="G333" s="126">
        <f t="shared" si="5"/>
        <v>197984.96</v>
      </c>
      <c r="H333" s="126" t="s">
        <v>80</v>
      </c>
    </row>
    <row r="334" spans="1:8">
      <c r="A334" s="126" t="s">
        <v>698</v>
      </c>
      <c r="B334" s="126">
        <v>760000</v>
      </c>
      <c r="C334" s="126">
        <v>0</v>
      </c>
      <c r="D334" s="126">
        <v>0</v>
      </c>
      <c r="E334" s="126">
        <v>760000</v>
      </c>
      <c r="G334" s="126">
        <f t="shared" si="5"/>
        <v>760000</v>
      </c>
      <c r="H334" s="126" t="s">
        <v>80</v>
      </c>
    </row>
    <row r="335" spans="1:8">
      <c r="A335" s="126" t="s">
        <v>149</v>
      </c>
      <c r="B335" s="126">
        <v>215561.98</v>
      </c>
      <c r="C335" s="126">
        <v>0</v>
      </c>
      <c r="D335" s="126">
        <v>0</v>
      </c>
      <c r="E335" s="126">
        <v>215561.98</v>
      </c>
      <c r="G335" s="126">
        <f t="shared" si="5"/>
        <v>215561.98</v>
      </c>
      <c r="H335" s="126" t="s">
        <v>80</v>
      </c>
    </row>
    <row r="336" spans="1:8">
      <c r="A336" s="126" t="s">
        <v>150</v>
      </c>
      <c r="B336" s="126">
        <v>33700</v>
      </c>
      <c r="C336" s="126">
        <v>0</v>
      </c>
      <c r="D336" s="126">
        <v>0</v>
      </c>
      <c r="E336" s="126">
        <v>33700</v>
      </c>
      <c r="G336" s="126">
        <f t="shared" si="5"/>
        <v>33700</v>
      </c>
      <c r="H336" s="126" t="s">
        <v>80</v>
      </c>
    </row>
    <row r="337" spans="1:10">
      <c r="A337" s="126" t="s">
        <v>699</v>
      </c>
      <c r="B337" s="126">
        <v>12250000</v>
      </c>
      <c r="C337" s="126">
        <v>0</v>
      </c>
      <c r="D337" s="126">
        <v>0</v>
      </c>
      <c r="E337" s="126">
        <v>12250000</v>
      </c>
      <c r="G337" s="126">
        <f t="shared" si="5"/>
        <v>12250000</v>
      </c>
      <c r="H337" s="126" t="s">
        <v>80</v>
      </c>
    </row>
    <row r="338" spans="1:10">
      <c r="A338" s="126" t="s">
        <v>700</v>
      </c>
      <c r="B338" s="126">
        <v>412201</v>
      </c>
      <c r="C338" s="126">
        <v>0</v>
      </c>
      <c r="D338" s="126">
        <v>0</v>
      </c>
      <c r="E338" s="126">
        <v>412201</v>
      </c>
      <c r="G338" s="126">
        <f t="shared" si="5"/>
        <v>412201</v>
      </c>
      <c r="H338" s="126" t="s">
        <v>80</v>
      </c>
    </row>
    <row r="339" spans="1:10">
      <c r="A339" s="126" t="s">
        <v>701</v>
      </c>
      <c r="B339" s="126">
        <v>280200</v>
      </c>
      <c r="C339" s="126">
        <v>0</v>
      </c>
      <c r="D339" s="126">
        <v>0</v>
      </c>
      <c r="E339" s="126">
        <v>280200</v>
      </c>
      <c r="G339" s="126">
        <f t="shared" si="5"/>
        <v>280200</v>
      </c>
      <c r="H339" s="126" t="s">
        <v>80</v>
      </c>
    </row>
    <row r="340" spans="1:10">
      <c r="A340" s="126" t="s">
        <v>91</v>
      </c>
      <c r="B340" s="126">
        <v>1613994.5</v>
      </c>
      <c r="C340" s="126">
        <v>22000</v>
      </c>
      <c r="D340" s="126">
        <v>33889.83</v>
      </c>
      <c r="E340" s="126">
        <v>1602104.67</v>
      </c>
      <c r="G340" s="126">
        <f t="shared" si="5"/>
        <v>1602104.67</v>
      </c>
      <c r="H340" s="126" t="s">
        <v>80</v>
      </c>
    </row>
    <row r="341" spans="1:10">
      <c r="A341" s="126" t="s">
        <v>1144</v>
      </c>
      <c r="B341" s="126">
        <v>0</v>
      </c>
      <c r="C341" s="126">
        <v>0</v>
      </c>
      <c r="D341" s="126">
        <v>0</v>
      </c>
      <c r="E341" s="126">
        <v>0</v>
      </c>
      <c r="G341" s="126">
        <f t="shared" si="5"/>
        <v>0</v>
      </c>
      <c r="H341" s="126" t="s">
        <v>80</v>
      </c>
    </row>
    <row r="342" spans="1:10">
      <c r="A342" s="126" t="s">
        <v>702</v>
      </c>
      <c r="B342" s="126">
        <v>931740</v>
      </c>
      <c r="C342" s="126">
        <v>0</v>
      </c>
      <c r="D342" s="126">
        <v>0</v>
      </c>
      <c r="E342" s="126">
        <v>931740</v>
      </c>
      <c r="G342" s="126">
        <f t="shared" si="5"/>
        <v>931740</v>
      </c>
      <c r="H342" s="126" t="s">
        <v>80</v>
      </c>
    </row>
    <row r="343" spans="1:10">
      <c r="A343" s="126" t="s">
        <v>1145</v>
      </c>
      <c r="B343" s="126">
        <v>0</v>
      </c>
      <c r="C343" s="126">
        <v>0.23</v>
      </c>
      <c r="D343" s="126">
        <v>919735.67</v>
      </c>
      <c r="E343" s="126">
        <v>-919735.44</v>
      </c>
      <c r="G343" s="126">
        <f t="shared" si="5"/>
        <v>-919735.44</v>
      </c>
      <c r="H343" s="126" t="s">
        <v>13</v>
      </c>
    </row>
    <row r="344" spans="1:10">
      <c r="A344" s="126" t="s">
        <v>328</v>
      </c>
      <c r="B344" s="126">
        <v>0</v>
      </c>
      <c r="C344" s="126">
        <v>4285</v>
      </c>
      <c r="D344" s="126">
        <v>32075</v>
      </c>
      <c r="E344" s="126">
        <v>-27790</v>
      </c>
      <c r="G344" s="126">
        <f t="shared" si="5"/>
        <v>-27790</v>
      </c>
      <c r="H344" s="126" t="s">
        <v>13</v>
      </c>
    </row>
    <row r="345" spans="1:10">
      <c r="A345" s="126" t="s">
        <v>316</v>
      </c>
      <c r="B345" s="126">
        <v>0</v>
      </c>
      <c r="C345" s="126">
        <v>86.97</v>
      </c>
      <c r="D345" s="126">
        <v>81.7</v>
      </c>
      <c r="E345" s="126">
        <v>5.27</v>
      </c>
      <c r="G345" s="126">
        <f t="shared" si="5"/>
        <v>5.27</v>
      </c>
      <c r="H345" s="126" t="s">
        <v>80</v>
      </c>
    </row>
    <row r="346" spans="1:10">
      <c r="A346" s="126" t="s">
        <v>1146</v>
      </c>
      <c r="B346" s="126">
        <v>0</v>
      </c>
      <c r="C346" s="126">
        <v>6428818.4800000004</v>
      </c>
      <c r="D346" s="126">
        <v>0</v>
      </c>
      <c r="E346" s="126">
        <v>6428818.4800000004</v>
      </c>
      <c r="F346" s="126">
        <v>216988</v>
      </c>
      <c r="G346" s="126">
        <f t="shared" si="5"/>
        <v>6645806.4800000004</v>
      </c>
      <c r="H346" s="148" t="s">
        <v>13</v>
      </c>
    </row>
    <row r="347" spans="1:10">
      <c r="A347" s="126" t="s">
        <v>347</v>
      </c>
      <c r="B347" s="126">
        <v>0</v>
      </c>
      <c r="C347" s="126">
        <v>531840</v>
      </c>
      <c r="D347" s="126">
        <v>35000</v>
      </c>
      <c r="E347" s="126">
        <v>496840</v>
      </c>
      <c r="G347" s="126">
        <f t="shared" si="5"/>
        <v>496840</v>
      </c>
      <c r="H347" s="126" t="s">
        <v>13</v>
      </c>
    </row>
    <row r="348" spans="1:10">
      <c r="A348" s="126" t="s">
        <v>348</v>
      </c>
      <c r="B348" s="126">
        <v>0</v>
      </c>
      <c r="C348" s="126">
        <v>145339.39000000001</v>
      </c>
      <c r="D348" s="126">
        <v>200</v>
      </c>
      <c r="E348" s="126">
        <v>145139.39000000001</v>
      </c>
      <c r="G348" s="126">
        <f t="shared" si="5"/>
        <v>145139.39000000001</v>
      </c>
      <c r="H348" s="126" t="s">
        <v>13</v>
      </c>
    </row>
    <row r="349" spans="1:10">
      <c r="A349" s="126" t="s">
        <v>472</v>
      </c>
      <c r="B349" s="126">
        <v>0</v>
      </c>
      <c r="C349" s="126">
        <v>26500</v>
      </c>
      <c r="D349" s="126">
        <v>0</v>
      </c>
      <c r="E349" s="126">
        <v>26500</v>
      </c>
      <c r="G349" s="126">
        <f t="shared" si="5"/>
        <v>26500</v>
      </c>
      <c r="H349" s="126" t="s">
        <v>80</v>
      </c>
    </row>
    <row r="350" spans="1:10">
      <c r="A350" s="126" t="s">
        <v>345</v>
      </c>
      <c r="B350" s="126">
        <v>0</v>
      </c>
      <c r="C350" s="126">
        <v>341749</v>
      </c>
      <c r="D350" s="126">
        <v>0</v>
      </c>
      <c r="E350" s="126">
        <v>341749</v>
      </c>
      <c r="G350" s="126">
        <f t="shared" si="5"/>
        <v>341749</v>
      </c>
      <c r="H350" s="126" t="s">
        <v>71</v>
      </c>
      <c r="I350" s="126">
        <f>VLOOKUP(A350,'[1]JUNE - TB -'!$A:$G,7,0)</f>
        <v>341749</v>
      </c>
      <c r="J350" s="126">
        <f>G350-I350</f>
        <v>0</v>
      </c>
    </row>
    <row r="351" spans="1:10">
      <c r="A351" s="126" t="s">
        <v>341</v>
      </c>
      <c r="B351" s="126">
        <v>0</v>
      </c>
      <c r="C351" s="126">
        <v>15692281.130000001</v>
      </c>
      <c r="D351" s="126">
        <v>143904</v>
      </c>
      <c r="E351" s="126">
        <v>15548377.130000001</v>
      </c>
      <c r="G351" s="126">
        <f t="shared" si="5"/>
        <v>15548377.130000001</v>
      </c>
      <c r="H351" s="126" t="s">
        <v>55</v>
      </c>
    </row>
    <row r="352" spans="1:10">
      <c r="A352" s="126" t="s">
        <v>1147</v>
      </c>
      <c r="B352" s="126">
        <v>0</v>
      </c>
      <c r="C352" s="126">
        <v>12340121</v>
      </c>
      <c r="D352" s="126">
        <v>0</v>
      </c>
      <c r="E352" s="126">
        <v>12340121</v>
      </c>
      <c r="F352" s="126">
        <v>1322071</v>
      </c>
      <c r="G352" s="126">
        <f t="shared" si="5"/>
        <v>13662192</v>
      </c>
      <c r="H352" s="126" t="s">
        <v>58</v>
      </c>
    </row>
    <row r="353" spans="1:10">
      <c r="A353" s="126" t="s">
        <v>1148</v>
      </c>
      <c r="B353" s="126">
        <v>0</v>
      </c>
      <c r="C353" s="126">
        <v>3887100</v>
      </c>
      <c r="D353" s="126">
        <v>0</v>
      </c>
      <c r="E353" s="126">
        <v>3887100</v>
      </c>
      <c r="G353" s="126">
        <f t="shared" si="5"/>
        <v>3887100</v>
      </c>
      <c r="H353" s="126" t="s">
        <v>71</v>
      </c>
      <c r="J353" s="126">
        <f t="shared" ref="J353:J354" si="6">G353-I353</f>
        <v>3887100</v>
      </c>
    </row>
    <row r="354" spans="1:10">
      <c r="A354" s="126" t="s">
        <v>703</v>
      </c>
      <c r="B354" s="126">
        <v>0</v>
      </c>
      <c r="C354" s="126">
        <v>1450000</v>
      </c>
      <c r="D354" s="126">
        <v>0</v>
      </c>
      <c r="E354" s="126">
        <v>1450000</v>
      </c>
      <c r="G354" s="126">
        <f t="shared" si="5"/>
        <v>1450000</v>
      </c>
      <c r="H354" s="126" t="s">
        <v>71</v>
      </c>
      <c r="J354" s="126">
        <f t="shared" si="6"/>
        <v>1450000</v>
      </c>
    </row>
    <row r="355" spans="1:10">
      <c r="A355" s="168" t="s">
        <v>356</v>
      </c>
      <c r="B355" s="126">
        <v>0</v>
      </c>
      <c r="C355" s="126">
        <v>313632</v>
      </c>
      <c r="D355" s="126">
        <v>30486.47</v>
      </c>
      <c r="E355" s="126">
        <v>283145.53000000003</v>
      </c>
      <c r="G355" s="126">
        <f t="shared" si="5"/>
        <v>283145.53000000003</v>
      </c>
      <c r="H355" s="147" t="s">
        <v>73</v>
      </c>
    </row>
    <row r="356" spans="1:10">
      <c r="A356" s="126" t="s">
        <v>340</v>
      </c>
      <c r="B356" s="126">
        <v>0</v>
      </c>
      <c r="C356" s="126">
        <v>52727872.740000002</v>
      </c>
      <c r="D356" s="126">
        <v>55384.56</v>
      </c>
      <c r="E356" s="126">
        <v>52672488.18</v>
      </c>
      <c r="G356" s="126">
        <f t="shared" si="5"/>
        <v>52672488.18</v>
      </c>
      <c r="H356" s="126" t="s">
        <v>59</v>
      </c>
    </row>
    <row r="357" spans="1:10">
      <c r="A357" s="126" t="s">
        <v>343</v>
      </c>
      <c r="B357" s="126">
        <v>0</v>
      </c>
      <c r="C357" s="126">
        <v>181710</v>
      </c>
      <c r="D357" s="126">
        <v>0</v>
      </c>
      <c r="E357" s="126">
        <v>181710</v>
      </c>
      <c r="G357" s="126">
        <f t="shared" si="5"/>
        <v>181710</v>
      </c>
      <c r="H357" s="126" t="s">
        <v>67</v>
      </c>
    </row>
    <row r="358" spans="1:10">
      <c r="A358" s="126" t="s">
        <v>335</v>
      </c>
      <c r="B358" s="126">
        <v>0</v>
      </c>
      <c r="C358" s="126">
        <v>644249</v>
      </c>
      <c r="D358" s="126">
        <v>96272</v>
      </c>
      <c r="E358" s="126">
        <v>547977</v>
      </c>
      <c r="G358" s="126">
        <f t="shared" si="5"/>
        <v>547977</v>
      </c>
      <c r="H358" s="126" t="s">
        <v>71</v>
      </c>
      <c r="J358" s="126">
        <f>G358-I358</f>
        <v>547977</v>
      </c>
    </row>
    <row r="359" spans="1:10">
      <c r="A359" s="126" t="s">
        <v>314</v>
      </c>
      <c r="B359" s="126">
        <v>0</v>
      </c>
      <c r="C359" s="126">
        <v>1622151.85</v>
      </c>
      <c r="D359" s="126">
        <v>0</v>
      </c>
      <c r="E359" s="126">
        <v>1622151.85</v>
      </c>
      <c r="G359" s="126">
        <f t="shared" si="5"/>
        <v>1622151.85</v>
      </c>
      <c r="H359" s="126" t="s">
        <v>60</v>
      </c>
    </row>
    <row r="360" spans="1:10">
      <c r="A360" s="126" t="s">
        <v>319</v>
      </c>
      <c r="B360" s="126">
        <v>0</v>
      </c>
      <c r="C360" s="126">
        <v>27922269.699999999</v>
      </c>
      <c r="D360" s="126">
        <v>0</v>
      </c>
      <c r="E360" s="126">
        <v>27922269.699999999</v>
      </c>
      <c r="G360" s="126">
        <f t="shared" si="5"/>
        <v>27922269.699999999</v>
      </c>
      <c r="H360" s="126" t="s">
        <v>9</v>
      </c>
    </row>
    <row r="361" spans="1:10">
      <c r="A361" s="126" t="s">
        <v>322</v>
      </c>
      <c r="B361" s="126">
        <v>0</v>
      </c>
      <c r="C361" s="126">
        <v>3903950.5</v>
      </c>
      <c r="D361" s="126">
        <v>1750</v>
      </c>
      <c r="E361" s="126">
        <v>3902200.5</v>
      </c>
      <c r="G361" s="126">
        <f t="shared" si="5"/>
        <v>3902200.5</v>
      </c>
      <c r="H361" s="126" t="s">
        <v>11</v>
      </c>
    </row>
    <row r="362" spans="1:10">
      <c r="A362" s="126" t="s">
        <v>704</v>
      </c>
      <c r="B362" s="126">
        <v>0</v>
      </c>
      <c r="C362" s="126">
        <v>0</v>
      </c>
      <c r="D362" s="126">
        <v>36870023</v>
      </c>
      <c r="E362" s="126">
        <v>-36870023</v>
      </c>
      <c r="G362" s="126">
        <f t="shared" si="5"/>
        <v>-36870023</v>
      </c>
      <c r="H362" s="126" t="s">
        <v>80</v>
      </c>
    </row>
    <row r="363" spans="1:10">
      <c r="A363" s="126" t="s">
        <v>317</v>
      </c>
      <c r="B363" s="126">
        <v>0</v>
      </c>
      <c r="C363" s="126">
        <v>6530859.4000000004</v>
      </c>
      <c r="D363" s="126">
        <v>0</v>
      </c>
      <c r="E363" s="126">
        <v>6530859.4000000004</v>
      </c>
      <c r="G363" s="126">
        <f t="shared" si="5"/>
        <v>6530859.4000000004</v>
      </c>
      <c r="H363" s="126" t="s">
        <v>9</v>
      </c>
    </row>
    <row r="364" spans="1:10">
      <c r="A364" s="126" t="s">
        <v>321</v>
      </c>
      <c r="B364" s="126">
        <v>0</v>
      </c>
      <c r="C364" s="126">
        <v>235562698.75</v>
      </c>
      <c r="D364" s="126">
        <v>0</v>
      </c>
      <c r="E364" s="126">
        <v>235562698.75</v>
      </c>
      <c r="G364" s="126">
        <f t="shared" si="5"/>
        <v>235562698.75</v>
      </c>
      <c r="H364" s="126" t="s">
        <v>9</v>
      </c>
    </row>
    <row r="365" spans="1:10">
      <c r="A365" s="126" t="s">
        <v>1149</v>
      </c>
      <c r="B365" s="126">
        <v>0</v>
      </c>
      <c r="C365" s="126">
        <v>13513</v>
      </c>
      <c r="D365" s="126">
        <v>0</v>
      </c>
      <c r="E365" s="126">
        <v>13513</v>
      </c>
      <c r="G365" s="126">
        <f t="shared" si="5"/>
        <v>13513</v>
      </c>
      <c r="H365" s="126" t="s">
        <v>44</v>
      </c>
    </row>
    <row r="366" spans="1:10">
      <c r="A366" s="126" t="s">
        <v>318</v>
      </c>
      <c r="B366" s="126">
        <v>0</v>
      </c>
      <c r="C366" s="126">
        <v>4199693.8499999996</v>
      </c>
      <c r="D366" s="126">
        <v>0</v>
      </c>
      <c r="E366" s="126">
        <v>4199693.8499999996</v>
      </c>
      <c r="G366" s="126">
        <f t="shared" si="5"/>
        <v>4199693.8499999996</v>
      </c>
      <c r="H366" s="126" t="s">
        <v>44</v>
      </c>
    </row>
    <row r="367" spans="1:10">
      <c r="A367" s="126" t="s">
        <v>475</v>
      </c>
      <c r="B367" s="126">
        <v>0</v>
      </c>
      <c r="C367" s="126">
        <v>54130</v>
      </c>
      <c r="D367" s="126">
        <v>48300</v>
      </c>
      <c r="E367" s="126">
        <v>5830</v>
      </c>
      <c r="G367" s="126">
        <f t="shared" si="5"/>
        <v>5830</v>
      </c>
      <c r="H367" s="126" t="s">
        <v>44</v>
      </c>
    </row>
    <row r="368" spans="1:10">
      <c r="A368" s="126" t="s">
        <v>323</v>
      </c>
      <c r="B368" s="126">
        <v>0</v>
      </c>
      <c r="C368" s="126">
        <v>6557054.3300000001</v>
      </c>
      <c r="D368" s="126">
        <v>0</v>
      </c>
      <c r="E368" s="126">
        <v>6557054.3300000001</v>
      </c>
      <c r="G368" s="126">
        <f t="shared" si="5"/>
        <v>6557054.3300000001</v>
      </c>
      <c r="H368" s="126" t="s">
        <v>44</v>
      </c>
    </row>
    <row r="369" spans="1:10">
      <c r="A369" s="126" t="s">
        <v>320</v>
      </c>
      <c r="B369" s="126">
        <v>0</v>
      </c>
      <c r="C369" s="126">
        <v>18230800</v>
      </c>
      <c r="D369" s="126">
        <v>0</v>
      </c>
      <c r="E369" s="126">
        <v>18230800</v>
      </c>
      <c r="G369" s="126">
        <f t="shared" si="5"/>
        <v>18230800</v>
      </c>
      <c r="H369" s="126" t="s">
        <v>9</v>
      </c>
    </row>
    <row r="370" spans="1:10">
      <c r="A370" s="126" t="s">
        <v>1434</v>
      </c>
      <c r="B370" s="126">
        <v>0</v>
      </c>
      <c r="C370" s="126">
        <v>58000</v>
      </c>
      <c r="D370" s="126">
        <v>0</v>
      </c>
      <c r="E370" s="126">
        <v>58000</v>
      </c>
      <c r="G370" s="126">
        <f t="shared" si="5"/>
        <v>58000</v>
      </c>
      <c r="H370" s="126" t="s">
        <v>71</v>
      </c>
      <c r="I370" s="126" t="e">
        <f>#REF!</f>
        <v>#REF!</v>
      </c>
      <c r="J370" s="126" t="e">
        <f>G370-I370</f>
        <v>#REF!</v>
      </c>
    </row>
    <row r="371" spans="1:10">
      <c r="A371" s="126" t="s">
        <v>355</v>
      </c>
      <c r="B371" s="126">
        <v>0</v>
      </c>
      <c r="C371" s="126">
        <v>103790</v>
      </c>
      <c r="D371" s="126">
        <v>0</v>
      </c>
      <c r="E371" s="126">
        <v>103790</v>
      </c>
      <c r="G371" s="126">
        <f t="shared" si="5"/>
        <v>103790</v>
      </c>
      <c r="H371" s="126" t="s">
        <v>66</v>
      </c>
    </row>
    <row r="372" spans="1:10">
      <c r="A372" s="126" t="s">
        <v>1150</v>
      </c>
      <c r="B372" s="126">
        <v>0</v>
      </c>
      <c r="C372" s="126">
        <v>137398</v>
      </c>
      <c r="D372" s="126">
        <v>0</v>
      </c>
      <c r="E372" s="126">
        <v>137398</v>
      </c>
      <c r="G372" s="126">
        <f t="shared" si="5"/>
        <v>137398</v>
      </c>
      <c r="H372" s="182" t="s">
        <v>71</v>
      </c>
      <c r="J372" s="126">
        <f>G372-I372</f>
        <v>137398</v>
      </c>
    </row>
    <row r="373" spans="1:10">
      <c r="A373" s="126" t="s">
        <v>1435</v>
      </c>
      <c r="B373" s="126">
        <v>0</v>
      </c>
      <c r="C373" s="126">
        <v>0</v>
      </c>
      <c r="D373" s="126">
        <v>1.1100000000000001</v>
      </c>
      <c r="E373" s="126">
        <v>-1.1100000000000001</v>
      </c>
      <c r="G373" s="126">
        <f t="shared" si="5"/>
        <v>-1.1100000000000001</v>
      </c>
      <c r="H373" s="126" t="s">
        <v>80</v>
      </c>
    </row>
    <row r="374" spans="1:10">
      <c r="A374" s="126" t="s">
        <v>1151</v>
      </c>
      <c r="B374" s="126">
        <v>0</v>
      </c>
      <c r="C374" s="126">
        <v>100000</v>
      </c>
      <c r="D374" s="126">
        <v>0</v>
      </c>
      <c r="E374" s="126">
        <v>100000</v>
      </c>
      <c r="G374" s="126">
        <f t="shared" si="5"/>
        <v>100000</v>
      </c>
      <c r="H374" s="126" t="s">
        <v>71</v>
      </c>
      <c r="J374" s="126">
        <f t="shared" ref="J374:J375" si="7">G374-I374</f>
        <v>100000</v>
      </c>
    </row>
    <row r="375" spans="1:10">
      <c r="A375" s="126" t="s">
        <v>358</v>
      </c>
      <c r="B375" s="126">
        <v>0</v>
      </c>
      <c r="C375" s="126">
        <v>10000</v>
      </c>
      <c r="D375" s="126">
        <v>0</v>
      </c>
      <c r="E375" s="126">
        <v>10000</v>
      </c>
      <c r="G375" s="126">
        <f t="shared" si="5"/>
        <v>10000</v>
      </c>
      <c r="H375" s="126" t="s">
        <v>71</v>
      </c>
      <c r="J375" s="126">
        <f t="shared" si="7"/>
        <v>10000</v>
      </c>
    </row>
    <row r="376" spans="1:10">
      <c r="A376" s="126" t="s">
        <v>1152</v>
      </c>
      <c r="B376" s="126">
        <v>0</v>
      </c>
      <c r="C376" s="126">
        <v>1476276.2</v>
      </c>
      <c r="D376" s="126">
        <v>0</v>
      </c>
      <c r="E376" s="126">
        <v>1476276.2</v>
      </c>
      <c r="G376" s="126">
        <f t="shared" si="5"/>
        <v>1476276.2</v>
      </c>
      <c r="H376" s="126" t="s">
        <v>60</v>
      </c>
    </row>
    <row r="377" spans="1:10">
      <c r="A377" s="126" t="s">
        <v>1153</v>
      </c>
      <c r="B377" s="126">
        <v>0</v>
      </c>
      <c r="C377" s="126">
        <v>4550</v>
      </c>
      <c r="D377" s="126">
        <v>0</v>
      </c>
      <c r="E377" s="126">
        <v>4550</v>
      </c>
      <c r="F377" s="126">
        <v>-4550</v>
      </c>
      <c r="G377" s="126">
        <f t="shared" si="5"/>
        <v>0</v>
      </c>
      <c r="H377" s="126" t="s">
        <v>71</v>
      </c>
      <c r="J377" s="126">
        <f t="shared" ref="J377:J380" si="8">G377-I377</f>
        <v>0</v>
      </c>
    </row>
    <row r="378" spans="1:10">
      <c r="A378" s="135" t="s">
        <v>1436</v>
      </c>
      <c r="B378" s="126">
        <v>0</v>
      </c>
      <c r="C378" s="126">
        <v>70058</v>
      </c>
      <c r="D378" s="126">
        <v>0</v>
      </c>
      <c r="E378" s="126">
        <v>70058</v>
      </c>
      <c r="G378" s="126">
        <f t="shared" si="5"/>
        <v>70058</v>
      </c>
      <c r="H378" s="126" t="s">
        <v>71</v>
      </c>
      <c r="I378" s="126" t="e">
        <f>#REF!</f>
        <v>#REF!</v>
      </c>
      <c r="J378" s="126" t="e">
        <f t="shared" si="8"/>
        <v>#REF!</v>
      </c>
    </row>
    <row r="379" spans="1:10">
      <c r="A379" s="126" t="s">
        <v>325</v>
      </c>
      <c r="B379" s="126">
        <v>0</v>
      </c>
      <c r="C379" s="126">
        <v>20137</v>
      </c>
      <c r="D379" s="126">
        <v>0</v>
      </c>
      <c r="E379" s="126">
        <v>20137</v>
      </c>
      <c r="G379" s="126">
        <f t="shared" si="5"/>
        <v>20137</v>
      </c>
      <c r="H379" s="126" t="s">
        <v>71</v>
      </c>
      <c r="J379" s="126">
        <f t="shared" si="8"/>
        <v>20137</v>
      </c>
    </row>
    <row r="380" spans="1:10">
      <c r="A380" s="126" t="s">
        <v>326</v>
      </c>
      <c r="B380" s="126">
        <v>0</v>
      </c>
      <c r="C380" s="126">
        <v>95576</v>
      </c>
      <c r="D380" s="126">
        <v>0</v>
      </c>
      <c r="E380" s="126">
        <v>95576</v>
      </c>
      <c r="G380" s="126">
        <f t="shared" si="5"/>
        <v>95576</v>
      </c>
      <c r="H380" s="126" t="s">
        <v>71</v>
      </c>
      <c r="J380" s="126">
        <f t="shared" si="8"/>
        <v>95576</v>
      </c>
    </row>
    <row r="381" spans="1:10">
      <c r="A381" s="126" t="s">
        <v>331</v>
      </c>
      <c r="B381" s="126">
        <v>0</v>
      </c>
      <c r="C381" s="126">
        <v>94290.2</v>
      </c>
      <c r="D381" s="126">
        <v>0</v>
      </c>
      <c r="E381" s="126">
        <v>94290.2</v>
      </c>
      <c r="G381" s="126">
        <f t="shared" si="5"/>
        <v>94290.2</v>
      </c>
      <c r="H381" s="126" t="s">
        <v>66</v>
      </c>
    </row>
    <row r="382" spans="1:10">
      <c r="A382" s="126" t="s">
        <v>332</v>
      </c>
      <c r="B382" s="126">
        <v>0</v>
      </c>
      <c r="C382" s="126">
        <v>33980</v>
      </c>
      <c r="D382" s="126">
        <v>0</v>
      </c>
      <c r="E382" s="126">
        <v>33980</v>
      </c>
      <c r="G382" s="126">
        <f t="shared" si="5"/>
        <v>33980</v>
      </c>
      <c r="H382" s="126" t="s">
        <v>71</v>
      </c>
      <c r="J382" s="126">
        <f t="shared" ref="J382:J383" si="9">G382-I382</f>
        <v>33980</v>
      </c>
    </row>
    <row r="383" spans="1:10">
      <c r="A383" s="126" t="s">
        <v>333</v>
      </c>
      <c r="B383" s="126">
        <v>0</v>
      </c>
      <c r="C383" s="126">
        <v>130683</v>
      </c>
      <c r="D383" s="126">
        <v>0</v>
      </c>
      <c r="E383" s="126">
        <v>130683</v>
      </c>
      <c r="G383" s="126">
        <f t="shared" si="5"/>
        <v>130683</v>
      </c>
      <c r="H383" s="126" t="s">
        <v>71</v>
      </c>
      <c r="J383" s="126">
        <f t="shared" si="9"/>
        <v>130683</v>
      </c>
    </row>
    <row r="384" spans="1:10">
      <c r="A384" s="126" t="s">
        <v>315</v>
      </c>
      <c r="B384" s="126">
        <v>0</v>
      </c>
      <c r="C384" s="126">
        <v>69.97</v>
      </c>
      <c r="D384" s="126">
        <v>57.17</v>
      </c>
      <c r="E384" s="126">
        <v>12.8</v>
      </c>
      <c r="G384" s="126">
        <f t="shared" si="5"/>
        <v>12.8</v>
      </c>
      <c r="H384" s="126" t="s">
        <v>80</v>
      </c>
    </row>
    <row r="385" spans="1:10">
      <c r="A385" s="126" t="s">
        <v>310</v>
      </c>
      <c r="B385" s="126">
        <v>0</v>
      </c>
      <c r="C385" s="126">
        <v>1125473</v>
      </c>
      <c r="D385" s="126">
        <v>287468</v>
      </c>
      <c r="E385" s="126">
        <v>838005</v>
      </c>
      <c r="G385" s="126">
        <f t="shared" si="5"/>
        <v>838005</v>
      </c>
      <c r="H385" s="126" t="s">
        <v>71</v>
      </c>
      <c r="J385" s="126">
        <f>G385-I385</f>
        <v>838005</v>
      </c>
    </row>
    <row r="386" spans="1:10">
      <c r="A386" s="126" t="s">
        <v>418</v>
      </c>
      <c r="B386" s="126">
        <v>0</v>
      </c>
      <c r="C386" s="126">
        <v>546813</v>
      </c>
      <c r="D386" s="126">
        <v>0</v>
      </c>
      <c r="E386" s="126">
        <v>546813</v>
      </c>
      <c r="G386" s="126">
        <f t="shared" si="5"/>
        <v>546813</v>
      </c>
      <c r="H386" s="126" t="s">
        <v>64</v>
      </c>
    </row>
    <row r="387" spans="1:10">
      <c r="A387" s="126" t="s">
        <v>1154</v>
      </c>
      <c r="B387" s="126">
        <v>0</v>
      </c>
      <c r="C387" s="126">
        <v>4500</v>
      </c>
      <c r="D387" s="126">
        <v>0</v>
      </c>
      <c r="E387" s="126">
        <v>4500</v>
      </c>
      <c r="G387" s="126">
        <f t="shared" ref="G387:G450" si="10">E387+F387</f>
        <v>4500</v>
      </c>
      <c r="H387" s="126" t="s">
        <v>71</v>
      </c>
      <c r="J387" s="126">
        <f t="shared" ref="J387:J392" si="11">G387-I387</f>
        <v>4500</v>
      </c>
    </row>
    <row r="388" spans="1:10">
      <c r="A388" s="126" t="s">
        <v>1155</v>
      </c>
      <c r="B388" s="126">
        <v>0</v>
      </c>
      <c r="C388" s="126">
        <v>777961.12</v>
      </c>
      <c r="D388" s="126">
        <v>0</v>
      </c>
      <c r="E388" s="126">
        <v>777961.12</v>
      </c>
      <c r="G388" s="126">
        <f t="shared" si="10"/>
        <v>777961.12</v>
      </c>
      <c r="H388" s="126" t="s">
        <v>71</v>
      </c>
      <c r="J388" s="126">
        <f t="shared" si="11"/>
        <v>777961.12</v>
      </c>
    </row>
    <row r="389" spans="1:10">
      <c r="A389" s="126" t="s">
        <v>705</v>
      </c>
      <c r="B389" s="126">
        <v>0</v>
      </c>
      <c r="C389" s="126">
        <v>10281.36</v>
      </c>
      <c r="D389" s="126">
        <v>0</v>
      </c>
      <c r="E389" s="126">
        <v>10281.36</v>
      </c>
      <c r="G389" s="126">
        <f t="shared" si="10"/>
        <v>10281.36</v>
      </c>
      <c r="H389" s="126" t="s">
        <v>71</v>
      </c>
      <c r="J389" s="126">
        <f t="shared" si="11"/>
        <v>10281.36</v>
      </c>
    </row>
    <row r="390" spans="1:10">
      <c r="A390" s="126" t="s">
        <v>311</v>
      </c>
      <c r="B390" s="126">
        <v>0</v>
      </c>
      <c r="C390" s="126">
        <v>53481.96</v>
      </c>
      <c r="D390" s="126">
        <v>0</v>
      </c>
      <c r="E390" s="126">
        <v>53481.96</v>
      </c>
      <c r="G390" s="126">
        <f t="shared" si="10"/>
        <v>53481.96</v>
      </c>
      <c r="H390" s="126" t="s">
        <v>71</v>
      </c>
      <c r="J390" s="126">
        <f t="shared" si="11"/>
        <v>53481.96</v>
      </c>
    </row>
    <row r="391" spans="1:10">
      <c r="A391" s="126" t="s">
        <v>312</v>
      </c>
      <c r="B391" s="126">
        <v>0</v>
      </c>
      <c r="C391" s="126">
        <v>50</v>
      </c>
      <c r="D391" s="126">
        <v>0</v>
      </c>
      <c r="E391" s="126">
        <v>50</v>
      </c>
      <c r="G391" s="126">
        <f t="shared" si="10"/>
        <v>50</v>
      </c>
      <c r="H391" s="126" t="s">
        <v>71</v>
      </c>
      <c r="J391" s="126">
        <f t="shared" si="11"/>
        <v>50</v>
      </c>
    </row>
    <row r="392" spans="1:10">
      <c r="A392" s="126" t="s">
        <v>313</v>
      </c>
      <c r="B392" s="126">
        <v>0</v>
      </c>
      <c r="C392" s="126">
        <v>44688.1</v>
      </c>
      <c r="D392" s="126">
        <v>2110</v>
      </c>
      <c r="E392" s="126">
        <v>42578.1</v>
      </c>
      <c r="G392" s="126">
        <f t="shared" si="10"/>
        <v>42578.1</v>
      </c>
      <c r="H392" s="126" t="s">
        <v>71</v>
      </c>
      <c r="J392" s="126">
        <f t="shared" si="11"/>
        <v>42578.1</v>
      </c>
    </row>
    <row r="393" spans="1:10">
      <c r="A393" s="126" t="s">
        <v>1156</v>
      </c>
      <c r="B393" s="126">
        <v>0</v>
      </c>
      <c r="C393" s="126">
        <v>145600</v>
      </c>
      <c r="D393" s="126">
        <v>0</v>
      </c>
      <c r="E393" s="126">
        <v>145600</v>
      </c>
      <c r="G393" s="126">
        <f t="shared" si="10"/>
        <v>145600</v>
      </c>
      <c r="H393" s="126" t="s">
        <v>66</v>
      </c>
    </row>
    <row r="394" spans="1:10">
      <c r="A394" s="126" t="s">
        <v>1157</v>
      </c>
      <c r="B394" s="126">
        <v>0</v>
      </c>
      <c r="C394" s="126">
        <v>320000</v>
      </c>
      <c r="D394" s="126">
        <v>0</v>
      </c>
      <c r="E394" s="126">
        <v>320000</v>
      </c>
      <c r="G394" s="126">
        <f t="shared" si="10"/>
        <v>320000</v>
      </c>
      <c r="H394" s="126" t="s">
        <v>66</v>
      </c>
    </row>
    <row r="395" spans="1:10">
      <c r="A395" s="126" t="s">
        <v>1437</v>
      </c>
      <c r="B395" s="126">
        <v>0</v>
      </c>
      <c r="C395" s="126">
        <v>12595510.210000001</v>
      </c>
      <c r="D395" s="126">
        <v>0</v>
      </c>
      <c r="E395" s="126">
        <v>12595510.210000001</v>
      </c>
      <c r="G395" s="126">
        <f t="shared" si="10"/>
        <v>12595510.210000001</v>
      </c>
      <c r="H395" s="126" t="s">
        <v>1053</v>
      </c>
    </row>
    <row r="396" spans="1:10">
      <c r="A396" s="126" t="s">
        <v>1438</v>
      </c>
      <c r="B396" s="126">
        <v>0</v>
      </c>
      <c r="C396" s="126">
        <v>60245</v>
      </c>
      <c r="D396" s="126">
        <v>0</v>
      </c>
      <c r="E396" s="126">
        <v>60245</v>
      </c>
      <c r="G396" s="126">
        <f t="shared" si="10"/>
        <v>60245</v>
      </c>
      <c r="H396" s="126" t="s">
        <v>54</v>
      </c>
    </row>
    <row r="397" spans="1:10">
      <c r="A397" s="180" t="s">
        <v>329</v>
      </c>
      <c r="B397" s="126">
        <v>0</v>
      </c>
      <c r="C397" s="126">
        <v>93158</v>
      </c>
      <c r="D397" s="126">
        <v>26644</v>
      </c>
      <c r="E397" s="126">
        <v>66514</v>
      </c>
      <c r="G397" s="126">
        <f t="shared" si="10"/>
        <v>66514</v>
      </c>
      <c r="H397" s="126" t="s">
        <v>52</v>
      </c>
    </row>
    <row r="398" spans="1:10">
      <c r="A398" s="126" t="s">
        <v>330</v>
      </c>
      <c r="B398" s="126">
        <v>0</v>
      </c>
      <c r="C398" s="126">
        <v>2326749</v>
      </c>
      <c r="D398" s="126">
        <v>665196</v>
      </c>
      <c r="E398" s="126">
        <v>1661553</v>
      </c>
      <c r="G398" s="126">
        <f t="shared" si="10"/>
        <v>1661553</v>
      </c>
      <c r="H398" s="126" t="s">
        <v>52</v>
      </c>
    </row>
    <row r="399" spans="1:10">
      <c r="A399" s="126" t="s">
        <v>364</v>
      </c>
      <c r="B399" s="126">
        <v>0</v>
      </c>
      <c r="C399" s="126">
        <v>187196</v>
      </c>
      <c r="D399" s="126">
        <v>0</v>
      </c>
      <c r="E399" s="126">
        <v>187196</v>
      </c>
      <c r="G399" s="126">
        <f t="shared" si="10"/>
        <v>187196</v>
      </c>
      <c r="H399" s="126" t="s">
        <v>51</v>
      </c>
      <c r="I399" s="126" t="e">
        <f>#REF!</f>
        <v>#REF!</v>
      </c>
      <c r="J399" s="126" t="e">
        <f t="shared" ref="J399:J420" si="12">G399-I399</f>
        <v>#REF!</v>
      </c>
    </row>
    <row r="400" spans="1:10">
      <c r="A400" s="126" t="s">
        <v>365</v>
      </c>
      <c r="B400" s="126">
        <v>0</v>
      </c>
      <c r="C400" s="126">
        <v>4810535.7300000004</v>
      </c>
      <c r="D400" s="126">
        <v>347978</v>
      </c>
      <c r="E400" s="126">
        <v>4462557.7300000004</v>
      </c>
      <c r="G400" s="126">
        <f t="shared" si="10"/>
        <v>4462557.7300000004</v>
      </c>
      <c r="H400" s="126" t="s">
        <v>51</v>
      </c>
      <c r="I400" s="126" t="e">
        <f>#REF!</f>
        <v>#REF!</v>
      </c>
      <c r="J400" s="126" t="e">
        <f t="shared" si="12"/>
        <v>#REF!</v>
      </c>
    </row>
    <row r="401" spans="1:10">
      <c r="A401" s="126" t="s">
        <v>366</v>
      </c>
      <c r="B401" s="126">
        <v>0</v>
      </c>
      <c r="C401" s="126">
        <v>12457</v>
      </c>
      <c r="D401" s="126">
        <v>0</v>
      </c>
      <c r="E401" s="126">
        <v>12457</v>
      </c>
      <c r="G401" s="126">
        <f t="shared" si="10"/>
        <v>12457</v>
      </c>
      <c r="H401" s="126" t="s">
        <v>51</v>
      </c>
      <c r="I401" s="126" t="e">
        <f>#REF!</f>
        <v>#REF!</v>
      </c>
      <c r="J401" s="126" t="e">
        <f t="shared" si="12"/>
        <v>#REF!</v>
      </c>
    </row>
    <row r="402" spans="1:10">
      <c r="A402" s="126" t="s">
        <v>706</v>
      </c>
      <c r="B402" s="126">
        <v>0</v>
      </c>
      <c r="C402" s="126">
        <v>600</v>
      </c>
      <c r="D402" s="126">
        <v>0</v>
      </c>
      <c r="E402" s="126">
        <v>600</v>
      </c>
      <c r="G402" s="126">
        <f t="shared" si="10"/>
        <v>600</v>
      </c>
      <c r="H402" s="126" t="s">
        <v>51</v>
      </c>
      <c r="I402" s="126" t="e">
        <f>#REF!</f>
        <v>#REF!</v>
      </c>
      <c r="J402" s="126" t="e">
        <f t="shared" si="12"/>
        <v>#REF!</v>
      </c>
    </row>
    <row r="403" spans="1:10">
      <c r="A403" s="126" t="s">
        <v>367</v>
      </c>
      <c r="B403" s="126">
        <v>0</v>
      </c>
      <c r="C403" s="126">
        <v>9980884</v>
      </c>
      <c r="D403" s="126">
        <v>0</v>
      </c>
      <c r="E403" s="126">
        <v>9980884</v>
      </c>
      <c r="G403" s="126">
        <f t="shared" si="10"/>
        <v>9980884</v>
      </c>
      <c r="H403" s="126" t="s">
        <v>51</v>
      </c>
      <c r="I403" s="126" t="e">
        <f>#REF!</f>
        <v>#REF!</v>
      </c>
      <c r="J403" s="126" t="e">
        <f t="shared" si="12"/>
        <v>#REF!</v>
      </c>
    </row>
    <row r="404" spans="1:10">
      <c r="A404" s="126" t="s">
        <v>368</v>
      </c>
      <c r="B404" s="126">
        <v>0</v>
      </c>
      <c r="C404" s="126">
        <v>884620</v>
      </c>
      <c r="D404" s="126">
        <v>0</v>
      </c>
      <c r="E404" s="126">
        <v>884620</v>
      </c>
      <c r="G404" s="126">
        <f t="shared" si="10"/>
        <v>884620</v>
      </c>
      <c r="H404" s="126" t="s">
        <v>51</v>
      </c>
      <c r="I404" s="126" t="e">
        <f>#REF!</f>
        <v>#REF!</v>
      </c>
      <c r="J404" s="126" t="e">
        <f t="shared" si="12"/>
        <v>#REF!</v>
      </c>
    </row>
    <row r="405" spans="1:10">
      <c r="A405" s="126" t="s">
        <v>369</v>
      </c>
      <c r="B405" s="126">
        <v>0</v>
      </c>
      <c r="C405" s="126">
        <v>410765</v>
      </c>
      <c r="D405" s="126">
        <v>0</v>
      </c>
      <c r="E405" s="126">
        <v>410765</v>
      </c>
      <c r="G405" s="126">
        <f t="shared" si="10"/>
        <v>410765</v>
      </c>
      <c r="H405" s="126" t="s">
        <v>51</v>
      </c>
      <c r="I405" s="126" t="e">
        <f>#REF!</f>
        <v>#REF!</v>
      </c>
      <c r="J405" s="126" t="e">
        <f t="shared" si="12"/>
        <v>#REF!</v>
      </c>
    </row>
    <row r="406" spans="1:10">
      <c r="A406" s="126" t="s">
        <v>370</v>
      </c>
      <c r="B406" s="126">
        <v>0</v>
      </c>
      <c r="C406" s="126">
        <v>470369</v>
      </c>
      <c r="D406" s="126">
        <v>0</v>
      </c>
      <c r="E406" s="126">
        <v>470369</v>
      </c>
      <c r="G406" s="126">
        <f t="shared" si="10"/>
        <v>470369</v>
      </c>
      <c r="H406" s="126" t="s">
        <v>51</v>
      </c>
      <c r="I406" s="126" t="e">
        <f>#REF!</f>
        <v>#REF!</v>
      </c>
      <c r="J406" s="126" t="e">
        <f t="shared" si="12"/>
        <v>#REF!</v>
      </c>
    </row>
    <row r="407" spans="1:10">
      <c r="A407" s="126" t="s">
        <v>371</v>
      </c>
      <c r="B407" s="126">
        <v>0</v>
      </c>
      <c r="C407" s="126">
        <v>880440</v>
      </c>
      <c r="D407" s="126">
        <v>0</v>
      </c>
      <c r="E407" s="126">
        <v>880440</v>
      </c>
      <c r="G407" s="126">
        <f t="shared" si="10"/>
        <v>880440</v>
      </c>
      <c r="H407" s="126" t="s">
        <v>51</v>
      </c>
      <c r="I407" s="126" t="e">
        <f>#REF!</f>
        <v>#REF!</v>
      </c>
      <c r="J407" s="126" t="e">
        <f t="shared" si="12"/>
        <v>#REF!</v>
      </c>
    </row>
    <row r="408" spans="1:10">
      <c r="A408" s="126" t="s">
        <v>372</v>
      </c>
      <c r="B408" s="126">
        <v>0</v>
      </c>
      <c r="C408" s="126">
        <v>299240</v>
      </c>
      <c r="D408" s="126">
        <v>0</v>
      </c>
      <c r="E408" s="126">
        <v>299240</v>
      </c>
      <c r="G408" s="126">
        <f t="shared" si="10"/>
        <v>299240</v>
      </c>
      <c r="H408" s="126" t="s">
        <v>51</v>
      </c>
      <c r="I408" s="126" t="e">
        <f>#REF!</f>
        <v>#REF!</v>
      </c>
      <c r="J408" s="126" t="e">
        <f t="shared" si="12"/>
        <v>#REF!</v>
      </c>
    </row>
    <row r="409" spans="1:10">
      <c r="A409" s="126" t="s">
        <v>373</v>
      </c>
      <c r="B409" s="126">
        <v>0</v>
      </c>
      <c r="C409" s="126">
        <v>924371</v>
      </c>
      <c r="D409" s="126">
        <v>0</v>
      </c>
      <c r="E409" s="126">
        <v>924371</v>
      </c>
      <c r="G409" s="126">
        <f t="shared" si="10"/>
        <v>924371</v>
      </c>
      <c r="H409" s="126" t="s">
        <v>51</v>
      </c>
      <c r="I409" s="126" t="e">
        <f>#REF!</f>
        <v>#REF!</v>
      </c>
      <c r="J409" s="126" t="e">
        <f t="shared" si="12"/>
        <v>#REF!</v>
      </c>
    </row>
    <row r="410" spans="1:10">
      <c r="A410" s="126" t="s">
        <v>1158</v>
      </c>
      <c r="B410" s="126">
        <v>0</v>
      </c>
      <c r="C410" s="126">
        <v>20384</v>
      </c>
      <c r="D410" s="126">
        <v>0</v>
      </c>
      <c r="E410" s="126">
        <v>20384</v>
      </c>
      <c r="G410" s="126">
        <f t="shared" si="10"/>
        <v>20384</v>
      </c>
      <c r="H410" s="126" t="s">
        <v>51</v>
      </c>
      <c r="I410" s="126" t="e">
        <f>#REF!</f>
        <v>#REF!</v>
      </c>
      <c r="J410" s="126" t="e">
        <f t="shared" si="12"/>
        <v>#REF!</v>
      </c>
    </row>
    <row r="411" spans="1:10">
      <c r="A411" s="126" t="s">
        <v>374</v>
      </c>
      <c r="B411" s="126">
        <v>0</v>
      </c>
      <c r="C411" s="126">
        <v>3491391.57</v>
      </c>
      <c r="D411" s="126">
        <v>0</v>
      </c>
      <c r="E411" s="126">
        <v>3491391.57</v>
      </c>
      <c r="G411" s="126">
        <f t="shared" si="10"/>
        <v>3491391.57</v>
      </c>
      <c r="H411" s="126" t="s">
        <v>51</v>
      </c>
      <c r="I411" s="126" t="e">
        <f>#REF!</f>
        <v>#REF!</v>
      </c>
      <c r="J411" s="126" t="e">
        <f t="shared" si="12"/>
        <v>#REF!</v>
      </c>
    </row>
    <row r="412" spans="1:10">
      <c r="A412" s="126" t="s">
        <v>363</v>
      </c>
      <c r="B412" s="126">
        <v>0</v>
      </c>
      <c r="C412" s="126">
        <v>297150</v>
      </c>
      <c r="D412" s="126">
        <v>0</v>
      </c>
      <c r="E412" s="126">
        <v>297150</v>
      </c>
      <c r="G412" s="126">
        <f t="shared" si="10"/>
        <v>297150</v>
      </c>
      <c r="H412" s="126" t="s">
        <v>51</v>
      </c>
      <c r="I412" s="126" t="e">
        <f>#REF!</f>
        <v>#REF!</v>
      </c>
      <c r="J412" s="126" t="e">
        <f t="shared" si="12"/>
        <v>#REF!</v>
      </c>
    </row>
    <row r="413" spans="1:10">
      <c r="A413" s="126" t="s">
        <v>707</v>
      </c>
      <c r="B413" s="126">
        <v>0</v>
      </c>
      <c r="C413" s="126">
        <v>1110240</v>
      </c>
      <c r="D413" s="126">
        <v>321950</v>
      </c>
      <c r="E413" s="126">
        <v>788290</v>
      </c>
      <c r="F413" s="126">
        <v>289024</v>
      </c>
      <c r="G413" s="126">
        <f t="shared" si="10"/>
        <v>1077314</v>
      </c>
      <c r="H413" s="126" t="s">
        <v>51</v>
      </c>
      <c r="I413" s="126" t="e">
        <f>#REF!</f>
        <v>#REF!</v>
      </c>
      <c r="J413" s="126" t="e">
        <f t="shared" si="12"/>
        <v>#REF!</v>
      </c>
    </row>
    <row r="414" spans="1:10">
      <c r="A414" s="126" t="s">
        <v>1542</v>
      </c>
      <c r="B414" s="126">
        <v>0</v>
      </c>
      <c r="C414" s="126">
        <v>923585</v>
      </c>
      <c r="D414" s="126">
        <v>0</v>
      </c>
      <c r="E414" s="126">
        <v>923585</v>
      </c>
      <c r="G414" s="126">
        <f t="shared" si="10"/>
        <v>923585</v>
      </c>
      <c r="H414" s="126" t="s">
        <v>51</v>
      </c>
      <c r="J414" s="126">
        <f t="shared" si="12"/>
        <v>923585</v>
      </c>
    </row>
    <row r="415" spans="1:10">
      <c r="A415" s="126" t="s">
        <v>708</v>
      </c>
      <c r="B415" s="126">
        <v>0</v>
      </c>
      <c r="C415" s="126">
        <v>1735919</v>
      </c>
      <c r="D415" s="126">
        <v>0</v>
      </c>
      <c r="E415" s="126">
        <v>1735919</v>
      </c>
      <c r="G415" s="126">
        <f t="shared" si="10"/>
        <v>1735919</v>
      </c>
      <c r="H415" s="126" t="s">
        <v>51</v>
      </c>
      <c r="I415" s="126" t="e">
        <f>#REF!</f>
        <v>#REF!</v>
      </c>
      <c r="J415" s="126" t="e">
        <f t="shared" si="12"/>
        <v>#REF!</v>
      </c>
    </row>
    <row r="416" spans="1:10">
      <c r="A416" s="126" t="s">
        <v>352</v>
      </c>
      <c r="B416" s="126">
        <v>0</v>
      </c>
      <c r="C416" s="126">
        <v>5039456</v>
      </c>
      <c r="D416" s="126">
        <v>0</v>
      </c>
      <c r="E416" s="126">
        <v>5039456</v>
      </c>
      <c r="G416" s="126">
        <f t="shared" si="10"/>
        <v>5039456</v>
      </c>
      <c r="H416" s="126" t="s">
        <v>51</v>
      </c>
      <c r="I416" s="126" t="e">
        <f>#REF!</f>
        <v>#REF!</v>
      </c>
      <c r="J416" s="126" t="e">
        <f t="shared" si="12"/>
        <v>#REF!</v>
      </c>
    </row>
    <row r="417" spans="1:10">
      <c r="A417" s="135" t="s">
        <v>327</v>
      </c>
      <c r="B417" s="126">
        <v>0</v>
      </c>
      <c r="C417" s="126">
        <v>0</v>
      </c>
      <c r="D417" s="126">
        <v>102409</v>
      </c>
      <c r="E417" s="126">
        <v>-102409</v>
      </c>
      <c r="G417" s="126">
        <f t="shared" si="10"/>
        <v>-102409</v>
      </c>
      <c r="H417" s="126" t="s">
        <v>51</v>
      </c>
      <c r="I417" s="126" t="e">
        <f>#REF!</f>
        <v>#REF!</v>
      </c>
      <c r="J417" s="126" t="e">
        <f t="shared" si="12"/>
        <v>#REF!</v>
      </c>
    </row>
    <row r="418" spans="1:10">
      <c r="A418" s="126" t="s">
        <v>309</v>
      </c>
      <c r="B418" s="126">
        <v>0</v>
      </c>
      <c r="C418" s="126">
        <v>15507686</v>
      </c>
      <c r="D418" s="126">
        <v>0</v>
      </c>
      <c r="E418" s="126">
        <v>15507686</v>
      </c>
      <c r="G418" s="126">
        <f t="shared" si="10"/>
        <v>15507686</v>
      </c>
      <c r="H418" s="126" t="s">
        <v>51</v>
      </c>
      <c r="I418" s="126" t="e">
        <f>#REF!</f>
        <v>#REF!</v>
      </c>
      <c r="J418" s="126" t="e">
        <f t="shared" si="12"/>
        <v>#REF!</v>
      </c>
    </row>
    <row r="419" spans="1:10">
      <c r="A419" s="126" t="s">
        <v>709</v>
      </c>
      <c r="B419" s="126">
        <v>0</v>
      </c>
      <c r="C419" s="126">
        <v>341631</v>
      </c>
      <c r="D419" s="126">
        <v>0</v>
      </c>
      <c r="E419" s="126">
        <v>341631</v>
      </c>
      <c r="G419" s="126">
        <f t="shared" si="10"/>
        <v>341631</v>
      </c>
      <c r="H419" s="126" t="s">
        <v>51</v>
      </c>
      <c r="I419" s="126" t="e">
        <f>#REF!</f>
        <v>#REF!</v>
      </c>
      <c r="J419" s="126" t="e">
        <f t="shared" si="12"/>
        <v>#REF!</v>
      </c>
    </row>
    <row r="420" spans="1:10">
      <c r="A420" s="126" t="s">
        <v>710</v>
      </c>
      <c r="B420" s="126">
        <v>0</v>
      </c>
      <c r="C420" s="126">
        <v>1238551.5</v>
      </c>
      <c r="D420" s="126">
        <v>0</v>
      </c>
      <c r="E420" s="126">
        <v>1238551.5</v>
      </c>
      <c r="G420" s="126">
        <f t="shared" si="10"/>
        <v>1238551.5</v>
      </c>
      <c r="H420" s="126" t="s">
        <v>51</v>
      </c>
      <c r="I420" s="126" t="e">
        <f>#REF!</f>
        <v>#REF!</v>
      </c>
      <c r="J420" s="126" t="e">
        <f t="shared" si="12"/>
        <v>#REF!</v>
      </c>
    </row>
    <row r="421" spans="1:10">
      <c r="A421" s="126" t="s">
        <v>353</v>
      </c>
      <c r="B421" s="126">
        <v>0</v>
      </c>
      <c r="C421" s="126">
        <v>1064984.24</v>
      </c>
      <c r="D421" s="126">
        <v>177135</v>
      </c>
      <c r="E421" s="126">
        <v>887849.24</v>
      </c>
      <c r="G421" s="126">
        <f t="shared" si="10"/>
        <v>887849.24</v>
      </c>
      <c r="H421" s="126" t="s">
        <v>54</v>
      </c>
    </row>
    <row r="422" spans="1:10">
      <c r="A422" s="126" t="s">
        <v>1439</v>
      </c>
      <c r="B422" s="126">
        <v>0</v>
      </c>
      <c r="C422" s="126">
        <v>480</v>
      </c>
      <c r="D422" s="126">
        <v>0</v>
      </c>
      <c r="E422" s="126">
        <v>480</v>
      </c>
      <c r="G422" s="126">
        <f t="shared" si="10"/>
        <v>480</v>
      </c>
      <c r="H422" s="126" t="s">
        <v>54</v>
      </c>
    </row>
    <row r="423" spans="1:10">
      <c r="A423" s="126" t="s">
        <v>344</v>
      </c>
      <c r="B423" s="126">
        <v>0</v>
      </c>
      <c r="C423" s="126">
        <v>76454</v>
      </c>
      <c r="D423" s="126">
        <v>0</v>
      </c>
      <c r="E423" s="126">
        <v>76454</v>
      </c>
      <c r="G423" s="126">
        <f t="shared" si="10"/>
        <v>76454</v>
      </c>
      <c r="H423" s="126" t="s">
        <v>54</v>
      </c>
    </row>
    <row r="424" spans="1:10">
      <c r="A424" s="126" t="s">
        <v>359</v>
      </c>
      <c r="B424" s="126">
        <v>0</v>
      </c>
      <c r="C424" s="126">
        <v>676676.76</v>
      </c>
      <c r="D424" s="126">
        <v>1669.95</v>
      </c>
      <c r="E424" s="126">
        <v>675006.81</v>
      </c>
      <c r="G424" s="126">
        <f t="shared" si="10"/>
        <v>675006.81</v>
      </c>
      <c r="H424" s="126" t="s">
        <v>1054</v>
      </c>
    </row>
    <row r="425" spans="1:10">
      <c r="A425" s="126" t="s">
        <v>1043</v>
      </c>
      <c r="B425" s="126">
        <v>0</v>
      </c>
      <c r="C425" s="126">
        <v>29500</v>
      </c>
      <c r="D425" s="126">
        <v>0</v>
      </c>
      <c r="E425" s="126">
        <v>29500</v>
      </c>
      <c r="G425" s="126">
        <f t="shared" si="10"/>
        <v>29500</v>
      </c>
      <c r="H425" s="126" t="s">
        <v>1054</v>
      </c>
    </row>
    <row r="426" spans="1:10">
      <c r="A426" s="126" t="s">
        <v>711</v>
      </c>
      <c r="B426" s="126">
        <v>0</v>
      </c>
      <c r="C426" s="126">
        <v>11254.8</v>
      </c>
      <c r="D426" s="126">
        <v>0</v>
      </c>
      <c r="E426" s="126">
        <v>11254.8</v>
      </c>
      <c r="G426" s="126">
        <f t="shared" si="10"/>
        <v>11254.8</v>
      </c>
      <c r="H426" s="126" t="s">
        <v>1054</v>
      </c>
    </row>
    <row r="427" spans="1:10">
      <c r="A427" s="126" t="s">
        <v>712</v>
      </c>
      <c r="B427" s="126">
        <v>0</v>
      </c>
      <c r="C427" s="126">
        <v>2360</v>
      </c>
      <c r="D427" s="126">
        <v>0</v>
      </c>
      <c r="E427" s="126">
        <v>2360</v>
      </c>
      <c r="G427" s="126">
        <f t="shared" si="10"/>
        <v>2360</v>
      </c>
      <c r="H427" s="126" t="s">
        <v>1054</v>
      </c>
    </row>
    <row r="428" spans="1:10">
      <c r="A428" s="126" t="s">
        <v>360</v>
      </c>
      <c r="B428" s="126">
        <v>0</v>
      </c>
      <c r="C428" s="126">
        <v>76282.12</v>
      </c>
      <c r="D428" s="126">
        <v>0</v>
      </c>
      <c r="E428" s="126">
        <v>76282.12</v>
      </c>
      <c r="G428" s="126">
        <f t="shared" si="10"/>
        <v>76282.12</v>
      </c>
      <c r="H428" s="126" t="s">
        <v>1054</v>
      </c>
    </row>
    <row r="429" spans="1:10">
      <c r="A429" s="126" t="s">
        <v>414</v>
      </c>
      <c r="B429" s="126">
        <v>0</v>
      </c>
      <c r="C429" s="126">
        <v>2920</v>
      </c>
      <c r="D429" s="126">
        <v>0</v>
      </c>
      <c r="E429" s="126">
        <v>2920</v>
      </c>
      <c r="G429" s="126">
        <f t="shared" si="10"/>
        <v>2920</v>
      </c>
      <c r="H429" s="126" t="s">
        <v>1054</v>
      </c>
    </row>
    <row r="430" spans="1:10">
      <c r="A430" s="126" t="s">
        <v>361</v>
      </c>
      <c r="B430" s="126">
        <v>0</v>
      </c>
      <c r="C430" s="126">
        <v>6500</v>
      </c>
      <c r="D430" s="126">
        <v>0</v>
      </c>
      <c r="E430" s="126">
        <v>6500</v>
      </c>
      <c r="G430" s="126">
        <f t="shared" si="10"/>
        <v>6500</v>
      </c>
      <c r="H430" s="126" t="s">
        <v>1054</v>
      </c>
    </row>
    <row r="431" spans="1:10">
      <c r="A431" s="126" t="s">
        <v>713</v>
      </c>
      <c r="B431" s="126">
        <v>0</v>
      </c>
      <c r="C431" s="126">
        <v>276710</v>
      </c>
      <c r="D431" s="126">
        <v>0</v>
      </c>
      <c r="E431" s="126">
        <v>276710</v>
      </c>
      <c r="G431" s="126">
        <f t="shared" si="10"/>
        <v>276710</v>
      </c>
      <c r="H431" s="126" t="s">
        <v>1054</v>
      </c>
    </row>
    <row r="432" spans="1:10">
      <c r="A432" s="126" t="s">
        <v>362</v>
      </c>
      <c r="B432" s="126">
        <v>0</v>
      </c>
      <c r="C432" s="126">
        <v>1094172.76</v>
      </c>
      <c r="D432" s="126">
        <v>708677.28</v>
      </c>
      <c r="E432" s="126">
        <v>385495.48</v>
      </c>
      <c r="G432" s="126">
        <f t="shared" si="10"/>
        <v>385495.48</v>
      </c>
      <c r="H432" s="126" t="s">
        <v>1054</v>
      </c>
    </row>
    <row r="433" spans="1:10">
      <c r="A433" s="164" t="s">
        <v>357</v>
      </c>
      <c r="B433" s="126">
        <v>0</v>
      </c>
      <c r="C433" s="126">
        <v>25347838.460000001</v>
      </c>
      <c r="D433" s="126">
        <v>26652179</v>
      </c>
      <c r="E433" s="126">
        <v>-1304340.54</v>
      </c>
      <c r="F433" s="108">
        <v>-25161872</v>
      </c>
      <c r="G433" s="126">
        <f t="shared" si="10"/>
        <v>-26466212.539999999</v>
      </c>
      <c r="H433" s="126" t="s">
        <v>73</v>
      </c>
    </row>
    <row r="434" spans="1:10">
      <c r="A434" s="169" t="s">
        <v>714</v>
      </c>
      <c r="B434" s="126">
        <v>0</v>
      </c>
      <c r="C434" s="126">
        <v>39959.89</v>
      </c>
      <c r="D434" s="126">
        <v>1928685.71</v>
      </c>
      <c r="E434" s="126">
        <v>-1888725.82</v>
      </c>
      <c r="G434" s="126">
        <f t="shared" si="10"/>
        <v>-1888725.82</v>
      </c>
      <c r="H434" s="126" t="s">
        <v>73</v>
      </c>
    </row>
    <row r="435" spans="1:10">
      <c r="A435" s="126" t="s">
        <v>1044</v>
      </c>
      <c r="B435" s="126">
        <v>0</v>
      </c>
      <c r="C435" s="126">
        <v>6299488</v>
      </c>
      <c r="D435" s="126">
        <v>33543</v>
      </c>
      <c r="E435" s="126">
        <v>6265945</v>
      </c>
      <c r="G435" s="126">
        <f t="shared" si="10"/>
        <v>6265945</v>
      </c>
      <c r="H435" s="126" t="s">
        <v>1055</v>
      </c>
    </row>
    <row r="436" spans="1:10">
      <c r="A436" s="126" t="s">
        <v>346</v>
      </c>
      <c r="B436" s="126">
        <v>0</v>
      </c>
      <c r="C436" s="126">
        <v>522756.91</v>
      </c>
      <c r="D436" s="126">
        <v>0</v>
      </c>
      <c r="E436" s="126">
        <v>522756.91</v>
      </c>
      <c r="G436" s="126">
        <f t="shared" si="10"/>
        <v>522756.91</v>
      </c>
      <c r="H436" s="126" t="s">
        <v>1054</v>
      </c>
    </row>
    <row r="437" spans="1:10">
      <c r="A437" s="126" t="s">
        <v>715</v>
      </c>
      <c r="B437" s="126">
        <v>0</v>
      </c>
      <c r="C437" s="126">
        <v>7040240.2300000004</v>
      </c>
      <c r="D437" s="126">
        <v>300091.02</v>
      </c>
      <c r="E437" s="126">
        <v>6740149.21</v>
      </c>
      <c r="G437" s="126">
        <f t="shared" si="10"/>
        <v>6740149.21</v>
      </c>
      <c r="H437" s="126" t="s">
        <v>339</v>
      </c>
      <c r="I437" s="126" t="e">
        <f>#REF!</f>
        <v>#REF!</v>
      </c>
      <c r="J437" s="126" t="e">
        <f t="shared" ref="J437:J440" si="13">G437-I437</f>
        <v>#REF!</v>
      </c>
    </row>
    <row r="438" spans="1:10">
      <c r="A438" s="126" t="s">
        <v>338</v>
      </c>
      <c r="B438" s="126">
        <v>0</v>
      </c>
      <c r="C438" s="126">
        <v>1879800.78</v>
      </c>
      <c r="D438" s="126">
        <v>1241108.68</v>
      </c>
      <c r="E438" s="126">
        <v>638692.1</v>
      </c>
      <c r="G438" s="126">
        <f t="shared" si="10"/>
        <v>638692.1</v>
      </c>
      <c r="H438" s="126" t="s">
        <v>339</v>
      </c>
      <c r="I438" s="126" t="e">
        <f>#REF!</f>
        <v>#REF!</v>
      </c>
      <c r="J438" s="126" t="e">
        <f t="shared" si="13"/>
        <v>#REF!</v>
      </c>
    </row>
    <row r="439" spans="1:10">
      <c r="A439" s="126" t="s">
        <v>1440</v>
      </c>
      <c r="B439" s="126">
        <v>0</v>
      </c>
      <c r="C439" s="126">
        <v>31469</v>
      </c>
      <c r="D439" s="126">
        <v>0</v>
      </c>
      <c r="E439" s="126">
        <v>31469</v>
      </c>
      <c r="G439" s="126">
        <f t="shared" si="10"/>
        <v>31469</v>
      </c>
      <c r="H439" s="126" t="s">
        <v>339</v>
      </c>
      <c r="I439" s="126" t="e">
        <f>#REF!</f>
        <v>#REF!</v>
      </c>
      <c r="J439" s="126" t="e">
        <f t="shared" si="13"/>
        <v>#REF!</v>
      </c>
    </row>
    <row r="440" spans="1:10">
      <c r="A440" s="126" t="s">
        <v>716</v>
      </c>
      <c r="B440" s="126">
        <v>0</v>
      </c>
      <c r="C440" s="126">
        <v>3096745.43</v>
      </c>
      <c r="D440" s="126">
        <v>0</v>
      </c>
      <c r="E440" s="126">
        <v>3096745.43</v>
      </c>
      <c r="G440" s="126">
        <f t="shared" si="10"/>
        <v>3096745.43</v>
      </c>
      <c r="H440" s="126" t="s">
        <v>339</v>
      </c>
      <c r="I440" s="126" t="e">
        <f>#REF!</f>
        <v>#REF!</v>
      </c>
      <c r="J440" s="126" t="e">
        <f t="shared" si="13"/>
        <v>#REF!</v>
      </c>
    </row>
    <row r="441" spans="1:10">
      <c r="A441" s="126" t="s">
        <v>717</v>
      </c>
      <c r="B441" s="126">
        <v>0</v>
      </c>
      <c r="C441" s="126">
        <v>3086716.16</v>
      </c>
      <c r="D441" s="126">
        <v>19515</v>
      </c>
      <c r="E441" s="126">
        <v>3067201.16</v>
      </c>
      <c r="G441" s="126">
        <f t="shared" si="10"/>
        <v>3067201.16</v>
      </c>
      <c r="H441" s="126" t="s">
        <v>1056</v>
      </c>
    </row>
    <row r="442" spans="1:10">
      <c r="A442" s="126" t="s">
        <v>339</v>
      </c>
      <c r="B442" s="126">
        <v>0</v>
      </c>
      <c r="C442" s="126">
        <v>560582.78</v>
      </c>
      <c r="D442" s="126">
        <v>56823</v>
      </c>
      <c r="E442" s="126">
        <v>503759.78</v>
      </c>
      <c r="G442" s="126">
        <f t="shared" si="10"/>
        <v>503759.78</v>
      </c>
      <c r="H442" s="126" t="s">
        <v>339</v>
      </c>
      <c r="I442" s="126" t="e">
        <f>#REF!</f>
        <v>#REF!</v>
      </c>
      <c r="J442" s="126" t="e">
        <f>G442-I442</f>
        <v>#REF!</v>
      </c>
    </row>
    <row r="443" spans="1:10">
      <c r="A443" s="135" t="s">
        <v>1441</v>
      </c>
      <c r="B443" s="126">
        <v>0</v>
      </c>
      <c r="C443" s="126">
        <v>625000</v>
      </c>
      <c r="D443" s="126">
        <v>500000</v>
      </c>
      <c r="E443" s="126">
        <v>125000</v>
      </c>
      <c r="F443" s="126">
        <v>500000</v>
      </c>
      <c r="G443" s="126">
        <f t="shared" si="10"/>
        <v>625000</v>
      </c>
      <c r="H443" s="126" t="s">
        <v>71</v>
      </c>
      <c r="J443" s="126">
        <f>G443-I443</f>
        <v>625000</v>
      </c>
    </row>
    <row r="444" spans="1:10">
      <c r="A444" s="126" t="s">
        <v>1159</v>
      </c>
      <c r="B444" s="126">
        <v>0</v>
      </c>
      <c r="C444" s="126">
        <v>271.67</v>
      </c>
      <c r="D444" s="126">
        <v>0</v>
      </c>
      <c r="E444" s="126">
        <v>271.67</v>
      </c>
      <c r="G444" s="126">
        <f t="shared" si="10"/>
        <v>271.67</v>
      </c>
      <c r="H444" s="126" t="s">
        <v>80</v>
      </c>
    </row>
    <row r="445" spans="1:10">
      <c r="A445" s="126" t="s">
        <v>1442</v>
      </c>
      <c r="B445" s="126">
        <v>0</v>
      </c>
      <c r="C445" s="126">
        <v>370</v>
      </c>
      <c r="D445" s="126">
        <v>0</v>
      </c>
      <c r="E445" s="126">
        <v>370</v>
      </c>
      <c r="G445" s="126">
        <f t="shared" si="10"/>
        <v>370</v>
      </c>
      <c r="H445" s="126" t="s">
        <v>80</v>
      </c>
    </row>
    <row r="446" spans="1:10">
      <c r="A446" s="126" t="s">
        <v>1160</v>
      </c>
      <c r="B446" s="126">
        <v>0</v>
      </c>
      <c r="C446" s="126">
        <v>890</v>
      </c>
      <c r="D446" s="126">
        <v>0</v>
      </c>
      <c r="E446" s="126">
        <v>890</v>
      </c>
      <c r="G446" s="126">
        <f t="shared" si="10"/>
        <v>890</v>
      </c>
      <c r="H446" s="126" t="s">
        <v>80</v>
      </c>
    </row>
    <row r="447" spans="1:10">
      <c r="A447" s="126" t="s">
        <v>334</v>
      </c>
      <c r="B447" s="126">
        <v>0</v>
      </c>
      <c r="C447" s="126">
        <v>2324615</v>
      </c>
      <c r="D447" s="126">
        <v>0</v>
      </c>
      <c r="E447" s="126">
        <v>2324615</v>
      </c>
      <c r="G447" s="126">
        <f t="shared" si="10"/>
        <v>2324615</v>
      </c>
      <c r="H447" s="126" t="s">
        <v>71</v>
      </c>
      <c r="J447" s="126">
        <f>G447-I447</f>
        <v>2324615</v>
      </c>
    </row>
    <row r="448" spans="1:10">
      <c r="A448" s="126" t="s">
        <v>337</v>
      </c>
      <c r="B448" s="126">
        <v>0</v>
      </c>
      <c r="C448" s="126">
        <v>392518.8</v>
      </c>
      <c r="D448" s="126">
        <v>0</v>
      </c>
      <c r="E448" s="126">
        <v>392518.8</v>
      </c>
      <c r="G448" s="126">
        <f t="shared" si="10"/>
        <v>392518.8</v>
      </c>
      <c r="H448" s="126" t="s">
        <v>70</v>
      </c>
    </row>
    <row r="449" spans="1:10">
      <c r="A449" s="126" t="s">
        <v>1443</v>
      </c>
      <c r="B449" s="126">
        <v>0</v>
      </c>
      <c r="C449" s="126">
        <v>4000</v>
      </c>
      <c r="D449" s="126">
        <v>0</v>
      </c>
      <c r="E449" s="126">
        <v>4000</v>
      </c>
      <c r="G449" s="126">
        <f t="shared" si="10"/>
        <v>4000</v>
      </c>
      <c r="H449" s="126" t="s">
        <v>71</v>
      </c>
      <c r="I449" s="126" t="e">
        <f>#REF!</f>
        <v>#REF!</v>
      </c>
      <c r="J449" s="126" t="e">
        <f t="shared" ref="J449:J452" si="14">G449-I449</f>
        <v>#REF!</v>
      </c>
    </row>
    <row r="450" spans="1:10">
      <c r="A450" s="126" t="s">
        <v>342</v>
      </c>
      <c r="B450" s="126">
        <v>0</v>
      </c>
      <c r="C450" s="126">
        <v>6320</v>
      </c>
      <c r="D450" s="126">
        <v>0</v>
      </c>
      <c r="E450" s="126">
        <v>6320</v>
      </c>
      <c r="G450" s="126">
        <f t="shared" si="10"/>
        <v>6320</v>
      </c>
      <c r="H450" s="126" t="s">
        <v>71</v>
      </c>
      <c r="J450" s="126">
        <f t="shared" si="14"/>
        <v>6320</v>
      </c>
    </row>
    <row r="451" spans="1:10">
      <c r="A451" s="126" t="s">
        <v>324</v>
      </c>
      <c r="B451" s="126">
        <v>0</v>
      </c>
      <c r="C451" s="126">
        <v>1449403.97</v>
      </c>
      <c r="D451" s="126">
        <v>243750</v>
      </c>
      <c r="E451" s="126">
        <v>1205653.97</v>
      </c>
      <c r="G451" s="126">
        <f t="shared" ref="G451:G514" si="15">E451+F451</f>
        <v>1205653.97</v>
      </c>
      <c r="H451" s="126" t="s">
        <v>71</v>
      </c>
      <c r="J451" s="126">
        <f t="shared" si="14"/>
        <v>1205653.97</v>
      </c>
    </row>
    <row r="452" spans="1:10">
      <c r="A452" s="126" t="s">
        <v>1444</v>
      </c>
      <c r="B452" s="126">
        <v>0</v>
      </c>
      <c r="C452" s="126">
        <v>0.85</v>
      </c>
      <c r="D452" s="126">
        <v>10.89</v>
      </c>
      <c r="E452" s="126">
        <v>-10.039999999999999</v>
      </c>
      <c r="G452" s="126">
        <f t="shared" si="15"/>
        <v>-10.039999999999999</v>
      </c>
      <c r="H452" s="126" t="s">
        <v>71</v>
      </c>
      <c r="I452" s="126" t="e">
        <f>#REF!</f>
        <v>#REF!</v>
      </c>
      <c r="J452" s="126" t="e">
        <f t="shared" si="14"/>
        <v>#REF!</v>
      </c>
    </row>
    <row r="453" spans="1:10">
      <c r="A453" s="126" t="s">
        <v>354</v>
      </c>
      <c r="B453" s="126">
        <v>0</v>
      </c>
      <c r="C453" s="126">
        <v>5404414.5999999996</v>
      </c>
      <c r="D453" s="126">
        <v>4081.36</v>
      </c>
      <c r="E453" s="126">
        <v>5400333.2400000002</v>
      </c>
      <c r="G453" s="126">
        <f t="shared" si="15"/>
        <v>5400333.2400000002</v>
      </c>
      <c r="H453" s="126" t="s">
        <v>67</v>
      </c>
    </row>
    <row r="454" spans="1:10">
      <c r="A454" s="126" t="s">
        <v>1161</v>
      </c>
      <c r="B454" s="126">
        <v>0</v>
      </c>
      <c r="C454" s="126">
        <v>68300.75</v>
      </c>
      <c r="D454" s="126">
        <v>1.25</v>
      </c>
      <c r="E454" s="126">
        <v>68299.5</v>
      </c>
      <c r="G454" s="126">
        <f t="shared" si="15"/>
        <v>68299.5</v>
      </c>
      <c r="H454" s="126" t="s">
        <v>303</v>
      </c>
      <c r="I454" s="126" t="e">
        <f>#REF!</f>
        <v>#REF!</v>
      </c>
      <c r="J454" s="126" t="e">
        <f>G454-I454</f>
        <v>#REF!</v>
      </c>
    </row>
    <row r="455" spans="1:10">
      <c r="A455" s="126" t="s">
        <v>718</v>
      </c>
      <c r="B455" s="126">
        <v>0</v>
      </c>
      <c r="C455" s="126">
        <v>16073.88</v>
      </c>
      <c r="D455" s="126">
        <v>0</v>
      </c>
      <c r="E455" s="126">
        <v>16073.88</v>
      </c>
      <c r="G455" s="126">
        <f t="shared" si="15"/>
        <v>16073.88</v>
      </c>
      <c r="H455" s="126" t="s">
        <v>67</v>
      </c>
    </row>
    <row r="456" spans="1:10">
      <c r="A456" s="126" t="s">
        <v>398</v>
      </c>
      <c r="B456" s="126">
        <v>0</v>
      </c>
      <c r="C456" s="126">
        <v>3927.6</v>
      </c>
      <c r="D456" s="126">
        <v>708</v>
      </c>
      <c r="E456" s="126">
        <v>3219.6</v>
      </c>
      <c r="G456" s="126">
        <f t="shared" si="15"/>
        <v>3219.6</v>
      </c>
      <c r="H456" s="126" t="s">
        <v>71</v>
      </c>
      <c r="J456" s="126">
        <f>G456-I456</f>
        <v>3219.6</v>
      </c>
    </row>
    <row r="457" spans="1:10">
      <c r="A457" s="131" t="s">
        <v>349</v>
      </c>
      <c r="B457" s="126">
        <v>0</v>
      </c>
      <c r="C457" s="126">
        <v>1143710</v>
      </c>
      <c r="D457" s="126">
        <v>15711838.41</v>
      </c>
      <c r="E457" s="133">
        <f>C457-D457</f>
        <v>-14568128.41</v>
      </c>
      <c r="F457" s="115">
        <v>-10733989</v>
      </c>
      <c r="G457" s="134">
        <f>E457-F457</f>
        <v>-3834139.41</v>
      </c>
      <c r="H457" s="126" t="s">
        <v>67</v>
      </c>
    </row>
    <row r="458" spans="1:10">
      <c r="A458" s="126" t="s">
        <v>350</v>
      </c>
      <c r="B458" s="126">
        <v>0</v>
      </c>
      <c r="C458" s="126">
        <v>1380000</v>
      </c>
      <c r="D458" s="126">
        <v>0</v>
      </c>
      <c r="E458" s="126">
        <v>1380000</v>
      </c>
      <c r="G458" s="126">
        <f t="shared" si="15"/>
        <v>1380000</v>
      </c>
      <c r="H458" s="126" t="s">
        <v>67</v>
      </c>
    </row>
    <row r="459" spans="1:10">
      <c r="A459" s="126" t="s">
        <v>351</v>
      </c>
      <c r="B459" s="126">
        <v>0</v>
      </c>
      <c r="C459" s="126">
        <v>4196295.8899999997</v>
      </c>
      <c r="D459" s="126">
        <v>11500</v>
      </c>
      <c r="E459" s="126">
        <v>4184795.89</v>
      </c>
      <c r="G459" s="126">
        <f t="shared" si="15"/>
        <v>4184795.89</v>
      </c>
      <c r="H459" s="126" t="s">
        <v>67</v>
      </c>
    </row>
    <row r="460" spans="1:10">
      <c r="A460" s="126" t="s">
        <v>1162</v>
      </c>
      <c r="B460" s="126">
        <v>0</v>
      </c>
      <c r="C460" s="126">
        <v>138600</v>
      </c>
      <c r="D460" s="126">
        <v>0</v>
      </c>
      <c r="E460" s="126">
        <v>138600</v>
      </c>
      <c r="G460" s="126">
        <f t="shared" si="15"/>
        <v>138600</v>
      </c>
      <c r="H460" s="126" t="s">
        <v>67</v>
      </c>
    </row>
    <row r="461" spans="1:10">
      <c r="A461" s="126" t="s">
        <v>1163</v>
      </c>
      <c r="B461" s="126">
        <v>0</v>
      </c>
      <c r="C461" s="126">
        <v>29703.9</v>
      </c>
      <c r="D461" s="126">
        <v>0</v>
      </c>
      <c r="E461" s="126">
        <v>29703.9</v>
      </c>
      <c r="G461" s="126">
        <f t="shared" si="15"/>
        <v>29703.9</v>
      </c>
      <c r="H461" s="126" t="s">
        <v>67</v>
      </c>
    </row>
    <row r="462" spans="1:10">
      <c r="A462" s="126" t="s">
        <v>719</v>
      </c>
      <c r="B462" s="126">
        <v>0</v>
      </c>
      <c r="C462" s="126">
        <v>2495918.61</v>
      </c>
      <c r="D462" s="126">
        <v>0</v>
      </c>
      <c r="E462" s="126">
        <v>2495918.61</v>
      </c>
      <c r="G462" s="126">
        <f t="shared" si="15"/>
        <v>2495918.61</v>
      </c>
      <c r="H462" s="126" t="s">
        <v>67</v>
      </c>
    </row>
    <row r="463" spans="1:10">
      <c r="A463" s="126" t="s">
        <v>336</v>
      </c>
      <c r="B463" s="126">
        <v>0</v>
      </c>
      <c r="C463" s="126">
        <v>0</v>
      </c>
      <c r="D463" s="126">
        <v>48754.82</v>
      </c>
      <c r="E463" s="126">
        <v>-48754.82</v>
      </c>
      <c r="G463" s="126">
        <f t="shared" si="15"/>
        <v>-48754.82</v>
      </c>
      <c r="H463" s="126" t="s">
        <v>80</v>
      </c>
    </row>
    <row r="464" spans="1:10">
      <c r="A464" s="126" t="s">
        <v>305</v>
      </c>
      <c r="B464" s="126">
        <v>0</v>
      </c>
      <c r="C464" s="126">
        <v>0</v>
      </c>
      <c r="D464" s="126">
        <v>10935409</v>
      </c>
      <c r="E464" s="126">
        <v>-10935409</v>
      </c>
      <c r="G464" s="126">
        <f t="shared" si="15"/>
        <v>-10935409</v>
      </c>
      <c r="H464" s="126" t="s">
        <v>303</v>
      </c>
      <c r="I464" s="126" t="e">
        <f>#REF!</f>
        <v>#REF!</v>
      </c>
      <c r="J464" s="126" t="e">
        <f>G464+I464</f>
        <v>#REF!</v>
      </c>
    </row>
    <row r="465" spans="1:10">
      <c r="A465" s="126" t="s">
        <v>307</v>
      </c>
      <c r="B465" s="126">
        <v>0</v>
      </c>
      <c r="C465" s="126">
        <v>478700.42</v>
      </c>
      <c r="D465" s="126">
        <v>226305097.66999999</v>
      </c>
      <c r="E465" s="126">
        <v>-225826397.25</v>
      </c>
      <c r="G465" s="126">
        <f t="shared" si="15"/>
        <v>-225826397.25</v>
      </c>
      <c r="H465" s="126" t="s">
        <v>303</v>
      </c>
      <c r="I465" s="126" t="e">
        <f>#REF!</f>
        <v>#REF!</v>
      </c>
      <c r="J465" s="126" t="e">
        <f>G465+I465</f>
        <v>#REF!</v>
      </c>
    </row>
    <row r="466" spans="1:10">
      <c r="A466" s="126" t="s">
        <v>304</v>
      </c>
      <c r="B466" s="126">
        <v>0</v>
      </c>
      <c r="C466" s="126">
        <v>0</v>
      </c>
      <c r="D466" s="126">
        <v>190377922.99000001</v>
      </c>
      <c r="E466" s="126">
        <v>-190377922.99000001</v>
      </c>
      <c r="G466" s="126">
        <f t="shared" si="15"/>
        <v>-190377922.99000001</v>
      </c>
      <c r="H466" s="126" t="s">
        <v>303</v>
      </c>
      <c r="I466" s="126" t="e">
        <f>#REF!</f>
        <v>#REF!</v>
      </c>
      <c r="J466" s="126" t="e">
        <f>G466+I466</f>
        <v>#REF!</v>
      </c>
    </row>
    <row r="467" spans="1:10">
      <c r="A467" s="126" t="s">
        <v>405</v>
      </c>
      <c r="B467" s="126">
        <v>0</v>
      </c>
      <c r="C467" s="126">
        <v>0</v>
      </c>
      <c r="D467" s="126">
        <v>129782724.94</v>
      </c>
      <c r="E467" s="126">
        <v>-129782724.94</v>
      </c>
      <c r="G467" s="126">
        <f t="shared" si="15"/>
        <v>-129782724.94</v>
      </c>
      <c r="H467" s="126" t="s">
        <v>303</v>
      </c>
      <c r="I467" s="126" t="e">
        <f>#REF!</f>
        <v>#REF!</v>
      </c>
      <c r="J467" s="126" t="e">
        <f>G467+I467</f>
        <v>#REF!</v>
      </c>
    </row>
    <row r="468" spans="1:10">
      <c r="A468" s="126" t="s">
        <v>1164</v>
      </c>
      <c r="B468" s="126">
        <v>0</v>
      </c>
      <c r="C468" s="126">
        <v>0</v>
      </c>
      <c r="D468" s="126">
        <v>22611020.120000001</v>
      </c>
      <c r="E468" s="126">
        <v>-22611020.120000001</v>
      </c>
      <c r="G468" s="126">
        <f t="shared" si="15"/>
        <v>-22611020.120000001</v>
      </c>
      <c r="H468" s="126" t="s">
        <v>10</v>
      </c>
    </row>
    <row r="469" spans="1:10">
      <c r="A469" s="126" t="s">
        <v>29</v>
      </c>
      <c r="B469" s="126">
        <v>0</v>
      </c>
      <c r="C469" s="126">
        <v>200000</v>
      </c>
      <c r="D469" s="126">
        <v>0</v>
      </c>
      <c r="E469" s="126">
        <v>200000</v>
      </c>
      <c r="G469" s="126">
        <f t="shared" si="15"/>
        <v>200000</v>
      </c>
      <c r="H469" s="126" t="s">
        <v>29</v>
      </c>
    </row>
    <row r="470" spans="1:10">
      <c r="A470" s="126" t="s">
        <v>441</v>
      </c>
      <c r="B470" s="126">
        <v>0</v>
      </c>
      <c r="C470" s="126">
        <v>0</v>
      </c>
      <c r="D470" s="126">
        <v>150900</v>
      </c>
      <c r="E470" s="126">
        <v>-150900</v>
      </c>
      <c r="G470" s="126">
        <f t="shared" si="15"/>
        <v>-150900</v>
      </c>
      <c r="H470" s="126" t="s">
        <v>6</v>
      </c>
    </row>
    <row r="471" spans="1:10">
      <c r="A471" s="126" t="s">
        <v>1445</v>
      </c>
      <c r="B471" s="126">
        <v>0</v>
      </c>
      <c r="C471" s="126">
        <v>0</v>
      </c>
      <c r="D471" s="126">
        <v>70944</v>
      </c>
      <c r="E471" s="126">
        <v>-70944</v>
      </c>
      <c r="G471" s="126">
        <f t="shared" si="15"/>
        <v>-70944</v>
      </c>
      <c r="H471" s="126" t="s">
        <v>306</v>
      </c>
    </row>
    <row r="472" spans="1:10">
      <c r="A472" s="126" t="s">
        <v>308</v>
      </c>
      <c r="B472" s="126">
        <v>0</v>
      </c>
      <c r="C472" s="126">
        <v>0</v>
      </c>
      <c r="D472" s="126">
        <v>5021576.08</v>
      </c>
      <c r="E472" s="126">
        <v>-5021576.08</v>
      </c>
      <c r="G472" s="126">
        <f t="shared" si="15"/>
        <v>-5021576.08</v>
      </c>
      <c r="H472" s="126" t="s">
        <v>306</v>
      </c>
    </row>
    <row r="473" spans="1:10">
      <c r="A473" s="126" t="s">
        <v>20</v>
      </c>
      <c r="B473" s="126">
        <v>0</v>
      </c>
      <c r="C473" s="126">
        <v>0</v>
      </c>
      <c r="D473" s="126">
        <v>2381880</v>
      </c>
      <c r="E473" s="126">
        <v>-2381880</v>
      </c>
      <c r="G473" s="126">
        <f t="shared" si="15"/>
        <v>-2381880</v>
      </c>
      <c r="H473" s="126" t="s">
        <v>20</v>
      </c>
    </row>
    <row r="474" spans="1:10">
      <c r="A474" s="126" t="s">
        <v>720</v>
      </c>
      <c r="B474" s="126">
        <v>0</v>
      </c>
      <c r="C474" s="126">
        <v>8.6300000000000008</v>
      </c>
      <c r="D474" s="126">
        <v>0</v>
      </c>
      <c r="E474" s="126">
        <v>8.6300000000000008</v>
      </c>
      <c r="G474" s="126">
        <f t="shared" si="15"/>
        <v>8.6300000000000008</v>
      </c>
      <c r="H474" s="126" t="s">
        <v>80</v>
      </c>
    </row>
    <row r="475" spans="1:10">
      <c r="A475" s="135" t="s">
        <v>1446</v>
      </c>
      <c r="B475" s="126">
        <v>0</v>
      </c>
      <c r="C475" s="126">
        <v>483101</v>
      </c>
      <c r="D475" s="126">
        <v>170029.59</v>
      </c>
      <c r="E475" s="126">
        <v>313071.40999999997</v>
      </c>
      <c r="G475" s="126">
        <f t="shared" si="15"/>
        <v>313071.40999999997</v>
      </c>
      <c r="H475" s="126" t="s">
        <v>33</v>
      </c>
    </row>
    <row r="476" spans="1:10">
      <c r="A476" s="135" t="s">
        <v>1447</v>
      </c>
      <c r="B476" s="126">
        <v>0</v>
      </c>
      <c r="C476" s="126">
        <v>0</v>
      </c>
      <c r="D476" s="126">
        <v>554332.07999999996</v>
      </c>
      <c r="E476" s="126">
        <v>-554332.07999999996</v>
      </c>
      <c r="G476" s="126">
        <f t="shared" si="15"/>
        <v>-554332.07999999996</v>
      </c>
      <c r="H476" s="126" t="s">
        <v>36</v>
      </c>
    </row>
    <row r="477" spans="1:10">
      <c r="A477" s="126" t="s">
        <v>721</v>
      </c>
      <c r="B477" s="126">
        <v>-12205204.52</v>
      </c>
      <c r="C477" s="126">
        <v>0</v>
      </c>
      <c r="D477" s="126">
        <v>0</v>
      </c>
      <c r="E477" s="126">
        <v>-12205204.52</v>
      </c>
      <c r="G477" s="126">
        <f t="shared" si="15"/>
        <v>-12205204.52</v>
      </c>
      <c r="H477" s="126" t="s">
        <v>80</v>
      </c>
    </row>
    <row r="478" spans="1:10">
      <c r="A478" s="126" t="s">
        <v>722</v>
      </c>
      <c r="B478" s="126">
        <v>-444856832.20999998</v>
      </c>
      <c r="C478" s="126">
        <v>0</v>
      </c>
      <c r="D478" s="126">
        <v>0</v>
      </c>
      <c r="E478" s="126">
        <v>-444856832.20999998</v>
      </c>
      <c r="G478" s="126">
        <f t="shared" si="15"/>
        <v>-444856832.20999998</v>
      </c>
      <c r="H478" s="126" t="s">
        <v>80</v>
      </c>
    </row>
    <row r="479" spans="1:10">
      <c r="A479" s="126" t="s">
        <v>723</v>
      </c>
      <c r="B479" s="126">
        <v>-1497794</v>
      </c>
      <c r="C479" s="126">
        <v>0</v>
      </c>
      <c r="D479" s="126">
        <v>60245</v>
      </c>
      <c r="E479" s="126">
        <v>-1558039</v>
      </c>
      <c r="G479" s="126">
        <f t="shared" si="15"/>
        <v>-1558039</v>
      </c>
      <c r="H479" s="126" t="s">
        <v>80</v>
      </c>
    </row>
    <row r="480" spans="1:10">
      <c r="A480" s="126" t="s">
        <v>724</v>
      </c>
      <c r="B480" s="126">
        <v>-88032460</v>
      </c>
      <c r="C480" s="126">
        <v>0</v>
      </c>
      <c r="D480" s="126">
        <v>0</v>
      </c>
      <c r="E480" s="126">
        <v>-88032460</v>
      </c>
      <c r="G480" s="126">
        <f t="shared" si="15"/>
        <v>-88032460</v>
      </c>
      <c r="H480" s="126" t="s">
        <v>80</v>
      </c>
    </row>
    <row r="481" spans="1:8">
      <c r="A481" s="126" t="s">
        <v>725</v>
      </c>
      <c r="B481" s="126">
        <v>-3559700</v>
      </c>
      <c r="C481" s="126">
        <v>0</v>
      </c>
      <c r="D481" s="126">
        <v>0</v>
      </c>
      <c r="E481" s="126">
        <v>-3559700</v>
      </c>
      <c r="G481" s="126">
        <f t="shared" si="15"/>
        <v>-3559700</v>
      </c>
      <c r="H481" s="126" t="s">
        <v>80</v>
      </c>
    </row>
    <row r="482" spans="1:8">
      <c r="A482" s="126" t="s">
        <v>272</v>
      </c>
      <c r="B482" s="126">
        <v>0</v>
      </c>
      <c r="C482" s="126">
        <v>22281158.5</v>
      </c>
      <c r="D482" s="126">
        <v>22281160.300000001</v>
      </c>
      <c r="E482" s="126">
        <v>-1.8</v>
      </c>
      <c r="G482" s="126">
        <f t="shared" si="15"/>
        <v>-1.8</v>
      </c>
      <c r="H482" s="126" t="s">
        <v>80</v>
      </c>
    </row>
    <row r="483" spans="1:8">
      <c r="A483" s="126" t="s">
        <v>726</v>
      </c>
      <c r="B483" s="126">
        <v>-27624138.809999999</v>
      </c>
      <c r="C483" s="126">
        <v>97397139</v>
      </c>
      <c r="D483" s="126">
        <v>69772994.760000005</v>
      </c>
      <c r="E483" s="126">
        <v>5.43</v>
      </c>
      <c r="G483" s="126">
        <f t="shared" si="15"/>
        <v>5.43</v>
      </c>
      <c r="H483" s="126" t="s">
        <v>80</v>
      </c>
    </row>
    <row r="484" spans="1:8">
      <c r="A484" s="126" t="s">
        <v>727</v>
      </c>
      <c r="B484" s="126">
        <v>-1788030.1</v>
      </c>
      <c r="C484" s="126">
        <v>2079720.5</v>
      </c>
      <c r="D484" s="126">
        <v>564946</v>
      </c>
      <c r="E484" s="126">
        <v>-273255.59999999998</v>
      </c>
      <c r="G484" s="126">
        <f t="shared" si="15"/>
        <v>-273255.59999999998</v>
      </c>
      <c r="H484" s="126" t="s">
        <v>80</v>
      </c>
    </row>
    <row r="485" spans="1:8">
      <c r="A485" s="126" t="s">
        <v>243</v>
      </c>
      <c r="B485" s="126">
        <v>0</v>
      </c>
      <c r="C485" s="126">
        <v>25330074.620000001</v>
      </c>
      <c r="D485" s="126">
        <v>25330074.620000001</v>
      </c>
      <c r="E485" s="126">
        <v>0</v>
      </c>
      <c r="G485" s="126">
        <f t="shared" si="15"/>
        <v>0</v>
      </c>
      <c r="H485" s="126" t="s">
        <v>80</v>
      </c>
    </row>
    <row r="486" spans="1:8">
      <c r="A486" s="126" t="s">
        <v>180</v>
      </c>
      <c r="B486" s="126">
        <v>0</v>
      </c>
      <c r="C486" s="126">
        <v>22281158.5</v>
      </c>
      <c r="D486" s="126">
        <v>22281160.300000001</v>
      </c>
      <c r="E486" s="126">
        <v>-1.8</v>
      </c>
      <c r="G486" s="126">
        <f t="shared" si="15"/>
        <v>-1.8</v>
      </c>
      <c r="H486" s="126" t="s">
        <v>80</v>
      </c>
    </row>
    <row r="487" spans="1:8">
      <c r="A487" s="126" t="s">
        <v>202</v>
      </c>
      <c r="B487" s="126">
        <v>-128600</v>
      </c>
      <c r="C487" s="126">
        <v>314800</v>
      </c>
      <c r="D487" s="126">
        <v>303000</v>
      </c>
      <c r="E487" s="126">
        <v>-116800</v>
      </c>
      <c r="G487" s="126">
        <f t="shared" si="15"/>
        <v>-116800</v>
      </c>
      <c r="H487" s="126" t="s">
        <v>80</v>
      </c>
    </row>
    <row r="488" spans="1:8">
      <c r="A488" s="126" t="s">
        <v>1165</v>
      </c>
      <c r="B488" s="126">
        <v>0</v>
      </c>
      <c r="C488" s="126">
        <v>0</v>
      </c>
      <c r="D488" s="126">
        <v>0</v>
      </c>
      <c r="E488" s="126">
        <v>0</v>
      </c>
      <c r="G488" s="126">
        <f t="shared" si="15"/>
        <v>0</v>
      </c>
      <c r="H488" s="126" t="s">
        <v>80</v>
      </c>
    </row>
    <row r="489" spans="1:8">
      <c r="A489" s="126" t="s">
        <v>1166</v>
      </c>
      <c r="B489" s="126">
        <v>-0.01</v>
      </c>
      <c r="C489" s="126">
        <v>0</v>
      </c>
      <c r="D489" s="126">
        <v>0</v>
      </c>
      <c r="E489" s="126">
        <v>-0.01</v>
      </c>
      <c r="G489" s="126">
        <f t="shared" si="15"/>
        <v>-0.01</v>
      </c>
      <c r="H489" s="126" t="s">
        <v>80</v>
      </c>
    </row>
    <row r="490" spans="1:8">
      <c r="A490" s="126" t="s">
        <v>1168</v>
      </c>
      <c r="B490" s="126">
        <v>0</v>
      </c>
      <c r="C490" s="126">
        <v>0</v>
      </c>
      <c r="D490" s="126">
        <v>0</v>
      </c>
      <c r="E490" s="126">
        <v>0</v>
      </c>
      <c r="G490" s="126">
        <f t="shared" si="15"/>
        <v>0</v>
      </c>
      <c r="H490" s="126" t="s">
        <v>80</v>
      </c>
    </row>
    <row r="491" spans="1:8">
      <c r="A491" s="126" t="s">
        <v>476</v>
      </c>
      <c r="B491" s="126">
        <v>0.09</v>
      </c>
      <c r="C491" s="126">
        <v>0</v>
      </c>
      <c r="D491" s="126">
        <v>0</v>
      </c>
      <c r="E491" s="126">
        <v>0.09</v>
      </c>
      <c r="G491" s="126">
        <f t="shared" si="15"/>
        <v>0.09</v>
      </c>
      <c r="H491" s="126" t="s">
        <v>80</v>
      </c>
    </row>
    <row r="492" spans="1:8">
      <c r="A492" s="126" t="s">
        <v>432</v>
      </c>
      <c r="B492" s="126">
        <v>-1541.53</v>
      </c>
      <c r="C492" s="126">
        <v>1542</v>
      </c>
      <c r="D492" s="126">
        <v>0</v>
      </c>
      <c r="E492" s="126">
        <v>0.47</v>
      </c>
      <c r="G492" s="126">
        <f t="shared" si="15"/>
        <v>0.47</v>
      </c>
      <c r="H492" s="126" t="s">
        <v>80</v>
      </c>
    </row>
    <row r="493" spans="1:8">
      <c r="A493" s="126" t="s">
        <v>506</v>
      </c>
      <c r="B493" s="126">
        <v>0</v>
      </c>
      <c r="C493" s="126">
        <v>8870</v>
      </c>
      <c r="D493" s="126">
        <v>55712.01</v>
      </c>
      <c r="E493" s="126">
        <v>-46842.01</v>
      </c>
      <c r="G493" s="126">
        <f t="shared" si="15"/>
        <v>-46842.01</v>
      </c>
      <c r="H493" s="126" t="s">
        <v>80</v>
      </c>
    </row>
    <row r="494" spans="1:8">
      <c r="A494" s="126" t="s">
        <v>161</v>
      </c>
      <c r="B494" s="126">
        <v>-40000</v>
      </c>
      <c r="C494" s="126">
        <v>40000</v>
      </c>
      <c r="D494" s="126">
        <v>40000</v>
      </c>
      <c r="E494" s="126">
        <v>-40000</v>
      </c>
      <c r="G494" s="126">
        <f t="shared" si="15"/>
        <v>-40000</v>
      </c>
      <c r="H494" s="126" t="s">
        <v>80</v>
      </c>
    </row>
    <row r="495" spans="1:8">
      <c r="A495" s="126" t="s">
        <v>162</v>
      </c>
      <c r="B495" s="126">
        <v>-24187</v>
      </c>
      <c r="C495" s="126">
        <v>1579315</v>
      </c>
      <c r="D495" s="126">
        <v>1933128</v>
      </c>
      <c r="E495" s="126">
        <v>-378000</v>
      </c>
      <c r="G495" s="126">
        <f t="shared" si="15"/>
        <v>-378000</v>
      </c>
      <c r="H495" s="126" t="s">
        <v>80</v>
      </c>
    </row>
    <row r="496" spans="1:8">
      <c r="A496" s="126" t="s">
        <v>1169</v>
      </c>
      <c r="B496" s="126">
        <v>0</v>
      </c>
      <c r="C496" s="126">
        <v>0</v>
      </c>
      <c r="D496" s="126">
        <v>0</v>
      </c>
      <c r="E496" s="126">
        <v>0</v>
      </c>
      <c r="G496" s="126">
        <f t="shared" si="15"/>
        <v>0</v>
      </c>
      <c r="H496" s="126" t="s">
        <v>80</v>
      </c>
    </row>
    <row r="497" spans="1:10">
      <c r="A497" s="126" t="s">
        <v>412</v>
      </c>
      <c r="B497" s="126">
        <v>-4000</v>
      </c>
      <c r="C497" s="126">
        <v>266000</v>
      </c>
      <c r="D497" s="126">
        <v>262000</v>
      </c>
      <c r="E497" s="126">
        <v>0</v>
      </c>
      <c r="G497" s="126">
        <f t="shared" si="15"/>
        <v>0</v>
      </c>
      <c r="H497" s="126" t="s">
        <v>80</v>
      </c>
    </row>
    <row r="498" spans="1:10">
      <c r="A498" s="126" t="s">
        <v>163</v>
      </c>
      <c r="B498" s="126">
        <v>-6160.01</v>
      </c>
      <c r="C498" s="126">
        <v>176106</v>
      </c>
      <c r="D498" s="126">
        <v>169946</v>
      </c>
      <c r="E498" s="126">
        <v>-0.01</v>
      </c>
      <c r="G498" s="126">
        <f t="shared" si="15"/>
        <v>-0.01</v>
      </c>
      <c r="H498" s="126" t="s">
        <v>80</v>
      </c>
    </row>
    <row r="499" spans="1:10">
      <c r="A499" s="126" t="s">
        <v>164</v>
      </c>
      <c r="B499" s="126">
        <v>-0.01</v>
      </c>
      <c r="C499" s="126">
        <v>258717.09</v>
      </c>
      <c r="D499" s="126">
        <v>252190.07999999999</v>
      </c>
      <c r="E499" s="126">
        <v>6527</v>
      </c>
      <c r="G499" s="126">
        <f t="shared" si="15"/>
        <v>6527</v>
      </c>
      <c r="H499" s="126" t="s">
        <v>80</v>
      </c>
    </row>
    <row r="500" spans="1:10">
      <c r="A500" s="126" t="s">
        <v>728</v>
      </c>
      <c r="B500" s="126">
        <v>-2290689.1800000002</v>
      </c>
      <c r="C500" s="126">
        <v>4891865</v>
      </c>
      <c r="D500" s="126">
        <v>4167317.68</v>
      </c>
      <c r="E500" s="126">
        <v>-1566141.86</v>
      </c>
      <c r="G500" s="126">
        <f t="shared" si="15"/>
        <v>-1566141.86</v>
      </c>
      <c r="H500" s="126" t="s">
        <v>80</v>
      </c>
    </row>
    <row r="501" spans="1:10">
      <c r="A501" s="126" t="s">
        <v>277</v>
      </c>
      <c r="B501" s="126">
        <v>-870981</v>
      </c>
      <c r="C501" s="126">
        <v>0</v>
      </c>
      <c r="D501" s="126">
        <v>0</v>
      </c>
      <c r="E501" s="126">
        <v>-870981</v>
      </c>
      <c r="G501" s="126">
        <f t="shared" si="15"/>
        <v>-870981</v>
      </c>
      <c r="H501" s="126" t="s">
        <v>80</v>
      </c>
    </row>
    <row r="502" spans="1:10">
      <c r="A502" s="126" t="s">
        <v>729</v>
      </c>
      <c r="B502" s="126">
        <v>-43685.8</v>
      </c>
      <c r="C502" s="126">
        <v>257423</v>
      </c>
      <c r="D502" s="126">
        <v>181807</v>
      </c>
      <c r="E502" s="126">
        <v>31930.2</v>
      </c>
      <c r="G502" s="126">
        <f t="shared" si="15"/>
        <v>31930.2</v>
      </c>
      <c r="H502" s="126" t="s">
        <v>80</v>
      </c>
    </row>
    <row r="503" spans="1:10">
      <c r="A503" s="126" t="s">
        <v>264</v>
      </c>
      <c r="B503" s="126">
        <v>-1279831.54</v>
      </c>
      <c r="C503" s="126">
        <v>2235808</v>
      </c>
      <c r="D503" s="126">
        <v>1592064</v>
      </c>
      <c r="E503" s="126">
        <v>-636087.54</v>
      </c>
      <c r="G503" s="126">
        <f t="shared" si="15"/>
        <v>-636087.54</v>
      </c>
      <c r="H503" s="126" t="s">
        <v>80</v>
      </c>
    </row>
    <row r="504" spans="1:10">
      <c r="A504" s="126" t="s">
        <v>258</v>
      </c>
      <c r="B504" s="126">
        <v>0</v>
      </c>
      <c r="C504" s="126">
        <v>100163.12</v>
      </c>
      <c r="D504" s="126">
        <v>12490</v>
      </c>
      <c r="E504" s="126">
        <v>87673.12</v>
      </c>
      <c r="G504" s="126">
        <f t="shared" si="15"/>
        <v>87673.12</v>
      </c>
      <c r="H504" s="126" t="s">
        <v>80</v>
      </c>
    </row>
    <row r="505" spans="1:10">
      <c r="A505" s="126" t="s">
        <v>730</v>
      </c>
      <c r="B505" s="126">
        <v>-9060315</v>
      </c>
      <c r="C505" s="126">
        <v>0</v>
      </c>
      <c r="D505" s="126">
        <v>923585</v>
      </c>
      <c r="E505" s="126">
        <v>-9983900</v>
      </c>
      <c r="G505" s="126">
        <f t="shared" si="15"/>
        <v>-9983900</v>
      </c>
      <c r="H505" s="126" t="s">
        <v>80</v>
      </c>
    </row>
    <row r="506" spans="1:10">
      <c r="A506" s="126" t="s">
        <v>192</v>
      </c>
      <c r="B506" s="126">
        <v>-31239162.649999999</v>
      </c>
      <c r="C506" s="126">
        <v>55135263</v>
      </c>
      <c r="D506" s="126">
        <v>40115968.799999997</v>
      </c>
      <c r="E506" s="126">
        <v>-16219868.449999999</v>
      </c>
      <c r="G506" s="126">
        <f t="shared" si="15"/>
        <v>-16219868.449999999</v>
      </c>
      <c r="H506" s="126" t="s">
        <v>80</v>
      </c>
    </row>
    <row r="507" spans="1:10">
      <c r="A507" s="126" t="s">
        <v>731</v>
      </c>
      <c r="B507" s="126">
        <v>0</v>
      </c>
      <c r="C507" s="126">
        <v>1363870</v>
      </c>
      <c r="D507" s="126">
        <v>1366140</v>
      </c>
      <c r="E507" s="126">
        <v>-2270</v>
      </c>
      <c r="G507" s="126">
        <f t="shared" si="15"/>
        <v>-2270</v>
      </c>
      <c r="H507" s="126" t="s">
        <v>80</v>
      </c>
    </row>
    <row r="508" spans="1:10">
      <c r="A508" s="131" t="s">
        <v>732</v>
      </c>
      <c r="B508" s="126">
        <v>-56823</v>
      </c>
      <c r="C508" s="126">
        <v>56823</v>
      </c>
      <c r="D508" s="126">
        <v>225302</v>
      </c>
      <c r="E508" s="126">
        <v>-225302</v>
      </c>
      <c r="G508" s="126">
        <f t="shared" si="15"/>
        <v>-225302</v>
      </c>
      <c r="H508" s="126" t="s">
        <v>339</v>
      </c>
      <c r="I508" s="126" t="e">
        <f>#REF!</f>
        <v>#REF!</v>
      </c>
      <c r="J508" s="126" t="e">
        <f>G508-I508</f>
        <v>#REF!</v>
      </c>
    </row>
    <row r="509" spans="1:10">
      <c r="A509" s="126" t="s">
        <v>733</v>
      </c>
      <c r="B509" s="126">
        <v>1</v>
      </c>
      <c r="C509" s="126">
        <v>0</v>
      </c>
      <c r="D509" s="126">
        <v>0</v>
      </c>
      <c r="E509" s="126">
        <v>1</v>
      </c>
      <c r="G509" s="126">
        <f t="shared" si="15"/>
        <v>1</v>
      </c>
      <c r="H509" s="126" t="s">
        <v>80</v>
      </c>
    </row>
    <row r="510" spans="1:10">
      <c r="A510" s="126" t="s">
        <v>734</v>
      </c>
      <c r="B510" s="126">
        <v>-11132423</v>
      </c>
      <c r="C510" s="126">
        <v>11132423</v>
      </c>
      <c r="D510" s="126">
        <v>0</v>
      </c>
      <c r="E510" s="126">
        <v>0</v>
      </c>
      <c r="G510" s="126">
        <f t="shared" si="15"/>
        <v>0</v>
      </c>
      <c r="H510" s="126" t="s">
        <v>80</v>
      </c>
    </row>
    <row r="511" spans="1:10">
      <c r="A511" s="126" t="s">
        <v>1448</v>
      </c>
      <c r="B511" s="126">
        <v>0</v>
      </c>
      <c r="C511" s="126">
        <v>19200</v>
      </c>
      <c r="D511" s="126">
        <v>0</v>
      </c>
      <c r="E511" s="126">
        <v>19200</v>
      </c>
      <c r="G511" s="126">
        <f t="shared" si="15"/>
        <v>19200</v>
      </c>
      <c r="H511" s="126" t="s">
        <v>80</v>
      </c>
    </row>
    <row r="512" spans="1:10">
      <c r="A512" s="126" t="s">
        <v>1171</v>
      </c>
      <c r="B512" s="126">
        <v>0</v>
      </c>
      <c r="C512" s="126">
        <v>0</v>
      </c>
      <c r="D512" s="126">
        <v>8078.11</v>
      </c>
      <c r="E512" s="126">
        <v>-8078.11</v>
      </c>
      <c r="G512" s="126">
        <f t="shared" si="15"/>
        <v>-8078.11</v>
      </c>
      <c r="H512" s="126" t="s">
        <v>80</v>
      </c>
    </row>
    <row r="513" spans="1:8">
      <c r="A513" s="126" t="s">
        <v>1172</v>
      </c>
      <c r="B513" s="126">
        <v>0</v>
      </c>
      <c r="C513" s="126">
        <v>40179</v>
      </c>
      <c r="D513" s="126">
        <v>40179</v>
      </c>
      <c r="E513" s="126">
        <v>0</v>
      </c>
      <c r="G513" s="126">
        <f t="shared" si="15"/>
        <v>0</v>
      </c>
      <c r="H513" s="126" t="s">
        <v>80</v>
      </c>
    </row>
    <row r="514" spans="1:8">
      <c r="A514" s="126" t="s">
        <v>735</v>
      </c>
      <c r="B514" s="126">
        <v>-6336</v>
      </c>
      <c r="C514" s="126">
        <v>6336</v>
      </c>
      <c r="D514" s="126">
        <v>0</v>
      </c>
      <c r="E514" s="126">
        <v>0</v>
      </c>
      <c r="G514" s="126">
        <f t="shared" si="15"/>
        <v>0</v>
      </c>
      <c r="H514" s="126" t="s">
        <v>80</v>
      </c>
    </row>
    <row r="515" spans="1:8">
      <c r="A515" s="126" t="s">
        <v>483</v>
      </c>
      <c r="B515" s="126">
        <v>0</v>
      </c>
      <c r="C515" s="126">
        <v>10535</v>
      </c>
      <c r="D515" s="126">
        <v>10535</v>
      </c>
      <c r="E515" s="126">
        <v>0</v>
      </c>
      <c r="G515" s="126">
        <f t="shared" ref="G515:G578" si="16">E515+F515</f>
        <v>0</v>
      </c>
      <c r="H515" s="126" t="s">
        <v>80</v>
      </c>
    </row>
    <row r="516" spans="1:8">
      <c r="A516" s="126" t="s">
        <v>267</v>
      </c>
      <c r="B516" s="126">
        <v>-0.2</v>
      </c>
      <c r="C516" s="126">
        <v>0</v>
      </c>
      <c r="D516" s="126">
        <v>2773</v>
      </c>
      <c r="E516" s="126">
        <v>-2773.2</v>
      </c>
      <c r="G516" s="126">
        <f t="shared" si="16"/>
        <v>-2773.2</v>
      </c>
      <c r="H516" s="126" t="s">
        <v>80</v>
      </c>
    </row>
    <row r="517" spans="1:8">
      <c r="A517" s="126" t="s">
        <v>227</v>
      </c>
      <c r="B517" s="126">
        <v>-15147</v>
      </c>
      <c r="C517" s="126">
        <v>43615</v>
      </c>
      <c r="D517" s="126">
        <v>38961</v>
      </c>
      <c r="E517" s="126">
        <v>-10493</v>
      </c>
      <c r="G517" s="126">
        <f t="shared" si="16"/>
        <v>-10493</v>
      </c>
      <c r="H517" s="126" t="s">
        <v>80</v>
      </c>
    </row>
    <row r="518" spans="1:8">
      <c r="A518" s="126" t="s">
        <v>736</v>
      </c>
      <c r="B518" s="126">
        <v>-135575</v>
      </c>
      <c r="C518" s="126">
        <v>271150</v>
      </c>
      <c r="D518" s="126">
        <v>135575</v>
      </c>
      <c r="E518" s="126">
        <v>0</v>
      </c>
      <c r="G518" s="126">
        <f t="shared" si="16"/>
        <v>0</v>
      </c>
      <c r="H518" s="126" t="s">
        <v>80</v>
      </c>
    </row>
    <row r="519" spans="1:8">
      <c r="A519" s="126" t="s">
        <v>1173</v>
      </c>
      <c r="B519" s="126">
        <v>0</v>
      </c>
      <c r="C519" s="126">
        <v>0</v>
      </c>
      <c r="D519" s="126">
        <v>0</v>
      </c>
      <c r="E519" s="126">
        <v>0</v>
      </c>
      <c r="G519" s="126">
        <f t="shared" si="16"/>
        <v>0</v>
      </c>
      <c r="H519" s="126" t="s">
        <v>80</v>
      </c>
    </row>
    <row r="520" spans="1:8">
      <c r="A520" s="126" t="s">
        <v>1174</v>
      </c>
      <c r="B520" s="126">
        <v>0</v>
      </c>
      <c r="C520" s="126">
        <v>0</v>
      </c>
      <c r="D520" s="126">
        <v>0</v>
      </c>
      <c r="E520" s="126">
        <v>0</v>
      </c>
      <c r="G520" s="126">
        <f t="shared" si="16"/>
        <v>0</v>
      </c>
      <c r="H520" s="126" t="s">
        <v>80</v>
      </c>
    </row>
    <row r="521" spans="1:8">
      <c r="A521" s="126" t="s">
        <v>200</v>
      </c>
      <c r="B521" s="126">
        <v>-92736</v>
      </c>
      <c r="C521" s="126">
        <v>92736</v>
      </c>
      <c r="D521" s="126">
        <v>0</v>
      </c>
      <c r="E521" s="126">
        <v>0</v>
      </c>
      <c r="G521" s="126">
        <f t="shared" si="16"/>
        <v>0</v>
      </c>
      <c r="H521" s="126" t="s">
        <v>80</v>
      </c>
    </row>
    <row r="522" spans="1:8">
      <c r="A522" s="126" t="s">
        <v>1449</v>
      </c>
      <c r="B522" s="126">
        <v>0</v>
      </c>
      <c r="C522" s="126">
        <v>0</v>
      </c>
      <c r="D522" s="126">
        <v>120741</v>
      </c>
      <c r="E522" s="126">
        <v>-120741</v>
      </c>
      <c r="G522" s="126">
        <f t="shared" si="16"/>
        <v>-120741</v>
      </c>
      <c r="H522" s="126" t="s">
        <v>80</v>
      </c>
    </row>
    <row r="523" spans="1:8">
      <c r="A523" s="126" t="s">
        <v>1175</v>
      </c>
      <c r="B523" s="126">
        <v>0</v>
      </c>
      <c r="C523" s="126">
        <v>0</v>
      </c>
      <c r="D523" s="126">
        <v>0</v>
      </c>
      <c r="E523" s="126">
        <v>0</v>
      </c>
      <c r="G523" s="126">
        <f t="shared" si="16"/>
        <v>0</v>
      </c>
      <c r="H523" s="126" t="s">
        <v>80</v>
      </c>
    </row>
    <row r="524" spans="1:8">
      <c r="A524" s="126" t="s">
        <v>177</v>
      </c>
      <c r="B524" s="126">
        <v>-633655.30000000005</v>
      </c>
      <c r="C524" s="126">
        <v>633655</v>
      </c>
      <c r="D524" s="126">
        <v>0</v>
      </c>
      <c r="E524" s="126">
        <v>-0.3</v>
      </c>
      <c r="G524" s="126">
        <f t="shared" si="16"/>
        <v>-0.3</v>
      </c>
      <c r="H524" s="126" t="s">
        <v>80</v>
      </c>
    </row>
    <row r="525" spans="1:8">
      <c r="A525" s="126" t="s">
        <v>172</v>
      </c>
      <c r="B525" s="126">
        <v>-72395.7</v>
      </c>
      <c r="C525" s="126">
        <v>86909.36</v>
      </c>
      <c r="D525" s="126">
        <v>14514</v>
      </c>
      <c r="E525" s="126">
        <v>-0.34</v>
      </c>
      <c r="G525" s="126">
        <f t="shared" si="16"/>
        <v>-0.34</v>
      </c>
      <c r="H525" s="126" t="s">
        <v>80</v>
      </c>
    </row>
    <row r="526" spans="1:8">
      <c r="A526" s="126" t="s">
        <v>171</v>
      </c>
      <c r="B526" s="126">
        <v>-65926.83</v>
      </c>
      <c r="C526" s="126">
        <v>0</v>
      </c>
      <c r="D526" s="126">
        <v>0</v>
      </c>
      <c r="E526" s="126">
        <v>-65926.83</v>
      </c>
      <c r="G526" s="126">
        <f t="shared" si="16"/>
        <v>-65926.83</v>
      </c>
      <c r="H526" s="126" t="s">
        <v>80</v>
      </c>
    </row>
    <row r="527" spans="1:8">
      <c r="A527" s="126" t="s">
        <v>157</v>
      </c>
      <c r="B527" s="126">
        <v>-479073.48</v>
      </c>
      <c r="C527" s="126">
        <v>479073.48</v>
      </c>
      <c r="D527" s="126">
        <v>0</v>
      </c>
      <c r="E527" s="126">
        <v>0</v>
      </c>
      <c r="G527" s="126">
        <f t="shared" si="16"/>
        <v>0</v>
      </c>
      <c r="H527" s="126" t="s">
        <v>80</v>
      </c>
    </row>
    <row r="528" spans="1:8">
      <c r="A528" s="126" t="s">
        <v>1450</v>
      </c>
      <c r="B528" s="126">
        <v>0</v>
      </c>
      <c r="C528" s="126">
        <v>5040</v>
      </c>
      <c r="D528" s="126">
        <v>5040</v>
      </c>
      <c r="E528" s="126">
        <v>0</v>
      </c>
      <c r="G528" s="126">
        <f t="shared" si="16"/>
        <v>0</v>
      </c>
      <c r="H528" s="126" t="s">
        <v>80</v>
      </c>
    </row>
    <row r="529" spans="1:8">
      <c r="A529" s="126" t="s">
        <v>1451</v>
      </c>
      <c r="B529" s="126">
        <v>0</v>
      </c>
      <c r="C529" s="126">
        <v>0</v>
      </c>
      <c r="D529" s="126">
        <v>17228</v>
      </c>
      <c r="E529" s="126">
        <v>-17228</v>
      </c>
      <c r="G529" s="126">
        <f t="shared" si="16"/>
        <v>-17228</v>
      </c>
      <c r="H529" s="126" t="s">
        <v>80</v>
      </c>
    </row>
    <row r="530" spans="1:8">
      <c r="A530" s="126" t="s">
        <v>737</v>
      </c>
      <c r="B530" s="126">
        <v>-2985</v>
      </c>
      <c r="C530" s="126">
        <v>0</v>
      </c>
      <c r="D530" s="126">
        <v>0</v>
      </c>
      <c r="E530" s="126">
        <v>-2985</v>
      </c>
      <c r="G530" s="126">
        <f t="shared" si="16"/>
        <v>-2985</v>
      </c>
      <c r="H530" s="126" t="s">
        <v>80</v>
      </c>
    </row>
    <row r="531" spans="1:8">
      <c r="A531" s="126" t="s">
        <v>738</v>
      </c>
      <c r="B531" s="126">
        <v>-36573.800000000003</v>
      </c>
      <c r="C531" s="126">
        <v>27281.599999999999</v>
      </c>
      <c r="D531" s="126">
        <v>36580</v>
      </c>
      <c r="E531" s="126">
        <v>-45872.2</v>
      </c>
      <c r="G531" s="126">
        <f t="shared" si="16"/>
        <v>-45872.2</v>
      </c>
      <c r="H531" s="126" t="s">
        <v>80</v>
      </c>
    </row>
    <row r="532" spans="1:8">
      <c r="A532" s="126" t="s">
        <v>1176</v>
      </c>
      <c r="B532" s="126">
        <v>0</v>
      </c>
      <c r="C532" s="126">
        <v>0</v>
      </c>
      <c r="D532" s="126">
        <v>0</v>
      </c>
      <c r="E532" s="126">
        <v>0</v>
      </c>
      <c r="G532" s="126">
        <f t="shared" si="16"/>
        <v>0</v>
      </c>
      <c r="H532" s="126" t="s">
        <v>80</v>
      </c>
    </row>
    <row r="533" spans="1:8">
      <c r="A533" s="126" t="s">
        <v>739</v>
      </c>
      <c r="B533" s="126">
        <v>47790</v>
      </c>
      <c r="C533" s="126">
        <v>0</v>
      </c>
      <c r="D533" s="126">
        <v>47790</v>
      </c>
      <c r="E533" s="126">
        <v>0</v>
      </c>
      <c r="G533" s="126">
        <f t="shared" si="16"/>
        <v>0</v>
      </c>
      <c r="H533" s="126" t="s">
        <v>80</v>
      </c>
    </row>
    <row r="534" spans="1:8">
      <c r="A534" s="126" t="s">
        <v>301</v>
      </c>
      <c r="B534" s="126">
        <v>-133056</v>
      </c>
      <c r="C534" s="126">
        <v>133056</v>
      </c>
      <c r="D534" s="126">
        <v>0</v>
      </c>
      <c r="E534" s="126">
        <v>0</v>
      </c>
      <c r="G534" s="126">
        <f t="shared" si="16"/>
        <v>0</v>
      </c>
      <c r="H534" s="126" t="s">
        <v>80</v>
      </c>
    </row>
    <row r="535" spans="1:8">
      <c r="A535" s="126" t="s">
        <v>302</v>
      </c>
      <c r="B535" s="126">
        <v>-31860</v>
      </c>
      <c r="C535" s="126">
        <v>87084</v>
      </c>
      <c r="D535" s="126">
        <v>55224</v>
      </c>
      <c r="E535" s="126">
        <v>0</v>
      </c>
      <c r="G535" s="126">
        <f t="shared" si="16"/>
        <v>0</v>
      </c>
      <c r="H535" s="126" t="s">
        <v>80</v>
      </c>
    </row>
    <row r="536" spans="1:8">
      <c r="A536" s="126" t="s">
        <v>1177</v>
      </c>
      <c r="B536" s="126">
        <v>0</v>
      </c>
      <c r="C536" s="126">
        <v>0</v>
      </c>
      <c r="D536" s="126">
        <v>0</v>
      </c>
      <c r="E536" s="126">
        <v>0</v>
      </c>
      <c r="G536" s="126">
        <f t="shared" si="16"/>
        <v>0</v>
      </c>
      <c r="H536" s="126" t="s">
        <v>80</v>
      </c>
    </row>
    <row r="537" spans="1:8">
      <c r="A537" s="126" t="s">
        <v>279</v>
      </c>
      <c r="B537" s="126">
        <v>0</v>
      </c>
      <c r="C537" s="126">
        <v>56994</v>
      </c>
      <c r="D537" s="126">
        <v>82397</v>
      </c>
      <c r="E537" s="126">
        <v>-25403</v>
      </c>
      <c r="G537" s="126">
        <f t="shared" si="16"/>
        <v>-25403</v>
      </c>
      <c r="H537" s="126" t="s">
        <v>80</v>
      </c>
    </row>
    <row r="538" spans="1:8">
      <c r="A538" s="126" t="s">
        <v>298</v>
      </c>
      <c r="B538" s="126">
        <v>-45937</v>
      </c>
      <c r="C538" s="126">
        <v>64312</v>
      </c>
      <c r="D538" s="126">
        <v>36960</v>
      </c>
      <c r="E538" s="126">
        <v>-18585</v>
      </c>
      <c r="G538" s="126">
        <f t="shared" si="16"/>
        <v>-18585</v>
      </c>
      <c r="H538" s="126" t="s">
        <v>80</v>
      </c>
    </row>
    <row r="539" spans="1:8">
      <c r="A539" s="126" t="s">
        <v>1179</v>
      </c>
      <c r="B539" s="126">
        <v>0</v>
      </c>
      <c r="C539" s="126">
        <v>0</v>
      </c>
      <c r="D539" s="126">
        <v>0</v>
      </c>
      <c r="E539" s="126">
        <v>0</v>
      </c>
      <c r="G539" s="126">
        <f t="shared" si="16"/>
        <v>0</v>
      </c>
      <c r="H539" s="126" t="s">
        <v>80</v>
      </c>
    </row>
    <row r="540" spans="1:8">
      <c r="A540" s="126" t="s">
        <v>507</v>
      </c>
      <c r="B540" s="126">
        <v>0</v>
      </c>
      <c r="C540" s="126">
        <v>44569</v>
      </c>
      <c r="D540" s="126">
        <v>44569</v>
      </c>
      <c r="E540" s="126">
        <v>0</v>
      </c>
      <c r="G540" s="126">
        <f t="shared" si="16"/>
        <v>0</v>
      </c>
      <c r="H540" s="126" t="s">
        <v>80</v>
      </c>
    </row>
    <row r="541" spans="1:8">
      <c r="A541" s="126" t="s">
        <v>740</v>
      </c>
      <c r="B541" s="126">
        <v>5168.22</v>
      </c>
      <c r="C541" s="126">
        <v>88385.71</v>
      </c>
      <c r="D541" s="126">
        <v>93555</v>
      </c>
      <c r="E541" s="126">
        <v>-1.07</v>
      </c>
      <c r="G541" s="126">
        <f t="shared" si="16"/>
        <v>-1.07</v>
      </c>
      <c r="H541" s="126" t="s">
        <v>80</v>
      </c>
    </row>
    <row r="542" spans="1:8">
      <c r="A542" s="126" t="s">
        <v>1180</v>
      </c>
      <c r="B542" s="126">
        <v>0</v>
      </c>
      <c r="C542" s="126">
        <v>18874</v>
      </c>
      <c r="D542" s="126">
        <v>18874</v>
      </c>
      <c r="E542" s="126">
        <v>0</v>
      </c>
      <c r="G542" s="126">
        <f t="shared" si="16"/>
        <v>0</v>
      </c>
      <c r="H542" s="126" t="s">
        <v>80</v>
      </c>
    </row>
    <row r="543" spans="1:8">
      <c r="A543" s="126" t="s">
        <v>297</v>
      </c>
      <c r="B543" s="126">
        <v>-390771.28</v>
      </c>
      <c r="C543" s="126">
        <v>1677910.88</v>
      </c>
      <c r="D543" s="126">
        <v>2908758.6</v>
      </c>
      <c r="E543" s="126">
        <v>-1621619</v>
      </c>
      <c r="G543" s="126">
        <f t="shared" si="16"/>
        <v>-1621619</v>
      </c>
      <c r="H543" s="126" t="s">
        <v>80</v>
      </c>
    </row>
    <row r="544" spans="1:8">
      <c r="A544" s="126" t="s">
        <v>296</v>
      </c>
      <c r="B544" s="126">
        <v>-3203522</v>
      </c>
      <c r="C544" s="126">
        <v>3203522</v>
      </c>
      <c r="D544" s="126">
        <v>0</v>
      </c>
      <c r="E544" s="126">
        <v>0</v>
      </c>
      <c r="G544" s="126">
        <f t="shared" si="16"/>
        <v>0</v>
      </c>
      <c r="H544" s="126" t="s">
        <v>80</v>
      </c>
    </row>
    <row r="545" spans="1:8">
      <c r="A545" s="126" t="s">
        <v>478</v>
      </c>
      <c r="B545" s="126">
        <v>-1378</v>
      </c>
      <c r="C545" s="126">
        <v>0</v>
      </c>
      <c r="D545" s="126">
        <v>0</v>
      </c>
      <c r="E545" s="126">
        <v>-1378</v>
      </c>
      <c r="G545" s="126">
        <f t="shared" si="16"/>
        <v>-1378</v>
      </c>
      <c r="H545" s="126" t="s">
        <v>80</v>
      </c>
    </row>
    <row r="546" spans="1:8">
      <c r="A546" s="126" t="s">
        <v>294</v>
      </c>
      <c r="B546" s="126">
        <v>-6785</v>
      </c>
      <c r="C546" s="126">
        <v>6785</v>
      </c>
      <c r="D546" s="126">
        <v>2997</v>
      </c>
      <c r="E546" s="126">
        <v>-2997</v>
      </c>
      <c r="G546" s="126">
        <f t="shared" si="16"/>
        <v>-2997</v>
      </c>
      <c r="H546" s="126" t="s">
        <v>80</v>
      </c>
    </row>
    <row r="547" spans="1:8">
      <c r="A547" s="126" t="s">
        <v>741</v>
      </c>
      <c r="B547" s="126">
        <v>-0.5</v>
      </c>
      <c r="C547" s="126">
        <v>0</v>
      </c>
      <c r="D547" s="126">
        <v>0</v>
      </c>
      <c r="E547" s="126">
        <v>-0.5</v>
      </c>
      <c r="G547" s="126">
        <f t="shared" si="16"/>
        <v>-0.5</v>
      </c>
      <c r="H547" s="126" t="s">
        <v>80</v>
      </c>
    </row>
    <row r="548" spans="1:8">
      <c r="A548" s="126" t="s">
        <v>1182</v>
      </c>
      <c r="B548" s="126">
        <v>0</v>
      </c>
      <c r="C548" s="126">
        <v>0</v>
      </c>
      <c r="D548" s="126">
        <v>0</v>
      </c>
      <c r="E548" s="126">
        <v>0</v>
      </c>
      <c r="G548" s="126">
        <f t="shared" si="16"/>
        <v>0</v>
      </c>
      <c r="H548" s="126" t="s">
        <v>80</v>
      </c>
    </row>
    <row r="549" spans="1:8">
      <c r="A549" s="126" t="s">
        <v>295</v>
      </c>
      <c r="B549" s="126">
        <v>-6440</v>
      </c>
      <c r="C549" s="126">
        <v>6440</v>
      </c>
      <c r="D549" s="126">
        <v>0</v>
      </c>
      <c r="E549" s="126">
        <v>0</v>
      </c>
      <c r="G549" s="126">
        <f t="shared" si="16"/>
        <v>0</v>
      </c>
      <c r="H549" s="126" t="s">
        <v>80</v>
      </c>
    </row>
    <row r="550" spans="1:8">
      <c r="A550" s="126" t="s">
        <v>1183</v>
      </c>
      <c r="B550" s="126">
        <v>0</v>
      </c>
      <c r="C550" s="126">
        <v>0</v>
      </c>
      <c r="D550" s="126">
        <v>0</v>
      </c>
      <c r="E550" s="126">
        <v>0</v>
      </c>
      <c r="G550" s="126">
        <f t="shared" si="16"/>
        <v>0</v>
      </c>
      <c r="H550" s="126" t="s">
        <v>80</v>
      </c>
    </row>
    <row r="551" spans="1:8">
      <c r="A551" s="126" t="s">
        <v>742</v>
      </c>
      <c r="B551" s="126">
        <v>-11769</v>
      </c>
      <c r="C551" s="126">
        <v>0</v>
      </c>
      <c r="D551" s="126">
        <v>0</v>
      </c>
      <c r="E551" s="126">
        <v>-11769</v>
      </c>
      <c r="G551" s="126">
        <f t="shared" si="16"/>
        <v>-11769</v>
      </c>
      <c r="H551" s="126" t="s">
        <v>80</v>
      </c>
    </row>
    <row r="552" spans="1:8">
      <c r="A552" s="126" t="s">
        <v>446</v>
      </c>
      <c r="B552" s="126">
        <v>29531.9</v>
      </c>
      <c r="C552" s="126">
        <v>0</v>
      </c>
      <c r="D552" s="126">
        <v>0</v>
      </c>
      <c r="E552" s="126">
        <v>29531.9</v>
      </c>
      <c r="G552" s="126">
        <f t="shared" si="16"/>
        <v>29531.9</v>
      </c>
      <c r="H552" s="126" t="s">
        <v>80</v>
      </c>
    </row>
    <row r="553" spans="1:8">
      <c r="A553" s="126" t="s">
        <v>743</v>
      </c>
      <c r="B553" s="126">
        <v>-95975.8</v>
      </c>
      <c r="C553" s="126">
        <v>96188</v>
      </c>
      <c r="D553" s="126">
        <v>118933</v>
      </c>
      <c r="E553" s="126">
        <v>-118720.8</v>
      </c>
      <c r="G553" s="126">
        <f t="shared" si="16"/>
        <v>-118720.8</v>
      </c>
      <c r="H553" s="126" t="s">
        <v>80</v>
      </c>
    </row>
    <row r="554" spans="1:8">
      <c r="A554" s="126" t="s">
        <v>293</v>
      </c>
      <c r="B554" s="126">
        <v>-97297.53</v>
      </c>
      <c r="C554" s="126">
        <v>1541151</v>
      </c>
      <c r="D554" s="126">
        <v>1530582.95</v>
      </c>
      <c r="E554" s="126">
        <v>-86729.48</v>
      </c>
      <c r="G554" s="126">
        <f t="shared" si="16"/>
        <v>-86729.48</v>
      </c>
      <c r="H554" s="126" t="s">
        <v>80</v>
      </c>
    </row>
    <row r="555" spans="1:8">
      <c r="A555" s="126" t="s">
        <v>1184</v>
      </c>
      <c r="B555" s="126">
        <v>0</v>
      </c>
      <c r="C555" s="126">
        <v>0</v>
      </c>
      <c r="D555" s="126">
        <v>0</v>
      </c>
      <c r="E555" s="126">
        <v>0</v>
      </c>
      <c r="G555" s="126">
        <f t="shared" si="16"/>
        <v>0</v>
      </c>
      <c r="H555" s="126" t="s">
        <v>80</v>
      </c>
    </row>
    <row r="556" spans="1:8">
      <c r="A556" s="126" t="s">
        <v>286</v>
      </c>
      <c r="B556" s="126">
        <v>0</v>
      </c>
      <c r="C556" s="126">
        <v>33955</v>
      </c>
      <c r="D556" s="126">
        <v>33955</v>
      </c>
      <c r="E556" s="126">
        <v>0</v>
      </c>
      <c r="G556" s="126">
        <f t="shared" si="16"/>
        <v>0</v>
      </c>
      <c r="H556" s="126" t="s">
        <v>80</v>
      </c>
    </row>
    <row r="557" spans="1:8">
      <c r="A557" s="126" t="s">
        <v>744</v>
      </c>
      <c r="B557" s="126">
        <v>-0.05</v>
      </c>
      <c r="C557" s="126">
        <v>0</v>
      </c>
      <c r="D557" s="126">
        <v>0</v>
      </c>
      <c r="E557" s="126">
        <v>-0.05</v>
      </c>
      <c r="G557" s="126">
        <f t="shared" si="16"/>
        <v>-0.05</v>
      </c>
      <c r="H557" s="126" t="s">
        <v>80</v>
      </c>
    </row>
    <row r="558" spans="1:8">
      <c r="A558" s="126" t="s">
        <v>1452</v>
      </c>
      <c r="B558" s="126">
        <v>0</v>
      </c>
      <c r="C558" s="126">
        <v>0</v>
      </c>
      <c r="D558" s="126">
        <v>9924</v>
      </c>
      <c r="E558" s="126">
        <v>-9924</v>
      </c>
      <c r="G558" s="126">
        <f t="shared" si="16"/>
        <v>-9924</v>
      </c>
      <c r="H558" s="126" t="s">
        <v>80</v>
      </c>
    </row>
    <row r="559" spans="1:8">
      <c r="A559" s="126" t="s">
        <v>1185</v>
      </c>
      <c r="B559" s="126">
        <v>0</v>
      </c>
      <c r="C559" s="126">
        <v>0</v>
      </c>
      <c r="D559" s="126">
        <v>0</v>
      </c>
      <c r="E559" s="126">
        <v>0</v>
      </c>
      <c r="G559" s="126">
        <f t="shared" si="16"/>
        <v>0</v>
      </c>
      <c r="H559" s="126" t="s">
        <v>80</v>
      </c>
    </row>
    <row r="560" spans="1:8">
      <c r="A560" s="126" t="s">
        <v>1186</v>
      </c>
      <c r="B560" s="126">
        <v>0</v>
      </c>
      <c r="C560" s="126">
        <v>0</v>
      </c>
      <c r="D560" s="126">
        <v>10544</v>
      </c>
      <c r="E560" s="126">
        <v>-10544</v>
      </c>
      <c r="G560" s="126">
        <f t="shared" si="16"/>
        <v>-10544</v>
      </c>
      <c r="H560" s="126" t="s">
        <v>80</v>
      </c>
    </row>
    <row r="561" spans="1:8">
      <c r="A561" s="126" t="s">
        <v>1187</v>
      </c>
      <c r="B561" s="126">
        <v>0</v>
      </c>
      <c r="C561" s="126">
        <v>370649</v>
      </c>
      <c r="D561" s="126">
        <v>800457</v>
      </c>
      <c r="E561" s="126">
        <v>-429808</v>
      </c>
      <c r="G561" s="126">
        <f t="shared" si="16"/>
        <v>-429808</v>
      </c>
      <c r="H561" s="126" t="s">
        <v>80</v>
      </c>
    </row>
    <row r="562" spans="1:8">
      <c r="A562" s="126" t="s">
        <v>287</v>
      </c>
      <c r="B562" s="126">
        <v>0.36</v>
      </c>
      <c r="C562" s="126">
        <v>0</v>
      </c>
      <c r="D562" s="126">
        <v>0</v>
      </c>
      <c r="E562" s="126">
        <v>0.36</v>
      </c>
      <c r="G562" s="126">
        <f t="shared" si="16"/>
        <v>0.36</v>
      </c>
      <c r="H562" s="126" t="s">
        <v>80</v>
      </c>
    </row>
    <row r="563" spans="1:8">
      <c r="A563" s="126" t="s">
        <v>288</v>
      </c>
      <c r="B563" s="126">
        <v>-55980.07</v>
      </c>
      <c r="C563" s="126">
        <v>105511.51</v>
      </c>
      <c r="D563" s="126">
        <v>98903</v>
      </c>
      <c r="E563" s="126">
        <v>-49371.56</v>
      </c>
      <c r="G563" s="126">
        <f t="shared" si="16"/>
        <v>-49371.56</v>
      </c>
      <c r="H563" s="126" t="s">
        <v>80</v>
      </c>
    </row>
    <row r="564" spans="1:8">
      <c r="A564" s="126" t="s">
        <v>1188</v>
      </c>
      <c r="B564" s="126">
        <v>0</v>
      </c>
      <c r="C564" s="126">
        <v>0</v>
      </c>
      <c r="D564" s="126">
        <v>0</v>
      </c>
      <c r="E564" s="126">
        <v>0</v>
      </c>
      <c r="G564" s="126">
        <f t="shared" si="16"/>
        <v>0</v>
      </c>
      <c r="H564" s="126" t="s">
        <v>80</v>
      </c>
    </row>
    <row r="565" spans="1:8">
      <c r="A565" s="126" t="s">
        <v>1543</v>
      </c>
      <c r="B565" s="126">
        <v>0</v>
      </c>
      <c r="C565" s="126">
        <v>0</v>
      </c>
      <c r="D565" s="126">
        <v>0</v>
      </c>
      <c r="E565" s="126">
        <v>0</v>
      </c>
      <c r="G565" s="126">
        <f t="shared" si="16"/>
        <v>0</v>
      </c>
      <c r="H565" s="126" t="s">
        <v>80</v>
      </c>
    </row>
    <row r="566" spans="1:8">
      <c r="A566" s="126" t="s">
        <v>290</v>
      </c>
      <c r="B566" s="126">
        <v>-67376.240000000005</v>
      </c>
      <c r="C566" s="126">
        <v>67376.240000000005</v>
      </c>
      <c r="D566" s="126">
        <v>0</v>
      </c>
      <c r="E566" s="126">
        <v>0</v>
      </c>
      <c r="G566" s="126">
        <f t="shared" si="16"/>
        <v>0</v>
      </c>
      <c r="H566" s="126" t="s">
        <v>80</v>
      </c>
    </row>
    <row r="567" spans="1:8">
      <c r="A567" s="126" t="s">
        <v>284</v>
      </c>
      <c r="B567" s="126">
        <v>0.2</v>
      </c>
      <c r="C567" s="126">
        <v>0</v>
      </c>
      <c r="D567" s="126">
        <v>0</v>
      </c>
      <c r="E567" s="126">
        <v>0.2</v>
      </c>
      <c r="G567" s="126">
        <f t="shared" si="16"/>
        <v>0.2</v>
      </c>
      <c r="H567" s="126" t="s">
        <v>80</v>
      </c>
    </row>
    <row r="568" spans="1:8">
      <c r="A568" s="126" t="s">
        <v>745</v>
      </c>
      <c r="B568" s="126">
        <v>-16520</v>
      </c>
      <c r="C568" s="126">
        <v>0</v>
      </c>
      <c r="D568" s="126">
        <v>0</v>
      </c>
      <c r="E568" s="126">
        <v>-16520</v>
      </c>
      <c r="G568" s="126">
        <f t="shared" si="16"/>
        <v>-16520</v>
      </c>
      <c r="H568" s="126" t="s">
        <v>80</v>
      </c>
    </row>
    <row r="569" spans="1:8">
      <c r="A569" s="126" t="s">
        <v>1189</v>
      </c>
      <c r="B569" s="126">
        <v>0</v>
      </c>
      <c r="C569" s="126">
        <v>0</v>
      </c>
      <c r="D569" s="126">
        <v>0</v>
      </c>
      <c r="E569" s="126">
        <v>0</v>
      </c>
      <c r="G569" s="126">
        <f t="shared" si="16"/>
        <v>0</v>
      </c>
      <c r="H569" s="126" t="s">
        <v>80</v>
      </c>
    </row>
    <row r="570" spans="1:8">
      <c r="A570" s="126" t="s">
        <v>746</v>
      </c>
      <c r="B570" s="126">
        <v>-97707</v>
      </c>
      <c r="C570" s="126">
        <v>125918</v>
      </c>
      <c r="D570" s="126">
        <v>44302</v>
      </c>
      <c r="E570" s="126">
        <v>-16091</v>
      </c>
      <c r="G570" s="126">
        <f t="shared" si="16"/>
        <v>-16091</v>
      </c>
      <c r="H570" s="126" t="s">
        <v>80</v>
      </c>
    </row>
    <row r="571" spans="1:8">
      <c r="A571" s="126" t="s">
        <v>1190</v>
      </c>
      <c r="B571" s="126">
        <v>0</v>
      </c>
      <c r="C571" s="126">
        <v>0</v>
      </c>
      <c r="D571" s="126">
        <v>0</v>
      </c>
      <c r="E571" s="126">
        <v>0</v>
      </c>
      <c r="G571" s="126">
        <f t="shared" si="16"/>
        <v>0</v>
      </c>
      <c r="H571" s="126" t="s">
        <v>80</v>
      </c>
    </row>
    <row r="572" spans="1:8">
      <c r="A572" s="126" t="s">
        <v>281</v>
      </c>
      <c r="B572" s="126">
        <v>-63981.1</v>
      </c>
      <c r="C572" s="126">
        <v>134801</v>
      </c>
      <c r="D572" s="126">
        <v>149571</v>
      </c>
      <c r="E572" s="126">
        <v>-78751.100000000006</v>
      </c>
      <c r="G572" s="126">
        <f t="shared" si="16"/>
        <v>-78751.100000000006</v>
      </c>
      <c r="H572" s="126" t="s">
        <v>80</v>
      </c>
    </row>
    <row r="573" spans="1:8">
      <c r="A573" s="126" t="s">
        <v>278</v>
      </c>
      <c r="B573" s="126">
        <v>-427455</v>
      </c>
      <c r="C573" s="126">
        <v>427455</v>
      </c>
      <c r="D573" s="126">
        <v>87049</v>
      </c>
      <c r="E573" s="126">
        <v>-87049</v>
      </c>
      <c r="G573" s="126">
        <f t="shared" si="16"/>
        <v>-87049</v>
      </c>
      <c r="H573" s="126" t="s">
        <v>80</v>
      </c>
    </row>
    <row r="574" spans="1:8">
      <c r="A574" s="126" t="s">
        <v>274</v>
      </c>
      <c r="B574" s="126">
        <v>-99775.5</v>
      </c>
      <c r="C574" s="126">
        <v>71521</v>
      </c>
      <c r="D574" s="126">
        <v>34148</v>
      </c>
      <c r="E574" s="126">
        <v>-62402.5</v>
      </c>
      <c r="G574" s="126">
        <f t="shared" si="16"/>
        <v>-62402.5</v>
      </c>
      <c r="H574" s="126" t="s">
        <v>80</v>
      </c>
    </row>
    <row r="575" spans="1:8">
      <c r="A575" s="126" t="s">
        <v>275</v>
      </c>
      <c r="B575" s="126">
        <v>-407361.01</v>
      </c>
      <c r="C575" s="126">
        <v>345087</v>
      </c>
      <c r="D575" s="126">
        <v>210611</v>
      </c>
      <c r="E575" s="126">
        <v>-272885.01</v>
      </c>
      <c r="G575" s="126">
        <f t="shared" si="16"/>
        <v>-272885.01</v>
      </c>
      <c r="H575" s="126" t="s">
        <v>80</v>
      </c>
    </row>
    <row r="576" spans="1:8">
      <c r="A576" s="126" t="s">
        <v>276</v>
      </c>
      <c r="B576" s="126">
        <v>-1775316.58</v>
      </c>
      <c r="C576" s="126">
        <v>872245.97</v>
      </c>
      <c r="D576" s="126">
        <v>73726</v>
      </c>
      <c r="E576" s="126">
        <v>-976796.61</v>
      </c>
      <c r="G576" s="126">
        <f t="shared" si="16"/>
        <v>-976796.61</v>
      </c>
      <c r="H576" s="126" t="s">
        <v>80</v>
      </c>
    </row>
    <row r="577" spans="1:8">
      <c r="A577" s="126" t="s">
        <v>280</v>
      </c>
      <c r="B577" s="126">
        <v>-6136</v>
      </c>
      <c r="C577" s="126">
        <v>3068</v>
      </c>
      <c r="D577" s="126">
        <v>0</v>
      </c>
      <c r="E577" s="126">
        <v>-3068</v>
      </c>
      <c r="G577" s="126">
        <f t="shared" si="16"/>
        <v>-3068</v>
      </c>
      <c r="H577" s="126" t="s">
        <v>80</v>
      </c>
    </row>
    <row r="578" spans="1:8">
      <c r="A578" s="126" t="s">
        <v>1453</v>
      </c>
      <c r="B578" s="126">
        <v>0</v>
      </c>
      <c r="C578" s="126">
        <v>0</v>
      </c>
      <c r="D578" s="126">
        <v>5791</v>
      </c>
      <c r="E578" s="126">
        <v>-5791</v>
      </c>
      <c r="G578" s="126">
        <f t="shared" si="16"/>
        <v>-5791</v>
      </c>
      <c r="H578" s="126" t="s">
        <v>80</v>
      </c>
    </row>
    <row r="579" spans="1:8">
      <c r="A579" s="126" t="s">
        <v>454</v>
      </c>
      <c r="B579" s="126">
        <v>257505.5</v>
      </c>
      <c r="C579" s="126">
        <v>0</v>
      </c>
      <c r="D579" s="126">
        <v>132750</v>
      </c>
      <c r="E579" s="126">
        <v>124755.5</v>
      </c>
      <c r="G579" s="126">
        <f t="shared" ref="G579:G642" si="17">E579+F579</f>
        <v>124755.5</v>
      </c>
      <c r="H579" s="126" t="s">
        <v>80</v>
      </c>
    </row>
    <row r="580" spans="1:8">
      <c r="A580" s="126" t="s">
        <v>271</v>
      </c>
      <c r="B580" s="126">
        <v>-29832.6</v>
      </c>
      <c r="C580" s="126">
        <v>0</v>
      </c>
      <c r="D580" s="126">
        <v>0</v>
      </c>
      <c r="E580" s="126">
        <v>-29832.6</v>
      </c>
      <c r="G580" s="126">
        <f t="shared" si="17"/>
        <v>-29832.6</v>
      </c>
      <c r="H580" s="126" t="s">
        <v>80</v>
      </c>
    </row>
    <row r="581" spans="1:8">
      <c r="A581" s="126" t="s">
        <v>747</v>
      </c>
      <c r="B581" s="126">
        <v>-449535.74</v>
      </c>
      <c r="C581" s="126">
        <v>1423767</v>
      </c>
      <c r="D581" s="126">
        <v>974796</v>
      </c>
      <c r="E581" s="126">
        <v>-564.74</v>
      </c>
      <c r="G581" s="126">
        <f t="shared" si="17"/>
        <v>-564.74</v>
      </c>
      <c r="H581" s="126" t="s">
        <v>80</v>
      </c>
    </row>
    <row r="582" spans="1:8">
      <c r="A582" s="126" t="s">
        <v>748</v>
      </c>
      <c r="B582" s="126">
        <v>-20650.5</v>
      </c>
      <c r="C582" s="126">
        <v>20650</v>
      </c>
      <c r="D582" s="126">
        <v>20650</v>
      </c>
      <c r="E582" s="126">
        <v>-20650.5</v>
      </c>
      <c r="G582" s="126">
        <f t="shared" si="17"/>
        <v>-20650.5</v>
      </c>
      <c r="H582" s="126" t="s">
        <v>80</v>
      </c>
    </row>
    <row r="583" spans="1:8">
      <c r="A583" s="126" t="s">
        <v>1454</v>
      </c>
      <c r="B583" s="126">
        <v>0</v>
      </c>
      <c r="C583" s="126">
        <v>14496</v>
      </c>
      <c r="D583" s="126">
        <v>0</v>
      </c>
      <c r="E583" s="126">
        <v>14496</v>
      </c>
      <c r="G583" s="126">
        <f t="shared" si="17"/>
        <v>14496</v>
      </c>
      <c r="H583" s="126" t="s">
        <v>80</v>
      </c>
    </row>
    <row r="584" spans="1:8">
      <c r="A584" s="126" t="s">
        <v>749</v>
      </c>
      <c r="B584" s="126">
        <v>-23187</v>
      </c>
      <c r="C584" s="126">
        <v>23187</v>
      </c>
      <c r="D584" s="126">
        <v>0</v>
      </c>
      <c r="E584" s="126">
        <v>0</v>
      </c>
      <c r="G584" s="126">
        <f t="shared" si="17"/>
        <v>0</v>
      </c>
      <c r="H584" s="126" t="s">
        <v>80</v>
      </c>
    </row>
    <row r="585" spans="1:8">
      <c r="A585" s="126" t="s">
        <v>1455</v>
      </c>
      <c r="B585" s="126">
        <v>0</v>
      </c>
      <c r="C585" s="126">
        <v>17700</v>
      </c>
      <c r="D585" s="126">
        <v>0</v>
      </c>
      <c r="E585" s="126">
        <v>17700</v>
      </c>
      <c r="G585" s="126">
        <f t="shared" si="17"/>
        <v>17700</v>
      </c>
      <c r="H585" s="126" t="s">
        <v>80</v>
      </c>
    </row>
    <row r="586" spans="1:8">
      <c r="A586" s="126" t="s">
        <v>750</v>
      </c>
      <c r="B586" s="126">
        <v>-851</v>
      </c>
      <c r="C586" s="126">
        <v>0</v>
      </c>
      <c r="D586" s="126">
        <v>0</v>
      </c>
      <c r="E586" s="126">
        <v>-851</v>
      </c>
      <c r="G586" s="126">
        <f t="shared" si="17"/>
        <v>-851</v>
      </c>
      <c r="H586" s="126" t="s">
        <v>80</v>
      </c>
    </row>
    <row r="587" spans="1:8">
      <c r="A587" s="126" t="s">
        <v>751</v>
      </c>
      <c r="B587" s="126">
        <v>-46728</v>
      </c>
      <c r="C587" s="126">
        <v>206895</v>
      </c>
      <c r="D587" s="126">
        <v>239640</v>
      </c>
      <c r="E587" s="126">
        <v>-79473</v>
      </c>
      <c r="G587" s="126">
        <f t="shared" si="17"/>
        <v>-79473</v>
      </c>
      <c r="H587" s="126" t="s">
        <v>80</v>
      </c>
    </row>
    <row r="588" spans="1:8">
      <c r="A588" s="126" t="s">
        <v>752</v>
      </c>
      <c r="B588" s="126">
        <v>-12095</v>
      </c>
      <c r="C588" s="126">
        <v>0</v>
      </c>
      <c r="D588" s="126">
        <v>0</v>
      </c>
      <c r="E588" s="126">
        <v>-12095</v>
      </c>
      <c r="G588" s="126">
        <f t="shared" si="17"/>
        <v>-12095</v>
      </c>
      <c r="H588" s="126" t="s">
        <v>80</v>
      </c>
    </row>
    <row r="589" spans="1:8">
      <c r="A589" s="126" t="s">
        <v>753</v>
      </c>
      <c r="B589" s="126">
        <v>-1872</v>
      </c>
      <c r="C589" s="126">
        <v>10207</v>
      </c>
      <c r="D589" s="126">
        <v>10207</v>
      </c>
      <c r="E589" s="126">
        <v>-1872</v>
      </c>
      <c r="G589" s="126">
        <f t="shared" si="17"/>
        <v>-1872</v>
      </c>
      <c r="H589" s="126" t="s">
        <v>80</v>
      </c>
    </row>
    <row r="590" spans="1:8">
      <c r="A590" s="126" t="s">
        <v>1456</v>
      </c>
      <c r="B590" s="126">
        <v>0</v>
      </c>
      <c r="C590" s="126">
        <v>0</v>
      </c>
      <c r="D590" s="126">
        <v>20000</v>
      </c>
      <c r="E590" s="126">
        <v>-20000</v>
      </c>
      <c r="G590" s="126">
        <f t="shared" si="17"/>
        <v>-20000</v>
      </c>
      <c r="H590" s="126" t="s">
        <v>80</v>
      </c>
    </row>
    <row r="591" spans="1:8">
      <c r="A591" s="126" t="s">
        <v>455</v>
      </c>
      <c r="B591" s="126">
        <v>0</v>
      </c>
      <c r="C591" s="126">
        <v>28586</v>
      </c>
      <c r="D591" s="126">
        <v>28586</v>
      </c>
      <c r="E591" s="126">
        <v>0</v>
      </c>
      <c r="G591" s="126">
        <f t="shared" si="17"/>
        <v>0</v>
      </c>
      <c r="H591" s="126" t="s">
        <v>80</v>
      </c>
    </row>
    <row r="592" spans="1:8">
      <c r="A592" s="126" t="s">
        <v>265</v>
      </c>
      <c r="B592" s="126">
        <v>0</v>
      </c>
      <c r="C592" s="126">
        <v>1092004.1200000001</v>
      </c>
      <c r="D592" s="126">
        <v>1124559.1200000001</v>
      </c>
      <c r="E592" s="126">
        <v>-32555</v>
      </c>
      <c r="G592" s="126">
        <f t="shared" si="17"/>
        <v>-32555</v>
      </c>
      <c r="H592" s="126" t="s">
        <v>80</v>
      </c>
    </row>
    <row r="593" spans="1:8">
      <c r="A593" s="126" t="s">
        <v>754</v>
      </c>
      <c r="B593" s="126">
        <v>-2006</v>
      </c>
      <c r="C593" s="126">
        <v>2006</v>
      </c>
      <c r="D593" s="126">
        <v>0</v>
      </c>
      <c r="E593" s="126">
        <v>0</v>
      </c>
      <c r="G593" s="126">
        <f t="shared" si="17"/>
        <v>0</v>
      </c>
      <c r="H593" s="126" t="s">
        <v>80</v>
      </c>
    </row>
    <row r="594" spans="1:8">
      <c r="A594" s="126" t="s">
        <v>527</v>
      </c>
      <c r="B594" s="126">
        <v>-55322.5</v>
      </c>
      <c r="C594" s="126">
        <v>55322.5</v>
      </c>
      <c r="D594" s="126">
        <v>41094</v>
      </c>
      <c r="E594" s="126">
        <v>-41094</v>
      </c>
      <c r="G594" s="126">
        <f t="shared" si="17"/>
        <v>-41094</v>
      </c>
      <c r="H594" s="126" t="s">
        <v>80</v>
      </c>
    </row>
    <row r="595" spans="1:8">
      <c r="A595" s="126" t="s">
        <v>388</v>
      </c>
      <c r="B595" s="126">
        <v>-122909</v>
      </c>
      <c r="C595" s="126">
        <v>122909</v>
      </c>
      <c r="D595" s="126">
        <v>0</v>
      </c>
      <c r="E595" s="126">
        <v>0</v>
      </c>
      <c r="G595" s="126">
        <f t="shared" si="17"/>
        <v>0</v>
      </c>
      <c r="H595" s="126" t="s">
        <v>80</v>
      </c>
    </row>
    <row r="596" spans="1:8">
      <c r="A596" s="126" t="s">
        <v>263</v>
      </c>
      <c r="B596" s="126">
        <v>-33816</v>
      </c>
      <c r="C596" s="126">
        <v>30276</v>
      </c>
      <c r="D596" s="126">
        <v>17889</v>
      </c>
      <c r="E596" s="126">
        <v>-21429</v>
      </c>
      <c r="G596" s="126">
        <f t="shared" si="17"/>
        <v>-21429</v>
      </c>
      <c r="H596" s="126" t="s">
        <v>80</v>
      </c>
    </row>
    <row r="597" spans="1:8">
      <c r="A597" s="126" t="s">
        <v>403</v>
      </c>
      <c r="B597" s="126">
        <v>-11800</v>
      </c>
      <c r="C597" s="126">
        <v>11800</v>
      </c>
      <c r="D597" s="126">
        <v>0</v>
      </c>
      <c r="E597" s="126">
        <v>0</v>
      </c>
      <c r="G597" s="126">
        <f t="shared" si="17"/>
        <v>0</v>
      </c>
      <c r="H597" s="126" t="s">
        <v>80</v>
      </c>
    </row>
    <row r="598" spans="1:8">
      <c r="A598" s="126" t="s">
        <v>1193</v>
      </c>
      <c r="B598" s="126">
        <v>0</v>
      </c>
      <c r="C598" s="126">
        <v>0</v>
      </c>
      <c r="D598" s="126">
        <v>0</v>
      </c>
      <c r="E598" s="126">
        <v>0</v>
      </c>
      <c r="G598" s="126">
        <f t="shared" si="17"/>
        <v>0</v>
      </c>
      <c r="H598" s="126" t="s">
        <v>80</v>
      </c>
    </row>
    <row r="599" spans="1:8">
      <c r="A599" s="126" t="s">
        <v>1194</v>
      </c>
      <c r="B599" s="126">
        <v>0</v>
      </c>
      <c r="C599" s="126">
        <v>0</v>
      </c>
      <c r="D599" s="126">
        <v>0</v>
      </c>
      <c r="E599" s="126">
        <v>0</v>
      </c>
      <c r="G599" s="126">
        <f t="shared" si="17"/>
        <v>0</v>
      </c>
      <c r="H599" s="126" t="s">
        <v>80</v>
      </c>
    </row>
    <row r="600" spans="1:8">
      <c r="A600" s="126" t="s">
        <v>262</v>
      </c>
      <c r="B600" s="126">
        <v>-16862</v>
      </c>
      <c r="C600" s="126">
        <v>21181</v>
      </c>
      <c r="D600" s="126">
        <v>26255</v>
      </c>
      <c r="E600" s="126">
        <v>-21936</v>
      </c>
      <c r="G600" s="126">
        <f t="shared" si="17"/>
        <v>-21936</v>
      </c>
      <c r="H600" s="126" t="s">
        <v>80</v>
      </c>
    </row>
    <row r="601" spans="1:8">
      <c r="A601" s="126" t="s">
        <v>452</v>
      </c>
      <c r="B601" s="126">
        <v>10968.82</v>
      </c>
      <c r="C601" s="126">
        <v>0</v>
      </c>
      <c r="D601" s="126">
        <v>11292.26</v>
      </c>
      <c r="E601" s="126">
        <v>-323.44</v>
      </c>
      <c r="G601" s="126">
        <f t="shared" si="17"/>
        <v>-323.44</v>
      </c>
      <c r="H601" s="126" t="s">
        <v>80</v>
      </c>
    </row>
    <row r="602" spans="1:8">
      <c r="A602" s="126" t="s">
        <v>259</v>
      </c>
      <c r="B602" s="126">
        <v>-1180</v>
      </c>
      <c r="C602" s="126">
        <v>5310</v>
      </c>
      <c r="D602" s="126">
        <v>7434</v>
      </c>
      <c r="E602" s="126">
        <v>-3304</v>
      </c>
      <c r="G602" s="126">
        <f t="shared" si="17"/>
        <v>-3304</v>
      </c>
      <c r="H602" s="126" t="s">
        <v>80</v>
      </c>
    </row>
    <row r="603" spans="1:8">
      <c r="A603" s="126" t="s">
        <v>755</v>
      </c>
      <c r="B603" s="126">
        <v>-50551</v>
      </c>
      <c r="C603" s="126">
        <v>50551</v>
      </c>
      <c r="D603" s="126">
        <v>0</v>
      </c>
      <c r="E603" s="126">
        <v>0</v>
      </c>
      <c r="G603" s="126">
        <f t="shared" si="17"/>
        <v>0</v>
      </c>
      <c r="H603" s="126" t="s">
        <v>80</v>
      </c>
    </row>
    <row r="604" spans="1:8">
      <c r="A604" s="126" t="s">
        <v>756</v>
      </c>
      <c r="B604" s="126">
        <v>0</v>
      </c>
      <c r="C604" s="126">
        <v>70375</v>
      </c>
      <c r="D604" s="126">
        <v>146697</v>
      </c>
      <c r="E604" s="126">
        <v>-76322</v>
      </c>
      <c r="G604" s="126">
        <f t="shared" si="17"/>
        <v>-76322</v>
      </c>
      <c r="H604" s="126" t="s">
        <v>80</v>
      </c>
    </row>
    <row r="605" spans="1:8">
      <c r="A605" s="126" t="s">
        <v>466</v>
      </c>
      <c r="B605" s="126">
        <v>-13803</v>
      </c>
      <c r="C605" s="126">
        <v>0</v>
      </c>
      <c r="D605" s="126">
        <v>4212</v>
      </c>
      <c r="E605" s="126">
        <v>-18015</v>
      </c>
      <c r="G605" s="126">
        <f t="shared" si="17"/>
        <v>-18015</v>
      </c>
      <c r="H605" s="126" t="s">
        <v>80</v>
      </c>
    </row>
    <row r="606" spans="1:8">
      <c r="A606" s="126" t="s">
        <v>257</v>
      </c>
      <c r="B606" s="126">
        <v>-1523</v>
      </c>
      <c r="C606" s="126">
        <v>5576</v>
      </c>
      <c r="D606" s="126">
        <v>46568</v>
      </c>
      <c r="E606" s="126">
        <v>-42515</v>
      </c>
      <c r="G606" s="126">
        <f t="shared" si="17"/>
        <v>-42515</v>
      </c>
      <c r="H606" s="126" t="s">
        <v>80</v>
      </c>
    </row>
    <row r="607" spans="1:8">
      <c r="A607" s="126" t="s">
        <v>385</v>
      </c>
      <c r="B607" s="126">
        <v>-17220</v>
      </c>
      <c r="C607" s="126">
        <v>15930</v>
      </c>
      <c r="D607" s="126">
        <v>0</v>
      </c>
      <c r="E607" s="126">
        <v>-1290</v>
      </c>
      <c r="G607" s="126">
        <f t="shared" si="17"/>
        <v>-1290</v>
      </c>
      <c r="H607" s="126" t="s">
        <v>80</v>
      </c>
    </row>
    <row r="608" spans="1:8">
      <c r="A608" s="126" t="s">
        <v>256</v>
      </c>
      <c r="B608" s="126">
        <v>-49192.44</v>
      </c>
      <c r="C608" s="126">
        <v>80770.52</v>
      </c>
      <c r="D608" s="126">
        <v>46957.4</v>
      </c>
      <c r="E608" s="126">
        <v>-15379.32</v>
      </c>
      <c r="G608" s="126">
        <f t="shared" si="17"/>
        <v>-15379.32</v>
      </c>
      <c r="H608" s="126" t="s">
        <v>80</v>
      </c>
    </row>
    <row r="609" spans="1:8">
      <c r="A609" s="126" t="s">
        <v>255</v>
      </c>
      <c r="B609" s="126">
        <v>-9803.18</v>
      </c>
      <c r="C609" s="126">
        <v>40680.400000000001</v>
      </c>
      <c r="D609" s="126">
        <v>32128.09</v>
      </c>
      <c r="E609" s="126">
        <v>-1250.8699999999999</v>
      </c>
      <c r="G609" s="126">
        <f t="shared" si="17"/>
        <v>-1250.8699999999999</v>
      </c>
      <c r="H609" s="126" t="s">
        <v>80</v>
      </c>
    </row>
    <row r="610" spans="1:8">
      <c r="A610" s="126" t="s">
        <v>253</v>
      </c>
      <c r="B610" s="126">
        <v>-269120.09999999998</v>
      </c>
      <c r="C610" s="126">
        <v>329036</v>
      </c>
      <c r="D610" s="126">
        <v>93968</v>
      </c>
      <c r="E610" s="126">
        <v>-34052.1</v>
      </c>
      <c r="G610" s="126">
        <f t="shared" si="17"/>
        <v>-34052.1</v>
      </c>
      <c r="H610" s="126" t="s">
        <v>80</v>
      </c>
    </row>
    <row r="611" spans="1:8">
      <c r="A611" s="126" t="s">
        <v>252</v>
      </c>
      <c r="B611" s="126">
        <v>-920</v>
      </c>
      <c r="C611" s="126">
        <v>920</v>
      </c>
      <c r="D611" s="126">
        <v>0</v>
      </c>
      <c r="E611" s="126">
        <v>0</v>
      </c>
      <c r="G611" s="126">
        <f t="shared" si="17"/>
        <v>0</v>
      </c>
      <c r="H611" s="126" t="s">
        <v>80</v>
      </c>
    </row>
    <row r="612" spans="1:8">
      <c r="A612" s="126" t="s">
        <v>757</v>
      </c>
      <c r="B612" s="126">
        <v>5133</v>
      </c>
      <c r="C612" s="126">
        <v>0</v>
      </c>
      <c r="D612" s="126">
        <v>0</v>
      </c>
      <c r="E612" s="126">
        <v>5133</v>
      </c>
      <c r="G612" s="126">
        <f t="shared" si="17"/>
        <v>5133</v>
      </c>
      <c r="H612" s="126" t="s">
        <v>80</v>
      </c>
    </row>
    <row r="613" spans="1:8">
      <c r="A613" s="126" t="s">
        <v>250</v>
      </c>
      <c r="B613" s="126">
        <v>-108360</v>
      </c>
      <c r="C613" s="126">
        <v>0</v>
      </c>
      <c r="D613" s="126">
        <v>120861</v>
      </c>
      <c r="E613" s="126">
        <v>-229221</v>
      </c>
      <c r="G613" s="126">
        <f t="shared" si="17"/>
        <v>-229221</v>
      </c>
      <c r="H613" s="126" t="s">
        <v>80</v>
      </c>
    </row>
    <row r="614" spans="1:8">
      <c r="A614" s="126" t="s">
        <v>1195</v>
      </c>
      <c r="B614" s="126">
        <v>0</v>
      </c>
      <c r="C614" s="126">
        <v>33030.559999999998</v>
      </c>
      <c r="D614" s="126">
        <v>7849</v>
      </c>
      <c r="E614" s="126">
        <v>25181.56</v>
      </c>
      <c r="G614" s="126">
        <f t="shared" si="17"/>
        <v>25181.56</v>
      </c>
      <c r="H614" s="126" t="s">
        <v>80</v>
      </c>
    </row>
    <row r="615" spans="1:8">
      <c r="A615" s="126" t="s">
        <v>462</v>
      </c>
      <c r="B615" s="126">
        <v>-30990</v>
      </c>
      <c r="C615" s="126">
        <v>57086</v>
      </c>
      <c r="D615" s="126">
        <v>37728</v>
      </c>
      <c r="E615" s="126">
        <v>-11632</v>
      </c>
      <c r="G615" s="126">
        <f t="shared" si="17"/>
        <v>-11632</v>
      </c>
      <c r="H615" s="126" t="s">
        <v>80</v>
      </c>
    </row>
    <row r="616" spans="1:8">
      <c r="A616" s="126" t="s">
        <v>1196</v>
      </c>
      <c r="B616" s="126">
        <v>0</v>
      </c>
      <c r="C616" s="126">
        <v>0</v>
      </c>
      <c r="D616" s="126">
        <v>0</v>
      </c>
      <c r="E616" s="126">
        <v>0</v>
      </c>
      <c r="G616" s="126">
        <f t="shared" si="17"/>
        <v>0</v>
      </c>
      <c r="H616" s="126" t="s">
        <v>80</v>
      </c>
    </row>
    <row r="617" spans="1:8">
      <c r="A617" s="126" t="s">
        <v>1544</v>
      </c>
      <c r="B617" s="126">
        <v>0</v>
      </c>
      <c r="C617" s="126">
        <v>0</v>
      </c>
      <c r="D617" s="126">
        <v>0</v>
      </c>
      <c r="E617" s="126">
        <v>0</v>
      </c>
      <c r="G617" s="126">
        <f t="shared" si="17"/>
        <v>0</v>
      </c>
      <c r="H617" s="126" t="s">
        <v>80</v>
      </c>
    </row>
    <row r="618" spans="1:8">
      <c r="A618" s="126" t="s">
        <v>758</v>
      </c>
      <c r="B618" s="126">
        <v>0.2</v>
      </c>
      <c r="C618" s="126">
        <v>0</v>
      </c>
      <c r="D618" s="126">
        <v>0</v>
      </c>
      <c r="E618" s="126">
        <v>0.2</v>
      </c>
      <c r="G618" s="126">
        <f t="shared" si="17"/>
        <v>0.2</v>
      </c>
      <c r="H618" s="126" t="s">
        <v>80</v>
      </c>
    </row>
    <row r="619" spans="1:8">
      <c r="A619" s="126" t="s">
        <v>246</v>
      </c>
      <c r="B619" s="126">
        <v>-0.5</v>
      </c>
      <c r="C619" s="126">
        <v>42782</v>
      </c>
      <c r="D619" s="126">
        <v>0</v>
      </c>
      <c r="E619" s="126">
        <v>42781.5</v>
      </c>
      <c r="G619" s="126">
        <f t="shared" si="17"/>
        <v>42781.5</v>
      </c>
      <c r="H619" s="126" t="s">
        <v>80</v>
      </c>
    </row>
    <row r="620" spans="1:8">
      <c r="A620" s="126" t="s">
        <v>528</v>
      </c>
      <c r="B620" s="126">
        <v>-10684</v>
      </c>
      <c r="C620" s="126">
        <v>10684</v>
      </c>
      <c r="D620" s="126">
        <v>0</v>
      </c>
      <c r="E620" s="126">
        <v>0</v>
      </c>
      <c r="G620" s="126">
        <f t="shared" si="17"/>
        <v>0</v>
      </c>
      <c r="H620" s="126" t="s">
        <v>80</v>
      </c>
    </row>
    <row r="621" spans="1:8">
      <c r="A621" s="126" t="s">
        <v>242</v>
      </c>
      <c r="B621" s="126">
        <v>-11800</v>
      </c>
      <c r="C621" s="126">
        <v>11800</v>
      </c>
      <c r="D621" s="126">
        <v>0</v>
      </c>
      <c r="E621" s="126">
        <v>0</v>
      </c>
      <c r="G621" s="126">
        <f t="shared" si="17"/>
        <v>0</v>
      </c>
      <c r="H621" s="126" t="s">
        <v>80</v>
      </c>
    </row>
    <row r="622" spans="1:8">
      <c r="A622" s="126" t="s">
        <v>1197</v>
      </c>
      <c r="B622" s="126">
        <v>0</v>
      </c>
      <c r="C622" s="126">
        <v>0</v>
      </c>
      <c r="D622" s="126">
        <v>0</v>
      </c>
      <c r="E622" s="126">
        <v>0</v>
      </c>
      <c r="G622" s="126">
        <f t="shared" si="17"/>
        <v>0</v>
      </c>
      <c r="H622" s="126" t="s">
        <v>80</v>
      </c>
    </row>
    <row r="623" spans="1:8">
      <c r="A623" s="126" t="s">
        <v>467</v>
      </c>
      <c r="B623" s="126">
        <v>-15882.8</v>
      </c>
      <c r="C623" s="126">
        <v>15882.8</v>
      </c>
      <c r="D623" s="126">
        <v>0</v>
      </c>
      <c r="E623" s="126">
        <v>0</v>
      </c>
      <c r="G623" s="126">
        <f t="shared" si="17"/>
        <v>0</v>
      </c>
      <c r="H623" s="126" t="s">
        <v>80</v>
      </c>
    </row>
    <row r="624" spans="1:8">
      <c r="A624" s="126" t="s">
        <v>759</v>
      </c>
      <c r="B624" s="126">
        <v>-53100</v>
      </c>
      <c r="C624" s="126">
        <v>143134</v>
      </c>
      <c r="D624" s="126">
        <v>141364</v>
      </c>
      <c r="E624" s="126">
        <v>-51330</v>
      </c>
      <c r="G624" s="126">
        <f t="shared" si="17"/>
        <v>-51330</v>
      </c>
      <c r="H624" s="126" t="s">
        <v>80</v>
      </c>
    </row>
    <row r="625" spans="1:8">
      <c r="A625" s="126" t="s">
        <v>760</v>
      </c>
      <c r="B625" s="126">
        <v>-8942.01</v>
      </c>
      <c r="C625" s="126">
        <v>8942.01</v>
      </c>
      <c r="D625" s="126">
        <v>0</v>
      </c>
      <c r="E625" s="126">
        <v>0</v>
      </c>
      <c r="G625" s="126">
        <f t="shared" si="17"/>
        <v>0</v>
      </c>
      <c r="H625" s="126" t="s">
        <v>80</v>
      </c>
    </row>
    <row r="626" spans="1:8">
      <c r="A626" s="126" t="s">
        <v>236</v>
      </c>
      <c r="B626" s="126">
        <v>3337</v>
      </c>
      <c r="C626" s="126">
        <v>0</v>
      </c>
      <c r="D626" s="126">
        <v>0</v>
      </c>
      <c r="E626" s="126">
        <v>3337</v>
      </c>
      <c r="G626" s="126">
        <f t="shared" si="17"/>
        <v>3337</v>
      </c>
      <c r="H626" s="126" t="s">
        <v>80</v>
      </c>
    </row>
    <row r="627" spans="1:8">
      <c r="A627" s="126" t="s">
        <v>434</v>
      </c>
      <c r="B627" s="126">
        <v>0</v>
      </c>
      <c r="C627" s="126">
        <v>22945</v>
      </c>
      <c r="D627" s="126">
        <v>24373</v>
      </c>
      <c r="E627" s="126">
        <v>-1428</v>
      </c>
      <c r="G627" s="126">
        <f t="shared" si="17"/>
        <v>-1428</v>
      </c>
      <c r="H627" s="126" t="s">
        <v>80</v>
      </c>
    </row>
    <row r="628" spans="1:8">
      <c r="A628" s="126" t="s">
        <v>238</v>
      </c>
      <c r="B628" s="126">
        <v>-4528.3999999999996</v>
      </c>
      <c r="C628" s="126">
        <v>2507</v>
      </c>
      <c r="D628" s="126">
        <v>0</v>
      </c>
      <c r="E628" s="126">
        <v>-2021.4</v>
      </c>
      <c r="G628" s="126">
        <f t="shared" si="17"/>
        <v>-2021.4</v>
      </c>
      <c r="H628" s="126" t="s">
        <v>80</v>
      </c>
    </row>
    <row r="629" spans="1:8">
      <c r="A629" s="126" t="s">
        <v>457</v>
      </c>
      <c r="B629" s="126">
        <v>-500</v>
      </c>
      <c r="C629" s="126">
        <v>0</v>
      </c>
      <c r="D629" s="126">
        <v>0</v>
      </c>
      <c r="E629" s="126">
        <v>-500</v>
      </c>
      <c r="G629" s="126">
        <f t="shared" si="17"/>
        <v>-500</v>
      </c>
      <c r="H629" s="126" t="s">
        <v>80</v>
      </c>
    </row>
    <row r="630" spans="1:8">
      <c r="A630" s="126" t="s">
        <v>761</v>
      </c>
      <c r="B630" s="126">
        <v>0</v>
      </c>
      <c r="C630" s="126">
        <v>1534</v>
      </c>
      <c r="D630" s="126">
        <v>1534</v>
      </c>
      <c r="E630" s="126">
        <v>0</v>
      </c>
      <c r="G630" s="126">
        <f t="shared" si="17"/>
        <v>0</v>
      </c>
      <c r="H630" s="126" t="s">
        <v>80</v>
      </c>
    </row>
    <row r="631" spans="1:8">
      <c r="A631" s="126" t="s">
        <v>1198</v>
      </c>
      <c r="B631" s="126">
        <v>0</v>
      </c>
      <c r="C631" s="126">
        <v>0</v>
      </c>
      <c r="D631" s="126">
        <v>0</v>
      </c>
      <c r="E631" s="126">
        <v>0</v>
      </c>
      <c r="G631" s="126">
        <f t="shared" si="17"/>
        <v>0</v>
      </c>
      <c r="H631" s="126" t="s">
        <v>80</v>
      </c>
    </row>
    <row r="632" spans="1:8">
      <c r="A632" s="126" t="s">
        <v>233</v>
      </c>
      <c r="B632" s="126">
        <v>-130013</v>
      </c>
      <c r="C632" s="126">
        <v>165979</v>
      </c>
      <c r="D632" s="126">
        <v>130456</v>
      </c>
      <c r="E632" s="126">
        <v>-94490</v>
      </c>
      <c r="G632" s="126">
        <f t="shared" si="17"/>
        <v>-94490</v>
      </c>
      <c r="H632" s="126" t="s">
        <v>80</v>
      </c>
    </row>
    <row r="633" spans="1:8">
      <c r="A633" s="126" t="s">
        <v>229</v>
      </c>
      <c r="B633" s="126">
        <v>-7646.4</v>
      </c>
      <c r="C633" s="126">
        <v>1947</v>
      </c>
      <c r="D633" s="126">
        <v>1947</v>
      </c>
      <c r="E633" s="126">
        <v>-7646.4</v>
      </c>
      <c r="G633" s="126">
        <f t="shared" si="17"/>
        <v>-7646.4</v>
      </c>
      <c r="H633" s="126" t="s">
        <v>80</v>
      </c>
    </row>
    <row r="634" spans="1:8">
      <c r="A634" s="126" t="s">
        <v>230</v>
      </c>
      <c r="B634" s="126">
        <v>-29064</v>
      </c>
      <c r="C634" s="126">
        <v>9995</v>
      </c>
      <c r="D634" s="126">
        <v>14160</v>
      </c>
      <c r="E634" s="126">
        <v>-33229</v>
      </c>
      <c r="G634" s="126">
        <f t="shared" si="17"/>
        <v>-33229</v>
      </c>
      <c r="H634" s="126" t="s">
        <v>80</v>
      </c>
    </row>
    <row r="635" spans="1:8">
      <c r="A635" s="126" t="s">
        <v>1199</v>
      </c>
      <c r="B635" s="126">
        <v>0</v>
      </c>
      <c r="C635" s="126">
        <v>0</v>
      </c>
      <c r="D635" s="126">
        <v>0</v>
      </c>
      <c r="E635" s="126">
        <v>0</v>
      </c>
      <c r="G635" s="126">
        <f t="shared" si="17"/>
        <v>0</v>
      </c>
      <c r="H635" s="126" t="s">
        <v>80</v>
      </c>
    </row>
    <row r="636" spans="1:8">
      <c r="A636" s="126" t="s">
        <v>1200</v>
      </c>
      <c r="B636" s="126">
        <v>0</v>
      </c>
      <c r="C636" s="126">
        <v>3492.8</v>
      </c>
      <c r="D636" s="126">
        <v>3492.8</v>
      </c>
      <c r="E636" s="126">
        <v>0</v>
      </c>
      <c r="G636" s="126">
        <f t="shared" si="17"/>
        <v>0</v>
      </c>
      <c r="H636" s="126" t="s">
        <v>80</v>
      </c>
    </row>
    <row r="637" spans="1:8">
      <c r="A637" s="126" t="s">
        <v>232</v>
      </c>
      <c r="B637" s="126">
        <v>-42959</v>
      </c>
      <c r="C637" s="126">
        <v>66560</v>
      </c>
      <c r="D637" s="126">
        <v>23601</v>
      </c>
      <c r="E637" s="126">
        <v>0</v>
      </c>
      <c r="G637" s="126">
        <f t="shared" si="17"/>
        <v>0</v>
      </c>
      <c r="H637" s="126" t="s">
        <v>80</v>
      </c>
    </row>
    <row r="638" spans="1:8">
      <c r="A638" s="126" t="s">
        <v>469</v>
      </c>
      <c r="B638" s="126">
        <v>-3894</v>
      </c>
      <c r="C638" s="126">
        <v>5841</v>
      </c>
      <c r="D638" s="126">
        <v>14773.6</v>
      </c>
      <c r="E638" s="126">
        <v>-12826.6</v>
      </c>
      <c r="G638" s="126">
        <f t="shared" si="17"/>
        <v>-12826.6</v>
      </c>
      <c r="H638" s="126" t="s">
        <v>80</v>
      </c>
    </row>
    <row r="639" spans="1:8">
      <c r="A639" s="126" t="s">
        <v>508</v>
      </c>
      <c r="B639" s="126">
        <v>-1357</v>
      </c>
      <c r="C639" s="126">
        <v>5841</v>
      </c>
      <c r="D639" s="126">
        <v>2242</v>
      </c>
      <c r="E639" s="126">
        <v>2242</v>
      </c>
      <c r="G639" s="126">
        <f t="shared" si="17"/>
        <v>2242</v>
      </c>
      <c r="H639" s="126" t="s">
        <v>80</v>
      </c>
    </row>
    <row r="640" spans="1:8">
      <c r="A640" s="126" t="s">
        <v>1202</v>
      </c>
      <c r="B640" s="126">
        <v>0</v>
      </c>
      <c r="C640" s="126">
        <v>0</v>
      </c>
      <c r="D640" s="126">
        <v>0</v>
      </c>
      <c r="E640" s="126">
        <v>0</v>
      </c>
      <c r="G640" s="126">
        <f t="shared" si="17"/>
        <v>0</v>
      </c>
      <c r="H640" s="126" t="s">
        <v>80</v>
      </c>
    </row>
    <row r="641" spans="1:8">
      <c r="A641" s="126" t="s">
        <v>1457</v>
      </c>
      <c r="B641" s="126">
        <v>0</v>
      </c>
      <c r="C641" s="126">
        <v>0</v>
      </c>
      <c r="D641" s="126">
        <v>7434</v>
      </c>
      <c r="E641" s="126">
        <v>-7434</v>
      </c>
      <c r="G641" s="126">
        <f t="shared" si="17"/>
        <v>-7434</v>
      </c>
      <c r="H641" s="126" t="s">
        <v>80</v>
      </c>
    </row>
    <row r="642" spans="1:8">
      <c r="A642" s="126" t="s">
        <v>226</v>
      </c>
      <c r="B642" s="126">
        <v>-8574</v>
      </c>
      <c r="C642" s="126">
        <v>23109</v>
      </c>
      <c r="D642" s="126">
        <v>14535</v>
      </c>
      <c r="E642" s="126">
        <v>0</v>
      </c>
      <c r="G642" s="126">
        <f t="shared" si="17"/>
        <v>0</v>
      </c>
      <c r="H642" s="126" t="s">
        <v>80</v>
      </c>
    </row>
    <row r="643" spans="1:8">
      <c r="A643" s="126" t="s">
        <v>1203</v>
      </c>
      <c r="B643" s="126">
        <v>0</v>
      </c>
      <c r="C643" s="126">
        <v>0</v>
      </c>
      <c r="D643" s="126">
        <v>0</v>
      </c>
      <c r="E643" s="126">
        <v>0</v>
      </c>
      <c r="G643" s="126">
        <f t="shared" ref="G643:G706" si="18">E643+F643</f>
        <v>0</v>
      </c>
      <c r="H643" s="126" t="s">
        <v>80</v>
      </c>
    </row>
    <row r="644" spans="1:8">
      <c r="A644" s="126" t="s">
        <v>1204</v>
      </c>
      <c r="B644" s="126">
        <v>0</v>
      </c>
      <c r="C644" s="126">
        <v>5369</v>
      </c>
      <c r="D644" s="126">
        <v>16107</v>
      </c>
      <c r="E644" s="126">
        <v>-10738</v>
      </c>
      <c r="G644" s="126">
        <f t="shared" si="18"/>
        <v>-10738</v>
      </c>
      <c r="H644" s="126" t="s">
        <v>80</v>
      </c>
    </row>
    <row r="645" spans="1:8">
      <c r="A645" s="126" t="s">
        <v>228</v>
      </c>
      <c r="B645" s="126">
        <v>-11611.8</v>
      </c>
      <c r="C645" s="126">
        <v>12850</v>
      </c>
      <c r="D645" s="126">
        <v>2537</v>
      </c>
      <c r="E645" s="126">
        <v>-1298.8</v>
      </c>
      <c r="G645" s="126">
        <f t="shared" si="18"/>
        <v>-1298.8</v>
      </c>
      <c r="H645" s="126" t="s">
        <v>80</v>
      </c>
    </row>
    <row r="646" spans="1:8">
      <c r="A646" s="126" t="s">
        <v>401</v>
      </c>
      <c r="B646" s="126">
        <v>-438567.49</v>
      </c>
      <c r="C646" s="126">
        <v>468902.39</v>
      </c>
      <c r="D646" s="126">
        <v>31240.05</v>
      </c>
      <c r="E646" s="126">
        <v>-905.15</v>
      </c>
      <c r="G646" s="126">
        <f t="shared" si="18"/>
        <v>-905.15</v>
      </c>
      <c r="H646" s="126" t="s">
        <v>80</v>
      </c>
    </row>
    <row r="647" spans="1:8">
      <c r="A647" s="126" t="s">
        <v>402</v>
      </c>
      <c r="B647" s="126">
        <v>212861.49</v>
      </c>
      <c r="C647" s="126">
        <v>196093.98</v>
      </c>
      <c r="D647" s="126">
        <v>20051.16</v>
      </c>
      <c r="E647" s="126">
        <v>388904.31</v>
      </c>
      <c r="G647" s="126">
        <f t="shared" si="18"/>
        <v>388904.31</v>
      </c>
      <c r="H647" s="126" t="s">
        <v>80</v>
      </c>
    </row>
    <row r="648" spans="1:8">
      <c r="A648" s="126" t="s">
        <v>1205</v>
      </c>
      <c r="B648" s="126">
        <v>0</v>
      </c>
      <c r="C648" s="126">
        <v>0</v>
      </c>
      <c r="D648" s="126">
        <v>0</v>
      </c>
      <c r="E648" s="126">
        <v>0</v>
      </c>
      <c r="G648" s="126">
        <f t="shared" si="18"/>
        <v>0</v>
      </c>
      <c r="H648" s="126" t="s">
        <v>80</v>
      </c>
    </row>
    <row r="649" spans="1:8">
      <c r="A649" s="126" t="s">
        <v>1206</v>
      </c>
      <c r="B649" s="126">
        <v>0</v>
      </c>
      <c r="C649" s="126">
        <v>0</v>
      </c>
      <c r="D649" s="126">
        <v>0</v>
      </c>
      <c r="E649" s="126">
        <v>0</v>
      </c>
      <c r="G649" s="126">
        <f t="shared" si="18"/>
        <v>0</v>
      </c>
      <c r="H649" s="126" t="s">
        <v>80</v>
      </c>
    </row>
    <row r="650" spans="1:8">
      <c r="A650" s="126" t="s">
        <v>225</v>
      </c>
      <c r="B650" s="126">
        <v>-0.05</v>
      </c>
      <c r="C650" s="126">
        <v>0</v>
      </c>
      <c r="D650" s="126">
        <v>0</v>
      </c>
      <c r="E650" s="126">
        <v>-0.05</v>
      </c>
      <c r="G650" s="126">
        <f t="shared" si="18"/>
        <v>-0.05</v>
      </c>
      <c r="H650" s="126" t="s">
        <v>80</v>
      </c>
    </row>
    <row r="651" spans="1:8">
      <c r="A651" s="126" t="s">
        <v>1413</v>
      </c>
      <c r="B651" s="126">
        <v>0</v>
      </c>
      <c r="C651" s="126">
        <v>0</v>
      </c>
      <c r="D651" s="126">
        <v>0</v>
      </c>
      <c r="E651" s="126">
        <v>0</v>
      </c>
      <c r="G651" s="126">
        <f t="shared" si="18"/>
        <v>0</v>
      </c>
      <c r="H651" s="126" t="s">
        <v>80</v>
      </c>
    </row>
    <row r="652" spans="1:8">
      <c r="A652" s="126" t="s">
        <v>1458</v>
      </c>
      <c r="B652" s="126">
        <v>0</v>
      </c>
      <c r="C652" s="126">
        <v>0</v>
      </c>
      <c r="D652" s="126">
        <v>19475</v>
      </c>
      <c r="E652" s="126">
        <v>-19475</v>
      </c>
      <c r="G652" s="126">
        <f t="shared" si="18"/>
        <v>-19475</v>
      </c>
      <c r="H652" s="126" t="s">
        <v>80</v>
      </c>
    </row>
    <row r="653" spans="1:8">
      <c r="A653" s="126" t="s">
        <v>1414</v>
      </c>
      <c r="B653" s="126">
        <v>0</v>
      </c>
      <c r="C653" s="126">
        <v>0</v>
      </c>
      <c r="D653" s="126">
        <v>0</v>
      </c>
      <c r="E653" s="126">
        <v>0</v>
      </c>
      <c r="G653" s="126">
        <f t="shared" si="18"/>
        <v>0</v>
      </c>
      <c r="H653" s="126" t="s">
        <v>80</v>
      </c>
    </row>
    <row r="654" spans="1:8">
      <c r="A654" s="126" t="s">
        <v>521</v>
      </c>
      <c r="B654" s="126">
        <v>0</v>
      </c>
      <c r="C654" s="126">
        <v>23010</v>
      </c>
      <c r="D654" s="126">
        <v>23010</v>
      </c>
      <c r="E654" s="126">
        <v>0</v>
      </c>
      <c r="G654" s="126">
        <f t="shared" si="18"/>
        <v>0</v>
      </c>
      <c r="H654" s="126" t="s">
        <v>80</v>
      </c>
    </row>
    <row r="655" spans="1:8">
      <c r="A655" s="126" t="s">
        <v>762</v>
      </c>
      <c r="B655" s="126">
        <v>-0.24</v>
      </c>
      <c r="C655" s="126">
        <v>0</v>
      </c>
      <c r="D655" s="126">
        <v>0</v>
      </c>
      <c r="E655" s="126">
        <v>-0.24</v>
      </c>
      <c r="G655" s="126">
        <f t="shared" si="18"/>
        <v>-0.24</v>
      </c>
      <c r="H655" s="126" t="s">
        <v>80</v>
      </c>
    </row>
    <row r="656" spans="1:8">
      <c r="A656" s="126" t="s">
        <v>763</v>
      </c>
      <c r="B656" s="126">
        <v>-8083</v>
      </c>
      <c r="C656" s="126">
        <v>10738</v>
      </c>
      <c r="D656" s="126">
        <v>2655</v>
      </c>
      <c r="E656" s="126">
        <v>0</v>
      </c>
      <c r="G656" s="126">
        <f t="shared" si="18"/>
        <v>0</v>
      </c>
      <c r="H656" s="126" t="s">
        <v>80</v>
      </c>
    </row>
    <row r="657" spans="1:8">
      <c r="A657" s="126" t="s">
        <v>223</v>
      </c>
      <c r="B657" s="126">
        <v>0.23</v>
      </c>
      <c r="C657" s="126">
        <v>0</v>
      </c>
      <c r="D657" s="126">
        <v>0</v>
      </c>
      <c r="E657" s="126">
        <v>0.23</v>
      </c>
      <c r="G657" s="126">
        <f t="shared" si="18"/>
        <v>0.23</v>
      </c>
      <c r="H657" s="126" t="s">
        <v>80</v>
      </c>
    </row>
    <row r="658" spans="1:8">
      <c r="A658" s="126" t="s">
        <v>764</v>
      </c>
      <c r="B658" s="126">
        <v>-1449</v>
      </c>
      <c r="C658" s="126">
        <v>274291</v>
      </c>
      <c r="D658" s="126">
        <v>245912</v>
      </c>
      <c r="E658" s="126">
        <v>26930</v>
      </c>
      <c r="G658" s="126">
        <f t="shared" si="18"/>
        <v>26930</v>
      </c>
      <c r="H658" s="126" t="s">
        <v>80</v>
      </c>
    </row>
    <row r="659" spans="1:8">
      <c r="A659" s="126" t="s">
        <v>1459</v>
      </c>
      <c r="B659" s="126">
        <v>0</v>
      </c>
      <c r="C659" s="126">
        <v>0</v>
      </c>
      <c r="D659" s="126">
        <v>472</v>
      </c>
      <c r="E659" s="126">
        <v>-472</v>
      </c>
      <c r="G659" s="126">
        <f t="shared" si="18"/>
        <v>-472</v>
      </c>
      <c r="H659" s="126" t="s">
        <v>80</v>
      </c>
    </row>
    <row r="660" spans="1:8">
      <c r="A660" s="126" t="s">
        <v>765</v>
      </c>
      <c r="B660" s="126">
        <v>0</v>
      </c>
      <c r="C660" s="126">
        <v>45175</v>
      </c>
      <c r="D660" s="126">
        <v>155846</v>
      </c>
      <c r="E660" s="126">
        <v>-110671</v>
      </c>
      <c r="G660" s="126">
        <f t="shared" si="18"/>
        <v>-110671</v>
      </c>
      <c r="H660" s="126" t="s">
        <v>80</v>
      </c>
    </row>
    <row r="661" spans="1:8">
      <c r="A661" s="126" t="s">
        <v>766</v>
      </c>
      <c r="B661" s="126">
        <v>5550</v>
      </c>
      <c r="C661" s="126">
        <v>0</v>
      </c>
      <c r="D661" s="126">
        <v>0</v>
      </c>
      <c r="E661" s="126">
        <v>5550</v>
      </c>
      <c r="G661" s="126">
        <f t="shared" si="18"/>
        <v>5550</v>
      </c>
      <c r="H661" s="126" t="s">
        <v>80</v>
      </c>
    </row>
    <row r="662" spans="1:8">
      <c r="A662" s="126" t="s">
        <v>458</v>
      </c>
      <c r="B662" s="126">
        <v>-632</v>
      </c>
      <c r="C662" s="126">
        <v>14650</v>
      </c>
      <c r="D662" s="126">
        <v>14018</v>
      </c>
      <c r="E662" s="126">
        <v>0</v>
      </c>
      <c r="G662" s="126">
        <f t="shared" si="18"/>
        <v>0</v>
      </c>
      <c r="H662" s="126" t="s">
        <v>80</v>
      </c>
    </row>
    <row r="663" spans="1:8">
      <c r="A663" s="126" t="s">
        <v>220</v>
      </c>
      <c r="B663" s="126">
        <v>-94425</v>
      </c>
      <c r="C663" s="126">
        <v>494331</v>
      </c>
      <c r="D663" s="126">
        <v>568056</v>
      </c>
      <c r="E663" s="126">
        <v>-168150</v>
      </c>
      <c r="G663" s="126">
        <f t="shared" si="18"/>
        <v>-168150</v>
      </c>
      <c r="H663" s="126" t="s">
        <v>80</v>
      </c>
    </row>
    <row r="664" spans="1:8">
      <c r="A664" s="126" t="s">
        <v>445</v>
      </c>
      <c r="B664" s="126">
        <v>-66080</v>
      </c>
      <c r="C664" s="126">
        <v>66080</v>
      </c>
      <c r="D664" s="126">
        <v>0</v>
      </c>
      <c r="E664" s="126">
        <v>0</v>
      </c>
      <c r="G664" s="126">
        <f t="shared" si="18"/>
        <v>0</v>
      </c>
      <c r="H664" s="126" t="s">
        <v>80</v>
      </c>
    </row>
    <row r="665" spans="1:8">
      <c r="A665" s="126" t="s">
        <v>219</v>
      </c>
      <c r="B665" s="126">
        <v>0</v>
      </c>
      <c r="C665" s="126">
        <v>60920</v>
      </c>
      <c r="D665" s="126">
        <v>60920</v>
      </c>
      <c r="E665" s="126">
        <v>0</v>
      </c>
      <c r="G665" s="126">
        <f t="shared" si="18"/>
        <v>0</v>
      </c>
      <c r="H665" s="126" t="s">
        <v>80</v>
      </c>
    </row>
    <row r="666" spans="1:8">
      <c r="A666" s="126" t="s">
        <v>422</v>
      </c>
      <c r="B666" s="126">
        <v>-37760</v>
      </c>
      <c r="C666" s="126">
        <v>72806</v>
      </c>
      <c r="D666" s="126">
        <v>58410</v>
      </c>
      <c r="E666" s="126">
        <v>-23364</v>
      </c>
      <c r="G666" s="126">
        <f t="shared" si="18"/>
        <v>-23364</v>
      </c>
      <c r="H666" s="126" t="s">
        <v>80</v>
      </c>
    </row>
    <row r="667" spans="1:8">
      <c r="A667" s="126" t="s">
        <v>1460</v>
      </c>
      <c r="B667" s="126">
        <v>0</v>
      </c>
      <c r="C667" s="126">
        <v>11508</v>
      </c>
      <c r="D667" s="126">
        <v>11508</v>
      </c>
      <c r="E667" s="126">
        <v>0</v>
      </c>
      <c r="G667" s="126">
        <f t="shared" si="18"/>
        <v>0</v>
      </c>
      <c r="H667" s="126" t="s">
        <v>80</v>
      </c>
    </row>
    <row r="668" spans="1:8">
      <c r="A668" s="126" t="s">
        <v>479</v>
      </c>
      <c r="B668" s="126">
        <v>-19540</v>
      </c>
      <c r="C668" s="126">
        <v>0</v>
      </c>
      <c r="D668" s="126">
        <v>4200</v>
      </c>
      <c r="E668" s="126">
        <v>-23740</v>
      </c>
      <c r="G668" s="126">
        <f t="shared" si="18"/>
        <v>-23740</v>
      </c>
      <c r="H668" s="126" t="s">
        <v>80</v>
      </c>
    </row>
    <row r="669" spans="1:8">
      <c r="A669" s="126" t="s">
        <v>1461</v>
      </c>
      <c r="B669" s="126">
        <v>0</v>
      </c>
      <c r="C669" s="126">
        <v>0</v>
      </c>
      <c r="D669" s="126">
        <v>44816</v>
      </c>
      <c r="E669" s="126">
        <v>-44816</v>
      </c>
      <c r="G669" s="126">
        <f t="shared" si="18"/>
        <v>-44816</v>
      </c>
      <c r="H669" s="126" t="s">
        <v>80</v>
      </c>
    </row>
    <row r="670" spans="1:8">
      <c r="A670" s="126" t="s">
        <v>1462</v>
      </c>
      <c r="B670" s="126">
        <v>0</v>
      </c>
      <c r="C670" s="126">
        <v>835</v>
      </c>
      <c r="D670" s="126">
        <v>0</v>
      </c>
      <c r="E670" s="126">
        <v>835</v>
      </c>
      <c r="G670" s="126">
        <f t="shared" si="18"/>
        <v>835</v>
      </c>
      <c r="H670" s="126" t="s">
        <v>80</v>
      </c>
    </row>
    <row r="671" spans="1:8">
      <c r="A671" s="126" t="s">
        <v>468</v>
      </c>
      <c r="B671" s="126">
        <v>-18526</v>
      </c>
      <c r="C671" s="126">
        <v>18526</v>
      </c>
      <c r="D671" s="126">
        <v>0</v>
      </c>
      <c r="E671" s="126">
        <v>0</v>
      </c>
      <c r="G671" s="126">
        <f t="shared" si="18"/>
        <v>0</v>
      </c>
      <c r="H671" s="126" t="s">
        <v>80</v>
      </c>
    </row>
    <row r="672" spans="1:8">
      <c r="A672" s="126" t="s">
        <v>767</v>
      </c>
      <c r="B672" s="126">
        <v>-25960</v>
      </c>
      <c r="C672" s="126">
        <v>0</v>
      </c>
      <c r="D672" s="126">
        <v>0</v>
      </c>
      <c r="E672" s="126">
        <v>-25960</v>
      </c>
      <c r="G672" s="126">
        <f t="shared" si="18"/>
        <v>-25960</v>
      </c>
      <c r="H672" s="126" t="s">
        <v>80</v>
      </c>
    </row>
    <row r="673" spans="1:8">
      <c r="A673" s="126" t="s">
        <v>768</v>
      </c>
      <c r="B673" s="126">
        <v>-52156</v>
      </c>
      <c r="C673" s="126">
        <v>325444</v>
      </c>
      <c r="D673" s="126">
        <v>304676</v>
      </c>
      <c r="E673" s="126">
        <v>-31388</v>
      </c>
      <c r="G673" s="126">
        <f t="shared" si="18"/>
        <v>-31388</v>
      </c>
      <c r="H673" s="126" t="s">
        <v>80</v>
      </c>
    </row>
    <row r="674" spans="1:8">
      <c r="A674" s="126" t="s">
        <v>217</v>
      </c>
      <c r="B674" s="126">
        <v>-59714</v>
      </c>
      <c r="C674" s="126">
        <v>109904</v>
      </c>
      <c r="D674" s="126">
        <v>50190</v>
      </c>
      <c r="E674" s="126">
        <v>0</v>
      </c>
      <c r="G674" s="126">
        <f t="shared" si="18"/>
        <v>0</v>
      </c>
      <c r="H674" s="126" t="s">
        <v>80</v>
      </c>
    </row>
    <row r="675" spans="1:8">
      <c r="A675" s="126" t="s">
        <v>769</v>
      </c>
      <c r="B675" s="126">
        <v>-367395</v>
      </c>
      <c r="C675" s="126">
        <v>712572</v>
      </c>
      <c r="D675" s="126">
        <v>345177</v>
      </c>
      <c r="E675" s="126">
        <v>0</v>
      </c>
      <c r="G675" s="126">
        <f t="shared" si="18"/>
        <v>0</v>
      </c>
      <c r="H675" s="126" t="s">
        <v>80</v>
      </c>
    </row>
    <row r="676" spans="1:8">
      <c r="A676" s="126" t="s">
        <v>770</v>
      </c>
      <c r="B676" s="126">
        <v>-0.36</v>
      </c>
      <c r="C676" s="126">
        <v>4779</v>
      </c>
      <c r="D676" s="126">
        <v>4779</v>
      </c>
      <c r="E676" s="126">
        <v>-0.36</v>
      </c>
      <c r="G676" s="126">
        <f t="shared" si="18"/>
        <v>-0.36</v>
      </c>
      <c r="H676" s="126" t="s">
        <v>80</v>
      </c>
    </row>
    <row r="677" spans="1:8">
      <c r="A677" s="126" t="s">
        <v>771</v>
      </c>
      <c r="B677" s="126">
        <v>-12596</v>
      </c>
      <c r="C677" s="126">
        <v>58584</v>
      </c>
      <c r="D677" s="126">
        <v>45988</v>
      </c>
      <c r="E677" s="126">
        <v>0</v>
      </c>
      <c r="G677" s="126">
        <f t="shared" si="18"/>
        <v>0</v>
      </c>
      <c r="H677" s="126" t="s">
        <v>80</v>
      </c>
    </row>
    <row r="678" spans="1:8">
      <c r="A678" s="126" t="s">
        <v>216</v>
      </c>
      <c r="B678" s="126">
        <v>-40380</v>
      </c>
      <c r="C678" s="126">
        <v>37524</v>
      </c>
      <c r="D678" s="126">
        <v>81868</v>
      </c>
      <c r="E678" s="126">
        <v>-84724</v>
      </c>
      <c r="G678" s="126">
        <f t="shared" si="18"/>
        <v>-84724</v>
      </c>
      <c r="H678" s="126" t="s">
        <v>80</v>
      </c>
    </row>
    <row r="679" spans="1:8">
      <c r="A679" s="126" t="s">
        <v>1207</v>
      </c>
      <c r="B679" s="126">
        <v>0</v>
      </c>
      <c r="C679" s="126">
        <v>0</v>
      </c>
      <c r="D679" s="126">
        <v>18148</v>
      </c>
      <c r="E679" s="126">
        <v>-18148</v>
      </c>
      <c r="G679" s="126">
        <f t="shared" si="18"/>
        <v>-18148</v>
      </c>
      <c r="H679" s="126" t="s">
        <v>80</v>
      </c>
    </row>
    <row r="680" spans="1:8">
      <c r="A680" s="126" t="s">
        <v>215</v>
      </c>
      <c r="B680" s="126">
        <v>-11328</v>
      </c>
      <c r="C680" s="126">
        <v>11328</v>
      </c>
      <c r="D680" s="126">
        <v>0</v>
      </c>
      <c r="E680" s="126">
        <v>0</v>
      </c>
      <c r="G680" s="126">
        <f t="shared" si="18"/>
        <v>0</v>
      </c>
      <c r="H680" s="126" t="s">
        <v>80</v>
      </c>
    </row>
    <row r="681" spans="1:8">
      <c r="A681" s="126" t="s">
        <v>421</v>
      </c>
      <c r="B681" s="126">
        <v>-0.2</v>
      </c>
      <c r="C681" s="126">
        <v>15576</v>
      </c>
      <c r="D681" s="126">
        <v>15576</v>
      </c>
      <c r="E681" s="126">
        <v>-0.2</v>
      </c>
      <c r="G681" s="126">
        <f t="shared" si="18"/>
        <v>-0.2</v>
      </c>
      <c r="H681" s="126" t="s">
        <v>80</v>
      </c>
    </row>
    <row r="682" spans="1:8">
      <c r="A682" s="126" t="s">
        <v>772</v>
      </c>
      <c r="B682" s="126">
        <v>-9865</v>
      </c>
      <c r="C682" s="126">
        <v>9865</v>
      </c>
      <c r="D682" s="126">
        <v>4932.3999999999996</v>
      </c>
      <c r="E682" s="126">
        <v>-4932.3999999999996</v>
      </c>
      <c r="G682" s="126">
        <f t="shared" si="18"/>
        <v>-4932.3999999999996</v>
      </c>
      <c r="H682" s="126" t="s">
        <v>80</v>
      </c>
    </row>
    <row r="683" spans="1:8">
      <c r="A683" s="126" t="s">
        <v>1208</v>
      </c>
      <c r="B683" s="126">
        <v>0</v>
      </c>
      <c r="C683" s="126">
        <v>38409</v>
      </c>
      <c r="D683" s="126">
        <v>4720</v>
      </c>
      <c r="E683" s="126">
        <v>33689</v>
      </c>
      <c r="G683" s="126">
        <f t="shared" si="18"/>
        <v>33689</v>
      </c>
      <c r="H683" s="126" t="s">
        <v>80</v>
      </c>
    </row>
    <row r="684" spans="1:8">
      <c r="A684" s="126" t="s">
        <v>1209</v>
      </c>
      <c r="B684" s="126">
        <v>0</v>
      </c>
      <c r="C684" s="126">
        <v>0</v>
      </c>
      <c r="D684" s="126">
        <v>0</v>
      </c>
      <c r="E684" s="126">
        <v>0</v>
      </c>
      <c r="G684" s="126">
        <f t="shared" si="18"/>
        <v>0</v>
      </c>
      <c r="H684" s="126" t="s">
        <v>80</v>
      </c>
    </row>
    <row r="685" spans="1:8">
      <c r="A685" s="126" t="s">
        <v>377</v>
      </c>
      <c r="B685" s="126">
        <v>-68342</v>
      </c>
      <c r="C685" s="126">
        <v>99138</v>
      </c>
      <c r="D685" s="126">
        <v>113645.01</v>
      </c>
      <c r="E685" s="126">
        <v>-82849.009999999995</v>
      </c>
      <c r="G685" s="126">
        <f t="shared" si="18"/>
        <v>-82849.009999999995</v>
      </c>
      <c r="H685" s="126" t="s">
        <v>80</v>
      </c>
    </row>
    <row r="686" spans="1:8">
      <c r="A686" s="126" t="s">
        <v>773</v>
      </c>
      <c r="B686" s="126">
        <v>-1510</v>
      </c>
      <c r="C686" s="126">
        <v>0</v>
      </c>
      <c r="D686" s="126">
        <v>0</v>
      </c>
      <c r="E686" s="126">
        <v>-1510</v>
      </c>
      <c r="G686" s="126">
        <f t="shared" si="18"/>
        <v>-1510</v>
      </c>
      <c r="H686" s="126" t="s">
        <v>80</v>
      </c>
    </row>
    <row r="687" spans="1:8">
      <c r="A687" s="126" t="s">
        <v>774</v>
      </c>
      <c r="B687" s="126">
        <v>-20387</v>
      </c>
      <c r="C687" s="126">
        <v>0</v>
      </c>
      <c r="D687" s="126">
        <v>10432</v>
      </c>
      <c r="E687" s="126">
        <v>-30819</v>
      </c>
      <c r="G687" s="126">
        <f t="shared" si="18"/>
        <v>-30819</v>
      </c>
      <c r="H687" s="126" t="s">
        <v>80</v>
      </c>
    </row>
    <row r="688" spans="1:8">
      <c r="A688" s="126" t="s">
        <v>443</v>
      </c>
      <c r="B688" s="126">
        <v>-6263.98</v>
      </c>
      <c r="C688" s="126">
        <v>25820</v>
      </c>
      <c r="D688" s="126">
        <v>33025</v>
      </c>
      <c r="E688" s="126">
        <v>-13468.98</v>
      </c>
      <c r="G688" s="126">
        <f t="shared" si="18"/>
        <v>-13468.98</v>
      </c>
      <c r="H688" s="126" t="s">
        <v>80</v>
      </c>
    </row>
    <row r="689" spans="1:8">
      <c r="A689" s="126" t="s">
        <v>775</v>
      </c>
      <c r="B689" s="126">
        <v>0</v>
      </c>
      <c r="C689" s="126">
        <v>16638</v>
      </c>
      <c r="D689" s="126">
        <v>16638</v>
      </c>
      <c r="E689" s="126">
        <v>0</v>
      </c>
      <c r="G689" s="126">
        <f t="shared" si="18"/>
        <v>0</v>
      </c>
      <c r="H689" s="126" t="s">
        <v>80</v>
      </c>
    </row>
    <row r="690" spans="1:8">
      <c r="A690" s="126" t="s">
        <v>206</v>
      </c>
      <c r="B690" s="126">
        <v>0</v>
      </c>
      <c r="C690" s="126">
        <v>10033</v>
      </c>
      <c r="D690" s="126">
        <v>38943</v>
      </c>
      <c r="E690" s="126">
        <v>-28910</v>
      </c>
      <c r="G690" s="126">
        <f t="shared" si="18"/>
        <v>-28910</v>
      </c>
      <c r="H690" s="126" t="s">
        <v>80</v>
      </c>
    </row>
    <row r="691" spans="1:8">
      <c r="A691" s="126" t="s">
        <v>384</v>
      </c>
      <c r="B691" s="126">
        <v>-24824</v>
      </c>
      <c r="C691" s="126">
        <v>64109</v>
      </c>
      <c r="D691" s="126">
        <v>64109</v>
      </c>
      <c r="E691" s="126">
        <v>-24824</v>
      </c>
      <c r="G691" s="126">
        <f t="shared" si="18"/>
        <v>-24824</v>
      </c>
      <c r="H691" s="126" t="s">
        <v>80</v>
      </c>
    </row>
    <row r="692" spans="1:8">
      <c r="A692" s="126" t="s">
        <v>776</v>
      </c>
      <c r="B692" s="126">
        <v>-216819</v>
      </c>
      <c r="C692" s="126">
        <v>216819</v>
      </c>
      <c r="D692" s="126">
        <v>0</v>
      </c>
      <c r="E692" s="126">
        <v>0</v>
      </c>
      <c r="G692" s="126">
        <f t="shared" si="18"/>
        <v>0</v>
      </c>
      <c r="H692" s="126" t="s">
        <v>80</v>
      </c>
    </row>
    <row r="693" spans="1:8">
      <c r="A693" s="126" t="s">
        <v>1211</v>
      </c>
      <c r="B693" s="126">
        <v>0</v>
      </c>
      <c r="C693" s="126">
        <v>0</v>
      </c>
      <c r="D693" s="126">
        <v>0</v>
      </c>
      <c r="E693" s="126">
        <v>0</v>
      </c>
      <c r="G693" s="126">
        <f t="shared" si="18"/>
        <v>0</v>
      </c>
      <c r="H693" s="126" t="s">
        <v>80</v>
      </c>
    </row>
    <row r="694" spans="1:8">
      <c r="A694" s="126" t="s">
        <v>201</v>
      </c>
      <c r="B694" s="126">
        <v>-9973.26</v>
      </c>
      <c r="C694" s="126">
        <v>38092.26</v>
      </c>
      <c r="D694" s="126">
        <v>28119</v>
      </c>
      <c r="E694" s="126">
        <v>0</v>
      </c>
      <c r="G694" s="126">
        <f t="shared" si="18"/>
        <v>0</v>
      </c>
      <c r="H694" s="126" t="s">
        <v>80</v>
      </c>
    </row>
    <row r="695" spans="1:8">
      <c r="A695" s="126" t="s">
        <v>417</v>
      </c>
      <c r="B695" s="126">
        <v>-26609</v>
      </c>
      <c r="C695" s="126">
        <v>26609</v>
      </c>
      <c r="D695" s="126">
        <v>0</v>
      </c>
      <c r="E695" s="126">
        <v>0</v>
      </c>
      <c r="G695" s="126">
        <f t="shared" si="18"/>
        <v>0</v>
      </c>
      <c r="H695" s="126" t="s">
        <v>80</v>
      </c>
    </row>
    <row r="696" spans="1:8">
      <c r="A696" s="126" t="s">
        <v>777</v>
      </c>
      <c r="B696" s="126">
        <v>-36650</v>
      </c>
      <c r="C696" s="126">
        <v>63294</v>
      </c>
      <c r="D696" s="126">
        <v>27824</v>
      </c>
      <c r="E696" s="126">
        <v>-1180</v>
      </c>
      <c r="G696" s="126">
        <f t="shared" si="18"/>
        <v>-1180</v>
      </c>
      <c r="H696" s="126" t="s">
        <v>80</v>
      </c>
    </row>
    <row r="697" spans="1:8">
      <c r="A697" s="126" t="s">
        <v>199</v>
      </c>
      <c r="B697" s="126">
        <v>1162.8</v>
      </c>
      <c r="C697" s="126">
        <v>991.2</v>
      </c>
      <c r="D697" s="126">
        <v>0</v>
      </c>
      <c r="E697" s="126">
        <v>2154</v>
      </c>
      <c r="G697" s="126">
        <f t="shared" si="18"/>
        <v>2154</v>
      </c>
      <c r="H697" s="126" t="s">
        <v>80</v>
      </c>
    </row>
    <row r="698" spans="1:8">
      <c r="A698" s="126" t="s">
        <v>778</v>
      </c>
      <c r="B698" s="126">
        <v>-0.54</v>
      </c>
      <c r="C698" s="126">
        <v>12887.7</v>
      </c>
      <c r="D698" s="126">
        <v>12887</v>
      </c>
      <c r="E698" s="126">
        <v>0.16</v>
      </c>
      <c r="G698" s="126">
        <f t="shared" si="18"/>
        <v>0.16</v>
      </c>
      <c r="H698" s="126" t="s">
        <v>80</v>
      </c>
    </row>
    <row r="699" spans="1:8">
      <c r="A699" s="126" t="s">
        <v>1212</v>
      </c>
      <c r="B699" s="126">
        <v>0</v>
      </c>
      <c r="C699" s="126">
        <v>12887.7</v>
      </c>
      <c r="D699" s="126">
        <v>12888</v>
      </c>
      <c r="E699" s="126">
        <v>-0.3</v>
      </c>
      <c r="G699" s="126">
        <f t="shared" si="18"/>
        <v>-0.3</v>
      </c>
      <c r="H699" s="126" t="s">
        <v>80</v>
      </c>
    </row>
    <row r="700" spans="1:8">
      <c r="A700" s="126" t="s">
        <v>379</v>
      </c>
      <c r="B700" s="126">
        <v>-38527</v>
      </c>
      <c r="C700" s="126">
        <v>38527</v>
      </c>
      <c r="D700" s="126">
        <v>76989</v>
      </c>
      <c r="E700" s="126">
        <v>-76989</v>
      </c>
      <c r="G700" s="126">
        <f t="shared" si="18"/>
        <v>-76989</v>
      </c>
      <c r="H700" s="126" t="s">
        <v>80</v>
      </c>
    </row>
    <row r="701" spans="1:8">
      <c r="A701" s="126" t="s">
        <v>387</v>
      </c>
      <c r="B701" s="126">
        <v>408.6</v>
      </c>
      <c r="C701" s="126">
        <v>0</v>
      </c>
      <c r="D701" s="126">
        <v>0</v>
      </c>
      <c r="E701" s="126">
        <v>408.6</v>
      </c>
      <c r="G701" s="126">
        <f t="shared" si="18"/>
        <v>408.6</v>
      </c>
      <c r="H701" s="126" t="s">
        <v>80</v>
      </c>
    </row>
    <row r="702" spans="1:8">
      <c r="A702" s="126" t="s">
        <v>463</v>
      </c>
      <c r="B702" s="126">
        <v>-44075</v>
      </c>
      <c r="C702" s="126">
        <v>305381</v>
      </c>
      <c r="D702" s="126">
        <v>274650</v>
      </c>
      <c r="E702" s="126">
        <v>-13344</v>
      </c>
      <c r="G702" s="126">
        <f t="shared" si="18"/>
        <v>-13344</v>
      </c>
      <c r="H702" s="126" t="s">
        <v>80</v>
      </c>
    </row>
    <row r="703" spans="1:8">
      <c r="A703" s="126" t="s">
        <v>1213</v>
      </c>
      <c r="B703" s="126">
        <v>0</v>
      </c>
      <c r="C703" s="126">
        <v>0</v>
      </c>
      <c r="D703" s="126">
        <v>0</v>
      </c>
      <c r="E703" s="126">
        <v>0</v>
      </c>
      <c r="G703" s="126">
        <f t="shared" si="18"/>
        <v>0</v>
      </c>
      <c r="H703" s="126" t="s">
        <v>80</v>
      </c>
    </row>
    <row r="704" spans="1:8">
      <c r="A704" s="126" t="s">
        <v>779</v>
      </c>
      <c r="B704" s="126">
        <v>0</v>
      </c>
      <c r="C704" s="126">
        <v>12637.8</v>
      </c>
      <c r="D704" s="126">
        <v>12637.8</v>
      </c>
      <c r="E704" s="126">
        <v>0</v>
      </c>
      <c r="G704" s="126">
        <f t="shared" si="18"/>
        <v>0</v>
      </c>
      <c r="H704" s="126" t="s">
        <v>80</v>
      </c>
    </row>
    <row r="705" spans="1:8">
      <c r="A705" s="126" t="s">
        <v>1214</v>
      </c>
      <c r="B705" s="126">
        <v>0</v>
      </c>
      <c r="C705" s="126">
        <v>0</v>
      </c>
      <c r="D705" s="126">
        <v>0</v>
      </c>
      <c r="E705" s="126">
        <v>0</v>
      </c>
      <c r="G705" s="126">
        <f t="shared" si="18"/>
        <v>0</v>
      </c>
      <c r="H705" s="126" t="s">
        <v>80</v>
      </c>
    </row>
    <row r="706" spans="1:8">
      <c r="A706" s="126" t="s">
        <v>1215</v>
      </c>
      <c r="B706" s="126">
        <v>0</v>
      </c>
      <c r="C706" s="126">
        <v>142278.04</v>
      </c>
      <c r="D706" s="126">
        <v>167084.29999999999</v>
      </c>
      <c r="E706" s="126">
        <v>-24806.26</v>
      </c>
      <c r="G706" s="126">
        <f t="shared" si="18"/>
        <v>-24806.26</v>
      </c>
      <c r="H706" s="126" t="s">
        <v>80</v>
      </c>
    </row>
    <row r="707" spans="1:8">
      <c r="A707" s="126" t="s">
        <v>1463</v>
      </c>
      <c r="B707" s="126">
        <v>0</v>
      </c>
      <c r="C707" s="126">
        <v>13000</v>
      </c>
      <c r="D707" s="126">
        <v>13324</v>
      </c>
      <c r="E707" s="126">
        <v>-324</v>
      </c>
      <c r="G707" s="126">
        <f t="shared" ref="G707:G770" si="19">E707+F707</f>
        <v>-324</v>
      </c>
      <c r="H707" s="126" t="s">
        <v>80</v>
      </c>
    </row>
    <row r="708" spans="1:8">
      <c r="A708" s="126" t="s">
        <v>194</v>
      </c>
      <c r="B708" s="126">
        <v>-17750</v>
      </c>
      <c r="C708" s="126">
        <v>0</v>
      </c>
      <c r="D708" s="126">
        <v>0</v>
      </c>
      <c r="E708" s="126">
        <v>-17750</v>
      </c>
      <c r="G708" s="126">
        <f t="shared" si="19"/>
        <v>-17750</v>
      </c>
      <c r="H708" s="126" t="s">
        <v>80</v>
      </c>
    </row>
    <row r="709" spans="1:8">
      <c r="A709" s="126" t="s">
        <v>1216</v>
      </c>
      <c r="B709" s="126">
        <v>0</v>
      </c>
      <c r="C709" s="126">
        <v>61360</v>
      </c>
      <c r="D709" s="126">
        <v>61360</v>
      </c>
      <c r="E709" s="126">
        <v>0</v>
      </c>
      <c r="G709" s="126">
        <f t="shared" si="19"/>
        <v>0</v>
      </c>
      <c r="H709" s="126" t="s">
        <v>80</v>
      </c>
    </row>
    <row r="710" spans="1:8">
      <c r="A710" s="126" t="s">
        <v>509</v>
      </c>
      <c r="B710" s="126">
        <v>-4790</v>
      </c>
      <c r="C710" s="126">
        <v>0</v>
      </c>
      <c r="D710" s="126">
        <v>0</v>
      </c>
      <c r="E710" s="126">
        <v>-4790</v>
      </c>
      <c r="G710" s="126">
        <f t="shared" si="19"/>
        <v>-4790</v>
      </c>
      <c r="H710" s="126" t="s">
        <v>80</v>
      </c>
    </row>
    <row r="711" spans="1:8">
      <c r="A711" s="126" t="s">
        <v>1217</v>
      </c>
      <c r="B711" s="126">
        <v>0</v>
      </c>
      <c r="C711" s="126">
        <v>0</v>
      </c>
      <c r="D711" s="126">
        <v>0</v>
      </c>
      <c r="E711" s="126">
        <v>0</v>
      </c>
      <c r="G711" s="126">
        <f t="shared" si="19"/>
        <v>0</v>
      </c>
      <c r="H711" s="126" t="s">
        <v>80</v>
      </c>
    </row>
    <row r="712" spans="1:8">
      <c r="A712" s="126" t="s">
        <v>1218</v>
      </c>
      <c r="B712" s="126">
        <v>0</v>
      </c>
      <c r="C712" s="126">
        <v>0</v>
      </c>
      <c r="D712" s="126">
        <v>0</v>
      </c>
      <c r="E712" s="126">
        <v>0</v>
      </c>
      <c r="G712" s="126">
        <f t="shared" si="19"/>
        <v>0</v>
      </c>
      <c r="H712" s="126" t="s">
        <v>80</v>
      </c>
    </row>
    <row r="713" spans="1:8">
      <c r="A713" s="126" t="s">
        <v>1219</v>
      </c>
      <c r="B713" s="126">
        <v>0</v>
      </c>
      <c r="C713" s="126">
        <v>0</v>
      </c>
      <c r="D713" s="126">
        <v>0</v>
      </c>
      <c r="E713" s="126">
        <v>0</v>
      </c>
      <c r="G713" s="126">
        <f t="shared" si="19"/>
        <v>0</v>
      </c>
      <c r="H713" s="126" t="s">
        <v>80</v>
      </c>
    </row>
    <row r="714" spans="1:8">
      <c r="A714" s="126" t="s">
        <v>1220</v>
      </c>
      <c r="B714" s="126">
        <v>0</v>
      </c>
      <c r="C714" s="126">
        <v>0</v>
      </c>
      <c r="D714" s="126">
        <v>0</v>
      </c>
      <c r="E714" s="126">
        <v>0</v>
      </c>
      <c r="G714" s="126">
        <f t="shared" si="19"/>
        <v>0</v>
      </c>
      <c r="H714" s="126" t="s">
        <v>80</v>
      </c>
    </row>
    <row r="715" spans="1:8">
      <c r="A715" s="126" t="s">
        <v>191</v>
      </c>
      <c r="B715" s="126">
        <v>-242458</v>
      </c>
      <c r="C715" s="126">
        <v>408818.75</v>
      </c>
      <c r="D715" s="126">
        <v>333304.75</v>
      </c>
      <c r="E715" s="126">
        <v>-166944</v>
      </c>
      <c r="G715" s="126">
        <f t="shared" si="19"/>
        <v>-166944</v>
      </c>
      <c r="H715" s="126" t="s">
        <v>80</v>
      </c>
    </row>
    <row r="716" spans="1:8">
      <c r="A716" s="126" t="s">
        <v>780</v>
      </c>
      <c r="B716" s="126">
        <v>-270397</v>
      </c>
      <c r="C716" s="126">
        <v>173637</v>
      </c>
      <c r="D716" s="126">
        <v>60888</v>
      </c>
      <c r="E716" s="126">
        <v>-157648</v>
      </c>
      <c r="G716" s="126">
        <f t="shared" si="19"/>
        <v>-157648</v>
      </c>
      <c r="H716" s="126" t="s">
        <v>80</v>
      </c>
    </row>
    <row r="717" spans="1:8">
      <c r="A717" s="126" t="s">
        <v>1221</v>
      </c>
      <c r="B717" s="126">
        <v>0</v>
      </c>
      <c r="C717" s="126">
        <v>0</v>
      </c>
      <c r="D717" s="126">
        <v>0</v>
      </c>
      <c r="E717" s="126">
        <v>0</v>
      </c>
      <c r="G717" s="126">
        <f t="shared" si="19"/>
        <v>0</v>
      </c>
      <c r="H717" s="126" t="s">
        <v>80</v>
      </c>
    </row>
    <row r="718" spans="1:8">
      <c r="A718" s="126" t="s">
        <v>781</v>
      </c>
      <c r="B718" s="126">
        <v>-21308.5</v>
      </c>
      <c r="C718" s="126">
        <v>14998</v>
      </c>
      <c r="D718" s="126">
        <v>12968</v>
      </c>
      <c r="E718" s="126">
        <v>-19278.5</v>
      </c>
      <c r="G718" s="126">
        <f t="shared" si="19"/>
        <v>-19278.5</v>
      </c>
      <c r="H718" s="126" t="s">
        <v>80</v>
      </c>
    </row>
    <row r="719" spans="1:8">
      <c r="A719" s="126" t="s">
        <v>782</v>
      </c>
      <c r="B719" s="126">
        <v>-1888.5</v>
      </c>
      <c r="C719" s="126">
        <v>20031</v>
      </c>
      <c r="D719" s="126">
        <v>25488</v>
      </c>
      <c r="E719" s="126">
        <v>-7345.5</v>
      </c>
      <c r="G719" s="126">
        <f t="shared" si="19"/>
        <v>-7345.5</v>
      </c>
      <c r="H719" s="126" t="s">
        <v>80</v>
      </c>
    </row>
    <row r="720" spans="1:8">
      <c r="A720" s="126" t="s">
        <v>187</v>
      </c>
      <c r="B720" s="126">
        <v>-344330</v>
      </c>
      <c r="C720" s="126">
        <v>487585</v>
      </c>
      <c r="D720" s="126">
        <v>208446</v>
      </c>
      <c r="E720" s="126">
        <v>-65191</v>
      </c>
      <c r="G720" s="126">
        <f t="shared" si="19"/>
        <v>-65191</v>
      </c>
      <c r="H720" s="126" t="s">
        <v>80</v>
      </c>
    </row>
    <row r="721" spans="1:8">
      <c r="A721" s="126" t="s">
        <v>1222</v>
      </c>
      <c r="B721" s="126">
        <v>0</v>
      </c>
      <c r="C721" s="126">
        <v>0</v>
      </c>
      <c r="D721" s="126">
        <v>0</v>
      </c>
      <c r="E721" s="126">
        <v>0</v>
      </c>
      <c r="G721" s="126">
        <f t="shared" si="19"/>
        <v>0</v>
      </c>
      <c r="H721" s="126" t="s">
        <v>80</v>
      </c>
    </row>
    <row r="722" spans="1:8">
      <c r="A722" s="126" t="s">
        <v>188</v>
      </c>
      <c r="B722" s="126">
        <v>0</v>
      </c>
      <c r="C722" s="126">
        <v>7222</v>
      </c>
      <c r="D722" s="126">
        <v>24249</v>
      </c>
      <c r="E722" s="126">
        <v>-17027</v>
      </c>
      <c r="G722" s="126">
        <f t="shared" si="19"/>
        <v>-17027</v>
      </c>
      <c r="H722" s="126" t="s">
        <v>80</v>
      </c>
    </row>
    <row r="723" spans="1:8">
      <c r="A723" s="126" t="s">
        <v>189</v>
      </c>
      <c r="B723" s="126">
        <v>-74340</v>
      </c>
      <c r="C723" s="126">
        <v>310694</v>
      </c>
      <c r="D723" s="126">
        <v>461970</v>
      </c>
      <c r="E723" s="126">
        <v>-225616</v>
      </c>
      <c r="G723" s="126">
        <f t="shared" si="19"/>
        <v>-225616</v>
      </c>
      <c r="H723" s="126" t="s">
        <v>80</v>
      </c>
    </row>
    <row r="724" spans="1:8">
      <c r="A724" s="126" t="s">
        <v>1223</v>
      </c>
      <c r="B724" s="126">
        <v>0</v>
      </c>
      <c r="C724" s="126">
        <v>10000</v>
      </c>
      <c r="D724" s="126">
        <v>0</v>
      </c>
      <c r="E724" s="126">
        <v>10000</v>
      </c>
      <c r="G724" s="126">
        <f t="shared" si="19"/>
        <v>10000</v>
      </c>
      <c r="H724" s="126" t="s">
        <v>80</v>
      </c>
    </row>
    <row r="725" spans="1:8">
      <c r="A725" s="126" t="s">
        <v>190</v>
      </c>
      <c r="B725" s="126">
        <v>0.86</v>
      </c>
      <c r="C725" s="126">
        <v>0</v>
      </c>
      <c r="D725" s="126">
        <v>0</v>
      </c>
      <c r="E725" s="126">
        <v>0.86</v>
      </c>
      <c r="G725" s="126">
        <f t="shared" si="19"/>
        <v>0.86</v>
      </c>
      <c r="H725" s="126" t="s">
        <v>80</v>
      </c>
    </row>
    <row r="726" spans="1:8">
      <c r="A726" s="126" t="s">
        <v>181</v>
      </c>
      <c r="B726" s="126">
        <v>-3000</v>
      </c>
      <c r="C726" s="126">
        <v>0</v>
      </c>
      <c r="D726" s="126">
        <v>0</v>
      </c>
      <c r="E726" s="126">
        <v>-3000</v>
      </c>
      <c r="G726" s="126">
        <f t="shared" si="19"/>
        <v>-3000</v>
      </c>
      <c r="H726" s="126" t="s">
        <v>80</v>
      </c>
    </row>
    <row r="727" spans="1:8">
      <c r="A727" s="126" t="s">
        <v>783</v>
      </c>
      <c r="B727" s="126">
        <v>-7446</v>
      </c>
      <c r="C727" s="126">
        <v>7446</v>
      </c>
      <c r="D727" s="126">
        <v>0</v>
      </c>
      <c r="E727" s="126">
        <v>0</v>
      </c>
      <c r="G727" s="126">
        <f t="shared" si="19"/>
        <v>0</v>
      </c>
      <c r="H727" s="126" t="s">
        <v>80</v>
      </c>
    </row>
    <row r="728" spans="1:8">
      <c r="A728" s="126" t="s">
        <v>182</v>
      </c>
      <c r="B728" s="126">
        <v>-13539.4</v>
      </c>
      <c r="C728" s="126">
        <v>0</v>
      </c>
      <c r="D728" s="126">
        <v>0</v>
      </c>
      <c r="E728" s="126">
        <v>-13539.4</v>
      </c>
      <c r="G728" s="126">
        <f t="shared" si="19"/>
        <v>-13539.4</v>
      </c>
      <c r="H728" s="126" t="s">
        <v>80</v>
      </c>
    </row>
    <row r="729" spans="1:8">
      <c r="A729" s="126" t="s">
        <v>1224</v>
      </c>
      <c r="B729" s="126">
        <v>0</v>
      </c>
      <c r="C729" s="126">
        <v>0</v>
      </c>
      <c r="D729" s="126">
        <v>0</v>
      </c>
      <c r="E729" s="126">
        <v>0</v>
      </c>
      <c r="G729" s="126">
        <f t="shared" si="19"/>
        <v>0</v>
      </c>
      <c r="H729" s="126" t="s">
        <v>80</v>
      </c>
    </row>
    <row r="730" spans="1:8">
      <c r="A730" s="126" t="s">
        <v>480</v>
      </c>
      <c r="B730" s="126">
        <v>-31860</v>
      </c>
      <c r="C730" s="126">
        <v>34515</v>
      </c>
      <c r="D730" s="126">
        <v>46433</v>
      </c>
      <c r="E730" s="126">
        <v>-43778</v>
      </c>
      <c r="G730" s="126">
        <f t="shared" si="19"/>
        <v>-43778</v>
      </c>
      <c r="H730" s="126" t="s">
        <v>80</v>
      </c>
    </row>
    <row r="731" spans="1:8">
      <c r="A731" s="126" t="s">
        <v>1225</v>
      </c>
      <c r="B731" s="126">
        <v>0</v>
      </c>
      <c r="C731" s="126">
        <v>0</v>
      </c>
      <c r="D731" s="126">
        <v>5369</v>
      </c>
      <c r="E731" s="126">
        <v>-5369</v>
      </c>
      <c r="G731" s="126">
        <f t="shared" si="19"/>
        <v>-5369</v>
      </c>
      <c r="H731" s="126" t="s">
        <v>80</v>
      </c>
    </row>
    <row r="732" spans="1:8">
      <c r="A732" s="126" t="s">
        <v>178</v>
      </c>
      <c r="B732" s="126">
        <v>-0.08</v>
      </c>
      <c r="C732" s="126">
        <v>0</v>
      </c>
      <c r="D732" s="126">
        <v>0</v>
      </c>
      <c r="E732" s="126">
        <v>-0.08</v>
      </c>
      <c r="G732" s="126">
        <f t="shared" si="19"/>
        <v>-0.08</v>
      </c>
      <c r="H732" s="126" t="s">
        <v>80</v>
      </c>
    </row>
    <row r="733" spans="1:8">
      <c r="A733" s="126" t="s">
        <v>179</v>
      </c>
      <c r="B733" s="126">
        <v>3628.6</v>
      </c>
      <c r="C733" s="126">
        <v>0</v>
      </c>
      <c r="D733" s="126">
        <v>0</v>
      </c>
      <c r="E733" s="126">
        <v>3628.6</v>
      </c>
      <c r="G733" s="126">
        <f t="shared" si="19"/>
        <v>3628.6</v>
      </c>
      <c r="H733" s="126" t="s">
        <v>80</v>
      </c>
    </row>
    <row r="734" spans="1:8">
      <c r="A734" s="126" t="s">
        <v>176</v>
      </c>
      <c r="B734" s="126">
        <v>-122795</v>
      </c>
      <c r="C734" s="126">
        <v>113080</v>
      </c>
      <c r="D734" s="126">
        <v>60324</v>
      </c>
      <c r="E734" s="126">
        <v>-70039</v>
      </c>
      <c r="G734" s="126">
        <f t="shared" si="19"/>
        <v>-70039</v>
      </c>
      <c r="H734" s="126" t="s">
        <v>80</v>
      </c>
    </row>
    <row r="735" spans="1:8">
      <c r="A735" s="126" t="s">
        <v>481</v>
      </c>
      <c r="B735" s="126">
        <v>-229003</v>
      </c>
      <c r="C735" s="126">
        <v>209994</v>
      </c>
      <c r="D735" s="126">
        <v>0</v>
      </c>
      <c r="E735" s="126">
        <v>-19009</v>
      </c>
      <c r="G735" s="126">
        <f t="shared" si="19"/>
        <v>-19009</v>
      </c>
      <c r="H735" s="126" t="s">
        <v>80</v>
      </c>
    </row>
    <row r="736" spans="1:8">
      <c r="A736" s="126" t="s">
        <v>1227</v>
      </c>
      <c r="B736" s="126">
        <v>0</v>
      </c>
      <c r="C736" s="126">
        <v>0</v>
      </c>
      <c r="D736" s="126">
        <v>0</v>
      </c>
      <c r="E736" s="126">
        <v>0</v>
      </c>
      <c r="G736" s="126">
        <f t="shared" si="19"/>
        <v>0</v>
      </c>
      <c r="H736" s="126" t="s">
        <v>80</v>
      </c>
    </row>
    <row r="737" spans="1:8">
      <c r="A737" s="126" t="s">
        <v>174</v>
      </c>
      <c r="B737" s="126">
        <v>-4956</v>
      </c>
      <c r="C737" s="126">
        <v>4956</v>
      </c>
      <c r="D737" s="126">
        <v>0</v>
      </c>
      <c r="E737" s="126">
        <v>0</v>
      </c>
      <c r="G737" s="126">
        <f t="shared" si="19"/>
        <v>0</v>
      </c>
      <c r="H737" s="126" t="s">
        <v>80</v>
      </c>
    </row>
    <row r="738" spans="1:8">
      <c r="A738" s="126" t="s">
        <v>1464</v>
      </c>
      <c r="B738" s="126">
        <v>0</v>
      </c>
      <c r="C738" s="126">
        <v>0</v>
      </c>
      <c r="D738" s="126">
        <v>1180</v>
      </c>
      <c r="E738" s="126">
        <v>-1180</v>
      </c>
      <c r="G738" s="126">
        <f t="shared" si="19"/>
        <v>-1180</v>
      </c>
      <c r="H738" s="126" t="s">
        <v>80</v>
      </c>
    </row>
    <row r="739" spans="1:8">
      <c r="A739" s="126" t="s">
        <v>175</v>
      </c>
      <c r="B739" s="126">
        <v>-108335</v>
      </c>
      <c r="C739" s="126">
        <v>11434</v>
      </c>
      <c r="D739" s="126">
        <v>11434</v>
      </c>
      <c r="E739" s="126">
        <v>-108335</v>
      </c>
      <c r="G739" s="126">
        <f t="shared" si="19"/>
        <v>-108335</v>
      </c>
      <c r="H739" s="126" t="s">
        <v>80</v>
      </c>
    </row>
    <row r="740" spans="1:8">
      <c r="A740" s="126" t="s">
        <v>1228</v>
      </c>
      <c r="B740" s="126">
        <v>0</v>
      </c>
      <c r="C740" s="126">
        <v>98087</v>
      </c>
      <c r="D740" s="126">
        <v>98088</v>
      </c>
      <c r="E740" s="126">
        <v>-1</v>
      </c>
      <c r="G740" s="126">
        <f t="shared" si="19"/>
        <v>-1</v>
      </c>
      <c r="H740" s="126" t="s">
        <v>80</v>
      </c>
    </row>
    <row r="741" spans="1:8">
      <c r="A741" s="126" t="s">
        <v>784</v>
      </c>
      <c r="B741" s="126">
        <v>-6903.78</v>
      </c>
      <c r="C741" s="126">
        <v>31801</v>
      </c>
      <c r="D741" s="126">
        <v>35612</v>
      </c>
      <c r="E741" s="126">
        <v>-10714.78</v>
      </c>
      <c r="G741" s="126">
        <f t="shared" si="19"/>
        <v>-10714.78</v>
      </c>
      <c r="H741" s="126" t="s">
        <v>80</v>
      </c>
    </row>
    <row r="742" spans="1:8">
      <c r="A742" s="126" t="s">
        <v>420</v>
      </c>
      <c r="B742" s="126">
        <v>-1305516.8500000001</v>
      </c>
      <c r="C742" s="126">
        <v>2100536.5</v>
      </c>
      <c r="D742" s="126">
        <v>1699222.94</v>
      </c>
      <c r="E742" s="126">
        <v>-904203.29</v>
      </c>
      <c r="G742" s="126">
        <f t="shared" si="19"/>
        <v>-904203.29</v>
      </c>
      <c r="H742" s="126" t="s">
        <v>80</v>
      </c>
    </row>
    <row r="743" spans="1:8">
      <c r="A743" s="126" t="s">
        <v>407</v>
      </c>
      <c r="B743" s="126">
        <v>-19765</v>
      </c>
      <c r="C743" s="126">
        <v>19765</v>
      </c>
      <c r="D743" s="126">
        <v>0</v>
      </c>
      <c r="E743" s="126">
        <v>0</v>
      </c>
      <c r="G743" s="126">
        <f t="shared" si="19"/>
        <v>0</v>
      </c>
      <c r="H743" s="126" t="s">
        <v>80</v>
      </c>
    </row>
    <row r="744" spans="1:8">
      <c r="A744" s="126" t="s">
        <v>785</v>
      </c>
      <c r="B744" s="126">
        <v>-8200</v>
      </c>
      <c r="C744" s="126">
        <v>0</v>
      </c>
      <c r="D744" s="126">
        <v>0</v>
      </c>
      <c r="E744" s="126">
        <v>-8200</v>
      </c>
      <c r="G744" s="126">
        <f t="shared" si="19"/>
        <v>-8200</v>
      </c>
      <c r="H744" s="126" t="s">
        <v>80</v>
      </c>
    </row>
    <row r="745" spans="1:8">
      <c r="A745" s="126" t="s">
        <v>442</v>
      </c>
      <c r="B745" s="126">
        <v>-300009.86</v>
      </c>
      <c r="C745" s="126">
        <v>188185</v>
      </c>
      <c r="D745" s="126">
        <v>160482.01</v>
      </c>
      <c r="E745" s="126">
        <v>-272306.87</v>
      </c>
      <c r="G745" s="126">
        <f t="shared" si="19"/>
        <v>-272306.87</v>
      </c>
      <c r="H745" s="126" t="s">
        <v>80</v>
      </c>
    </row>
    <row r="746" spans="1:8">
      <c r="A746" s="126" t="s">
        <v>170</v>
      </c>
      <c r="B746" s="126">
        <v>-3014.89</v>
      </c>
      <c r="C746" s="126">
        <v>10089</v>
      </c>
      <c r="D746" s="126">
        <v>8083</v>
      </c>
      <c r="E746" s="126">
        <v>-1008.89</v>
      </c>
      <c r="G746" s="126">
        <f t="shared" si="19"/>
        <v>-1008.89</v>
      </c>
      <c r="H746" s="126" t="s">
        <v>80</v>
      </c>
    </row>
    <row r="747" spans="1:8">
      <c r="A747" s="126" t="s">
        <v>786</v>
      </c>
      <c r="B747" s="126">
        <v>-14650</v>
      </c>
      <c r="C747" s="126">
        <v>0</v>
      </c>
      <c r="D747" s="126">
        <v>0</v>
      </c>
      <c r="E747" s="126">
        <v>-14650</v>
      </c>
      <c r="G747" s="126">
        <f t="shared" si="19"/>
        <v>-14650</v>
      </c>
      <c r="H747" s="126" t="s">
        <v>80</v>
      </c>
    </row>
    <row r="748" spans="1:8">
      <c r="A748" s="126" t="s">
        <v>522</v>
      </c>
      <c r="B748" s="126">
        <v>-5310</v>
      </c>
      <c r="C748" s="126">
        <v>19322</v>
      </c>
      <c r="D748" s="126">
        <v>19322</v>
      </c>
      <c r="E748" s="126">
        <v>-5310</v>
      </c>
      <c r="G748" s="126">
        <f t="shared" si="19"/>
        <v>-5310</v>
      </c>
      <c r="H748" s="126" t="s">
        <v>80</v>
      </c>
    </row>
    <row r="749" spans="1:8">
      <c r="A749" s="126" t="s">
        <v>787</v>
      </c>
      <c r="B749" s="126">
        <v>173483.6</v>
      </c>
      <c r="C749" s="126">
        <v>0</v>
      </c>
      <c r="D749" s="126">
        <v>173484</v>
      </c>
      <c r="E749" s="126">
        <v>-0.4</v>
      </c>
      <c r="G749" s="126">
        <f t="shared" si="19"/>
        <v>-0.4</v>
      </c>
      <c r="H749" s="126" t="s">
        <v>80</v>
      </c>
    </row>
    <row r="750" spans="1:8">
      <c r="A750" s="126" t="s">
        <v>788</v>
      </c>
      <c r="B750" s="126">
        <v>12744</v>
      </c>
      <c r="C750" s="126">
        <v>0</v>
      </c>
      <c r="D750" s="126">
        <v>12744</v>
      </c>
      <c r="E750" s="126">
        <v>0</v>
      </c>
      <c r="G750" s="126">
        <f t="shared" si="19"/>
        <v>0</v>
      </c>
      <c r="H750" s="126" t="s">
        <v>80</v>
      </c>
    </row>
    <row r="751" spans="1:8">
      <c r="A751" s="126" t="s">
        <v>168</v>
      </c>
      <c r="B751" s="126">
        <v>-11706</v>
      </c>
      <c r="C751" s="126">
        <v>69529</v>
      </c>
      <c r="D751" s="126">
        <v>57823</v>
      </c>
      <c r="E751" s="126">
        <v>0</v>
      </c>
      <c r="G751" s="126">
        <f t="shared" si="19"/>
        <v>0</v>
      </c>
      <c r="H751" s="126" t="s">
        <v>80</v>
      </c>
    </row>
    <row r="752" spans="1:8">
      <c r="A752" s="126" t="s">
        <v>789</v>
      </c>
      <c r="B752" s="126">
        <v>-151278</v>
      </c>
      <c r="C752" s="126">
        <v>76187</v>
      </c>
      <c r="D752" s="126">
        <v>97232</v>
      </c>
      <c r="E752" s="126">
        <v>-172323</v>
      </c>
      <c r="G752" s="126">
        <f t="shared" si="19"/>
        <v>-172323</v>
      </c>
      <c r="H752" s="126" t="s">
        <v>80</v>
      </c>
    </row>
    <row r="753" spans="1:8">
      <c r="A753" s="126" t="s">
        <v>167</v>
      </c>
      <c r="B753" s="126">
        <v>-48734</v>
      </c>
      <c r="C753" s="126">
        <v>112454</v>
      </c>
      <c r="D753" s="126">
        <v>63720</v>
      </c>
      <c r="E753" s="126">
        <v>0</v>
      </c>
      <c r="G753" s="126">
        <f t="shared" si="19"/>
        <v>0</v>
      </c>
      <c r="H753" s="126" t="s">
        <v>80</v>
      </c>
    </row>
    <row r="754" spans="1:8">
      <c r="A754" s="126" t="s">
        <v>1231</v>
      </c>
      <c r="B754" s="126">
        <v>0</v>
      </c>
      <c r="C754" s="126">
        <v>0</v>
      </c>
      <c r="D754" s="126">
        <v>0</v>
      </c>
      <c r="E754" s="126">
        <v>0</v>
      </c>
      <c r="G754" s="126">
        <f t="shared" si="19"/>
        <v>0</v>
      </c>
      <c r="H754" s="126" t="s">
        <v>80</v>
      </c>
    </row>
    <row r="755" spans="1:8">
      <c r="A755" s="126" t="s">
        <v>1465</v>
      </c>
      <c r="B755" s="126">
        <v>0</v>
      </c>
      <c r="C755" s="126">
        <v>8106.6</v>
      </c>
      <c r="D755" s="126">
        <v>0</v>
      </c>
      <c r="E755" s="126">
        <v>8106.6</v>
      </c>
      <c r="G755" s="126">
        <f t="shared" si="19"/>
        <v>8106.6</v>
      </c>
      <c r="H755" s="126" t="s">
        <v>80</v>
      </c>
    </row>
    <row r="756" spans="1:8">
      <c r="A756" s="126" t="s">
        <v>790</v>
      </c>
      <c r="B756" s="126">
        <v>-38781.4</v>
      </c>
      <c r="C756" s="126">
        <v>41660</v>
      </c>
      <c r="D756" s="126">
        <v>8024</v>
      </c>
      <c r="E756" s="126">
        <v>-5145.3999999999996</v>
      </c>
      <c r="G756" s="126">
        <f t="shared" si="19"/>
        <v>-5145.3999999999996</v>
      </c>
      <c r="H756" s="126" t="s">
        <v>80</v>
      </c>
    </row>
    <row r="757" spans="1:8">
      <c r="A757" s="126" t="s">
        <v>166</v>
      </c>
      <c r="B757" s="126">
        <v>-38242</v>
      </c>
      <c r="C757" s="126">
        <v>108754</v>
      </c>
      <c r="D757" s="126">
        <v>70512</v>
      </c>
      <c r="E757" s="126">
        <v>0</v>
      </c>
      <c r="G757" s="126">
        <f t="shared" si="19"/>
        <v>0</v>
      </c>
      <c r="H757" s="126" t="s">
        <v>80</v>
      </c>
    </row>
    <row r="758" spans="1:8">
      <c r="A758" s="126" t="s">
        <v>791</v>
      </c>
      <c r="B758" s="126">
        <v>4152.88</v>
      </c>
      <c r="C758" s="126">
        <v>131871.6</v>
      </c>
      <c r="D758" s="126">
        <v>119654</v>
      </c>
      <c r="E758" s="126">
        <v>16370.48</v>
      </c>
      <c r="G758" s="126">
        <f t="shared" si="19"/>
        <v>16370.48</v>
      </c>
      <c r="H758" s="126" t="s">
        <v>80</v>
      </c>
    </row>
    <row r="759" spans="1:8">
      <c r="A759" s="126" t="s">
        <v>792</v>
      </c>
      <c r="B759" s="126">
        <v>0</v>
      </c>
      <c r="C759" s="126">
        <v>8177.4</v>
      </c>
      <c r="D759" s="126">
        <v>8177</v>
      </c>
      <c r="E759" s="126">
        <v>0.4</v>
      </c>
      <c r="G759" s="126">
        <f t="shared" si="19"/>
        <v>0.4</v>
      </c>
      <c r="H759" s="126" t="s">
        <v>80</v>
      </c>
    </row>
    <row r="760" spans="1:8">
      <c r="A760" s="126" t="s">
        <v>386</v>
      </c>
      <c r="B760" s="126">
        <v>-14331</v>
      </c>
      <c r="C760" s="126">
        <v>0</v>
      </c>
      <c r="D760" s="126">
        <v>0</v>
      </c>
      <c r="E760" s="126">
        <v>-14331</v>
      </c>
      <c r="G760" s="126">
        <f t="shared" si="19"/>
        <v>-14331</v>
      </c>
      <c r="H760" s="126" t="s">
        <v>80</v>
      </c>
    </row>
    <row r="761" spans="1:8">
      <c r="A761" s="126" t="s">
        <v>1466</v>
      </c>
      <c r="B761" s="126">
        <v>0</v>
      </c>
      <c r="C761" s="126">
        <v>0</v>
      </c>
      <c r="D761" s="126">
        <v>9533</v>
      </c>
      <c r="E761" s="126">
        <v>-9533</v>
      </c>
      <c r="G761" s="126">
        <f t="shared" si="19"/>
        <v>-9533</v>
      </c>
      <c r="H761" s="126" t="s">
        <v>80</v>
      </c>
    </row>
    <row r="762" spans="1:8">
      <c r="A762" s="126" t="s">
        <v>165</v>
      </c>
      <c r="B762" s="126">
        <v>-243959</v>
      </c>
      <c r="C762" s="126">
        <v>243959</v>
      </c>
      <c r="D762" s="126">
        <v>483210</v>
      </c>
      <c r="E762" s="126">
        <v>-483210</v>
      </c>
      <c r="G762" s="126">
        <f t="shared" si="19"/>
        <v>-483210</v>
      </c>
      <c r="H762" s="126" t="s">
        <v>80</v>
      </c>
    </row>
    <row r="763" spans="1:8">
      <c r="A763" s="126" t="s">
        <v>793</v>
      </c>
      <c r="B763" s="126">
        <v>-17818</v>
      </c>
      <c r="C763" s="126">
        <v>17818</v>
      </c>
      <c r="D763" s="126">
        <v>0</v>
      </c>
      <c r="E763" s="126">
        <v>0</v>
      </c>
      <c r="G763" s="126">
        <f t="shared" si="19"/>
        <v>0</v>
      </c>
      <c r="H763" s="126" t="s">
        <v>80</v>
      </c>
    </row>
    <row r="764" spans="1:8">
      <c r="A764" s="126" t="s">
        <v>1232</v>
      </c>
      <c r="B764" s="126">
        <v>0</v>
      </c>
      <c r="C764" s="126">
        <v>7788</v>
      </c>
      <c r="D764" s="126">
        <v>7788</v>
      </c>
      <c r="E764" s="126">
        <v>0</v>
      </c>
      <c r="G764" s="126">
        <f t="shared" si="19"/>
        <v>0</v>
      </c>
      <c r="H764" s="126" t="s">
        <v>80</v>
      </c>
    </row>
    <row r="765" spans="1:8">
      <c r="A765" s="126" t="s">
        <v>1233</v>
      </c>
      <c r="B765" s="126">
        <v>0</v>
      </c>
      <c r="C765" s="126">
        <v>0</v>
      </c>
      <c r="D765" s="126">
        <v>0</v>
      </c>
      <c r="E765" s="126">
        <v>0</v>
      </c>
      <c r="G765" s="126">
        <f t="shared" si="19"/>
        <v>0</v>
      </c>
      <c r="H765" s="126" t="s">
        <v>80</v>
      </c>
    </row>
    <row r="766" spans="1:8">
      <c r="A766" s="126" t="s">
        <v>1045</v>
      </c>
      <c r="B766" s="126">
        <v>-110802</v>
      </c>
      <c r="C766" s="126">
        <v>110802</v>
      </c>
      <c r="D766" s="126">
        <v>0</v>
      </c>
      <c r="E766" s="126">
        <v>0</v>
      </c>
      <c r="G766" s="126">
        <f t="shared" si="19"/>
        <v>0</v>
      </c>
      <c r="H766" s="126" t="s">
        <v>80</v>
      </c>
    </row>
    <row r="767" spans="1:8">
      <c r="A767" s="126" t="s">
        <v>510</v>
      </c>
      <c r="B767" s="126">
        <v>-7.0000000000000007E-2</v>
      </c>
      <c r="C767" s="126">
        <v>0</v>
      </c>
      <c r="D767" s="126">
        <v>0</v>
      </c>
      <c r="E767" s="126">
        <v>-7.0000000000000007E-2</v>
      </c>
      <c r="G767" s="126">
        <f t="shared" si="19"/>
        <v>-7.0000000000000007E-2</v>
      </c>
      <c r="H767" s="126" t="s">
        <v>80</v>
      </c>
    </row>
    <row r="768" spans="1:8">
      <c r="A768" s="126" t="s">
        <v>159</v>
      </c>
      <c r="B768" s="126">
        <v>-163695</v>
      </c>
      <c r="C768" s="126">
        <v>163695</v>
      </c>
      <c r="D768" s="126">
        <v>833</v>
      </c>
      <c r="E768" s="126">
        <v>-833</v>
      </c>
      <c r="G768" s="126">
        <f t="shared" si="19"/>
        <v>-833</v>
      </c>
      <c r="H768" s="126" t="s">
        <v>80</v>
      </c>
    </row>
    <row r="769" spans="1:8">
      <c r="A769" s="126" t="s">
        <v>794</v>
      </c>
      <c r="B769" s="126">
        <v>-200.6</v>
      </c>
      <c r="C769" s="126">
        <v>0</v>
      </c>
      <c r="D769" s="126">
        <v>0</v>
      </c>
      <c r="E769" s="126">
        <v>-200.6</v>
      </c>
      <c r="G769" s="126">
        <f t="shared" si="19"/>
        <v>-200.6</v>
      </c>
      <c r="H769" s="126" t="s">
        <v>80</v>
      </c>
    </row>
    <row r="770" spans="1:8">
      <c r="A770" s="126" t="s">
        <v>795</v>
      </c>
      <c r="B770" s="126">
        <v>23954</v>
      </c>
      <c r="C770" s="126">
        <v>84701</v>
      </c>
      <c r="D770" s="126">
        <v>108655</v>
      </c>
      <c r="E770" s="126">
        <v>0</v>
      </c>
      <c r="G770" s="126">
        <f t="shared" si="19"/>
        <v>0</v>
      </c>
      <c r="H770" s="126" t="s">
        <v>80</v>
      </c>
    </row>
    <row r="771" spans="1:8">
      <c r="A771" s="126" t="s">
        <v>796</v>
      </c>
      <c r="B771" s="126">
        <v>-219303</v>
      </c>
      <c r="C771" s="126">
        <v>379134</v>
      </c>
      <c r="D771" s="126">
        <v>159831</v>
      </c>
      <c r="E771" s="126">
        <v>0</v>
      </c>
      <c r="G771" s="126">
        <f t="shared" ref="G771:G834" si="20">E771+F771</f>
        <v>0</v>
      </c>
      <c r="H771" s="126" t="s">
        <v>80</v>
      </c>
    </row>
    <row r="772" spans="1:8">
      <c r="A772" s="126" t="s">
        <v>797</v>
      </c>
      <c r="B772" s="126">
        <v>-236085.4</v>
      </c>
      <c r="C772" s="126">
        <v>367383</v>
      </c>
      <c r="D772" s="126">
        <v>342005</v>
      </c>
      <c r="E772" s="126">
        <v>-210707.4</v>
      </c>
      <c r="G772" s="126">
        <f t="shared" si="20"/>
        <v>-210707.4</v>
      </c>
      <c r="H772" s="126" t="s">
        <v>80</v>
      </c>
    </row>
    <row r="773" spans="1:8">
      <c r="A773" s="126" t="s">
        <v>158</v>
      </c>
      <c r="B773" s="126">
        <v>-49320.34</v>
      </c>
      <c r="C773" s="126">
        <v>49320</v>
      </c>
      <c r="D773" s="126">
        <v>0</v>
      </c>
      <c r="E773" s="126">
        <v>-0.34</v>
      </c>
      <c r="G773" s="126">
        <f t="shared" si="20"/>
        <v>-0.34</v>
      </c>
      <c r="H773" s="126" t="s">
        <v>80</v>
      </c>
    </row>
    <row r="774" spans="1:8">
      <c r="A774" s="126" t="s">
        <v>1467</v>
      </c>
      <c r="B774" s="126">
        <v>0</v>
      </c>
      <c r="C774" s="126">
        <v>9204</v>
      </c>
      <c r="D774" s="126">
        <v>0</v>
      </c>
      <c r="E774" s="126">
        <v>9204</v>
      </c>
      <c r="G774" s="126">
        <f t="shared" si="20"/>
        <v>9204</v>
      </c>
      <c r="H774" s="126" t="s">
        <v>80</v>
      </c>
    </row>
    <row r="775" spans="1:8">
      <c r="A775" s="126" t="s">
        <v>1468</v>
      </c>
      <c r="B775" s="126">
        <v>0</v>
      </c>
      <c r="C775" s="126">
        <v>0</v>
      </c>
      <c r="D775" s="126">
        <v>4128</v>
      </c>
      <c r="E775" s="126">
        <v>-4128</v>
      </c>
      <c r="G775" s="126">
        <f t="shared" si="20"/>
        <v>-4128</v>
      </c>
      <c r="H775" s="126" t="s">
        <v>80</v>
      </c>
    </row>
    <row r="776" spans="1:8">
      <c r="A776" s="126" t="s">
        <v>1234</v>
      </c>
      <c r="B776" s="126">
        <v>0</v>
      </c>
      <c r="C776" s="126">
        <v>0</v>
      </c>
      <c r="D776" s="126">
        <v>0</v>
      </c>
      <c r="E776" s="126">
        <v>0</v>
      </c>
      <c r="G776" s="126">
        <f t="shared" si="20"/>
        <v>0</v>
      </c>
      <c r="H776" s="126" t="s">
        <v>80</v>
      </c>
    </row>
    <row r="777" spans="1:8">
      <c r="A777" s="126" t="s">
        <v>156</v>
      </c>
      <c r="B777" s="126">
        <v>-0.01</v>
      </c>
      <c r="C777" s="126">
        <v>0</v>
      </c>
      <c r="D777" s="126">
        <v>0</v>
      </c>
      <c r="E777" s="126">
        <v>-0.01</v>
      </c>
      <c r="G777" s="126">
        <f t="shared" si="20"/>
        <v>-0.01</v>
      </c>
      <c r="H777" s="126" t="s">
        <v>80</v>
      </c>
    </row>
    <row r="778" spans="1:8">
      <c r="A778" s="126" t="s">
        <v>1235</v>
      </c>
      <c r="B778" s="126">
        <v>0</v>
      </c>
      <c r="C778" s="126">
        <v>68502</v>
      </c>
      <c r="D778" s="126">
        <v>68502</v>
      </c>
      <c r="E778" s="126">
        <v>0</v>
      </c>
      <c r="G778" s="126">
        <f t="shared" si="20"/>
        <v>0</v>
      </c>
      <c r="H778" s="126" t="s">
        <v>80</v>
      </c>
    </row>
    <row r="779" spans="1:8">
      <c r="A779" s="126" t="s">
        <v>425</v>
      </c>
      <c r="B779" s="126">
        <v>-0.01</v>
      </c>
      <c r="C779" s="126">
        <v>50598</v>
      </c>
      <c r="D779" s="126">
        <v>50598</v>
      </c>
      <c r="E779" s="126">
        <v>-0.01</v>
      </c>
      <c r="G779" s="126">
        <f t="shared" si="20"/>
        <v>-0.01</v>
      </c>
      <c r="H779" s="126" t="s">
        <v>80</v>
      </c>
    </row>
    <row r="780" spans="1:8">
      <c r="A780" s="126" t="s">
        <v>798</v>
      </c>
      <c r="B780" s="126">
        <v>780</v>
      </c>
      <c r="C780" s="126">
        <v>0</v>
      </c>
      <c r="D780" s="126">
        <v>0</v>
      </c>
      <c r="E780" s="126">
        <v>780</v>
      </c>
      <c r="G780" s="126">
        <f t="shared" si="20"/>
        <v>780</v>
      </c>
      <c r="H780" s="126" t="s">
        <v>80</v>
      </c>
    </row>
    <row r="781" spans="1:8">
      <c r="A781" s="126" t="s">
        <v>1469</v>
      </c>
      <c r="B781" s="126">
        <v>0</v>
      </c>
      <c r="C781" s="126">
        <v>15340</v>
      </c>
      <c r="D781" s="126">
        <v>0</v>
      </c>
      <c r="E781" s="126">
        <v>15340</v>
      </c>
      <c r="G781" s="126">
        <f t="shared" si="20"/>
        <v>15340</v>
      </c>
      <c r="H781" s="126" t="s">
        <v>80</v>
      </c>
    </row>
    <row r="782" spans="1:8">
      <c r="A782" s="126" t="s">
        <v>799</v>
      </c>
      <c r="B782" s="126">
        <v>-5283</v>
      </c>
      <c r="C782" s="126">
        <v>0</v>
      </c>
      <c r="D782" s="126">
        <v>6656</v>
      </c>
      <c r="E782" s="126">
        <v>-11939</v>
      </c>
      <c r="G782" s="126">
        <f t="shared" si="20"/>
        <v>-11939</v>
      </c>
      <c r="H782" s="126" t="s">
        <v>80</v>
      </c>
    </row>
    <row r="783" spans="1:8">
      <c r="A783" s="126" t="s">
        <v>800</v>
      </c>
      <c r="B783" s="126">
        <v>0.03</v>
      </c>
      <c r="C783" s="126">
        <v>0</v>
      </c>
      <c r="D783" s="126">
        <v>0</v>
      </c>
      <c r="E783" s="126">
        <v>0.03</v>
      </c>
      <c r="G783" s="126">
        <f t="shared" si="20"/>
        <v>0.03</v>
      </c>
      <c r="H783" s="126" t="s">
        <v>80</v>
      </c>
    </row>
    <row r="784" spans="1:8">
      <c r="A784" s="126" t="s">
        <v>153</v>
      </c>
      <c r="B784" s="126">
        <v>-33075.040000000001</v>
      </c>
      <c r="C784" s="126">
        <v>89329</v>
      </c>
      <c r="D784" s="126">
        <v>187796</v>
      </c>
      <c r="E784" s="126">
        <v>-131542.04</v>
      </c>
      <c r="G784" s="126">
        <f t="shared" si="20"/>
        <v>-131542.04</v>
      </c>
      <c r="H784" s="126" t="s">
        <v>80</v>
      </c>
    </row>
    <row r="785" spans="1:8">
      <c r="A785" s="126" t="s">
        <v>152</v>
      </c>
      <c r="B785" s="126">
        <v>-1156</v>
      </c>
      <c r="C785" s="126">
        <v>1156</v>
      </c>
      <c r="D785" s="126">
        <v>0</v>
      </c>
      <c r="E785" s="126">
        <v>0</v>
      </c>
      <c r="G785" s="126">
        <f t="shared" si="20"/>
        <v>0</v>
      </c>
      <c r="H785" s="126" t="s">
        <v>80</v>
      </c>
    </row>
    <row r="786" spans="1:8">
      <c r="A786" s="126" t="s">
        <v>474</v>
      </c>
      <c r="B786" s="126">
        <v>-1510</v>
      </c>
      <c r="C786" s="126">
        <v>1510</v>
      </c>
      <c r="D786" s="126">
        <v>0</v>
      </c>
      <c r="E786" s="126">
        <v>0</v>
      </c>
      <c r="G786" s="126">
        <f t="shared" si="20"/>
        <v>0</v>
      </c>
      <c r="H786" s="126" t="s">
        <v>80</v>
      </c>
    </row>
    <row r="787" spans="1:8">
      <c r="A787" s="126" t="s">
        <v>1237</v>
      </c>
      <c r="B787" s="126">
        <v>0</v>
      </c>
      <c r="C787" s="126">
        <v>0</v>
      </c>
      <c r="D787" s="126">
        <v>0</v>
      </c>
      <c r="E787" s="126">
        <v>0</v>
      </c>
      <c r="G787" s="126">
        <f t="shared" si="20"/>
        <v>0</v>
      </c>
      <c r="H787" s="126" t="s">
        <v>80</v>
      </c>
    </row>
    <row r="788" spans="1:8">
      <c r="A788" s="126" t="s">
        <v>511</v>
      </c>
      <c r="B788" s="126">
        <v>-84830</v>
      </c>
      <c r="C788" s="126">
        <v>164676</v>
      </c>
      <c r="D788" s="126">
        <v>119771</v>
      </c>
      <c r="E788" s="126">
        <v>-39925</v>
      </c>
      <c r="G788" s="126">
        <f t="shared" si="20"/>
        <v>-39925</v>
      </c>
      <c r="H788" s="126" t="s">
        <v>80</v>
      </c>
    </row>
    <row r="789" spans="1:8">
      <c r="A789" s="126" t="s">
        <v>1238</v>
      </c>
      <c r="B789" s="126">
        <v>0</v>
      </c>
      <c r="C789" s="126">
        <v>47200</v>
      </c>
      <c r="D789" s="126">
        <v>47200</v>
      </c>
      <c r="E789" s="126">
        <v>0</v>
      </c>
      <c r="G789" s="126">
        <f t="shared" si="20"/>
        <v>0</v>
      </c>
      <c r="H789" s="126" t="s">
        <v>80</v>
      </c>
    </row>
    <row r="790" spans="1:8">
      <c r="A790" s="126" t="s">
        <v>1239</v>
      </c>
      <c r="B790" s="126">
        <v>0</v>
      </c>
      <c r="C790" s="126">
        <v>27848</v>
      </c>
      <c r="D790" s="126">
        <v>27848</v>
      </c>
      <c r="E790" s="126">
        <v>0</v>
      </c>
      <c r="G790" s="126">
        <f t="shared" si="20"/>
        <v>0</v>
      </c>
      <c r="H790" s="126" t="s">
        <v>80</v>
      </c>
    </row>
    <row r="791" spans="1:8">
      <c r="A791" s="126" t="s">
        <v>801</v>
      </c>
      <c r="B791" s="126">
        <v>0.08</v>
      </c>
      <c r="C791" s="126">
        <v>0</v>
      </c>
      <c r="D791" s="126">
        <v>0</v>
      </c>
      <c r="E791" s="126">
        <v>0.08</v>
      </c>
      <c r="G791" s="126">
        <f t="shared" si="20"/>
        <v>0.08</v>
      </c>
      <c r="H791" s="126" t="s">
        <v>80</v>
      </c>
    </row>
    <row r="792" spans="1:8">
      <c r="A792" s="126" t="s">
        <v>802</v>
      </c>
      <c r="B792" s="126">
        <v>-45900</v>
      </c>
      <c r="C792" s="126">
        <v>0</v>
      </c>
      <c r="D792" s="126">
        <v>0</v>
      </c>
      <c r="E792" s="126">
        <v>-45900</v>
      </c>
      <c r="G792" s="126">
        <f t="shared" si="20"/>
        <v>-45900</v>
      </c>
      <c r="H792" s="126" t="s">
        <v>80</v>
      </c>
    </row>
    <row r="793" spans="1:8">
      <c r="A793" s="126" t="s">
        <v>803</v>
      </c>
      <c r="B793" s="126">
        <v>0</v>
      </c>
      <c r="C793" s="126">
        <v>8850</v>
      </c>
      <c r="D793" s="126">
        <v>0</v>
      </c>
      <c r="E793" s="126">
        <v>8850</v>
      </c>
      <c r="G793" s="126">
        <f t="shared" si="20"/>
        <v>8850</v>
      </c>
      <c r="H793" s="126" t="s">
        <v>80</v>
      </c>
    </row>
    <row r="794" spans="1:8">
      <c r="A794" s="126" t="s">
        <v>1241</v>
      </c>
      <c r="B794" s="126">
        <v>0</v>
      </c>
      <c r="C794" s="126">
        <v>0</v>
      </c>
      <c r="D794" s="126">
        <v>0</v>
      </c>
      <c r="E794" s="126">
        <v>0</v>
      </c>
      <c r="G794" s="126">
        <f t="shared" si="20"/>
        <v>0</v>
      </c>
      <c r="H794" s="126" t="s">
        <v>80</v>
      </c>
    </row>
    <row r="795" spans="1:8">
      <c r="A795" s="126" t="s">
        <v>804</v>
      </c>
      <c r="B795" s="126">
        <v>0</v>
      </c>
      <c r="C795" s="126">
        <v>32120</v>
      </c>
      <c r="D795" s="126">
        <v>23600</v>
      </c>
      <c r="E795" s="126">
        <v>8520</v>
      </c>
      <c r="G795" s="126">
        <f t="shared" si="20"/>
        <v>8520</v>
      </c>
      <c r="H795" s="126" t="s">
        <v>80</v>
      </c>
    </row>
    <row r="796" spans="1:8">
      <c r="A796" s="126" t="s">
        <v>805</v>
      </c>
      <c r="B796" s="126">
        <v>-1374524.97</v>
      </c>
      <c r="C796" s="126">
        <v>4530484</v>
      </c>
      <c r="D796" s="126">
        <v>3014621.94</v>
      </c>
      <c r="E796" s="126">
        <v>141337.09</v>
      </c>
      <c r="G796" s="126">
        <f t="shared" si="20"/>
        <v>141337.09</v>
      </c>
      <c r="H796" s="126" t="s">
        <v>80</v>
      </c>
    </row>
    <row r="797" spans="1:8">
      <c r="A797" s="126" t="s">
        <v>1470</v>
      </c>
      <c r="B797" s="126">
        <v>0</v>
      </c>
      <c r="C797" s="126">
        <v>0</v>
      </c>
      <c r="D797" s="126">
        <v>69892</v>
      </c>
      <c r="E797" s="126">
        <v>-69892</v>
      </c>
      <c r="G797" s="126">
        <f t="shared" si="20"/>
        <v>-69892</v>
      </c>
      <c r="H797" s="126" t="s">
        <v>80</v>
      </c>
    </row>
    <row r="798" spans="1:8">
      <c r="A798" s="126" t="s">
        <v>806</v>
      </c>
      <c r="B798" s="126">
        <v>-39407.160000000003</v>
      </c>
      <c r="C798" s="126">
        <v>88014</v>
      </c>
      <c r="D798" s="126">
        <v>48607</v>
      </c>
      <c r="E798" s="126">
        <v>-0.16</v>
      </c>
      <c r="G798" s="126">
        <f t="shared" si="20"/>
        <v>-0.16</v>
      </c>
      <c r="H798" s="126" t="s">
        <v>80</v>
      </c>
    </row>
    <row r="799" spans="1:8">
      <c r="A799" s="126" t="s">
        <v>484</v>
      </c>
      <c r="B799" s="126">
        <v>6931.32</v>
      </c>
      <c r="C799" s="126">
        <v>0</v>
      </c>
      <c r="D799" s="126">
        <v>6931</v>
      </c>
      <c r="E799" s="126">
        <v>0.32</v>
      </c>
      <c r="G799" s="126">
        <f t="shared" si="20"/>
        <v>0.32</v>
      </c>
      <c r="H799" s="126" t="s">
        <v>80</v>
      </c>
    </row>
    <row r="800" spans="1:8">
      <c r="A800" s="126" t="s">
        <v>807</v>
      </c>
      <c r="B800" s="126">
        <v>0</v>
      </c>
      <c r="C800" s="126">
        <v>0</v>
      </c>
      <c r="D800" s="126">
        <v>9636358.9199999999</v>
      </c>
      <c r="E800" s="126">
        <v>-9636358.9199999999</v>
      </c>
      <c r="G800" s="126">
        <f t="shared" si="20"/>
        <v>-9636358.9199999999</v>
      </c>
      <c r="H800" s="126" t="s">
        <v>80</v>
      </c>
    </row>
    <row r="801" spans="1:8">
      <c r="A801" s="126" t="s">
        <v>1242</v>
      </c>
      <c r="B801" s="126">
        <v>0</v>
      </c>
      <c r="C801" s="126">
        <v>0</v>
      </c>
      <c r="D801" s="126">
        <v>0</v>
      </c>
      <c r="E801" s="126">
        <v>0</v>
      </c>
      <c r="G801" s="126">
        <f t="shared" si="20"/>
        <v>0</v>
      </c>
      <c r="H801" s="126" t="s">
        <v>80</v>
      </c>
    </row>
    <row r="802" spans="1:8">
      <c r="A802" s="126" t="s">
        <v>1471</v>
      </c>
      <c r="B802" s="126">
        <v>0</v>
      </c>
      <c r="C802" s="126">
        <v>35100</v>
      </c>
      <c r="D802" s="126">
        <v>0</v>
      </c>
      <c r="E802" s="126">
        <v>35100</v>
      </c>
      <c r="G802" s="126">
        <f t="shared" si="20"/>
        <v>35100</v>
      </c>
      <c r="H802" s="126" t="s">
        <v>80</v>
      </c>
    </row>
    <row r="803" spans="1:8">
      <c r="A803" s="126" t="s">
        <v>291</v>
      </c>
      <c r="B803" s="126">
        <v>3064.5</v>
      </c>
      <c r="C803" s="126">
        <v>0</v>
      </c>
      <c r="D803" s="126">
        <v>0</v>
      </c>
      <c r="E803" s="126">
        <v>3064.5</v>
      </c>
      <c r="G803" s="126">
        <f t="shared" si="20"/>
        <v>3064.5</v>
      </c>
      <c r="H803" s="126" t="s">
        <v>80</v>
      </c>
    </row>
    <row r="804" spans="1:8">
      <c r="A804" s="126" t="s">
        <v>808</v>
      </c>
      <c r="B804" s="126">
        <v>108708</v>
      </c>
      <c r="C804" s="126">
        <v>330676.8</v>
      </c>
      <c r="D804" s="126">
        <v>439385</v>
      </c>
      <c r="E804" s="126">
        <v>-0.2</v>
      </c>
      <c r="G804" s="126">
        <f t="shared" si="20"/>
        <v>-0.2</v>
      </c>
      <c r="H804" s="126" t="s">
        <v>80</v>
      </c>
    </row>
    <row r="805" spans="1:8">
      <c r="A805" s="126" t="s">
        <v>809</v>
      </c>
      <c r="B805" s="126">
        <v>5098</v>
      </c>
      <c r="C805" s="126">
        <v>983023</v>
      </c>
      <c r="D805" s="126">
        <v>988081</v>
      </c>
      <c r="E805" s="126">
        <v>40</v>
      </c>
      <c r="G805" s="126">
        <f t="shared" si="20"/>
        <v>40</v>
      </c>
      <c r="H805" s="126" t="s">
        <v>80</v>
      </c>
    </row>
    <row r="806" spans="1:8">
      <c r="A806" s="126" t="s">
        <v>440</v>
      </c>
      <c r="B806" s="126">
        <v>-341383</v>
      </c>
      <c r="C806" s="126">
        <v>9494690.8800000008</v>
      </c>
      <c r="D806" s="126">
        <v>10275381.08</v>
      </c>
      <c r="E806" s="126">
        <v>-1122073.2</v>
      </c>
      <c r="G806" s="126">
        <f t="shared" si="20"/>
        <v>-1122073.2</v>
      </c>
      <c r="H806" s="126" t="s">
        <v>80</v>
      </c>
    </row>
    <row r="807" spans="1:8">
      <c r="A807" s="126" t="s">
        <v>1243</v>
      </c>
      <c r="B807" s="126">
        <v>0</v>
      </c>
      <c r="C807" s="126">
        <v>42200</v>
      </c>
      <c r="D807" s="126">
        <v>47200</v>
      </c>
      <c r="E807" s="126">
        <v>-5000</v>
      </c>
      <c r="G807" s="126">
        <f t="shared" si="20"/>
        <v>-5000</v>
      </c>
      <c r="H807" s="126" t="s">
        <v>80</v>
      </c>
    </row>
    <row r="808" spans="1:8">
      <c r="A808" s="126" t="s">
        <v>810</v>
      </c>
      <c r="B808" s="126">
        <v>-53909</v>
      </c>
      <c r="C808" s="126">
        <v>54359</v>
      </c>
      <c r="D808" s="126">
        <v>26550</v>
      </c>
      <c r="E808" s="126">
        <v>-26100</v>
      </c>
      <c r="G808" s="126">
        <f t="shared" si="20"/>
        <v>-26100</v>
      </c>
      <c r="H808" s="126" t="s">
        <v>80</v>
      </c>
    </row>
    <row r="809" spans="1:8">
      <c r="A809" s="126" t="s">
        <v>1472</v>
      </c>
      <c r="B809" s="126">
        <v>0</v>
      </c>
      <c r="C809" s="126">
        <v>0</v>
      </c>
      <c r="D809" s="126">
        <v>3835</v>
      </c>
      <c r="E809" s="126">
        <v>-3835</v>
      </c>
      <c r="G809" s="126">
        <f t="shared" si="20"/>
        <v>-3835</v>
      </c>
      <c r="H809" s="126" t="s">
        <v>80</v>
      </c>
    </row>
    <row r="810" spans="1:8">
      <c r="A810" s="126" t="s">
        <v>1473</v>
      </c>
      <c r="B810" s="126">
        <v>0</v>
      </c>
      <c r="C810" s="126">
        <v>16216</v>
      </c>
      <c r="D810" s="126">
        <v>16216</v>
      </c>
      <c r="E810" s="126">
        <v>0</v>
      </c>
      <c r="G810" s="126">
        <f t="shared" si="20"/>
        <v>0</v>
      </c>
      <c r="H810" s="126" t="s">
        <v>80</v>
      </c>
    </row>
    <row r="811" spans="1:8">
      <c r="A811" s="126" t="s">
        <v>1474</v>
      </c>
      <c r="B811" s="126">
        <v>0</v>
      </c>
      <c r="C811" s="126">
        <v>44412.5</v>
      </c>
      <c r="D811" s="126">
        <v>8031375</v>
      </c>
      <c r="E811" s="126">
        <v>-7986962.5</v>
      </c>
      <c r="G811" s="126">
        <f t="shared" si="20"/>
        <v>-7986962.5</v>
      </c>
      <c r="H811" s="126" t="s">
        <v>80</v>
      </c>
    </row>
    <row r="812" spans="1:8">
      <c r="A812" s="126" t="s">
        <v>1475</v>
      </c>
      <c r="B812" s="126">
        <v>0</v>
      </c>
      <c r="C812" s="126">
        <v>223200</v>
      </c>
      <c r="D812" s="126">
        <v>0</v>
      </c>
      <c r="E812" s="126">
        <v>223200</v>
      </c>
      <c r="G812" s="126">
        <f t="shared" si="20"/>
        <v>223200</v>
      </c>
      <c r="H812" s="126" t="s">
        <v>80</v>
      </c>
    </row>
    <row r="813" spans="1:8">
      <c r="A813" s="126" t="s">
        <v>811</v>
      </c>
      <c r="B813" s="126">
        <v>0</v>
      </c>
      <c r="C813" s="126">
        <v>575461</v>
      </c>
      <c r="D813" s="126">
        <v>575461</v>
      </c>
      <c r="E813" s="126">
        <v>0</v>
      </c>
      <c r="G813" s="126">
        <f t="shared" si="20"/>
        <v>0</v>
      </c>
      <c r="H813" s="126" t="s">
        <v>80</v>
      </c>
    </row>
    <row r="814" spans="1:8">
      <c r="A814" s="126" t="s">
        <v>812</v>
      </c>
      <c r="B814" s="126">
        <v>-4661</v>
      </c>
      <c r="C814" s="126">
        <v>6785</v>
      </c>
      <c r="D814" s="126">
        <v>5900</v>
      </c>
      <c r="E814" s="126">
        <v>-3776</v>
      </c>
      <c r="G814" s="126">
        <f t="shared" si="20"/>
        <v>-3776</v>
      </c>
      <c r="H814" s="126" t="s">
        <v>80</v>
      </c>
    </row>
    <row r="815" spans="1:8">
      <c r="A815" s="126" t="s">
        <v>404</v>
      </c>
      <c r="B815" s="126">
        <v>-6072774.5499999998</v>
      </c>
      <c r="C815" s="126">
        <v>11535113.23</v>
      </c>
      <c r="D815" s="126">
        <v>5462338.6799999997</v>
      </c>
      <c r="E815" s="126">
        <v>0</v>
      </c>
      <c r="G815" s="126">
        <f t="shared" si="20"/>
        <v>0</v>
      </c>
      <c r="H815" s="126" t="s">
        <v>80</v>
      </c>
    </row>
    <row r="816" spans="1:8">
      <c r="A816" s="126" t="s">
        <v>390</v>
      </c>
      <c r="B816" s="126">
        <v>-1270766</v>
      </c>
      <c r="C816" s="126">
        <v>1463586</v>
      </c>
      <c r="D816" s="126">
        <v>256360</v>
      </c>
      <c r="E816" s="126">
        <v>-63540</v>
      </c>
      <c r="G816" s="126">
        <f t="shared" si="20"/>
        <v>-63540</v>
      </c>
      <c r="H816" s="126" t="s">
        <v>80</v>
      </c>
    </row>
    <row r="817" spans="1:8">
      <c r="A817" s="126" t="s">
        <v>1245</v>
      </c>
      <c r="B817" s="126">
        <v>0</v>
      </c>
      <c r="C817" s="126">
        <v>0</v>
      </c>
      <c r="D817" s="126">
        <v>4720</v>
      </c>
      <c r="E817" s="126">
        <v>-4720</v>
      </c>
      <c r="G817" s="126">
        <f t="shared" si="20"/>
        <v>-4720</v>
      </c>
      <c r="H817" s="126" t="s">
        <v>80</v>
      </c>
    </row>
    <row r="818" spans="1:8">
      <c r="A818" s="126" t="s">
        <v>269</v>
      </c>
      <c r="B818" s="126">
        <v>-74490.36</v>
      </c>
      <c r="C818" s="126">
        <v>1112</v>
      </c>
      <c r="D818" s="126">
        <v>63045</v>
      </c>
      <c r="E818" s="126">
        <v>-136423.35999999999</v>
      </c>
      <c r="G818" s="126">
        <f t="shared" si="20"/>
        <v>-136423.35999999999</v>
      </c>
      <c r="H818" s="126" t="s">
        <v>80</v>
      </c>
    </row>
    <row r="819" spans="1:8">
      <c r="A819" s="126" t="s">
        <v>813</v>
      </c>
      <c r="B819" s="126">
        <v>0</v>
      </c>
      <c r="C819" s="126">
        <v>10244</v>
      </c>
      <c r="D819" s="126">
        <v>10244</v>
      </c>
      <c r="E819" s="126">
        <v>0</v>
      </c>
      <c r="G819" s="126">
        <f t="shared" si="20"/>
        <v>0</v>
      </c>
      <c r="H819" s="126" t="s">
        <v>80</v>
      </c>
    </row>
    <row r="820" spans="1:8">
      <c r="A820" s="126" t="s">
        <v>1246</v>
      </c>
      <c r="B820" s="126">
        <v>0</v>
      </c>
      <c r="C820" s="126">
        <v>0</v>
      </c>
      <c r="D820" s="126">
        <v>5607</v>
      </c>
      <c r="E820" s="126">
        <v>-5607</v>
      </c>
      <c r="G820" s="126">
        <f t="shared" si="20"/>
        <v>-5607</v>
      </c>
      <c r="H820" s="126" t="s">
        <v>80</v>
      </c>
    </row>
    <row r="821" spans="1:8">
      <c r="A821" s="126" t="s">
        <v>1247</v>
      </c>
      <c r="B821" s="126">
        <v>0</v>
      </c>
      <c r="C821" s="126">
        <v>29500</v>
      </c>
      <c r="D821" s="126">
        <v>29500</v>
      </c>
      <c r="E821" s="126">
        <v>0</v>
      </c>
      <c r="G821" s="126">
        <f t="shared" si="20"/>
        <v>0</v>
      </c>
      <c r="H821" s="126" t="s">
        <v>80</v>
      </c>
    </row>
    <row r="822" spans="1:8">
      <c r="A822" s="126" t="s">
        <v>814</v>
      </c>
      <c r="B822" s="126">
        <v>-258278</v>
      </c>
      <c r="C822" s="126">
        <v>258278</v>
      </c>
      <c r="D822" s="126">
        <v>0</v>
      </c>
      <c r="E822" s="126">
        <v>0</v>
      </c>
      <c r="G822" s="126">
        <f t="shared" si="20"/>
        <v>0</v>
      </c>
      <c r="H822" s="126" t="s">
        <v>80</v>
      </c>
    </row>
    <row r="823" spans="1:8">
      <c r="A823" s="126" t="s">
        <v>815</v>
      </c>
      <c r="B823" s="126">
        <v>579</v>
      </c>
      <c r="C823" s="126">
        <v>67424</v>
      </c>
      <c r="D823" s="126">
        <v>68003</v>
      </c>
      <c r="E823" s="126">
        <v>0</v>
      </c>
      <c r="G823" s="126">
        <f t="shared" si="20"/>
        <v>0</v>
      </c>
      <c r="H823" s="126" t="s">
        <v>80</v>
      </c>
    </row>
    <row r="824" spans="1:8">
      <c r="A824" s="126" t="s">
        <v>1046</v>
      </c>
      <c r="B824" s="126">
        <v>0</v>
      </c>
      <c r="C824" s="126">
        <v>38440</v>
      </c>
      <c r="D824" s="126">
        <v>59180</v>
      </c>
      <c r="E824" s="126">
        <v>-20740</v>
      </c>
      <c r="G824" s="126">
        <f t="shared" si="20"/>
        <v>-20740</v>
      </c>
      <c r="H824" s="126" t="s">
        <v>80</v>
      </c>
    </row>
    <row r="825" spans="1:8">
      <c r="A825" s="126" t="s">
        <v>816</v>
      </c>
      <c r="B825" s="126">
        <v>-283452</v>
      </c>
      <c r="C825" s="126">
        <v>880991</v>
      </c>
      <c r="D825" s="126">
        <v>597539</v>
      </c>
      <c r="E825" s="126">
        <v>0</v>
      </c>
      <c r="G825" s="126">
        <f t="shared" si="20"/>
        <v>0</v>
      </c>
      <c r="H825" s="126" t="s">
        <v>80</v>
      </c>
    </row>
    <row r="826" spans="1:8">
      <c r="A826" s="126" t="s">
        <v>817</v>
      </c>
      <c r="B826" s="126">
        <v>2601937</v>
      </c>
      <c r="C826" s="126">
        <v>0</v>
      </c>
      <c r="D826" s="126">
        <v>0</v>
      </c>
      <c r="E826" s="126">
        <v>2601937</v>
      </c>
      <c r="G826" s="126">
        <f t="shared" si="20"/>
        <v>2601937</v>
      </c>
      <c r="H826" s="126" t="s">
        <v>80</v>
      </c>
    </row>
    <row r="827" spans="1:8">
      <c r="A827" s="126" t="s">
        <v>1250</v>
      </c>
      <c r="B827" s="126">
        <v>0</v>
      </c>
      <c r="C827" s="126">
        <v>146000.22</v>
      </c>
      <c r="D827" s="126">
        <v>146000</v>
      </c>
      <c r="E827" s="126">
        <v>0.22</v>
      </c>
      <c r="G827" s="126">
        <f t="shared" si="20"/>
        <v>0.22</v>
      </c>
      <c r="H827" s="126" t="s">
        <v>80</v>
      </c>
    </row>
    <row r="828" spans="1:8">
      <c r="A828" s="126" t="s">
        <v>818</v>
      </c>
      <c r="B828" s="126">
        <v>5500</v>
      </c>
      <c r="C828" s="126">
        <v>0</v>
      </c>
      <c r="D828" s="126">
        <v>0</v>
      </c>
      <c r="E828" s="126">
        <v>5500</v>
      </c>
      <c r="G828" s="126">
        <f t="shared" si="20"/>
        <v>5500</v>
      </c>
      <c r="H828" s="126" t="s">
        <v>80</v>
      </c>
    </row>
    <row r="829" spans="1:8">
      <c r="A829" s="126" t="s">
        <v>819</v>
      </c>
      <c r="B829" s="126">
        <v>1768</v>
      </c>
      <c r="C829" s="126">
        <v>4137</v>
      </c>
      <c r="D829" s="126">
        <v>0</v>
      </c>
      <c r="E829" s="126">
        <v>5905</v>
      </c>
      <c r="G829" s="126">
        <f t="shared" si="20"/>
        <v>5905</v>
      </c>
      <c r="H829" s="126" t="s">
        <v>80</v>
      </c>
    </row>
    <row r="830" spans="1:8">
      <c r="A830" s="126" t="s">
        <v>820</v>
      </c>
      <c r="B830" s="126">
        <v>-40657.5</v>
      </c>
      <c r="C830" s="126">
        <v>40657.5</v>
      </c>
      <c r="D830" s="126">
        <v>0</v>
      </c>
      <c r="E830" s="126">
        <v>0</v>
      </c>
      <c r="G830" s="126">
        <f t="shared" si="20"/>
        <v>0</v>
      </c>
      <c r="H830" s="126" t="s">
        <v>80</v>
      </c>
    </row>
    <row r="831" spans="1:8">
      <c r="A831" s="126" t="s">
        <v>435</v>
      </c>
      <c r="B831" s="126">
        <v>0</v>
      </c>
      <c r="C831" s="126">
        <v>14278</v>
      </c>
      <c r="D831" s="126">
        <v>14278</v>
      </c>
      <c r="E831" s="126">
        <v>0</v>
      </c>
      <c r="G831" s="126">
        <f t="shared" si="20"/>
        <v>0</v>
      </c>
      <c r="H831" s="126" t="s">
        <v>80</v>
      </c>
    </row>
    <row r="832" spans="1:8">
      <c r="A832" s="126" t="s">
        <v>821</v>
      </c>
      <c r="B832" s="126">
        <v>0</v>
      </c>
      <c r="C832" s="126">
        <v>916092</v>
      </c>
      <c r="D832" s="126">
        <v>1664162</v>
      </c>
      <c r="E832" s="126">
        <v>-748070</v>
      </c>
      <c r="G832" s="126">
        <f t="shared" si="20"/>
        <v>-748070</v>
      </c>
      <c r="H832" s="126" t="s">
        <v>80</v>
      </c>
    </row>
    <row r="833" spans="1:8">
      <c r="A833" s="126" t="s">
        <v>1251</v>
      </c>
      <c r="B833" s="126">
        <v>0</v>
      </c>
      <c r="C833" s="126">
        <v>40352</v>
      </c>
      <c r="D833" s="126">
        <v>40352</v>
      </c>
      <c r="E833" s="126">
        <v>0</v>
      </c>
      <c r="G833" s="126">
        <f t="shared" si="20"/>
        <v>0</v>
      </c>
      <c r="H833" s="126" t="s">
        <v>80</v>
      </c>
    </row>
    <row r="834" spans="1:8">
      <c r="A834" s="126" t="s">
        <v>260</v>
      </c>
      <c r="B834" s="126">
        <v>-62205</v>
      </c>
      <c r="C834" s="126">
        <v>8638</v>
      </c>
      <c r="D834" s="126">
        <v>30621</v>
      </c>
      <c r="E834" s="126">
        <v>-84188</v>
      </c>
      <c r="G834" s="126">
        <f t="shared" si="20"/>
        <v>-84188</v>
      </c>
      <c r="H834" s="126" t="s">
        <v>80</v>
      </c>
    </row>
    <row r="835" spans="1:8">
      <c r="A835" s="126" t="s">
        <v>1252</v>
      </c>
      <c r="B835" s="126">
        <v>0</v>
      </c>
      <c r="C835" s="126">
        <v>0</v>
      </c>
      <c r="D835" s="126">
        <v>0</v>
      </c>
      <c r="E835" s="126">
        <v>0</v>
      </c>
      <c r="G835" s="126">
        <f t="shared" ref="G835:G898" si="21">E835+F835</f>
        <v>0</v>
      </c>
      <c r="H835" s="126" t="s">
        <v>80</v>
      </c>
    </row>
    <row r="836" spans="1:8">
      <c r="A836" s="126" t="s">
        <v>822</v>
      </c>
      <c r="B836" s="126">
        <v>5900</v>
      </c>
      <c r="C836" s="126">
        <v>0</v>
      </c>
      <c r="D836" s="126">
        <v>0</v>
      </c>
      <c r="E836" s="126">
        <v>5900</v>
      </c>
      <c r="G836" s="126">
        <f t="shared" si="21"/>
        <v>5900</v>
      </c>
      <c r="H836" s="126" t="s">
        <v>80</v>
      </c>
    </row>
    <row r="837" spans="1:8">
      <c r="A837" s="126" t="s">
        <v>1477</v>
      </c>
      <c r="B837" s="126">
        <v>0</v>
      </c>
      <c r="C837" s="126">
        <v>0</v>
      </c>
      <c r="D837" s="126">
        <v>3742</v>
      </c>
      <c r="E837" s="126">
        <v>-3742</v>
      </c>
      <c r="G837" s="126">
        <f t="shared" si="21"/>
        <v>-3742</v>
      </c>
      <c r="H837" s="126" t="s">
        <v>80</v>
      </c>
    </row>
    <row r="838" spans="1:8">
      <c r="A838" s="126" t="s">
        <v>1253</v>
      </c>
      <c r="B838" s="126">
        <v>0</v>
      </c>
      <c r="C838" s="126">
        <v>0</v>
      </c>
      <c r="D838" s="126">
        <v>0</v>
      </c>
      <c r="E838" s="126">
        <v>0</v>
      </c>
      <c r="G838" s="126">
        <f t="shared" si="21"/>
        <v>0</v>
      </c>
      <c r="H838" s="126" t="s">
        <v>80</v>
      </c>
    </row>
    <row r="839" spans="1:8">
      <c r="A839" s="126" t="s">
        <v>823</v>
      </c>
      <c r="B839" s="126">
        <v>9238234</v>
      </c>
      <c r="C839" s="126">
        <v>47412866</v>
      </c>
      <c r="D839" s="126">
        <v>68607000</v>
      </c>
      <c r="E839" s="126">
        <v>-11955900</v>
      </c>
      <c r="G839" s="126">
        <f t="shared" si="21"/>
        <v>-11955900</v>
      </c>
      <c r="H839" s="126" t="s">
        <v>80</v>
      </c>
    </row>
    <row r="840" spans="1:8">
      <c r="A840" s="126" t="s">
        <v>824</v>
      </c>
      <c r="B840" s="126">
        <v>-0.2</v>
      </c>
      <c r="C840" s="126">
        <v>16620</v>
      </c>
      <c r="D840" s="126">
        <v>16620</v>
      </c>
      <c r="E840" s="126">
        <v>-0.2</v>
      </c>
      <c r="G840" s="126">
        <f t="shared" si="21"/>
        <v>-0.2</v>
      </c>
      <c r="H840" s="126" t="s">
        <v>80</v>
      </c>
    </row>
    <row r="841" spans="1:8">
      <c r="A841" s="126" t="s">
        <v>825</v>
      </c>
      <c r="B841" s="126">
        <v>0</v>
      </c>
      <c r="C841" s="126">
        <v>119416</v>
      </c>
      <c r="D841" s="126">
        <v>119416</v>
      </c>
      <c r="E841" s="126">
        <v>0</v>
      </c>
      <c r="G841" s="126">
        <f t="shared" si="21"/>
        <v>0</v>
      </c>
      <c r="H841" s="126" t="s">
        <v>80</v>
      </c>
    </row>
    <row r="842" spans="1:8">
      <c r="A842" s="126" t="s">
        <v>1254</v>
      </c>
      <c r="B842" s="126">
        <v>0</v>
      </c>
      <c r="C842" s="126">
        <v>0</v>
      </c>
      <c r="D842" s="126">
        <v>137398</v>
      </c>
      <c r="E842" s="126">
        <v>-137398</v>
      </c>
      <c r="G842" s="126">
        <f t="shared" si="21"/>
        <v>-137398</v>
      </c>
      <c r="H842" s="126" t="s">
        <v>80</v>
      </c>
    </row>
    <row r="843" spans="1:8">
      <c r="A843" s="126" t="s">
        <v>1478</v>
      </c>
      <c r="B843" s="126">
        <v>0</v>
      </c>
      <c r="C843" s="126">
        <v>0</v>
      </c>
      <c r="D843" s="126">
        <v>6490</v>
      </c>
      <c r="E843" s="126">
        <v>-6490</v>
      </c>
      <c r="G843" s="126">
        <f t="shared" si="21"/>
        <v>-6490</v>
      </c>
      <c r="H843" s="126" t="s">
        <v>80</v>
      </c>
    </row>
    <row r="844" spans="1:8">
      <c r="A844" s="126" t="s">
        <v>826</v>
      </c>
      <c r="B844" s="126">
        <v>-64110</v>
      </c>
      <c r="C844" s="126">
        <v>210559</v>
      </c>
      <c r="D844" s="126">
        <v>157353</v>
      </c>
      <c r="E844" s="126">
        <v>-10904</v>
      </c>
      <c r="G844" s="126">
        <f t="shared" si="21"/>
        <v>-10904</v>
      </c>
      <c r="H844" s="126" t="s">
        <v>80</v>
      </c>
    </row>
    <row r="845" spans="1:8">
      <c r="A845" s="126" t="s">
        <v>249</v>
      </c>
      <c r="B845" s="126">
        <v>42147955.299999997</v>
      </c>
      <c r="C845" s="126">
        <v>0</v>
      </c>
      <c r="D845" s="126">
        <v>28623054.600000001</v>
      </c>
      <c r="E845" s="126">
        <v>13524900.699999999</v>
      </c>
      <c r="G845" s="126">
        <f t="shared" si="21"/>
        <v>13524900.699999999</v>
      </c>
      <c r="H845" s="126" t="s">
        <v>80</v>
      </c>
    </row>
    <row r="846" spans="1:8">
      <c r="A846" s="126" t="s">
        <v>248</v>
      </c>
      <c r="B846" s="126">
        <v>1092151.3400000001</v>
      </c>
      <c r="C846" s="126">
        <v>205812.8</v>
      </c>
      <c r="D846" s="126">
        <v>36026876.75</v>
      </c>
      <c r="E846" s="126">
        <v>-34728912.609999999</v>
      </c>
      <c r="G846" s="126">
        <f t="shared" si="21"/>
        <v>-34728912.609999999</v>
      </c>
      <c r="H846" s="126" t="s">
        <v>80</v>
      </c>
    </row>
    <row r="847" spans="1:8">
      <c r="A847" s="126" t="s">
        <v>439</v>
      </c>
      <c r="B847" s="126">
        <v>-4548</v>
      </c>
      <c r="C847" s="126">
        <v>84133</v>
      </c>
      <c r="D847" s="126">
        <v>84134</v>
      </c>
      <c r="E847" s="126">
        <v>-4549</v>
      </c>
      <c r="G847" s="126">
        <f t="shared" si="21"/>
        <v>-4549</v>
      </c>
      <c r="H847" s="126" t="s">
        <v>80</v>
      </c>
    </row>
    <row r="848" spans="1:8">
      <c r="A848" s="126" t="s">
        <v>1255</v>
      </c>
      <c r="B848" s="126">
        <v>0</v>
      </c>
      <c r="C848" s="126">
        <v>3957932</v>
      </c>
      <c r="D848" s="126">
        <v>4139440</v>
      </c>
      <c r="E848" s="126">
        <v>-181508</v>
      </c>
      <c r="G848" s="126">
        <f t="shared" si="21"/>
        <v>-181508</v>
      </c>
      <c r="H848" s="126" t="s">
        <v>80</v>
      </c>
    </row>
    <row r="849" spans="1:8">
      <c r="A849" s="126" t="s">
        <v>1417</v>
      </c>
      <c r="B849" s="126">
        <v>0</v>
      </c>
      <c r="C849" s="126">
        <v>0</v>
      </c>
      <c r="D849" s="126">
        <v>0</v>
      </c>
      <c r="E849" s="126">
        <v>0</v>
      </c>
      <c r="G849" s="126">
        <f t="shared" si="21"/>
        <v>0</v>
      </c>
      <c r="H849" s="126" t="s">
        <v>80</v>
      </c>
    </row>
    <row r="850" spans="1:8">
      <c r="A850" s="126" t="s">
        <v>1256</v>
      </c>
      <c r="B850" s="126">
        <v>0</v>
      </c>
      <c r="C850" s="126">
        <v>0</v>
      </c>
      <c r="D850" s="126">
        <v>0</v>
      </c>
      <c r="E850" s="126">
        <v>0</v>
      </c>
      <c r="G850" s="126">
        <f t="shared" si="21"/>
        <v>0</v>
      </c>
      <c r="H850" s="126" t="s">
        <v>80</v>
      </c>
    </row>
    <row r="851" spans="1:8">
      <c r="A851" s="126" t="s">
        <v>244</v>
      </c>
      <c r="B851" s="126">
        <v>11258</v>
      </c>
      <c r="C851" s="126">
        <v>133010</v>
      </c>
      <c r="D851" s="126">
        <v>0</v>
      </c>
      <c r="E851" s="126">
        <v>144268</v>
      </c>
      <c r="G851" s="126">
        <f t="shared" si="21"/>
        <v>144268</v>
      </c>
      <c r="H851" s="126" t="s">
        <v>80</v>
      </c>
    </row>
    <row r="852" spans="1:8">
      <c r="A852" s="126" t="s">
        <v>245</v>
      </c>
      <c r="B852" s="126">
        <v>-203061.43</v>
      </c>
      <c r="C852" s="126">
        <v>673461</v>
      </c>
      <c r="D852" s="126">
        <v>592335</v>
      </c>
      <c r="E852" s="126">
        <v>-121935.43</v>
      </c>
      <c r="G852" s="126">
        <f t="shared" si="21"/>
        <v>-121935.43</v>
      </c>
      <c r="H852" s="126" t="s">
        <v>80</v>
      </c>
    </row>
    <row r="853" spans="1:8">
      <c r="A853" s="126" t="s">
        <v>456</v>
      </c>
      <c r="B853" s="126">
        <v>-0.4</v>
      </c>
      <c r="C853" s="126">
        <v>0</v>
      </c>
      <c r="D853" s="126">
        <v>0</v>
      </c>
      <c r="E853" s="126">
        <v>-0.4</v>
      </c>
      <c r="G853" s="126">
        <f t="shared" si="21"/>
        <v>-0.4</v>
      </c>
      <c r="H853" s="126" t="s">
        <v>80</v>
      </c>
    </row>
    <row r="854" spans="1:8">
      <c r="A854" s="126" t="s">
        <v>408</v>
      </c>
      <c r="B854" s="126">
        <v>-46545.14</v>
      </c>
      <c r="C854" s="126">
        <v>47293</v>
      </c>
      <c r="D854" s="126">
        <v>44132</v>
      </c>
      <c r="E854" s="126">
        <v>-43384.14</v>
      </c>
      <c r="G854" s="126">
        <f t="shared" si="21"/>
        <v>-43384.14</v>
      </c>
      <c r="H854" s="126" t="s">
        <v>80</v>
      </c>
    </row>
    <row r="855" spans="1:8">
      <c r="A855" s="126" t="s">
        <v>827</v>
      </c>
      <c r="B855" s="126">
        <v>548427.9</v>
      </c>
      <c r="C855" s="126">
        <v>0</v>
      </c>
      <c r="D855" s="126">
        <v>0</v>
      </c>
      <c r="E855" s="126">
        <v>548427.9</v>
      </c>
      <c r="G855" s="126">
        <f t="shared" si="21"/>
        <v>548427.9</v>
      </c>
      <c r="H855" s="126" t="s">
        <v>80</v>
      </c>
    </row>
    <row r="856" spans="1:8">
      <c r="A856" s="126" t="s">
        <v>1479</v>
      </c>
      <c r="B856" s="126">
        <v>0</v>
      </c>
      <c r="C856" s="126">
        <v>9440</v>
      </c>
      <c r="D856" s="126">
        <v>0</v>
      </c>
      <c r="E856" s="126">
        <v>9440</v>
      </c>
      <c r="G856" s="126">
        <f t="shared" si="21"/>
        <v>9440</v>
      </c>
      <c r="H856" s="126" t="s">
        <v>80</v>
      </c>
    </row>
    <row r="857" spans="1:8">
      <c r="A857" s="126" t="s">
        <v>473</v>
      </c>
      <c r="B857" s="126">
        <v>-3500</v>
      </c>
      <c r="C857" s="126">
        <v>4816</v>
      </c>
      <c r="D857" s="126">
        <v>92596</v>
      </c>
      <c r="E857" s="126">
        <v>-91280</v>
      </c>
      <c r="G857" s="126">
        <f t="shared" si="21"/>
        <v>-91280</v>
      </c>
      <c r="H857" s="126" t="s">
        <v>80</v>
      </c>
    </row>
    <row r="858" spans="1:8">
      <c r="A858" s="126" t="s">
        <v>1480</v>
      </c>
      <c r="B858" s="126">
        <v>0</v>
      </c>
      <c r="C858" s="126">
        <v>14250</v>
      </c>
      <c r="D858" s="126">
        <v>0</v>
      </c>
      <c r="E858" s="126">
        <v>14250</v>
      </c>
      <c r="G858" s="126">
        <f t="shared" si="21"/>
        <v>14250</v>
      </c>
      <c r="H858" s="126" t="s">
        <v>80</v>
      </c>
    </row>
    <row r="859" spans="1:8">
      <c r="A859" s="126" t="s">
        <v>1257</v>
      </c>
      <c r="B859" s="126">
        <v>0</v>
      </c>
      <c r="C859" s="126">
        <v>0</v>
      </c>
      <c r="D859" s="126">
        <v>0</v>
      </c>
      <c r="E859" s="126">
        <v>0</v>
      </c>
      <c r="G859" s="126">
        <f t="shared" si="21"/>
        <v>0</v>
      </c>
      <c r="H859" s="126" t="s">
        <v>80</v>
      </c>
    </row>
    <row r="860" spans="1:8">
      <c r="A860" s="126" t="s">
        <v>241</v>
      </c>
      <c r="B860" s="126">
        <v>-311880</v>
      </c>
      <c r="C860" s="126">
        <v>0</v>
      </c>
      <c r="D860" s="126">
        <v>0</v>
      </c>
      <c r="E860" s="126">
        <v>-311880</v>
      </c>
      <c r="G860" s="126">
        <f t="shared" si="21"/>
        <v>-311880</v>
      </c>
      <c r="H860" s="126" t="s">
        <v>80</v>
      </c>
    </row>
    <row r="861" spans="1:8">
      <c r="A861" s="126" t="s">
        <v>828</v>
      </c>
      <c r="B861" s="126">
        <v>44975</v>
      </c>
      <c r="C861" s="126">
        <v>0</v>
      </c>
      <c r="D861" s="126">
        <v>0</v>
      </c>
      <c r="E861" s="126">
        <v>44975</v>
      </c>
      <c r="G861" s="126">
        <f t="shared" si="21"/>
        <v>44975</v>
      </c>
      <c r="H861" s="126" t="s">
        <v>80</v>
      </c>
    </row>
    <row r="862" spans="1:8">
      <c r="A862" s="126" t="s">
        <v>1258</v>
      </c>
      <c r="B862" s="126">
        <v>0</v>
      </c>
      <c r="C862" s="126">
        <v>0</v>
      </c>
      <c r="D862" s="126">
        <v>0</v>
      </c>
      <c r="E862" s="126">
        <v>0</v>
      </c>
      <c r="G862" s="126">
        <f t="shared" si="21"/>
        <v>0</v>
      </c>
      <c r="H862" s="126" t="s">
        <v>80</v>
      </c>
    </row>
    <row r="863" spans="1:8">
      <c r="A863" s="126" t="s">
        <v>829</v>
      </c>
      <c r="B863" s="126">
        <v>32398</v>
      </c>
      <c r="C863" s="126">
        <v>0</v>
      </c>
      <c r="D863" s="126">
        <v>0</v>
      </c>
      <c r="E863" s="126">
        <v>32398</v>
      </c>
      <c r="G863" s="126">
        <f t="shared" si="21"/>
        <v>32398</v>
      </c>
      <c r="H863" s="126" t="s">
        <v>80</v>
      </c>
    </row>
    <row r="864" spans="1:8">
      <c r="A864" s="126" t="s">
        <v>830</v>
      </c>
      <c r="B864" s="126">
        <v>-1442</v>
      </c>
      <c r="C864" s="126">
        <v>0</v>
      </c>
      <c r="D864" s="126">
        <v>0</v>
      </c>
      <c r="E864" s="126">
        <v>-1442</v>
      </c>
      <c r="G864" s="126">
        <f t="shared" si="21"/>
        <v>-1442</v>
      </c>
      <c r="H864" s="126" t="s">
        <v>80</v>
      </c>
    </row>
    <row r="865" spans="1:8">
      <c r="A865" s="126" t="s">
        <v>1260</v>
      </c>
      <c r="B865" s="126">
        <v>0</v>
      </c>
      <c r="C865" s="126">
        <v>35745</v>
      </c>
      <c r="D865" s="126">
        <v>35745</v>
      </c>
      <c r="E865" s="126">
        <v>0</v>
      </c>
      <c r="G865" s="126">
        <f t="shared" si="21"/>
        <v>0</v>
      </c>
      <c r="H865" s="126" t="s">
        <v>80</v>
      </c>
    </row>
    <row r="866" spans="1:8">
      <c r="A866" s="126" t="s">
        <v>1481</v>
      </c>
      <c r="B866" s="126">
        <v>0</v>
      </c>
      <c r="C866" s="126">
        <v>18900</v>
      </c>
      <c r="D866" s="126">
        <v>0</v>
      </c>
      <c r="E866" s="126">
        <v>18900</v>
      </c>
      <c r="G866" s="126">
        <f t="shared" si="21"/>
        <v>18900</v>
      </c>
      <c r="H866" s="126" t="s">
        <v>80</v>
      </c>
    </row>
    <row r="867" spans="1:8">
      <c r="A867" s="126" t="s">
        <v>831</v>
      </c>
      <c r="B867" s="126">
        <v>-16520</v>
      </c>
      <c r="C867" s="126">
        <v>0</v>
      </c>
      <c r="D867" s="126">
        <v>0</v>
      </c>
      <c r="E867" s="126">
        <v>-16520</v>
      </c>
      <c r="G867" s="126">
        <f t="shared" si="21"/>
        <v>-16520</v>
      </c>
      <c r="H867" s="126" t="s">
        <v>80</v>
      </c>
    </row>
    <row r="868" spans="1:8">
      <c r="A868" s="126" t="s">
        <v>832</v>
      </c>
      <c r="B868" s="126">
        <v>16834618.210000001</v>
      </c>
      <c r="C868" s="126">
        <v>0</v>
      </c>
      <c r="D868" s="126">
        <v>0</v>
      </c>
      <c r="E868" s="126">
        <v>16834618.210000001</v>
      </c>
      <c r="G868" s="126">
        <f t="shared" si="21"/>
        <v>16834618.210000001</v>
      </c>
      <c r="H868" s="126" t="s">
        <v>80</v>
      </c>
    </row>
    <row r="869" spans="1:8">
      <c r="A869" s="126" t="s">
        <v>235</v>
      </c>
      <c r="B869" s="126">
        <v>-17148820.5</v>
      </c>
      <c r="C869" s="126">
        <v>0</v>
      </c>
      <c r="D869" s="126">
        <v>0</v>
      </c>
      <c r="E869" s="126">
        <v>-17148820.5</v>
      </c>
      <c r="G869" s="126">
        <f t="shared" si="21"/>
        <v>-17148820.5</v>
      </c>
      <c r="H869" s="126" t="s">
        <v>80</v>
      </c>
    </row>
    <row r="870" spans="1:8">
      <c r="A870" s="126" t="s">
        <v>234</v>
      </c>
      <c r="B870" s="126">
        <v>137982122.58000001</v>
      </c>
      <c r="C870" s="126">
        <v>1914024.28</v>
      </c>
      <c r="D870" s="126">
        <v>0</v>
      </c>
      <c r="E870" s="126">
        <v>139896146.86000001</v>
      </c>
      <c r="G870" s="126">
        <f t="shared" si="21"/>
        <v>139896146.86000001</v>
      </c>
      <c r="H870" s="126" t="s">
        <v>80</v>
      </c>
    </row>
    <row r="871" spans="1:8">
      <c r="A871" s="126" t="s">
        <v>833</v>
      </c>
      <c r="B871" s="126">
        <v>-34650</v>
      </c>
      <c r="C871" s="126">
        <v>106650</v>
      </c>
      <c r="D871" s="126">
        <v>72000</v>
      </c>
      <c r="E871" s="126">
        <v>0</v>
      </c>
      <c r="G871" s="126">
        <f t="shared" si="21"/>
        <v>0</v>
      </c>
      <c r="H871" s="126" t="s">
        <v>80</v>
      </c>
    </row>
    <row r="872" spans="1:8">
      <c r="A872" s="126" t="s">
        <v>834</v>
      </c>
      <c r="B872" s="126">
        <v>-43641</v>
      </c>
      <c r="C872" s="126">
        <v>298181.65999999997</v>
      </c>
      <c r="D872" s="126">
        <v>331224</v>
      </c>
      <c r="E872" s="126">
        <v>-76683.34</v>
      </c>
      <c r="G872" s="126">
        <f t="shared" si="21"/>
        <v>-76683.34</v>
      </c>
      <c r="H872" s="126" t="s">
        <v>80</v>
      </c>
    </row>
    <row r="873" spans="1:8">
      <c r="A873" s="126" t="s">
        <v>835</v>
      </c>
      <c r="B873" s="126">
        <v>-1782</v>
      </c>
      <c r="C873" s="126">
        <v>1782</v>
      </c>
      <c r="D873" s="126">
        <v>0</v>
      </c>
      <c r="E873" s="126">
        <v>0</v>
      </c>
      <c r="G873" s="126">
        <f t="shared" si="21"/>
        <v>0</v>
      </c>
      <c r="H873" s="126" t="s">
        <v>80</v>
      </c>
    </row>
    <row r="874" spans="1:8">
      <c r="A874" s="126" t="s">
        <v>836</v>
      </c>
      <c r="B874" s="126">
        <v>0.44</v>
      </c>
      <c r="C874" s="126">
        <v>96422</v>
      </c>
      <c r="D874" s="126">
        <v>96422</v>
      </c>
      <c r="E874" s="126">
        <v>0.44</v>
      </c>
      <c r="G874" s="126">
        <f t="shared" si="21"/>
        <v>0.44</v>
      </c>
      <c r="H874" s="126" t="s">
        <v>80</v>
      </c>
    </row>
    <row r="875" spans="1:8">
      <c r="A875" s="126" t="s">
        <v>1261</v>
      </c>
      <c r="B875" s="126">
        <v>0</v>
      </c>
      <c r="C875" s="126">
        <v>0</v>
      </c>
      <c r="D875" s="126">
        <v>0</v>
      </c>
      <c r="E875" s="126">
        <v>0</v>
      </c>
      <c r="G875" s="126">
        <f t="shared" si="21"/>
        <v>0</v>
      </c>
      <c r="H875" s="126" t="s">
        <v>80</v>
      </c>
    </row>
    <row r="876" spans="1:8">
      <c r="A876" s="126" t="s">
        <v>837</v>
      </c>
      <c r="B876" s="126">
        <v>3846</v>
      </c>
      <c r="C876" s="126">
        <v>459664</v>
      </c>
      <c r="D876" s="126">
        <v>463510</v>
      </c>
      <c r="E876" s="126">
        <v>0</v>
      </c>
      <c r="G876" s="126">
        <f t="shared" si="21"/>
        <v>0</v>
      </c>
      <c r="H876" s="126" t="s">
        <v>80</v>
      </c>
    </row>
    <row r="877" spans="1:8">
      <c r="A877" s="126" t="s">
        <v>838</v>
      </c>
      <c r="B877" s="126">
        <v>-0.28000000000000003</v>
      </c>
      <c r="C877" s="126">
        <v>0</v>
      </c>
      <c r="D877" s="126">
        <v>0</v>
      </c>
      <c r="E877" s="126">
        <v>-0.28000000000000003</v>
      </c>
      <c r="G877" s="126">
        <f t="shared" si="21"/>
        <v>-0.28000000000000003</v>
      </c>
      <c r="H877" s="126" t="s">
        <v>80</v>
      </c>
    </row>
    <row r="878" spans="1:8">
      <c r="A878" s="126" t="s">
        <v>1482</v>
      </c>
      <c r="B878" s="126">
        <v>0</v>
      </c>
      <c r="C878" s="126">
        <v>0</v>
      </c>
      <c r="D878" s="126">
        <v>87000</v>
      </c>
      <c r="E878" s="126">
        <v>-87000</v>
      </c>
      <c r="G878" s="126">
        <f t="shared" si="21"/>
        <v>-87000</v>
      </c>
      <c r="H878" s="126" t="s">
        <v>80</v>
      </c>
    </row>
    <row r="879" spans="1:8">
      <c r="A879" s="126" t="s">
        <v>1262</v>
      </c>
      <c r="B879" s="126">
        <v>0</v>
      </c>
      <c r="C879" s="126">
        <v>0</v>
      </c>
      <c r="D879" s="126">
        <v>0</v>
      </c>
      <c r="E879" s="126">
        <v>0</v>
      </c>
      <c r="G879" s="126">
        <f t="shared" si="21"/>
        <v>0</v>
      </c>
      <c r="H879" s="126" t="s">
        <v>80</v>
      </c>
    </row>
    <row r="880" spans="1:8">
      <c r="A880" s="126" t="s">
        <v>839</v>
      </c>
      <c r="B880" s="126">
        <v>-136.63</v>
      </c>
      <c r="C880" s="126">
        <v>0</v>
      </c>
      <c r="D880" s="126">
        <v>0</v>
      </c>
      <c r="E880" s="126">
        <v>-136.63</v>
      </c>
      <c r="G880" s="126">
        <f t="shared" si="21"/>
        <v>-136.63</v>
      </c>
      <c r="H880" s="126" t="s">
        <v>80</v>
      </c>
    </row>
    <row r="881" spans="1:8">
      <c r="A881" s="126" t="s">
        <v>1483</v>
      </c>
      <c r="B881" s="126">
        <v>0</v>
      </c>
      <c r="C881" s="126">
        <v>0</v>
      </c>
      <c r="D881" s="126">
        <v>0</v>
      </c>
      <c r="E881" s="126">
        <v>0</v>
      </c>
      <c r="G881" s="126">
        <f t="shared" si="21"/>
        <v>0</v>
      </c>
      <c r="H881" s="126" t="s">
        <v>80</v>
      </c>
    </row>
    <row r="882" spans="1:8">
      <c r="A882" s="126" t="s">
        <v>224</v>
      </c>
      <c r="B882" s="126">
        <v>-21780</v>
      </c>
      <c r="C882" s="126">
        <v>0</v>
      </c>
      <c r="D882" s="126">
        <v>0</v>
      </c>
      <c r="E882" s="126">
        <v>-21780</v>
      </c>
      <c r="G882" s="126">
        <f t="shared" si="21"/>
        <v>-21780</v>
      </c>
      <c r="H882" s="126" t="s">
        <v>80</v>
      </c>
    </row>
    <row r="883" spans="1:8">
      <c r="A883" s="126" t="s">
        <v>1263</v>
      </c>
      <c r="B883" s="126">
        <v>0</v>
      </c>
      <c r="C883" s="126">
        <v>0</v>
      </c>
      <c r="D883" s="126">
        <v>0</v>
      </c>
      <c r="E883" s="126">
        <v>0</v>
      </c>
      <c r="G883" s="126">
        <f t="shared" si="21"/>
        <v>0</v>
      </c>
      <c r="H883" s="126" t="s">
        <v>80</v>
      </c>
    </row>
    <row r="884" spans="1:8">
      <c r="A884" s="126" t="s">
        <v>840</v>
      </c>
      <c r="B884" s="126">
        <v>1620</v>
      </c>
      <c r="C884" s="126">
        <v>0</v>
      </c>
      <c r="D884" s="126">
        <v>0</v>
      </c>
      <c r="E884" s="126">
        <v>1620</v>
      </c>
      <c r="G884" s="126">
        <f t="shared" si="21"/>
        <v>1620</v>
      </c>
      <c r="H884" s="126" t="s">
        <v>80</v>
      </c>
    </row>
    <row r="885" spans="1:8">
      <c r="A885" s="126" t="s">
        <v>841</v>
      </c>
      <c r="B885" s="126">
        <v>0</v>
      </c>
      <c r="C885" s="126">
        <v>119000</v>
      </c>
      <c r="D885" s="126">
        <v>118000</v>
      </c>
      <c r="E885" s="126">
        <v>1000</v>
      </c>
      <c r="G885" s="126">
        <f t="shared" si="21"/>
        <v>1000</v>
      </c>
      <c r="H885" s="126" t="s">
        <v>80</v>
      </c>
    </row>
    <row r="886" spans="1:8">
      <c r="A886" s="126" t="s">
        <v>222</v>
      </c>
      <c r="B886" s="126">
        <v>-517434.81</v>
      </c>
      <c r="C886" s="126">
        <v>1246480.6000000001</v>
      </c>
      <c r="D886" s="126">
        <v>1243692.6000000001</v>
      </c>
      <c r="E886" s="126">
        <v>-514646.81</v>
      </c>
      <c r="G886" s="126">
        <f t="shared" si="21"/>
        <v>-514646.81</v>
      </c>
      <c r="H886" s="126" t="s">
        <v>80</v>
      </c>
    </row>
    <row r="887" spans="1:8">
      <c r="A887" s="126" t="s">
        <v>1264</v>
      </c>
      <c r="B887" s="126">
        <v>0</v>
      </c>
      <c r="C887" s="126">
        <v>39853</v>
      </c>
      <c r="D887" s="126">
        <v>39853</v>
      </c>
      <c r="E887" s="126">
        <v>0</v>
      </c>
      <c r="G887" s="126">
        <f t="shared" si="21"/>
        <v>0</v>
      </c>
      <c r="H887" s="126" t="s">
        <v>80</v>
      </c>
    </row>
    <row r="888" spans="1:8">
      <c r="A888" s="126" t="s">
        <v>842</v>
      </c>
      <c r="B888" s="126">
        <v>1491</v>
      </c>
      <c r="C888" s="126">
        <v>359767</v>
      </c>
      <c r="D888" s="126">
        <v>366130</v>
      </c>
      <c r="E888" s="126">
        <v>-4872</v>
      </c>
      <c r="G888" s="126">
        <f t="shared" si="21"/>
        <v>-4872</v>
      </c>
      <c r="H888" s="126" t="s">
        <v>80</v>
      </c>
    </row>
    <row r="889" spans="1:8">
      <c r="A889" s="126" t="s">
        <v>843</v>
      </c>
      <c r="B889" s="126">
        <v>0</v>
      </c>
      <c r="C889" s="126">
        <v>44722</v>
      </c>
      <c r="D889" s="126">
        <v>44722</v>
      </c>
      <c r="E889" s="126">
        <v>0</v>
      </c>
      <c r="G889" s="126">
        <f t="shared" si="21"/>
        <v>0</v>
      </c>
      <c r="H889" s="126" t="s">
        <v>80</v>
      </c>
    </row>
    <row r="890" spans="1:8">
      <c r="A890" s="126" t="s">
        <v>844</v>
      </c>
      <c r="B890" s="126">
        <v>-0.86</v>
      </c>
      <c r="C890" s="126">
        <v>0</v>
      </c>
      <c r="D890" s="126">
        <v>0</v>
      </c>
      <c r="E890" s="126">
        <v>-0.86</v>
      </c>
      <c r="G890" s="126">
        <f t="shared" si="21"/>
        <v>-0.86</v>
      </c>
      <c r="H890" s="126" t="s">
        <v>80</v>
      </c>
    </row>
    <row r="891" spans="1:8">
      <c r="A891" s="126" t="s">
        <v>845</v>
      </c>
      <c r="B891" s="126">
        <v>-400</v>
      </c>
      <c r="C891" s="126">
        <v>0</v>
      </c>
      <c r="D891" s="126">
        <v>0</v>
      </c>
      <c r="E891" s="126">
        <v>-400</v>
      </c>
      <c r="G891" s="126">
        <f t="shared" si="21"/>
        <v>-400</v>
      </c>
      <c r="H891" s="126" t="s">
        <v>80</v>
      </c>
    </row>
    <row r="892" spans="1:8">
      <c r="A892" s="126" t="s">
        <v>485</v>
      </c>
      <c r="B892" s="126">
        <v>-31784</v>
      </c>
      <c r="C892" s="126">
        <v>14750</v>
      </c>
      <c r="D892" s="126">
        <v>17700</v>
      </c>
      <c r="E892" s="126">
        <v>-34734</v>
      </c>
      <c r="G892" s="126">
        <f t="shared" si="21"/>
        <v>-34734</v>
      </c>
      <c r="H892" s="126" t="s">
        <v>80</v>
      </c>
    </row>
    <row r="893" spans="1:8">
      <c r="A893" s="126" t="s">
        <v>846</v>
      </c>
      <c r="B893" s="126">
        <v>13933</v>
      </c>
      <c r="C893" s="126">
        <v>0</v>
      </c>
      <c r="D893" s="126">
        <v>0</v>
      </c>
      <c r="E893" s="126">
        <v>13933</v>
      </c>
      <c r="G893" s="126">
        <f t="shared" si="21"/>
        <v>13933</v>
      </c>
      <c r="H893" s="126" t="s">
        <v>80</v>
      </c>
    </row>
    <row r="894" spans="1:8">
      <c r="A894" s="126" t="s">
        <v>1266</v>
      </c>
      <c r="B894" s="126">
        <v>0</v>
      </c>
      <c r="C894" s="126">
        <v>0</v>
      </c>
      <c r="D894" s="126">
        <v>0</v>
      </c>
      <c r="E894" s="126">
        <v>0</v>
      </c>
      <c r="G894" s="126">
        <f t="shared" si="21"/>
        <v>0</v>
      </c>
      <c r="H894" s="126" t="s">
        <v>80</v>
      </c>
    </row>
    <row r="895" spans="1:8">
      <c r="A895" s="126" t="s">
        <v>1267</v>
      </c>
      <c r="B895" s="126">
        <v>0</v>
      </c>
      <c r="C895" s="126">
        <v>0</v>
      </c>
      <c r="D895" s="126">
        <v>0</v>
      </c>
      <c r="E895" s="126">
        <v>0</v>
      </c>
      <c r="G895" s="126">
        <f t="shared" si="21"/>
        <v>0</v>
      </c>
      <c r="H895" s="126" t="s">
        <v>80</v>
      </c>
    </row>
    <row r="896" spans="1:8">
      <c r="A896" s="126" t="s">
        <v>1268</v>
      </c>
      <c r="B896" s="126">
        <v>0</v>
      </c>
      <c r="C896" s="126">
        <v>17700</v>
      </c>
      <c r="D896" s="126">
        <v>17700</v>
      </c>
      <c r="E896" s="126">
        <v>0</v>
      </c>
      <c r="G896" s="126">
        <f t="shared" si="21"/>
        <v>0</v>
      </c>
      <c r="H896" s="126" t="s">
        <v>80</v>
      </c>
    </row>
    <row r="897" spans="1:8">
      <c r="A897" s="126" t="s">
        <v>1421</v>
      </c>
      <c r="B897" s="126">
        <v>0</v>
      </c>
      <c r="C897" s="126">
        <v>0</v>
      </c>
      <c r="D897" s="126">
        <v>0</v>
      </c>
      <c r="E897" s="126">
        <v>0</v>
      </c>
      <c r="G897" s="126">
        <f t="shared" si="21"/>
        <v>0</v>
      </c>
      <c r="H897" s="126" t="s">
        <v>80</v>
      </c>
    </row>
    <row r="898" spans="1:8">
      <c r="A898" s="126" t="s">
        <v>1545</v>
      </c>
      <c r="B898" s="126">
        <v>0</v>
      </c>
      <c r="C898" s="126">
        <v>0</v>
      </c>
      <c r="D898" s="126">
        <v>0</v>
      </c>
      <c r="E898" s="126">
        <v>0</v>
      </c>
      <c r="G898" s="126">
        <f t="shared" si="21"/>
        <v>0</v>
      </c>
      <c r="H898" s="126" t="s">
        <v>80</v>
      </c>
    </row>
    <row r="899" spans="1:8">
      <c r="A899" s="126" t="s">
        <v>847</v>
      </c>
      <c r="B899" s="126">
        <v>345500</v>
      </c>
      <c r="C899" s="126">
        <v>0</v>
      </c>
      <c r="D899" s="126">
        <v>0</v>
      </c>
      <c r="E899" s="126">
        <v>345500</v>
      </c>
      <c r="G899" s="126">
        <f t="shared" ref="G899:G962" si="22">E899+F899</f>
        <v>345500</v>
      </c>
      <c r="H899" s="126" t="s">
        <v>80</v>
      </c>
    </row>
    <row r="900" spans="1:8">
      <c r="A900" s="126" t="s">
        <v>848</v>
      </c>
      <c r="B900" s="126">
        <v>-2.2599999999999998</v>
      </c>
      <c r="C900" s="126">
        <v>0</v>
      </c>
      <c r="D900" s="126">
        <v>0</v>
      </c>
      <c r="E900" s="126">
        <v>-2.2599999999999998</v>
      </c>
      <c r="G900" s="126">
        <f t="shared" si="22"/>
        <v>-2.2599999999999998</v>
      </c>
      <c r="H900" s="126" t="s">
        <v>80</v>
      </c>
    </row>
    <row r="901" spans="1:8">
      <c r="A901" s="126" t="s">
        <v>1270</v>
      </c>
      <c r="B901" s="126">
        <v>0</v>
      </c>
      <c r="C901" s="126">
        <v>0</v>
      </c>
      <c r="D901" s="126">
        <v>0</v>
      </c>
      <c r="E901" s="126">
        <v>0</v>
      </c>
      <c r="G901" s="126">
        <f t="shared" si="22"/>
        <v>0</v>
      </c>
      <c r="H901" s="126" t="s">
        <v>80</v>
      </c>
    </row>
    <row r="902" spans="1:8">
      <c r="A902" s="126" t="s">
        <v>849</v>
      </c>
      <c r="B902" s="126">
        <v>-236204</v>
      </c>
      <c r="C902" s="126">
        <v>236204</v>
      </c>
      <c r="D902" s="126">
        <v>0</v>
      </c>
      <c r="E902" s="126">
        <v>0</v>
      </c>
      <c r="G902" s="126">
        <f t="shared" si="22"/>
        <v>0</v>
      </c>
      <c r="H902" s="126" t="s">
        <v>80</v>
      </c>
    </row>
    <row r="903" spans="1:8">
      <c r="A903" s="126" t="s">
        <v>433</v>
      </c>
      <c r="B903" s="126">
        <v>-7128</v>
      </c>
      <c r="C903" s="126">
        <v>0</v>
      </c>
      <c r="D903" s="126">
        <v>0</v>
      </c>
      <c r="E903" s="126">
        <v>-7128</v>
      </c>
      <c r="G903" s="126">
        <f t="shared" si="22"/>
        <v>-7128</v>
      </c>
      <c r="H903" s="126" t="s">
        <v>80</v>
      </c>
    </row>
    <row r="904" spans="1:8">
      <c r="A904" s="126" t="s">
        <v>850</v>
      </c>
      <c r="B904" s="126">
        <v>-970</v>
      </c>
      <c r="C904" s="126">
        <v>970</v>
      </c>
      <c r="D904" s="126">
        <v>0</v>
      </c>
      <c r="E904" s="126">
        <v>0</v>
      </c>
      <c r="G904" s="126">
        <f t="shared" si="22"/>
        <v>0</v>
      </c>
      <c r="H904" s="126" t="s">
        <v>80</v>
      </c>
    </row>
    <row r="905" spans="1:8">
      <c r="A905" s="126" t="s">
        <v>851</v>
      </c>
      <c r="B905" s="126">
        <v>384450</v>
      </c>
      <c r="C905" s="126">
        <v>0</v>
      </c>
      <c r="D905" s="126">
        <v>384450</v>
      </c>
      <c r="E905" s="126">
        <v>0</v>
      </c>
      <c r="G905" s="126">
        <f t="shared" si="22"/>
        <v>0</v>
      </c>
      <c r="H905" s="126" t="s">
        <v>80</v>
      </c>
    </row>
    <row r="906" spans="1:8">
      <c r="A906" s="126" t="s">
        <v>852</v>
      </c>
      <c r="B906" s="126">
        <v>-56901.93</v>
      </c>
      <c r="C906" s="126">
        <v>71881</v>
      </c>
      <c r="D906" s="126">
        <v>69350</v>
      </c>
      <c r="E906" s="126">
        <v>-54370.93</v>
      </c>
      <c r="G906" s="126">
        <f t="shared" si="22"/>
        <v>-54370.93</v>
      </c>
      <c r="H906" s="126" t="s">
        <v>80</v>
      </c>
    </row>
    <row r="907" spans="1:8">
      <c r="A907" s="126" t="s">
        <v>394</v>
      </c>
      <c r="B907" s="126">
        <v>0</v>
      </c>
      <c r="C907" s="126">
        <v>18585</v>
      </c>
      <c r="D907" s="126">
        <v>19234</v>
      </c>
      <c r="E907" s="126">
        <v>-649</v>
      </c>
      <c r="G907" s="126">
        <f t="shared" si="22"/>
        <v>-649</v>
      </c>
      <c r="H907" s="126" t="s">
        <v>80</v>
      </c>
    </row>
    <row r="908" spans="1:8">
      <c r="A908" s="126" t="s">
        <v>213</v>
      </c>
      <c r="B908" s="126">
        <v>1443.13</v>
      </c>
      <c r="C908" s="126">
        <v>0</v>
      </c>
      <c r="D908" s="126">
        <v>0</v>
      </c>
      <c r="E908" s="126">
        <v>1443.13</v>
      </c>
      <c r="G908" s="126">
        <f t="shared" si="22"/>
        <v>1443.13</v>
      </c>
      <c r="H908" s="126" t="s">
        <v>80</v>
      </c>
    </row>
    <row r="909" spans="1:8">
      <c r="A909" s="126" t="s">
        <v>212</v>
      </c>
      <c r="B909" s="126">
        <v>-10701996.76</v>
      </c>
      <c r="C909" s="126">
        <v>12000</v>
      </c>
      <c r="D909" s="126">
        <v>708000</v>
      </c>
      <c r="E909" s="126">
        <v>-11397996.76</v>
      </c>
      <c r="G909" s="126">
        <f t="shared" si="22"/>
        <v>-11397996.76</v>
      </c>
      <c r="H909" s="126" t="s">
        <v>80</v>
      </c>
    </row>
    <row r="910" spans="1:8">
      <c r="A910" s="126" t="s">
        <v>210</v>
      </c>
      <c r="B910" s="126">
        <v>-15232000</v>
      </c>
      <c r="C910" s="126">
        <v>525684600</v>
      </c>
      <c r="D910" s="126">
        <v>416270996.95999998</v>
      </c>
      <c r="E910" s="126">
        <v>94181603.040000007</v>
      </c>
      <c r="G910" s="126">
        <f t="shared" si="22"/>
        <v>94181603.040000007</v>
      </c>
      <c r="H910" s="126" t="s">
        <v>80</v>
      </c>
    </row>
    <row r="911" spans="1:8">
      <c r="A911" s="126" t="s">
        <v>853</v>
      </c>
      <c r="B911" s="126">
        <v>65324336.740000002</v>
      </c>
      <c r="C911" s="126">
        <v>241745</v>
      </c>
      <c r="D911" s="126">
        <v>108642714.56999999</v>
      </c>
      <c r="E911" s="126">
        <v>-43076632.829999998</v>
      </c>
      <c r="G911" s="126">
        <f t="shared" si="22"/>
        <v>-43076632.829999998</v>
      </c>
      <c r="H911" s="126" t="s">
        <v>80</v>
      </c>
    </row>
    <row r="912" spans="1:8">
      <c r="A912" s="126" t="s">
        <v>1422</v>
      </c>
      <c r="B912" s="126">
        <v>0</v>
      </c>
      <c r="C912" s="126">
        <v>0</v>
      </c>
      <c r="D912" s="126">
        <v>0</v>
      </c>
      <c r="E912" s="126">
        <v>0</v>
      </c>
      <c r="G912" s="126">
        <f t="shared" si="22"/>
        <v>0</v>
      </c>
      <c r="H912" s="126" t="s">
        <v>80</v>
      </c>
    </row>
    <row r="913" spans="1:8">
      <c r="A913" s="126" t="s">
        <v>209</v>
      </c>
      <c r="B913" s="126">
        <v>-800893.59</v>
      </c>
      <c r="C913" s="126">
        <v>0</v>
      </c>
      <c r="D913" s="126">
        <v>0</v>
      </c>
      <c r="E913" s="126">
        <v>-800893.59</v>
      </c>
      <c r="G913" s="126">
        <f t="shared" si="22"/>
        <v>-800893.59</v>
      </c>
      <c r="H913" s="126" t="s">
        <v>80</v>
      </c>
    </row>
    <row r="914" spans="1:8">
      <c r="A914" s="126" t="s">
        <v>1272</v>
      </c>
      <c r="B914" s="126">
        <v>0</v>
      </c>
      <c r="C914" s="126">
        <v>0</v>
      </c>
      <c r="D914" s="126">
        <v>0</v>
      </c>
      <c r="E914" s="126">
        <v>0</v>
      </c>
      <c r="G914" s="126">
        <f t="shared" si="22"/>
        <v>0</v>
      </c>
      <c r="H914" s="126" t="s">
        <v>80</v>
      </c>
    </row>
    <row r="915" spans="1:8">
      <c r="A915" s="126" t="s">
        <v>208</v>
      </c>
      <c r="B915" s="126">
        <v>50181786.509999998</v>
      </c>
      <c r="C915" s="126">
        <v>534315</v>
      </c>
      <c r="D915" s="126">
        <v>52192726.969999999</v>
      </c>
      <c r="E915" s="126">
        <v>-1476625.46</v>
      </c>
      <c r="G915" s="126">
        <f t="shared" si="22"/>
        <v>-1476625.46</v>
      </c>
      <c r="H915" s="126" t="s">
        <v>80</v>
      </c>
    </row>
    <row r="916" spans="1:8">
      <c r="A916" s="126" t="s">
        <v>1273</v>
      </c>
      <c r="B916" s="126">
        <v>0</v>
      </c>
      <c r="C916" s="126">
        <v>0</v>
      </c>
      <c r="D916" s="126">
        <v>0</v>
      </c>
      <c r="E916" s="126">
        <v>0</v>
      </c>
      <c r="G916" s="126">
        <f t="shared" si="22"/>
        <v>0</v>
      </c>
      <c r="H916" s="126" t="s">
        <v>80</v>
      </c>
    </row>
    <row r="917" spans="1:8">
      <c r="A917" s="126" t="s">
        <v>854</v>
      </c>
      <c r="B917" s="126">
        <v>44417.64</v>
      </c>
      <c r="C917" s="126">
        <v>0</v>
      </c>
      <c r="D917" s="126">
        <v>0</v>
      </c>
      <c r="E917" s="126">
        <v>44417.64</v>
      </c>
      <c r="G917" s="126">
        <f t="shared" si="22"/>
        <v>44417.64</v>
      </c>
      <c r="H917" s="126" t="s">
        <v>80</v>
      </c>
    </row>
    <row r="918" spans="1:8">
      <c r="A918" s="126" t="s">
        <v>855</v>
      </c>
      <c r="B918" s="126">
        <v>-1415.11</v>
      </c>
      <c r="C918" s="126">
        <v>1415.11</v>
      </c>
      <c r="D918" s="126">
        <v>0</v>
      </c>
      <c r="E918" s="126">
        <v>0</v>
      </c>
      <c r="G918" s="126">
        <f t="shared" si="22"/>
        <v>0</v>
      </c>
      <c r="H918" s="126" t="s">
        <v>80</v>
      </c>
    </row>
    <row r="919" spans="1:8">
      <c r="A919" s="126" t="s">
        <v>486</v>
      </c>
      <c r="B919" s="126">
        <v>25960</v>
      </c>
      <c r="C919" s="126">
        <v>0</v>
      </c>
      <c r="D919" s="126">
        <v>25960</v>
      </c>
      <c r="E919" s="126">
        <v>0</v>
      </c>
      <c r="G919" s="126">
        <f t="shared" si="22"/>
        <v>0</v>
      </c>
      <c r="H919" s="126" t="s">
        <v>80</v>
      </c>
    </row>
    <row r="920" spans="1:8">
      <c r="A920" s="126" t="s">
        <v>1484</v>
      </c>
      <c r="B920" s="126">
        <v>0</v>
      </c>
      <c r="C920" s="126">
        <v>791</v>
      </c>
      <c r="D920" s="126">
        <v>791</v>
      </c>
      <c r="E920" s="126">
        <v>0</v>
      </c>
      <c r="G920" s="126">
        <f t="shared" si="22"/>
        <v>0</v>
      </c>
      <c r="H920" s="126" t="s">
        <v>80</v>
      </c>
    </row>
    <row r="921" spans="1:8">
      <c r="A921" s="126" t="s">
        <v>1276</v>
      </c>
      <c r="B921" s="126">
        <v>0</v>
      </c>
      <c r="C921" s="126">
        <v>0</v>
      </c>
      <c r="D921" s="126">
        <v>0</v>
      </c>
      <c r="E921" s="126">
        <v>0</v>
      </c>
      <c r="G921" s="126">
        <f t="shared" si="22"/>
        <v>0</v>
      </c>
      <c r="H921" s="126" t="s">
        <v>80</v>
      </c>
    </row>
    <row r="922" spans="1:8">
      <c r="A922" s="126" t="s">
        <v>197</v>
      </c>
      <c r="B922" s="126">
        <v>-43913.23</v>
      </c>
      <c r="C922" s="126">
        <v>43913</v>
      </c>
      <c r="D922" s="126">
        <v>0</v>
      </c>
      <c r="E922" s="126">
        <v>-0.23</v>
      </c>
      <c r="G922" s="126">
        <f t="shared" si="22"/>
        <v>-0.23</v>
      </c>
      <c r="H922" s="126" t="s">
        <v>80</v>
      </c>
    </row>
    <row r="923" spans="1:8">
      <c r="A923" s="126" t="s">
        <v>1423</v>
      </c>
      <c r="B923" s="126">
        <v>0</v>
      </c>
      <c r="C923" s="126">
        <v>0</v>
      </c>
      <c r="D923" s="126">
        <v>0</v>
      </c>
      <c r="E923" s="126">
        <v>0</v>
      </c>
      <c r="G923" s="126">
        <f t="shared" si="22"/>
        <v>0</v>
      </c>
      <c r="H923" s="126" t="s">
        <v>80</v>
      </c>
    </row>
    <row r="924" spans="1:8">
      <c r="A924" s="126" t="s">
        <v>856</v>
      </c>
      <c r="B924" s="126">
        <v>2400</v>
      </c>
      <c r="C924" s="126">
        <v>0</v>
      </c>
      <c r="D924" s="126">
        <v>0</v>
      </c>
      <c r="E924" s="126">
        <v>2400</v>
      </c>
      <c r="G924" s="126">
        <f t="shared" si="22"/>
        <v>2400</v>
      </c>
      <c r="H924" s="126" t="s">
        <v>80</v>
      </c>
    </row>
    <row r="925" spans="1:8">
      <c r="A925" s="126" t="s">
        <v>857</v>
      </c>
      <c r="B925" s="126">
        <v>0</v>
      </c>
      <c r="C925" s="126">
        <v>41899</v>
      </c>
      <c r="D925" s="126">
        <v>41899</v>
      </c>
      <c r="E925" s="126">
        <v>0</v>
      </c>
      <c r="G925" s="126">
        <f t="shared" si="22"/>
        <v>0</v>
      </c>
      <c r="H925" s="126" t="s">
        <v>80</v>
      </c>
    </row>
    <row r="926" spans="1:8">
      <c r="A926" s="126" t="s">
        <v>193</v>
      </c>
      <c r="B926" s="126">
        <v>-0.34</v>
      </c>
      <c r="C926" s="126">
        <v>0</v>
      </c>
      <c r="D926" s="126">
        <v>0</v>
      </c>
      <c r="E926" s="126">
        <v>-0.34</v>
      </c>
      <c r="G926" s="126">
        <f t="shared" si="22"/>
        <v>-0.34</v>
      </c>
      <c r="H926" s="126" t="s">
        <v>80</v>
      </c>
    </row>
    <row r="927" spans="1:8">
      <c r="A927" s="126" t="s">
        <v>1485</v>
      </c>
      <c r="B927" s="126">
        <v>0</v>
      </c>
      <c r="C927" s="126">
        <v>47291.32</v>
      </c>
      <c r="D927" s="126">
        <v>47525</v>
      </c>
      <c r="E927" s="126">
        <v>-233.68</v>
      </c>
      <c r="G927" s="126">
        <f t="shared" si="22"/>
        <v>-233.68</v>
      </c>
      <c r="H927" s="126" t="s">
        <v>80</v>
      </c>
    </row>
    <row r="928" spans="1:8">
      <c r="A928" s="126" t="s">
        <v>1277</v>
      </c>
      <c r="B928" s="126">
        <v>0</v>
      </c>
      <c r="C928" s="126">
        <v>0</v>
      </c>
      <c r="D928" s="126">
        <v>198050</v>
      </c>
      <c r="E928" s="126">
        <v>-198050</v>
      </c>
      <c r="G928" s="126">
        <f t="shared" si="22"/>
        <v>-198050</v>
      </c>
      <c r="H928" s="126" t="s">
        <v>80</v>
      </c>
    </row>
    <row r="929" spans="1:8">
      <c r="A929" s="126" t="s">
        <v>1278</v>
      </c>
      <c r="B929" s="126">
        <v>0</v>
      </c>
      <c r="C929" s="126">
        <v>100000</v>
      </c>
      <c r="D929" s="126">
        <v>0</v>
      </c>
      <c r="E929" s="126">
        <v>100000</v>
      </c>
      <c r="G929" s="126">
        <f t="shared" si="22"/>
        <v>100000</v>
      </c>
      <c r="H929" s="126" t="s">
        <v>80</v>
      </c>
    </row>
    <row r="930" spans="1:8">
      <c r="A930" s="126" t="s">
        <v>1486</v>
      </c>
      <c r="B930" s="126">
        <v>0</v>
      </c>
      <c r="C930" s="126">
        <v>30798</v>
      </c>
      <c r="D930" s="126">
        <v>30798</v>
      </c>
      <c r="E930" s="126">
        <v>0</v>
      </c>
      <c r="G930" s="126">
        <f t="shared" si="22"/>
        <v>0</v>
      </c>
      <c r="H930" s="126" t="s">
        <v>80</v>
      </c>
    </row>
    <row r="931" spans="1:8">
      <c r="A931" s="126" t="s">
        <v>858</v>
      </c>
      <c r="B931" s="126">
        <v>-12949</v>
      </c>
      <c r="C931" s="126">
        <v>72415</v>
      </c>
      <c r="D931" s="126">
        <v>59466</v>
      </c>
      <c r="E931" s="126">
        <v>0</v>
      </c>
      <c r="G931" s="126">
        <f t="shared" si="22"/>
        <v>0</v>
      </c>
      <c r="H931" s="126" t="s">
        <v>80</v>
      </c>
    </row>
    <row r="932" spans="1:8">
      <c r="A932" s="126" t="s">
        <v>859</v>
      </c>
      <c r="B932" s="126">
        <v>0</v>
      </c>
      <c r="C932" s="126">
        <v>9086</v>
      </c>
      <c r="D932" s="126">
        <v>9086</v>
      </c>
      <c r="E932" s="126">
        <v>0</v>
      </c>
      <c r="G932" s="126">
        <f t="shared" si="22"/>
        <v>0</v>
      </c>
      <c r="H932" s="126" t="s">
        <v>80</v>
      </c>
    </row>
    <row r="933" spans="1:8">
      <c r="A933" s="126" t="s">
        <v>1279</v>
      </c>
      <c r="B933" s="126">
        <v>0</v>
      </c>
      <c r="C933" s="126">
        <v>0</v>
      </c>
      <c r="D933" s="126">
        <v>0</v>
      </c>
      <c r="E933" s="126">
        <v>0</v>
      </c>
      <c r="G933" s="126">
        <f t="shared" si="22"/>
        <v>0</v>
      </c>
      <c r="H933" s="126" t="s">
        <v>80</v>
      </c>
    </row>
    <row r="934" spans="1:8">
      <c r="A934" s="126" t="s">
        <v>438</v>
      </c>
      <c r="B934" s="126">
        <v>-4725</v>
      </c>
      <c r="C934" s="126">
        <v>0</v>
      </c>
      <c r="D934" s="126">
        <v>0</v>
      </c>
      <c r="E934" s="126">
        <v>-4725</v>
      </c>
      <c r="G934" s="126">
        <f t="shared" si="22"/>
        <v>-4725</v>
      </c>
      <c r="H934" s="126" t="s">
        <v>80</v>
      </c>
    </row>
    <row r="935" spans="1:8">
      <c r="A935" s="126" t="s">
        <v>860</v>
      </c>
      <c r="B935" s="126">
        <v>-2771100.1</v>
      </c>
      <c r="C935" s="126">
        <v>6635315</v>
      </c>
      <c r="D935" s="126">
        <v>4030116.31</v>
      </c>
      <c r="E935" s="126">
        <v>-165901.41</v>
      </c>
      <c r="G935" s="126">
        <f t="shared" si="22"/>
        <v>-165901.41</v>
      </c>
      <c r="H935" s="126" t="s">
        <v>80</v>
      </c>
    </row>
    <row r="936" spans="1:8">
      <c r="A936" s="126" t="s">
        <v>1280</v>
      </c>
      <c r="B936" s="126">
        <v>0</v>
      </c>
      <c r="C936" s="126">
        <v>48380</v>
      </c>
      <c r="D936" s="126">
        <v>48380</v>
      </c>
      <c r="E936" s="126">
        <v>0</v>
      </c>
      <c r="G936" s="126">
        <f t="shared" si="22"/>
        <v>0</v>
      </c>
      <c r="H936" s="126" t="s">
        <v>80</v>
      </c>
    </row>
    <row r="937" spans="1:8">
      <c r="A937" s="126" t="s">
        <v>861</v>
      </c>
      <c r="B937" s="126">
        <v>-34000</v>
      </c>
      <c r="C937" s="126">
        <v>102000</v>
      </c>
      <c r="D937" s="126">
        <v>68000</v>
      </c>
      <c r="E937" s="126">
        <v>0</v>
      </c>
      <c r="G937" s="126">
        <f t="shared" si="22"/>
        <v>0</v>
      </c>
      <c r="H937" s="126" t="s">
        <v>80</v>
      </c>
    </row>
    <row r="938" spans="1:8">
      <c r="A938" s="126" t="s">
        <v>1281</v>
      </c>
      <c r="B938" s="126">
        <v>0</v>
      </c>
      <c r="C938" s="126">
        <v>0</v>
      </c>
      <c r="D938" s="126">
        <v>0</v>
      </c>
      <c r="E938" s="126">
        <v>0</v>
      </c>
      <c r="G938" s="126">
        <f t="shared" si="22"/>
        <v>0</v>
      </c>
      <c r="H938" s="126" t="s">
        <v>80</v>
      </c>
    </row>
    <row r="939" spans="1:8">
      <c r="A939" s="126" t="s">
        <v>1487</v>
      </c>
      <c r="B939" s="126">
        <v>0</v>
      </c>
      <c r="C939" s="126">
        <v>30000</v>
      </c>
      <c r="D939" s="126">
        <v>0</v>
      </c>
      <c r="E939" s="126">
        <v>30000</v>
      </c>
      <c r="G939" s="126">
        <f t="shared" si="22"/>
        <v>30000</v>
      </c>
      <c r="H939" s="126" t="s">
        <v>80</v>
      </c>
    </row>
    <row r="940" spans="1:8">
      <c r="A940" s="126" t="s">
        <v>862</v>
      </c>
      <c r="B940" s="126">
        <v>0</v>
      </c>
      <c r="C940" s="126">
        <v>32061</v>
      </c>
      <c r="D940" s="126">
        <v>32061</v>
      </c>
      <c r="E940" s="126">
        <v>0</v>
      </c>
      <c r="G940" s="126">
        <f t="shared" si="22"/>
        <v>0</v>
      </c>
      <c r="H940" s="126" t="s">
        <v>80</v>
      </c>
    </row>
    <row r="941" spans="1:8">
      <c r="A941" s="126" t="s">
        <v>863</v>
      </c>
      <c r="B941" s="126">
        <v>-24544</v>
      </c>
      <c r="C941" s="126">
        <v>74222</v>
      </c>
      <c r="D941" s="126">
        <v>82779.360000000001</v>
      </c>
      <c r="E941" s="126">
        <v>-33101.360000000001</v>
      </c>
      <c r="G941" s="126">
        <f t="shared" si="22"/>
        <v>-33101.360000000001</v>
      </c>
      <c r="H941" s="126" t="s">
        <v>80</v>
      </c>
    </row>
    <row r="942" spans="1:8">
      <c r="A942" s="126" t="s">
        <v>864</v>
      </c>
      <c r="B942" s="126">
        <v>-0.34</v>
      </c>
      <c r="C942" s="126">
        <v>0</v>
      </c>
      <c r="D942" s="126">
        <v>0</v>
      </c>
      <c r="E942" s="126">
        <v>-0.34</v>
      </c>
      <c r="G942" s="126">
        <f t="shared" si="22"/>
        <v>-0.34</v>
      </c>
      <c r="H942" s="126" t="s">
        <v>80</v>
      </c>
    </row>
    <row r="943" spans="1:8">
      <c r="A943" s="126" t="s">
        <v>865</v>
      </c>
      <c r="B943" s="126">
        <v>0</v>
      </c>
      <c r="C943" s="126">
        <v>62658</v>
      </c>
      <c r="D943" s="126">
        <v>93220</v>
      </c>
      <c r="E943" s="126">
        <v>-30562</v>
      </c>
      <c r="G943" s="126">
        <f t="shared" si="22"/>
        <v>-30562</v>
      </c>
      <c r="H943" s="126" t="s">
        <v>80</v>
      </c>
    </row>
    <row r="944" spans="1:8">
      <c r="A944" s="126" t="s">
        <v>1488</v>
      </c>
      <c r="B944" s="126">
        <v>0</v>
      </c>
      <c r="C944" s="126">
        <v>3677</v>
      </c>
      <c r="D944" s="126">
        <v>3677</v>
      </c>
      <c r="E944" s="126">
        <v>0</v>
      </c>
      <c r="G944" s="126">
        <f t="shared" si="22"/>
        <v>0</v>
      </c>
      <c r="H944" s="126" t="s">
        <v>80</v>
      </c>
    </row>
    <row r="945" spans="1:8">
      <c r="A945" s="126" t="s">
        <v>169</v>
      </c>
      <c r="B945" s="126">
        <v>-77102</v>
      </c>
      <c r="C945" s="126">
        <v>79348</v>
      </c>
      <c r="D945" s="126">
        <v>123428</v>
      </c>
      <c r="E945" s="126">
        <v>-121182</v>
      </c>
      <c r="G945" s="126">
        <f t="shared" si="22"/>
        <v>-121182</v>
      </c>
      <c r="H945" s="126" t="s">
        <v>80</v>
      </c>
    </row>
    <row r="946" spans="1:8">
      <c r="A946" s="126" t="s">
        <v>866</v>
      </c>
      <c r="B946" s="126">
        <v>-76080</v>
      </c>
      <c r="C946" s="126">
        <v>83780</v>
      </c>
      <c r="D946" s="126">
        <v>0</v>
      </c>
      <c r="E946" s="126">
        <v>7700</v>
      </c>
      <c r="G946" s="126">
        <f t="shared" si="22"/>
        <v>7700</v>
      </c>
      <c r="H946" s="126" t="s">
        <v>80</v>
      </c>
    </row>
    <row r="947" spans="1:8">
      <c r="A947" s="126" t="s">
        <v>867</v>
      </c>
      <c r="B947" s="126">
        <v>-5841.8</v>
      </c>
      <c r="C947" s="126">
        <v>17640</v>
      </c>
      <c r="D947" s="126">
        <v>12080</v>
      </c>
      <c r="E947" s="126">
        <v>-281.8</v>
      </c>
      <c r="G947" s="126">
        <f t="shared" si="22"/>
        <v>-281.8</v>
      </c>
      <c r="H947" s="126" t="s">
        <v>80</v>
      </c>
    </row>
    <row r="948" spans="1:8">
      <c r="A948" s="126" t="s">
        <v>1282</v>
      </c>
      <c r="B948" s="126">
        <v>0</v>
      </c>
      <c r="C948" s="126">
        <v>103840</v>
      </c>
      <c r="D948" s="126">
        <v>103840</v>
      </c>
      <c r="E948" s="126">
        <v>0</v>
      </c>
      <c r="G948" s="126">
        <f t="shared" si="22"/>
        <v>0</v>
      </c>
      <c r="H948" s="126" t="s">
        <v>80</v>
      </c>
    </row>
    <row r="949" spans="1:8">
      <c r="A949" s="126" t="s">
        <v>868</v>
      </c>
      <c r="B949" s="126">
        <v>-0.46</v>
      </c>
      <c r="C949" s="126">
        <v>0</v>
      </c>
      <c r="D949" s="126">
        <v>0</v>
      </c>
      <c r="E949" s="126">
        <v>-0.46</v>
      </c>
      <c r="G949" s="126">
        <f t="shared" si="22"/>
        <v>-0.46</v>
      </c>
      <c r="H949" s="126" t="s">
        <v>80</v>
      </c>
    </row>
    <row r="950" spans="1:8">
      <c r="A950" s="126" t="s">
        <v>470</v>
      </c>
      <c r="B950" s="126">
        <v>-444860</v>
      </c>
      <c r="C950" s="126">
        <v>614340</v>
      </c>
      <c r="D950" s="126">
        <v>178180</v>
      </c>
      <c r="E950" s="126">
        <v>-8700</v>
      </c>
      <c r="G950" s="126">
        <f t="shared" si="22"/>
        <v>-8700</v>
      </c>
      <c r="H950" s="126" t="s">
        <v>80</v>
      </c>
    </row>
    <row r="951" spans="1:8">
      <c r="A951" s="126" t="s">
        <v>869</v>
      </c>
      <c r="B951" s="126">
        <v>-41849.269999999997</v>
      </c>
      <c r="C951" s="126">
        <v>91703</v>
      </c>
      <c r="D951" s="126">
        <v>139949</v>
      </c>
      <c r="E951" s="126">
        <v>-90095.27</v>
      </c>
      <c r="G951" s="126">
        <f t="shared" si="22"/>
        <v>-90095.27</v>
      </c>
      <c r="H951" s="126" t="s">
        <v>80</v>
      </c>
    </row>
    <row r="952" spans="1:8">
      <c r="A952" s="126" t="s">
        <v>870</v>
      </c>
      <c r="B952" s="126">
        <v>0</v>
      </c>
      <c r="C952" s="126">
        <v>27966</v>
      </c>
      <c r="D952" s="126">
        <v>27966</v>
      </c>
      <c r="E952" s="126">
        <v>0</v>
      </c>
      <c r="G952" s="126">
        <f t="shared" si="22"/>
        <v>0</v>
      </c>
      <c r="H952" s="126" t="s">
        <v>80</v>
      </c>
    </row>
    <row r="953" spans="1:8">
      <c r="A953" s="126" t="s">
        <v>871</v>
      </c>
      <c r="B953" s="126">
        <v>2520</v>
      </c>
      <c r="C953" s="126">
        <v>0</v>
      </c>
      <c r="D953" s="126">
        <v>0</v>
      </c>
      <c r="E953" s="126">
        <v>2520</v>
      </c>
      <c r="G953" s="126">
        <f t="shared" si="22"/>
        <v>2520</v>
      </c>
      <c r="H953" s="126" t="s">
        <v>80</v>
      </c>
    </row>
    <row r="954" spans="1:8">
      <c r="A954" s="126" t="s">
        <v>872</v>
      </c>
      <c r="B954" s="126">
        <v>-3885</v>
      </c>
      <c r="C954" s="126">
        <v>83759</v>
      </c>
      <c r="D954" s="126">
        <v>83760</v>
      </c>
      <c r="E954" s="126">
        <v>-3886</v>
      </c>
      <c r="G954" s="126">
        <f t="shared" si="22"/>
        <v>-3886</v>
      </c>
      <c r="H954" s="126" t="s">
        <v>80</v>
      </c>
    </row>
    <row r="955" spans="1:8">
      <c r="A955" s="126" t="s">
        <v>1283</v>
      </c>
      <c r="B955" s="126">
        <v>0</v>
      </c>
      <c r="C955" s="126">
        <v>0</v>
      </c>
      <c r="D955" s="126">
        <v>165714</v>
      </c>
      <c r="E955" s="126">
        <v>-165714</v>
      </c>
      <c r="G955" s="126">
        <f t="shared" si="22"/>
        <v>-165714</v>
      </c>
      <c r="H955" s="126" t="s">
        <v>80</v>
      </c>
    </row>
    <row r="956" spans="1:8">
      <c r="A956" s="126" t="s">
        <v>1284</v>
      </c>
      <c r="B956" s="126">
        <v>0</v>
      </c>
      <c r="C956" s="126">
        <v>0</v>
      </c>
      <c r="D956" s="126">
        <v>0</v>
      </c>
      <c r="E956" s="126">
        <v>0</v>
      </c>
      <c r="G956" s="126">
        <f t="shared" si="22"/>
        <v>0</v>
      </c>
      <c r="H956" s="126" t="s">
        <v>80</v>
      </c>
    </row>
    <row r="957" spans="1:8">
      <c r="A957" s="126" t="s">
        <v>873</v>
      </c>
      <c r="B957" s="126">
        <v>-8191.48</v>
      </c>
      <c r="C957" s="126">
        <v>22200</v>
      </c>
      <c r="D957" s="126">
        <v>22200</v>
      </c>
      <c r="E957" s="126">
        <v>-8191.48</v>
      </c>
      <c r="G957" s="126">
        <f t="shared" si="22"/>
        <v>-8191.48</v>
      </c>
      <c r="H957" s="126" t="s">
        <v>80</v>
      </c>
    </row>
    <row r="958" spans="1:8">
      <c r="A958" s="126" t="s">
        <v>874</v>
      </c>
      <c r="B958" s="126">
        <v>-49400</v>
      </c>
      <c r="C958" s="126">
        <v>49400</v>
      </c>
      <c r="D958" s="126">
        <v>0</v>
      </c>
      <c r="E958" s="126">
        <v>0</v>
      </c>
      <c r="G958" s="126">
        <f t="shared" si="22"/>
        <v>0</v>
      </c>
      <c r="H958" s="126" t="s">
        <v>80</v>
      </c>
    </row>
    <row r="959" spans="1:8">
      <c r="A959" s="126" t="s">
        <v>875</v>
      </c>
      <c r="B959" s="126">
        <v>0</v>
      </c>
      <c r="C959" s="126">
        <v>14650</v>
      </c>
      <c r="D959" s="126">
        <v>14650</v>
      </c>
      <c r="E959" s="126">
        <v>0</v>
      </c>
      <c r="G959" s="126">
        <f t="shared" si="22"/>
        <v>0</v>
      </c>
      <c r="H959" s="126" t="s">
        <v>80</v>
      </c>
    </row>
    <row r="960" spans="1:8">
      <c r="A960" s="126" t="s">
        <v>1285</v>
      </c>
      <c r="B960" s="126">
        <v>0</v>
      </c>
      <c r="C960" s="126">
        <v>21240</v>
      </c>
      <c r="D960" s="126">
        <v>21240</v>
      </c>
      <c r="E960" s="126">
        <v>0</v>
      </c>
      <c r="G960" s="126">
        <f t="shared" si="22"/>
        <v>0</v>
      </c>
      <c r="H960" s="126" t="s">
        <v>80</v>
      </c>
    </row>
    <row r="961" spans="1:8">
      <c r="A961" s="126" t="s">
        <v>1490</v>
      </c>
      <c r="B961" s="126">
        <v>0</v>
      </c>
      <c r="C961" s="126">
        <v>18880</v>
      </c>
      <c r="D961" s="126">
        <v>18880</v>
      </c>
      <c r="E961" s="126">
        <v>0</v>
      </c>
      <c r="G961" s="126">
        <f t="shared" si="22"/>
        <v>0</v>
      </c>
      <c r="H961" s="126" t="s">
        <v>80</v>
      </c>
    </row>
    <row r="962" spans="1:8">
      <c r="A962" s="126" t="s">
        <v>876</v>
      </c>
      <c r="B962" s="126">
        <v>-1386</v>
      </c>
      <c r="C962" s="126">
        <v>2670</v>
      </c>
      <c r="D962" s="126">
        <v>5620</v>
      </c>
      <c r="E962" s="126">
        <v>-4336</v>
      </c>
      <c r="G962" s="126">
        <f t="shared" si="22"/>
        <v>-4336</v>
      </c>
      <c r="H962" s="126" t="s">
        <v>80</v>
      </c>
    </row>
    <row r="963" spans="1:8">
      <c r="A963" s="126" t="s">
        <v>1491</v>
      </c>
      <c r="B963" s="126">
        <v>0</v>
      </c>
      <c r="C963" s="126">
        <v>0</v>
      </c>
      <c r="D963" s="126">
        <v>51212</v>
      </c>
      <c r="E963" s="126">
        <v>-51212</v>
      </c>
      <c r="G963" s="126">
        <f t="shared" ref="G963:G1026" si="23">E963+F963</f>
        <v>-51212</v>
      </c>
      <c r="H963" s="126" t="s">
        <v>80</v>
      </c>
    </row>
    <row r="964" spans="1:8">
      <c r="A964" s="126" t="s">
        <v>877</v>
      </c>
      <c r="B964" s="126">
        <v>790350</v>
      </c>
      <c r="C964" s="126">
        <v>0</v>
      </c>
      <c r="D964" s="126">
        <v>0</v>
      </c>
      <c r="E964" s="126">
        <v>790350</v>
      </c>
      <c r="G964" s="126">
        <f t="shared" si="23"/>
        <v>790350</v>
      </c>
      <c r="H964" s="126" t="s">
        <v>80</v>
      </c>
    </row>
    <row r="965" spans="1:8">
      <c r="A965" s="126" t="s">
        <v>878</v>
      </c>
      <c r="B965" s="126">
        <v>-18682.599999999999</v>
      </c>
      <c r="C965" s="126">
        <v>0</v>
      </c>
      <c r="D965" s="126">
        <v>0</v>
      </c>
      <c r="E965" s="126">
        <v>-18682.599999999999</v>
      </c>
      <c r="G965" s="126">
        <f t="shared" si="23"/>
        <v>-18682.599999999999</v>
      </c>
      <c r="H965" s="126" t="s">
        <v>80</v>
      </c>
    </row>
    <row r="966" spans="1:8">
      <c r="A966" s="126" t="s">
        <v>487</v>
      </c>
      <c r="B966" s="126">
        <v>-141412</v>
      </c>
      <c r="C966" s="126">
        <v>229208</v>
      </c>
      <c r="D966" s="126">
        <v>88580</v>
      </c>
      <c r="E966" s="126">
        <v>-784</v>
      </c>
      <c r="G966" s="126">
        <f t="shared" si="23"/>
        <v>-784</v>
      </c>
      <c r="H966" s="126" t="s">
        <v>80</v>
      </c>
    </row>
    <row r="967" spans="1:8">
      <c r="A967" s="126" t="s">
        <v>488</v>
      </c>
      <c r="B967" s="126">
        <v>0</v>
      </c>
      <c r="C967" s="126">
        <v>7875</v>
      </c>
      <c r="D967" s="126">
        <v>7875</v>
      </c>
      <c r="E967" s="126">
        <v>0</v>
      </c>
      <c r="G967" s="126">
        <f t="shared" si="23"/>
        <v>0</v>
      </c>
      <c r="H967" s="126" t="s">
        <v>80</v>
      </c>
    </row>
    <row r="968" spans="1:8">
      <c r="A968" s="126" t="s">
        <v>1546</v>
      </c>
      <c r="B968" s="126">
        <v>0</v>
      </c>
      <c r="C968" s="126">
        <v>0</v>
      </c>
      <c r="D968" s="126">
        <v>0</v>
      </c>
      <c r="E968" s="126">
        <v>0</v>
      </c>
      <c r="G968" s="126">
        <f t="shared" si="23"/>
        <v>0</v>
      </c>
      <c r="H968" s="126" t="s">
        <v>80</v>
      </c>
    </row>
    <row r="969" spans="1:8">
      <c r="A969" s="126" t="s">
        <v>400</v>
      </c>
      <c r="B969" s="126">
        <v>-392656</v>
      </c>
      <c r="C969" s="126">
        <v>850945</v>
      </c>
      <c r="D969" s="126">
        <v>458289</v>
      </c>
      <c r="E969" s="126">
        <v>0</v>
      </c>
      <c r="G969" s="126">
        <f t="shared" si="23"/>
        <v>0</v>
      </c>
      <c r="H969" s="126" t="s">
        <v>80</v>
      </c>
    </row>
    <row r="970" spans="1:8">
      <c r="A970" s="126" t="s">
        <v>879</v>
      </c>
      <c r="B970" s="126">
        <v>0</v>
      </c>
      <c r="C970" s="126">
        <v>16095</v>
      </c>
      <c r="D970" s="126">
        <v>16095</v>
      </c>
      <c r="E970" s="126">
        <v>0</v>
      </c>
      <c r="G970" s="126">
        <f t="shared" si="23"/>
        <v>0</v>
      </c>
      <c r="H970" s="126" t="s">
        <v>80</v>
      </c>
    </row>
    <row r="971" spans="1:8">
      <c r="A971" s="126" t="s">
        <v>427</v>
      </c>
      <c r="B971" s="126">
        <v>9031787.25</v>
      </c>
      <c r="C971" s="126">
        <v>500110</v>
      </c>
      <c r="D971" s="126">
        <v>468707</v>
      </c>
      <c r="E971" s="126">
        <v>9063190.25</v>
      </c>
      <c r="G971" s="126">
        <f t="shared" si="23"/>
        <v>9063190.25</v>
      </c>
      <c r="H971" s="126" t="s">
        <v>80</v>
      </c>
    </row>
    <row r="972" spans="1:8">
      <c r="A972" s="126" t="s">
        <v>449</v>
      </c>
      <c r="B972" s="126">
        <v>0</v>
      </c>
      <c r="C972" s="126">
        <v>226023</v>
      </c>
      <c r="D972" s="126">
        <v>226023</v>
      </c>
      <c r="E972" s="126">
        <v>0</v>
      </c>
      <c r="G972" s="126">
        <f t="shared" si="23"/>
        <v>0</v>
      </c>
      <c r="H972" s="126" t="s">
        <v>80</v>
      </c>
    </row>
    <row r="973" spans="1:8">
      <c r="A973" s="126" t="s">
        <v>880</v>
      </c>
      <c r="B973" s="126">
        <v>-57819</v>
      </c>
      <c r="C973" s="126">
        <v>60180</v>
      </c>
      <c r="D973" s="126">
        <v>40120</v>
      </c>
      <c r="E973" s="126">
        <v>-37759</v>
      </c>
      <c r="G973" s="126">
        <f t="shared" si="23"/>
        <v>-37759</v>
      </c>
      <c r="H973" s="126" t="s">
        <v>80</v>
      </c>
    </row>
    <row r="974" spans="1:8">
      <c r="A974" s="126" t="s">
        <v>1286</v>
      </c>
      <c r="B974" s="126">
        <v>0</v>
      </c>
      <c r="C974" s="126">
        <v>289922</v>
      </c>
      <c r="D974" s="126">
        <v>289922</v>
      </c>
      <c r="E974" s="126">
        <v>0</v>
      </c>
      <c r="G974" s="126">
        <f t="shared" si="23"/>
        <v>0</v>
      </c>
      <c r="H974" s="126" t="s">
        <v>80</v>
      </c>
    </row>
    <row r="975" spans="1:8">
      <c r="A975" s="126" t="s">
        <v>1047</v>
      </c>
      <c r="B975" s="126">
        <v>7118.1</v>
      </c>
      <c r="C975" s="126">
        <v>0</v>
      </c>
      <c r="D975" s="126">
        <v>0</v>
      </c>
      <c r="E975" s="126">
        <v>7118.1</v>
      </c>
      <c r="G975" s="126">
        <f t="shared" si="23"/>
        <v>7118.1</v>
      </c>
      <c r="H975" s="126" t="s">
        <v>80</v>
      </c>
    </row>
    <row r="976" spans="1:8">
      <c r="A976" s="126" t="s">
        <v>1287</v>
      </c>
      <c r="B976" s="126">
        <v>0</v>
      </c>
      <c r="C976" s="126">
        <v>0</v>
      </c>
      <c r="D976" s="126">
        <v>0</v>
      </c>
      <c r="E976" s="126">
        <v>0</v>
      </c>
      <c r="G976" s="126">
        <f t="shared" si="23"/>
        <v>0</v>
      </c>
      <c r="H976" s="126" t="s">
        <v>80</v>
      </c>
    </row>
    <row r="977" spans="1:8">
      <c r="A977" s="126" t="s">
        <v>881</v>
      </c>
      <c r="B977" s="126">
        <v>6162</v>
      </c>
      <c r="C977" s="126">
        <v>1057307</v>
      </c>
      <c r="D977" s="126">
        <v>57307</v>
      </c>
      <c r="E977" s="126">
        <v>1006162</v>
      </c>
      <c r="G977" s="126">
        <f t="shared" si="23"/>
        <v>1006162</v>
      </c>
      <c r="H977" s="126" t="s">
        <v>80</v>
      </c>
    </row>
    <row r="978" spans="1:8">
      <c r="A978" s="126" t="s">
        <v>882</v>
      </c>
      <c r="B978" s="126">
        <v>-6200</v>
      </c>
      <c r="C978" s="126">
        <v>18600</v>
      </c>
      <c r="D978" s="126">
        <v>18600</v>
      </c>
      <c r="E978" s="126">
        <v>-6200</v>
      </c>
      <c r="G978" s="126">
        <f t="shared" si="23"/>
        <v>-6200</v>
      </c>
      <c r="H978" s="126" t="s">
        <v>80</v>
      </c>
    </row>
    <row r="979" spans="1:8">
      <c r="A979" s="126" t="s">
        <v>883</v>
      </c>
      <c r="B979" s="126">
        <v>-17244</v>
      </c>
      <c r="C979" s="126">
        <v>17244</v>
      </c>
      <c r="D979" s="126">
        <v>0</v>
      </c>
      <c r="E979" s="126">
        <v>0</v>
      </c>
      <c r="G979" s="126">
        <f t="shared" si="23"/>
        <v>0</v>
      </c>
      <c r="H979" s="126" t="s">
        <v>80</v>
      </c>
    </row>
    <row r="980" spans="1:8">
      <c r="A980" s="126" t="s">
        <v>154</v>
      </c>
      <c r="B980" s="126">
        <v>-188280.18</v>
      </c>
      <c r="C980" s="126">
        <v>564800</v>
      </c>
      <c r="D980" s="126">
        <v>377600</v>
      </c>
      <c r="E980" s="126">
        <v>-1080.18</v>
      </c>
      <c r="G980" s="126">
        <f t="shared" si="23"/>
        <v>-1080.18</v>
      </c>
      <c r="H980" s="126" t="s">
        <v>80</v>
      </c>
    </row>
    <row r="981" spans="1:8">
      <c r="A981" s="126" t="s">
        <v>884</v>
      </c>
      <c r="B981" s="126">
        <v>8785.2000000000007</v>
      </c>
      <c r="C981" s="126">
        <v>0</v>
      </c>
      <c r="D981" s="126">
        <v>0</v>
      </c>
      <c r="E981" s="126">
        <v>8785.2000000000007</v>
      </c>
      <c r="G981" s="126">
        <f t="shared" si="23"/>
        <v>8785.2000000000007</v>
      </c>
      <c r="H981" s="126" t="s">
        <v>80</v>
      </c>
    </row>
    <row r="982" spans="1:8">
      <c r="A982" s="126" t="s">
        <v>1288</v>
      </c>
      <c r="B982" s="126">
        <v>0</v>
      </c>
      <c r="C982" s="126">
        <v>100890</v>
      </c>
      <c r="D982" s="126">
        <v>100890</v>
      </c>
      <c r="E982" s="126">
        <v>0</v>
      </c>
      <c r="G982" s="126">
        <f t="shared" si="23"/>
        <v>0</v>
      </c>
      <c r="H982" s="126" t="s">
        <v>80</v>
      </c>
    </row>
    <row r="983" spans="1:8">
      <c r="A983" s="126" t="s">
        <v>512</v>
      </c>
      <c r="B983" s="126">
        <v>-146216</v>
      </c>
      <c r="C983" s="126">
        <v>164615</v>
      </c>
      <c r="D983" s="126">
        <v>40441</v>
      </c>
      <c r="E983" s="126">
        <v>-22042</v>
      </c>
      <c r="G983" s="126">
        <f t="shared" si="23"/>
        <v>-22042</v>
      </c>
      <c r="H983" s="126" t="s">
        <v>80</v>
      </c>
    </row>
    <row r="984" spans="1:8">
      <c r="A984" s="126" t="s">
        <v>1547</v>
      </c>
      <c r="B984" s="126">
        <v>0</v>
      </c>
      <c r="C984" s="126">
        <v>0</v>
      </c>
      <c r="D984" s="126">
        <v>0</v>
      </c>
      <c r="E984" s="126">
        <v>0</v>
      </c>
      <c r="G984" s="126">
        <f t="shared" si="23"/>
        <v>0</v>
      </c>
      <c r="H984" s="126" t="s">
        <v>80</v>
      </c>
    </row>
    <row r="985" spans="1:8">
      <c r="A985" s="126" t="s">
        <v>885</v>
      </c>
      <c r="B985" s="126">
        <v>65785</v>
      </c>
      <c r="C985" s="126">
        <v>0</v>
      </c>
      <c r="D985" s="126">
        <v>0</v>
      </c>
      <c r="E985" s="126">
        <v>65785</v>
      </c>
      <c r="G985" s="126">
        <f t="shared" si="23"/>
        <v>65785</v>
      </c>
      <c r="H985" s="126" t="s">
        <v>80</v>
      </c>
    </row>
    <row r="986" spans="1:8">
      <c r="A986" s="126" t="s">
        <v>886</v>
      </c>
      <c r="B986" s="126">
        <v>-6720</v>
      </c>
      <c r="C986" s="126">
        <v>0</v>
      </c>
      <c r="D986" s="126">
        <v>0</v>
      </c>
      <c r="E986" s="126">
        <v>-6720</v>
      </c>
      <c r="G986" s="126">
        <f t="shared" si="23"/>
        <v>-6720</v>
      </c>
      <c r="H986" s="126" t="s">
        <v>80</v>
      </c>
    </row>
    <row r="987" spans="1:8">
      <c r="A987" s="126" t="s">
        <v>1289</v>
      </c>
      <c r="B987" s="126">
        <v>0</v>
      </c>
      <c r="C987" s="126">
        <v>14750</v>
      </c>
      <c r="D987" s="126">
        <v>0</v>
      </c>
      <c r="E987" s="126">
        <v>14750</v>
      </c>
      <c r="G987" s="126">
        <f t="shared" si="23"/>
        <v>14750</v>
      </c>
      <c r="H987" s="126" t="s">
        <v>80</v>
      </c>
    </row>
    <row r="988" spans="1:8">
      <c r="A988" s="126" t="s">
        <v>1290</v>
      </c>
      <c r="B988" s="126">
        <v>0</v>
      </c>
      <c r="C988" s="126">
        <v>0</v>
      </c>
      <c r="D988" s="126">
        <v>0</v>
      </c>
      <c r="E988" s="126">
        <v>0</v>
      </c>
      <c r="G988" s="126">
        <f t="shared" si="23"/>
        <v>0</v>
      </c>
      <c r="H988" s="126" t="s">
        <v>80</v>
      </c>
    </row>
    <row r="989" spans="1:8">
      <c r="A989" s="126" t="s">
        <v>887</v>
      </c>
      <c r="B989" s="126">
        <v>0</v>
      </c>
      <c r="C989" s="126">
        <v>269162</v>
      </c>
      <c r="D989" s="126">
        <v>474708</v>
      </c>
      <c r="E989" s="126">
        <v>-205546</v>
      </c>
      <c r="G989" s="126">
        <f t="shared" si="23"/>
        <v>-205546</v>
      </c>
      <c r="H989" s="126" t="s">
        <v>80</v>
      </c>
    </row>
    <row r="990" spans="1:8">
      <c r="A990" s="126" t="s">
        <v>1291</v>
      </c>
      <c r="B990" s="126">
        <v>0</v>
      </c>
      <c r="C990" s="126">
        <v>0</v>
      </c>
      <c r="D990" s="126">
        <v>0</v>
      </c>
      <c r="E990" s="126">
        <v>0</v>
      </c>
      <c r="G990" s="126">
        <f t="shared" si="23"/>
        <v>0</v>
      </c>
      <c r="H990" s="126" t="s">
        <v>80</v>
      </c>
    </row>
    <row r="991" spans="1:8">
      <c r="A991" s="126" t="s">
        <v>300</v>
      </c>
      <c r="B991" s="126">
        <v>497669</v>
      </c>
      <c r="C991" s="126">
        <v>2019</v>
      </c>
      <c r="D991" s="126">
        <v>117321</v>
      </c>
      <c r="E991" s="126">
        <v>382367</v>
      </c>
      <c r="G991" s="126">
        <f t="shared" si="23"/>
        <v>382367</v>
      </c>
      <c r="H991" s="126" t="s">
        <v>80</v>
      </c>
    </row>
    <row r="992" spans="1:8">
      <c r="A992" s="126" t="s">
        <v>453</v>
      </c>
      <c r="B992" s="126">
        <v>-1539.42</v>
      </c>
      <c r="C992" s="126">
        <v>15078</v>
      </c>
      <c r="D992" s="126">
        <v>15078</v>
      </c>
      <c r="E992" s="126">
        <v>-1539.42</v>
      </c>
      <c r="G992" s="126">
        <f t="shared" si="23"/>
        <v>-1539.42</v>
      </c>
      <c r="H992" s="126" t="s">
        <v>80</v>
      </c>
    </row>
    <row r="993" spans="1:8">
      <c r="A993" s="126" t="s">
        <v>888</v>
      </c>
      <c r="B993" s="126">
        <v>-40</v>
      </c>
      <c r="C993" s="126">
        <v>0</v>
      </c>
      <c r="D993" s="126">
        <v>0</v>
      </c>
      <c r="E993" s="126">
        <v>-40</v>
      </c>
      <c r="G993" s="126">
        <f t="shared" si="23"/>
        <v>-40</v>
      </c>
      <c r="H993" s="126" t="s">
        <v>80</v>
      </c>
    </row>
    <row r="994" spans="1:8">
      <c r="A994" s="126" t="s">
        <v>292</v>
      </c>
      <c r="B994" s="126">
        <v>-2000</v>
      </c>
      <c r="C994" s="126">
        <v>0</v>
      </c>
      <c r="D994" s="126">
        <v>0</v>
      </c>
      <c r="E994" s="126">
        <v>-2000</v>
      </c>
      <c r="G994" s="126">
        <f t="shared" si="23"/>
        <v>-2000</v>
      </c>
      <c r="H994" s="126" t="s">
        <v>80</v>
      </c>
    </row>
    <row r="995" spans="1:8">
      <c r="A995" s="126" t="s">
        <v>1424</v>
      </c>
      <c r="B995" s="126">
        <v>0</v>
      </c>
      <c r="C995" s="126">
        <v>0</v>
      </c>
      <c r="D995" s="126">
        <v>0</v>
      </c>
      <c r="E995" s="126">
        <v>0</v>
      </c>
      <c r="G995" s="126">
        <f t="shared" si="23"/>
        <v>0</v>
      </c>
      <c r="H995" s="126" t="s">
        <v>80</v>
      </c>
    </row>
    <row r="996" spans="1:8">
      <c r="A996" s="126" t="s">
        <v>889</v>
      </c>
      <c r="B996" s="126">
        <v>-8280</v>
      </c>
      <c r="C996" s="126">
        <v>8280</v>
      </c>
      <c r="D996" s="126">
        <v>0</v>
      </c>
      <c r="E996" s="126">
        <v>0</v>
      </c>
      <c r="G996" s="126">
        <f t="shared" si="23"/>
        <v>0</v>
      </c>
      <c r="H996" s="126" t="s">
        <v>80</v>
      </c>
    </row>
    <row r="997" spans="1:8">
      <c r="A997" s="126" t="s">
        <v>285</v>
      </c>
      <c r="B997" s="126">
        <v>-610</v>
      </c>
      <c r="C997" s="126">
        <v>610</v>
      </c>
      <c r="D997" s="126">
        <v>0</v>
      </c>
      <c r="E997" s="126">
        <v>0</v>
      </c>
      <c r="G997" s="126">
        <f t="shared" si="23"/>
        <v>0</v>
      </c>
      <c r="H997" s="126" t="s">
        <v>80</v>
      </c>
    </row>
    <row r="998" spans="1:8">
      <c r="A998" s="126" t="s">
        <v>289</v>
      </c>
      <c r="B998" s="126">
        <v>-59895</v>
      </c>
      <c r="C998" s="126">
        <v>171895</v>
      </c>
      <c r="D998" s="126">
        <v>112000</v>
      </c>
      <c r="E998" s="126">
        <v>0</v>
      </c>
      <c r="G998" s="126">
        <f t="shared" si="23"/>
        <v>0</v>
      </c>
      <c r="H998" s="126" t="s">
        <v>80</v>
      </c>
    </row>
    <row r="999" spans="1:8">
      <c r="A999" s="126" t="s">
        <v>1292</v>
      </c>
      <c r="B999" s="126">
        <v>0</v>
      </c>
      <c r="C999" s="126">
        <v>0</v>
      </c>
      <c r="D999" s="126">
        <v>0</v>
      </c>
      <c r="E999" s="126">
        <v>0</v>
      </c>
      <c r="G999" s="126">
        <f t="shared" si="23"/>
        <v>0</v>
      </c>
      <c r="H999" s="126" t="s">
        <v>80</v>
      </c>
    </row>
    <row r="1000" spans="1:8">
      <c r="A1000" s="126" t="s">
        <v>489</v>
      </c>
      <c r="B1000" s="126">
        <v>102</v>
      </c>
      <c r="C1000" s="126">
        <v>658282</v>
      </c>
      <c r="D1000" s="126">
        <v>658384</v>
      </c>
      <c r="E1000" s="126">
        <v>0</v>
      </c>
      <c r="G1000" s="126">
        <f t="shared" si="23"/>
        <v>0</v>
      </c>
      <c r="H1000" s="126" t="s">
        <v>80</v>
      </c>
    </row>
    <row r="1001" spans="1:8">
      <c r="A1001" s="126" t="s">
        <v>282</v>
      </c>
      <c r="B1001" s="126">
        <v>445</v>
      </c>
      <c r="C1001" s="126">
        <v>131063</v>
      </c>
      <c r="D1001" s="126">
        <v>131508</v>
      </c>
      <c r="E1001" s="126">
        <v>0</v>
      </c>
      <c r="G1001" s="126">
        <f t="shared" si="23"/>
        <v>0</v>
      </c>
      <c r="H1001" s="126" t="s">
        <v>80</v>
      </c>
    </row>
    <row r="1002" spans="1:8">
      <c r="A1002" s="126" t="s">
        <v>523</v>
      </c>
      <c r="B1002" s="126">
        <v>-281496</v>
      </c>
      <c r="C1002" s="126">
        <v>657172</v>
      </c>
      <c r="D1002" s="126">
        <v>375676</v>
      </c>
      <c r="E1002" s="126">
        <v>0</v>
      </c>
      <c r="G1002" s="126">
        <f t="shared" si="23"/>
        <v>0</v>
      </c>
      <c r="H1002" s="126" t="s">
        <v>80</v>
      </c>
    </row>
    <row r="1003" spans="1:8">
      <c r="A1003" s="126" t="s">
        <v>273</v>
      </c>
      <c r="B1003" s="126">
        <v>-80916</v>
      </c>
      <c r="C1003" s="126">
        <v>780603</v>
      </c>
      <c r="D1003" s="126">
        <v>780603</v>
      </c>
      <c r="E1003" s="126">
        <v>-80916</v>
      </c>
      <c r="G1003" s="126">
        <f t="shared" si="23"/>
        <v>-80916</v>
      </c>
      <c r="H1003" s="126" t="s">
        <v>80</v>
      </c>
    </row>
    <row r="1004" spans="1:8">
      <c r="A1004" s="126" t="s">
        <v>1293</v>
      </c>
      <c r="B1004" s="126">
        <v>0</v>
      </c>
      <c r="C1004" s="126">
        <v>397976</v>
      </c>
      <c r="D1004" s="126">
        <v>590492</v>
      </c>
      <c r="E1004" s="126">
        <v>-192516</v>
      </c>
      <c r="G1004" s="126">
        <f t="shared" si="23"/>
        <v>-192516</v>
      </c>
      <c r="H1004" s="126" t="s">
        <v>80</v>
      </c>
    </row>
    <row r="1005" spans="1:8">
      <c r="A1005" s="126" t="s">
        <v>270</v>
      </c>
      <c r="B1005" s="126">
        <v>-38357.480000000003</v>
      </c>
      <c r="C1005" s="126">
        <v>0</v>
      </c>
      <c r="D1005" s="126">
        <v>0</v>
      </c>
      <c r="E1005" s="126">
        <v>-38357.480000000003</v>
      </c>
      <c r="G1005" s="126">
        <f t="shared" si="23"/>
        <v>-38357.480000000003</v>
      </c>
      <c r="H1005" s="126" t="s">
        <v>80</v>
      </c>
    </row>
    <row r="1006" spans="1:8">
      <c r="A1006" s="126" t="s">
        <v>890</v>
      </c>
      <c r="B1006" s="126">
        <v>-4230</v>
      </c>
      <c r="C1006" s="126">
        <v>0</v>
      </c>
      <c r="D1006" s="126">
        <v>0</v>
      </c>
      <c r="E1006" s="126">
        <v>-4230</v>
      </c>
      <c r="G1006" s="126">
        <f t="shared" si="23"/>
        <v>-4230</v>
      </c>
      <c r="H1006" s="126" t="s">
        <v>80</v>
      </c>
    </row>
    <row r="1007" spans="1:8">
      <c r="A1007" s="126" t="s">
        <v>268</v>
      </c>
      <c r="B1007" s="126">
        <v>6313</v>
      </c>
      <c r="C1007" s="126">
        <v>7788</v>
      </c>
      <c r="D1007" s="126">
        <v>7788</v>
      </c>
      <c r="E1007" s="126">
        <v>6313</v>
      </c>
      <c r="G1007" s="126">
        <f t="shared" si="23"/>
        <v>6313</v>
      </c>
      <c r="H1007" s="126" t="s">
        <v>80</v>
      </c>
    </row>
    <row r="1008" spans="1:8">
      <c r="A1008" s="126" t="s">
        <v>1548</v>
      </c>
      <c r="B1008" s="126">
        <v>0</v>
      </c>
      <c r="C1008" s="126">
        <v>0</v>
      </c>
      <c r="D1008" s="126">
        <v>0</v>
      </c>
      <c r="E1008" s="126">
        <v>0</v>
      </c>
      <c r="G1008" s="126">
        <f t="shared" si="23"/>
        <v>0</v>
      </c>
      <c r="H1008" s="126" t="s">
        <v>80</v>
      </c>
    </row>
    <row r="1009" spans="1:8">
      <c r="A1009" s="126" t="s">
        <v>266</v>
      </c>
      <c r="B1009" s="126">
        <v>-174560</v>
      </c>
      <c r="C1009" s="126">
        <v>734230.01</v>
      </c>
      <c r="D1009" s="126">
        <v>514699.01</v>
      </c>
      <c r="E1009" s="126">
        <v>44971</v>
      </c>
      <c r="G1009" s="126">
        <f t="shared" si="23"/>
        <v>44971</v>
      </c>
      <c r="H1009" s="126" t="s">
        <v>80</v>
      </c>
    </row>
    <row r="1010" spans="1:8">
      <c r="A1010" s="126" t="s">
        <v>490</v>
      </c>
      <c r="B1010" s="126">
        <v>0</v>
      </c>
      <c r="C1010" s="126">
        <v>644000</v>
      </c>
      <c r="D1010" s="126">
        <v>644000</v>
      </c>
      <c r="E1010" s="126">
        <v>0</v>
      </c>
      <c r="G1010" s="126">
        <f t="shared" si="23"/>
        <v>0</v>
      </c>
      <c r="H1010" s="126" t="s">
        <v>80</v>
      </c>
    </row>
    <row r="1011" spans="1:8">
      <c r="A1011" s="126" t="s">
        <v>1294</v>
      </c>
      <c r="B1011" s="126">
        <v>0</v>
      </c>
      <c r="C1011" s="126">
        <v>521237.96</v>
      </c>
      <c r="D1011" s="126">
        <v>258428.98</v>
      </c>
      <c r="E1011" s="126">
        <v>262808.98</v>
      </c>
      <c r="G1011" s="126">
        <f t="shared" si="23"/>
        <v>262808.98</v>
      </c>
      <c r="H1011" s="126" t="s">
        <v>80</v>
      </c>
    </row>
    <row r="1012" spans="1:8">
      <c r="A1012" s="126" t="s">
        <v>891</v>
      </c>
      <c r="B1012" s="126">
        <v>1161</v>
      </c>
      <c r="C1012" s="126">
        <v>67367</v>
      </c>
      <c r="D1012" s="126">
        <v>68528</v>
      </c>
      <c r="E1012" s="126">
        <v>0</v>
      </c>
      <c r="G1012" s="126">
        <f t="shared" si="23"/>
        <v>0</v>
      </c>
      <c r="H1012" s="126" t="s">
        <v>80</v>
      </c>
    </row>
    <row r="1013" spans="1:8">
      <c r="A1013" s="126" t="s">
        <v>1295</v>
      </c>
      <c r="B1013" s="126">
        <v>0</v>
      </c>
      <c r="C1013" s="126">
        <v>0</v>
      </c>
      <c r="D1013" s="126">
        <v>0</v>
      </c>
      <c r="E1013" s="126">
        <v>0</v>
      </c>
      <c r="G1013" s="126">
        <f t="shared" si="23"/>
        <v>0</v>
      </c>
      <c r="H1013" s="126" t="s">
        <v>80</v>
      </c>
    </row>
    <row r="1014" spans="1:8">
      <c r="A1014" s="126" t="s">
        <v>261</v>
      </c>
      <c r="B1014" s="126">
        <v>-58000</v>
      </c>
      <c r="C1014" s="126">
        <v>93018</v>
      </c>
      <c r="D1014" s="126">
        <v>34220</v>
      </c>
      <c r="E1014" s="126">
        <v>798</v>
      </c>
      <c r="G1014" s="126">
        <f t="shared" si="23"/>
        <v>798</v>
      </c>
      <c r="H1014" s="126" t="s">
        <v>80</v>
      </c>
    </row>
    <row r="1015" spans="1:8">
      <c r="A1015" s="126" t="s">
        <v>1296</v>
      </c>
      <c r="B1015" s="126">
        <v>0</v>
      </c>
      <c r="C1015" s="126">
        <v>0</v>
      </c>
      <c r="D1015" s="126">
        <v>0</v>
      </c>
      <c r="E1015" s="126">
        <v>0</v>
      </c>
      <c r="G1015" s="126">
        <f t="shared" si="23"/>
        <v>0</v>
      </c>
      <c r="H1015" s="126" t="s">
        <v>80</v>
      </c>
    </row>
    <row r="1016" spans="1:8">
      <c r="A1016" s="126" t="s">
        <v>892</v>
      </c>
      <c r="B1016" s="126">
        <v>-0.46</v>
      </c>
      <c r="C1016" s="126">
        <v>0</v>
      </c>
      <c r="D1016" s="126">
        <v>0</v>
      </c>
      <c r="E1016" s="126">
        <v>-0.46</v>
      </c>
      <c r="G1016" s="126">
        <f t="shared" si="23"/>
        <v>-0.46</v>
      </c>
      <c r="H1016" s="126" t="s">
        <v>80</v>
      </c>
    </row>
    <row r="1017" spans="1:8">
      <c r="A1017" s="126" t="s">
        <v>893</v>
      </c>
      <c r="B1017" s="126">
        <v>1263</v>
      </c>
      <c r="C1017" s="126">
        <v>0</v>
      </c>
      <c r="D1017" s="126">
        <v>0</v>
      </c>
      <c r="E1017" s="126">
        <v>1263</v>
      </c>
      <c r="G1017" s="126">
        <f t="shared" si="23"/>
        <v>1263</v>
      </c>
      <c r="H1017" s="126" t="s">
        <v>80</v>
      </c>
    </row>
    <row r="1018" spans="1:8">
      <c r="A1018" s="126" t="s">
        <v>254</v>
      </c>
      <c r="B1018" s="126">
        <v>-190218</v>
      </c>
      <c r="C1018" s="126">
        <v>190218</v>
      </c>
      <c r="D1018" s="126">
        <v>0</v>
      </c>
      <c r="E1018" s="126">
        <v>0</v>
      </c>
      <c r="G1018" s="126">
        <f t="shared" si="23"/>
        <v>0</v>
      </c>
      <c r="H1018" s="126" t="s">
        <v>80</v>
      </c>
    </row>
    <row r="1019" spans="1:8">
      <c r="A1019" s="126" t="s">
        <v>894</v>
      </c>
      <c r="B1019" s="126">
        <v>-105883</v>
      </c>
      <c r="C1019" s="126">
        <v>202726</v>
      </c>
      <c r="D1019" s="126">
        <v>96843</v>
      </c>
      <c r="E1019" s="126">
        <v>0</v>
      </c>
      <c r="G1019" s="126">
        <f t="shared" si="23"/>
        <v>0</v>
      </c>
      <c r="H1019" s="126" t="s">
        <v>80</v>
      </c>
    </row>
    <row r="1020" spans="1:8">
      <c r="A1020" s="126" t="s">
        <v>251</v>
      </c>
      <c r="B1020" s="126">
        <v>7280</v>
      </c>
      <c r="C1020" s="126">
        <v>29330</v>
      </c>
      <c r="D1020" s="126">
        <v>36750</v>
      </c>
      <c r="E1020" s="126">
        <v>-140</v>
      </c>
      <c r="G1020" s="126">
        <f t="shared" si="23"/>
        <v>-140</v>
      </c>
      <c r="H1020" s="126" t="s">
        <v>80</v>
      </c>
    </row>
    <row r="1021" spans="1:8">
      <c r="A1021" s="126" t="s">
        <v>247</v>
      </c>
      <c r="B1021" s="126">
        <v>548</v>
      </c>
      <c r="C1021" s="126">
        <v>72674</v>
      </c>
      <c r="D1021" s="126">
        <v>73222</v>
      </c>
      <c r="E1021" s="126">
        <v>0</v>
      </c>
      <c r="G1021" s="126">
        <f t="shared" si="23"/>
        <v>0</v>
      </c>
      <c r="H1021" s="126" t="s">
        <v>80</v>
      </c>
    </row>
    <row r="1022" spans="1:8">
      <c r="A1022" s="126" t="s">
        <v>1297</v>
      </c>
      <c r="B1022" s="126">
        <v>0</v>
      </c>
      <c r="C1022" s="126">
        <v>0</v>
      </c>
      <c r="D1022" s="126">
        <v>0</v>
      </c>
      <c r="E1022" s="126">
        <v>0</v>
      </c>
      <c r="G1022" s="126">
        <f t="shared" si="23"/>
        <v>0</v>
      </c>
      <c r="H1022" s="126" t="s">
        <v>80</v>
      </c>
    </row>
    <row r="1023" spans="1:8">
      <c r="A1023" s="126" t="s">
        <v>895</v>
      </c>
      <c r="B1023" s="126">
        <v>-44936.54</v>
      </c>
      <c r="C1023" s="126">
        <v>44936.54</v>
      </c>
      <c r="D1023" s="126">
        <v>0</v>
      </c>
      <c r="E1023" s="126">
        <v>0</v>
      </c>
      <c r="G1023" s="126">
        <f t="shared" si="23"/>
        <v>0</v>
      </c>
      <c r="H1023" s="126" t="s">
        <v>80</v>
      </c>
    </row>
    <row r="1024" spans="1:8">
      <c r="A1024" s="126" t="s">
        <v>237</v>
      </c>
      <c r="B1024" s="126">
        <v>-6000</v>
      </c>
      <c r="C1024" s="126">
        <v>6000</v>
      </c>
      <c r="D1024" s="126">
        <v>0</v>
      </c>
      <c r="E1024" s="126">
        <v>0</v>
      </c>
      <c r="G1024" s="126">
        <f t="shared" si="23"/>
        <v>0</v>
      </c>
      <c r="H1024" s="126" t="s">
        <v>80</v>
      </c>
    </row>
    <row r="1025" spans="1:8">
      <c r="A1025" s="126" t="s">
        <v>1492</v>
      </c>
      <c r="B1025" s="126">
        <v>0</v>
      </c>
      <c r="C1025" s="126">
        <v>19500</v>
      </c>
      <c r="D1025" s="126">
        <v>19500</v>
      </c>
      <c r="E1025" s="126">
        <v>0</v>
      </c>
      <c r="G1025" s="126">
        <f t="shared" si="23"/>
        <v>0</v>
      </c>
      <c r="H1025" s="126" t="s">
        <v>80</v>
      </c>
    </row>
    <row r="1026" spans="1:8">
      <c r="A1026" s="126" t="s">
        <v>1298</v>
      </c>
      <c r="B1026" s="126">
        <v>0</v>
      </c>
      <c r="C1026" s="126">
        <v>17000</v>
      </c>
      <c r="D1026" s="126">
        <v>17000</v>
      </c>
      <c r="E1026" s="126">
        <v>0</v>
      </c>
      <c r="G1026" s="126">
        <f t="shared" si="23"/>
        <v>0</v>
      </c>
      <c r="H1026" s="126" t="s">
        <v>80</v>
      </c>
    </row>
    <row r="1027" spans="1:8">
      <c r="A1027" s="126" t="s">
        <v>450</v>
      </c>
      <c r="B1027" s="126">
        <v>-10000</v>
      </c>
      <c r="C1027" s="126">
        <v>21500</v>
      </c>
      <c r="D1027" s="126">
        <v>21500</v>
      </c>
      <c r="E1027" s="126">
        <v>-10000</v>
      </c>
      <c r="G1027" s="126">
        <f t="shared" ref="G1027:G1090" si="24">E1027+F1027</f>
        <v>-10000</v>
      </c>
      <c r="H1027" s="126" t="s">
        <v>80</v>
      </c>
    </row>
    <row r="1028" spans="1:8">
      <c r="A1028" s="126" t="s">
        <v>1493</v>
      </c>
      <c r="B1028" s="126">
        <v>0</v>
      </c>
      <c r="C1028" s="126">
        <v>32278</v>
      </c>
      <c r="D1028" s="126">
        <v>32278</v>
      </c>
      <c r="E1028" s="126">
        <v>0</v>
      </c>
      <c r="G1028" s="126">
        <f t="shared" si="24"/>
        <v>0</v>
      </c>
      <c r="H1028" s="126" t="s">
        <v>80</v>
      </c>
    </row>
    <row r="1029" spans="1:8">
      <c r="A1029" s="126" t="s">
        <v>218</v>
      </c>
      <c r="B1029" s="126">
        <v>-17248</v>
      </c>
      <c r="C1029" s="126">
        <v>1581613.2</v>
      </c>
      <c r="D1029" s="126">
        <v>1437921.2</v>
      </c>
      <c r="E1029" s="126">
        <v>126444</v>
      </c>
      <c r="G1029" s="126">
        <f t="shared" si="24"/>
        <v>126444</v>
      </c>
      <c r="H1029" s="126" t="s">
        <v>80</v>
      </c>
    </row>
    <row r="1030" spans="1:8">
      <c r="A1030" s="126" t="s">
        <v>395</v>
      </c>
      <c r="B1030" s="126">
        <v>29840.84</v>
      </c>
      <c r="C1030" s="126">
        <v>0</v>
      </c>
      <c r="D1030" s="126">
        <v>0</v>
      </c>
      <c r="E1030" s="126">
        <v>29840.84</v>
      </c>
      <c r="G1030" s="126">
        <f t="shared" si="24"/>
        <v>29840.84</v>
      </c>
      <c r="H1030" s="126" t="s">
        <v>80</v>
      </c>
    </row>
    <row r="1031" spans="1:8">
      <c r="A1031" s="126" t="s">
        <v>896</v>
      </c>
      <c r="B1031" s="126">
        <v>-47500</v>
      </c>
      <c r="C1031" s="126">
        <v>0</v>
      </c>
      <c r="D1031" s="126">
        <v>0</v>
      </c>
      <c r="E1031" s="126">
        <v>-47500</v>
      </c>
      <c r="G1031" s="126">
        <f t="shared" si="24"/>
        <v>-47500</v>
      </c>
      <c r="H1031" s="126" t="s">
        <v>80</v>
      </c>
    </row>
    <row r="1032" spans="1:8">
      <c r="A1032" s="126" t="s">
        <v>444</v>
      </c>
      <c r="B1032" s="126">
        <v>502</v>
      </c>
      <c r="C1032" s="126">
        <v>95524</v>
      </c>
      <c r="D1032" s="126">
        <v>96026</v>
      </c>
      <c r="E1032" s="126">
        <v>0</v>
      </c>
      <c r="G1032" s="126">
        <f t="shared" si="24"/>
        <v>0</v>
      </c>
      <c r="H1032" s="126" t="s">
        <v>80</v>
      </c>
    </row>
    <row r="1033" spans="1:8">
      <c r="A1033" s="126" t="s">
        <v>1494</v>
      </c>
      <c r="B1033" s="126">
        <v>0</v>
      </c>
      <c r="C1033" s="126">
        <v>0</v>
      </c>
      <c r="D1033" s="126">
        <v>205560</v>
      </c>
      <c r="E1033" s="126">
        <v>-205560</v>
      </c>
      <c r="G1033" s="126">
        <f t="shared" si="24"/>
        <v>-205560</v>
      </c>
      <c r="H1033" s="126" t="s">
        <v>80</v>
      </c>
    </row>
    <row r="1034" spans="1:8">
      <c r="A1034" s="126" t="s">
        <v>198</v>
      </c>
      <c r="B1034" s="126">
        <v>106866.67</v>
      </c>
      <c r="C1034" s="126">
        <v>54430.34</v>
      </c>
      <c r="D1034" s="126">
        <v>7210.16</v>
      </c>
      <c r="E1034" s="126">
        <v>154086.85</v>
      </c>
      <c r="G1034" s="126">
        <f t="shared" si="24"/>
        <v>154086.85</v>
      </c>
      <c r="H1034" s="126" t="s">
        <v>80</v>
      </c>
    </row>
    <row r="1035" spans="1:8">
      <c r="A1035" s="126" t="s">
        <v>897</v>
      </c>
      <c r="B1035" s="126">
        <v>-14457</v>
      </c>
      <c r="C1035" s="126">
        <v>14457</v>
      </c>
      <c r="D1035" s="126">
        <v>0</v>
      </c>
      <c r="E1035" s="126">
        <v>0</v>
      </c>
      <c r="G1035" s="126">
        <f t="shared" si="24"/>
        <v>0</v>
      </c>
      <c r="H1035" s="126" t="s">
        <v>80</v>
      </c>
    </row>
    <row r="1036" spans="1:8">
      <c r="A1036" s="126" t="s">
        <v>898</v>
      </c>
      <c r="B1036" s="126">
        <v>4172</v>
      </c>
      <c r="C1036" s="126">
        <v>0</v>
      </c>
      <c r="D1036" s="126">
        <v>0</v>
      </c>
      <c r="E1036" s="126">
        <v>4172</v>
      </c>
      <c r="G1036" s="126">
        <f t="shared" si="24"/>
        <v>4172</v>
      </c>
      <c r="H1036" s="126" t="s">
        <v>80</v>
      </c>
    </row>
    <row r="1037" spans="1:8">
      <c r="A1037" s="126" t="s">
        <v>899</v>
      </c>
      <c r="B1037" s="126">
        <v>-265438</v>
      </c>
      <c r="C1037" s="126">
        <v>265438</v>
      </c>
      <c r="D1037" s="126">
        <v>0</v>
      </c>
      <c r="E1037" s="126">
        <v>0</v>
      </c>
      <c r="G1037" s="126">
        <f t="shared" si="24"/>
        <v>0</v>
      </c>
      <c r="H1037" s="126" t="s">
        <v>80</v>
      </c>
    </row>
    <row r="1038" spans="1:8">
      <c r="A1038" s="126" t="s">
        <v>459</v>
      </c>
      <c r="B1038" s="126">
        <v>0</v>
      </c>
      <c r="C1038" s="126">
        <v>643034</v>
      </c>
      <c r="D1038" s="126">
        <v>643034</v>
      </c>
      <c r="E1038" s="126">
        <v>0</v>
      </c>
      <c r="G1038" s="126">
        <f t="shared" si="24"/>
        <v>0</v>
      </c>
      <c r="H1038" s="126" t="s">
        <v>80</v>
      </c>
    </row>
    <row r="1039" spans="1:8">
      <c r="A1039" s="126" t="s">
        <v>513</v>
      </c>
      <c r="B1039" s="126">
        <v>-50</v>
      </c>
      <c r="C1039" s="126">
        <v>50</v>
      </c>
      <c r="D1039" s="126">
        <v>0</v>
      </c>
      <c r="E1039" s="126">
        <v>0</v>
      </c>
      <c r="G1039" s="126">
        <f t="shared" si="24"/>
        <v>0</v>
      </c>
      <c r="H1039" s="126" t="s">
        <v>80</v>
      </c>
    </row>
    <row r="1040" spans="1:8">
      <c r="A1040" s="126" t="s">
        <v>184</v>
      </c>
      <c r="B1040" s="126">
        <v>-322</v>
      </c>
      <c r="C1040" s="126">
        <v>95993</v>
      </c>
      <c r="D1040" s="126">
        <v>180863</v>
      </c>
      <c r="E1040" s="126">
        <v>-85192</v>
      </c>
      <c r="G1040" s="126">
        <f t="shared" si="24"/>
        <v>-85192</v>
      </c>
      <c r="H1040" s="126" t="s">
        <v>80</v>
      </c>
    </row>
    <row r="1041" spans="1:8">
      <c r="A1041" s="126" t="s">
        <v>183</v>
      </c>
      <c r="B1041" s="126">
        <v>-9074.7199999999993</v>
      </c>
      <c r="C1041" s="126">
        <v>3751</v>
      </c>
      <c r="D1041" s="126">
        <v>196956</v>
      </c>
      <c r="E1041" s="126">
        <v>-202279.72</v>
      </c>
      <c r="G1041" s="126">
        <f t="shared" si="24"/>
        <v>-202279.72</v>
      </c>
      <c r="H1041" s="126" t="s">
        <v>80</v>
      </c>
    </row>
    <row r="1042" spans="1:8">
      <c r="A1042" s="126" t="s">
        <v>900</v>
      </c>
      <c r="B1042" s="126">
        <v>0</v>
      </c>
      <c r="C1042" s="126">
        <v>6500</v>
      </c>
      <c r="D1042" s="126">
        <v>23500</v>
      </c>
      <c r="E1042" s="126">
        <v>-17000</v>
      </c>
      <c r="G1042" s="126">
        <f t="shared" si="24"/>
        <v>-17000</v>
      </c>
      <c r="H1042" s="126" t="s">
        <v>80</v>
      </c>
    </row>
    <row r="1043" spans="1:8">
      <c r="A1043" s="126" t="s">
        <v>173</v>
      </c>
      <c r="B1043" s="126">
        <v>-98500</v>
      </c>
      <c r="C1043" s="126">
        <v>440000</v>
      </c>
      <c r="D1043" s="126">
        <v>341500</v>
      </c>
      <c r="E1043" s="126">
        <v>0</v>
      </c>
      <c r="G1043" s="126">
        <f t="shared" si="24"/>
        <v>0</v>
      </c>
      <c r="H1043" s="126" t="s">
        <v>80</v>
      </c>
    </row>
    <row r="1044" spans="1:8">
      <c r="A1044" s="126" t="s">
        <v>901</v>
      </c>
      <c r="B1044" s="126">
        <v>-21200</v>
      </c>
      <c r="C1044" s="126">
        <v>21200</v>
      </c>
      <c r="D1044" s="126">
        <v>0</v>
      </c>
      <c r="E1044" s="126">
        <v>0</v>
      </c>
      <c r="G1044" s="126">
        <f t="shared" si="24"/>
        <v>0</v>
      </c>
      <c r="H1044" s="126" t="s">
        <v>80</v>
      </c>
    </row>
    <row r="1045" spans="1:8">
      <c r="A1045" s="126" t="s">
        <v>1299</v>
      </c>
      <c r="B1045" s="126">
        <v>0</v>
      </c>
      <c r="C1045" s="126">
        <v>1089719</v>
      </c>
      <c r="D1045" s="126">
        <v>1089719</v>
      </c>
      <c r="E1045" s="126">
        <v>0</v>
      </c>
      <c r="G1045" s="126">
        <f t="shared" si="24"/>
        <v>0</v>
      </c>
      <c r="H1045" s="126" t="s">
        <v>80</v>
      </c>
    </row>
    <row r="1046" spans="1:8">
      <c r="A1046" s="126" t="s">
        <v>464</v>
      </c>
      <c r="B1046" s="126">
        <v>0</v>
      </c>
      <c r="C1046" s="126">
        <v>302000</v>
      </c>
      <c r="D1046" s="126">
        <v>302000</v>
      </c>
      <c r="E1046" s="126">
        <v>0</v>
      </c>
      <c r="G1046" s="126">
        <f t="shared" si="24"/>
        <v>0</v>
      </c>
      <c r="H1046" s="126" t="s">
        <v>80</v>
      </c>
    </row>
    <row r="1047" spans="1:8">
      <c r="A1047" s="126" t="s">
        <v>381</v>
      </c>
      <c r="B1047" s="126">
        <v>-948403.69</v>
      </c>
      <c r="C1047" s="126">
        <v>1180978</v>
      </c>
      <c r="D1047" s="126">
        <v>467268</v>
      </c>
      <c r="E1047" s="126">
        <v>-234693.69</v>
      </c>
      <c r="G1047" s="126">
        <f t="shared" si="24"/>
        <v>-234693.69</v>
      </c>
      <c r="H1047" s="126" t="s">
        <v>80</v>
      </c>
    </row>
    <row r="1048" spans="1:8">
      <c r="A1048" s="126" t="s">
        <v>902</v>
      </c>
      <c r="B1048" s="126">
        <v>-14800</v>
      </c>
      <c r="C1048" s="126">
        <v>14800</v>
      </c>
      <c r="D1048" s="126">
        <v>0</v>
      </c>
      <c r="E1048" s="126">
        <v>0</v>
      </c>
      <c r="G1048" s="126">
        <f t="shared" si="24"/>
        <v>0</v>
      </c>
      <c r="H1048" s="126" t="s">
        <v>80</v>
      </c>
    </row>
    <row r="1049" spans="1:8">
      <c r="A1049" s="126" t="s">
        <v>1495</v>
      </c>
      <c r="B1049" s="126">
        <v>0</v>
      </c>
      <c r="C1049" s="126">
        <v>10000</v>
      </c>
      <c r="D1049" s="126">
        <v>0</v>
      </c>
      <c r="E1049" s="126">
        <v>10000</v>
      </c>
      <c r="G1049" s="126">
        <f t="shared" si="24"/>
        <v>10000</v>
      </c>
      <c r="H1049" s="126" t="s">
        <v>80</v>
      </c>
    </row>
    <row r="1050" spans="1:8">
      <c r="A1050" s="126" t="s">
        <v>903</v>
      </c>
      <c r="B1050" s="126">
        <v>204859</v>
      </c>
      <c r="C1050" s="126">
        <v>0</v>
      </c>
      <c r="D1050" s="126">
        <v>0</v>
      </c>
      <c r="E1050" s="126">
        <v>204859</v>
      </c>
      <c r="G1050" s="126">
        <f t="shared" si="24"/>
        <v>204859</v>
      </c>
      <c r="H1050" s="126" t="s">
        <v>80</v>
      </c>
    </row>
    <row r="1051" spans="1:8">
      <c r="A1051" s="126" t="s">
        <v>904</v>
      </c>
      <c r="B1051" s="126">
        <v>1421.19</v>
      </c>
      <c r="C1051" s="126">
        <v>1624</v>
      </c>
      <c r="D1051" s="126">
        <v>0</v>
      </c>
      <c r="E1051" s="126">
        <v>3045.19</v>
      </c>
      <c r="G1051" s="126">
        <f t="shared" si="24"/>
        <v>3045.19</v>
      </c>
      <c r="H1051" s="126" t="s">
        <v>80</v>
      </c>
    </row>
    <row r="1052" spans="1:8">
      <c r="A1052" s="126" t="s">
        <v>396</v>
      </c>
      <c r="B1052" s="126">
        <v>39937.550000000003</v>
      </c>
      <c r="C1052" s="126">
        <v>4993</v>
      </c>
      <c r="D1052" s="126">
        <v>0</v>
      </c>
      <c r="E1052" s="126">
        <v>44930.55</v>
      </c>
      <c r="G1052" s="126">
        <f t="shared" si="24"/>
        <v>44930.55</v>
      </c>
      <c r="H1052" s="126" t="s">
        <v>80</v>
      </c>
    </row>
    <row r="1053" spans="1:8">
      <c r="A1053" s="126" t="s">
        <v>905</v>
      </c>
      <c r="B1053" s="126">
        <v>-2811.03</v>
      </c>
      <c r="C1053" s="126">
        <v>0</v>
      </c>
      <c r="D1053" s="126">
        <v>0</v>
      </c>
      <c r="E1053" s="126">
        <v>-2811.03</v>
      </c>
      <c r="G1053" s="126">
        <f t="shared" si="24"/>
        <v>-2811.03</v>
      </c>
      <c r="H1053" s="126" t="s">
        <v>80</v>
      </c>
    </row>
    <row r="1054" spans="1:8">
      <c r="A1054" s="126" t="s">
        <v>426</v>
      </c>
      <c r="B1054" s="126">
        <v>18348.53</v>
      </c>
      <c r="C1054" s="126">
        <v>11032</v>
      </c>
      <c r="D1054" s="126">
        <v>0</v>
      </c>
      <c r="E1054" s="126">
        <v>29380.53</v>
      </c>
      <c r="G1054" s="126">
        <f t="shared" si="24"/>
        <v>29380.53</v>
      </c>
      <c r="H1054" s="126" t="s">
        <v>80</v>
      </c>
    </row>
    <row r="1055" spans="1:8">
      <c r="A1055" s="126" t="s">
        <v>406</v>
      </c>
      <c r="B1055" s="126">
        <v>0</v>
      </c>
      <c r="C1055" s="126">
        <v>607</v>
      </c>
      <c r="D1055" s="126">
        <v>0</v>
      </c>
      <c r="E1055" s="126">
        <v>607</v>
      </c>
      <c r="G1055" s="126">
        <f t="shared" si="24"/>
        <v>607</v>
      </c>
      <c r="H1055" s="126" t="s">
        <v>80</v>
      </c>
    </row>
    <row r="1056" spans="1:8">
      <c r="A1056" s="126" t="s">
        <v>1496</v>
      </c>
      <c r="B1056" s="126">
        <v>0</v>
      </c>
      <c r="C1056" s="126">
        <v>157918</v>
      </c>
      <c r="D1056" s="126">
        <v>157918</v>
      </c>
      <c r="E1056" s="126">
        <v>0</v>
      </c>
      <c r="G1056" s="126">
        <f t="shared" si="24"/>
        <v>0</v>
      </c>
      <c r="H1056" s="126" t="s">
        <v>80</v>
      </c>
    </row>
    <row r="1057" spans="1:8">
      <c r="A1057" s="126" t="s">
        <v>1497</v>
      </c>
      <c r="B1057" s="126">
        <v>0</v>
      </c>
      <c r="C1057" s="126">
        <v>242813</v>
      </c>
      <c r="D1057" s="126">
        <v>242813</v>
      </c>
      <c r="E1057" s="126">
        <v>0</v>
      </c>
      <c r="G1057" s="126">
        <f t="shared" si="24"/>
        <v>0</v>
      </c>
      <c r="H1057" s="126" t="s">
        <v>80</v>
      </c>
    </row>
    <row r="1058" spans="1:8">
      <c r="A1058" s="126" t="s">
        <v>906</v>
      </c>
      <c r="B1058" s="126">
        <v>2480</v>
      </c>
      <c r="C1058" s="126">
        <v>0</v>
      </c>
      <c r="D1058" s="126">
        <v>0</v>
      </c>
      <c r="E1058" s="126">
        <v>2480</v>
      </c>
      <c r="G1058" s="126">
        <f t="shared" si="24"/>
        <v>2480</v>
      </c>
      <c r="H1058" s="126" t="s">
        <v>80</v>
      </c>
    </row>
    <row r="1059" spans="1:8">
      <c r="A1059" s="126" t="s">
        <v>907</v>
      </c>
      <c r="B1059" s="126">
        <v>2290</v>
      </c>
      <c r="C1059" s="126">
        <v>2140</v>
      </c>
      <c r="D1059" s="126">
        <v>0</v>
      </c>
      <c r="E1059" s="126">
        <v>4430</v>
      </c>
      <c r="G1059" s="126">
        <f t="shared" si="24"/>
        <v>4430</v>
      </c>
      <c r="H1059" s="126" t="s">
        <v>80</v>
      </c>
    </row>
    <row r="1060" spans="1:8">
      <c r="A1060" s="126" t="s">
        <v>908</v>
      </c>
      <c r="B1060" s="126">
        <v>379</v>
      </c>
      <c r="C1060" s="126">
        <v>21967</v>
      </c>
      <c r="D1060" s="126">
        <v>22346</v>
      </c>
      <c r="E1060" s="126">
        <v>0</v>
      </c>
      <c r="G1060" s="126">
        <f t="shared" si="24"/>
        <v>0</v>
      </c>
      <c r="H1060" s="126" t="s">
        <v>80</v>
      </c>
    </row>
    <row r="1061" spans="1:8">
      <c r="A1061" s="126" t="s">
        <v>909</v>
      </c>
      <c r="B1061" s="126">
        <v>0</v>
      </c>
      <c r="C1061" s="126">
        <v>473742</v>
      </c>
      <c r="D1061" s="126">
        <v>473742</v>
      </c>
      <c r="E1061" s="126">
        <v>0</v>
      </c>
      <c r="G1061" s="126">
        <f t="shared" si="24"/>
        <v>0</v>
      </c>
      <c r="H1061" s="126" t="s">
        <v>80</v>
      </c>
    </row>
    <row r="1062" spans="1:8">
      <c r="A1062" s="126" t="s">
        <v>1525</v>
      </c>
      <c r="B1062" s="126">
        <v>0</v>
      </c>
      <c r="C1062" s="126">
        <v>0</v>
      </c>
      <c r="D1062" s="126">
        <v>0</v>
      </c>
      <c r="E1062" s="126">
        <v>0</v>
      </c>
      <c r="G1062" s="126">
        <f t="shared" si="24"/>
        <v>0</v>
      </c>
      <c r="H1062" s="126" t="s">
        <v>80</v>
      </c>
    </row>
    <row r="1063" spans="1:8">
      <c r="A1063" s="126" t="s">
        <v>428</v>
      </c>
      <c r="B1063" s="126">
        <v>-98438</v>
      </c>
      <c r="C1063" s="126">
        <v>324068</v>
      </c>
      <c r="D1063" s="126">
        <v>225630</v>
      </c>
      <c r="E1063" s="126">
        <v>0</v>
      </c>
      <c r="G1063" s="126">
        <f t="shared" si="24"/>
        <v>0</v>
      </c>
      <c r="H1063" s="126" t="s">
        <v>80</v>
      </c>
    </row>
    <row r="1064" spans="1:8">
      <c r="A1064" s="126" t="s">
        <v>389</v>
      </c>
      <c r="B1064" s="126">
        <v>264055.32</v>
      </c>
      <c r="C1064" s="126">
        <v>0</v>
      </c>
      <c r="D1064" s="126">
        <v>0</v>
      </c>
      <c r="E1064" s="126">
        <v>264055.32</v>
      </c>
      <c r="G1064" s="126">
        <f t="shared" si="24"/>
        <v>264055.32</v>
      </c>
      <c r="H1064" s="126" t="s">
        <v>80</v>
      </c>
    </row>
    <row r="1065" spans="1:8">
      <c r="A1065" s="126" t="s">
        <v>1301</v>
      </c>
      <c r="B1065" s="126">
        <v>0</v>
      </c>
      <c r="C1065" s="126">
        <v>0</v>
      </c>
      <c r="D1065" s="126">
        <v>0</v>
      </c>
      <c r="E1065" s="126">
        <v>0</v>
      </c>
      <c r="G1065" s="126">
        <f t="shared" si="24"/>
        <v>0</v>
      </c>
      <c r="H1065" s="126" t="s">
        <v>80</v>
      </c>
    </row>
    <row r="1066" spans="1:8">
      <c r="A1066" s="126" t="s">
        <v>910</v>
      </c>
      <c r="B1066" s="126">
        <v>0</v>
      </c>
      <c r="C1066" s="126">
        <v>52143</v>
      </c>
      <c r="D1066" s="126">
        <v>52143</v>
      </c>
      <c r="E1066" s="126">
        <v>0</v>
      </c>
      <c r="G1066" s="126">
        <f t="shared" si="24"/>
        <v>0</v>
      </c>
      <c r="H1066" s="126" t="s">
        <v>80</v>
      </c>
    </row>
    <row r="1067" spans="1:8">
      <c r="A1067" s="126" t="s">
        <v>911</v>
      </c>
      <c r="B1067" s="126">
        <v>0</v>
      </c>
      <c r="C1067" s="126">
        <v>2357740</v>
      </c>
      <c r="D1067" s="126">
        <v>2357740</v>
      </c>
      <c r="E1067" s="126">
        <v>0</v>
      </c>
      <c r="G1067" s="126">
        <f t="shared" si="24"/>
        <v>0</v>
      </c>
      <c r="H1067" s="126" t="s">
        <v>80</v>
      </c>
    </row>
    <row r="1068" spans="1:8">
      <c r="A1068" s="126" t="s">
        <v>912</v>
      </c>
      <c r="B1068" s="126">
        <v>0</v>
      </c>
      <c r="C1068" s="126">
        <v>96272</v>
      </c>
      <c r="D1068" s="126">
        <v>96272</v>
      </c>
      <c r="E1068" s="126">
        <v>0</v>
      </c>
      <c r="G1068" s="126">
        <f t="shared" si="24"/>
        <v>0</v>
      </c>
      <c r="H1068" s="126" t="s">
        <v>80</v>
      </c>
    </row>
    <row r="1069" spans="1:8">
      <c r="A1069" s="126" t="s">
        <v>913</v>
      </c>
      <c r="B1069" s="126">
        <v>5637.6</v>
      </c>
      <c r="C1069" s="126">
        <v>0</v>
      </c>
      <c r="D1069" s="126">
        <v>0</v>
      </c>
      <c r="E1069" s="126">
        <v>5637.6</v>
      </c>
      <c r="G1069" s="126">
        <f t="shared" si="24"/>
        <v>5637.6</v>
      </c>
      <c r="H1069" s="126" t="s">
        <v>80</v>
      </c>
    </row>
    <row r="1070" spans="1:8">
      <c r="A1070" s="126" t="s">
        <v>914</v>
      </c>
      <c r="B1070" s="126">
        <v>-36738.54</v>
      </c>
      <c r="C1070" s="126">
        <v>0</v>
      </c>
      <c r="D1070" s="126">
        <v>0</v>
      </c>
      <c r="E1070" s="126">
        <v>-36738.54</v>
      </c>
      <c r="G1070" s="126">
        <f t="shared" si="24"/>
        <v>-36738.54</v>
      </c>
      <c r="H1070" s="126" t="s">
        <v>80</v>
      </c>
    </row>
    <row r="1071" spans="1:8">
      <c r="A1071" s="126" t="s">
        <v>1303</v>
      </c>
      <c r="B1071" s="126">
        <v>0</v>
      </c>
      <c r="C1071" s="126">
        <v>0</v>
      </c>
      <c r="D1071" s="126">
        <v>0</v>
      </c>
      <c r="E1071" s="126">
        <v>0</v>
      </c>
      <c r="G1071" s="126">
        <f t="shared" si="24"/>
        <v>0</v>
      </c>
      <c r="H1071" s="126" t="s">
        <v>80</v>
      </c>
    </row>
    <row r="1072" spans="1:8">
      <c r="A1072" s="126" t="s">
        <v>915</v>
      </c>
      <c r="B1072" s="126">
        <v>-20029488</v>
      </c>
      <c r="C1072" s="126">
        <v>0</v>
      </c>
      <c r="D1072" s="126">
        <v>0</v>
      </c>
      <c r="E1072" s="126">
        <v>-20029488</v>
      </c>
      <c r="G1072" s="126">
        <f t="shared" si="24"/>
        <v>-20029488</v>
      </c>
      <c r="H1072" s="126" t="s">
        <v>80</v>
      </c>
    </row>
    <row r="1073" spans="1:8">
      <c r="A1073" s="126" t="s">
        <v>1304</v>
      </c>
      <c r="B1073" s="126">
        <v>0</v>
      </c>
      <c r="C1073" s="126">
        <v>0</v>
      </c>
      <c r="D1073" s="126">
        <v>0</v>
      </c>
      <c r="E1073" s="126">
        <v>0</v>
      </c>
      <c r="G1073" s="126">
        <f t="shared" si="24"/>
        <v>0</v>
      </c>
      <c r="H1073" s="126" t="s">
        <v>80</v>
      </c>
    </row>
    <row r="1074" spans="1:8">
      <c r="A1074" s="126" t="s">
        <v>1305</v>
      </c>
      <c r="B1074" s="126">
        <v>0</v>
      </c>
      <c r="C1074" s="126">
        <v>0</v>
      </c>
      <c r="D1074" s="126">
        <v>0</v>
      </c>
      <c r="E1074" s="126">
        <v>0</v>
      </c>
      <c r="G1074" s="126">
        <f t="shared" si="24"/>
        <v>0</v>
      </c>
      <c r="H1074" s="126" t="s">
        <v>80</v>
      </c>
    </row>
    <row r="1075" spans="1:8">
      <c r="A1075" s="126" t="s">
        <v>1306</v>
      </c>
      <c r="B1075" s="126">
        <v>0</v>
      </c>
      <c r="C1075" s="126">
        <v>0</v>
      </c>
      <c r="D1075" s="126">
        <v>0</v>
      </c>
      <c r="E1075" s="126">
        <v>0</v>
      </c>
      <c r="G1075" s="126">
        <f t="shared" si="24"/>
        <v>0</v>
      </c>
      <c r="H1075" s="126" t="s">
        <v>80</v>
      </c>
    </row>
    <row r="1076" spans="1:8">
      <c r="A1076" s="126" t="s">
        <v>916</v>
      </c>
      <c r="B1076" s="126">
        <v>0.01</v>
      </c>
      <c r="C1076" s="126">
        <v>0</v>
      </c>
      <c r="D1076" s="126">
        <v>0</v>
      </c>
      <c r="E1076" s="126">
        <v>0.01</v>
      </c>
      <c r="G1076" s="126">
        <f t="shared" si="24"/>
        <v>0.01</v>
      </c>
      <c r="H1076" s="126" t="s">
        <v>80</v>
      </c>
    </row>
    <row r="1077" spans="1:8">
      <c r="A1077" s="126" t="s">
        <v>1307</v>
      </c>
      <c r="B1077" s="126">
        <v>0</v>
      </c>
      <c r="C1077" s="126">
        <v>0</v>
      </c>
      <c r="D1077" s="126">
        <v>0</v>
      </c>
      <c r="E1077" s="126">
        <v>0</v>
      </c>
      <c r="G1077" s="126">
        <f t="shared" si="24"/>
        <v>0</v>
      </c>
      <c r="H1077" s="126" t="s">
        <v>80</v>
      </c>
    </row>
    <row r="1078" spans="1:8">
      <c r="A1078" s="126" t="s">
        <v>917</v>
      </c>
      <c r="B1078" s="126">
        <v>-7206296.8700000001</v>
      </c>
      <c r="C1078" s="126">
        <v>7227000</v>
      </c>
      <c r="D1078" s="126">
        <v>0</v>
      </c>
      <c r="E1078" s="126">
        <v>20703.13</v>
      </c>
      <c r="G1078" s="126">
        <f t="shared" si="24"/>
        <v>20703.13</v>
      </c>
      <c r="H1078" s="126" t="s">
        <v>80</v>
      </c>
    </row>
    <row r="1079" spans="1:8">
      <c r="A1079" s="126" t="s">
        <v>1308</v>
      </c>
      <c r="B1079" s="126">
        <v>0</v>
      </c>
      <c r="C1079" s="126">
        <v>0</v>
      </c>
      <c r="D1079" s="126">
        <v>0</v>
      </c>
      <c r="E1079" s="126">
        <v>0</v>
      </c>
      <c r="G1079" s="126">
        <f t="shared" si="24"/>
        <v>0</v>
      </c>
      <c r="H1079" s="126" t="s">
        <v>80</v>
      </c>
    </row>
    <row r="1080" spans="1:8">
      <c r="A1080" s="126" t="s">
        <v>1309</v>
      </c>
      <c r="B1080" s="126">
        <v>0</v>
      </c>
      <c r="C1080" s="126">
        <v>0</v>
      </c>
      <c r="D1080" s="126">
        <v>0</v>
      </c>
      <c r="E1080" s="126">
        <v>0</v>
      </c>
      <c r="G1080" s="126">
        <f t="shared" si="24"/>
        <v>0</v>
      </c>
      <c r="H1080" s="126" t="s">
        <v>80</v>
      </c>
    </row>
    <row r="1081" spans="1:8">
      <c r="A1081" s="126" t="s">
        <v>1310</v>
      </c>
      <c r="B1081" s="126">
        <v>0</v>
      </c>
      <c r="C1081" s="126">
        <v>0</v>
      </c>
      <c r="D1081" s="126">
        <v>0</v>
      </c>
      <c r="E1081" s="126">
        <v>0</v>
      </c>
      <c r="G1081" s="126">
        <f t="shared" si="24"/>
        <v>0</v>
      </c>
      <c r="H1081" s="126" t="s">
        <v>80</v>
      </c>
    </row>
    <row r="1082" spans="1:8">
      <c r="A1082" s="126" t="s">
        <v>918</v>
      </c>
      <c r="B1082" s="126">
        <v>-3007.5</v>
      </c>
      <c r="C1082" s="126">
        <v>3007.5</v>
      </c>
      <c r="D1082" s="126">
        <v>0</v>
      </c>
      <c r="E1082" s="126">
        <v>0</v>
      </c>
      <c r="G1082" s="126">
        <f t="shared" si="24"/>
        <v>0</v>
      </c>
      <c r="H1082" s="126" t="s">
        <v>80</v>
      </c>
    </row>
    <row r="1083" spans="1:8">
      <c r="A1083" s="126" t="s">
        <v>919</v>
      </c>
      <c r="B1083" s="126">
        <v>-362124.3</v>
      </c>
      <c r="C1083" s="126">
        <v>362124.3</v>
      </c>
      <c r="D1083" s="126">
        <v>152928</v>
      </c>
      <c r="E1083" s="126">
        <v>-152928</v>
      </c>
      <c r="G1083" s="126">
        <f t="shared" si="24"/>
        <v>-152928</v>
      </c>
      <c r="H1083" s="126" t="s">
        <v>80</v>
      </c>
    </row>
    <row r="1084" spans="1:8">
      <c r="A1084" s="126" t="s">
        <v>1311</v>
      </c>
      <c r="B1084" s="126">
        <v>0</v>
      </c>
      <c r="C1084" s="126">
        <v>0</v>
      </c>
      <c r="D1084" s="126">
        <v>0</v>
      </c>
      <c r="E1084" s="126">
        <v>0</v>
      </c>
      <c r="G1084" s="126">
        <f t="shared" si="24"/>
        <v>0</v>
      </c>
      <c r="H1084" s="126" t="s">
        <v>80</v>
      </c>
    </row>
    <row r="1085" spans="1:8">
      <c r="A1085" s="126" t="s">
        <v>1527</v>
      </c>
      <c r="B1085" s="126">
        <v>0</v>
      </c>
      <c r="C1085" s="126">
        <v>0</v>
      </c>
      <c r="D1085" s="126">
        <v>0</v>
      </c>
      <c r="E1085" s="126">
        <v>0</v>
      </c>
      <c r="G1085" s="126">
        <f t="shared" si="24"/>
        <v>0</v>
      </c>
      <c r="H1085" s="126" t="s">
        <v>80</v>
      </c>
    </row>
    <row r="1086" spans="1:8">
      <c r="A1086" s="126" t="s">
        <v>460</v>
      </c>
      <c r="B1086" s="126">
        <v>0</v>
      </c>
      <c r="C1086" s="126">
        <v>1339302</v>
      </c>
      <c r="D1086" s="126">
        <v>1339302</v>
      </c>
      <c r="E1086" s="126">
        <v>0</v>
      </c>
      <c r="G1086" s="126">
        <f t="shared" si="24"/>
        <v>0</v>
      </c>
      <c r="H1086" s="126" t="s">
        <v>80</v>
      </c>
    </row>
    <row r="1087" spans="1:8">
      <c r="A1087" s="126" t="s">
        <v>920</v>
      </c>
      <c r="B1087" s="126">
        <v>-390679</v>
      </c>
      <c r="C1087" s="126">
        <v>390679</v>
      </c>
      <c r="D1087" s="126">
        <v>0</v>
      </c>
      <c r="E1087" s="126">
        <v>0</v>
      </c>
      <c r="G1087" s="126">
        <f t="shared" si="24"/>
        <v>0</v>
      </c>
      <c r="H1087" s="126" t="s">
        <v>80</v>
      </c>
    </row>
    <row r="1088" spans="1:8">
      <c r="A1088" s="126" t="s">
        <v>1313</v>
      </c>
      <c r="B1088" s="126">
        <v>0</v>
      </c>
      <c r="C1088" s="126">
        <v>0</v>
      </c>
      <c r="D1088" s="126">
        <v>0</v>
      </c>
      <c r="E1088" s="126">
        <v>0</v>
      </c>
      <c r="G1088" s="126">
        <f t="shared" si="24"/>
        <v>0</v>
      </c>
      <c r="H1088" s="126" t="s">
        <v>80</v>
      </c>
    </row>
    <row r="1089" spans="1:8">
      <c r="A1089" s="126" t="s">
        <v>1498</v>
      </c>
      <c r="B1089" s="126">
        <v>0</v>
      </c>
      <c r="C1089" s="126">
        <v>3970283</v>
      </c>
      <c r="D1089" s="126">
        <v>3973650</v>
      </c>
      <c r="E1089" s="126">
        <v>-3367</v>
      </c>
      <c r="G1089" s="126">
        <f t="shared" si="24"/>
        <v>-3367</v>
      </c>
      <c r="H1089" s="126" t="s">
        <v>80</v>
      </c>
    </row>
    <row r="1090" spans="1:8">
      <c r="A1090" s="126" t="s">
        <v>1314</v>
      </c>
      <c r="B1090" s="126">
        <v>0</v>
      </c>
      <c r="C1090" s="126">
        <v>0</v>
      </c>
      <c r="D1090" s="126">
        <v>0</v>
      </c>
      <c r="E1090" s="126">
        <v>0</v>
      </c>
      <c r="G1090" s="126">
        <f t="shared" si="24"/>
        <v>0</v>
      </c>
      <c r="H1090" s="126" t="s">
        <v>80</v>
      </c>
    </row>
    <row r="1091" spans="1:8">
      <c r="A1091" s="126" t="s">
        <v>451</v>
      </c>
      <c r="B1091" s="126">
        <v>-113701170.09</v>
      </c>
      <c r="C1091" s="126">
        <v>14600000</v>
      </c>
      <c r="D1091" s="126">
        <v>27557474.66</v>
      </c>
      <c r="E1091" s="126">
        <v>-126658644.75</v>
      </c>
      <c r="G1091" s="126">
        <f t="shared" ref="G1091:G1154" si="25">E1091+F1091</f>
        <v>-126658644.75</v>
      </c>
      <c r="H1091" s="126" t="s">
        <v>80</v>
      </c>
    </row>
    <row r="1092" spans="1:8">
      <c r="A1092" s="126" t="s">
        <v>1315</v>
      </c>
      <c r="B1092" s="126">
        <v>0</v>
      </c>
      <c r="C1092" s="126">
        <v>0</v>
      </c>
      <c r="D1092" s="126">
        <v>0</v>
      </c>
      <c r="E1092" s="126">
        <v>0</v>
      </c>
      <c r="G1092" s="126">
        <f t="shared" si="25"/>
        <v>0</v>
      </c>
      <c r="H1092" s="126" t="s">
        <v>80</v>
      </c>
    </row>
    <row r="1093" spans="1:8">
      <c r="A1093" s="126" t="s">
        <v>239</v>
      </c>
      <c r="B1093" s="126">
        <v>0</v>
      </c>
      <c r="C1093" s="126">
        <v>4141237.5</v>
      </c>
      <c r="D1093" s="126">
        <v>4144750</v>
      </c>
      <c r="E1093" s="126">
        <v>-3512.5</v>
      </c>
      <c r="G1093" s="126">
        <f t="shared" si="25"/>
        <v>-3512.5</v>
      </c>
      <c r="H1093" s="126" t="s">
        <v>80</v>
      </c>
    </row>
    <row r="1094" spans="1:8">
      <c r="A1094" s="126" t="s">
        <v>1316</v>
      </c>
      <c r="B1094" s="126">
        <v>0</v>
      </c>
      <c r="C1094" s="126">
        <v>52356115</v>
      </c>
      <c r="D1094" s="126">
        <v>0</v>
      </c>
      <c r="E1094" s="126">
        <v>52356115</v>
      </c>
      <c r="G1094" s="126">
        <f t="shared" si="25"/>
        <v>52356115</v>
      </c>
      <c r="H1094" s="126" t="s">
        <v>80</v>
      </c>
    </row>
    <row r="1095" spans="1:8">
      <c r="A1095" s="126" t="s">
        <v>1317</v>
      </c>
      <c r="B1095" s="126">
        <v>0</v>
      </c>
      <c r="C1095" s="126">
        <v>0</v>
      </c>
      <c r="D1095" s="126">
        <v>0</v>
      </c>
      <c r="E1095" s="126">
        <v>0</v>
      </c>
      <c r="G1095" s="126">
        <f t="shared" si="25"/>
        <v>0</v>
      </c>
      <c r="H1095" s="126" t="s">
        <v>80</v>
      </c>
    </row>
    <row r="1096" spans="1:8">
      <c r="A1096" s="126" t="s">
        <v>1318</v>
      </c>
      <c r="B1096" s="126">
        <v>0</v>
      </c>
      <c r="C1096" s="126">
        <v>3540000</v>
      </c>
      <c r="D1096" s="126">
        <v>0</v>
      </c>
      <c r="E1096" s="126">
        <v>3540000</v>
      </c>
      <c r="G1096" s="126">
        <f t="shared" si="25"/>
        <v>3540000</v>
      </c>
      <c r="H1096" s="126" t="s">
        <v>80</v>
      </c>
    </row>
    <row r="1097" spans="1:8">
      <c r="A1097" s="126" t="s">
        <v>1319</v>
      </c>
      <c r="B1097" s="126">
        <v>0</v>
      </c>
      <c r="C1097" s="126">
        <v>0</v>
      </c>
      <c r="D1097" s="126">
        <v>0</v>
      </c>
      <c r="E1097" s="126">
        <v>0</v>
      </c>
      <c r="G1097" s="126">
        <f t="shared" si="25"/>
        <v>0</v>
      </c>
      <c r="H1097" s="126" t="s">
        <v>80</v>
      </c>
    </row>
    <row r="1098" spans="1:8">
      <c r="A1098" s="126" t="s">
        <v>1321</v>
      </c>
      <c r="B1098" s="126">
        <v>0.01</v>
      </c>
      <c r="C1098" s="126">
        <v>0</v>
      </c>
      <c r="D1098" s="126">
        <v>0</v>
      </c>
      <c r="E1098" s="126">
        <v>0.01</v>
      </c>
      <c r="G1098" s="126">
        <f t="shared" si="25"/>
        <v>0.01</v>
      </c>
      <c r="H1098" s="126" t="s">
        <v>80</v>
      </c>
    </row>
    <row r="1099" spans="1:8">
      <c r="A1099" s="126" t="s">
        <v>921</v>
      </c>
      <c r="B1099" s="126">
        <v>2177.2800000000002</v>
      </c>
      <c r="C1099" s="126">
        <v>0</v>
      </c>
      <c r="D1099" s="126">
        <v>0</v>
      </c>
      <c r="E1099" s="126">
        <v>2177.2800000000002</v>
      </c>
      <c r="G1099" s="126">
        <f t="shared" si="25"/>
        <v>2177.2800000000002</v>
      </c>
      <c r="H1099" s="126" t="s">
        <v>80</v>
      </c>
    </row>
    <row r="1100" spans="1:8">
      <c r="A1100" s="126" t="s">
        <v>524</v>
      </c>
      <c r="B1100" s="126">
        <v>-1349976.14</v>
      </c>
      <c r="C1100" s="126">
        <v>3335296.94</v>
      </c>
      <c r="D1100" s="126">
        <v>4210779</v>
      </c>
      <c r="E1100" s="126">
        <v>-2225458.2000000002</v>
      </c>
      <c r="G1100" s="126">
        <f t="shared" si="25"/>
        <v>-2225458.2000000002</v>
      </c>
      <c r="H1100" s="126" t="s">
        <v>80</v>
      </c>
    </row>
    <row r="1101" spans="1:8">
      <c r="A1101" s="126" t="s">
        <v>1322</v>
      </c>
      <c r="B1101" s="126">
        <v>0</v>
      </c>
      <c r="C1101" s="126">
        <v>0</v>
      </c>
      <c r="D1101" s="126">
        <v>0</v>
      </c>
      <c r="E1101" s="126">
        <v>0</v>
      </c>
      <c r="G1101" s="126">
        <f t="shared" si="25"/>
        <v>0</v>
      </c>
      <c r="H1101" s="126" t="s">
        <v>80</v>
      </c>
    </row>
    <row r="1102" spans="1:8">
      <c r="A1102" s="126" t="s">
        <v>514</v>
      </c>
      <c r="B1102" s="126">
        <v>-6093</v>
      </c>
      <c r="C1102" s="126">
        <v>0</v>
      </c>
      <c r="D1102" s="126">
        <v>0</v>
      </c>
      <c r="E1102" s="126">
        <v>-6093</v>
      </c>
      <c r="G1102" s="126">
        <f t="shared" si="25"/>
        <v>-6093</v>
      </c>
      <c r="H1102" s="126" t="s">
        <v>80</v>
      </c>
    </row>
    <row r="1103" spans="1:8">
      <c r="A1103" s="126" t="s">
        <v>922</v>
      </c>
      <c r="B1103" s="126">
        <v>-2815223.04</v>
      </c>
      <c r="C1103" s="126">
        <v>0</v>
      </c>
      <c r="D1103" s="126">
        <v>0</v>
      </c>
      <c r="E1103" s="126">
        <v>-2815223.04</v>
      </c>
      <c r="G1103" s="126">
        <f t="shared" si="25"/>
        <v>-2815223.04</v>
      </c>
      <c r="H1103" s="126" t="s">
        <v>80</v>
      </c>
    </row>
    <row r="1104" spans="1:8">
      <c r="A1104" s="126" t="s">
        <v>515</v>
      </c>
      <c r="B1104" s="126">
        <v>-60939205.399999999</v>
      </c>
      <c r="C1104" s="126">
        <v>25711863</v>
      </c>
      <c r="D1104" s="126">
        <v>18216858.800000001</v>
      </c>
      <c r="E1104" s="126">
        <v>-53444201.200000003</v>
      </c>
      <c r="G1104" s="126">
        <f t="shared" si="25"/>
        <v>-53444201.200000003</v>
      </c>
      <c r="H1104" s="126" t="s">
        <v>80</v>
      </c>
    </row>
    <row r="1105" spans="1:8">
      <c r="A1105" s="126" t="s">
        <v>516</v>
      </c>
      <c r="B1105" s="126">
        <v>121956043.03</v>
      </c>
      <c r="C1105" s="126">
        <v>20088</v>
      </c>
      <c r="D1105" s="126">
        <v>114367859.02</v>
      </c>
      <c r="E1105" s="126">
        <v>7608272.0099999998</v>
      </c>
      <c r="G1105" s="126">
        <f t="shared" si="25"/>
        <v>7608272.0099999998</v>
      </c>
      <c r="H1105" s="126" t="s">
        <v>80</v>
      </c>
    </row>
    <row r="1106" spans="1:8">
      <c r="A1106" s="126" t="s">
        <v>214</v>
      </c>
      <c r="B1106" s="126">
        <v>-178274.77</v>
      </c>
      <c r="C1106" s="126">
        <v>185413.79</v>
      </c>
      <c r="D1106" s="126">
        <v>128367.69</v>
      </c>
      <c r="E1106" s="126">
        <v>-121228.67</v>
      </c>
      <c r="G1106" s="126">
        <f t="shared" si="25"/>
        <v>-121228.67</v>
      </c>
      <c r="H1106" s="126" t="s">
        <v>80</v>
      </c>
    </row>
    <row r="1107" spans="1:8">
      <c r="A1107" s="126" t="s">
        <v>1528</v>
      </c>
      <c r="B1107" s="126">
        <v>0</v>
      </c>
      <c r="C1107" s="126">
        <v>0</v>
      </c>
      <c r="D1107" s="126">
        <v>0</v>
      </c>
      <c r="E1107" s="126">
        <v>0</v>
      </c>
      <c r="G1107" s="126">
        <f t="shared" si="25"/>
        <v>0</v>
      </c>
      <c r="H1107" s="126" t="s">
        <v>80</v>
      </c>
    </row>
    <row r="1108" spans="1:8">
      <c r="A1108" s="126" t="s">
        <v>207</v>
      </c>
      <c r="B1108" s="126">
        <v>-0.16</v>
      </c>
      <c r="C1108" s="126">
        <v>0</v>
      </c>
      <c r="D1108" s="126">
        <v>0</v>
      </c>
      <c r="E1108" s="126">
        <v>-0.16</v>
      </c>
      <c r="G1108" s="126">
        <f t="shared" si="25"/>
        <v>-0.16</v>
      </c>
      <c r="H1108" s="126" t="s">
        <v>80</v>
      </c>
    </row>
    <row r="1109" spans="1:8">
      <c r="A1109" s="126" t="s">
        <v>1549</v>
      </c>
      <c r="B1109" s="126">
        <v>0</v>
      </c>
      <c r="C1109" s="126">
        <v>0</v>
      </c>
      <c r="D1109" s="126">
        <v>0</v>
      </c>
      <c r="E1109" s="126">
        <v>0</v>
      </c>
      <c r="G1109" s="126">
        <f t="shared" si="25"/>
        <v>0</v>
      </c>
      <c r="H1109" s="126" t="s">
        <v>80</v>
      </c>
    </row>
    <row r="1110" spans="1:8">
      <c r="A1110" s="126" t="s">
        <v>923</v>
      </c>
      <c r="B1110" s="126">
        <v>-288057.3</v>
      </c>
      <c r="C1110" s="126">
        <v>27479518.260000002</v>
      </c>
      <c r="D1110" s="126">
        <v>27922268.98</v>
      </c>
      <c r="E1110" s="126">
        <v>-730808.02</v>
      </c>
      <c r="G1110" s="126">
        <f t="shared" si="25"/>
        <v>-730808.02</v>
      </c>
      <c r="H1110" s="126" t="s">
        <v>80</v>
      </c>
    </row>
    <row r="1111" spans="1:8">
      <c r="A1111" s="126" t="s">
        <v>195</v>
      </c>
      <c r="B1111" s="126">
        <v>-3347574.91</v>
      </c>
      <c r="C1111" s="126">
        <v>0</v>
      </c>
      <c r="D1111" s="126">
        <v>0</v>
      </c>
      <c r="E1111" s="126">
        <v>-3347574.91</v>
      </c>
      <c r="G1111" s="126">
        <f t="shared" si="25"/>
        <v>-3347574.91</v>
      </c>
      <c r="H1111" s="126" t="s">
        <v>80</v>
      </c>
    </row>
    <row r="1112" spans="1:8">
      <c r="A1112" s="126" t="s">
        <v>196</v>
      </c>
      <c r="B1112" s="126">
        <v>-4968583.95</v>
      </c>
      <c r="C1112" s="126">
        <v>5900745.8099999996</v>
      </c>
      <c r="D1112" s="126">
        <v>1264495.67</v>
      </c>
      <c r="E1112" s="126">
        <v>-332333.81</v>
      </c>
      <c r="G1112" s="126">
        <f t="shared" si="25"/>
        <v>-332333.81</v>
      </c>
      <c r="H1112" s="126" t="s">
        <v>80</v>
      </c>
    </row>
    <row r="1113" spans="1:8">
      <c r="A1113" s="126" t="s">
        <v>924</v>
      </c>
      <c r="B1113" s="126">
        <v>0</v>
      </c>
      <c r="C1113" s="126">
        <v>3241696</v>
      </c>
      <c r="D1113" s="126">
        <v>3241696</v>
      </c>
      <c r="E1113" s="126">
        <v>0</v>
      </c>
      <c r="G1113" s="126">
        <f t="shared" si="25"/>
        <v>0</v>
      </c>
      <c r="H1113" s="126" t="s">
        <v>80</v>
      </c>
    </row>
    <row r="1114" spans="1:8">
      <c r="A1114" s="126" t="s">
        <v>1323</v>
      </c>
      <c r="B1114" s="126">
        <v>0</v>
      </c>
      <c r="C1114" s="126">
        <v>0</v>
      </c>
      <c r="D1114" s="126">
        <v>0</v>
      </c>
      <c r="E1114" s="126">
        <v>0</v>
      </c>
      <c r="G1114" s="126">
        <f t="shared" si="25"/>
        <v>0</v>
      </c>
      <c r="H1114" s="126" t="s">
        <v>80</v>
      </c>
    </row>
    <row r="1115" spans="1:8">
      <c r="A1115" s="126" t="s">
        <v>925</v>
      </c>
      <c r="B1115" s="126">
        <v>397122</v>
      </c>
      <c r="C1115" s="126">
        <v>0</v>
      </c>
      <c r="D1115" s="126">
        <v>0</v>
      </c>
      <c r="E1115" s="126">
        <v>397122</v>
      </c>
      <c r="G1115" s="126">
        <f t="shared" si="25"/>
        <v>397122</v>
      </c>
      <c r="H1115" s="126" t="s">
        <v>80</v>
      </c>
    </row>
    <row r="1116" spans="1:8">
      <c r="A1116" s="126" t="s">
        <v>1324</v>
      </c>
      <c r="B1116" s="126">
        <v>0</v>
      </c>
      <c r="C1116" s="126">
        <v>0</v>
      </c>
      <c r="D1116" s="126">
        <v>0</v>
      </c>
      <c r="E1116" s="126">
        <v>0</v>
      </c>
      <c r="G1116" s="126">
        <f t="shared" si="25"/>
        <v>0</v>
      </c>
      <c r="H1116" s="126" t="s">
        <v>80</v>
      </c>
    </row>
    <row r="1117" spans="1:8">
      <c r="A1117" s="126" t="s">
        <v>517</v>
      </c>
      <c r="B1117" s="126">
        <v>9070549</v>
      </c>
      <c r="C1117" s="126">
        <v>0</v>
      </c>
      <c r="D1117" s="126">
        <v>0</v>
      </c>
      <c r="E1117" s="126">
        <v>9070549</v>
      </c>
      <c r="G1117" s="126">
        <f t="shared" si="25"/>
        <v>9070549</v>
      </c>
      <c r="H1117" s="126" t="s">
        <v>80</v>
      </c>
    </row>
    <row r="1118" spans="1:8">
      <c r="A1118" s="126" t="s">
        <v>1327</v>
      </c>
      <c r="B1118" s="126">
        <v>0</v>
      </c>
      <c r="C1118" s="126">
        <v>0</v>
      </c>
      <c r="D1118" s="126">
        <v>0</v>
      </c>
      <c r="E1118" s="126">
        <v>0</v>
      </c>
      <c r="G1118" s="126">
        <f t="shared" si="25"/>
        <v>0</v>
      </c>
      <c r="H1118" s="126" t="s">
        <v>80</v>
      </c>
    </row>
    <row r="1119" spans="1:8">
      <c r="A1119" s="126" t="s">
        <v>437</v>
      </c>
      <c r="B1119" s="126">
        <v>-9289728</v>
      </c>
      <c r="C1119" s="126">
        <v>0</v>
      </c>
      <c r="D1119" s="126">
        <v>0</v>
      </c>
      <c r="E1119" s="126">
        <v>-9289728</v>
      </c>
      <c r="G1119" s="126">
        <f t="shared" si="25"/>
        <v>-9289728</v>
      </c>
      <c r="H1119" s="126" t="s">
        <v>80</v>
      </c>
    </row>
    <row r="1120" spans="1:8">
      <c r="A1120" s="126" t="s">
        <v>926</v>
      </c>
      <c r="B1120" s="126">
        <v>15352.4</v>
      </c>
      <c r="C1120" s="126">
        <v>0</v>
      </c>
      <c r="D1120" s="126">
        <v>0</v>
      </c>
      <c r="E1120" s="126">
        <v>15352.4</v>
      </c>
      <c r="G1120" s="126">
        <f t="shared" si="25"/>
        <v>15352.4</v>
      </c>
      <c r="H1120" s="126" t="s">
        <v>80</v>
      </c>
    </row>
    <row r="1121" spans="1:8">
      <c r="A1121" s="126" t="s">
        <v>378</v>
      </c>
      <c r="B1121" s="126">
        <v>3704282.43</v>
      </c>
      <c r="C1121" s="126">
        <v>958118.04</v>
      </c>
      <c r="D1121" s="126">
        <v>919735.67</v>
      </c>
      <c r="E1121" s="126">
        <v>3742664.8</v>
      </c>
      <c r="G1121" s="126">
        <f t="shared" si="25"/>
        <v>3742664.8</v>
      </c>
      <c r="H1121" s="126" t="s">
        <v>80</v>
      </c>
    </row>
    <row r="1122" spans="1:8">
      <c r="A1122" s="126" t="s">
        <v>927</v>
      </c>
      <c r="B1122" s="126">
        <v>-1667849.04</v>
      </c>
      <c r="C1122" s="126">
        <v>0</v>
      </c>
      <c r="D1122" s="126">
        <v>0</v>
      </c>
      <c r="E1122" s="126">
        <v>-1667849.04</v>
      </c>
      <c r="G1122" s="126">
        <f t="shared" si="25"/>
        <v>-1667849.04</v>
      </c>
      <c r="H1122" s="126" t="s">
        <v>80</v>
      </c>
    </row>
    <row r="1123" spans="1:8">
      <c r="A1123" s="126" t="s">
        <v>160</v>
      </c>
      <c r="B1123" s="126">
        <v>-120912.47</v>
      </c>
      <c r="C1123" s="126">
        <v>0</v>
      </c>
      <c r="D1123" s="126">
        <v>0</v>
      </c>
      <c r="E1123" s="126">
        <v>-120912.47</v>
      </c>
      <c r="G1123" s="126">
        <f t="shared" si="25"/>
        <v>-120912.47</v>
      </c>
      <c r="H1123" s="126" t="s">
        <v>80</v>
      </c>
    </row>
    <row r="1124" spans="1:8">
      <c r="A1124" s="126" t="s">
        <v>1328</v>
      </c>
      <c r="B1124" s="126">
        <v>0</v>
      </c>
      <c r="C1124" s="126">
        <v>0</v>
      </c>
      <c r="D1124" s="126">
        <v>0</v>
      </c>
      <c r="E1124" s="126">
        <v>0</v>
      </c>
      <c r="G1124" s="126">
        <f t="shared" si="25"/>
        <v>0</v>
      </c>
      <c r="H1124" s="126" t="s">
        <v>80</v>
      </c>
    </row>
    <row r="1125" spans="1:8">
      <c r="A1125" s="126" t="s">
        <v>491</v>
      </c>
      <c r="B1125" s="126">
        <v>-3.14</v>
      </c>
      <c r="C1125" s="126">
        <v>0</v>
      </c>
      <c r="D1125" s="126">
        <v>0</v>
      </c>
      <c r="E1125" s="126">
        <v>-3.14</v>
      </c>
      <c r="G1125" s="126">
        <f t="shared" si="25"/>
        <v>-3.14</v>
      </c>
      <c r="H1125" s="126" t="s">
        <v>80</v>
      </c>
    </row>
    <row r="1126" spans="1:8">
      <c r="A1126" s="126" t="s">
        <v>928</v>
      </c>
      <c r="B1126" s="126">
        <v>6686760.96</v>
      </c>
      <c r="C1126" s="126">
        <v>0</v>
      </c>
      <c r="D1126" s="126">
        <v>0</v>
      </c>
      <c r="E1126" s="126">
        <v>6686760.96</v>
      </c>
      <c r="G1126" s="126">
        <f t="shared" si="25"/>
        <v>6686760.96</v>
      </c>
      <c r="H1126" s="126" t="s">
        <v>80</v>
      </c>
    </row>
    <row r="1127" spans="1:8">
      <c r="A1127" s="126" t="s">
        <v>929</v>
      </c>
      <c r="B1127" s="126">
        <v>-0.01</v>
      </c>
      <c r="C1127" s="126">
        <v>0</v>
      </c>
      <c r="D1127" s="126">
        <v>0</v>
      </c>
      <c r="E1127" s="126">
        <v>-0.01</v>
      </c>
      <c r="G1127" s="126">
        <f t="shared" si="25"/>
        <v>-0.01</v>
      </c>
      <c r="H1127" s="126" t="s">
        <v>80</v>
      </c>
    </row>
    <row r="1128" spans="1:8">
      <c r="A1128" s="126" t="s">
        <v>399</v>
      </c>
      <c r="B1128" s="126">
        <v>-1380670.92</v>
      </c>
      <c r="C1128" s="126">
        <v>1380670</v>
      </c>
      <c r="D1128" s="126">
        <v>1198880</v>
      </c>
      <c r="E1128" s="126">
        <v>-1198880.92</v>
      </c>
      <c r="G1128" s="126">
        <f t="shared" si="25"/>
        <v>-1198880.92</v>
      </c>
      <c r="H1128" s="126" t="s">
        <v>80</v>
      </c>
    </row>
    <row r="1129" spans="1:8">
      <c r="A1129" s="126" t="s">
        <v>930</v>
      </c>
      <c r="B1129" s="126">
        <v>-0.63</v>
      </c>
      <c r="C1129" s="126">
        <v>0</v>
      </c>
      <c r="D1129" s="126">
        <v>0</v>
      </c>
      <c r="E1129" s="126">
        <v>-0.63</v>
      </c>
      <c r="G1129" s="126">
        <f t="shared" si="25"/>
        <v>-0.63</v>
      </c>
      <c r="H1129" s="126" t="s">
        <v>80</v>
      </c>
    </row>
    <row r="1130" spans="1:8">
      <c r="A1130" s="126" t="s">
        <v>931</v>
      </c>
      <c r="B1130" s="126">
        <v>1800</v>
      </c>
      <c r="C1130" s="126">
        <v>0</v>
      </c>
      <c r="D1130" s="126">
        <v>0</v>
      </c>
      <c r="E1130" s="126">
        <v>1800</v>
      </c>
      <c r="G1130" s="126">
        <f t="shared" si="25"/>
        <v>1800</v>
      </c>
      <c r="H1130" s="126" t="s">
        <v>80</v>
      </c>
    </row>
    <row r="1131" spans="1:8">
      <c r="A1131" s="126" t="s">
        <v>397</v>
      </c>
      <c r="B1131" s="126">
        <v>-44301.5</v>
      </c>
      <c r="C1131" s="126">
        <v>0</v>
      </c>
      <c r="D1131" s="126">
        <v>0</v>
      </c>
      <c r="E1131" s="126">
        <v>-44301.5</v>
      </c>
      <c r="G1131" s="126">
        <f t="shared" si="25"/>
        <v>-44301.5</v>
      </c>
      <c r="H1131" s="126" t="s">
        <v>80</v>
      </c>
    </row>
    <row r="1132" spans="1:8">
      <c r="A1132" s="126" t="s">
        <v>1329</v>
      </c>
      <c r="B1132" s="126">
        <v>0</v>
      </c>
      <c r="C1132" s="126">
        <v>0</v>
      </c>
      <c r="D1132" s="126">
        <v>0</v>
      </c>
      <c r="E1132" s="126">
        <v>0</v>
      </c>
      <c r="G1132" s="126">
        <f t="shared" si="25"/>
        <v>0</v>
      </c>
      <c r="H1132" s="126" t="s">
        <v>80</v>
      </c>
    </row>
    <row r="1133" spans="1:8">
      <c r="A1133" s="126" t="s">
        <v>932</v>
      </c>
      <c r="B1133" s="126">
        <v>-25323.73</v>
      </c>
      <c r="C1133" s="126">
        <v>959013</v>
      </c>
      <c r="D1133" s="126">
        <v>959013</v>
      </c>
      <c r="E1133" s="126">
        <v>-25323.73</v>
      </c>
      <c r="G1133" s="126">
        <f t="shared" si="25"/>
        <v>-25323.73</v>
      </c>
      <c r="H1133" s="126" t="s">
        <v>80</v>
      </c>
    </row>
    <row r="1134" spans="1:8">
      <c r="A1134" s="126" t="s">
        <v>299</v>
      </c>
      <c r="B1134" s="126">
        <v>30429</v>
      </c>
      <c r="C1134" s="126">
        <v>0</v>
      </c>
      <c r="D1134" s="126">
        <v>0</v>
      </c>
      <c r="E1134" s="126">
        <v>30429</v>
      </c>
      <c r="G1134" s="126">
        <f t="shared" si="25"/>
        <v>30429</v>
      </c>
      <c r="H1134" s="126" t="s">
        <v>80</v>
      </c>
    </row>
    <row r="1135" spans="1:8">
      <c r="A1135" s="126" t="s">
        <v>933</v>
      </c>
      <c r="B1135" s="126">
        <v>200000</v>
      </c>
      <c r="C1135" s="126">
        <v>100000</v>
      </c>
      <c r="D1135" s="126">
        <v>0</v>
      </c>
      <c r="E1135" s="126">
        <v>300000</v>
      </c>
      <c r="G1135" s="126">
        <f t="shared" si="25"/>
        <v>300000</v>
      </c>
      <c r="H1135" s="126" t="s">
        <v>80</v>
      </c>
    </row>
    <row r="1136" spans="1:8">
      <c r="A1136" s="126" t="s">
        <v>1330</v>
      </c>
      <c r="B1136" s="126">
        <v>0</v>
      </c>
      <c r="C1136" s="126">
        <v>5000</v>
      </c>
      <c r="D1136" s="126">
        <v>5000</v>
      </c>
      <c r="E1136" s="126">
        <v>0</v>
      </c>
      <c r="G1136" s="126">
        <f t="shared" si="25"/>
        <v>0</v>
      </c>
      <c r="H1136" s="126" t="s">
        <v>80</v>
      </c>
    </row>
    <row r="1137" spans="1:8">
      <c r="A1137" s="126" t="s">
        <v>934</v>
      </c>
      <c r="B1137" s="126">
        <v>7668</v>
      </c>
      <c r="C1137" s="126">
        <v>0</v>
      </c>
      <c r="D1137" s="126">
        <v>0</v>
      </c>
      <c r="E1137" s="126">
        <v>7668</v>
      </c>
      <c r="G1137" s="126">
        <f t="shared" si="25"/>
        <v>7668</v>
      </c>
      <c r="H1137" s="126" t="s">
        <v>80</v>
      </c>
    </row>
    <row r="1138" spans="1:8">
      <c r="A1138" s="126" t="s">
        <v>1331</v>
      </c>
      <c r="B1138" s="126">
        <v>0</v>
      </c>
      <c r="C1138" s="126">
        <v>0</v>
      </c>
      <c r="D1138" s="126">
        <v>0</v>
      </c>
      <c r="E1138" s="126">
        <v>0</v>
      </c>
      <c r="G1138" s="126">
        <f t="shared" si="25"/>
        <v>0</v>
      </c>
      <c r="H1138" s="126" t="s">
        <v>80</v>
      </c>
    </row>
    <row r="1139" spans="1:8">
      <c r="A1139" s="126" t="s">
        <v>935</v>
      </c>
      <c r="B1139" s="126">
        <v>500</v>
      </c>
      <c r="C1139" s="126">
        <v>116500</v>
      </c>
      <c r="D1139" s="126">
        <v>118000</v>
      </c>
      <c r="E1139" s="126">
        <v>-1000</v>
      </c>
      <c r="G1139" s="126">
        <f t="shared" si="25"/>
        <v>-1000</v>
      </c>
      <c r="H1139" s="126" t="s">
        <v>80</v>
      </c>
    </row>
    <row r="1140" spans="1:8">
      <c r="A1140" s="126" t="s">
        <v>936</v>
      </c>
      <c r="B1140" s="126">
        <v>-21426</v>
      </c>
      <c r="C1140" s="126">
        <v>19518</v>
      </c>
      <c r="D1140" s="126">
        <v>0</v>
      </c>
      <c r="E1140" s="126">
        <v>-1908</v>
      </c>
      <c r="G1140" s="126">
        <f t="shared" si="25"/>
        <v>-1908</v>
      </c>
      <c r="H1140" s="126" t="s">
        <v>80</v>
      </c>
    </row>
    <row r="1141" spans="1:8">
      <c r="A1141" s="126" t="s">
        <v>937</v>
      </c>
      <c r="B1141" s="126">
        <v>4000</v>
      </c>
      <c r="C1141" s="126">
        <v>0</v>
      </c>
      <c r="D1141" s="126">
        <v>0</v>
      </c>
      <c r="E1141" s="126">
        <v>4000</v>
      </c>
      <c r="G1141" s="126">
        <f t="shared" si="25"/>
        <v>4000</v>
      </c>
      <c r="H1141" s="126" t="s">
        <v>80</v>
      </c>
    </row>
    <row r="1142" spans="1:8">
      <c r="A1142" s="126" t="s">
        <v>938</v>
      </c>
      <c r="B1142" s="126">
        <v>-180000</v>
      </c>
      <c r="C1142" s="126">
        <v>580000</v>
      </c>
      <c r="D1142" s="126">
        <v>400000</v>
      </c>
      <c r="E1142" s="126">
        <v>0</v>
      </c>
      <c r="G1142" s="126">
        <f t="shared" si="25"/>
        <v>0</v>
      </c>
      <c r="H1142" s="126" t="s">
        <v>80</v>
      </c>
    </row>
    <row r="1143" spans="1:8">
      <c r="A1143" s="126" t="s">
        <v>382</v>
      </c>
      <c r="B1143" s="126">
        <v>-40406.5</v>
      </c>
      <c r="C1143" s="126">
        <v>0</v>
      </c>
      <c r="D1143" s="126">
        <v>0</v>
      </c>
      <c r="E1143" s="126">
        <v>-40406.5</v>
      </c>
      <c r="G1143" s="126">
        <f t="shared" si="25"/>
        <v>-40406.5</v>
      </c>
      <c r="H1143" s="126" t="s">
        <v>80</v>
      </c>
    </row>
    <row r="1144" spans="1:8">
      <c r="A1144" s="126" t="s">
        <v>939</v>
      </c>
      <c r="B1144" s="126">
        <v>-0.06</v>
      </c>
      <c r="C1144" s="126">
        <v>586218.72</v>
      </c>
      <c r="D1144" s="126">
        <v>586218.72</v>
      </c>
      <c r="E1144" s="126">
        <v>-0.06</v>
      </c>
      <c r="G1144" s="126">
        <f t="shared" si="25"/>
        <v>-0.06</v>
      </c>
      <c r="H1144" s="126" t="s">
        <v>80</v>
      </c>
    </row>
    <row r="1145" spans="1:8">
      <c r="A1145" s="126" t="s">
        <v>940</v>
      </c>
      <c r="B1145" s="126">
        <v>-0.45</v>
      </c>
      <c r="C1145" s="126">
        <v>7796.85</v>
      </c>
      <c r="D1145" s="126">
        <v>7796.85</v>
      </c>
      <c r="E1145" s="126">
        <v>-0.45</v>
      </c>
      <c r="G1145" s="126">
        <f t="shared" si="25"/>
        <v>-0.45</v>
      </c>
      <c r="H1145" s="126" t="s">
        <v>80</v>
      </c>
    </row>
    <row r="1146" spans="1:8">
      <c r="A1146" s="126" t="s">
        <v>941</v>
      </c>
      <c r="B1146" s="126">
        <v>-54000</v>
      </c>
      <c r="C1146" s="126">
        <v>177000</v>
      </c>
      <c r="D1146" s="126">
        <v>123000</v>
      </c>
      <c r="E1146" s="126">
        <v>0</v>
      </c>
      <c r="G1146" s="126">
        <f t="shared" si="25"/>
        <v>0</v>
      </c>
      <c r="H1146" s="126" t="s">
        <v>80</v>
      </c>
    </row>
    <row r="1147" spans="1:8">
      <c r="A1147" s="126" t="s">
        <v>942</v>
      </c>
      <c r="B1147" s="126">
        <v>-113400</v>
      </c>
      <c r="C1147" s="126">
        <v>371700</v>
      </c>
      <c r="D1147" s="126">
        <v>258300</v>
      </c>
      <c r="E1147" s="126">
        <v>0</v>
      </c>
      <c r="G1147" s="126">
        <f t="shared" si="25"/>
        <v>0</v>
      </c>
      <c r="H1147" s="126" t="s">
        <v>80</v>
      </c>
    </row>
    <row r="1148" spans="1:8">
      <c r="A1148" s="126" t="s">
        <v>943</v>
      </c>
      <c r="B1148" s="126">
        <v>-108000</v>
      </c>
      <c r="C1148" s="126">
        <v>354000</v>
      </c>
      <c r="D1148" s="126">
        <v>246000</v>
      </c>
      <c r="E1148" s="126">
        <v>0</v>
      </c>
      <c r="G1148" s="126">
        <f t="shared" si="25"/>
        <v>0</v>
      </c>
      <c r="H1148" s="126" t="s">
        <v>80</v>
      </c>
    </row>
    <row r="1149" spans="1:8">
      <c r="A1149" s="126" t="s">
        <v>944</v>
      </c>
      <c r="B1149" s="126">
        <v>-34000</v>
      </c>
      <c r="C1149" s="126">
        <v>102000</v>
      </c>
      <c r="D1149" s="126">
        <v>68000</v>
      </c>
      <c r="E1149" s="126">
        <v>0</v>
      </c>
      <c r="G1149" s="126">
        <f t="shared" si="25"/>
        <v>0</v>
      </c>
      <c r="H1149" s="126" t="s">
        <v>80</v>
      </c>
    </row>
    <row r="1150" spans="1:8">
      <c r="A1150" s="126" t="s">
        <v>945</v>
      </c>
      <c r="B1150" s="126">
        <v>4256</v>
      </c>
      <c r="C1150" s="126">
        <v>23448</v>
      </c>
      <c r="D1150" s="126">
        <v>0</v>
      </c>
      <c r="E1150" s="126">
        <v>27704</v>
      </c>
      <c r="G1150" s="126">
        <f t="shared" si="25"/>
        <v>27704</v>
      </c>
      <c r="H1150" s="126" t="s">
        <v>80</v>
      </c>
    </row>
    <row r="1151" spans="1:8">
      <c r="A1151" s="126" t="s">
        <v>946</v>
      </c>
      <c r="B1151" s="126">
        <v>4000</v>
      </c>
      <c r="C1151" s="126">
        <v>0</v>
      </c>
      <c r="D1151" s="126">
        <v>0</v>
      </c>
      <c r="E1151" s="126">
        <v>4000</v>
      </c>
      <c r="G1151" s="126">
        <f t="shared" si="25"/>
        <v>4000</v>
      </c>
      <c r="H1151" s="126" t="s">
        <v>80</v>
      </c>
    </row>
    <row r="1152" spans="1:8">
      <c r="A1152" s="126" t="s">
        <v>283</v>
      </c>
      <c r="B1152" s="126">
        <v>-6600</v>
      </c>
      <c r="C1152" s="126">
        <v>6600</v>
      </c>
      <c r="D1152" s="126">
        <v>0</v>
      </c>
      <c r="E1152" s="126">
        <v>0</v>
      </c>
      <c r="G1152" s="126">
        <f t="shared" si="25"/>
        <v>0</v>
      </c>
      <c r="H1152" s="126" t="s">
        <v>80</v>
      </c>
    </row>
    <row r="1153" spans="1:8">
      <c r="A1153" s="126" t="s">
        <v>947</v>
      </c>
      <c r="B1153" s="126">
        <v>-10726</v>
      </c>
      <c r="C1153" s="126">
        <v>121316</v>
      </c>
      <c r="D1153" s="126">
        <v>114885</v>
      </c>
      <c r="E1153" s="126">
        <v>-4295</v>
      </c>
      <c r="G1153" s="126">
        <f t="shared" si="25"/>
        <v>-4295</v>
      </c>
      <c r="H1153" s="126" t="s">
        <v>80</v>
      </c>
    </row>
    <row r="1154" spans="1:8">
      <c r="A1154" s="126" t="s">
        <v>529</v>
      </c>
      <c r="B1154" s="126">
        <v>73828</v>
      </c>
      <c r="C1154" s="126">
        <v>0</v>
      </c>
      <c r="D1154" s="126">
        <v>0</v>
      </c>
      <c r="E1154" s="126">
        <v>73828</v>
      </c>
      <c r="G1154" s="126">
        <f t="shared" si="25"/>
        <v>73828</v>
      </c>
      <c r="H1154" s="126" t="s">
        <v>80</v>
      </c>
    </row>
    <row r="1155" spans="1:8">
      <c r="A1155" s="126" t="s">
        <v>1333</v>
      </c>
      <c r="B1155" s="126">
        <v>0</v>
      </c>
      <c r="C1155" s="126">
        <v>0</v>
      </c>
      <c r="D1155" s="126">
        <v>0</v>
      </c>
      <c r="E1155" s="126">
        <v>0</v>
      </c>
      <c r="G1155" s="126">
        <f t="shared" ref="G1155:G1218" si="26">E1155+F1155</f>
        <v>0</v>
      </c>
      <c r="H1155" s="126" t="s">
        <v>80</v>
      </c>
    </row>
    <row r="1156" spans="1:8">
      <c r="A1156" s="126" t="s">
        <v>411</v>
      </c>
      <c r="B1156" s="126">
        <v>-252702.42</v>
      </c>
      <c r="C1156" s="126">
        <v>12003150.539999999</v>
      </c>
      <c r="D1156" s="126">
        <v>17225722.280000001</v>
      </c>
      <c r="E1156" s="126">
        <v>-5475274.1600000001</v>
      </c>
      <c r="G1156" s="126">
        <f t="shared" si="26"/>
        <v>-5475274.1600000001</v>
      </c>
      <c r="H1156" s="126" t="s">
        <v>80</v>
      </c>
    </row>
    <row r="1157" spans="1:8">
      <c r="A1157" s="126" t="s">
        <v>948</v>
      </c>
      <c r="B1157" s="126">
        <v>-34300</v>
      </c>
      <c r="C1157" s="126">
        <v>139300</v>
      </c>
      <c r="D1157" s="126">
        <v>105000</v>
      </c>
      <c r="E1157" s="126">
        <v>0</v>
      </c>
      <c r="G1157" s="126">
        <f t="shared" si="26"/>
        <v>0</v>
      </c>
      <c r="H1157" s="126" t="s">
        <v>80</v>
      </c>
    </row>
    <row r="1158" spans="1:8">
      <c r="A1158" s="126" t="s">
        <v>1334</v>
      </c>
      <c r="B1158" s="126">
        <v>0</v>
      </c>
      <c r="C1158" s="126">
        <v>0</v>
      </c>
      <c r="D1158" s="126">
        <v>0</v>
      </c>
      <c r="E1158" s="126">
        <v>0</v>
      </c>
      <c r="G1158" s="126">
        <f t="shared" si="26"/>
        <v>0</v>
      </c>
      <c r="H1158" s="126" t="s">
        <v>80</v>
      </c>
    </row>
    <row r="1159" spans="1:8">
      <c r="A1159" s="126" t="s">
        <v>949</v>
      </c>
      <c r="B1159" s="126">
        <v>-38243</v>
      </c>
      <c r="C1159" s="126">
        <v>38243</v>
      </c>
      <c r="D1159" s="126">
        <v>0</v>
      </c>
      <c r="E1159" s="126">
        <v>0</v>
      </c>
      <c r="G1159" s="126">
        <f t="shared" si="26"/>
        <v>0</v>
      </c>
      <c r="H1159" s="126" t="s">
        <v>80</v>
      </c>
    </row>
    <row r="1160" spans="1:8">
      <c r="A1160" s="126" t="s">
        <v>1499</v>
      </c>
      <c r="B1160" s="126">
        <v>0</v>
      </c>
      <c r="C1160" s="126">
        <v>100800</v>
      </c>
      <c r="D1160" s="126">
        <v>100800</v>
      </c>
      <c r="E1160" s="126">
        <v>0</v>
      </c>
      <c r="G1160" s="126">
        <f t="shared" si="26"/>
        <v>0</v>
      </c>
      <c r="H1160" s="126" t="s">
        <v>80</v>
      </c>
    </row>
    <row r="1161" spans="1:8">
      <c r="A1161" s="126" t="s">
        <v>1500</v>
      </c>
      <c r="B1161" s="126">
        <v>0</v>
      </c>
      <c r="C1161" s="126">
        <v>20000</v>
      </c>
      <c r="D1161" s="126">
        <v>20000</v>
      </c>
      <c r="E1161" s="126">
        <v>0</v>
      </c>
      <c r="G1161" s="126">
        <f t="shared" si="26"/>
        <v>0</v>
      </c>
      <c r="H1161" s="126" t="s">
        <v>80</v>
      </c>
    </row>
    <row r="1162" spans="1:8">
      <c r="A1162" s="126" t="s">
        <v>1501</v>
      </c>
      <c r="B1162" s="126">
        <v>0</v>
      </c>
      <c r="C1162" s="126">
        <v>0</v>
      </c>
      <c r="D1162" s="126">
        <v>0</v>
      </c>
      <c r="E1162" s="126">
        <v>0</v>
      </c>
      <c r="G1162" s="126">
        <f t="shared" si="26"/>
        <v>0</v>
      </c>
      <c r="H1162" s="126" t="s">
        <v>80</v>
      </c>
    </row>
    <row r="1163" spans="1:8">
      <c r="A1163" s="126" t="s">
        <v>1502</v>
      </c>
      <c r="B1163" s="126">
        <v>0</v>
      </c>
      <c r="C1163" s="126">
        <v>1091250</v>
      </c>
      <c r="D1163" s="126">
        <v>1091250</v>
      </c>
      <c r="E1163" s="126">
        <v>0</v>
      </c>
      <c r="G1163" s="126">
        <f t="shared" si="26"/>
        <v>0</v>
      </c>
      <c r="H1163" s="126" t="s">
        <v>80</v>
      </c>
    </row>
    <row r="1164" spans="1:8">
      <c r="A1164" s="126" t="s">
        <v>950</v>
      </c>
      <c r="B1164" s="126">
        <v>63</v>
      </c>
      <c r="C1164" s="126">
        <v>100732</v>
      </c>
      <c r="D1164" s="126">
        <v>79429</v>
      </c>
      <c r="E1164" s="126">
        <v>21366</v>
      </c>
      <c r="G1164" s="126">
        <f t="shared" si="26"/>
        <v>21366</v>
      </c>
      <c r="H1164" s="126" t="s">
        <v>80</v>
      </c>
    </row>
    <row r="1165" spans="1:8">
      <c r="A1165" s="126" t="s">
        <v>951</v>
      </c>
      <c r="B1165" s="126">
        <v>-29686.23</v>
      </c>
      <c r="C1165" s="126">
        <v>29686.23</v>
      </c>
      <c r="D1165" s="126">
        <v>0</v>
      </c>
      <c r="E1165" s="126">
        <v>0</v>
      </c>
      <c r="G1165" s="126">
        <f t="shared" si="26"/>
        <v>0</v>
      </c>
      <c r="H1165" s="126" t="s">
        <v>80</v>
      </c>
    </row>
    <row r="1166" spans="1:8">
      <c r="A1166" s="126" t="s">
        <v>1337</v>
      </c>
      <c r="B1166" s="126">
        <v>0</v>
      </c>
      <c r="C1166" s="126">
        <v>3245</v>
      </c>
      <c r="D1166" s="126">
        <v>3245</v>
      </c>
      <c r="E1166" s="126">
        <v>0</v>
      </c>
      <c r="G1166" s="126">
        <f t="shared" si="26"/>
        <v>0</v>
      </c>
      <c r="H1166" s="126" t="s">
        <v>80</v>
      </c>
    </row>
    <row r="1167" spans="1:8">
      <c r="A1167" s="126" t="s">
        <v>952</v>
      </c>
      <c r="B1167" s="126">
        <v>0</v>
      </c>
      <c r="C1167" s="126">
        <v>125385</v>
      </c>
      <c r="D1167" s="126">
        <v>155000</v>
      </c>
      <c r="E1167" s="126">
        <v>-29615</v>
      </c>
      <c r="G1167" s="126">
        <f t="shared" si="26"/>
        <v>-29615</v>
      </c>
      <c r="H1167" s="126" t="s">
        <v>80</v>
      </c>
    </row>
    <row r="1168" spans="1:8">
      <c r="A1168" s="126" t="s">
        <v>1425</v>
      </c>
      <c r="B1168" s="126">
        <v>0</v>
      </c>
      <c r="C1168" s="126">
        <v>0</v>
      </c>
      <c r="D1168" s="126">
        <v>0</v>
      </c>
      <c r="E1168" s="126">
        <v>0</v>
      </c>
      <c r="G1168" s="126">
        <f t="shared" si="26"/>
        <v>0</v>
      </c>
      <c r="H1168" s="126" t="s">
        <v>80</v>
      </c>
    </row>
    <row r="1169" spans="1:10">
      <c r="A1169" s="126" t="s">
        <v>953</v>
      </c>
      <c r="B1169" s="126">
        <v>-458</v>
      </c>
      <c r="C1169" s="126">
        <v>0</v>
      </c>
      <c r="D1169" s="126">
        <v>0</v>
      </c>
      <c r="E1169" s="126">
        <v>-458</v>
      </c>
      <c r="G1169" s="126">
        <f t="shared" si="26"/>
        <v>-458</v>
      </c>
      <c r="H1169" s="126" t="s">
        <v>80</v>
      </c>
    </row>
    <row r="1170" spans="1:10">
      <c r="A1170" s="126" t="s">
        <v>954</v>
      </c>
      <c r="B1170" s="126">
        <v>-12744</v>
      </c>
      <c r="C1170" s="126">
        <v>12744</v>
      </c>
      <c r="D1170" s="126">
        <v>0</v>
      </c>
      <c r="E1170" s="126">
        <v>0</v>
      </c>
      <c r="G1170" s="126">
        <f t="shared" si="26"/>
        <v>0</v>
      </c>
      <c r="H1170" s="126" t="s">
        <v>80</v>
      </c>
    </row>
    <row r="1171" spans="1:10">
      <c r="A1171" s="126" t="s">
        <v>955</v>
      </c>
      <c r="B1171" s="126">
        <v>-52200</v>
      </c>
      <c r="C1171" s="126">
        <v>156600</v>
      </c>
      <c r="D1171" s="126">
        <v>108000</v>
      </c>
      <c r="E1171" s="126">
        <v>-3600</v>
      </c>
      <c r="G1171" s="126">
        <f t="shared" si="26"/>
        <v>-3600</v>
      </c>
      <c r="H1171" s="126" t="s">
        <v>80</v>
      </c>
    </row>
    <row r="1172" spans="1:10">
      <c r="A1172" s="126" t="s">
        <v>956</v>
      </c>
      <c r="B1172" s="126">
        <v>31469</v>
      </c>
      <c r="C1172" s="126">
        <v>321902</v>
      </c>
      <c r="D1172" s="126">
        <v>679324</v>
      </c>
      <c r="E1172" s="126">
        <v>-325953</v>
      </c>
      <c r="G1172" s="126">
        <f t="shared" si="26"/>
        <v>-325953</v>
      </c>
      <c r="H1172" s="126" t="s">
        <v>71</v>
      </c>
      <c r="J1172" s="126">
        <f>G1172-I1172</f>
        <v>-325953</v>
      </c>
    </row>
    <row r="1173" spans="1:10">
      <c r="A1173" s="126" t="s">
        <v>957</v>
      </c>
      <c r="B1173" s="126">
        <v>0</v>
      </c>
      <c r="C1173" s="126">
        <v>50000</v>
      </c>
      <c r="D1173" s="126">
        <v>69738</v>
      </c>
      <c r="E1173" s="126">
        <v>-19738</v>
      </c>
      <c r="G1173" s="126">
        <f t="shared" si="26"/>
        <v>-19738</v>
      </c>
      <c r="H1173" s="126" t="s">
        <v>80</v>
      </c>
    </row>
    <row r="1174" spans="1:10">
      <c r="A1174" s="126" t="s">
        <v>1338</v>
      </c>
      <c r="B1174" s="126">
        <v>0</v>
      </c>
      <c r="C1174" s="126">
        <v>206548.18</v>
      </c>
      <c r="D1174" s="126">
        <v>0</v>
      </c>
      <c r="E1174" s="126">
        <v>206548.18</v>
      </c>
      <c r="G1174" s="126">
        <f t="shared" si="26"/>
        <v>206548.18</v>
      </c>
      <c r="H1174" s="126" t="s">
        <v>80</v>
      </c>
    </row>
    <row r="1175" spans="1:10">
      <c r="A1175" s="126" t="s">
        <v>423</v>
      </c>
      <c r="B1175" s="126">
        <v>19469</v>
      </c>
      <c r="C1175" s="126">
        <v>0</v>
      </c>
      <c r="D1175" s="126">
        <v>0</v>
      </c>
      <c r="E1175" s="126">
        <v>19469</v>
      </c>
      <c r="G1175" s="126">
        <f t="shared" si="26"/>
        <v>19469</v>
      </c>
      <c r="H1175" s="126" t="s">
        <v>80</v>
      </c>
    </row>
    <row r="1176" spans="1:10">
      <c r="A1176" s="126" t="s">
        <v>958</v>
      </c>
      <c r="B1176" s="126">
        <v>-41104.67</v>
      </c>
      <c r="C1176" s="126">
        <v>32643</v>
      </c>
      <c r="D1176" s="126">
        <v>35474.6</v>
      </c>
      <c r="E1176" s="126">
        <v>-43936.27</v>
      </c>
      <c r="G1176" s="126">
        <f t="shared" si="26"/>
        <v>-43936.27</v>
      </c>
      <c r="H1176" s="126" t="s">
        <v>80</v>
      </c>
    </row>
    <row r="1177" spans="1:10">
      <c r="A1177" s="126" t="s">
        <v>1503</v>
      </c>
      <c r="B1177" s="126">
        <v>0</v>
      </c>
      <c r="C1177" s="126">
        <v>53100</v>
      </c>
      <c r="D1177" s="126">
        <v>53100</v>
      </c>
      <c r="E1177" s="126">
        <v>0</v>
      </c>
      <c r="G1177" s="126">
        <f t="shared" si="26"/>
        <v>0</v>
      </c>
      <c r="H1177" s="126" t="s">
        <v>80</v>
      </c>
    </row>
    <row r="1178" spans="1:10">
      <c r="A1178" s="126" t="s">
        <v>1339</v>
      </c>
      <c r="B1178" s="126">
        <v>0</v>
      </c>
      <c r="C1178" s="126">
        <v>0</v>
      </c>
      <c r="D1178" s="126">
        <v>10450</v>
      </c>
      <c r="E1178" s="126">
        <v>-10450</v>
      </c>
      <c r="G1178" s="126">
        <f t="shared" si="26"/>
        <v>-10450</v>
      </c>
      <c r="H1178" s="126" t="s">
        <v>80</v>
      </c>
    </row>
    <row r="1179" spans="1:10">
      <c r="A1179" s="126" t="s">
        <v>959</v>
      </c>
      <c r="B1179" s="126">
        <v>0</v>
      </c>
      <c r="C1179" s="126">
        <v>64800</v>
      </c>
      <c r="D1179" s="126">
        <v>64800</v>
      </c>
      <c r="E1179" s="126">
        <v>0</v>
      </c>
      <c r="G1179" s="126">
        <f t="shared" si="26"/>
        <v>0</v>
      </c>
      <c r="H1179" s="126" t="s">
        <v>80</v>
      </c>
    </row>
    <row r="1180" spans="1:10">
      <c r="A1180" s="126" t="s">
        <v>960</v>
      </c>
      <c r="B1180" s="126">
        <v>-45062</v>
      </c>
      <c r="C1180" s="126">
        <v>144942</v>
      </c>
      <c r="D1180" s="126">
        <v>99960</v>
      </c>
      <c r="E1180" s="126">
        <v>-80</v>
      </c>
      <c r="G1180" s="126">
        <f t="shared" si="26"/>
        <v>-80</v>
      </c>
      <c r="H1180" s="126" t="s">
        <v>80</v>
      </c>
    </row>
    <row r="1181" spans="1:10">
      <c r="A1181" s="126" t="s">
        <v>961</v>
      </c>
      <c r="B1181" s="126">
        <v>-81000</v>
      </c>
      <c r="C1181" s="126">
        <v>265500</v>
      </c>
      <c r="D1181" s="126">
        <v>184500</v>
      </c>
      <c r="E1181" s="126">
        <v>0</v>
      </c>
      <c r="G1181" s="126">
        <f t="shared" si="26"/>
        <v>0</v>
      </c>
      <c r="H1181" s="126" t="s">
        <v>80</v>
      </c>
    </row>
    <row r="1182" spans="1:10">
      <c r="A1182" s="126" t="s">
        <v>962</v>
      </c>
      <c r="B1182" s="126">
        <v>-500</v>
      </c>
      <c r="C1182" s="126">
        <v>500</v>
      </c>
      <c r="D1182" s="126">
        <v>0</v>
      </c>
      <c r="E1182" s="126">
        <v>0</v>
      </c>
      <c r="G1182" s="126">
        <f t="shared" si="26"/>
        <v>0</v>
      </c>
      <c r="H1182" s="126" t="s">
        <v>80</v>
      </c>
    </row>
    <row r="1183" spans="1:10">
      <c r="A1183" s="126" t="s">
        <v>1504</v>
      </c>
      <c r="B1183" s="126">
        <v>0</v>
      </c>
      <c r="C1183" s="126">
        <v>253200</v>
      </c>
      <c r="D1183" s="126">
        <v>0</v>
      </c>
      <c r="E1183" s="126">
        <v>253200</v>
      </c>
      <c r="G1183" s="126">
        <f t="shared" si="26"/>
        <v>253200</v>
      </c>
      <c r="H1183" s="126" t="s">
        <v>80</v>
      </c>
    </row>
    <row r="1184" spans="1:10">
      <c r="A1184" s="126" t="s">
        <v>963</v>
      </c>
      <c r="B1184" s="126">
        <v>-129.69999999999999</v>
      </c>
      <c r="C1184" s="126">
        <v>129.69999999999999</v>
      </c>
      <c r="D1184" s="126">
        <v>0</v>
      </c>
      <c r="E1184" s="126">
        <v>0</v>
      </c>
      <c r="G1184" s="126">
        <f t="shared" si="26"/>
        <v>0</v>
      </c>
      <c r="H1184" s="126" t="s">
        <v>80</v>
      </c>
    </row>
    <row r="1185" spans="1:8">
      <c r="A1185" s="126" t="s">
        <v>964</v>
      </c>
      <c r="B1185" s="126">
        <v>0</v>
      </c>
      <c r="C1185" s="126">
        <v>170177.29</v>
      </c>
      <c r="D1185" s="126">
        <v>170177.29</v>
      </c>
      <c r="E1185" s="126">
        <v>0</v>
      </c>
      <c r="G1185" s="126">
        <f t="shared" si="26"/>
        <v>0</v>
      </c>
      <c r="H1185" s="126" t="s">
        <v>80</v>
      </c>
    </row>
    <row r="1186" spans="1:8">
      <c r="A1186" s="126" t="s">
        <v>471</v>
      </c>
      <c r="B1186" s="126">
        <v>1728</v>
      </c>
      <c r="C1186" s="126">
        <v>0</v>
      </c>
      <c r="D1186" s="126">
        <v>0</v>
      </c>
      <c r="E1186" s="126">
        <v>1728</v>
      </c>
      <c r="G1186" s="126">
        <f t="shared" si="26"/>
        <v>1728</v>
      </c>
      <c r="H1186" s="126" t="s">
        <v>80</v>
      </c>
    </row>
    <row r="1187" spans="1:8">
      <c r="A1187" s="126" t="s">
        <v>965</v>
      </c>
      <c r="B1187" s="126">
        <v>2016</v>
      </c>
      <c r="C1187" s="126">
        <v>0</v>
      </c>
      <c r="D1187" s="126">
        <v>0</v>
      </c>
      <c r="E1187" s="126">
        <v>2016</v>
      </c>
      <c r="G1187" s="126">
        <f t="shared" si="26"/>
        <v>2016</v>
      </c>
      <c r="H1187" s="126" t="s">
        <v>80</v>
      </c>
    </row>
    <row r="1188" spans="1:8">
      <c r="A1188" s="126" t="s">
        <v>1505</v>
      </c>
      <c r="B1188" s="126">
        <v>0</v>
      </c>
      <c r="C1188" s="126">
        <v>20060</v>
      </c>
      <c r="D1188" s="126">
        <v>0</v>
      </c>
      <c r="E1188" s="126">
        <v>20060</v>
      </c>
      <c r="G1188" s="126">
        <f t="shared" si="26"/>
        <v>20060</v>
      </c>
      <c r="H1188" s="126" t="s">
        <v>80</v>
      </c>
    </row>
    <row r="1189" spans="1:8">
      <c r="A1189" s="126" t="s">
        <v>966</v>
      </c>
      <c r="B1189" s="126">
        <v>9000</v>
      </c>
      <c r="C1189" s="126">
        <v>0</v>
      </c>
      <c r="D1189" s="126">
        <v>0</v>
      </c>
      <c r="E1189" s="126">
        <v>9000</v>
      </c>
      <c r="G1189" s="126">
        <f t="shared" si="26"/>
        <v>9000</v>
      </c>
      <c r="H1189" s="126" t="s">
        <v>80</v>
      </c>
    </row>
    <row r="1190" spans="1:8">
      <c r="A1190" s="126" t="s">
        <v>1340</v>
      </c>
      <c r="B1190" s="126">
        <v>0</v>
      </c>
      <c r="C1190" s="126">
        <v>0</v>
      </c>
      <c r="D1190" s="126">
        <v>0</v>
      </c>
      <c r="E1190" s="126">
        <v>0</v>
      </c>
      <c r="G1190" s="126">
        <f t="shared" si="26"/>
        <v>0</v>
      </c>
      <c r="H1190" s="126" t="s">
        <v>80</v>
      </c>
    </row>
    <row r="1191" spans="1:8">
      <c r="A1191" s="126" t="s">
        <v>240</v>
      </c>
      <c r="B1191" s="126">
        <v>-1516300</v>
      </c>
      <c r="C1191" s="126">
        <v>1516300</v>
      </c>
      <c r="D1191" s="126">
        <v>7523</v>
      </c>
      <c r="E1191" s="126">
        <v>-7523</v>
      </c>
      <c r="G1191" s="126">
        <f t="shared" si="26"/>
        <v>-7523</v>
      </c>
      <c r="H1191" s="126" t="s">
        <v>80</v>
      </c>
    </row>
    <row r="1192" spans="1:8">
      <c r="A1192" s="126" t="s">
        <v>967</v>
      </c>
      <c r="B1192" s="126">
        <v>-48600</v>
      </c>
      <c r="C1192" s="126">
        <v>156600</v>
      </c>
      <c r="D1192" s="126">
        <v>108000</v>
      </c>
      <c r="E1192" s="126">
        <v>0</v>
      </c>
      <c r="G1192" s="126">
        <f t="shared" si="26"/>
        <v>0</v>
      </c>
      <c r="H1192" s="126" t="s">
        <v>80</v>
      </c>
    </row>
    <row r="1193" spans="1:8">
      <c r="A1193" s="126" t="s">
        <v>968</v>
      </c>
      <c r="B1193" s="126">
        <v>-6504</v>
      </c>
      <c r="C1193" s="126">
        <v>1416</v>
      </c>
      <c r="D1193" s="126">
        <v>9322</v>
      </c>
      <c r="E1193" s="126">
        <v>-14410</v>
      </c>
      <c r="G1193" s="126">
        <f t="shared" si="26"/>
        <v>-14410</v>
      </c>
      <c r="H1193" s="126" t="s">
        <v>80</v>
      </c>
    </row>
    <row r="1194" spans="1:8">
      <c r="A1194" s="126" t="s">
        <v>1048</v>
      </c>
      <c r="B1194" s="126">
        <v>-0.4</v>
      </c>
      <c r="C1194" s="126">
        <v>0</v>
      </c>
      <c r="D1194" s="126">
        <v>0</v>
      </c>
      <c r="E1194" s="126">
        <v>-0.4</v>
      </c>
      <c r="G1194" s="126">
        <f t="shared" si="26"/>
        <v>-0.4</v>
      </c>
      <c r="H1194" s="126" t="s">
        <v>80</v>
      </c>
    </row>
    <row r="1195" spans="1:8">
      <c r="A1195" s="126" t="s">
        <v>969</v>
      </c>
      <c r="B1195" s="126">
        <v>-64800</v>
      </c>
      <c r="C1195" s="126">
        <v>206400</v>
      </c>
      <c r="D1195" s="126">
        <v>141600</v>
      </c>
      <c r="E1195" s="126">
        <v>0</v>
      </c>
      <c r="G1195" s="126">
        <f t="shared" si="26"/>
        <v>0</v>
      </c>
      <c r="H1195" s="126" t="s">
        <v>80</v>
      </c>
    </row>
    <row r="1196" spans="1:8">
      <c r="A1196" s="126" t="s">
        <v>970</v>
      </c>
      <c r="B1196" s="126">
        <v>-37141</v>
      </c>
      <c r="C1196" s="126">
        <v>174109</v>
      </c>
      <c r="D1196" s="126">
        <v>138443</v>
      </c>
      <c r="E1196" s="126">
        <v>-1475</v>
      </c>
      <c r="G1196" s="126">
        <f t="shared" si="26"/>
        <v>-1475</v>
      </c>
      <c r="H1196" s="126" t="s">
        <v>80</v>
      </c>
    </row>
    <row r="1197" spans="1:8">
      <c r="A1197" s="126" t="s">
        <v>971</v>
      </c>
      <c r="B1197" s="126">
        <v>-147150</v>
      </c>
      <c r="C1197" s="126">
        <v>460200</v>
      </c>
      <c r="D1197" s="126">
        <v>319800</v>
      </c>
      <c r="E1197" s="126">
        <v>-6750</v>
      </c>
      <c r="G1197" s="126">
        <f t="shared" si="26"/>
        <v>-6750</v>
      </c>
      <c r="H1197" s="126" t="s">
        <v>80</v>
      </c>
    </row>
    <row r="1198" spans="1:8">
      <c r="A1198" s="126" t="s">
        <v>972</v>
      </c>
      <c r="B1198" s="126">
        <v>-0.6</v>
      </c>
      <c r="C1198" s="126">
        <v>58141.35</v>
      </c>
      <c r="D1198" s="126">
        <v>58141.35</v>
      </c>
      <c r="E1198" s="126">
        <v>-0.6</v>
      </c>
      <c r="G1198" s="126">
        <f t="shared" si="26"/>
        <v>-0.6</v>
      </c>
      <c r="H1198" s="126" t="s">
        <v>80</v>
      </c>
    </row>
    <row r="1199" spans="1:8">
      <c r="A1199" s="126" t="s">
        <v>231</v>
      </c>
      <c r="B1199" s="126">
        <v>-365814.01</v>
      </c>
      <c r="C1199" s="126">
        <v>966215</v>
      </c>
      <c r="D1199" s="126">
        <v>1113868</v>
      </c>
      <c r="E1199" s="126">
        <v>-513467.01</v>
      </c>
      <c r="G1199" s="126">
        <f t="shared" si="26"/>
        <v>-513467.01</v>
      </c>
      <c r="H1199" s="126" t="s">
        <v>80</v>
      </c>
    </row>
    <row r="1200" spans="1:8">
      <c r="A1200" s="126" t="s">
        <v>973</v>
      </c>
      <c r="B1200" s="126">
        <v>-484417.06</v>
      </c>
      <c r="C1200" s="126">
        <v>1571238</v>
      </c>
      <c r="D1200" s="126">
        <v>977299.85</v>
      </c>
      <c r="E1200" s="126">
        <v>109521.09</v>
      </c>
      <c r="G1200" s="126">
        <f t="shared" si="26"/>
        <v>109521.09</v>
      </c>
      <c r="H1200" s="126" t="s">
        <v>80</v>
      </c>
    </row>
    <row r="1201" spans="1:8">
      <c r="A1201" s="126" t="s">
        <v>974</v>
      </c>
      <c r="B1201" s="126">
        <v>-389</v>
      </c>
      <c r="C1201" s="126">
        <v>0</v>
      </c>
      <c r="D1201" s="126">
        <v>0</v>
      </c>
      <c r="E1201" s="126">
        <v>-389</v>
      </c>
      <c r="G1201" s="126">
        <f t="shared" si="26"/>
        <v>-389</v>
      </c>
      <c r="H1201" s="126" t="s">
        <v>80</v>
      </c>
    </row>
    <row r="1202" spans="1:8">
      <c r="A1202" s="126" t="s">
        <v>975</v>
      </c>
      <c r="B1202" s="126">
        <v>-128520</v>
      </c>
      <c r="C1202" s="126">
        <v>414120</v>
      </c>
      <c r="D1202" s="126">
        <v>285600</v>
      </c>
      <c r="E1202" s="126">
        <v>0</v>
      </c>
      <c r="G1202" s="126">
        <f t="shared" si="26"/>
        <v>0</v>
      </c>
      <c r="H1202" s="126" t="s">
        <v>80</v>
      </c>
    </row>
    <row r="1203" spans="1:8">
      <c r="A1203" s="126" t="s">
        <v>380</v>
      </c>
      <c r="B1203" s="126">
        <v>-36315</v>
      </c>
      <c r="C1203" s="126">
        <v>66315</v>
      </c>
      <c r="D1203" s="126">
        <v>30000</v>
      </c>
      <c r="E1203" s="126">
        <v>0</v>
      </c>
      <c r="G1203" s="126">
        <f t="shared" si="26"/>
        <v>0</v>
      </c>
      <c r="H1203" s="126" t="s">
        <v>80</v>
      </c>
    </row>
    <row r="1204" spans="1:8">
      <c r="A1204" s="126" t="s">
        <v>1341</v>
      </c>
      <c r="B1204" s="126">
        <v>0</v>
      </c>
      <c r="C1204" s="126">
        <v>10000</v>
      </c>
      <c r="D1204" s="126">
        <v>10000</v>
      </c>
      <c r="E1204" s="126">
        <v>0</v>
      </c>
      <c r="G1204" s="126">
        <f t="shared" si="26"/>
        <v>0</v>
      </c>
      <c r="H1204" s="126" t="s">
        <v>80</v>
      </c>
    </row>
    <row r="1205" spans="1:8">
      <c r="A1205" s="126" t="s">
        <v>976</v>
      </c>
      <c r="B1205" s="126">
        <v>-6431</v>
      </c>
      <c r="C1205" s="126">
        <v>0</v>
      </c>
      <c r="D1205" s="126">
        <v>0</v>
      </c>
      <c r="E1205" s="126">
        <v>-6431</v>
      </c>
      <c r="G1205" s="126">
        <f t="shared" si="26"/>
        <v>-6431</v>
      </c>
      <c r="H1205" s="126" t="s">
        <v>80</v>
      </c>
    </row>
    <row r="1206" spans="1:8">
      <c r="A1206" s="126" t="s">
        <v>977</v>
      </c>
      <c r="B1206" s="126">
        <v>150000</v>
      </c>
      <c r="C1206" s="126">
        <v>0</v>
      </c>
      <c r="D1206" s="126">
        <v>0</v>
      </c>
      <c r="E1206" s="126">
        <v>150000</v>
      </c>
      <c r="G1206" s="126">
        <f t="shared" si="26"/>
        <v>150000</v>
      </c>
      <c r="H1206" s="126" t="s">
        <v>80</v>
      </c>
    </row>
    <row r="1207" spans="1:8">
      <c r="A1207" s="126" t="s">
        <v>1342</v>
      </c>
      <c r="B1207" s="126">
        <v>0</v>
      </c>
      <c r="C1207" s="126">
        <v>0</v>
      </c>
      <c r="D1207" s="126">
        <v>0</v>
      </c>
      <c r="E1207" s="126">
        <v>0</v>
      </c>
      <c r="G1207" s="126">
        <f t="shared" si="26"/>
        <v>0</v>
      </c>
      <c r="H1207" s="126" t="s">
        <v>80</v>
      </c>
    </row>
    <row r="1208" spans="1:8">
      <c r="A1208" s="126" t="s">
        <v>221</v>
      </c>
      <c r="B1208" s="126">
        <v>-5311.43</v>
      </c>
      <c r="C1208" s="126">
        <v>10620</v>
      </c>
      <c r="D1208" s="126">
        <v>5310</v>
      </c>
      <c r="E1208" s="126">
        <v>-1.43</v>
      </c>
      <c r="G1208" s="126">
        <f t="shared" si="26"/>
        <v>-1.43</v>
      </c>
      <c r="H1208" s="126" t="s">
        <v>80</v>
      </c>
    </row>
    <row r="1209" spans="1:8">
      <c r="A1209" s="126" t="s">
        <v>465</v>
      </c>
      <c r="B1209" s="126">
        <v>-39722</v>
      </c>
      <c r="C1209" s="126">
        <v>56295</v>
      </c>
      <c r="D1209" s="126">
        <v>257396</v>
      </c>
      <c r="E1209" s="126">
        <v>-240823</v>
      </c>
      <c r="G1209" s="126">
        <f t="shared" si="26"/>
        <v>-240823</v>
      </c>
      <c r="H1209" s="126" t="s">
        <v>80</v>
      </c>
    </row>
    <row r="1210" spans="1:8">
      <c r="A1210" s="126" t="s">
        <v>1343</v>
      </c>
      <c r="B1210" s="126">
        <v>0</v>
      </c>
      <c r="C1210" s="126">
        <v>1024</v>
      </c>
      <c r="D1210" s="126">
        <v>60401</v>
      </c>
      <c r="E1210" s="126">
        <v>-59377</v>
      </c>
      <c r="G1210" s="126">
        <f t="shared" si="26"/>
        <v>-59377</v>
      </c>
      <c r="H1210" s="126" t="s">
        <v>80</v>
      </c>
    </row>
    <row r="1211" spans="1:8">
      <c r="A1211" s="126" t="s">
        <v>424</v>
      </c>
      <c r="B1211" s="126">
        <v>-215570</v>
      </c>
      <c r="C1211" s="126">
        <v>2510</v>
      </c>
      <c r="D1211" s="126">
        <v>148090</v>
      </c>
      <c r="E1211" s="126">
        <v>-361150</v>
      </c>
      <c r="G1211" s="126">
        <f t="shared" si="26"/>
        <v>-361150</v>
      </c>
      <c r="H1211" s="126" t="s">
        <v>80</v>
      </c>
    </row>
    <row r="1212" spans="1:8">
      <c r="A1212" s="126" t="s">
        <v>978</v>
      </c>
      <c r="B1212" s="126">
        <v>2445855</v>
      </c>
      <c r="C1212" s="126">
        <v>148500</v>
      </c>
      <c r="D1212" s="126">
        <v>0</v>
      </c>
      <c r="E1212" s="126">
        <v>2594355</v>
      </c>
      <c r="G1212" s="126">
        <f t="shared" si="26"/>
        <v>2594355</v>
      </c>
      <c r="H1212" s="126" t="s">
        <v>80</v>
      </c>
    </row>
    <row r="1213" spans="1:8">
      <c r="A1213" s="126" t="s">
        <v>979</v>
      </c>
      <c r="B1213" s="126">
        <v>-31904</v>
      </c>
      <c r="C1213" s="126">
        <v>50820</v>
      </c>
      <c r="D1213" s="126">
        <v>50820</v>
      </c>
      <c r="E1213" s="126">
        <v>-31904</v>
      </c>
      <c r="G1213" s="126">
        <f t="shared" si="26"/>
        <v>-31904</v>
      </c>
      <c r="H1213" s="126" t="s">
        <v>80</v>
      </c>
    </row>
    <row r="1214" spans="1:8">
      <c r="A1214" s="126" t="s">
        <v>1506</v>
      </c>
      <c r="B1214" s="126">
        <v>0</v>
      </c>
      <c r="C1214" s="126">
        <v>0</v>
      </c>
      <c r="D1214" s="126">
        <v>1770</v>
      </c>
      <c r="E1214" s="126">
        <v>-1770</v>
      </c>
      <c r="G1214" s="126">
        <f t="shared" si="26"/>
        <v>-1770</v>
      </c>
      <c r="H1214" s="126" t="s">
        <v>80</v>
      </c>
    </row>
    <row r="1215" spans="1:8">
      <c r="A1215" s="126" t="s">
        <v>1344</v>
      </c>
      <c r="B1215" s="126">
        <v>0</v>
      </c>
      <c r="C1215" s="126">
        <v>0</v>
      </c>
      <c r="D1215" s="126">
        <v>0</v>
      </c>
      <c r="E1215" s="126">
        <v>0</v>
      </c>
      <c r="G1215" s="126">
        <f t="shared" si="26"/>
        <v>0</v>
      </c>
      <c r="H1215" s="126" t="s">
        <v>80</v>
      </c>
    </row>
    <row r="1216" spans="1:8">
      <c r="A1216" s="126" t="s">
        <v>1345</v>
      </c>
      <c r="B1216" s="126">
        <v>0</v>
      </c>
      <c r="C1216" s="126">
        <v>13190</v>
      </c>
      <c r="D1216" s="126">
        <v>0</v>
      </c>
      <c r="E1216" s="126">
        <v>13190</v>
      </c>
      <c r="G1216" s="126">
        <f t="shared" si="26"/>
        <v>13190</v>
      </c>
      <c r="H1216" s="126" t="s">
        <v>80</v>
      </c>
    </row>
    <row r="1217" spans="1:8">
      <c r="A1217" s="126" t="s">
        <v>980</v>
      </c>
      <c r="B1217" s="126">
        <v>19410</v>
      </c>
      <c r="C1217" s="126">
        <v>5900</v>
      </c>
      <c r="D1217" s="126">
        <v>11800</v>
      </c>
      <c r="E1217" s="126">
        <v>13510</v>
      </c>
      <c r="G1217" s="126">
        <f t="shared" si="26"/>
        <v>13510</v>
      </c>
      <c r="H1217" s="126" t="s">
        <v>80</v>
      </c>
    </row>
    <row r="1218" spans="1:8">
      <c r="A1218" s="126" t="s">
        <v>981</v>
      </c>
      <c r="B1218" s="126">
        <v>49500</v>
      </c>
      <c r="C1218" s="126">
        <v>99000</v>
      </c>
      <c r="D1218" s="126">
        <v>0</v>
      </c>
      <c r="E1218" s="126">
        <v>148500</v>
      </c>
      <c r="G1218" s="126">
        <f t="shared" si="26"/>
        <v>148500</v>
      </c>
      <c r="H1218" s="126" t="s">
        <v>80</v>
      </c>
    </row>
    <row r="1219" spans="1:8">
      <c r="A1219" s="126" t="s">
        <v>982</v>
      </c>
      <c r="B1219" s="126">
        <v>30000</v>
      </c>
      <c r="C1219" s="126">
        <v>0</v>
      </c>
      <c r="D1219" s="126">
        <v>0</v>
      </c>
      <c r="E1219" s="126">
        <v>30000</v>
      </c>
      <c r="G1219" s="126">
        <f t="shared" ref="G1219:G1282" si="27">E1219+F1219</f>
        <v>30000</v>
      </c>
      <c r="H1219" s="126" t="s">
        <v>80</v>
      </c>
    </row>
    <row r="1220" spans="1:8">
      <c r="A1220" s="126" t="s">
        <v>983</v>
      </c>
      <c r="B1220" s="126">
        <v>21240</v>
      </c>
      <c r="C1220" s="126">
        <v>0</v>
      </c>
      <c r="D1220" s="126">
        <v>0</v>
      </c>
      <c r="E1220" s="126">
        <v>21240</v>
      </c>
      <c r="G1220" s="126">
        <f t="shared" si="27"/>
        <v>21240</v>
      </c>
      <c r="H1220" s="126" t="s">
        <v>80</v>
      </c>
    </row>
    <row r="1221" spans="1:8">
      <c r="A1221" s="126" t="s">
        <v>984</v>
      </c>
      <c r="B1221" s="126">
        <v>-47200</v>
      </c>
      <c r="C1221" s="126">
        <v>47200</v>
      </c>
      <c r="D1221" s="126">
        <v>0</v>
      </c>
      <c r="E1221" s="126">
        <v>0</v>
      </c>
      <c r="G1221" s="126">
        <f t="shared" si="27"/>
        <v>0</v>
      </c>
      <c r="H1221" s="126" t="s">
        <v>80</v>
      </c>
    </row>
    <row r="1222" spans="1:8">
      <c r="A1222" s="126" t="s">
        <v>461</v>
      </c>
      <c r="B1222" s="126">
        <v>-1223853.24</v>
      </c>
      <c r="C1222" s="126">
        <v>3425490</v>
      </c>
      <c r="D1222" s="126">
        <v>2099018.2799999998</v>
      </c>
      <c r="E1222" s="126">
        <v>102618.48</v>
      </c>
      <c r="G1222" s="126">
        <f t="shared" si="27"/>
        <v>102618.48</v>
      </c>
      <c r="H1222" s="126" t="s">
        <v>80</v>
      </c>
    </row>
    <row r="1223" spans="1:8">
      <c r="A1223" s="126" t="s">
        <v>985</v>
      </c>
      <c r="B1223" s="126">
        <v>-132120</v>
      </c>
      <c r="C1223" s="126">
        <v>374400</v>
      </c>
      <c r="D1223" s="126">
        <v>244800</v>
      </c>
      <c r="E1223" s="126">
        <v>-2520</v>
      </c>
      <c r="G1223" s="126">
        <f t="shared" si="27"/>
        <v>-2520</v>
      </c>
      <c r="H1223" s="126" t="s">
        <v>80</v>
      </c>
    </row>
    <row r="1224" spans="1:8">
      <c r="A1224" s="126" t="s">
        <v>1507</v>
      </c>
      <c r="B1224" s="126">
        <v>0</v>
      </c>
      <c r="C1224" s="126">
        <v>590000</v>
      </c>
      <c r="D1224" s="126">
        <v>590000</v>
      </c>
      <c r="E1224" s="126">
        <v>0</v>
      </c>
      <c r="G1224" s="126">
        <f t="shared" si="27"/>
        <v>0</v>
      </c>
      <c r="H1224" s="126" t="s">
        <v>80</v>
      </c>
    </row>
    <row r="1225" spans="1:8">
      <c r="A1225" s="126" t="s">
        <v>986</v>
      </c>
      <c r="B1225" s="126">
        <v>48980</v>
      </c>
      <c r="C1225" s="126">
        <v>0</v>
      </c>
      <c r="D1225" s="126">
        <v>0</v>
      </c>
      <c r="E1225" s="126">
        <v>48980</v>
      </c>
      <c r="G1225" s="126">
        <f t="shared" si="27"/>
        <v>48980</v>
      </c>
      <c r="H1225" s="126" t="s">
        <v>80</v>
      </c>
    </row>
    <row r="1226" spans="1:8">
      <c r="A1226" s="126" t="s">
        <v>1346</v>
      </c>
      <c r="B1226" s="126">
        <v>0</v>
      </c>
      <c r="C1226" s="126">
        <v>0</v>
      </c>
      <c r="D1226" s="126">
        <v>0</v>
      </c>
      <c r="E1226" s="126">
        <v>0</v>
      </c>
      <c r="G1226" s="126">
        <f t="shared" si="27"/>
        <v>0</v>
      </c>
      <c r="H1226" s="126" t="s">
        <v>80</v>
      </c>
    </row>
    <row r="1227" spans="1:8">
      <c r="A1227" s="126" t="s">
        <v>987</v>
      </c>
      <c r="B1227" s="126">
        <v>9874</v>
      </c>
      <c r="C1227" s="126">
        <v>0</v>
      </c>
      <c r="D1227" s="126">
        <v>0</v>
      </c>
      <c r="E1227" s="126">
        <v>9874</v>
      </c>
      <c r="G1227" s="126">
        <f t="shared" si="27"/>
        <v>9874</v>
      </c>
      <c r="H1227" s="126" t="s">
        <v>80</v>
      </c>
    </row>
    <row r="1228" spans="1:8">
      <c r="A1228" s="126" t="s">
        <v>988</v>
      </c>
      <c r="B1228" s="126">
        <v>-132920</v>
      </c>
      <c r="C1228" s="126">
        <v>374400</v>
      </c>
      <c r="D1228" s="126">
        <v>244800</v>
      </c>
      <c r="E1228" s="126">
        <v>-3320</v>
      </c>
      <c r="G1228" s="126">
        <f t="shared" si="27"/>
        <v>-3320</v>
      </c>
      <c r="H1228" s="126" t="s">
        <v>80</v>
      </c>
    </row>
    <row r="1229" spans="1:8">
      <c r="A1229" s="126" t="s">
        <v>1347</v>
      </c>
      <c r="B1229" s="126">
        <v>0</v>
      </c>
      <c r="C1229" s="126">
        <v>246035</v>
      </c>
      <c r="D1229" s="126">
        <v>0</v>
      </c>
      <c r="E1229" s="126">
        <v>246035</v>
      </c>
      <c r="G1229" s="126">
        <f t="shared" si="27"/>
        <v>246035</v>
      </c>
      <c r="H1229" s="126" t="s">
        <v>80</v>
      </c>
    </row>
    <row r="1230" spans="1:8">
      <c r="A1230" s="126" t="s">
        <v>989</v>
      </c>
      <c r="B1230" s="126">
        <v>50500</v>
      </c>
      <c r="C1230" s="126">
        <v>0</v>
      </c>
      <c r="D1230" s="126">
        <v>0</v>
      </c>
      <c r="E1230" s="126">
        <v>50500</v>
      </c>
      <c r="G1230" s="126">
        <f t="shared" si="27"/>
        <v>50500</v>
      </c>
      <c r="H1230" s="126" t="s">
        <v>80</v>
      </c>
    </row>
    <row r="1231" spans="1:8">
      <c r="A1231" s="126" t="s">
        <v>990</v>
      </c>
      <c r="B1231" s="126">
        <v>410850</v>
      </c>
      <c r="C1231" s="126">
        <v>0</v>
      </c>
      <c r="D1231" s="126">
        <v>0</v>
      </c>
      <c r="E1231" s="126">
        <v>410850</v>
      </c>
      <c r="G1231" s="126">
        <f t="shared" si="27"/>
        <v>410850</v>
      </c>
      <c r="H1231" s="126" t="s">
        <v>80</v>
      </c>
    </row>
    <row r="1232" spans="1:8">
      <c r="A1232" s="126" t="s">
        <v>991</v>
      </c>
      <c r="B1232" s="126">
        <v>1187000</v>
      </c>
      <c r="C1232" s="126">
        <v>693000</v>
      </c>
      <c r="D1232" s="126">
        <v>0</v>
      </c>
      <c r="E1232" s="126">
        <v>1880000</v>
      </c>
      <c r="G1232" s="126">
        <f t="shared" si="27"/>
        <v>1880000</v>
      </c>
      <c r="H1232" s="126" t="s">
        <v>80</v>
      </c>
    </row>
    <row r="1233" spans="1:8">
      <c r="A1233" s="126" t="s">
        <v>992</v>
      </c>
      <c r="B1233" s="126">
        <v>-1170</v>
      </c>
      <c r="C1233" s="126">
        <v>0</v>
      </c>
      <c r="D1233" s="126">
        <v>9440</v>
      </c>
      <c r="E1233" s="126">
        <v>-10610</v>
      </c>
      <c r="G1233" s="126">
        <f t="shared" si="27"/>
        <v>-10610</v>
      </c>
      <c r="H1233" s="126" t="s">
        <v>80</v>
      </c>
    </row>
    <row r="1234" spans="1:8">
      <c r="A1234" s="126" t="s">
        <v>993</v>
      </c>
      <c r="B1234" s="126">
        <v>-168000</v>
      </c>
      <c r="C1234" s="126">
        <v>168000</v>
      </c>
      <c r="D1234" s="126">
        <v>0</v>
      </c>
      <c r="E1234" s="126">
        <v>0</v>
      </c>
      <c r="G1234" s="126">
        <f t="shared" si="27"/>
        <v>0</v>
      </c>
      <c r="H1234" s="126" t="s">
        <v>80</v>
      </c>
    </row>
    <row r="1235" spans="1:8">
      <c r="A1235" s="126" t="s">
        <v>994</v>
      </c>
      <c r="B1235" s="126">
        <v>3806.64</v>
      </c>
      <c r="C1235" s="126">
        <v>0</v>
      </c>
      <c r="D1235" s="126">
        <v>0</v>
      </c>
      <c r="E1235" s="126">
        <v>3806.64</v>
      </c>
      <c r="G1235" s="126">
        <f t="shared" si="27"/>
        <v>3806.64</v>
      </c>
      <c r="H1235" s="126" t="s">
        <v>80</v>
      </c>
    </row>
    <row r="1236" spans="1:8">
      <c r="A1236" s="126" t="s">
        <v>1348</v>
      </c>
      <c r="B1236" s="126">
        <v>0</v>
      </c>
      <c r="C1236" s="126">
        <v>0</v>
      </c>
      <c r="D1236" s="126">
        <v>0</v>
      </c>
      <c r="E1236" s="126">
        <v>0</v>
      </c>
      <c r="G1236" s="126">
        <f t="shared" si="27"/>
        <v>0</v>
      </c>
      <c r="H1236" s="126" t="s">
        <v>80</v>
      </c>
    </row>
    <row r="1237" spans="1:8">
      <c r="A1237" s="126" t="s">
        <v>995</v>
      </c>
      <c r="B1237" s="126">
        <v>-51408</v>
      </c>
      <c r="C1237" s="126">
        <v>165648</v>
      </c>
      <c r="D1237" s="126">
        <v>114240</v>
      </c>
      <c r="E1237" s="126">
        <v>0</v>
      </c>
      <c r="G1237" s="126">
        <f t="shared" si="27"/>
        <v>0</v>
      </c>
      <c r="H1237" s="126" t="s">
        <v>80</v>
      </c>
    </row>
    <row r="1238" spans="1:8">
      <c r="A1238" s="126" t="s">
        <v>1349</v>
      </c>
      <c r="B1238" s="126">
        <v>0</v>
      </c>
      <c r="C1238" s="126">
        <v>24375</v>
      </c>
      <c r="D1238" s="126">
        <v>287626</v>
      </c>
      <c r="E1238" s="126">
        <v>-263251</v>
      </c>
      <c r="G1238" s="126">
        <f t="shared" si="27"/>
        <v>-263251</v>
      </c>
      <c r="H1238" s="126" t="s">
        <v>80</v>
      </c>
    </row>
    <row r="1239" spans="1:8">
      <c r="A1239" s="126" t="s">
        <v>996</v>
      </c>
      <c r="B1239" s="126">
        <v>21121</v>
      </c>
      <c r="C1239" s="126">
        <v>11210</v>
      </c>
      <c r="D1239" s="126">
        <v>11210</v>
      </c>
      <c r="E1239" s="126">
        <v>21121</v>
      </c>
      <c r="G1239" s="126">
        <f t="shared" si="27"/>
        <v>21121</v>
      </c>
      <c r="H1239" s="126" t="s">
        <v>80</v>
      </c>
    </row>
    <row r="1240" spans="1:8">
      <c r="A1240" s="126" t="s">
        <v>997</v>
      </c>
      <c r="B1240" s="126">
        <v>9136</v>
      </c>
      <c r="C1240" s="126">
        <v>0</v>
      </c>
      <c r="D1240" s="126">
        <v>9136</v>
      </c>
      <c r="E1240" s="126">
        <v>0</v>
      </c>
      <c r="G1240" s="126">
        <f t="shared" si="27"/>
        <v>0</v>
      </c>
      <c r="H1240" s="126" t="s">
        <v>80</v>
      </c>
    </row>
    <row r="1241" spans="1:8">
      <c r="A1241" s="126" t="s">
        <v>1350</v>
      </c>
      <c r="B1241" s="126">
        <v>0</v>
      </c>
      <c r="C1241" s="126">
        <v>517025</v>
      </c>
      <c r="D1241" s="126">
        <v>590795.48</v>
      </c>
      <c r="E1241" s="126">
        <v>-73770.48</v>
      </c>
      <c r="G1241" s="126">
        <f t="shared" si="27"/>
        <v>-73770.48</v>
      </c>
      <c r="H1241" s="126" t="s">
        <v>80</v>
      </c>
    </row>
    <row r="1242" spans="1:8">
      <c r="A1242" s="126" t="s">
        <v>998</v>
      </c>
      <c r="B1242" s="126">
        <v>81969</v>
      </c>
      <c r="C1242" s="126">
        <v>1320</v>
      </c>
      <c r="D1242" s="126">
        <v>80388</v>
      </c>
      <c r="E1242" s="126">
        <v>2901</v>
      </c>
      <c r="G1242" s="126">
        <f t="shared" si="27"/>
        <v>2901</v>
      </c>
      <c r="H1242" s="126" t="s">
        <v>80</v>
      </c>
    </row>
    <row r="1243" spans="1:8">
      <c r="A1243" s="126" t="s">
        <v>1351</v>
      </c>
      <c r="B1243" s="126">
        <v>0</v>
      </c>
      <c r="C1243" s="126">
        <v>7080</v>
      </c>
      <c r="D1243" s="126">
        <v>7080</v>
      </c>
      <c r="E1243" s="126">
        <v>0</v>
      </c>
      <c r="G1243" s="126">
        <f t="shared" si="27"/>
        <v>0</v>
      </c>
      <c r="H1243" s="126" t="s">
        <v>80</v>
      </c>
    </row>
    <row r="1244" spans="1:8">
      <c r="A1244" s="126" t="s">
        <v>1508</v>
      </c>
      <c r="B1244" s="126">
        <v>0</v>
      </c>
      <c r="C1244" s="126">
        <v>68144</v>
      </c>
      <c r="D1244" s="126">
        <v>68144</v>
      </c>
      <c r="E1244" s="126">
        <v>0</v>
      </c>
      <c r="G1244" s="126">
        <f t="shared" si="27"/>
        <v>0</v>
      </c>
      <c r="H1244" s="126" t="s">
        <v>80</v>
      </c>
    </row>
    <row r="1245" spans="1:8">
      <c r="A1245" s="126" t="s">
        <v>1509</v>
      </c>
      <c r="B1245" s="126">
        <v>0</v>
      </c>
      <c r="C1245" s="126">
        <v>78706</v>
      </c>
      <c r="D1245" s="126">
        <v>72806</v>
      </c>
      <c r="E1245" s="126">
        <v>5900</v>
      </c>
      <c r="G1245" s="126">
        <f t="shared" si="27"/>
        <v>5900</v>
      </c>
      <c r="H1245" s="126" t="s">
        <v>80</v>
      </c>
    </row>
    <row r="1246" spans="1:8">
      <c r="A1246" s="126" t="s">
        <v>999</v>
      </c>
      <c r="B1246" s="126">
        <v>-29700</v>
      </c>
      <c r="C1246" s="126">
        <v>59700</v>
      </c>
      <c r="D1246" s="126">
        <v>30000</v>
      </c>
      <c r="E1246" s="126">
        <v>0</v>
      </c>
      <c r="G1246" s="126">
        <f t="shared" si="27"/>
        <v>0</v>
      </c>
      <c r="H1246" s="126" t="s">
        <v>80</v>
      </c>
    </row>
    <row r="1247" spans="1:8">
      <c r="A1247" s="126" t="s">
        <v>1550</v>
      </c>
      <c r="B1247" s="126">
        <v>0</v>
      </c>
      <c r="C1247" s="126">
        <v>0</v>
      </c>
      <c r="D1247" s="126">
        <v>0</v>
      </c>
      <c r="E1247" s="126">
        <v>0</v>
      </c>
      <c r="G1247" s="126">
        <f t="shared" si="27"/>
        <v>0</v>
      </c>
      <c r="H1247" s="126" t="s">
        <v>80</v>
      </c>
    </row>
    <row r="1248" spans="1:8">
      <c r="A1248" s="126" t="s">
        <v>1353</v>
      </c>
      <c r="B1248" s="126">
        <v>0</v>
      </c>
      <c r="C1248" s="126">
        <v>90793</v>
      </c>
      <c r="D1248" s="126">
        <v>90793</v>
      </c>
      <c r="E1248" s="126">
        <v>0</v>
      </c>
      <c r="G1248" s="126">
        <f t="shared" si="27"/>
        <v>0</v>
      </c>
      <c r="H1248" s="126" t="s">
        <v>80</v>
      </c>
    </row>
    <row r="1249" spans="1:8">
      <c r="A1249" s="126" t="s">
        <v>1000</v>
      </c>
      <c r="B1249" s="126">
        <v>86828</v>
      </c>
      <c r="C1249" s="126">
        <v>148500</v>
      </c>
      <c r="D1249" s="126">
        <v>0</v>
      </c>
      <c r="E1249" s="126">
        <v>235328</v>
      </c>
      <c r="G1249" s="126">
        <f t="shared" si="27"/>
        <v>235328</v>
      </c>
      <c r="H1249" s="126" t="s">
        <v>80</v>
      </c>
    </row>
    <row r="1250" spans="1:8">
      <c r="A1250" s="126" t="s">
        <v>1001</v>
      </c>
      <c r="B1250" s="126">
        <v>-6863.39</v>
      </c>
      <c r="C1250" s="126">
        <v>0</v>
      </c>
      <c r="D1250" s="126">
        <v>316333.83</v>
      </c>
      <c r="E1250" s="126">
        <v>-323197.21999999997</v>
      </c>
      <c r="G1250" s="126">
        <f t="shared" si="27"/>
        <v>-323197.21999999997</v>
      </c>
      <c r="H1250" s="126" t="s">
        <v>80</v>
      </c>
    </row>
    <row r="1251" spans="1:8">
      <c r="A1251" s="126" t="s">
        <v>1510</v>
      </c>
      <c r="B1251" s="126">
        <v>0</v>
      </c>
      <c r="C1251" s="126">
        <v>31732</v>
      </c>
      <c r="D1251" s="126">
        <v>36632</v>
      </c>
      <c r="E1251" s="126">
        <v>-4900</v>
      </c>
      <c r="G1251" s="126">
        <f t="shared" si="27"/>
        <v>-4900</v>
      </c>
      <c r="H1251" s="126" t="s">
        <v>80</v>
      </c>
    </row>
    <row r="1252" spans="1:8">
      <c r="A1252" s="126" t="s">
        <v>1511</v>
      </c>
      <c r="B1252" s="126">
        <v>0</v>
      </c>
      <c r="C1252" s="126">
        <v>4000</v>
      </c>
      <c r="D1252" s="126">
        <v>4000</v>
      </c>
      <c r="E1252" s="126">
        <v>0</v>
      </c>
      <c r="G1252" s="126">
        <f t="shared" si="27"/>
        <v>0</v>
      </c>
      <c r="H1252" s="126" t="s">
        <v>80</v>
      </c>
    </row>
    <row r="1253" spans="1:8">
      <c r="A1253" s="126" t="s">
        <v>1354</v>
      </c>
      <c r="B1253" s="126">
        <v>0</v>
      </c>
      <c r="C1253" s="126">
        <v>0</v>
      </c>
      <c r="D1253" s="126">
        <v>0</v>
      </c>
      <c r="E1253" s="126">
        <v>0</v>
      </c>
      <c r="G1253" s="126">
        <f t="shared" si="27"/>
        <v>0</v>
      </c>
      <c r="H1253" s="126" t="s">
        <v>80</v>
      </c>
    </row>
    <row r="1254" spans="1:8">
      <c r="A1254" s="126" t="s">
        <v>1002</v>
      </c>
      <c r="B1254" s="126">
        <v>125</v>
      </c>
      <c r="C1254" s="126">
        <v>3750</v>
      </c>
      <c r="D1254" s="126">
        <v>6250</v>
      </c>
      <c r="E1254" s="126">
        <v>-2375</v>
      </c>
      <c r="G1254" s="126">
        <f t="shared" si="27"/>
        <v>-2375</v>
      </c>
      <c r="H1254" s="126" t="s">
        <v>80</v>
      </c>
    </row>
    <row r="1255" spans="1:8">
      <c r="A1255" s="126" t="s">
        <v>1003</v>
      </c>
      <c r="B1255" s="126">
        <v>-35425.25</v>
      </c>
      <c r="C1255" s="126">
        <v>0</v>
      </c>
      <c r="D1255" s="126">
        <v>0</v>
      </c>
      <c r="E1255" s="126">
        <v>-35425.25</v>
      </c>
      <c r="G1255" s="126">
        <f t="shared" si="27"/>
        <v>-35425.25</v>
      </c>
      <c r="H1255" s="126" t="s">
        <v>80</v>
      </c>
    </row>
    <row r="1256" spans="1:8">
      <c r="A1256" s="126" t="s">
        <v>1004</v>
      </c>
      <c r="B1256" s="126">
        <v>-31512.92</v>
      </c>
      <c r="C1256" s="126">
        <v>31513</v>
      </c>
      <c r="D1256" s="126">
        <v>0</v>
      </c>
      <c r="E1256" s="126">
        <v>0.08</v>
      </c>
      <c r="G1256" s="126">
        <f t="shared" si="27"/>
        <v>0.08</v>
      </c>
      <c r="H1256" s="126" t="s">
        <v>80</v>
      </c>
    </row>
    <row r="1257" spans="1:8">
      <c r="A1257" s="126" t="s">
        <v>1005</v>
      </c>
      <c r="B1257" s="126">
        <v>-11280</v>
      </c>
      <c r="C1257" s="126">
        <v>11280</v>
      </c>
      <c r="D1257" s="126">
        <v>0</v>
      </c>
      <c r="E1257" s="126">
        <v>0</v>
      </c>
      <c r="G1257" s="126">
        <f t="shared" si="27"/>
        <v>0</v>
      </c>
      <c r="H1257" s="126" t="s">
        <v>80</v>
      </c>
    </row>
    <row r="1258" spans="1:8">
      <c r="A1258" s="126" t="s">
        <v>1006</v>
      </c>
      <c r="B1258" s="126">
        <v>-153381</v>
      </c>
      <c r="C1258" s="126">
        <v>209431</v>
      </c>
      <c r="D1258" s="126">
        <v>398959</v>
      </c>
      <c r="E1258" s="126">
        <v>-342909</v>
      </c>
      <c r="G1258" s="126">
        <f t="shared" si="27"/>
        <v>-342909</v>
      </c>
      <c r="H1258" s="126" t="s">
        <v>80</v>
      </c>
    </row>
    <row r="1259" spans="1:8">
      <c r="A1259" s="126" t="s">
        <v>1355</v>
      </c>
      <c r="B1259" s="126">
        <v>0</v>
      </c>
      <c r="C1259" s="126">
        <v>321799</v>
      </c>
      <c r="D1259" s="126">
        <v>321799</v>
      </c>
      <c r="E1259" s="126">
        <v>0</v>
      </c>
      <c r="G1259" s="126">
        <f t="shared" si="27"/>
        <v>0</v>
      </c>
      <c r="H1259" s="126" t="s">
        <v>80</v>
      </c>
    </row>
    <row r="1260" spans="1:8">
      <c r="A1260" s="126" t="s">
        <v>1007</v>
      </c>
      <c r="B1260" s="126">
        <v>350000</v>
      </c>
      <c r="C1260" s="126">
        <v>0</v>
      </c>
      <c r="D1260" s="126">
        <v>0</v>
      </c>
      <c r="E1260" s="126">
        <v>350000</v>
      </c>
      <c r="G1260" s="126">
        <f t="shared" si="27"/>
        <v>350000</v>
      </c>
      <c r="H1260" s="126" t="s">
        <v>80</v>
      </c>
    </row>
    <row r="1261" spans="1:8">
      <c r="A1261" s="126" t="s">
        <v>1356</v>
      </c>
      <c r="B1261" s="126">
        <v>0</v>
      </c>
      <c r="C1261" s="126">
        <v>0</v>
      </c>
      <c r="D1261" s="126">
        <v>0</v>
      </c>
      <c r="E1261" s="126">
        <v>0</v>
      </c>
      <c r="G1261" s="126">
        <f t="shared" si="27"/>
        <v>0</v>
      </c>
      <c r="H1261" s="126" t="s">
        <v>80</v>
      </c>
    </row>
    <row r="1262" spans="1:8">
      <c r="A1262" s="126" t="s">
        <v>1357</v>
      </c>
      <c r="B1262" s="126">
        <v>0</v>
      </c>
      <c r="C1262" s="126">
        <v>5100</v>
      </c>
      <c r="D1262" s="126">
        <v>0</v>
      </c>
      <c r="E1262" s="126">
        <v>5100</v>
      </c>
      <c r="G1262" s="126">
        <f t="shared" si="27"/>
        <v>5100</v>
      </c>
      <c r="H1262" s="126" t="s">
        <v>80</v>
      </c>
    </row>
    <row r="1263" spans="1:8">
      <c r="A1263" s="126" t="s">
        <v>1358</v>
      </c>
      <c r="B1263" s="126">
        <v>0</v>
      </c>
      <c r="C1263" s="126">
        <v>0</v>
      </c>
      <c r="D1263" s="126">
        <v>0</v>
      </c>
      <c r="E1263" s="126">
        <v>0</v>
      </c>
      <c r="G1263" s="126">
        <f t="shared" si="27"/>
        <v>0</v>
      </c>
      <c r="H1263" s="126" t="s">
        <v>80</v>
      </c>
    </row>
    <row r="1264" spans="1:8">
      <c r="A1264" s="126" t="s">
        <v>419</v>
      </c>
      <c r="B1264" s="126">
        <v>-20234.669999999998</v>
      </c>
      <c r="C1264" s="126">
        <v>1941542</v>
      </c>
      <c r="D1264" s="126">
        <v>1921308</v>
      </c>
      <c r="E1264" s="126">
        <v>-0.67</v>
      </c>
      <c r="G1264" s="126">
        <f t="shared" si="27"/>
        <v>-0.67</v>
      </c>
      <c r="H1264" s="126" t="s">
        <v>80</v>
      </c>
    </row>
    <row r="1265" spans="1:8">
      <c r="A1265" s="126" t="s">
        <v>1008</v>
      </c>
      <c r="B1265" s="126">
        <v>19025</v>
      </c>
      <c r="C1265" s="126">
        <v>144239</v>
      </c>
      <c r="D1265" s="126">
        <v>0</v>
      </c>
      <c r="E1265" s="126">
        <v>163264</v>
      </c>
      <c r="G1265" s="126">
        <f t="shared" si="27"/>
        <v>163264</v>
      </c>
      <c r="H1265" s="126" t="s">
        <v>80</v>
      </c>
    </row>
    <row r="1266" spans="1:8">
      <c r="A1266" s="126" t="s">
        <v>1009</v>
      </c>
      <c r="B1266" s="126">
        <v>0</v>
      </c>
      <c r="C1266" s="126">
        <v>2088</v>
      </c>
      <c r="D1266" s="126">
        <v>708</v>
      </c>
      <c r="E1266" s="126">
        <v>1380</v>
      </c>
      <c r="G1266" s="126">
        <f t="shared" si="27"/>
        <v>1380</v>
      </c>
      <c r="H1266" s="126" t="s">
        <v>80</v>
      </c>
    </row>
    <row r="1267" spans="1:8">
      <c r="A1267" s="126" t="s">
        <v>1010</v>
      </c>
      <c r="B1267" s="126">
        <v>-3581</v>
      </c>
      <c r="C1267" s="126">
        <v>0</v>
      </c>
      <c r="D1267" s="126">
        <v>0</v>
      </c>
      <c r="E1267" s="126">
        <v>-3581</v>
      </c>
      <c r="G1267" s="126">
        <f t="shared" si="27"/>
        <v>-3581</v>
      </c>
      <c r="H1267" s="126" t="s">
        <v>80</v>
      </c>
    </row>
    <row r="1268" spans="1:8">
      <c r="A1268" s="126" t="s">
        <v>1359</v>
      </c>
      <c r="B1268" s="126">
        <v>0</v>
      </c>
      <c r="C1268" s="126">
        <v>0</v>
      </c>
      <c r="D1268" s="126">
        <v>21476</v>
      </c>
      <c r="E1268" s="126">
        <v>-21476</v>
      </c>
      <c r="G1268" s="126">
        <f t="shared" si="27"/>
        <v>-21476</v>
      </c>
      <c r="H1268" s="126" t="s">
        <v>80</v>
      </c>
    </row>
    <row r="1269" spans="1:8">
      <c r="A1269" s="126" t="s">
        <v>1011</v>
      </c>
      <c r="B1269" s="126">
        <v>-0.64</v>
      </c>
      <c r="C1269" s="126">
        <v>0</v>
      </c>
      <c r="D1269" s="126">
        <v>0</v>
      </c>
      <c r="E1269" s="126">
        <v>-0.64</v>
      </c>
      <c r="G1269" s="126">
        <f t="shared" si="27"/>
        <v>-0.64</v>
      </c>
      <c r="H1269" s="126" t="s">
        <v>80</v>
      </c>
    </row>
    <row r="1270" spans="1:8">
      <c r="A1270" s="126" t="s">
        <v>1012</v>
      </c>
      <c r="B1270" s="126">
        <v>-146369.48000000001</v>
      </c>
      <c r="C1270" s="126">
        <v>187290</v>
      </c>
      <c r="D1270" s="126">
        <v>42775</v>
      </c>
      <c r="E1270" s="126">
        <v>-1854.48</v>
      </c>
      <c r="G1270" s="126">
        <f t="shared" si="27"/>
        <v>-1854.48</v>
      </c>
      <c r="H1270" s="126" t="s">
        <v>80</v>
      </c>
    </row>
    <row r="1271" spans="1:8">
      <c r="A1271" s="126" t="s">
        <v>155</v>
      </c>
      <c r="B1271" s="126">
        <v>-4150455.4</v>
      </c>
      <c r="C1271" s="126">
        <v>12025574</v>
      </c>
      <c r="D1271" s="126">
        <v>6944220</v>
      </c>
      <c r="E1271" s="126">
        <v>930898.6</v>
      </c>
      <c r="G1271" s="126">
        <f t="shared" si="27"/>
        <v>930898.6</v>
      </c>
      <c r="H1271" s="126" t="s">
        <v>80</v>
      </c>
    </row>
    <row r="1272" spans="1:8">
      <c r="A1272" s="126" t="s">
        <v>1013</v>
      </c>
      <c r="B1272" s="126">
        <v>-854</v>
      </c>
      <c r="C1272" s="126">
        <v>0</v>
      </c>
      <c r="D1272" s="126">
        <v>0</v>
      </c>
      <c r="E1272" s="126">
        <v>-854</v>
      </c>
      <c r="G1272" s="126">
        <f t="shared" si="27"/>
        <v>-854</v>
      </c>
      <c r="H1272" s="126" t="s">
        <v>80</v>
      </c>
    </row>
    <row r="1273" spans="1:8">
      <c r="A1273" s="126" t="s">
        <v>393</v>
      </c>
      <c r="B1273" s="126">
        <v>15853.21</v>
      </c>
      <c r="C1273" s="126">
        <v>4945</v>
      </c>
      <c r="D1273" s="126">
        <v>0</v>
      </c>
      <c r="E1273" s="126">
        <v>20798.21</v>
      </c>
      <c r="G1273" s="126">
        <f t="shared" si="27"/>
        <v>20798.21</v>
      </c>
      <c r="H1273" s="126" t="s">
        <v>80</v>
      </c>
    </row>
    <row r="1274" spans="1:8">
      <c r="A1274" s="126" t="s">
        <v>1360</v>
      </c>
      <c r="B1274" s="126">
        <v>0</v>
      </c>
      <c r="C1274" s="126">
        <v>0</v>
      </c>
      <c r="D1274" s="126">
        <v>18580</v>
      </c>
      <c r="E1274" s="126">
        <v>-18580</v>
      </c>
      <c r="G1274" s="126">
        <f t="shared" si="27"/>
        <v>-18580</v>
      </c>
      <c r="H1274" s="126" t="s">
        <v>80</v>
      </c>
    </row>
    <row r="1275" spans="1:8">
      <c r="A1275" s="126" t="s">
        <v>1014</v>
      </c>
      <c r="B1275" s="126">
        <v>-52030</v>
      </c>
      <c r="C1275" s="126">
        <v>0</v>
      </c>
      <c r="D1275" s="126">
        <v>0</v>
      </c>
      <c r="E1275" s="126">
        <v>-52030</v>
      </c>
      <c r="G1275" s="126">
        <f t="shared" si="27"/>
        <v>-52030</v>
      </c>
      <c r="H1275" s="126" t="s">
        <v>80</v>
      </c>
    </row>
    <row r="1276" spans="1:8">
      <c r="A1276" s="126" t="s">
        <v>1551</v>
      </c>
      <c r="B1276" s="126">
        <v>0</v>
      </c>
      <c r="C1276" s="126">
        <v>0</v>
      </c>
      <c r="D1276" s="126">
        <v>0</v>
      </c>
      <c r="E1276" s="126">
        <v>0</v>
      </c>
      <c r="G1276" s="126">
        <f t="shared" si="27"/>
        <v>0</v>
      </c>
      <c r="H1276" s="126" t="s">
        <v>80</v>
      </c>
    </row>
    <row r="1277" spans="1:8">
      <c r="A1277" s="126" t="s">
        <v>1015</v>
      </c>
      <c r="B1277" s="126">
        <v>-0.46</v>
      </c>
      <c r="C1277" s="126">
        <v>0</v>
      </c>
      <c r="D1277" s="126">
        <v>0</v>
      </c>
      <c r="E1277" s="126">
        <v>-0.46</v>
      </c>
      <c r="G1277" s="126">
        <f t="shared" si="27"/>
        <v>-0.46</v>
      </c>
      <c r="H1277" s="126" t="s">
        <v>80</v>
      </c>
    </row>
    <row r="1278" spans="1:8">
      <c r="A1278" s="126" t="s">
        <v>413</v>
      </c>
      <c r="B1278" s="126">
        <v>-8850</v>
      </c>
      <c r="C1278" s="126">
        <v>0</v>
      </c>
      <c r="D1278" s="126">
        <v>0</v>
      </c>
      <c r="E1278" s="126">
        <v>-8850</v>
      </c>
      <c r="G1278" s="126">
        <f t="shared" si="27"/>
        <v>-8850</v>
      </c>
      <c r="H1278" s="126" t="s">
        <v>80</v>
      </c>
    </row>
    <row r="1279" spans="1:8">
      <c r="A1279" s="126" t="s">
        <v>1016</v>
      </c>
      <c r="B1279" s="126">
        <v>0</v>
      </c>
      <c r="C1279" s="126">
        <v>165000</v>
      </c>
      <c r="D1279" s="126">
        <v>165000</v>
      </c>
      <c r="E1279" s="126">
        <v>0</v>
      </c>
      <c r="G1279" s="126">
        <f t="shared" si="27"/>
        <v>0</v>
      </c>
      <c r="H1279" s="126" t="s">
        <v>80</v>
      </c>
    </row>
    <row r="1280" spans="1:8">
      <c r="A1280" s="126" t="s">
        <v>1017</v>
      </c>
      <c r="B1280" s="126">
        <v>-1770</v>
      </c>
      <c r="C1280" s="126">
        <v>7080</v>
      </c>
      <c r="D1280" s="126">
        <v>5310</v>
      </c>
      <c r="E1280" s="126">
        <v>0</v>
      </c>
      <c r="G1280" s="126">
        <f t="shared" si="27"/>
        <v>0</v>
      </c>
      <c r="H1280" s="126" t="s">
        <v>80</v>
      </c>
    </row>
    <row r="1281" spans="1:8">
      <c r="A1281" s="126" t="s">
        <v>1018</v>
      </c>
      <c r="B1281" s="126">
        <v>-448828868.54000002</v>
      </c>
      <c r="C1281" s="126">
        <v>829545554.62</v>
      </c>
      <c r="D1281" s="126">
        <v>710920563.97000003</v>
      </c>
      <c r="E1281" s="126">
        <v>-330203877.88999999</v>
      </c>
      <c r="G1281" s="126">
        <f t="shared" si="27"/>
        <v>-330203877.88999999</v>
      </c>
      <c r="H1281" s="126" t="s">
        <v>80</v>
      </c>
    </row>
    <row r="1282" spans="1:8">
      <c r="A1282" s="126" t="s">
        <v>1019</v>
      </c>
      <c r="B1282" s="126">
        <v>536708.4</v>
      </c>
      <c r="C1282" s="126">
        <v>0</v>
      </c>
      <c r="D1282" s="126">
        <v>274468</v>
      </c>
      <c r="E1282" s="126">
        <v>262240.40000000002</v>
      </c>
      <c r="G1282" s="126">
        <f t="shared" si="27"/>
        <v>262240.40000000002</v>
      </c>
      <c r="H1282" s="126" t="s">
        <v>80</v>
      </c>
    </row>
    <row r="1283" spans="1:8">
      <c r="A1283" s="126" t="s">
        <v>1020</v>
      </c>
      <c r="B1283" s="126">
        <v>-59604687.869999997</v>
      </c>
      <c r="C1283" s="126">
        <v>152809130.59999999</v>
      </c>
      <c r="D1283" s="126">
        <v>151800693.16</v>
      </c>
      <c r="E1283" s="126">
        <v>-58596250.43</v>
      </c>
      <c r="G1283" s="126">
        <f t="shared" ref="G1283:G1325" si="28">E1283+F1283</f>
        <v>-58596250.43</v>
      </c>
      <c r="H1283" s="126" t="s">
        <v>80</v>
      </c>
    </row>
    <row r="1284" spans="1:8">
      <c r="A1284" s="126" t="s">
        <v>1021</v>
      </c>
      <c r="B1284" s="126">
        <v>-904527117</v>
      </c>
      <c r="C1284" s="126">
        <v>92911181</v>
      </c>
      <c r="D1284" s="126">
        <v>104497200</v>
      </c>
      <c r="E1284" s="126">
        <v>-916113136</v>
      </c>
      <c r="G1284" s="126">
        <f t="shared" si="28"/>
        <v>-916113136</v>
      </c>
      <c r="H1284" s="126" t="s">
        <v>80</v>
      </c>
    </row>
    <row r="1285" spans="1:8">
      <c r="A1285" s="126" t="s">
        <v>1022</v>
      </c>
      <c r="B1285" s="126">
        <v>-254791622.38</v>
      </c>
      <c r="C1285" s="126">
        <v>0</v>
      </c>
      <c r="D1285" s="126">
        <v>0</v>
      </c>
      <c r="E1285" s="126">
        <v>-254791622.38</v>
      </c>
      <c r="G1285" s="126">
        <f t="shared" si="28"/>
        <v>-254791622.38</v>
      </c>
      <c r="H1285" s="126" t="s">
        <v>80</v>
      </c>
    </row>
    <row r="1286" spans="1:8">
      <c r="A1286" s="126" t="s">
        <v>1512</v>
      </c>
      <c r="B1286" s="126">
        <v>0</v>
      </c>
      <c r="C1286" s="126">
        <v>0</v>
      </c>
      <c r="D1286" s="126">
        <v>3718520</v>
      </c>
      <c r="E1286" s="126">
        <v>-3718520</v>
      </c>
      <c r="G1286" s="126">
        <f t="shared" si="28"/>
        <v>-3718520</v>
      </c>
      <c r="H1286" s="126" t="s">
        <v>80</v>
      </c>
    </row>
    <row r="1287" spans="1:8">
      <c r="A1287" s="126" t="s">
        <v>1023</v>
      </c>
      <c r="B1287" s="126">
        <v>-27509624.390000001</v>
      </c>
      <c r="C1287" s="126">
        <v>12000000</v>
      </c>
      <c r="D1287" s="126">
        <v>0</v>
      </c>
      <c r="E1287" s="126">
        <v>-15509624.390000001</v>
      </c>
      <c r="G1287" s="126">
        <f t="shared" si="28"/>
        <v>-15509624.390000001</v>
      </c>
      <c r="H1287" s="126" t="s">
        <v>80</v>
      </c>
    </row>
    <row r="1288" spans="1:8">
      <c r="A1288" s="126" t="s">
        <v>1024</v>
      </c>
      <c r="B1288" s="126">
        <v>-77618334.810000002</v>
      </c>
      <c r="C1288" s="126">
        <v>21515724</v>
      </c>
      <c r="D1288" s="126">
        <v>2104567</v>
      </c>
      <c r="E1288" s="126">
        <v>-58207177.810000002</v>
      </c>
      <c r="G1288" s="126">
        <f t="shared" si="28"/>
        <v>-58207177.810000002</v>
      </c>
      <c r="H1288" s="126" t="s">
        <v>80</v>
      </c>
    </row>
    <row r="1289" spans="1:8">
      <c r="A1289" s="126" t="s">
        <v>1025</v>
      </c>
      <c r="B1289" s="126">
        <v>-17551333.5</v>
      </c>
      <c r="C1289" s="126">
        <v>1919100.98</v>
      </c>
      <c r="D1289" s="126">
        <v>414701</v>
      </c>
      <c r="E1289" s="126">
        <v>-16046933.52</v>
      </c>
      <c r="G1289" s="126">
        <f t="shared" si="28"/>
        <v>-16046933.52</v>
      </c>
      <c r="H1289" s="126" t="s">
        <v>80</v>
      </c>
    </row>
    <row r="1290" spans="1:8">
      <c r="A1290" s="126" t="s">
        <v>1026</v>
      </c>
      <c r="B1290" s="126">
        <v>-1755555.59</v>
      </c>
      <c r="C1290" s="126">
        <v>1048052.33</v>
      </c>
      <c r="D1290" s="126">
        <v>114719</v>
      </c>
      <c r="E1290" s="126">
        <v>-822222.26</v>
      </c>
      <c r="G1290" s="126">
        <f t="shared" si="28"/>
        <v>-822222.26</v>
      </c>
      <c r="H1290" s="126" t="s">
        <v>80</v>
      </c>
    </row>
    <row r="1291" spans="1:8">
      <c r="A1291" s="126" t="s">
        <v>1027</v>
      </c>
      <c r="B1291" s="126">
        <v>-29027778</v>
      </c>
      <c r="C1291" s="126">
        <v>8525237.6400000006</v>
      </c>
      <c r="D1291" s="126">
        <v>608571</v>
      </c>
      <c r="E1291" s="126">
        <v>-21111111.359999999</v>
      </c>
      <c r="G1291" s="126">
        <f t="shared" si="28"/>
        <v>-21111111.359999999</v>
      </c>
      <c r="H1291" s="126" t="s">
        <v>80</v>
      </c>
    </row>
    <row r="1292" spans="1:8">
      <c r="A1292" s="126" t="s">
        <v>1049</v>
      </c>
      <c r="B1292" s="126">
        <v>-60000000</v>
      </c>
      <c r="C1292" s="126">
        <v>1155780</v>
      </c>
      <c r="D1292" s="126">
        <v>1155780</v>
      </c>
      <c r="E1292" s="126">
        <v>-60000000</v>
      </c>
      <c r="G1292" s="126">
        <f t="shared" si="28"/>
        <v>-60000000</v>
      </c>
      <c r="H1292" s="126" t="s">
        <v>80</v>
      </c>
    </row>
    <row r="1293" spans="1:8">
      <c r="A1293" s="126" t="s">
        <v>1028</v>
      </c>
      <c r="B1293" s="126">
        <v>-50000000</v>
      </c>
      <c r="C1293" s="126">
        <v>811013</v>
      </c>
      <c r="D1293" s="126">
        <v>811013</v>
      </c>
      <c r="E1293" s="126">
        <v>-50000000</v>
      </c>
      <c r="G1293" s="126">
        <f t="shared" si="28"/>
        <v>-50000000</v>
      </c>
      <c r="H1293" s="126" t="s">
        <v>80</v>
      </c>
    </row>
    <row r="1294" spans="1:8">
      <c r="A1294" s="126" t="s">
        <v>1050</v>
      </c>
      <c r="B1294" s="126">
        <v>-50000000</v>
      </c>
      <c r="C1294" s="126">
        <v>1090526.3999999999</v>
      </c>
      <c r="D1294" s="126">
        <v>1090526.3999999999</v>
      </c>
      <c r="E1294" s="126">
        <v>-50000000</v>
      </c>
      <c r="G1294" s="126">
        <f t="shared" si="28"/>
        <v>-50000000</v>
      </c>
      <c r="H1294" s="126" t="s">
        <v>80</v>
      </c>
    </row>
    <row r="1295" spans="1:8">
      <c r="A1295" s="126" t="s">
        <v>1361</v>
      </c>
      <c r="B1295" s="126">
        <v>0</v>
      </c>
      <c r="C1295" s="126">
        <v>0</v>
      </c>
      <c r="D1295" s="126">
        <v>0</v>
      </c>
      <c r="E1295" s="126">
        <v>0</v>
      </c>
      <c r="G1295" s="126">
        <f t="shared" si="28"/>
        <v>0</v>
      </c>
      <c r="H1295" s="126" t="s">
        <v>80</v>
      </c>
    </row>
    <row r="1296" spans="1:8">
      <c r="A1296" s="126" t="s">
        <v>1362</v>
      </c>
      <c r="B1296" s="126">
        <v>0</v>
      </c>
      <c r="C1296" s="126">
        <v>0</v>
      </c>
      <c r="D1296" s="126">
        <v>0</v>
      </c>
      <c r="E1296" s="126">
        <v>0</v>
      </c>
      <c r="G1296" s="126">
        <f t="shared" si="28"/>
        <v>0</v>
      </c>
      <c r="H1296" s="126" t="s">
        <v>80</v>
      </c>
    </row>
    <row r="1297" spans="1:8">
      <c r="A1297" s="126" t="s">
        <v>1363</v>
      </c>
      <c r="B1297" s="126">
        <v>0</v>
      </c>
      <c r="C1297" s="126">
        <v>0</v>
      </c>
      <c r="D1297" s="126">
        <v>0</v>
      </c>
      <c r="E1297" s="126">
        <v>0</v>
      </c>
      <c r="G1297" s="126">
        <f t="shared" si="28"/>
        <v>0</v>
      </c>
      <c r="H1297" s="126" t="s">
        <v>80</v>
      </c>
    </row>
    <row r="1298" spans="1:8">
      <c r="A1298" s="126" t="s">
        <v>1364</v>
      </c>
      <c r="B1298" s="126">
        <v>0</v>
      </c>
      <c r="C1298" s="126">
        <v>0</v>
      </c>
      <c r="D1298" s="126">
        <v>0</v>
      </c>
      <c r="E1298" s="126">
        <v>0</v>
      </c>
      <c r="G1298" s="126">
        <f t="shared" si="28"/>
        <v>0</v>
      </c>
      <c r="H1298" s="126" t="s">
        <v>80</v>
      </c>
    </row>
    <row r="1299" spans="1:8">
      <c r="A1299" s="126" t="s">
        <v>1051</v>
      </c>
      <c r="B1299" s="126">
        <v>-446984.53</v>
      </c>
      <c r="C1299" s="126">
        <v>0</v>
      </c>
      <c r="D1299" s="126">
        <v>0</v>
      </c>
      <c r="E1299" s="126">
        <v>-446984.53</v>
      </c>
      <c r="G1299" s="126">
        <f t="shared" si="28"/>
        <v>-446984.53</v>
      </c>
      <c r="H1299" s="126" t="s">
        <v>80</v>
      </c>
    </row>
    <row r="1300" spans="1:8">
      <c r="A1300" s="126" t="s">
        <v>1029</v>
      </c>
      <c r="B1300" s="126">
        <v>-26668954.620000001</v>
      </c>
      <c r="C1300" s="126">
        <v>95234509</v>
      </c>
      <c r="D1300" s="126">
        <v>124404377.68000001</v>
      </c>
      <c r="E1300" s="126">
        <v>-55838823.299999997</v>
      </c>
      <c r="G1300" s="126">
        <f t="shared" si="28"/>
        <v>-55838823.299999997</v>
      </c>
      <c r="H1300" s="126" t="s">
        <v>80</v>
      </c>
    </row>
    <row r="1301" spans="1:8">
      <c r="A1301" s="126" t="s">
        <v>1030</v>
      </c>
      <c r="B1301" s="126">
        <v>-124620173.98</v>
      </c>
      <c r="C1301" s="126">
        <v>0</v>
      </c>
      <c r="D1301" s="126">
        <v>0</v>
      </c>
      <c r="E1301" s="126">
        <v>-124620173.98</v>
      </c>
      <c r="G1301" s="126">
        <f t="shared" si="28"/>
        <v>-124620173.98</v>
      </c>
      <c r="H1301" s="126" t="s">
        <v>80</v>
      </c>
    </row>
    <row r="1302" spans="1:8">
      <c r="A1302" s="126" t="s">
        <v>1365</v>
      </c>
      <c r="B1302" s="126">
        <v>0</v>
      </c>
      <c r="C1302" s="126">
        <v>0</v>
      </c>
      <c r="D1302" s="126">
        <v>0</v>
      </c>
      <c r="E1302" s="126">
        <v>0</v>
      </c>
      <c r="G1302" s="126">
        <f t="shared" si="28"/>
        <v>0</v>
      </c>
      <c r="H1302" s="126" t="s">
        <v>80</v>
      </c>
    </row>
    <row r="1303" spans="1:8">
      <c r="A1303" s="126" t="s">
        <v>1366</v>
      </c>
      <c r="B1303" s="126">
        <v>0</v>
      </c>
      <c r="C1303" s="126">
        <v>0</v>
      </c>
      <c r="D1303" s="126">
        <v>0</v>
      </c>
      <c r="E1303" s="126">
        <v>0</v>
      </c>
      <c r="G1303" s="126">
        <f t="shared" si="28"/>
        <v>0</v>
      </c>
      <c r="H1303" s="126" t="s">
        <v>80</v>
      </c>
    </row>
    <row r="1304" spans="1:8">
      <c r="A1304" s="126" t="s">
        <v>1367</v>
      </c>
      <c r="B1304" s="126">
        <v>0</v>
      </c>
      <c r="C1304" s="126">
        <v>0</v>
      </c>
      <c r="D1304" s="126">
        <v>0</v>
      </c>
      <c r="E1304" s="126">
        <v>0</v>
      </c>
      <c r="G1304" s="126">
        <f t="shared" si="28"/>
        <v>0</v>
      </c>
      <c r="H1304" s="126" t="s">
        <v>80</v>
      </c>
    </row>
    <row r="1305" spans="1:8">
      <c r="A1305" s="126" t="s">
        <v>1031</v>
      </c>
      <c r="B1305" s="126">
        <v>549499</v>
      </c>
      <c r="C1305" s="126">
        <v>0</v>
      </c>
      <c r="D1305" s="126">
        <v>0</v>
      </c>
      <c r="E1305" s="126">
        <v>549499</v>
      </c>
      <c r="G1305" s="126">
        <f t="shared" si="28"/>
        <v>549499</v>
      </c>
      <c r="H1305" s="126" t="s">
        <v>80</v>
      </c>
    </row>
    <row r="1306" spans="1:8">
      <c r="A1306" s="126" t="s">
        <v>1032</v>
      </c>
      <c r="B1306" s="126">
        <v>-264850888</v>
      </c>
      <c r="C1306" s="126">
        <v>42480701</v>
      </c>
      <c r="D1306" s="126">
        <v>22878000</v>
      </c>
      <c r="E1306" s="126">
        <v>-245248187</v>
      </c>
      <c r="G1306" s="126">
        <f t="shared" si="28"/>
        <v>-245248187</v>
      </c>
      <c r="H1306" s="126" t="s">
        <v>80</v>
      </c>
    </row>
    <row r="1307" spans="1:8">
      <c r="A1307" s="126" t="s">
        <v>1513</v>
      </c>
      <c r="B1307" s="126">
        <v>0</v>
      </c>
      <c r="C1307" s="126">
        <v>0</v>
      </c>
      <c r="D1307" s="126">
        <v>7437851</v>
      </c>
      <c r="E1307" s="126">
        <v>-7437851</v>
      </c>
      <c r="G1307" s="126">
        <f t="shared" si="28"/>
        <v>-7437851</v>
      </c>
      <c r="H1307" s="126" t="s">
        <v>80</v>
      </c>
    </row>
    <row r="1308" spans="1:8">
      <c r="A1308" s="126" t="s">
        <v>1514</v>
      </c>
      <c r="B1308" s="126">
        <v>0</v>
      </c>
      <c r="C1308" s="126">
        <v>0</v>
      </c>
      <c r="D1308" s="126">
        <v>6136085</v>
      </c>
      <c r="E1308" s="126">
        <v>-6136085</v>
      </c>
      <c r="G1308" s="126">
        <f t="shared" si="28"/>
        <v>-6136085</v>
      </c>
      <c r="H1308" s="126" t="s">
        <v>80</v>
      </c>
    </row>
    <row r="1309" spans="1:8">
      <c r="A1309" s="126" t="s">
        <v>1033</v>
      </c>
      <c r="B1309" s="126">
        <v>-16745374.66</v>
      </c>
      <c r="C1309" s="126">
        <v>0</v>
      </c>
      <c r="D1309" s="126">
        <v>0</v>
      </c>
      <c r="E1309" s="126">
        <v>-16745374.66</v>
      </c>
      <c r="G1309" s="126">
        <f t="shared" si="28"/>
        <v>-16745374.66</v>
      </c>
      <c r="H1309" s="126" t="s">
        <v>80</v>
      </c>
    </row>
    <row r="1310" spans="1:8">
      <c r="A1310" s="126" t="s">
        <v>1034</v>
      </c>
      <c r="B1310" s="126">
        <v>-3784803.05</v>
      </c>
      <c r="C1310" s="126">
        <v>0</v>
      </c>
      <c r="D1310" s="126">
        <v>0</v>
      </c>
      <c r="E1310" s="126">
        <v>-3784803.05</v>
      </c>
      <c r="G1310" s="126">
        <f t="shared" si="28"/>
        <v>-3784803.05</v>
      </c>
      <c r="H1310" s="126" t="s">
        <v>80</v>
      </c>
    </row>
    <row r="1311" spans="1:8">
      <c r="A1311" s="126" t="s">
        <v>1035</v>
      </c>
      <c r="B1311" s="126">
        <v>-14538782.1</v>
      </c>
      <c r="C1311" s="126">
        <v>0</v>
      </c>
      <c r="D1311" s="126">
        <v>0</v>
      </c>
      <c r="E1311" s="126">
        <v>-14538782.1</v>
      </c>
      <c r="G1311" s="126">
        <f t="shared" si="28"/>
        <v>-14538782.1</v>
      </c>
      <c r="H1311" s="126" t="s">
        <v>80</v>
      </c>
    </row>
    <row r="1312" spans="1:8">
      <c r="A1312" s="126" t="s">
        <v>1036</v>
      </c>
      <c r="B1312" s="126">
        <v>-3103131</v>
      </c>
      <c r="C1312" s="126">
        <v>0</v>
      </c>
      <c r="D1312" s="126">
        <v>0</v>
      </c>
      <c r="E1312" s="126">
        <v>-3103131</v>
      </c>
      <c r="G1312" s="126">
        <f t="shared" si="28"/>
        <v>-3103131</v>
      </c>
      <c r="H1312" s="126" t="s">
        <v>80</v>
      </c>
    </row>
    <row r="1313" spans="1:8">
      <c r="A1313" s="126" t="s">
        <v>1037</v>
      </c>
      <c r="B1313" s="126">
        <v>-12629931</v>
      </c>
      <c r="C1313" s="126">
        <v>0</v>
      </c>
      <c r="D1313" s="126">
        <v>0</v>
      </c>
      <c r="E1313" s="126">
        <v>-12629931</v>
      </c>
      <c r="G1313" s="126">
        <f t="shared" si="28"/>
        <v>-12629931</v>
      </c>
      <c r="H1313" s="126" t="s">
        <v>80</v>
      </c>
    </row>
    <row r="1314" spans="1:8">
      <c r="A1314" s="126" t="s">
        <v>185</v>
      </c>
      <c r="B1314" s="126">
        <v>655608.93999999994</v>
      </c>
      <c r="C1314" s="126">
        <v>0</v>
      </c>
      <c r="D1314" s="126">
        <v>0</v>
      </c>
      <c r="E1314" s="126">
        <v>655608.93999999994</v>
      </c>
      <c r="G1314" s="126">
        <f t="shared" si="28"/>
        <v>655608.93999999994</v>
      </c>
      <c r="H1314" s="126" t="s">
        <v>80</v>
      </c>
    </row>
    <row r="1315" spans="1:8">
      <c r="A1315" s="126" t="s">
        <v>186</v>
      </c>
      <c r="B1315" s="126">
        <v>3464.96</v>
      </c>
      <c r="C1315" s="126">
        <v>71410786.719999999</v>
      </c>
      <c r="D1315" s="126">
        <v>71410786.719999999</v>
      </c>
      <c r="E1315" s="126">
        <v>3464.96</v>
      </c>
      <c r="G1315" s="126">
        <f t="shared" si="28"/>
        <v>3464.96</v>
      </c>
      <c r="H1315" s="126" t="s">
        <v>80</v>
      </c>
    </row>
    <row r="1316" spans="1:8">
      <c r="A1316" s="126" t="s">
        <v>1368</v>
      </c>
      <c r="B1316" s="126">
        <v>0</v>
      </c>
      <c r="C1316" s="126">
        <v>1910824.99</v>
      </c>
      <c r="D1316" s="126">
        <v>1910824.99</v>
      </c>
      <c r="E1316" s="126">
        <v>0</v>
      </c>
      <c r="G1316" s="126">
        <f t="shared" si="28"/>
        <v>0</v>
      </c>
      <c r="H1316" s="126" t="s">
        <v>80</v>
      </c>
    </row>
    <row r="1317" spans="1:8">
      <c r="A1317" s="126" t="s">
        <v>1369</v>
      </c>
      <c r="B1317" s="126">
        <v>0</v>
      </c>
      <c r="C1317" s="126">
        <v>0</v>
      </c>
      <c r="D1317" s="126">
        <v>0</v>
      </c>
      <c r="E1317" s="126">
        <v>0</v>
      </c>
      <c r="G1317" s="126">
        <f t="shared" si="28"/>
        <v>0</v>
      </c>
      <c r="H1317" s="126" t="s">
        <v>80</v>
      </c>
    </row>
    <row r="1318" spans="1:8">
      <c r="A1318" s="126" t="s">
        <v>1038</v>
      </c>
      <c r="B1318" s="126">
        <v>-2618078.6</v>
      </c>
      <c r="C1318" s="126">
        <v>0</v>
      </c>
      <c r="D1318" s="126">
        <v>0</v>
      </c>
      <c r="E1318" s="126">
        <v>-2618078.6</v>
      </c>
      <c r="G1318" s="126">
        <f t="shared" si="28"/>
        <v>-2618078.6</v>
      </c>
      <c r="H1318" s="126" t="s">
        <v>80</v>
      </c>
    </row>
    <row r="1319" spans="1:8">
      <c r="A1319" s="126" t="s">
        <v>1039</v>
      </c>
      <c r="B1319" s="126">
        <v>-220384430.65000001</v>
      </c>
      <c r="C1319" s="126">
        <v>83393760.260000005</v>
      </c>
      <c r="D1319" s="126">
        <v>95602205</v>
      </c>
      <c r="E1319" s="126">
        <v>-232592875.38999999</v>
      </c>
      <c r="G1319" s="126">
        <f t="shared" si="28"/>
        <v>-232592875.38999999</v>
      </c>
      <c r="H1319" s="126" t="s">
        <v>80</v>
      </c>
    </row>
    <row r="1320" spans="1:8">
      <c r="A1320" s="126" t="s">
        <v>211</v>
      </c>
      <c r="B1320" s="126">
        <v>-817212928.11000001</v>
      </c>
      <c r="C1320" s="126">
        <v>0</v>
      </c>
      <c r="D1320" s="126">
        <v>0</v>
      </c>
      <c r="E1320" s="126">
        <v>-817212928.11000001</v>
      </c>
      <c r="G1320" s="126">
        <f t="shared" si="28"/>
        <v>-817212928.11000001</v>
      </c>
      <c r="H1320" s="126" t="s">
        <v>80</v>
      </c>
    </row>
    <row r="1321" spans="1:8">
      <c r="A1321" s="126" t="s">
        <v>203</v>
      </c>
      <c r="B1321" s="126">
        <v>-260850171.12</v>
      </c>
      <c r="C1321" s="126">
        <v>2246025</v>
      </c>
      <c r="D1321" s="126">
        <v>12586124</v>
      </c>
      <c r="E1321" s="126">
        <v>-271190270.12</v>
      </c>
      <c r="G1321" s="126">
        <f t="shared" si="28"/>
        <v>-271190270.12</v>
      </c>
      <c r="H1321" s="126" t="s">
        <v>80</v>
      </c>
    </row>
    <row r="1322" spans="1:8">
      <c r="A1322" s="126" t="s">
        <v>204</v>
      </c>
      <c r="B1322" s="126">
        <v>-14666932</v>
      </c>
      <c r="C1322" s="126">
        <v>14658432</v>
      </c>
      <c r="D1322" s="126">
        <v>14206169.23</v>
      </c>
      <c r="E1322" s="126">
        <v>-14214669.23</v>
      </c>
      <c r="G1322" s="126">
        <f t="shared" si="28"/>
        <v>-14214669.23</v>
      </c>
      <c r="H1322" s="126" t="s">
        <v>80</v>
      </c>
    </row>
    <row r="1323" spans="1:8">
      <c r="A1323" s="126" t="s">
        <v>205</v>
      </c>
      <c r="B1323" s="126">
        <v>-1123027</v>
      </c>
      <c r="C1323" s="126">
        <v>0</v>
      </c>
      <c r="D1323" s="126">
        <v>0</v>
      </c>
      <c r="E1323" s="126">
        <v>-1123027</v>
      </c>
      <c r="G1323" s="126">
        <f t="shared" si="28"/>
        <v>-1123027</v>
      </c>
      <c r="H1323" s="126" t="s">
        <v>80</v>
      </c>
    </row>
    <row r="1324" spans="1:8">
      <c r="A1324" s="126" t="s">
        <v>1040</v>
      </c>
      <c r="B1324" s="126">
        <v>-44079386.990000002</v>
      </c>
      <c r="C1324" s="126">
        <v>0</v>
      </c>
      <c r="D1324" s="126">
        <v>0</v>
      </c>
      <c r="E1324" s="126">
        <v>-44079386.990000002</v>
      </c>
      <c r="G1324" s="126">
        <f t="shared" si="28"/>
        <v>-44079386.990000002</v>
      </c>
      <c r="H1324" s="126" t="s">
        <v>80</v>
      </c>
    </row>
    <row r="1325" spans="1:8">
      <c r="A1325" s="126" t="s">
        <v>375</v>
      </c>
      <c r="B1325" s="126">
        <v>30173509.93</v>
      </c>
      <c r="C1325" s="126">
        <v>0</v>
      </c>
      <c r="D1325" s="126">
        <v>0.03</v>
      </c>
      <c r="E1325" s="126">
        <v>30173509.899999999</v>
      </c>
      <c r="G1325" s="126">
        <f t="shared" si="28"/>
        <v>30173509.899999999</v>
      </c>
      <c r="H1325" s="126" t="s">
        <v>80</v>
      </c>
    </row>
    <row r="1326" spans="1:8">
      <c r="A1326" s="145"/>
    </row>
    <row r="1329" spans="3:12">
      <c r="J1329" s="127" t="s">
        <v>1552</v>
      </c>
      <c r="K1329" t="s">
        <v>1554</v>
      </c>
      <c r="L1329"/>
    </row>
    <row r="1330" spans="3:12">
      <c r="C1330" s="130">
        <f t="shared" ref="C1330:F1330" si="29">SUBTOTAL(9,C2:C1325)</f>
        <v>4708168763.8700008</v>
      </c>
      <c r="D1330" s="130">
        <f t="shared" si="29"/>
        <v>4708168763.8700008</v>
      </c>
      <c r="E1330" s="130">
        <f t="shared" si="29"/>
        <v>6.4447522163391113E-7</v>
      </c>
      <c r="F1330" s="130">
        <f t="shared" si="29"/>
        <v>-33572328</v>
      </c>
      <c r="G1330" s="130">
        <f>SUBTOTAL(9,G2:G1325)</f>
        <v>-12104349.999999829</v>
      </c>
      <c r="J1330" s="128" t="s">
        <v>13</v>
      </c>
      <c r="K1330">
        <v>-305546.04999999993</v>
      </c>
      <c r="L1330"/>
    </row>
    <row r="1331" spans="3:12">
      <c r="J1331" s="128" t="s">
        <v>11</v>
      </c>
      <c r="K1331">
        <v>3902200.5</v>
      </c>
      <c r="L1331"/>
    </row>
    <row r="1332" spans="3:12">
      <c r="J1332" s="128" t="s">
        <v>9</v>
      </c>
      <c r="K1332">
        <v>288246627.85000002</v>
      </c>
      <c r="L1332"/>
    </row>
    <row r="1333" spans="3:12">
      <c r="J1333" s="128" t="s">
        <v>44</v>
      </c>
      <c r="K1333">
        <v>10776091.18</v>
      </c>
      <c r="L1333"/>
    </row>
    <row r="1334" spans="3:12">
      <c r="J1334" s="128" t="s">
        <v>1054</v>
      </c>
      <c r="K1334">
        <v>1988786.1199999999</v>
      </c>
      <c r="L1334"/>
    </row>
    <row r="1335" spans="3:12">
      <c r="J1335" s="128" t="s">
        <v>52</v>
      </c>
      <c r="K1335" s="137">
        <v>1728067</v>
      </c>
      <c r="L1335"/>
    </row>
    <row r="1336" spans="3:12">
      <c r="J1336" s="128" t="s">
        <v>66</v>
      </c>
      <c r="K1336">
        <v>663680.19999999995</v>
      </c>
      <c r="L1336"/>
    </row>
    <row r="1337" spans="3:12">
      <c r="J1337" s="128" t="s">
        <v>1053</v>
      </c>
      <c r="K1337">
        <v>12595510.210000001</v>
      </c>
      <c r="L1337"/>
    </row>
    <row r="1338" spans="3:12">
      <c r="I1338" s="131" t="s">
        <v>1555</v>
      </c>
      <c r="J1338" s="129" t="s">
        <v>73</v>
      </c>
      <c r="K1338">
        <v>-1304340.54</v>
      </c>
      <c r="L1338"/>
    </row>
    <row r="1339" spans="3:12">
      <c r="I1339" s="131" t="s">
        <v>1555</v>
      </c>
      <c r="J1339" s="129" t="s">
        <v>67</v>
      </c>
      <c r="K1339">
        <v>9992996.1099999994</v>
      </c>
      <c r="L1339"/>
    </row>
    <row r="1340" spans="3:12">
      <c r="J1340" s="128" t="s">
        <v>10</v>
      </c>
      <c r="K1340">
        <v>-22611020.120000001</v>
      </c>
      <c r="L1340"/>
    </row>
    <row r="1341" spans="3:12">
      <c r="J1341" s="128" t="s">
        <v>70</v>
      </c>
      <c r="K1341">
        <v>392518.8</v>
      </c>
      <c r="L1341"/>
    </row>
    <row r="1342" spans="3:12">
      <c r="I1342" s="131" t="s">
        <v>1555</v>
      </c>
      <c r="J1342" s="129" t="s">
        <v>339</v>
      </c>
      <c r="K1342">
        <v>10821500.52</v>
      </c>
      <c r="L1342"/>
    </row>
    <row r="1343" spans="3:12">
      <c r="J1343" s="128" t="s">
        <v>1055</v>
      </c>
      <c r="K1343">
        <v>6265945</v>
      </c>
      <c r="L1343"/>
    </row>
    <row r="1344" spans="3:12">
      <c r="J1344" s="128" t="s">
        <v>1056</v>
      </c>
      <c r="K1344">
        <v>3067201.16</v>
      </c>
      <c r="L1344"/>
    </row>
    <row r="1345" spans="9:12">
      <c r="J1345" s="128" t="s">
        <v>59</v>
      </c>
      <c r="K1345">
        <v>52672488.18</v>
      </c>
      <c r="L1345"/>
    </row>
    <row r="1346" spans="9:12">
      <c r="J1346" s="128" t="s">
        <v>55</v>
      </c>
      <c r="K1346">
        <v>15548377.130000001</v>
      </c>
      <c r="L1346"/>
    </row>
    <row r="1347" spans="9:12">
      <c r="J1347" s="128" t="s">
        <v>80</v>
      </c>
      <c r="K1347">
        <v>104051185.01999921</v>
      </c>
    </row>
    <row r="1348" spans="9:12">
      <c r="I1348" s="131" t="s">
        <v>1555</v>
      </c>
      <c r="J1348" s="129" t="s">
        <v>71</v>
      </c>
      <c r="K1348">
        <v>12452361.07</v>
      </c>
    </row>
    <row r="1349" spans="9:12">
      <c r="J1349" s="128" t="s">
        <v>60</v>
      </c>
      <c r="K1349">
        <v>3098428.05</v>
      </c>
    </row>
    <row r="1350" spans="9:12">
      <c r="I1350" s="131" t="s">
        <v>1555</v>
      </c>
      <c r="J1350" s="129" t="s">
        <v>58</v>
      </c>
      <c r="K1350">
        <v>13662192</v>
      </c>
    </row>
    <row r="1351" spans="9:12">
      <c r="J1351" s="128" t="s">
        <v>33</v>
      </c>
      <c r="K1351">
        <v>313071.40999999997</v>
      </c>
    </row>
    <row r="1352" spans="9:12">
      <c r="J1352" s="128" t="s">
        <v>29</v>
      </c>
      <c r="K1352">
        <v>200000</v>
      </c>
    </row>
    <row r="1353" spans="9:12">
      <c r="J1353" s="128" t="s">
        <v>51</v>
      </c>
      <c r="K1353" s="137">
        <v>47795134.799999997</v>
      </c>
    </row>
    <row r="1354" spans="9:12">
      <c r="J1354" s="129" t="s">
        <v>303</v>
      </c>
      <c r="K1354">
        <v>-556854154.68000007</v>
      </c>
    </row>
    <row r="1355" spans="9:12">
      <c r="J1355" s="128" t="s">
        <v>6</v>
      </c>
      <c r="K1355">
        <v>-5243420.08</v>
      </c>
    </row>
    <row r="1356" spans="9:12">
      <c r="J1356" s="128" t="s">
        <v>20</v>
      </c>
      <c r="K1356">
        <v>-2381880</v>
      </c>
    </row>
    <row r="1357" spans="9:12">
      <c r="J1357" s="128" t="s">
        <v>54</v>
      </c>
      <c r="K1357" s="137">
        <v>1025028.24</v>
      </c>
    </row>
    <row r="1358" spans="9:12">
      <c r="J1358" s="128" t="s">
        <v>36</v>
      </c>
      <c r="K1358">
        <v>-554332.07999999996</v>
      </c>
    </row>
    <row r="1359" spans="9:12">
      <c r="J1359" s="128" t="s">
        <v>64</v>
      </c>
      <c r="K1359">
        <v>546813</v>
      </c>
    </row>
    <row r="1360" spans="9:12">
      <c r="J1360" s="128" t="s">
        <v>1553</v>
      </c>
      <c r="K1360">
        <v>12551509.999999123</v>
      </c>
    </row>
  </sheetData>
  <autoFilter ref="A1:L1" xr:uid="{09A8ECA2-84B9-4023-9F1E-0493DF642E58}"/>
  <pageMargins left="0.7" right="0.7" top="0.75" bottom="0.75" header="0.3" footer="0.3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96C74-DC26-43DA-95EA-989BFFB4B3C5}">
  <sheetPr>
    <tabColor rgb="FFFFFF00"/>
  </sheetPr>
  <dimension ref="A1:I1432"/>
  <sheetViews>
    <sheetView zoomScale="80" zoomScaleNormal="80" workbookViewId="0">
      <pane ySplit="1" topLeftCell="A2" activePane="bottomLeft" state="frozen"/>
      <selection pane="bottomLeft" activeCell="N7" sqref="N7"/>
    </sheetView>
  </sheetViews>
  <sheetFormatPr defaultRowHeight="14.5"/>
  <cols>
    <col min="1" max="1" width="44.08984375" style="174" customWidth="1"/>
    <col min="2" max="2" width="12.453125" style="174" bestFit="1" customWidth="1"/>
    <col min="3" max="4" width="11.81640625" style="174" bestFit="1" customWidth="1"/>
    <col min="5" max="5" width="12.453125" style="174" bestFit="1" customWidth="1"/>
    <col min="6" max="6" width="12.453125" style="174" customWidth="1"/>
    <col min="7" max="7" width="17.54296875" style="174" customWidth="1"/>
    <col min="8" max="8" width="26.81640625" style="174" customWidth="1"/>
    <col min="9" max="9" width="8.7265625" style="174"/>
    <col min="10" max="16384" width="8.7265625" style="147"/>
  </cols>
  <sheetData>
    <row r="1" spans="1:9">
      <c r="A1" s="149" t="s">
        <v>530</v>
      </c>
      <c r="B1" s="149" t="s">
        <v>497</v>
      </c>
      <c r="C1" s="149" t="s">
        <v>499</v>
      </c>
      <c r="D1" s="149" t="s">
        <v>500</v>
      </c>
      <c r="E1" s="149" t="s">
        <v>498</v>
      </c>
      <c r="F1" s="149" t="s">
        <v>1517</v>
      </c>
      <c r="G1" s="149" t="s">
        <v>518</v>
      </c>
      <c r="H1" s="106" t="s">
        <v>1607</v>
      </c>
      <c r="I1" s="173">
        <v>1</v>
      </c>
    </row>
    <row r="2" spans="1:9">
      <c r="A2" s="174" t="s">
        <v>94</v>
      </c>
      <c r="B2" s="174">
        <v>0</v>
      </c>
      <c r="C2" s="174">
        <v>12782932</v>
      </c>
      <c r="D2" s="174">
        <v>12782932</v>
      </c>
      <c r="E2" s="174">
        <v>0</v>
      </c>
      <c r="G2" s="174">
        <f>E2+F2</f>
        <v>0</v>
      </c>
      <c r="H2" s="174" t="s">
        <v>80</v>
      </c>
    </row>
    <row r="3" spans="1:9">
      <c r="A3" s="174" t="s">
        <v>531</v>
      </c>
      <c r="B3" s="174">
        <v>1607000</v>
      </c>
      <c r="C3" s="174">
        <v>0</v>
      </c>
      <c r="D3" s="174">
        <v>0</v>
      </c>
      <c r="E3" s="174">
        <v>1607000</v>
      </c>
      <c r="G3" s="174">
        <f t="shared" ref="G3:G66" si="0">E3+F3</f>
        <v>1607000</v>
      </c>
      <c r="H3" s="174" t="s">
        <v>80</v>
      </c>
    </row>
    <row r="4" spans="1:9">
      <c r="A4" s="174" t="s">
        <v>532</v>
      </c>
      <c r="B4" s="174">
        <v>2200000</v>
      </c>
      <c r="C4" s="174">
        <v>0</v>
      </c>
      <c r="D4" s="174">
        <v>0</v>
      </c>
      <c r="E4" s="174">
        <v>2200000</v>
      </c>
      <c r="G4" s="174">
        <f t="shared" si="0"/>
        <v>2200000</v>
      </c>
      <c r="H4" s="174" t="s">
        <v>80</v>
      </c>
    </row>
    <row r="5" spans="1:9">
      <c r="A5" s="174" t="s">
        <v>533</v>
      </c>
      <c r="B5" s="174">
        <v>108787</v>
      </c>
      <c r="C5" s="174">
        <v>0</v>
      </c>
      <c r="D5" s="174">
        <v>0</v>
      </c>
      <c r="E5" s="174">
        <v>108787</v>
      </c>
      <c r="G5" s="174">
        <f t="shared" si="0"/>
        <v>108787</v>
      </c>
      <c r="H5" s="174" t="s">
        <v>80</v>
      </c>
    </row>
    <row r="6" spans="1:9">
      <c r="A6" s="174" t="s">
        <v>1063</v>
      </c>
      <c r="B6" s="174">
        <v>0</v>
      </c>
      <c r="C6" s="174">
        <v>0</v>
      </c>
      <c r="D6" s="174">
        <v>0</v>
      </c>
      <c r="E6" s="174">
        <v>0</v>
      </c>
      <c r="G6" s="174">
        <f t="shared" si="0"/>
        <v>0</v>
      </c>
      <c r="H6" s="174" t="s">
        <v>80</v>
      </c>
    </row>
    <row r="7" spans="1:9">
      <c r="A7" s="174" t="s">
        <v>1062</v>
      </c>
      <c r="B7" s="174">
        <v>0</v>
      </c>
      <c r="C7" s="174">
        <v>0</v>
      </c>
      <c r="D7" s="174">
        <v>0</v>
      </c>
      <c r="E7" s="174">
        <v>0</v>
      </c>
      <c r="G7" s="174">
        <f t="shared" si="0"/>
        <v>0</v>
      </c>
      <c r="H7" s="174" t="s">
        <v>80</v>
      </c>
    </row>
    <row r="8" spans="1:9">
      <c r="A8" s="174" t="s">
        <v>143</v>
      </c>
      <c r="B8" s="174">
        <v>-18585.939999999999</v>
      </c>
      <c r="C8" s="174">
        <v>0</v>
      </c>
      <c r="D8" s="174">
        <v>0</v>
      </c>
      <c r="E8" s="174">
        <v>-18585.939999999999</v>
      </c>
      <c r="G8" s="174">
        <f t="shared" si="0"/>
        <v>-18585.939999999999</v>
      </c>
      <c r="H8" s="174" t="s">
        <v>80</v>
      </c>
    </row>
    <row r="9" spans="1:9">
      <c r="A9" s="174" t="s">
        <v>144</v>
      </c>
      <c r="B9" s="174">
        <v>1151</v>
      </c>
      <c r="C9" s="174">
        <v>0</v>
      </c>
      <c r="D9" s="174">
        <v>0</v>
      </c>
      <c r="E9" s="174">
        <v>1151</v>
      </c>
      <c r="G9" s="174">
        <f t="shared" si="0"/>
        <v>1151</v>
      </c>
      <c r="H9" s="174" t="s">
        <v>80</v>
      </c>
    </row>
    <row r="10" spans="1:9">
      <c r="A10" s="174" t="s">
        <v>430</v>
      </c>
      <c r="B10" s="174">
        <v>30286.3</v>
      </c>
      <c r="C10" s="174">
        <v>0</v>
      </c>
      <c r="D10" s="174">
        <v>0</v>
      </c>
      <c r="E10" s="174">
        <v>30286.3</v>
      </c>
      <c r="G10" s="174">
        <f t="shared" si="0"/>
        <v>30286.3</v>
      </c>
      <c r="H10" s="174" t="s">
        <v>80</v>
      </c>
    </row>
    <row r="11" spans="1:9">
      <c r="A11" s="174" t="s">
        <v>448</v>
      </c>
      <c r="B11" s="174">
        <v>1335.22</v>
      </c>
      <c r="C11" s="174">
        <v>0</v>
      </c>
      <c r="D11" s="174">
        <v>0</v>
      </c>
      <c r="E11" s="174">
        <v>1335.22</v>
      </c>
      <c r="G11" s="174">
        <f t="shared" si="0"/>
        <v>1335.22</v>
      </c>
      <c r="H11" s="174" t="s">
        <v>80</v>
      </c>
    </row>
    <row r="12" spans="1:9">
      <c r="A12" s="174" t="s">
        <v>1060</v>
      </c>
      <c r="B12" s="174">
        <v>0</v>
      </c>
      <c r="C12" s="174">
        <v>0</v>
      </c>
      <c r="D12" s="174">
        <v>0</v>
      </c>
      <c r="E12" s="174">
        <v>0</v>
      </c>
      <c r="G12" s="174">
        <f t="shared" si="0"/>
        <v>0</v>
      </c>
      <c r="H12" s="174" t="s">
        <v>80</v>
      </c>
    </row>
    <row r="13" spans="1:9">
      <c r="A13" s="174" t="s">
        <v>145</v>
      </c>
      <c r="B13" s="174">
        <v>-418818</v>
      </c>
      <c r="C13" s="174">
        <v>0</v>
      </c>
      <c r="D13" s="174">
        <v>0</v>
      </c>
      <c r="E13" s="174">
        <v>-418818</v>
      </c>
      <c r="G13" s="174">
        <f t="shared" si="0"/>
        <v>-418818</v>
      </c>
      <c r="H13" s="174" t="s">
        <v>80</v>
      </c>
    </row>
    <row r="14" spans="1:9">
      <c r="A14" s="174" t="s">
        <v>146</v>
      </c>
      <c r="B14" s="174">
        <v>66479.990000000005</v>
      </c>
      <c r="C14" s="174">
        <v>0</v>
      </c>
      <c r="D14" s="174">
        <v>0</v>
      </c>
      <c r="E14" s="174">
        <v>66479.990000000005</v>
      </c>
      <c r="G14" s="174">
        <f t="shared" si="0"/>
        <v>66479.990000000005</v>
      </c>
      <c r="H14" s="174" t="s">
        <v>80</v>
      </c>
    </row>
    <row r="15" spans="1:9">
      <c r="A15" s="174" t="s">
        <v>392</v>
      </c>
      <c r="B15" s="174">
        <v>1767704.75</v>
      </c>
      <c r="C15" s="174">
        <v>0</v>
      </c>
      <c r="D15" s="174">
        <v>0</v>
      </c>
      <c r="E15" s="174">
        <v>1767704.75</v>
      </c>
      <c r="G15" s="174">
        <f t="shared" si="0"/>
        <v>1767704.75</v>
      </c>
      <c r="H15" s="174" t="s">
        <v>80</v>
      </c>
    </row>
    <row r="16" spans="1:9">
      <c r="A16" s="174" t="s">
        <v>431</v>
      </c>
      <c r="B16" s="174">
        <v>1324336.43</v>
      </c>
      <c r="C16" s="174">
        <v>10833.93</v>
      </c>
      <c r="D16" s="174">
        <v>0</v>
      </c>
      <c r="E16" s="174">
        <v>1335170.3600000001</v>
      </c>
      <c r="G16" s="174">
        <f t="shared" si="0"/>
        <v>1335170.3600000001</v>
      </c>
      <c r="H16" s="174" t="s">
        <v>80</v>
      </c>
    </row>
    <row r="17" spans="1:8">
      <c r="A17" s="174" t="s">
        <v>501</v>
      </c>
      <c r="B17" s="174">
        <v>0</v>
      </c>
      <c r="C17" s="174">
        <v>1072573.47</v>
      </c>
      <c r="D17" s="174">
        <v>0</v>
      </c>
      <c r="E17" s="174">
        <v>1072573.47</v>
      </c>
      <c r="G17" s="174">
        <f t="shared" si="0"/>
        <v>1072573.47</v>
      </c>
      <c r="H17" s="174" t="s">
        <v>80</v>
      </c>
    </row>
    <row r="18" spans="1:8">
      <c r="A18" s="174" t="s">
        <v>1059</v>
      </c>
      <c r="B18" s="174">
        <v>0</v>
      </c>
      <c r="C18" s="174">
        <v>0</v>
      </c>
      <c r="D18" s="174">
        <v>0</v>
      </c>
      <c r="E18" s="174">
        <v>0</v>
      </c>
      <c r="G18" s="174">
        <f t="shared" si="0"/>
        <v>0</v>
      </c>
      <c r="H18" s="174" t="s">
        <v>80</v>
      </c>
    </row>
    <row r="19" spans="1:8">
      <c r="A19" s="174" t="s">
        <v>534</v>
      </c>
      <c r="B19" s="174">
        <v>1205388922.52</v>
      </c>
      <c r="C19" s="174">
        <v>213452576.59999999</v>
      </c>
      <c r="D19" s="174">
        <v>56099668</v>
      </c>
      <c r="E19" s="174">
        <v>1362741831.1199999</v>
      </c>
      <c r="G19" s="174">
        <f t="shared" si="0"/>
        <v>1362741831.1199999</v>
      </c>
      <c r="H19" s="174" t="s">
        <v>80</v>
      </c>
    </row>
    <row r="20" spans="1:8">
      <c r="A20" s="174" t="s">
        <v>535</v>
      </c>
      <c r="B20" s="174">
        <v>0.01</v>
      </c>
      <c r="C20" s="174">
        <v>0</v>
      </c>
      <c r="D20" s="174">
        <v>0</v>
      </c>
      <c r="E20" s="174">
        <v>0.01</v>
      </c>
      <c r="G20" s="174">
        <f t="shared" si="0"/>
        <v>0.01</v>
      </c>
      <c r="H20" s="174" t="s">
        <v>80</v>
      </c>
    </row>
    <row r="21" spans="1:8">
      <c r="A21" s="174" t="s">
        <v>536</v>
      </c>
      <c r="B21" s="174">
        <v>0.06</v>
      </c>
      <c r="C21" s="174">
        <v>0</v>
      </c>
      <c r="D21" s="174">
        <v>0</v>
      </c>
      <c r="E21" s="174">
        <v>0.06</v>
      </c>
      <c r="G21" s="174">
        <f t="shared" si="0"/>
        <v>0.06</v>
      </c>
      <c r="H21" s="174" t="s">
        <v>80</v>
      </c>
    </row>
    <row r="22" spans="1:8">
      <c r="A22" s="174" t="s">
        <v>1058</v>
      </c>
      <c r="B22" s="174">
        <v>0</v>
      </c>
      <c r="C22" s="174">
        <v>0</v>
      </c>
      <c r="D22" s="174">
        <v>0</v>
      </c>
      <c r="E22" s="174">
        <v>0</v>
      </c>
      <c r="G22" s="174">
        <f t="shared" si="0"/>
        <v>0</v>
      </c>
      <c r="H22" s="174" t="s">
        <v>80</v>
      </c>
    </row>
    <row r="23" spans="1:8">
      <c r="A23" s="174" t="s">
        <v>84</v>
      </c>
      <c r="B23" s="174">
        <v>41258.14</v>
      </c>
      <c r="C23" s="174">
        <v>1002000</v>
      </c>
      <c r="D23" s="174">
        <v>1008711</v>
      </c>
      <c r="E23" s="174">
        <v>34547.14</v>
      </c>
      <c r="G23" s="174">
        <f t="shared" si="0"/>
        <v>34547.14</v>
      </c>
      <c r="H23" s="174" t="s">
        <v>80</v>
      </c>
    </row>
    <row r="24" spans="1:8">
      <c r="A24" s="174" t="s">
        <v>85</v>
      </c>
      <c r="B24" s="174">
        <v>895</v>
      </c>
      <c r="C24" s="174">
        <v>200000</v>
      </c>
      <c r="D24" s="174">
        <v>122870</v>
      </c>
      <c r="E24" s="174">
        <v>78025</v>
      </c>
      <c r="G24" s="174">
        <f t="shared" si="0"/>
        <v>78025</v>
      </c>
      <c r="H24" s="174" t="s">
        <v>80</v>
      </c>
    </row>
    <row r="25" spans="1:8">
      <c r="A25" s="174" t="s">
        <v>537</v>
      </c>
      <c r="B25" s="174">
        <v>12658</v>
      </c>
      <c r="C25" s="174">
        <v>0</v>
      </c>
      <c r="D25" s="174">
        <v>0</v>
      </c>
      <c r="E25" s="174">
        <v>12658</v>
      </c>
      <c r="G25" s="174">
        <f t="shared" si="0"/>
        <v>12658</v>
      </c>
      <c r="H25" s="174" t="s">
        <v>80</v>
      </c>
    </row>
    <row r="26" spans="1:8">
      <c r="A26" s="174" t="s">
        <v>538</v>
      </c>
      <c r="B26" s="174">
        <v>2176060</v>
      </c>
      <c r="C26" s="174">
        <v>0</v>
      </c>
      <c r="D26" s="174">
        <v>0</v>
      </c>
      <c r="E26" s="174">
        <v>2176060</v>
      </c>
      <c r="G26" s="174">
        <f t="shared" si="0"/>
        <v>2176060</v>
      </c>
      <c r="H26" s="174" t="s">
        <v>80</v>
      </c>
    </row>
    <row r="27" spans="1:8">
      <c r="A27" s="174" t="s">
        <v>539</v>
      </c>
      <c r="B27" s="174">
        <v>2589775</v>
      </c>
      <c r="C27" s="174">
        <v>0</v>
      </c>
      <c r="D27" s="174">
        <v>0</v>
      </c>
      <c r="E27" s="174">
        <v>2589775</v>
      </c>
      <c r="G27" s="174">
        <f t="shared" si="0"/>
        <v>2589775</v>
      </c>
      <c r="H27" s="174" t="s">
        <v>80</v>
      </c>
    </row>
    <row r="28" spans="1:8">
      <c r="A28" s="174" t="s">
        <v>540</v>
      </c>
      <c r="B28" s="174">
        <v>6100000</v>
      </c>
      <c r="C28" s="174">
        <v>0</v>
      </c>
      <c r="D28" s="174">
        <v>6177119</v>
      </c>
      <c r="E28" s="174">
        <v>-77119</v>
      </c>
      <c r="G28" s="174">
        <f t="shared" si="0"/>
        <v>-77119</v>
      </c>
      <c r="H28" s="174" t="s">
        <v>80</v>
      </c>
    </row>
    <row r="29" spans="1:8">
      <c r="A29" s="174" t="s">
        <v>541</v>
      </c>
      <c r="B29" s="174">
        <v>60017754</v>
      </c>
      <c r="C29" s="174">
        <v>0</v>
      </c>
      <c r="D29" s="174">
        <v>60142043</v>
      </c>
      <c r="E29" s="174">
        <v>-124289</v>
      </c>
      <c r="G29" s="174">
        <f t="shared" si="0"/>
        <v>-124289</v>
      </c>
      <c r="H29" s="174" t="s">
        <v>80</v>
      </c>
    </row>
    <row r="30" spans="1:8">
      <c r="A30" s="174" t="s">
        <v>542</v>
      </c>
      <c r="B30" s="174">
        <v>2300953</v>
      </c>
      <c r="C30" s="174">
        <v>33543</v>
      </c>
      <c r="D30" s="174">
        <v>0</v>
      </c>
      <c r="E30" s="174">
        <v>2334496</v>
      </c>
      <c r="G30" s="174">
        <f t="shared" si="0"/>
        <v>2334496</v>
      </c>
      <c r="H30" s="174" t="s">
        <v>80</v>
      </c>
    </row>
    <row r="31" spans="1:8">
      <c r="A31" s="174" t="s">
        <v>543</v>
      </c>
      <c r="B31" s="174">
        <v>50000000</v>
      </c>
      <c r="C31" s="174">
        <v>0</v>
      </c>
      <c r="D31" s="174">
        <v>532910</v>
      </c>
      <c r="E31" s="174">
        <v>49467090</v>
      </c>
      <c r="G31" s="174">
        <f t="shared" si="0"/>
        <v>49467090</v>
      </c>
      <c r="H31" s="174" t="s">
        <v>80</v>
      </c>
    </row>
    <row r="32" spans="1:8">
      <c r="A32" s="174" t="s">
        <v>544</v>
      </c>
      <c r="B32" s="174">
        <v>13000000</v>
      </c>
      <c r="C32" s="174">
        <v>0</v>
      </c>
      <c r="D32" s="174">
        <v>153952</v>
      </c>
      <c r="E32" s="174">
        <v>12846048</v>
      </c>
      <c r="G32" s="174">
        <f t="shared" si="0"/>
        <v>12846048</v>
      </c>
      <c r="H32" s="174" t="s">
        <v>80</v>
      </c>
    </row>
    <row r="33" spans="1:8">
      <c r="A33" s="174" t="s">
        <v>519</v>
      </c>
      <c r="B33" s="174">
        <v>217112</v>
      </c>
      <c r="C33" s="174">
        <v>0</v>
      </c>
      <c r="D33" s="174">
        <v>0</v>
      </c>
      <c r="E33" s="174">
        <v>217112</v>
      </c>
      <c r="G33" s="174">
        <f t="shared" si="0"/>
        <v>217112</v>
      </c>
      <c r="H33" s="174" t="s">
        <v>80</v>
      </c>
    </row>
    <row r="34" spans="1:8">
      <c r="A34" s="174" t="s">
        <v>545</v>
      </c>
      <c r="B34" s="174">
        <v>12166394.48</v>
      </c>
      <c r="C34" s="174">
        <v>0</v>
      </c>
      <c r="D34" s="174">
        <v>0</v>
      </c>
      <c r="E34" s="174">
        <v>12166394.48</v>
      </c>
      <c r="G34" s="174">
        <f t="shared" si="0"/>
        <v>12166394.48</v>
      </c>
      <c r="H34" s="174" t="s">
        <v>80</v>
      </c>
    </row>
    <row r="35" spans="1:8">
      <c r="A35" s="174" t="s">
        <v>546</v>
      </c>
      <c r="B35" s="174">
        <v>60587491.689999998</v>
      </c>
      <c r="C35" s="174">
        <v>0</v>
      </c>
      <c r="D35" s="174">
        <v>0</v>
      </c>
      <c r="E35" s="174">
        <v>60587491.689999998</v>
      </c>
      <c r="G35" s="174">
        <f t="shared" si="0"/>
        <v>60587491.689999998</v>
      </c>
      <c r="H35" s="174" t="s">
        <v>80</v>
      </c>
    </row>
    <row r="36" spans="1:8">
      <c r="A36" s="174" t="s">
        <v>547</v>
      </c>
      <c r="B36" s="174">
        <v>243605.52</v>
      </c>
      <c r="C36" s="174">
        <v>0</v>
      </c>
      <c r="D36" s="174">
        <v>0</v>
      </c>
      <c r="E36" s="174">
        <v>243605.52</v>
      </c>
      <c r="G36" s="174">
        <f t="shared" si="0"/>
        <v>243605.52</v>
      </c>
      <c r="H36" s="174" t="s">
        <v>80</v>
      </c>
    </row>
    <row r="37" spans="1:8">
      <c r="A37" s="174" t="s">
        <v>548</v>
      </c>
      <c r="B37" s="174">
        <v>54931400</v>
      </c>
      <c r="C37" s="174">
        <v>0</v>
      </c>
      <c r="D37" s="174">
        <v>0</v>
      </c>
      <c r="E37" s="174">
        <v>54931400</v>
      </c>
      <c r="G37" s="174">
        <f t="shared" si="0"/>
        <v>54931400</v>
      </c>
      <c r="H37" s="174" t="s">
        <v>80</v>
      </c>
    </row>
    <row r="38" spans="1:8">
      <c r="A38" s="174" t="s">
        <v>549</v>
      </c>
      <c r="B38" s="174">
        <v>-651515</v>
      </c>
      <c r="C38" s="174">
        <v>0</v>
      </c>
      <c r="D38" s="174">
        <v>0</v>
      </c>
      <c r="E38" s="174">
        <v>-651515</v>
      </c>
      <c r="G38" s="174">
        <f t="shared" si="0"/>
        <v>-651515</v>
      </c>
      <c r="H38" s="174" t="s">
        <v>80</v>
      </c>
    </row>
    <row r="39" spans="1:8">
      <c r="A39" s="174" t="s">
        <v>550</v>
      </c>
      <c r="B39" s="174">
        <v>289971000</v>
      </c>
      <c r="C39" s="174">
        <v>0</v>
      </c>
      <c r="D39" s="174">
        <v>0</v>
      </c>
      <c r="E39" s="174">
        <v>289971000</v>
      </c>
      <c r="G39" s="174">
        <f t="shared" si="0"/>
        <v>289971000</v>
      </c>
      <c r="H39" s="174" t="s">
        <v>80</v>
      </c>
    </row>
    <row r="40" spans="1:8">
      <c r="A40" s="174" t="s">
        <v>551</v>
      </c>
      <c r="B40" s="174">
        <v>5175000</v>
      </c>
      <c r="C40" s="174">
        <v>0</v>
      </c>
      <c r="D40" s="174">
        <v>0</v>
      </c>
      <c r="E40" s="174">
        <v>5175000</v>
      </c>
      <c r="G40" s="174">
        <f t="shared" si="0"/>
        <v>5175000</v>
      </c>
      <c r="H40" s="174" t="s">
        <v>80</v>
      </c>
    </row>
    <row r="41" spans="1:8">
      <c r="A41" s="174" t="s">
        <v>1057</v>
      </c>
      <c r="B41" s="174">
        <v>0</v>
      </c>
      <c r="C41" s="174">
        <v>0</v>
      </c>
      <c r="D41" s="174">
        <v>0</v>
      </c>
      <c r="E41" s="174">
        <v>0</v>
      </c>
      <c r="G41" s="174">
        <f t="shared" si="0"/>
        <v>0</v>
      </c>
      <c r="H41" s="174" t="s">
        <v>80</v>
      </c>
    </row>
    <row r="42" spans="1:8">
      <c r="A42" s="174" t="s">
        <v>552</v>
      </c>
      <c r="B42" s="174">
        <v>120000000</v>
      </c>
      <c r="C42" s="174">
        <v>0</v>
      </c>
      <c r="D42" s="174">
        <v>120000000</v>
      </c>
      <c r="E42" s="174">
        <v>0</v>
      </c>
      <c r="G42" s="174">
        <f t="shared" si="0"/>
        <v>0</v>
      </c>
      <c r="H42" s="174" t="s">
        <v>80</v>
      </c>
    </row>
    <row r="43" spans="1:8">
      <c r="A43" s="174" t="s">
        <v>553</v>
      </c>
      <c r="B43" s="174">
        <v>788480</v>
      </c>
      <c r="C43" s="174">
        <v>0</v>
      </c>
      <c r="D43" s="174">
        <v>0</v>
      </c>
      <c r="E43" s="174">
        <v>788480</v>
      </c>
      <c r="G43" s="174">
        <f t="shared" si="0"/>
        <v>788480</v>
      </c>
      <c r="H43" s="174" t="s">
        <v>80</v>
      </c>
    </row>
    <row r="44" spans="1:8">
      <c r="A44" s="174" t="s">
        <v>554</v>
      </c>
      <c r="B44" s="174">
        <v>35987</v>
      </c>
      <c r="C44" s="174">
        <v>0</v>
      </c>
      <c r="D44" s="174">
        <v>0</v>
      </c>
      <c r="E44" s="174">
        <v>35987</v>
      </c>
      <c r="G44" s="174">
        <f t="shared" si="0"/>
        <v>35987</v>
      </c>
      <c r="H44" s="174" t="s">
        <v>339</v>
      </c>
    </row>
    <row r="45" spans="1:8">
      <c r="A45" s="174" t="s">
        <v>555</v>
      </c>
      <c r="B45" s="174">
        <v>761067.47</v>
      </c>
      <c r="C45" s="174">
        <v>246644.52</v>
      </c>
      <c r="D45" s="174">
        <v>740821.64</v>
      </c>
      <c r="E45" s="174">
        <v>266890.34999999998</v>
      </c>
      <c r="G45" s="174">
        <f t="shared" si="0"/>
        <v>266890.34999999998</v>
      </c>
      <c r="H45" s="174" t="s">
        <v>80</v>
      </c>
    </row>
    <row r="46" spans="1:8">
      <c r="A46" s="174" t="s">
        <v>556</v>
      </c>
      <c r="B46" s="174">
        <v>227369.96</v>
      </c>
      <c r="C46" s="174">
        <v>186427.62</v>
      </c>
      <c r="D46" s="174">
        <v>392262.7</v>
      </c>
      <c r="E46" s="174">
        <v>21534.880000000001</v>
      </c>
      <c r="G46" s="174">
        <f t="shared" si="0"/>
        <v>21534.880000000001</v>
      </c>
      <c r="H46" s="174" t="s">
        <v>80</v>
      </c>
    </row>
    <row r="47" spans="1:8">
      <c r="A47" s="174" t="s">
        <v>557</v>
      </c>
      <c r="B47" s="174">
        <v>761067.47</v>
      </c>
      <c r="C47" s="174">
        <v>246644.52</v>
      </c>
      <c r="D47" s="174">
        <v>740821.64</v>
      </c>
      <c r="E47" s="174">
        <v>266890.34999999998</v>
      </c>
      <c r="G47" s="174">
        <f t="shared" si="0"/>
        <v>266890.34999999998</v>
      </c>
      <c r="H47" s="174" t="s">
        <v>80</v>
      </c>
    </row>
    <row r="48" spans="1:8">
      <c r="A48" s="174" t="s">
        <v>558</v>
      </c>
      <c r="B48" s="174">
        <v>-3821334</v>
      </c>
      <c r="C48" s="174">
        <v>0</v>
      </c>
      <c r="D48" s="174">
        <v>0</v>
      </c>
      <c r="E48" s="174">
        <v>-3821334</v>
      </c>
      <c r="G48" s="174">
        <f t="shared" si="0"/>
        <v>-3821334</v>
      </c>
      <c r="H48" s="174" t="s">
        <v>80</v>
      </c>
    </row>
    <row r="49" spans="1:8">
      <c r="A49" s="174" t="s">
        <v>87</v>
      </c>
      <c r="B49" s="174">
        <v>0</v>
      </c>
      <c r="C49" s="174">
        <v>37510047.590000004</v>
      </c>
      <c r="D49" s="174">
        <v>27519019.109999999</v>
      </c>
      <c r="E49" s="174">
        <v>9991028.4800000004</v>
      </c>
      <c r="G49" s="174">
        <f t="shared" si="0"/>
        <v>9991028.4800000004</v>
      </c>
      <c r="H49" s="174" t="s">
        <v>80</v>
      </c>
    </row>
    <row r="50" spans="1:8">
      <c r="A50" s="174" t="s">
        <v>105</v>
      </c>
      <c r="B50" s="174">
        <v>0</v>
      </c>
      <c r="C50" s="174">
        <v>51315.28</v>
      </c>
      <c r="D50" s="174">
        <v>36033.040000000001</v>
      </c>
      <c r="E50" s="174">
        <v>15282.24</v>
      </c>
      <c r="G50" s="174">
        <f t="shared" si="0"/>
        <v>15282.24</v>
      </c>
      <c r="H50" s="174" t="s">
        <v>80</v>
      </c>
    </row>
    <row r="51" spans="1:8">
      <c r="A51" s="174" t="s">
        <v>525</v>
      </c>
      <c r="B51" s="174">
        <v>1271337</v>
      </c>
      <c r="C51" s="174">
        <v>15697540.529999999</v>
      </c>
      <c r="D51" s="174">
        <v>15395397.07</v>
      </c>
      <c r="E51" s="174">
        <v>1573480.46</v>
      </c>
      <c r="G51" s="174">
        <f t="shared" si="0"/>
        <v>1573480.46</v>
      </c>
      <c r="H51" s="174" t="s">
        <v>80</v>
      </c>
    </row>
    <row r="52" spans="1:8">
      <c r="A52" s="174" t="s">
        <v>1556</v>
      </c>
      <c r="B52" s="174">
        <v>0</v>
      </c>
      <c r="C52" s="174">
        <v>37510047.689999998</v>
      </c>
      <c r="D52" s="174">
        <v>27519019.210000001</v>
      </c>
      <c r="E52" s="174">
        <v>9991028.4800000004</v>
      </c>
      <c r="G52" s="174">
        <f t="shared" si="0"/>
        <v>9991028.4800000004</v>
      </c>
      <c r="H52" s="174" t="s">
        <v>80</v>
      </c>
    </row>
    <row r="53" spans="1:8">
      <c r="A53" s="174" t="s">
        <v>559</v>
      </c>
      <c r="B53" s="174">
        <v>1171.99</v>
      </c>
      <c r="C53" s="174">
        <v>34989241</v>
      </c>
      <c r="D53" s="174">
        <v>34989236.100000001</v>
      </c>
      <c r="E53" s="174">
        <v>1176.8900000000001</v>
      </c>
      <c r="G53" s="174">
        <f t="shared" si="0"/>
        <v>1176.8900000000001</v>
      </c>
      <c r="H53" s="174" t="s">
        <v>80</v>
      </c>
    </row>
    <row r="54" spans="1:8">
      <c r="A54" s="174" t="s">
        <v>560</v>
      </c>
      <c r="B54" s="174">
        <v>-86936.05</v>
      </c>
      <c r="C54" s="174">
        <v>72582244.010000005</v>
      </c>
      <c r="D54" s="174">
        <v>65439925.799999997</v>
      </c>
      <c r="E54" s="174">
        <v>7055382.1600000001</v>
      </c>
      <c r="G54" s="174">
        <f t="shared" si="0"/>
        <v>7055382.1600000001</v>
      </c>
      <c r="H54" s="174" t="s">
        <v>80</v>
      </c>
    </row>
    <row r="55" spans="1:8">
      <c r="A55" s="174" t="s">
        <v>112</v>
      </c>
      <c r="B55" s="174">
        <v>23664031.890000001</v>
      </c>
      <c r="C55" s="174">
        <v>31462460.100000001</v>
      </c>
      <c r="D55" s="174">
        <v>43744278.549999997</v>
      </c>
      <c r="E55" s="174">
        <v>11382213.439999999</v>
      </c>
      <c r="G55" s="174">
        <f t="shared" si="0"/>
        <v>11382213.439999999</v>
      </c>
      <c r="H55" s="174" t="s">
        <v>80</v>
      </c>
    </row>
    <row r="56" spans="1:8">
      <c r="A56" s="174" t="s">
        <v>561</v>
      </c>
      <c r="B56" s="174">
        <v>-26904578.440000001</v>
      </c>
      <c r="C56" s="174">
        <v>0</v>
      </c>
      <c r="D56" s="174">
        <v>0</v>
      </c>
      <c r="E56" s="174">
        <v>-26904578.440000001</v>
      </c>
      <c r="G56" s="174">
        <f t="shared" si="0"/>
        <v>-26904578.440000001</v>
      </c>
      <c r="H56" s="174" t="s">
        <v>80</v>
      </c>
    </row>
    <row r="57" spans="1:8">
      <c r="A57" s="174" t="s">
        <v>562</v>
      </c>
      <c r="B57" s="174">
        <v>-85919.34</v>
      </c>
      <c r="C57" s="174">
        <v>0</v>
      </c>
      <c r="D57" s="174">
        <v>0</v>
      </c>
      <c r="E57" s="174">
        <v>-85919.34</v>
      </c>
      <c r="G57" s="174">
        <f t="shared" si="0"/>
        <v>-85919.34</v>
      </c>
      <c r="H57" s="174" t="s">
        <v>80</v>
      </c>
    </row>
    <row r="58" spans="1:8">
      <c r="A58" s="174" t="s">
        <v>96</v>
      </c>
      <c r="B58" s="174">
        <v>407065.63</v>
      </c>
      <c r="C58" s="174">
        <v>0</v>
      </c>
      <c r="D58" s="174">
        <v>0</v>
      </c>
      <c r="E58" s="174">
        <v>407065.63</v>
      </c>
      <c r="G58" s="174">
        <f t="shared" si="0"/>
        <v>407065.63</v>
      </c>
      <c r="H58" s="174" t="s">
        <v>80</v>
      </c>
    </row>
    <row r="59" spans="1:8">
      <c r="A59" s="174" t="s">
        <v>563</v>
      </c>
      <c r="B59" s="174">
        <v>7359905.7999999998</v>
      </c>
      <c r="C59" s="174">
        <v>0</v>
      </c>
      <c r="D59" s="174">
        <v>0</v>
      </c>
      <c r="E59" s="174">
        <v>7359905.7999999998</v>
      </c>
      <c r="G59" s="174">
        <f t="shared" si="0"/>
        <v>7359905.7999999998</v>
      </c>
      <c r="H59" s="174" t="s">
        <v>80</v>
      </c>
    </row>
    <row r="60" spans="1:8">
      <c r="A60" s="174" t="s">
        <v>564</v>
      </c>
      <c r="B60" s="174">
        <v>-7246.93</v>
      </c>
      <c r="C60" s="174">
        <v>220823</v>
      </c>
      <c r="D60" s="174">
        <v>0</v>
      </c>
      <c r="E60" s="174">
        <v>213576.07</v>
      </c>
      <c r="G60" s="174">
        <f t="shared" si="0"/>
        <v>213576.07</v>
      </c>
      <c r="H60" s="174" t="s">
        <v>80</v>
      </c>
    </row>
    <row r="61" spans="1:8">
      <c r="A61" s="174" t="s">
        <v>129</v>
      </c>
      <c r="B61" s="174">
        <v>1986677</v>
      </c>
      <c r="C61" s="174">
        <v>61972</v>
      </c>
      <c r="D61" s="174">
        <v>342799</v>
      </c>
      <c r="E61" s="174">
        <v>1705850</v>
      </c>
      <c r="G61" s="174">
        <f t="shared" si="0"/>
        <v>1705850</v>
      </c>
      <c r="H61" s="174" t="s">
        <v>80</v>
      </c>
    </row>
    <row r="62" spans="1:8">
      <c r="A62" s="174" t="s">
        <v>565</v>
      </c>
      <c r="B62" s="174">
        <v>0</v>
      </c>
      <c r="C62" s="174">
        <v>282473</v>
      </c>
      <c r="D62" s="174">
        <v>282473</v>
      </c>
      <c r="E62" s="174">
        <v>0</v>
      </c>
      <c r="G62" s="174">
        <f t="shared" si="0"/>
        <v>0</v>
      </c>
      <c r="H62" s="174" t="s">
        <v>80</v>
      </c>
    </row>
    <row r="63" spans="1:8">
      <c r="A63" s="174" t="s">
        <v>566</v>
      </c>
      <c r="B63" s="174">
        <v>0</v>
      </c>
      <c r="C63" s="174">
        <v>1271337</v>
      </c>
      <c r="D63" s="174">
        <v>1271337</v>
      </c>
      <c r="E63" s="174">
        <v>0</v>
      </c>
      <c r="G63" s="174">
        <f t="shared" si="0"/>
        <v>0</v>
      </c>
      <c r="H63" s="174" t="s">
        <v>80</v>
      </c>
    </row>
    <row r="64" spans="1:8">
      <c r="A64" s="174" t="s">
        <v>567</v>
      </c>
      <c r="B64" s="174">
        <v>0</v>
      </c>
      <c r="C64" s="174">
        <v>282473</v>
      </c>
      <c r="D64" s="174">
        <v>282473</v>
      </c>
      <c r="E64" s="174">
        <v>0</v>
      </c>
      <c r="G64" s="174">
        <f t="shared" si="0"/>
        <v>0</v>
      </c>
      <c r="H64" s="174" t="s">
        <v>80</v>
      </c>
    </row>
    <row r="65" spans="1:8">
      <c r="A65" s="174" t="s">
        <v>568</v>
      </c>
      <c r="B65" s="174">
        <v>222566</v>
      </c>
      <c r="C65" s="174">
        <v>0</v>
      </c>
      <c r="D65" s="174">
        <v>0</v>
      </c>
      <c r="E65" s="174">
        <v>222566</v>
      </c>
      <c r="G65" s="174">
        <f t="shared" si="0"/>
        <v>222566</v>
      </c>
      <c r="H65" s="174" t="s">
        <v>80</v>
      </c>
    </row>
    <row r="66" spans="1:8">
      <c r="A66" s="174" t="s">
        <v>569</v>
      </c>
      <c r="B66" s="174">
        <v>173552</v>
      </c>
      <c r="C66" s="174">
        <v>0</v>
      </c>
      <c r="D66" s="174">
        <v>0</v>
      </c>
      <c r="E66" s="174">
        <v>173552</v>
      </c>
      <c r="G66" s="174">
        <f t="shared" si="0"/>
        <v>173552</v>
      </c>
      <c r="H66" s="174" t="s">
        <v>80</v>
      </c>
    </row>
    <row r="67" spans="1:8">
      <c r="A67" s="174" t="s">
        <v>570</v>
      </c>
      <c r="B67" s="174">
        <v>1600000</v>
      </c>
      <c r="C67" s="174">
        <v>0</v>
      </c>
      <c r="D67" s="174">
        <v>0</v>
      </c>
      <c r="E67" s="174">
        <v>1600000</v>
      </c>
      <c r="G67" s="174">
        <f t="shared" ref="G67:G130" si="1">E67+F67</f>
        <v>1600000</v>
      </c>
      <c r="H67" s="174" t="s">
        <v>80</v>
      </c>
    </row>
    <row r="68" spans="1:8">
      <c r="A68" s="174" t="s">
        <v>81</v>
      </c>
      <c r="B68" s="174">
        <v>-904063.5</v>
      </c>
      <c r="C68" s="174">
        <v>4355634</v>
      </c>
      <c r="D68" s="174">
        <v>2433437</v>
      </c>
      <c r="E68" s="174">
        <v>1018133.5</v>
      </c>
      <c r="G68" s="174">
        <f t="shared" si="1"/>
        <v>1018133.5</v>
      </c>
      <c r="H68" s="174" t="s">
        <v>80</v>
      </c>
    </row>
    <row r="69" spans="1:8">
      <c r="A69" s="174" t="s">
        <v>571</v>
      </c>
      <c r="B69" s="174">
        <v>37500</v>
      </c>
      <c r="C69" s="174">
        <v>200000</v>
      </c>
      <c r="D69" s="174">
        <v>0</v>
      </c>
      <c r="E69" s="174">
        <v>237500</v>
      </c>
      <c r="G69" s="174">
        <f t="shared" si="1"/>
        <v>237500</v>
      </c>
      <c r="H69" s="174" t="s">
        <v>80</v>
      </c>
    </row>
    <row r="70" spans="1:8">
      <c r="A70" s="174" t="s">
        <v>572</v>
      </c>
      <c r="B70" s="174">
        <v>222030</v>
      </c>
      <c r="C70" s="174">
        <v>43000</v>
      </c>
      <c r="D70" s="174">
        <v>43000</v>
      </c>
      <c r="E70" s="174">
        <v>222030</v>
      </c>
      <c r="G70" s="174">
        <f t="shared" si="1"/>
        <v>222030</v>
      </c>
      <c r="H70" s="174" t="s">
        <v>80</v>
      </c>
    </row>
    <row r="71" spans="1:8">
      <c r="A71" s="174" t="s">
        <v>573</v>
      </c>
      <c r="B71" s="174">
        <v>5100</v>
      </c>
      <c r="C71" s="174">
        <v>44000</v>
      </c>
      <c r="D71" s="174">
        <v>45606</v>
      </c>
      <c r="E71" s="174">
        <v>3494</v>
      </c>
      <c r="G71" s="174">
        <f t="shared" si="1"/>
        <v>3494</v>
      </c>
      <c r="H71" s="174" t="s">
        <v>80</v>
      </c>
    </row>
    <row r="72" spans="1:8">
      <c r="A72" s="174" t="s">
        <v>139</v>
      </c>
      <c r="B72" s="174">
        <v>1475496</v>
      </c>
      <c r="C72" s="174">
        <v>1517000</v>
      </c>
      <c r="D72" s="174">
        <v>1016213</v>
      </c>
      <c r="E72" s="174">
        <v>1976283</v>
      </c>
      <c r="G72" s="174">
        <f t="shared" si="1"/>
        <v>1976283</v>
      </c>
      <c r="H72" s="174" t="s">
        <v>80</v>
      </c>
    </row>
    <row r="73" spans="1:8">
      <c r="A73" s="174" t="s">
        <v>1041</v>
      </c>
      <c r="B73" s="174">
        <v>5000</v>
      </c>
      <c r="C73" s="174">
        <v>0</v>
      </c>
      <c r="D73" s="174">
        <v>0</v>
      </c>
      <c r="E73" s="174">
        <v>5000</v>
      </c>
      <c r="G73" s="174">
        <f t="shared" si="1"/>
        <v>5000</v>
      </c>
      <c r="H73" s="174" t="s">
        <v>80</v>
      </c>
    </row>
    <row r="74" spans="1:8">
      <c r="A74" s="174" t="s">
        <v>1075</v>
      </c>
      <c r="B74" s="174">
        <v>0</v>
      </c>
      <c r="C74" s="174">
        <v>0</v>
      </c>
      <c r="D74" s="174">
        <v>0</v>
      </c>
      <c r="E74" s="174">
        <v>0</v>
      </c>
      <c r="G74" s="174">
        <f t="shared" si="1"/>
        <v>0</v>
      </c>
      <c r="H74" s="174" t="s">
        <v>80</v>
      </c>
    </row>
    <row r="75" spans="1:8">
      <c r="A75" s="174" t="s">
        <v>502</v>
      </c>
      <c r="B75" s="174">
        <v>107.89</v>
      </c>
      <c r="C75" s="174">
        <v>0</v>
      </c>
      <c r="D75" s="174">
        <v>0</v>
      </c>
      <c r="E75" s="174">
        <v>107.89</v>
      </c>
      <c r="G75" s="174">
        <f t="shared" si="1"/>
        <v>107.89</v>
      </c>
      <c r="H75" s="174" t="s">
        <v>80</v>
      </c>
    </row>
    <row r="76" spans="1:8">
      <c r="A76" s="174" t="s">
        <v>1064</v>
      </c>
      <c r="B76" s="174">
        <v>0</v>
      </c>
      <c r="C76" s="174">
        <v>0</v>
      </c>
      <c r="D76" s="174">
        <v>0</v>
      </c>
      <c r="E76" s="174">
        <v>0</v>
      </c>
      <c r="G76" s="174">
        <f t="shared" si="1"/>
        <v>0</v>
      </c>
      <c r="H76" s="174" t="s">
        <v>80</v>
      </c>
    </row>
    <row r="77" spans="1:8">
      <c r="A77" s="174" t="s">
        <v>1370</v>
      </c>
      <c r="B77" s="174">
        <v>0</v>
      </c>
      <c r="C77" s="174">
        <v>0</v>
      </c>
      <c r="D77" s="174">
        <v>0</v>
      </c>
      <c r="E77" s="174">
        <v>0</v>
      </c>
      <c r="G77" s="174">
        <f t="shared" si="1"/>
        <v>0</v>
      </c>
      <c r="H77" s="174" t="s">
        <v>80</v>
      </c>
    </row>
    <row r="78" spans="1:8">
      <c r="A78" s="174" t="s">
        <v>1371</v>
      </c>
      <c r="B78" s="174">
        <v>0</v>
      </c>
      <c r="C78" s="174">
        <v>0</v>
      </c>
      <c r="D78" s="174">
        <v>0</v>
      </c>
      <c r="E78" s="174">
        <v>0</v>
      </c>
      <c r="G78" s="174">
        <f t="shared" si="1"/>
        <v>0</v>
      </c>
      <c r="H78" s="174" t="s">
        <v>80</v>
      </c>
    </row>
    <row r="79" spans="1:8">
      <c r="A79" s="174" t="s">
        <v>1372</v>
      </c>
      <c r="B79" s="174">
        <v>0</v>
      </c>
      <c r="C79" s="174">
        <v>0</v>
      </c>
      <c r="D79" s="174">
        <v>0</v>
      </c>
      <c r="E79" s="174">
        <v>0</v>
      </c>
      <c r="G79" s="174">
        <f t="shared" si="1"/>
        <v>0</v>
      </c>
      <c r="H79" s="174" t="s">
        <v>80</v>
      </c>
    </row>
    <row r="80" spans="1:8">
      <c r="A80" s="174" t="s">
        <v>574</v>
      </c>
      <c r="B80" s="174">
        <v>51907.76</v>
      </c>
      <c r="C80" s="174">
        <v>0</v>
      </c>
      <c r="D80" s="174">
        <v>51907.76</v>
      </c>
      <c r="E80" s="174">
        <v>0</v>
      </c>
      <c r="G80" s="174">
        <f t="shared" si="1"/>
        <v>0</v>
      </c>
      <c r="H80" s="174" t="s">
        <v>80</v>
      </c>
    </row>
    <row r="81" spans="1:8">
      <c r="A81" s="174" t="s">
        <v>482</v>
      </c>
      <c r="B81" s="174">
        <v>-0.2</v>
      </c>
      <c r="C81" s="174">
        <v>0.2</v>
      </c>
      <c r="D81" s="174">
        <v>0</v>
      </c>
      <c r="E81" s="174">
        <v>0</v>
      </c>
      <c r="G81" s="174">
        <f t="shared" si="1"/>
        <v>0</v>
      </c>
      <c r="H81" s="174" t="s">
        <v>80</v>
      </c>
    </row>
    <row r="82" spans="1:8">
      <c r="A82" s="174" t="s">
        <v>1065</v>
      </c>
      <c r="B82" s="174">
        <v>0</v>
      </c>
      <c r="C82" s="174">
        <v>0</v>
      </c>
      <c r="D82" s="174">
        <v>0</v>
      </c>
      <c r="E82" s="174">
        <v>0</v>
      </c>
      <c r="G82" s="174">
        <f t="shared" si="1"/>
        <v>0</v>
      </c>
      <c r="H82" s="174" t="s">
        <v>80</v>
      </c>
    </row>
    <row r="83" spans="1:8">
      <c r="A83" s="174" t="s">
        <v>83</v>
      </c>
      <c r="B83" s="174">
        <v>-10.19</v>
      </c>
      <c r="C83" s="174">
        <v>10.19</v>
      </c>
      <c r="D83" s="174">
        <v>0</v>
      </c>
      <c r="E83" s="174">
        <v>0</v>
      </c>
      <c r="G83" s="174">
        <f t="shared" si="1"/>
        <v>0</v>
      </c>
      <c r="H83" s="174" t="s">
        <v>80</v>
      </c>
    </row>
    <row r="84" spans="1:8">
      <c r="A84" s="174" t="s">
        <v>1373</v>
      </c>
      <c r="B84" s="174">
        <v>0</v>
      </c>
      <c r="C84" s="174">
        <v>0</v>
      </c>
      <c r="D84" s="174">
        <v>0</v>
      </c>
      <c r="E84" s="174">
        <v>0</v>
      </c>
      <c r="G84" s="174">
        <f t="shared" si="1"/>
        <v>0</v>
      </c>
      <c r="H84" s="174" t="s">
        <v>80</v>
      </c>
    </row>
    <row r="85" spans="1:8">
      <c r="A85" s="174" t="s">
        <v>575</v>
      </c>
      <c r="B85" s="174">
        <v>478152.9</v>
      </c>
      <c r="C85" s="174">
        <v>225380</v>
      </c>
      <c r="D85" s="174">
        <v>478490</v>
      </c>
      <c r="E85" s="174">
        <v>225042.9</v>
      </c>
      <c r="G85" s="174">
        <f t="shared" si="1"/>
        <v>225042.9</v>
      </c>
      <c r="H85" s="174" t="s">
        <v>80</v>
      </c>
    </row>
    <row r="86" spans="1:8">
      <c r="A86" s="174" t="s">
        <v>1076</v>
      </c>
      <c r="B86" s="174">
        <v>0</v>
      </c>
      <c r="C86" s="174">
        <v>1260063</v>
      </c>
      <c r="D86" s="174">
        <v>0</v>
      </c>
      <c r="E86" s="174">
        <v>1260063</v>
      </c>
      <c r="G86" s="174">
        <f t="shared" si="1"/>
        <v>1260063</v>
      </c>
      <c r="H86" s="174" t="s">
        <v>80</v>
      </c>
    </row>
    <row r="87" spans="1:8">
      <c r="A87" s="174" t="s">
        <v>520</v>
      </c>
      <c r="B87" s="174">
        <v>-1.05</v>
      </c>
      <c r="C87" s="174">
        <v>1.05</v>
      </c>
      <c r="D87" s="174">
        <v>0</v>
      </c>
      <c r="E87" s="174">
        <v>0</v>
      </c>
      <c r="G87" s="174">
        <f t="shared" si="1"/>
        <v>0</v>
      </c>
      <c r="H87" s="174" t="s">
        <v>80</v>
      </c>
    </row>
    <row r="88" spans="1:8">
      <c r="A88" s="174" t="s">
        <v>1079</v>
      </c>
      <c r="B88" s="174">
        <v>0</v>
      </c>
      <c r="C88" s="174">
        <v>18880</v>
      </c>
      <c r="D88" s="174">
        <v>0</v>
      </c>
      <c r="E88" s="174">
        <v>18880</v>
      </c>
      <c r="G88" s="174">
        <f t="shared" si="1"/>
        <v>18880</v>
      </c>
      <c r="H88" s="174" t="s">
        <v>80</v>
      </c>
    </row>
    <row r="89" spans="1:8">
      <c r="A89" s="174" t="s">
        <v>1080</v>
      </c>
      <c r="B89" s="174">
        <v>0</v>
      </c>
      <c r="C89" s="174">
        <v>0</v>
      </c>
      <c r="D89" s="174">
        <v>0</v>
      </c>
      <c r="E89" s="174">
        <v>0</v>
      </c>
      <c r="G89" s="174">
        <f t="shared" si="1"/>
        <v>0</v>
      </c>
      <c r="H89" s="174" t="s">
        <v>80</v>
      </c>
    </row>
    <row r="90" spans="1:8">
      <c r="A90" s="174" t="s">
        <v>1066</v>
      </c>
      <c r="B90" s="174">
        <v>0</v>
      </c>
      <c r="C90" s="174">
        <v>0</v>
      </c>
      <c r="D90" s="174">
        <v>0</v>
      </c>
      <c r="E90" s="174">
        <v>0</v>
      </c>
      <c r="G90" s="174">
        <f t="shared" si="1"/>
        <v>0</v>
      </c>
      <c r="H90" s="174" t="s">
        <v>80</v>
      </c>
    </row>
    <row r="91" spans="1:8">
      <c r="A91" s="174" t="s">
        <v>576</v>
      </c>
      <c r="B91" s="174">
        <v>6490.1</v>
      </c>
      <c r="C91" s="174">
        <v>2054006.02</v>
      </c>
      <c r="D91" s="174">
        <v>1518890</v>
      </c>
      <c r="E91" s="174">
        <v>541606.12</v>
      </c>
      <c r="G91" s="174">
        <f t="shared" si="1"/>
        <v>541606.12</v>
      </c>
      <c r="H91" s="174" t="s">
        <v>80</v>
      </c>
    </row>
    <row r="92" spans="1:8">
      <c r="A92" s="174" t="s">
        <v>577</v>
      </c>
      <c r="B92" s="174">
        <v>-2088.6999999999998</v>
      </c>
      <c r="C92" s="174">
        <v>0</v>
      </c>
      <c r="D92" s="174">
        <v>0</v>
      </c>
      <c r="E92" s="174">
        <v>-2088.6999999999998</v>
      </c>
      <c r="G92" s="174">
        <f t="shared" si="1"/>
        <v>-2088.6999999999998</v>
      </c>
      <c r="H92" s="174" t="s">
        <v>80</v>
      </c>
    </row>
    <row r="93" spans="1:8">
      <c r="A93" s="174" t="s">
        <v>1081</v>
      </c>
      <c r="B93" s="174">
        <v>0</v>
      </c>
      <c r="C93" s="174">
        <v>0</v>
      </c>
      <c r="D93" s="174">
        <v>0</v>
      </c>
      <c r="E93" s="174">
        <v>0</v>
      </c>
      <c r="G93" s="174">
        <f t="shared" si="1"/>
        <v>0</v>
      </c>
      <c r="H93" s="174" t="s">
        <v>80</v>
      </c>
    </row>
    <row r="94" spans="1:8">
      <c r="A94" s="174" t="s">
        <v>1067</v>
      </c>
      <c r="B94" s="174">
        <v>0</v>
      </c>
      <c r="C94" s="174">
        <v>0</v>
      </c>
      <c r="D94" s="174">
        <v>0</v>
      </c>
      <c r="E94" s="174">
        <v>0</v>
      </c>
      <c r="G94" s="174">
        <f t="shared" si="1"/>
        <v>0</v>
      </c>
      <c r="H94" s="174" t="s">
        <v>80</v>
      </c>
    </row>
    <row r="95" spans="1:8">
      <c r="A95" s="174" t="s">
        <v>1374</v>
      </c>
      <c r="B95" s="174">
        <v>0</v>
      </c>
      <c r="C95" s="174">
        <v>0</v>
      </c>
      <c r="D95" s="174">
        <v>0</v>
      </c>
      <c r="E95" s="174">
        <v>0</v>
      </c>
      <c r="G95" s="174">
        <f t="shared" si="1"/>
        <v>0</v>
      </c>
      <c r="H95" s="174" t="s">
        <v>80</v>
      </c>
    </row>
    <row r="96" spans="1:8">
      <c r="A96" s="174" t="s">
        <v>1557</v>
      </c>
      <c r="B96" s="174">
        <v>0</v>
      </c>
      <c r="C96" s="174">
        <v>151482.23999999999</v>
      </c>
      <c r="D96" s="174">
        <v>151482</v>
      </c>
      <c r="E96" s="174">
        <v>0.24</v>
      </c>
      <c r="G96" s="174">
        <f t="shared" si="1"/>
        <v>0.24</v>
      </c>
      <c r="H96" s="174" t="s">
        <v>80</v>
      </c>
    </row>
    <row r="97" spans="1:8">
      <c r="A97" s="174" t="s">
        <v>1375</v>
      </c>
      <c r="B97" s="174">
        <v>0</v>
      </c>
      <c r="C97" s="174">
        <v>0</v>
      </c>
      <c r="D97" s="174">
        <v>0</v>
      </c>
      <c r="E97" s="174">
        <v>0</v>
      </c>
      <c r="G97" s="174">
        <f t="shared" si="1"/>
        <v>0</v>
      </c>
      <c r="H97" s="174" t="s">
        <v>80</v>
      </c>
    </row>
    <row r="98" spans="1:8">
      <c r="A98" s="174" t="s">
        <v>578</v>
      </c>
      <c r="B98" s="174">
        <v>-779600</v>
      </c>
      <c r="C98" s="174">
        <v>779600</v>
      </c>
      <c r="D98" s="174">
        <v>0</v>
      </c>
      <c r="E98" s="174">
        <v>0</v>
      </c>
      <c r="G98" s="174">
        <f t="shared" si="1"/>
        <v>0</v>
      </c>
      <c r="H98" s="174" t="s">
        <v>80</v>
      </c>
    </row>
    <row r="99" spans="1:8">
      <c r="A99" s="174" t="s">
        <v>1084</v>
      </c>
      <c r="B99" s="174">
        <v>0</v>
      </c>
      <c r="C99" s="174">
        <v>0</v>
      </c>
      <c r="D99" s="174">
        <v>0</v>
      </c>
      <c r="E99" s="174">
        <v>0</v>
      </c>
      <c r="G99" s="174">
        <f t="shared" si="1"/>
        <v>0</v>
      </c>
      <c r="H99" s="174" t="s">
        <v>80</v>
      </c>
    </row>
    <row r="100" spans="1:8">
      <c r="A100" s="174" t="s">
        <v>1519</v>
      </c>
      <c r="B100" s="174">
        <v>0</v>
      </c>
      <c r="C100" s="174">
        <v>0</v>
      </c>
      <c r="D100" s="174">
        <v>0</v>
      </c>
      <c r="E100" s="174">
        <v>0</v>
      </c>
      <c r="G100" s="174">
        <f t="shared" si="1"/>
        <v>0</v>
      </c>
      <c r="H100" s="174" t="s">
        <v>80</v>
      </c>
    </row>
    <row r="101" spans="1:8">
      <c r="A101" s="174" t="s">
        <v>1085</v>
      </c>
      <c r="B101" s="174">
        <v>0</v>
      </c>
      <c r="C101" s="174">
        <v>0</v>
      </c>
      <c r="D101" s="174">
        <v>0</v>
      </c>
      <c r="E101" s="174">
        <v>0</v>
      </c>
      <c r="G101" s="174">
        <f t="shared" si="1"/>
        <v>0</v>
      </c>
      <c r="H101" s="174" t="s">
        <v>80</v>
      </c>
    </row>
    <row r="102" spans="1:8">
      <c r="A102" s="174" t="s">
        <v>1086</v>
      </c>
      <c r="B102" s="174">
        <v>0</v>
      </c>
      <c r="C102" s="174">
        <v>0</v>
      </c>
      <c r="D102" s="174">
        <v>0</v>
      </c>
      <c r="E102" s="174">
        <v>0</v>
      </c>
      <c r="G102" s="174">
        <f t="shared" si="1"/>
        <v>0</v>
      </c>
      <c r="H102" s="174" t="s">
        <v>80</v>
      </c>
    </row>
    <row r="103" spans="1:8">
      <c r="A103" s="174" t="s">
        <v>579</v>
      </c>
      <c r="B103" s="174">
        <v>61360</v>
      </c>
      <c r="C103" s="174">
        <v>0</v>
      </c>
      <c r="D103" s="174">
        <v>61360</v>
      </c>
      <c r="E103" s="174">
        <v>0</v>
      </c>
      <c r="G103" s="174">
        <f t="shared" si="1"/>
        <v>0</v>
      </c>
      <c r="H103" s="174" t="s">
        <v>80</v>
      </c>
    </row>
    <row r="104" spans="1:8">
      <c r="A104" s="174" t="s">
        <v>1087</v>
      </c>
      <c r="B104" s="174">
        <v>0</v>
      </c>
      <c r="C104" s="174">
        <v>0</v>
      </c>
      <c r="D104" s="174">
        <v>0</v>
      </c>
      <c r="E104" s="174">
        <v>0</v>
      </c>
      <c r="G104" s="174">
        <f t="shared" si="1"/>
        <v>0</v>
      </c>
      <c r="H104" s="174" t="s">
        <v>80</v>
      </c>
    </row>
    <row r="105" spans="1:8">
      <c r="A105" s="174" t="s">
        <v>1068</v>
      </c>
      <c r="B105" s="174">
        <v>0</v>
      </c>
      <c r="C105" s="174">
        <v>0</v>
      </c>
      <c r="D105" s="174">
        <v>0</v>
      </c>
      <c r="E105" s="174">
        <v>0</v>
      </c>
      <c r="G105" s="174">
        <f t="shared" si="1"/>
        <v>0</v>
      </c>
      <c r="H105" s="174" t="s">
        <v>80</v>
      </c>
    </row>
    <row r="106" spans="1:8">
      <c r="A106" s="174" t="s">
        <v>1520</v>
      </c>
      <c r="B106" s="174">
        <v>0</v>
      </c>
      <c r="C106" s="174">
        <v>0</v>
      </c>
      <c r="D106" s="174">
        <v>0</v>
      </c>
      <c r="E106" s="174">
        <v>0</v>
      </c>
      <c r="G106" s="174">
        <f t="shared" si="1"/>
        <v>0</v>
      </c>
      <c r="H106" s="174" t="s">
        <v>80</v>
      </c>
    </row>
    <row r="107" spans="1:8">
      <c r="A107" s="174" t="s">
        <v>1069</v>
      </c>
      <c r="B107" s="174">
        <v>0</v>
      </c>
      <c r="C107" s="174">
        <v>0</v>
      </c>
      <c r="D107" s="174">
        <v>0</v>
      </c>
      <c r="E107" s="174">
        <v>0</v>
      </c>
      <c r="G107" s="174">
        <f t="shared" si="1"/>
        <v>0</v>
      </c>
      <c r="H107" s="174" t="s">
        <v>80</v>
      </c>
    </row>
    <row r="108" spans="1:8">
      <c r="A108" s="174" t="s">
        <v>580</v>
      </c>
      <c r="B108" s="174">
        <v>848480.5</v>
      </c>
      <c r="C108" s="174">
        <v>1521438.5</v>
      </c>
      <c r="D108" s="174">
        <v>1231316</v>
      </c>
      <c r="E108" s="174">
        <v>1138603</v>
      </c>
      <c r="G108" s="174">
        <f t="shared" si="1"/>
        <v>1138603</v>
      </c>
      <c r="H108" s="174" t="s">
        <v>80</v>
      </c>
    </row>
    <row r="109" spans="1:8">
      <c r="A109" s="174" t="s">
        <v>1120</v>
      </c>
      <c r="B109" s="174">
        <v>0</v>
      </c>
      <c r="C109" s="174">
        <v>0</v>
      </c>
      <c r="D109" s="174">
        <v>0</v>
      </c>
      <c r="E109" s="174">
        <v>0</v>
      </c>
      <c r="G109" s="174">
        <f t="shared" si="1"/>
        <v>0</v>
      </c>
      <c r="H109" s="174" t="s">
        <v>80</v>
      </c>
    </row>
    <row r="110" spans="1:8">
      <c r="A110" s="174" t="s">
        <v>1376</v>
      </c>
      <c r="B110" s="174">
        <v>0</v>
      </c>
      <c r="C110" s="174">
        <v>0</v>
      </c>
      <c r="D110" s="174">
        <v>0</v>
      </c>
      <c r="E110" s="174">
        <v>0</v>
      </c>
      <c r="G110" s="174">
        <f t="shared" si="1"/>
        <v>0</v>
      </c>
      <c r="H110" s="174" t="s">
        <v>80</v>
      </c>
    </row>
    <row r="111" spans="1:8">
      <c r="A111" s="174" t="s">
        <v>581</v>
      </c>
      <c r="B111" s="174">
        <v>618393.16</v>
      </c>
      <c r="C111" s="174">
        <v>842033.26</v>
      </c>
      <c r="D111" s="174">
        <v>618393.16</v>
      </c>
      <c r="E111" s="174">
        <v>842033.26</v>
      </c>
      <c r="G111" s="174">
        <f t="shared" si="1"/>
        <v>842033.26</v>
      </c>
      <c r="H111" s="174" t="s">
        <v>80</v>
      </c>
    </row>
    <row r="112" spans="1:8">
      <c r="A112" s="174" t="s">
        <v>582</v>
      </c>
      <c r="B112" s="174">
        <v>0.06</v>
      </c>
      <c r="C112" s="174">
        <v>0.3</v>
      </c>
      <c r="D112" s="174">
        <v>0.36</v>
      </c>
      <c r="E112" s="174">
        <v>0</v>
      </c>
      <c r="G112" s="174">
        <f t="shared" si="1"/>
        <v>0</v>
      </c>
      <c r="H112" s="174" t="s">
        <v>80</v>
      </c>
    </row>
    <row r="113" spans="1:8">
      <c r="A113" s="174" t="s">
        <v>1377</v>
      </c>
      <c r="B113" s="174">
        <v>0</v>
      </c>
      <c r="C113" s="174">
        <v>0</v>
      </c>
      <c r="D113" s="174">
        <v>0</v>
      </c>
      <c r="E113" s="174">
        <v>0</v>
      </c>
      <c r="G113" s="174">
        <f t="shared" si="1"/>
        <v>0</v>
      </c>
      <c r="H113" s="174" t="s">
        <v>80</v>
      </c>
    </row>
    <row r="114" spans="1:8">
      <c r="A114" s="174" t="s">
        <v>436</v>
      </c>
      <c r="B114" s="174">
        <v>0.46</v>
      </c>
      <c r="C114" s="174">
        <v>0</v>
      </c>
      <c r="D114" s="174">
        <v>0.46</v>
      </c>
      <c r="E114" s="174">
        <v>0</v>
      </c>
      <c r="G114" s="174">
        <f t="shared" si="1"/>
        <v>0</v>
      </c>
      <c r="H114" s="174" t="s">
        <v>80</v>
      </c>
    </row>
    <row r="115" spans="1:8">
      <c r="A115" s="174" t="s">
        <v>1558</v>
      </c>
      <c r="B115" s="174">
        <v>0</v>
      </c>
      <c r="C115" s="174">
        <v>0</v>
      </c>
      <c r="D115" s="174">
        <v>116550</v>
      </c>
      <c r="E115" s="174">
        <v>-116550</v>
      </c>
      <c r="G115" s="174">
        <f t="shared" si="1"/>
        <v>-116550</v>
      </c>
      <c r="H115" s="174" t="s">
        <v>80</v>
      </c>
    </row>
    <row r="116" spans="1:8">
      <c r="A116" s="174" t="s">
        <v>583</v>
      </c>
      <c r="B116" s="174">
        <v>-913045</v>
      </c>
      <c r="C116" s="174">
        <v>913909.9</v>
      </c>
      <c r="D116" s="174">
        <v>865</v>
      </c>
      <c r="E116" s="174">
        <v>-0.1</v>
      </c>
      <c r="G116" s="174">
        <f t="shared" si="1"/>
        <v>-0.1</v>
      </c>
      <c r="H116" s="174" t="s">
        <v>80</v>
      </c>
    </row>
    <row r="117" spans="1:8">
      <c r="A117" s="174" t="s">
        <v>584</v>
      </c>
      <c r="B117" s="174">
        <v>-711.75</v>
      </c>
      <c r="C117" s="174">
        <v>711.75</v>
      </c>
      <c r="D117" s="174">
        <v>0</v>
      </c>
      <c r="E117" s="174">
        <v>0</v>
      </c>
      <c r="G117" s="174">
        <f t="shared" si="1"/>
        <v>0</v>
      </c>
      <c r="H117" s="174" t="s">
        <v>80</v>
      </c>
    </row>
    <row r="118" spans="1:8">
      <c r="A118" s="174" t="s">
        <v>1042</v>
      </c>
      <c r="B118" s="174">
        <v>1112150.8999999999</v>
      </c>
      <c r="C118" s="174">
        <v>0</v>
      </c>
      <c r="D118" s="174">
        <v>1112150.8999999999</v>
      </c>
      <c r="E118" s="174">
        <v>0</v>
      </c>
      <c r="G118" s="174">
        <f t="shared" si="1"/>
        <v>0</v>
      </c>
      <c r="H118" s="174" t="s">
        <v>80</v>
      </c>
    </row>
    <row r="119" spans="1:8">
      <c r="A119" s="174" t="s">
        <v>585</v>
      </c>
      <c r="B119" s="174">
        <v>-10480.76</v>
      </c>
      <c r="C119" s="174">
        <v>0</v>
      </c>
      <c r="D119" s="174">
        <v>0</v>
      </c>
      <c r="E119" s="174">
        <v>-10480.76</v>
      </c>
      <c r="G119" s="174">
        <f t="shared" si="1"/>
        <v>-10480.76</v>
      </c>
      <c r="H119" s="174" t="s">
        <v>80</v>
      </c>
    </row>
    <row r="120" spans="1:8">
      <c r="A120" s="174" t="s">
        <v>586</v>
      </c>
      <c r="B120" s="174">
        <v>0.04</v>
      </c>
      <c r="C120" s="174">
        <v>1398831</v>
      </c>
      <c r="D120" s="174">
        <v>1398831.49</v>
      </c>
      <c r="E120" s="174">
        <v>-0.45</v>
      </c>
      <c r="G120" s="174">
        <f t="shared" si="1"/>
        <v>-0.45</v>
      </c>
      <c r="H120" s="174" t="s">
        <v>80</v>
      </c>
    </row>
    <row r="121" spans="1:8">
      <c r="A121" s="174" t="s">
        <v>107</v>
      </c>
      <c r="B121" s="174">
        <v>1886778.93</v>
      </c>
      <c r="C121" s="174">
        <v>0</v>
      </c>
      <c r="D121" s="174">
        <v>0</v>
      </c>
      <c r="E121" s="174">
        <v>1886778.93</v>
      </c>
      <c r="G121" s="174">
        <f t="shared" si="1"/>
        <v>1886778.93</v>
      </c>
      <c r="H121" s="174" t="s">
        <v>80</v>
      </c>
    </row>
    <row r="122" spans="1:8">
      <c r="A122" s="174" t="s">
        <v>108</v>
      </c>
      <c r="B122" s="174">
        <v>42723370.759999998</v>
      </c>
      <c r="C122" s="174">
        <v>103880200.73999999</v>
      </c>
      <c r="D122" s="174">
        <v>148331676</v>
      </c>
      <c r="E122" s="174">
        <v>-1728104.5</v>
      </c>
      <c r="G122" s="174">
        <f t="shared" si="1"/>
        <v>-1728104.5</v>
      </c>
      <c r="H122" s="174" t="s">
        <v>80</v>
      </c>
    </row>
    <row r="123" spans="1:8">
      <c r="A123" s="174" t="s">
        <v>429</v>
      </c>
      <c r="B123" s="174">
        <v>-6977160</v>
      </c>
      <c r="C123" s="174">
        <v>4896708.2699999996</v>
      </c>
      <c r="D123" s="174">
        <v>0</v>
      </c>
      <c r="E123" s="174">
        <v>-2080451.73</v>
      </c>
      <c r="G123" s="174">
        <f t="shared" si="1"/>
        <v>-2080451.73</v>
      </c>
      <c r="H123" s="174" t="s">
        <v>80</v>
      </c>
    </row>
    <row r="124" spans="1:8">
      <c r="A124" s="174" t="s">
        <v>1070</v>
      </c>
      <c r="B124" s="174">
        <v>0</v>
      </c>
      <c r="C124" s="174">
        <v>0</v>
      </c>
      <c r="D124" s="174">
        <v>0</v>
      </c>
      <c r="E124" s="174">
        <v>0</v>
      </c>
      <c r="G124" s="174">
        <f t="shared" si="1"/>
        <v>0</v>
      </c>
      <c r="H124" s="174" t="s">
        <v>80</v>
      </c>
    </row>
    <row r="125" spans="1:8">
      <c r="A125" s="174" t="s">
        <v>1071</v>
      </c>
      <c r="B125" s="174">
        <v>19769297.699999999</v>
      </c>
      <c r="C125" s="174">
        <v>37666539.299999997</v>
      </c>
      <c r="D125" s="174">
        <v>9814008.6099999994</v>
      </c>
      <c r="E125" s="174">
        <v>47621828.390000001</v>
      </c>
      <c r="G125" s="174">
        <f t="shared" si="1"/>
        <v>47621828.390000001</v>
      </c>
      <c r="H125" s="174" t="s">
        <v>80</v>
      </c>
    </row>
    <row r="126" spans="1:8">
      <c r="A126" s="174" t="s">
        <v>376</v>
      </c>
      <c r="B126" s="174">
        <v>-0.4</v>
      </c>
      <c r="C126" s="174">
        <v>0.4</v>
      </c>
      <c r="D126" s="174">
        <v>0</v>
      </c>
      <c r="E126" s="174">
        <v>0</v>
      </c>
      <c r="G126" s="174">
        <f t="shared" si="1"/>
        <v>0</v>
      </c>
      <c r="H126" s="174" t="s">
        <v>80</v>
      </c>
    </row>
    <row r="127" spans="1:8">
      <c r="A127" s="174" t="s">
        <v>1072</v>
      </c>
      <c r="B127" s="174">
        <v>0</v>
      </c>
      <c r="C127" s="174">
        <v>0</v>
      </c>
      <c r="D127" s="174">
        <v>0</v>
      </c>
      <c r="E127" s="174">
        <v>0</v>
      </c>
      <c r="G127" s="174">
        <f t="shared" si="1"/>
        <v>0</v>
      </c>
      <c r="H127" s="174" t="s">
        <v>80</v>
      </c>
    </row>
    <row r="128" spans="1:8">
      <c r="A128" s="174" t="s">
        <v>587</v>
      </c>
      <c r="B128" s="174">
        <v>-1888</v>
      </c>
      <c r="C128" s="174">
        <v>0</v>
      </c>
      <c r="D128" s="174">
        <v>0</v>
      </c>
      <c r="E128" s="174">
        <v>-1888</v>
      </c>
      <c r="G128" s="174">
        <f t="shared" si="1"/>
        <v>-1888</v>
      </c>
      <c r="H128" s="174" t="s">
        <v>80</v>
      </c>
    </row>
    <row r="129" spans="1:8">
      <c r="A129" s="174" t="s">
        <v>1378</v>
      </c>
      <c r="B129" s="174">
        <v>0</v>
      </c>
      <c r="C129" s="174">
        <v>0</v>
      </c>
      <c r="D129" s="174">
        <v>0</v>
      </c>
      <c r="E129" s="174">
        <v>0</v>
      </c>
      <c r="G129" s="174">
        <f t="shared" si="1"/>
        <v>0</v>
      </c>
      <c r="H129" s="174" t="s">
        <v>80</v>
      </c>
    </row>
    <row r="130" spans="1:8">
      <c r="A130" s="174" t="s">
        <v>588</v>
      </c>
      <c r="B130" s="174">
        <v>595</v>
      </c>
      <c r="C130" s="174">
        <v>702100</v>
      </c>
      <c r="D130" s="174">
        <v>701505</v>
      </c>
      <c r="E130" s="174">
        <v>1190</v>
      </c>
      <c r="G130" s="174">
        <f t="shared" si="1"/>
        <v>1190</v>
      </c>
      <c r="H130" s="174" t="s">
        <v>80</v>
      </c>
    </row>
    <row r="131" spans="1:8">
      <c r="A131" s="174" t="s">
        <v>589</v>
      </c>
      <c r="B131" s="174">
        <v>1851351</v>
      </c>
      <c r="C131" s="174">
        <v>0</v>
      </c>
      <c r="D131" s="174">
        <v>1848150</v>
      </c>
      <c r="E131" s="174">
        <v>3201</v>
      </c>
      <c r="G131" s="174">
        <f t="shared" ref="G131:G194" si="2">E131+F131</f>
        <v>3201</v>
      </c>
      <c r="H131" s="174" t="s">
        <v>80</v>
      </c>
    </row>
    <row r="132" spans="1:8">
      <c r="A132" s="174" t="s">
        <v>113</v>
      </c>
      <c r="B132" s="174">
        <v>-0.71</v>
      </c>
      <c r="C132" s="174">
        <v>0.71</v>
      </c>
      <c r="D132" s="174">
        <v>0</v>
      </c>
      <c r="E132" s="174">
        <v>0</v>
      </c>
      <c r="G132" s="174">
        <f t="shared" si="2"/>
        <v>0</v>
      </c>
      <c r="H132" s="174" t="s">
        <v>80</v>
      </c>
    </row>
    <row r="133" spans="1:8">
      <c r="A133" s="174" t="s">
        <v>503</v>
      </c>
      <c r="B133" s="174">
        <v>1313148.6599999999</v>
      </c>
      <c r="C133" s="174">
        <v>1412948.52</v>
      </c>
      <c r="D133" s="174">
        <v>2726097</v>
      </c>
      <c r="E133" s="174">
        <v>0.18</v>
      </c>
      <c r="G133" s="174">
        <f t="shared" si="2"/>
        <v>0.18</v>
      </c>
      <c r="H133" s="174" t="s">
        <v>80</v>
      </c>
    </row>
    <row r="134" spans="1:8">
      <c r="A134" s="174" t="s">
        <v>447</v>
      </c>
      <c r="B134" s="174">
        <v>0.64</v>
      </c>
      <c r="C134" s="174">
        <v>0</v>
      </c>
      <c r="D134" s="174">
        <v>0.64</v>
      </c>
      <c r="E134" s="174">
        <v>0</v>
      </c>
      <c r="G134" s="174">
        <f t="shared" si="2"/>
        <v>0</v>
      </c>
      <c r="H134" s="174" t="s">
        <v>80</v>
      </c>
    </row>
    <row r="135" spans="1:8">
      <c r="A135" s="174" t="s">
        <v>1379</v>
      </c>
      <c r="B135" s="174">
        <v>0</v>
      </c>
      <c r="C135" s="174">
        <v>0</v>
      </c>
      <c r="D135" s="174">
        <v>0</v>
      </c>
      <c r="E135" s="174">
        <v>0</v>
      </c>
      <c r="G135" s="174">
        <f t="shared" si="2"/>
        <v>0</v>
      </c>
      <c r="H135" s="174" t="s">
        <v>80</v>
      </c>
    </row>
    <row r="136" spans="1:8">
      <c r="A136" s="174" t="s">
        <v>1088</v>
      </c>
      <c r="B136" s="174">
        <v>0</v>
      </c>
      <c r="C136" s="174">
        <v>0</v>
      </c>
      <c r="D136" s="174">
        <v>0</v>
      </c>
      <c r="E136" s="174">
        <v>0</v>
      </c>
      <c r="G136" s="174">
        <f t="shared" si="2"/>
        <v>0</v>
      </c>
      <c r="H136" s="174" t="s">
        <v>80</v>
      </c>
    </row>
    <row r="137" spans="1:8">
      <c r="A137" s="174" t="s">
        <v>590</v>
      </c>
      <c r="B137" s="174">
        <v>-2411133.14</v>
      </c>
      <c r="C137" s="174">
        <v>0</v>
      </c>
      <c r="D137" s="174">
        <v>0</v>
      </c>
      <c r="E137" s="174">
        <v>-2411133.14</v>
      </c>
      <c r="G137" s="174">
        <f t="shared" si="2"/>
        <v>-2411133.14</v>
      </c>
      <c r="H137" s="174" t="s">
        <v>80</v>
      </c>
    </row>
    <row r="138" spans="1:8">
      <c r="A138" s="174" t="s">
        <v>114</v>
      </c>
      <c r="B138" s="174">
        <v>59634946.859999999</v>
      </c>
      <c r="C138" s="174">
        <v>0</v>
      </c>
      <c r="D138" s="174">
        <v>0</v>
      </c>
      <c r="E138" s="174">
        <v>59634946.859999999</v>
      </c>
      <c r="G138" s="174">
        <f t="shared" si="2"/>
        <v>59634946.859999999</v>
      </c>
      <c r="H138" s="174" t="s">
        <v>80</v>
      </c>
    </row>
    <row r="139" spans="1:8">
      <c r="A139" s="174" t="s">
        <v>115</v>
      </c>
      <c r="B139" s="174">
        <v>-135139036.13</v>
      </c>
      <c r="C139" s="174">
        <v>0</v>
      </c>
      <c r="D139" s="174">
        <v>641232.61</v>
      </c>
      <c r="E139" s="174">
        <v>-135780268.74000001</v>
      </c>
      <c r="G139" s="174">
        <f t="shared" si="2"/>
        <v>-135780268.74000001</v>
      </c>
      <c r="H139" s="174" t="s">
        <v>80</v>
      </c>
    </row>
    <row r="140" spans="1:8">
      <c r="A140" s="174" t="s">
        <v>1074</v>
      </c>
      <c r="B140" s="174">
        <v>0</v>
      </c>
      <c r="C140" s="174">
        <v>0</v>
      </c>
      <c r="D140" s="174">
        <v>0</v>
      </c>
      <c r="E140" s="174">
        <v>0</v>
      </c>
      <c r="G140" s="174">
        <f t="shared" si="2"/>
        <v>0</v>
      </c>
      <c r="H140" s="174" t="s">
        <v>80</v>
      </c>
    </row>
    <row r="141" spans="1:8">
      <c r="A141" s="174" t="s">
        <v>1089</v>
      </c>
      <c r="B141" s="174">
        <v>0</v>
      </c>
      <c r="C141" s="174">
        <v>0</v>
      </c>
      <c r="D141" s="174">
        <v>0</v>
      </c>
      <c r="E141" s="174">
        <v>0</v>
      </c>
      <c r="G141" s="174">
        <f t="shared" si="2"/>
        <v>0</v>
      </c>
      <c r="H141" s="174" t="s">
        <v>80</v>
      </c>
    </row>
    <row r="142" spans="1:8">
      <c r="A142" s="174" t="s">
        <v>1381</v>
      </c>
      <c r="B142" s="174">
        <v>0</v>
      </c>
      <c r="C142" s="174">
        <v>0</v>
      </c>
      <c r="D142" s="174">
        <v>0</v>
      </c>
      <c r="E142" s="174">
        <v>0</v>
      </c>
      <c r="G142" s="174">
        <f t="shared" si="2"/>
        <v>0</v>
      </c>
      <c r="H142" s="174" t="s">
        <v>80</v>
      </c>
    </row>
    <row r="143" spans="1:8">
      <c r="A143" s="174" t="s">
        <v>591</v>
      </c>
      <c r="B143" s="174">
        <v>3323083</v>
      </c>
      <c r="C143" s="174">
        <v>0</v>
      </c>
      <c r="D143" s="174">
        <v>0</v>
      </c>
      <c r="E143" s="174">
        <v>3323083</v>
      </c>
      <c r="G143" s="174">
        <f t="shared" si="2"/>
        <v>3323083</v>
      </c>
      <c r="H143" s="174" t="s">
        <v>80</v>
      </c>
    </row>
    <row r="144" spans="1:8">
      <c r="A144" s="174" t="s">
        <v>1382</v>
      </c>
      <c r="B144" s="174">
        <v>0</v>
      </c>
      <c r="C144" s="174">
        <v>0</v>
      </c>
      <c r="D144" s="174">
        <v>0</v>
      </c>
      <c r="E144" s="174">
        <v>0</v>
      </c>
      <c r="G144" s="174">
        <f t="shared" si="2"/>
        <v>0</v>
      </c>
      <c r="H144" s="174" t="s">
        <v>80</v>
      </c>
    </row>
    <row r="145" spans="1:8">
      <c r="A145" s="174" t="s">
        <v>1383</v>
      </c>
      <c r="B145" s="174">
        <v>0</v>
      </c>
      <c r="C145" s="174">
        <v>0</v>
      </c>
      <c r="D145" s="174">
        <v>0</v>
      </c>
      <c r="E145" s="174">
        <v>0</v>
      </c>
      <c r="G145" s="174">
        <f t="shared" si="2"/>
        <v>0</v>
      </c>
      <c r="H145" s="174" t="s">
        <v>80</v>
      </c>
    </row>
    <row r="146" spans="1:8">
      <c r="A146" s="174" t="s">
        <v>1095</v>
      </c>
      <c r="B146" s="174">
        <v>0</v>
      </c>
      <c r="C146" s="174">
        <v>0</v>
      </c>
      <c r="D146" s="174">
        <v>0</v>
      </c>
      <c r="E146" s="174">
        <v>0</v>
      </c>
      <c r="G146" s="174">
        <f t="shared" si="2"/>
        <v>0</v>
      </c>
      <c r="H146" s="174" t="s">
        <v>80</v>
      </c>
    </row>
    <row r="147" spans="1:8">
      <c r="A147" s="174" t="s">
        <v>1384</v>
      </c>
      <c r="B147" s="174">
        <v>0</v>
      </c>
      <c r="C147" s="174">
        <v>0</v>
      </c>
      <c r="D147" s="174">
        <v>0</v>
      </c>
      <c r="E147" s="174">
        <v>0</v>
      </c>
      <c r="G147" s="174">
        <f t="shared" si="2"/>
        <v>0</v>
      </c>
      <c r="H147" s="174" t="s">
        <v>80</v>
      </c>
    </row>
    <row r="148" spans="1:8">
      <c r="A148" s="174" t="s">
        <v>116</v>
      </c>
      <c r="B148" s="174">
        <v>0.09</v>
      </c>
      <c r="C148" s="174">
        <v>183596.7</v>
      </c>
      <c r="D148" s="174">
        <v>183596.79</v>
      </c>
      <c r="E148" s="174">
        <v>0</v>
      </c>
      <c r="G148" s="174">
        <f t="shared" si="2"/>
        <v>0</v>
      </c>
      <c r="H148" s="174" t="s">
        <v>80</v>
      </c>
    </row>
    <row r="149" spans="1:8">
      <c r="A149" s="174" t="s">
        <v>504</v>
      </c>
      <c r="B149" s="174">
        <v>0</v>
      </c>
      <c r="C149" s="174">
        <v>47200</v>
      </c>
      <c r="D149" s="174">
        <v>47200</v>
      </c>
      <c r="E149" s="174">
        <v>0</v>
      </c>
      <c r="G149" s="174">
        <f t="shared" si="2"/>
        <v>0</v>
      </c>
      <c r="H149" s="174" t="s">
        <v>80</v>
      </c>
    </row>
    <row r="150" spans="1:8">
      <c r="A150" s="174" t="s">
        <v>117</v>
      </c>
      <c r="B150" s="174">
        <v>9045.1299999999992</v>
      </c>
      <c r="C150" s="174">
        <v>0</v>
      </c>
      <c r="D150" s="174">
        <v>9045.1299999999992</v>
      </c>
      <c r="E150" s="174">
        <v>0</v>
      </c>
      <c r="G150" s="174">
        <f t="shared" si="2"/>
        <v>0</v>
      </c>
      <c r="H150" s="174" t="s">
        <v>80</v>
      </c>
    </row>
    <row r="151" spans="1:8">
      <c r="A151" s="174" t="s">
        <v>1077</v>
      </c>
      <c r="B151" s="174">
        <v>0</v>
      </c>
      <c r="C151" s="174">
        <v>2582010</v>
      </c>
      <c r="D151" s="174">
        <v>1500000</v>
      </c>
      <c r="E151" s="174">
        <v>1082010</v>
      </c>
      <c r="G151" s="174">
        <f t="shared" si="2"/>
        <v>1082010</v>
      </c>
      <c r="H151" s="174" t="s">
        <v>80</v>
      </c>
    </row>
    <row r="152" spans="1:8">
      <c r="A152" s="174" t="s">
        <v>592</v>
      </c>
      <c r="B152" s="174">
        <v>2052.5</v>
      </c>
      <c r="C152" s="174">
        <v>0</v>
      </c>
      <c r="D152" s="174">
        <v>0</v>
      </c>
      <c r="E152" s="174">
        <v>2052.5</v>
      </c>
      <c r="G152" s="174">
        <f t="shared" si="2"/>
        <v>2052.5</v>
      </c>
      <c r="H152" s="174" t="s">
        <v>80</v>
      </c>
    </row>
    <row r="153" spans="1:8">
      <c r="A153" s="174" t="s">
        <v>1078</v>
      </c>
      <c r="B153" s="174">
        <v>0</v>
      </c>
      <c r="C153" s="174">
        <v>0</v>
      </c>
      <c r="D153" s="174">
        <v>3540000</v>
      </c>
      <c r="E153" s="174">
        <v>-3540000</v>
      </c>
      <c r="G153" s="174">
        <f t="shared" si="2"/>
        <v>-3540000</v>
      </c>
      <c r="H153" s="174" t="s">
        <v>80</v>
      </c>
    </row>
    <row r="154" spans="1:8">
      <c r="A154" s="174" t="s">
        <v>593</v>
      </c>
      <c r="B154" s="174">
        <v>1698.8</v>
      </c>
      <c r="C154" s="174">
        <v>0</v>
      </c>
      <c r="D154" s="174">
        <v>1698.8</v>
      </c>
      <c r="E154" s="174">
        <v>0</v>
      </c>
      <c r="G154" s="174">
        <f t="shared" si="2"/>
        <v>0</v>
      </c>
      <c r="H154" s="174" t="s">
        <v>80</v>
      </c>
    </row>
    <row r="155" spans="1:8">
      <c r="A155" s="174" t="s">
        <v>1386</v>
      </c>
      <c r="B155" s="174">
        <v>0</v>
      </c>
      <c r="C155" s="174">
        <v>0</v>
      </c>
      <c r="D155" s="174">
        <v>0</v>
      </c>
      <c r="E155" s="174">
        <v>0</v>
      </c>
      <c r="G155" s="174">
        <f t="shared" si="2"/>
        <v>0</v>
      </c>
      <c r="H155" s="174" t="s">
        <v>80</v>
      </c>
    </row>
    <row r="156" spans="1:8">
      <c r="A156" s="174" t="s">
        <v>1096</v>
      </c>
      <c r="B156" s="174">
        <v>0</v>
      </c>
      <c r="C156" s="174">
        <v>0</v>
      </c>
      <c r="D156" s="174">
        <v>0</v>
      </c>
      <c r="E156" s="174">
        <v>0</v>
      </c>
      <c r="G156" s="174">
        <f t="shared" si="2"/>
        <v>0</v>
      </c>
      <c r="H156" s="174" t="s">
        <v>80</v>
      </c>
    </row>
    <row r="157" spans="1:8">
      <c r="A157" s="174" t="s">
        <v>1097</v>
      </c>
      <c r="B157" s="174">
        <v>0</v>
      </c>
      <c r="C157" s="174">
        <v>0</v>
      </c>
      <c r="D157" s="174">
        <v>0</v>
      </c>
      <c r="E157" s="174">
        <v>0</v>
      </c>
      <c r="G157" s="174">
        <f t="shared" si="2"/>
        <v>0</v>
      </c>
      <c r="H157" s="174" t="s">
        <v>80</v>
      </c>
    </row>
    <row r="158" spans="1:8">
      <c r="A158" s="174" t="s">
        <v>594</v>
      </c>
      <c r="B158" s="174">
        <v>538.08000000000004</v>
      </c>
      <c r="C158" s="174">
        <v>0</v>
      </c>
      <c r="D158" s="174">
        <v>0</v>
      </c>
      <c r="E158" s="174">
        <v>538.08000000000004</v>
      </c>
      <c r="G158" s="174">
        <f t="shared" si="2"/>
        <v>538.08000000000004</v>
      </c>
      <c r="H158" s="174" t="s">
        <v>80</v>
      </c>
    </row>
    <row r="159" spans="1:8">
      <c r="A159" s="174" t="s">
        <v>1521</v>
      </c>
      <c r="B159" s="174">
        <v>0</v>
      </c>
      <c r="C159" s="174">
        <v>0</v>
      </c>
      <c r="D159" s="174">
        <v>0</v>
      </c>
      <c r="E159" s="174">
        <v>0</v>
      </c>
      <c r="G159" s="174">
        <f t="shared" si="2"/>
        <v>0</v>
      </c>
      <c r="H159" s="174" t="s">
        <v>80</v>
      </c>
    </row>
    <row r="160" spans="1:8">
      <c r="A160" s="174" t="s">
        <v>595</v>
      </c>
      <c r="B160" s="174">
        <v>54870</v>
      </c>
      <c r="C160" s="174">
        <v>0</v>
      </c>
      <c r="D160" s="174">
        <v>54870</v>
      </c>
      <c r="E160" s="174">
        <v>0</v>
      </c>
      <c r="G160" s="174">
        <f t="shared" si="2"/>
        <v>0</v>
      </c>
      <c r="H160" s="174" t="s">
        <v>80</v>
      </c>
    </row>
    <row r="161" spans="1:8">
      <c r="A161" s="174" t="s">
        <v>596</v>
      </c>
      <c r="B161" s="174">
        <v>0</v>
      </c>
      <c r="C161" s="174">
        <v>41713</v>
      </c>
      <c r="D161" s="174">
        <v>41713</v>
      </c>
      <c r="E161" s="174">
        <v>0</v>
      </c>
      <c r="G161" s="174">
        <f t="shared" si="2"/>
        <v>0</v>
      </c>
      <c r="H161" s="174" t="s">
        <v>80</v>
      </c>
    </row>
    <row r="162" spans="1:8">
      <c r="A162" s="174" t="s">
        <v>1082</v>
      </c>
      <c r="B162" s="174">
        <v>0</v>
      </c>
      <c r="C162" s="174">
        <v>168005.3</v>
      </c>
      <c r="D162" s="174">
        <v>0</v>
      </c>
      <c r="E162" s="174">
        <v>168005.3</v>
      </c>
      <c r="G162" s="174">
        <f t="shared" si="2"/>
        <v>168005.3</v>
      </c>
      <c r="H162" s="174" t="s">
        <v>80</v>
      </c>
    </row>
    <row r="163" spans="1:8">
      <c r="A163" s="174" t="s">
        <v>1430</v>
      </c>
      <c r="B163" s="174">
        <v>0</v>
      </c>
      <c r="C163" s="174">
        <v>3823200</v>
      </c>
      <c r="D163" s="174">
        <v>0</v>
      </c>
      <c r="E163" s="174">
        <v>3823200</v>
      </c>
      <c r="G163" s="174">
        <f t="shared" si="2"/>
        <v>3823200</v>
      </c>
      <c r="H163" s="174" t="s">
        <v>80</v>
      </c>
    </row>
    <row r="164" spans="1:8">
      <c r="A164" s="174" t="s">
        <v>1083</v>
      </c>
      <c r="B164" s="174">
        <v>0</v>
      </c>
      <c r="C164" s="174">
        <v>0</v>
      </c>
      <c r="D164" s="174">
        <v>0</v>
      </c>
      <c r="E164" s="174">
        <v>0</v>
      </c>
      <c r="G164" s="174">
        <f t="shared" si="2"/>
        <v>0</v>
      </c>
      <c r="H164" s="174" t="s">
        <v>80</v>
      </c>
    </row>
    <row r="165" spans="1:8">
      <c r="A165" s="174" t="s">
        <v>597</v>
      </c>
      <c r="B165" s="174">
        <v>419071.58</v>
      </c>
      <c r="C165" s="174">
        <v>0</v>
      </c>
      <c r="D165" s="174">
        <v>419071.58</v>
      </c>
      <c r="E165" s="174">
        <v>0</v>
      </c>
      <c r="G165" s="174">
        <f t="shared" si="2"/>
        <v>0</v>
      </c>
      <c r="H165" s="174" t="s">
        <v>80</v>
      </c>
    </row>
    <row r="166" spans="1:8">
      <c r="A166" s="174" t="s">
        <v>1098</v>
      </c>
      <c r="B166" s="174">
        <v>0</v>
      </c>
      <c r="C166" s="174">
        <v>0</v>
      </c>
      <c r="D166" s="174">
        <v>0</v>
      </c>
      <c r="E166" s="174">
        <v>0</v>
      </c>
      <c r="G166" s="174">
        <f t="shared" si="2"/>
        <v>0</v>
      </c>
      <c r="H166" s="174" t="s">
        <v>80</v>
      </c>
    </row>
    <row r="167" spans="1:8">
      <c r="A167" s="174" t="s">
        <v>598</v>
      </c>
      <c r="B167" s="174">
        <v>-0.2</v>
      </c>
      <c r="C167" s="174">
        <v>0.2</v>
      </c>
      <c r="D167" s="174">
        <v>0</v>
      </c>
      <c r="E167" s="174">
        <v>0</v>
      </c>
      <c r="G167" s="174">
        <f t="shared" si="2"/>
        <v>0</v>
      </c>
      <c r="H167" s="174" t="s">
        <v>80</v>
      </c>
    </row>
    <row r="168" spans="1:8">
      <c r="A168" s="174" t="s">
        <v>123</v>
      </c>
      <c r="B168" s="174">
        <v>901287.81</v>
      </c>
      <c r="C168" s="174">
        <v>384450</v>
      </c>
      <c r="D168" s="174">
        <v>0</v>
      </c>
      <c r="E168" s="174">
        <v>1285737.81</v>
      </c>
      <c r="G168" s="174">
        <f t="shared" si="2"/>
        <v>1285737.81</v>
      </c>
      <c r="H168" s="174" t="s">
        <v>80</v>
      </c>
    </row>
    <row r="169" spans="1:8">
      <c r="A169" s="174" t="s">
        <v>1387</v>
      </c>
      <c r="B169" s="174">
        <v>0</v>
      </c>
      <c r="C169" s="174">
        <v>0</v>
      </c>
      <c r="D169" s="174">
        <v>0</v>
      </c>
      <c r="E169" s="174">
        <v>0</v>
      </c>
      <c r="G169" s="174">
        <f t="shared" si="2"/>
        <v>0</v>
      </c>
      <c r="H169" s="174" t="s">
        <v>80</v>
      </c>
    </row>
    <row r="170" spans="1:8">
      <c r="A170" s="174" t="s">
        <v>1388</v>
      </c>
      <c r="B170" s="174">
        <v>0</v>
      </c>
      <c r="C170" s="174">
        <v>0</v>
      </c>
      <c r="D170" s="174">
        <v>0</v>
      </c>
      <c r="E170" s="174">
        <v>0</v>
      </c>
      <c r="G170" s="174">
        <f t="shared" si="2"/>
        <v>0</v>
      </c>
      <c r="H170" s="174" t="s">
        <v>80</v>
      </c>
    </row>
    <row r="171" spans="1:8">
      <c r="A171" s="174" t="s">
        <v>1389</v>
      </c>
      <c r="B171" s="174">
        <v>0</v>
      </c>
      <c r="C171" s="174">
        <v>0</v>
      </c>
      <c r="D171" s="174">
        <v>0</v>
      </c>
      <c r="E171" s="174">
        <v>0</v>
      </c>
      <c r="G171" s="174">
        <f t="shared" si="2"/>
        <v>0</v>
      </c>
      <c r="H171" s="174" t="s">
        <v>80</v>
      </c>
    </row>
    <row r="172" spans="1:8">
      <c r="A172" s="174" t="s">
        <v>599</v>
      </c>
      <c r="B172" s="174">
        <v>59633.75</v>
      </c>
      <c r="C172" s="174">
        <v>0</v>
      </c>
      <c r="D172" s="174">
        <v>0</v>
      </c>
      <c r="E172" s="174">
        <v>59633.75</v>
      </c>
      <c r="G172" s="174">
        <f t="shared" si="2"/>
        <v>59633.75</v>
      </c>
      <c r="H172" s="174" t="s">
        <v>80</v>
      </c>
    </row>
    <row r="173" spans="1:8">
      <c r="A173" s="174" t="s">
        <v>600</v>
      </c>
      <c r="B173" s="174">
        <v>675</v>
      </c>
      <c r="C173" s="174">
        <v>0</v>
      </c>
      <c r="D173" s="174">
        <v>0</v>
      </c>
      <c r="E173" s="174">
        <v>675</v>
      </c>
      <c r="G173" s="174">
        <f t="shared" si="2"/>
        <v>675</v>
      </c>
      <c r="H173" s="174" t="s">
        <v>80</v>
      </c>
    </row>
    <row r="174" spans="1:8">
      <c r="A174" s="174" t="s">
        <v>601</v>
      </c>
      <c r="B174" s="174">
        <v>4692.88</v>
      </c>
      <c r="C174" s="174">
        <v>0</v>
      </c>
      <c r="D174" s="174">
        <v>0</v>
      </c>
      <c r="E174" s="174">
        <v>4692.88</v>
      </c>
      <c r="G174" s="174">
        <f t="shared" si="2"/>
        <v>4692.88</v>
      </c>
      <c r="H174" s="174" t="s">
        <v>80</v>
      </c>
    </row>
    <row r="175" spans="1:8">
      <c r="A175" s="174" t="s">
        <v>415</v>
      </c>
      <c r="B175" s="174">
        <v>1789930</v>
      </c>
      <c r="C175" s="174">
        <v>0</v>
      </c>
      <c r="D175" s="174">
        <v>1789930</v>
      </c>
      <c r="E175" s="174">
        <v>0</v>
      </c>
      <c r="G175" s="174">
        <f t="shared" si="2"/>
        <v>0</v>
      </c>
      <c r="H175" s="174" t="s">
        <v>80</v>
      </c>
    </row>
    <row r="176" spans="1:8">
      <c r="A176" s="174" t="s">
        <v>1132</v>
      </c>
      <c r="B176" s="174">
        <v>0</v>
      </c>
      <c r="C176" s="174">
        <v>0</v>
      </c>
      <c r="D176" s="174">
        <v>0</v>
      </c>
      <c r="E176" s="174">
        <v>0</v>
      </c>
      <c r="G176" s="174">
        <f t="shared" si="2"/>
        <v>0</v>
      </c>
      <c r="H176" s="174" t="s">
        <v>80</v>
      </c>
    </row>
    <row r="177" spans="1:8">
      <c r="A177" s="174" t="s">
        <v>126</v>
      </c>
      <c r="B177" s="174">
        <v>-267736696.16</v>
      </c>
      <c r="C177" s="174">
        <v>437012461.61000001</v>
      </c>
      <c r="D177" s="174">
        <v>455922386.60000002</v>
      </c>
      <c r="E177" s="174">
        <v>-286646621.14999998</v>
      </c>
      <c r="G177" s="174">
        <f t="shared" si="2"/>
        <v>-286646621.14999998</v>
      </c>
      <c r="H177" s="174" t="s">
        <v>80</v>
      </c>
    </row>
    <row r="178" spans="1:8">
      <c r="A178" s="174" t="s">
        <v>602</v>
      </c>
      <c r="B178" s="174">
        <v>1168786097.95</v>
      </c>
      <c r="C178" s="174">
        <v>129115768.92</v>
      </c>
      <c r="D178" s="174">
        <v>7700</v>
      </c>
      <c r="E178" s="174">
        <v>1297894166.8699999</v>
      </c>
      <c r="G178" s="174">
        <f t="shared" si="2"/>
        <v>1297894166.8699999</v>
      </c>
      <c r="H178" s="174" t="s">
        <v>80</v>
      </c>
    </row>
    <row r="179" spans="1:8">
      <c r="A179" s="174" t="s">
        <v>127</v>
      </c>
      <c r="B179" s="174">
        <v>438946147.27999997</v>
      </c>
      <c r="C179" s="174">
        <v>0</v>
      </c>
      <c r="D179" s="174">
        <v>0</v>
      </c>
      <c r="E179" s="174">
        <v>438946147.27999997</v>
      </c>
      <c r="G179" s="174">
        <f t="shared" si="2"/>
        <v>438946147.27999997</v>
      </c>
      <c r="H179" s="174" t="s">
        <v>80</v>
      </c>
    </row>
    <row r="180" spans="1:8">
      <c r="A180" s="174" t="s">
        <v>128</v>
      </c>
      <c r="B180" s="174">
        <v>14316309.33</v>
      </c>
      <c r="C180" s="174">
        <v>71805872.799999997</v>
      </c>
      <c r="D180" s="174">
        <v>13500000</v>
      </c>
      <c r="E180" s="174">
        <v>72622182.129999995</v>
      </c>
      <c r="G180" s="174">
        <f t="shared" si="2"/>
        <v>72622182.129999995</v>
      </c>
      <c r="H180" s="174" t="s">
        <v>80</v>
      </c>
    </row>
    <row r="181" spans="1:8">
      <c r="A181" s="174" t="s">
        <v>1090</v>
      </c>
      <c r="B181" s="174">
        <v>0</v>
      </c>
      <c r="C181" s="174">
        <v>0</v>
      </c>
      <c r="D181" s="174">
        <v>0</v>
      </c>
      <c r="E181" s="174">
        <v>0</v>
      </c>
      <c r="G181" s="174">
        <f t="shared" si="2"/>
        <v>0</v>
      </c>
      <c r="H181" s="174" t="s">
        <v>80</v>
      </c>
    </row>
    <row r="182" spans="1:8">
      <c r="A182" s="174" t="s">
        <v>1091</v>
      </c>
      <c r="B182" s="174">
        <v>0</v>
      </c>
      <c r="C182" s="174">
        <v>0</v>
      </c>
      <c r="D182" s="174">
        <v>0</v>
      </c>
      <c r="E182" s="174">
        <v>0</v>
      </c>
      <c r="G182" s="174">
        <f t="shared" si="2"/>
        <v>0</v>
      </c>
      <c r="H182" s="174" t="s">
        <v>80</v>
      </c>
    </row>
    <row r="183" spans="1:8">
      <c r="A183" s="174" t="s">
        <v>1390</v>
      </c>
      <c r="B183" s="174">
        <v>0</v>
      </c>
      <c r="C183" s="174">
        <v>0</v>
      </c>
      <c r="D183" s="174">
        <v>0</v>
      </c>
      <c r="E183" s="174">
        <v>0</v>
      </c>
      <c r="G183" s="174">
        <f t="shared" si="2"/>
        <v>0</v>
      </c>
      <c r="H183" s="174" t="s">
        <v>80</v>
      </c>
    </row>
    <row r="184" spans="1:8">
      <c r="A184" s="174" t="s">
        <v>1431</v>
      </c>
      <c r="B184" s="174">
        <v>0</v>
      </c>
      <c r="C184" s="174">
        <v>138296</v>
      </c>
      <c r="D184" s="174">
        <v>138296</v>
      </c>
      <c r="E184" s="174">
        <v>0</v>
      </c>
      <c r="G184" s="174">
        <f t="shared" si="2"/>
        <v>0</v>
      </c>
      <c r="H184" s="174" t="s">
        <v>80</v>
      </c>
    </row>
    <row r="185" spans="1:8">
      <c r="A185" s="174" t="s">
        <v>1432</v>
      </c>
      <c r="B185" s="174">
        <v>0</v>
      </c>
      <c r="C185" s="174">
        <v>204912.9</v>
      </c>
      <c r="D185" s="174">
        <v>204913</v>
      </c>
      <c r="E185" s="174">
        <v>-0.1</v>
      </c>
      <c r="G185" s="174">
        <f t="shared" si="2"/>
        <v>-0.1</v>
      </c>
      <c r="H185" s="174" t="s">
        <v>80</v>
      </c>
    </row>
    <row r="186" spans="1:8">
      <c r="A186" s="174" t="s">
        <v>416</v>
      </c>
      <c r="B186" s="174">
        <v>-10432411.42</v>
      </c>
      <c r="C186" s="174">
        <v>9636358.9199999999</v>
      </c>
      <c r="D186" s="174">
        <v>0</v>
      </c>
      <c r="E186" s="174">
        <v>-796052.5</v>
      </c>
      <c r="G186" s="174">
        <f t="shared" si="2"/>
        <v>-796052.5</v>
      </c>
      <c r="H186" s="174" t="s">
        <v>80</v>
      </c>
    </row>
    <row r="187" spans="1:8">
      <c r="A187" s="174" t="s">
        <v>603</v>
      </c>
      <c r="B187" s="174">
        <v>3042335.14</v>
      </c>
      <c r="C187" s="174">
        <v>9095347.7599999998</v>
      </c>
      <c r="D187" s="174">
        <v>12917386.210000001</v>
      </c>
      <c r="E187" s="174">
        <v>-779703.31</v>
      </c>
      <c r="G187" s="174">
        <f t="shared" si="2"/>
        <v>-779703.31</v>
      </c>
      <c r="H187" s="174" t="s">
        <v>80</v>
      </c>
    </row>
    <row r="188" spans="1:8">
      <c r="A188" s="174" t="s">
        <v>1391</v>
      </c>
      <c r="B188" s="174">
        <v>0</v>
      </c>
      <c r="C188" s="174">
        <v>0</v>
      </c>
      <c r="D188" s="174">
        <v>0</v>
      </c>
      <c r="E188" s="174">
        <v>0</v>
      </c>
      <c r="G188" s="174">
        <f t="shared" si="2"/>
        <v>0</v>
      </c>
      <c r="H188" s="174" t="s">
        <v>80</v>
      </c>
    </row>
    <row r="189" spans="1:8">
      <c r="A189" s="174" t="s">
        <v>1392</v>
      </c>
      <c r="B189" s="174">
        <v>0</v>
      </c>
      <c r="C189" s="174">
        <v>0</v>
      </c>
      <c r="D189" s="174">
        <v>0</v>
      </c>
      <c r="E189" s="174">
        <v>0</v>
      </c>
      <c r="G189" s="174">
        <f t="shared" si="2"/>
        <v>0</v>
      </c>
      <c r="H189" s="174" t="s">
        <v>80</v>
      </c>
    </row>
    <row r="190" spans="1:8">
      <c r="A190" s="174" t="s">
        <v>604</v>
      </c>
      <c r="B190" s="174">
        <v>4085294.79</v>
      </c>
      <c r="C190" s="174">
        <v>8101970.0999999996</v>
      </c>
      <c r="D190" s="174">
        <v>8302199</v>
      </c>
      <c r="E190" s="174">
        <v>3885065.89</v>
      </c>
      <c r="G190" s="174">
        <f t="shared" si="2"/>
        <v>3885065.89</v>
      </c>
      <c r="H190" s="174" t="s">
        <v>80</v>
      </c>
    </row>
    <row r="191" spans="1:8">
      <c r="A191" s="174" t="s">
        <v>1093</v>
      </c>
      <c r="B191" s="174">
        <v>0</v>
      </c>
      <c r="C191" s="174">
        <v>0</v>
      </c>
      <c r="D191" s="174">
        <v>0</v>
      </c>
      <c r="E191" s="174">
        <v>0</v>
      </c>
      <c r="G191" s="174">
        <f t="shared" si="2"/>
        <v>0</v>
      </c>
      <c r="H191" s="174" t="s">
        <v>80</v>
      </c>
    </row>
    <row r="192" spans="1:8">
      <c r="A192" s="174" t="s">
        <v>1559</v>
      </c>
      <c r="B192" s="174">
        <v>0</v>
      </c>
      <c r="C192" s="174">
        <v>0</v>
      </c>
      <c r="D192" s="174">
        <v>500000</v>
      </c>
      <c r="E192" s="174">
        <v>-500000</v>
      </c>
      <c r="G192" s="174">
        <f t="shared" si="2"/>
        <v>-500000</v>
      </c>
      <c r="H192" s="174" t="s">
        <v>80</v>
      </c>
    </row>
    <row r="193" spans="1:8">
      <c r="A193" s="174" t="s">
        <v>1094</v>
      </c>
      <c r="B193" s="174">
        <v>0</v>
      </c>
      <c r="C193" s="174">
        <v>0</v>
      </c>
      <c r="D193" s="174">
        <v>0</v>
      </c>
      <c r="E193" s="174">
        <v>0</v>
      </c>
      <c r="G193" s="174">
        <f t="shared" si="2"/>
        <v>0</v>
      </c>
      <c r="H193" s="174" t="s">
        <v>80</v>
      </c>
    </row>
    <row r="194" spans="1:8">
      <c r="A194" s="174" t="s">
        <v>136</v>
      </c>
      <c r="B194" s="174">
        <v>0.93</v>
      </c>
      <c r="C194" s="174">
        <v>0</v>
      </c>
      <c r="D194" s="174">
        <v>0.93</v>
      </c>
      <c r="E194" s="174">
        <v>0</v>
      </c>
      <c r="G194" s="174">
        <f t="shared" si="2"/>
        <v>0</v>
      </c>
      <c r="H194" s="174" t="s">
        <v>80</v>
      </c>
    </row>
    <row r="195" spans="1:8">
      <c r="A195" s="174" t="s">
        <v>1121</v>
      </c>
      <c r="B195" s="174">
        <v>0</v>
      </c>
      <c r="C195" s="174">
        <v>1126292.3</v>
      </c>
      <c r="D195" s="174">
        <v>1126292</v>
      </c>
      <c r="E195" s="174">
        <v>0.3</v>
      </c>
      <c r="G195" s="174">
        <f t="shared" ref="G195:G258" si="3">E195+F195</f>
        <v>0.3</v>
      </c>
      <c r="H195" s="174" t="s">
        <v>80</v>
      </c>
    </row>
    <row r="196" spans="1:8">
      <c r="A196" s="174" t="s">
        <v>1560</v>
      </c>
      <c r="B196" s="174">
        <v>0</v>
      </c>
      <c r="C196" s="174">
        <v>49780.9</v>
      </c>
      <c r="D196" s="174">
        <v>49780</v>
      </c>
      <c r="E196" s="174">
        <v>0.9</v>
      </c>
      <c r="G196" s="174">
        <f t="shared" si="3"/>
        <v>0.9</v>
      </c>
      <c r="H196" s="174" t="s">
        <v>80</v>
      </c>
    </row>
    <row r="197" spans="1:8">
      <c r="A197" s="174" t="s">
        <v>1393</v>
      </c>
      <c r="B197" s="174">
        <v>0</v>
      </c>
      <c r="C197" s="174">
        <v>0</v>
      </c>
      <c r="D197" s="174">
        <v>0</v>
      </c>
      <c r="E197" s="174">
        <v>0</v>
      </c>
      <c r="G197" s="174">
        <f t="shared" si="3"/>
        <v>0</v>
      </c>
      <c r="H197" s="174" t="s">
        <v>80</v>
      </c>
    </row>
    <row r="198" spans="1:8">
      <c r="A198" s="174" t="s">
        <v>1122</v>
      </c>
      <c r="B198" s="174">
        <v>0</v>
      </c>
      <c r="C198" s="174">
        <v>0</v>
      </c>
      <c r="D198" s="174">
        <v>0</v>
      </c>
      <c r="E198" s="174">
        <v>0</v>
      </c>
      <c r="G198" s="174">
        <f t="shared" si="3"/>
        <v>0</v>
      </c>
      <c r="H198" s="174" t="s">
        <v>80</v>
      </c>
    </row>
    <row r="199" spans="1:8">
      <c r="A199" s="174" t="s">
        <v>1123</v>
      </c>
      <c r="B199" s="174">
        <v>0</v>
      </c>
      <c r="C199" s="174">
        <v>0</v>
      </c>
      <c r="D199" s="174">
        <v>0</v>
      </c>
      <c r="E199" s="174">
        <v>0</v>
      </c>
      <c r="G199" s="174">
        <f t="shared" si="3"/>
        <v>0</v>
      </c>
      <c r="H199" s="174" t="s">
        <v>80</v>
      </c>
    </row>
    <row r="200" spans="1:8">
      <c r="A200" s="174" t="s">
        <v>1124</v>
      </c>
      <c r="B200" s="174">
        <v>0</v>
      </c>
      <c r="C200" s="174">
        <v>0</v>
      </c>
      <c r="D200" s="174">
        <v>0</v>
      </c>
      <c r="E200" s="174">
        <v>0</v>
      </c>
      <c r="G200" s="174">
        <f t="shared" si="3"/>
        <v>0</v>
      </c>
      <c r="H200" s="174" t="s">
        <v>80</v>
      </c>
    </row>
    <row r="201" spans="1:8">
      <c r="A201" s="174" t="s">
        <v>1125</v>
      </c>
      <c r="B201" s="174">
        <v>0</v>
      </c>
      <c r="C201" s="174">
        <v>0</v>
      </c>
      <c r="D201" s="174">
        <v>0</v>
      </c>
      <c r="E201" s="174">
        <v>0</v>
      </c>
      <c r="G201" s="174">
        <f t="shared" si="3"/>
        <v>0</v>
      </c>
      <c r="H201" s="174" t="s">
        <v>80</v>
      </c>
    </row>
    <row r="202" spans="1:8">
      <c r="A202" s="174" t="s">
        <v>1394</v>
      </c>
      <c r="B202" s="174">
        <v>0</v>
      </c>
      <c r="C202" s="174">
        <v>0</v>
      </c>
      <c r="D202" s="174">
        <v>0</v>
      </c>
      <c r="E202" s="174">
        <v>0</v>
      </c>
      <c r="G202" s="174">
        <f t="shared" si="3"/>
        <v>0</v>
      </c>
      <c r="H202" s="174" t="s">
        <v>80</v>
      </c>
    </row>
    <row r="203" spans="1:8">
      <c r="A203" s="174" t="s">
        <v>605</v>
      </c>
      <c r="B203" s="174">
        <v>0</v>
      </c>
      <c r="C203" s="174">
        <v>795320</v>
      </c>
      <c r="D203" s="174">
        <v>795320</v>
      </c>
      <c r="E203" s="174">
        <v>0</v>
      </c>
      <c r="G203" s="174">
        <f t="shared" si="3"/>
        <v>0</v>
      </c>
      <c r="H203" s="174" t="s">
        <v>80</v>
      </c>
    </row>
    <row r="204" spans="1:8">
      <c r="A204" s="174" t="s">
        <v>1126</v>
      </c>
      <c r="B204" s="174">
        <v>0</v>
      </c>
      <c r="C204" s="174">
        <v>0</v>
      </c>
      <c r="D204" s="174">
        <v>0</v>
      </c>
      <c r="E204" s="174">
        <v>0</v>
      </c>
      <c r="G204" s="174">
        <f t="shared" si="3"/>
        <v>0</v>
      </c>
      <c r="H204" s="174" t="s">
        <v>80</v>
      </c>
    </row>
    <row r="205" spans="1:8">
      <c r="A205" s="174" t="s">
        <v>1395</v>
      </c>
      <c r="B205" s="174">
        <v>0</v>
      </c>
      <c r="C205" s="174">
        <v>0</v>
      </c>
      <c r="D205" s="174">
        <v>0</v>
      </c>
      <c r="E205" s="174">
        <v>0</v>
      </c>
      <c r="G205" s="174">
        <f t="shared" si="3"/>
        <v>0</v>
      </c>
      <c r="H205" s="174" t="s">
        <v>80</v>
      </c>
    </row>
    <row r="206" spans="1:8">
      <c r="A206" s="174" t="s">
        <v>1397</v>
      </c>
      <c r="B206" s="174">
        <v>0</v>
      </c>
      <c r="C206" s="174">
        <v>0</v>
      </c>
      <c r="D206" s="174">
        <v>0</v>
      </c>
      <c r="E206" s="174">
        <v>0</v>
      </c>
      <c r="G206" s="174">
        <f t="shared" si="3"/>
        <v>0</v>
      </c>
      <c r="H206" s="174" t="s">
        <v>80</v>
      </c>
    </row>
    <row r="207" spans="1:8">
      <c r="A207" s="174" t="s">
        <v>1398</v>
      </c>
      <c r="B207" s="174">
        <v>0</v>
      </c>
      <c r="C207" s="174">
        <v>0</v>
      </c>
      <c r="D207" s="174">
        <v>0</v>
      </c>
      <c r="E207" s="174">
        <v>0</v>
      </c>
      <c r="G207" s="174">
        <f t="shared" si="3"/>
        <v>0</v>
      </c>
      <c r="H207" s="174" t="s">
        <v>80</v>
      </c>
    </row>
    <row r="208" spans="1:8">
      <c r="A208" s="174" t="s">
        <v>1127</v>
      </c>
      <c r="B208" s="174">
        <v>0</v>
      </c>
      <c r="C208" s="174">
        <v>0</v>
      </c>
      <c r="D208" s="174">
        <v>0</v>
      </c>
      <c r="E208" s="174">
        <v>0</v>
      </c>
      <c r="G208" s="174">
        <f t="shared" si="3"/>
        <v>0</v>
      </c>
      <c r="H208" s="174" t="s">
        <v>80</v>
      </c>
    </row>
    <row r="209" spans="1:8">
      <c r="A209" s="174" t="s">
        <v>1128</v>
      </c>
      <c r="B209" s="174">
        <v>0</v>
      </c>
      <c r="C209" s="174">
        <v>0</v>
      </c>
      <c r="D209" s="174">
        <v>0</v>
      </c>
      <c r="E209" s="174">
        <v>0</v>
      </c>
      <c r="G209" s="174">
        <f t="shared" si="3"/>
        <v>0</v>
      </c>
      <c r="H209" s="174" t="s">
        <v>80</v>
      </c>
    </row>
    <row r="210" spans="1:8">
      <c r="A210" s="174" t="s">
        <v>1129</v>
      </c>
      <c r="B210" s="174">
        <v>0</v>
      </c>
      <c r="C210" s="174">
        <v>0</v>
      </c>
      <c r="D210" s="174">
        <v>0</v>
      </c>
      <c r="E210" s="174">
        <v>0</v>
      </c>
      <c r="G210" s="174">
        <f t="shared" si="3"/>
        <v>0</v>
      </c>
      <c r="H210" s="174" t="s">
        <v>80</v>
      </c>
    </row>
    <row r="211" spans="1:8">
      <c r="A211" s="174" t="s">
        <v>1399</v>
      </c>
      <c r="B211" s="174">
        <v>0</v>
      </c>
      <c r="C211" s="174">
        <v>0</v>
      </c>
      <c r="D211" s="174">
        <v>0</v>
      </c>
      <c r="E211" s="174">
        <v>0</v>
      </c>
      <c r="G211" s="174">
        <f t="shared" si="3"/>
        <v>0</v>
      </c>
      <c r="H211" s="174" t="s">
        <v>80</v>
      </c>
    </row>
    <row r="212" spans="1:8">
      <c r="A212" s="174" t="s">
        <v>1100</v>
      </c>
      <c r="B212" s="174">
        <v>0</v>
      </c>
      <c r="C212" s="174">
        <v>0</v>
      </c>
      <c r="D212" s="174">
        <v>0</v>
      </c>
      <c r="E212" s="174">
        <v>0</v>
      </c>
      <c r="G212" s="174">
        <f t="shared" si="3"/>
        <v>0</v>
      </c>
      <c r="H212" s="174" t="s">
        <v>80</v>
      </c>
    </row>
    <row r="213" spans="1:8">
      <c r="A213" s="174" t="s">
        <v>606</v>
      </c>
      <c r="B213" s="174">
        <v>-1037.4000000000001</v>
      </c>
      <c r="C213" s="174">
        <v>0</v>
      </c>
      <c r="D213" s="174">
        <v>0</v>
      </c>
      <c r="E213" s="174">
        <v>-1037.4000000000001</v>
      </c>
      <c r="G213" s="174">
        <f t="shared" si="3"/>
        <v>-1037.4000000000001</v>
      </c>
      <c r="H213" s="174" t="s">
        <v>80</v>
      </c>
    </row>
    <row r="214" spans="1:8">
      <c r="A214" s="174" t="s">
        <v>383</v>
      </c>
      <c r="B214" s="174">
        <v>325669.58</v>
      </c>
      <c r="C214" s="174">
        <v>0</v>
      </c>
      <c r="D214" s="174">
        <v>325669.58</v>
      </c>
      <c r="E214" s="174">
        <v>0</v>
      </c>
      <c r="G214" s="174">
        <f t="shared" si="3"/>
        <v>0</v>
      </c>
      <c r="H214" s="174" t="s">
        <v>80</v>
      </c>
    </row>
    <row r="215" spans="1:8">
      <c r="A215" s="174" t="s">
        <v>1101</v>
      </c>
      <c r="B215" s="174">
        <v>0</v>
      </c>
      <c r="C215" s="174">
        <v>0</v>
      </c>
      <c r="D215" s="174">
        <v>0</v>
      </c>
      <c r="E215" s="174">
        <v>0</v>
      </c>
      <c r="G215" s="174">
        <f t="shared" si="3"/>
        <v>0</v>
      </c>
      <c r="H215" s="174" t="s">
        <v>80</v>
      </c>
    </row>
    <row r="216" spans="1:8">
      <c r="A216" s="174" t="s">
        <v>607</v>
      </c>
      <c r="B216" s="174">
        <v>0.06</v>
      </c>
      <c r="C216" s="174">
        <v>0</v>
      </c>
      <c r="D216" s="174">
        <v>0.06</v>
      </c>
      <c r="E216" s="174">
        <v>0</v>
      </c>
      <c r="G216" s="174">
        <f t="shared" si="3"/>
        <v>0</v>
      </c>
      <c r="H216" s="174" t="s">
        <v>80</v>
      </c>
    </row>
    <row r="217" spans="1:8">
      <c r="A217" s="174" t="s">
        <v>1400</v>
      </c>
      <c r="B217" s="174">
        <v>0</v>
      </c>
      <c r="C217" s="174">
        <v>0</v>
      </c>
      <c r="D217" s="174">
        <v>0</v>
      </c>
      <c r="E217" s="174">
        <v>0</v>
      </c>
      <c r="G217" s="174">
        <f t="shared" si="3"/>
        <v>0</v>
      </c>
      <c r="H217" s="174" t="s">
        <v>80</v>
      </c>
    </row>
    <row r="218" spans="1:8">
      <c r="A218" s="174" t="s">
        <v>526</v>
      </c>
      <c r="B218" s="174">
        <v>-70355</v>
      </c>
      <c r="C218" s="174">
        <v>0</v>
      </c>
      <c r="D218" s="174">
        <v>0</v>
      </c>
      <c r="E218" s="174">
        <v>-70355</v>
      </c>
      <c r="G218" s="174">
        <f t="shared" si="3"/>
        <v>-70355</v>
      </c>
      <c r="H218" s="174" t="s">
        <v>80</v>
      </c>
    </row>
    <row r="219" spans="1:8">
      <c r="A219" s="174" t="s">
        <v>505</v>
      </c>
      <c r="B219" s="174">
        <v>1363.56</v>
      </c>
      <c r="C219" s="174">
        <v>1055854.26</v>
      </c>
      <c r="D219" s="174">
        <v>474406</v>
      </c>
      <c r="E219" s="174">
        <v>582811.81999999995</v>
      </c>
      <c r="G219" s="174">
        <f t="shared" si="3"/>
        <v>582811.81999999995</v>
      </c>
      <c r="H219" s="174" t="s">
        <v>80</v>
      </c>
    </row>
    <row r="220" spans="1:8">
      <c r="A220" s="174" t="s">
        <v>1131</v>
      </c>
      <c r="B220" s="174">
        <v>0</v>
      </c>
      <c r="C220" s="174">
        <v>0</v>
      </c>
      <c r="D220" s="174">
        <v>0</v>
      </c>
      <c r="E220" s="174">
        <v>0</v>
      </c>
      <c r="G220" s="174">
        <f t="shared" si="3"/>
        <v>0</v>
      </c>
      <c r="H220" s="174" t="s">
        <v>80</v>
      </c>
    </row>
    <row r="221" spans="1:8">
      <c r="A221" s="174" t="s">
        <v>1433</v>
      </c>
      <c r="B221" s="174">
        <v>0</v>
      </c>
      <c r="C221" s="174">
        <v>35985.599999999999</v>
      </c>
      <c r="D221" s="174">
        <v>35985</v>
      </c>
      <c r="E221" s="174">
        <v>0.6</v>
      </c>
      <c r="G221" s="174">
        <f t="shared" si="3"/>
        <v>0.6</v>
      </c>
      <c r="H221" s="174" t="s">
        <v>80</v>
      </c>
    </row>
    <row r="222" spans="1:8">
      <c r="A222" s="174" t="s">
        <v>1104</v>
      </c>
      <c r="B222" s="174">
        <v>0</v>
      </c>
      <c r="C222" s="174">
        <v>0</v>
      </c>
      <c r="D222" s="174">
        <v>0</v>
      </c>
      <c r="E222" s="174">
        <v>0</v>
      </c>
      <c r="G222" s="174">
        <f t="shared" si="3"/>
        <v>0</v>
      </c>
      <c r="H222" s="174" t="s">
        <v>80</v>
      </c>
    </row>
    <row r="223" spans="1:8">
      <c r="A223" s="174" t="s">
        <v>1105</v>
      </c>
      <c r="B223" s="174">
        <v>0</v>
      </c>
      <c r="C223" s="174">
        <v>0</v>
      </c>
      <c r="D223" s="174">
        <v>0</v>
      </c>
      <c r="E223" s="174">
        <v>0</v>
      </c>
      <c r="G223" s="174">
        <f t="shared" si="3"/>
        <v>0</v>
      </c>
      <c r="H223" s="174" t="s">
        <v>80</v>
      </c>
    </row>
    <row r="224" spans="1:8">
      <c r="A224" s="174" t="s">
        <v>608</v>
      </c>
      <c r="B224" s="174">
        <v>1180148.46</v>
      </c>
      <c r="C224" s="174">
        <v>28707459.449999999</v>
      </c>
      <c r="D224" s="174">
        <v>20135538.59</v>
      </c>
      <c r="E224" s="174">
        <v>9752069.3200000003</v>
      </c>
      <c r="G224" s="174">
        <f t="shared" si="3"/>
        <v>9752069.3200000003</v>
      </c>
      <c r="H224" s="174" t="s">
        <v>80</v>
      </c>
    </row>
    <row r="225" spans="1:8">
      <c r="A225" s="174" t="s">
        <v>609</v>
      </c>
      <c r="B225" s="174">
        <v>0</v>
      </c>
      <c r="C225" s="174">
        <v>0</v>
      </c>
      <c r="D225" s="174">
        <v>0</v>
      </c>
      <c r="E225" s="174">
        <v>0</v>
      </c>
      <c r="G225" s="174">
        <f t="shared" si="3"/>
        <v>0</v>
      </c>
      <c r="H225" s="174" t="s">
        <v>80</v>
      </c>
    </row>
    <row r="226" spans="1:8">
      <c r="A226" s="174" t="s">
        <v>610</v>
      </c>
      <c r="B226" s="174">
        <v>0.01</v>
      </c>
      <c r="C226" s="174">
        <v>2297213.92</v>
      </c>
      <c r="D226" s="174">
        <v>2286937.7999999998</v>
      </c>
      <c r="E226" s="174">
        <v>10276.129999999999</v>
      </c>
      <c r="G226" s="174">
        <f t="shared" si="3"/>
        <v>10276.129999999999</v>
      </c>
      <c r="H226" s="174" t="s">
        <v>80</v>
      </c>
    </row>
    <row r="227" spans="1:8">
      <c r="A227" s="174" t="s">
        <v>611</v>
      </c>
      <c r="B227" s="174">
        <v>0.02</v>
      </c>
      <c r="C227" s="174">
        <v>10649170.130000001</v>
      </c>
      <c r="D227" s="174">
        <v>4796025.5599999996</v>
      </c>
      <c r="E227" s="174">
        <v>5853144.5899999999</v>
      </c>
      <c r="G227" s="174">
        <f t="shared" si="3"/>
        <v>5853144.5899999999</v>
      </c>
      <c r="H227" s="174" t="s">
        <v>80</v>
      </c>
    </row>
    <row r="228" spans="1:8">
      <c r="A228" s="174" t="s">
        <v>612</v>
      </c>
      <c r="B228" s="174">
        <v>1607471.88</v>
      </c>
      <c r="C228" s="174">
        <v>46.75</v>
      </c>
      <c r="D228" s="174">
        <v>1605902.88</v>
      </c>
      <c r="E228" s="174">
        <v>1615.75</v>
      </c>
      <c r="G228" s="174">
        <f t="shared" si="3"/>
        <v>1615.75</v>
      </c>
      <c r="H228" s="174" t="s">
        <v>80</v>
      </c>
    </row>
    <row r="229" spans="1:8">
      <c r="A229" s="174" t="s">
        <v>1106</v>
      </c>
      <c r="B229" s="174">
        <v>0</v>
      </c>
      <c r="C229" s="174">
        <v>0</v>
      </c>
      <c r="D229" s="174">
        <v>25173.97</v>
      </c>
      <c r="E229" s="174">
        <v>-25173.97</v>
      </c>
      <c r="G229" s="174">
        <f t="shared" si="3"/>
        <v>-25173.97</v>
      </c>
      <c r="H229" s="174" t="s">
        <v>80</v>
      </c>
    </row>
    <row r="230" spans="1:8">
      <c r="A230" s="174" t="s">
        <v>613</v>
      </c>
      <c r="B230" s="174">
        <v>38436340.109999999</v>
      </c>
      <c r="C230" s="174">
        <v>80137703.409999996</v>
      </c>
      <c r="D230" s="174">
        <v>79566144.569999993</v>
      </c>
      <c r="E230" s="174">
        <v>39007898.950000003</v>
      </c>
      <c r="G230" s="174">
        <f t="shared" si="3"/>
        <v>39007898.950000003</v>
      </c>
      <c r="H230" s="174" t="s">
        <v>80</v>
      </c>
    </row>
    <row r="231" spans="1:8">
      <c r="A231" s="174" t="s">
        <v>1107</v>
      </c>
      <c r="B231" s="174">
        <v>0</v>
      </c>
      <c r="C231" s="174">
        <v>340695.71</v>
      </c>
      <c r="D231" s="174">
        <v>0</v>
      </c>
      <c r="E231" s="174">
        <v>340695.71</v>
      </c>
      <c r="G231" s="174">
        <f t="shared" si="3"/>
        <v>340695.71</v>
      </c>
      <c r="H231" s="174" t="s">
        <v>80</v>
      </c>
    </row>
    <row r="232" spans="1:8">
      <c r="A232" s="174" t="s">
        <v>1108</v>
      </c>
      <c r="B232" s="174">
        <v>0</v>
      </c>
      <c r="C232" s="174">
        <v>0</v>
      </c>
      <c r="D232" s="174">
        <v>0</v>
      </c>
      <c r="E232" s="174">
        <v>0</v>
      </c>
      <c r="G232" s="174">
        <f t="shared" si="3"/>
        <v>0</v>
      </c>
      <c r="H232" s="174" t="s">
        <v>80</v>
      </c>
    </row>
    <row r="233" spans="1:8">
      <c r="A233" s="174" t="s">
        <v>86</v>
      </c>
      <c r="B233" s="174">
        <v>0.02</v>
      </c>
      <c r="C233" s="174">
        <v>0</v>
      </c>
      <c r="D233" s="174">
        <v>0.02</v>
      </c>
      <c r="E233" s="174">
        <v>0</v>
      </c>
      <c r="G233" s="174">
        <f t="shared" si="3"/>
        <v>0</v>
      </c>
      <c r="H233" s="174" t="s">
        <v>80</v>
      </c>
    </row>
    <row r="234" spans="1:8">
      <c r="A234" s="174" t="s">
        <v>1109</v>
      </c>
      <c r="B234" s="174">
        <v>0</v>
      </c>
      <c r="C234" s="174">
        <v>0</v>
      </c>
      <c r="D234" s="174">
        <v>0</v>
      </c>
      <c r="E234" s="174">
        <v>0</v>
      </c>
      <c r="G234" s="174">
        <f t="shared" si="3"/>
        <v>0</v>
      </c>
      <c r="H234" s="174" t="s">
        <v>80</v>
      </c>
    </row>
    <row r="235" spans="1:8">
      <c r="A235" s="174" t="s">
        <v>1110</v>
      </c>
      <c r="B235" s="174">
        <v>0</v>
      </c>
      <c r="C235" s="174">
        <v>0</v>
      </c>
      <c r="D235" s="174">
        <v>0</v>
      </c>
      <c r="E235" s="174">
        <v>0</v>
      </c>
      <c r="G235" s="174">
        <f t="shared" si="3"/>
        <v>0</v>
      </c>
      <c r="H235" s="174" t="s">
        <v>80</v>
      </c>
    </row>
    <row r="236" spans="1:8">
      <c r="A236" s="174" t="s">
        <v>1111</v>
      </c>
      <c r="B236" s="174">
        <v>0</v>
      </c>
      <c r="C236" s="174">
        <v>0</v>
      </c>
      <c r="D236" s="174">
        <v>0</v>
      </c>
      <c r="E236" s="174">
        <v>0</v>
      </c>
      <c r="G236" s="174">
        <f t="shared" si="3"/>
        <v>0</v>
      </c>
      <c r="H236" s="174" t="s">
        <v>80</v>
      </c>
    </row>
    <row r="237" spans="1:8">
      <c r="A237" s="174" t="s">
        <v>92</v>
      </c>
      <c r="B237" s="174">
        <v>23898338.870000001</v>
      </c>
      <c r="C237" s="174">
        <v>10486201.890000001</v>
      </c>
      <c r="D237" s="174">
        <v>30560608.43</v>
      </c>
      <c r="E237" s="174">
        <v>3823932.33</v>
      </c>
      <c r="G237" s="174">
        <f t="shared" si="3"/>
        <v>3823932.33</v>
      </c>
      <c r="H237" s="174" t="s">
        <v>80</v>
      </c>
    </row>
    <row r="238" spans="1:8">
      <c r="A238" s="174" t="s">
        <v>614</v>
      </c>
      <c r="B238" s="174">
        <v>9599129.1400000006</v>
      </c>
      <c r="C238" s="174">
        <v>8264027.2599999998</v>
      </c>
      <c r="D238" s="174">
        <v>9388302.8900000006</v>
      </c>
      <c r="E238" s="174">
        <v>8474853.5099999998</v>
      </c>
      <c r="G238" s="174">
        <f t="shared" si="3"/>
        <v>8474853.5099999998</v>
      </c>
      <c r="H238" s="174" t="s">
        <v>80</v>
      </c>
    </row>
    <row r="239" spans="1:8">
      <c r="A239" s="174" t="s">
        <v>1112</v>
      </c>
      <c r="B239" s="174">
        <v>0</v>
      </c>
      <c r="C239" s="174">
        <v>0</v>
      </c>
      <c r="D239" s="174">
        <v>0</v>
      </c>
      <c r="E239" s="174">
        <v>0</v>
      </c>
      <c r="G239" s="174">
        <f t="shared" si="3"/>
        <v>0</v>
      </c>
      <c r="H239" s="174" t="s">
        <v>80</v>
      </c>
    </row>
    <row r="240" spans="1:8">
      <c r="A240" s="174" t="s">
        <v>615</v>
      </c>
      <c r="B240" s="174">
        <v>3917952.01</v>
      </c>
      <c r="C240" s="174">
        <v>0</v>
      </c>
      <c r="D240" s="174">
        <v>3917952</v>
      </c>
      <c r="E240" s="174">
        <v>0.01</v>
      </c>
      <c r="G240" s="174">
        <f t="shared" si="3"/>
        <v>0.01</v>
      </c>
      <c r="H240" s="174" t="s">
        <v>80</v>
      </c>
    </row>
    <row r="241" spans="1:8">
      <c r="A241" s="174" t="s">
        <v>95</v>
      </c>
      <c r="B241" s="174">
        <v>22116.86</v>
      </c>
      <c r="C241" s="174">
        <v>0</v>
      </c>
      <c r="D241" s="174">
        <v>22116.86</v>
      </c>
      <c r="E241" s="174">
        <v>0</v>
      </c>
      <c r="G241" s="174">
        <f t="shared" si="3"/>
        <v>0</v>
      </c>
      <c r="H241" s="174" t="s">
        <v>80</v>
      </c>
    </row>
    <row r="242" spans="1:8">
      <c r="A242" s="174" t="s">
        <v>616</v>
      </c>
      <c r="B242" s="174">
        <v>25161872</v>
      </c>
      <c r="C242" s="174">
        <v>1491734</v>
      </c>
      <c r="D242" s="174">
        <v>25161872</v>
      </c>
      <c r="E242" s="174">
        <v>1491734</v>
      </c>
      <c r="G242" s="174">
        <f t="shared" si="3"/>
        <v>1491734</v>
      </c>
      <c r="H242" s="174" t="s">
        <v>80</v>
      </c>
    </row>
    <row r="243" spans="1:8">
      <c r="A243" s="174" t="s">
        <v>99</v>
      </c>
      <c r="B243" s="174">
        <v>6511336.79</v>
      </c>
      <c r="C243" s="174">
        <v>45133529</v>
      </c>
      <c r="D243" s="174">
        <v>46465790.670000002</v>
      </c>
      <c r="E243" s="174">
        <v>5179075.12</v>
      </c>
      <c r="G243" s="174">
        <f t="shared" si="3"/>
        <v>5179075.12</v>
      </c>
      <c r="H243" s="174" t="s">
        <v>80</v>
      </c>
    </row>
    <row r="244" spans="1:8">
      <c r="A244" s="174" t="s">
        <v>102</v>
      </c>
      <c r="B244" s="174">
        <v>44698801.439999998</v>
      </c>
      <c r="C244" s="174">
        <v>23139673.309999999</v>
      </c>
      <c r="D244" s="174">
        <v>26009488.34</v>
      </c>
      <c r="E244" s="174">
        <v>41828986.409999996</v>
      </c>
      <c r="G244" s="174">
        <f t="shared" si="3"/>
        <v>41828986.409999996</v>
      </c>
      <c r="H244" s="174" t="s">
        <v>80</v>
      </c>
    </row>
    <row r="245" spans="1:8">
      <c r="A245" s="174" t="s">
        <v>617</v>
      </c>
      <c r="B245" s="174">
        <v>3950256.13</v>
      </c>
      <c r="C245" s="174">
        <v>760.72</v>
      </c>
      <c r="D245" s="174">
        <v>3915870.09</v>
      </c>
      <c r="E245" s="174">
        <v>35146.76</v>
      </c>
      <c r="G245" s="174">
        <f t="shared" si="3"/>
        <v>35146.76</v>
      </c>
      <c r="H245" s="174" t="s">
        <v>80</v>
      </c>
    </row>
    <row r="246" spans="1:8">
      <c r="A246" s="174" t="s">
        <v>618</v>
      </c>
      <c r="B246" s="174">
        <v>13225854.939999999</v>
      </c>
      <c r="C246" s="174">
        <v>21678161.23</v>
      </c>
      <c r="D246" s="174">
        <v>14689184.869999999</v>
      </c>
      <c r="E246" s="174">
        <v>20214831.300000001</v>
      </c>
      <c r="G246" s="174">
        <f t="shared" si="3"/>
        <v>20214831.300000001</v>
      </c>
      <c r="H246" s="174" t="s">
        <v>80</v>
      </c>
    </row>
    <row r="247" spans="1:8">
      <c r="A247" s="174" t="s">
        <v>1113</v>
      </c>
      <c r="B247" s="174">
        <v>0</v>
      </c>
      <c r="C247" s="174">
        <v>0</v>
      </c>
      <c r="D247" s="174">
        <v>0</v>
      </c>
      <c r="E247" s="174">
        <v>0</v>
      </c>
      <c r="G247" s="174">
        <f t="shared" si="3"/>
        <v>0</v>
      </c>
      <c r="H247" s="174" t="s">
        <v>80</v>
      </c>
    </row>
    <row r="248" spans="1:8">
      <c r="A248" s="174" t="s">
        <v>1114</v>
      </c>
      <c r="B248" s="174">
        <v>0</v>
      </c>
      <c r="C248" s="174">
        <v>0</v>
      </c>
      <c r="D248" s="174">
        <v>0</v>
      </c>
      <c r="E248" s="174">
        <v>0</v>
      </c>
      <c r="G248" s="174">
        <f t="shared" si="3"/>
        <v>0</v>
      </c>
      <c r="H248" s="174" t="s">
        <v>80</v>
      </c>
    </row>
    <row r="249" spans="1:8">
      <c r="A249" s="174" t="s">
        <v>1115</v>
      </c>
      <c r="B249" s="174">
        <v>0</v>
      </c>
      <c r="C249" s="174">
        <v>0</v>
      </c>
      <c r="D249" s="174">
        <v>0</v>
      </c>
      <c r="E249" s="174">
        <v>0</v>
      </c>
      <c r="G249" s="174">
        <f t="shared" si="3"/>
        <v>0</v>
      </c>
      <c r="H249" s="174" t="s">
        <v>80</v>
      </c>
    </row>
    <row r="250" spans="1:8">
      <c r="A250" s="174" t="s">
        <v>1116</v>
      </c>
      <c r="B250" s="174">
        <v>0</v>
      </c>
      <c r="C250" s="174">
        <v>0</v>
      </c>
      <c r="D250" s="174">
        <v>0</v>
      </c>
      <c r="E250" s="174">
        <v>0</v>
      </c>
      <c r="G250" s="174">
        <f t="shared" si="3"/>
        <v>0</v>
      </c>
      <c r="H250" s="174" t="s">
        <v>80</v>
      </c>
    </row>
    <row r="251" spans="1:8">
      <c r="A251" s="174" t="s">
        <v>1117</v>
      </c>
      <c r="B251" s="174">
        <v>0</v>
      </c>
      <c r="C251" s="174">
        <v>0</v>
      </c>
      <c r="D251" s="174">
        <v>0</v>
      </c>
      <c r="E251" s="174">
        <v>0</v>
      </c>
      <c r="G251" s="174">
        <f t="shared" si="3"/>
        <v>0</v>
      </c>
      <c r="H251" s="174" t="s">
        <v>80</v>
      </c>
    </row>
    <row r="252" spans="1:8">
      <c r="A252" s="174" t="s">
        <v>1118</v>
      </c>
      <c r="B252" s="174">
        <v>0</v>
      </c>
      <c r="C252" s="174">
        <v>0</v>
      </c>
      <c r="D252" s="174">
        <v>0</v>
      </c>
      <c r="E252" s="174">
        <v>0</v>
      </c>
      <c r="G252" s="174">
        <f t="shared" si="3"/>
        <v>0</v>
      </c>
      <c r="H252" s="174" t="s">
        <v>80</v>
      </c>
    </row>
    <row r="253" spans="1:8">
      <c r="A253" s="174" t="s">
        <v>1119</v>
      </c>
      <c r="B253" s="174">
        <v>0</v>
      </c>
      <c r="C253" s="174">
        <v>0</v>
      </c>
      <c r="D253" s="174">
        <v>0</v>
      </c>
      <c r="E253" s="174">
        <v>0</v>
      </c>
      <c r="G253" s="174">
        <f t="shared" si="3"/>
        <v>0</v>
      </c>
      <c r="H253" s="174" t="s">
        <v>80</v>
      </c>
    </row>
    <row r="254" spans="1:8">
      <c r="A254" s="174" t="s">
        <v>619</v>
      </c>
      <c r="B254" s="174">
        <v>7765335.1699999999</v>
      </c>
      <c r="C254" s="174">
        <v>26888.23</v>
      </c>
      <c r="D254" s="174">
        <v>7443670.4000000004</v>
      </c>
      <c r="E254" s="174">
        <v>348553</v>
      </c>
      <c r="G254" s="174">
        <f t="shared" si="3"/>
        <v>348553</v>
      </c>
      <c r="H254" s="174" t="s">
        <v>80</v>
      </c>
    </row>
    <row r="255" spans="1:8">
      <c r="A255" s="174" t="s">
        <v>1133</v>
      </c>
      <c r="B255" s="174">
        <v>0</v>
      </c>
      <c r="C255" s="174">
        <v>12379472.43</v>
      </c>
      <c r="D255" s="174">
        <v>241213.14</v>
      </c>
      <c r="E255" s="174">
        <v>12138259.289999999</v>
      </c>
      <c r="G255" s="174">
        <f t="shared" si="3"/>
        <v>12138259.289999999</v>
      </c>
      <c r="H255" s="174" t="s">
        <v>80</v>
      </c>
    </row>
    <row r="256" spans="1:8">
      <c r="A256" s="174" t="s">
        <v>1134</v>
      </c>
      <c r="B256" s="174">
        <v>0</v>
      </c>
      <c r="C256" s="174">
        <v>0</v>
      </c>
      <c r="D256" s="174">
        <v>0</v>
      </c>
      <c r="E256" s="174">
        <v>0</v>
      </c>
      <c r="G256" s="174">
        <f t="shared" si="3"/>
        <v>0</v>
      </c>
      <c r="H256" s="174" t="s">
        <v>80</v>
      </c>
    </row>
    <row r="257" spans="1:8">
      <c r="A257" s="174" t="s">
        <v>620</v>
      </c>
      <c r="B257" s="174">
        <v>-21173.27</v>
      </c>
      <c r="C257" s="174">
        <v>30105.17</v>
      </c>
      <c r="D257" s="174">
        <v>8931.9</v>
      </c>
      <c r="E257" s="174">
        <v>0</v>
      </c>
      <c r="G257" s="174">
        <f t="shared" si="3"/>
        <v>0</v>
      </c>
      <c r="H257" s="174" t="s">
        <v>80</v>
      </c>
    </row>
    <row r="258" spans="1:8">
      <c r="A258" s="174" t="s">
        <v>121</v>
      </c>
      <c r="B258" s="174">
        <v>62465541.560000002</v>
      </c>
      <c r="C258" s="174">
        <v>18990749.030000001</v>
      </c>
      <c r="D258" s="174">
        <v>0</v>
      </c>
      <c r="E258" s="174">
        <v>81456290.590000004</v>
      </c>
      <c r="G258" s="174">
        <f t="shared" si="3"/>
        <v>81456290.590000004</v>
      </c>
      <c r="H258" s="174" t="s">
        <v>80</v>
      </c>
    </row>
    <row r="259" spans="1:8">
      <c r="A259" s="174" t="s">
        <v>122</v>
      </c>
      <c r="B259" s="174">
        <v>-114518759.02</v>
      </c>
      <c r="C259" s="174">
        <v>114547559.02</v>
      </c>
      <c r="D259" s="174">
        <v>0</v>
      </c>
      <c r="E259" s="174">
        <v>28800</v>
      </c>
      <c r="G259" s="174">
        <f t="shared" ref="G259:G322" si="4">E259+F259</f>
        <v>28800</v>
      </c>
      <c r="H259" s="174" t="s">
        <v>80</v>
      </c>
    </row>
    <row r="260" spans="1:8">
      <c r="A260" s="174" t="s">
        <v>124</v>
      </c>
      <c r="B260" s="174">
        <v>23835.5</v>
      </c>
      <c r="C260" s="174">
        <v>0</v>
      </c>
      <c r="D260" s="174">
        <v>23835.5</v>
      </c>
      <c r="E260" s="174">
        <v>0</v>
      </c>
      <c r="G260" s="174">
        <f t="shared" si="4"/>
        <v>0</v>
      </c>
      <c r="H260" s="174" t="s">
        <v>80</v>
      </c>
    </row>
    <row r="261" spans="1:8">
      <c r="A261" s="174" t="s">
        <v>130</v>
      </c>
      <c r="B261" s="174">
        <v>722637.02</v>
      </c>
      <c r="C261" s="174">
        <v>177290.83</v>
      </c>
      <c r="D261" s="174">
        <v>0</v>
      </c>
      <c r="E261" s="174">
        <v>899927.85</v>
      </c>
      <c r="G261" s="174">
        <f t="shared" si="4"/>
        <v>899927.85</v>
      </c>
      <c r="H261" s="174" t="s">
        <v>80</v>
      </c>
    </row>
    <row r="262" spans="1:8">
      <c r="A262" s="174" t="s">
        <v>1135</v>
      </c>
      <c r="B262" s="174">
        <v>0</v>
      </c>
      <c r="C262" s="174">
        <v>0</v>
      </c>
      <c r="D262" s="174">
        <v>0</v>
      </c>
      <c r="E262" s="174">
        <v>0</v>
      </c>
      <c r="G262" s="174">
        <f t="shared" si="4"/>
        <v>0</v>
      </c>
      <c r="H262" s="174" t="s">
        <v>80</v>
      </c>
    </row>
    <row r="263" spans="1:8">
      <c r="A263" s="174" t="s">
        <v>621</v>
      </c>
      <c r="B263" s="174">
        <v>12145757.09</v>
      </c>
      <c r="C263" s="174">
        <v>4181580.9</v>
      </c>
      <c r="D263" s="174">
        <v>16327337.99</v>
      </c>
      <c r="E263" s="174">
        <v>0</v>
      </c>
      <c r="G263" s="174">
        <f t="shared" si="4"/>
        <v>0</v>
      </c>
      <c r="H263" s="174" t="s">
        <v>80</v>
      </c>
    </row>
    <row r="264" spans="1:8">
      <c r="A264" s="174" t="s">
        <v>1137</v>
      </c>
      <c r="B264" s="174">
        <v>0</v>
      </c>
      <c r="C264" s="174">
        <v>9537120</v>
      </c>
      <c r="D264" s="174">
        <v>9537120</v>
      </c>
      <c r="E264" s="174">
        <v>0</v>
      </c>
      <c r="G264" s="174">
        <f t="shared" si="4"/>
        <v>0</v>
      </c>
      <c r="H264" s="174" t="s">
        <v>80</v>
      </c>
    </row>
    <row r="265" spans="1:8">
      <c r="A265" s="174" t="s">
        <v>477</v>
      </c>
      <c r="B265" s="174">
        <v>23454432.829999998</v>
      </c>
      <c r="C265" s="174">
        <v>30049481.559999999</v>
      </c>
      <c r="D265" s="174">
        <v>28834191.52</v>
      </c>
      <c r="E265" s="174">
        <v>24669722.870000001</v>
      </c>
      <c r="G265" s="174">
        <f t="shared" si="4"/>
        <v>24669722.870000001</v>
      </c>
      <c r="H265" s="174" t="s">
        <v>80</v>
      </c>
    </row>
    <row r="266" spans="1:8">
      <c r="A266" s="174" t="s">
        <v>132</v>
      </c>
      <c r="B266" s="174">
        <v>-85477.02</v>
      </c>
      <c r="C266" s="174">
        <v>0</v>
      </c>
      <c r="D266" s="174">
        <v>15819.87</v>
      </c>
      <c r="E266" s="174">
        <v>-101296.89</v>
      </c>
      <c r="G266" s="174">
        <f t="shared" si="4"/>
        <v>-101296.89</v>
      </c>
      <c r="H266" s="174" t="s">
        <v>80</v>
      </c>
    </row>
    <row r="267" spans="1:8">
      <c r="A267" s="174" t="s">
        <v>133</v>
      </c>
      <c r="B267" s="174">
        <v>7996440.0099999998</v>
      </c>
      <c r="C267" s="174">
        <v>41845101.009999998</v>
      </c>
      <c r="D267" s="174">
        <v>34263749.5</v>
      </c>
      <c r="E267" s="174">
        <v>15577791.52</v>
      </c>
      <c r="G267" s="174">
        <f t="shared" si="4"/>
        <v>15577791.52</v>
      </c>
      <c r="H267" s="174" t="s">
        <v>80</v>
      </c>
    </row>
    <row r="268" spans="1:8">
      <c r="A268" s="174" t="s">
        <v>1138</v>
      </c>
      <c r="B268" s="174">
        <v>0</v>
      </c>
      <c r="C268" s="174">
        <v>0</v>
      </c>
      <c r="D268" s="174">
        <v>0</v>
      </c>
      <c r="E268" s="174">
        <v>0</v>
      </c>
      <c r="G268" s="174">
        <f t="shared" si="4"/>
        <v>0</v>
      </c>
      <c r="H268" s="174" t="s">
        <v>80</v>
      </c>
    </row>
    <row r="269" spans="1:8">
      <c r="A269" s="174" t="s">
        <v>134</v>
      </c>
      <c r="B269" s="174">
        <v>26987540.149999999</v>
      </c>
      <c r="C269" s="174">
        <v>17544801.550000001</v>
      </c>
      <c r="D269" s="174">
        <v>39246044.350000001</v>
      </c>
      <c r="E269" s="174">
        <v>5286297.3499999996</v>
      </c>
      <c r="G269" s="174">
        <f t="shared" si="4"/>
        <v>5286297.3499999996</v>
      </c>
      <c r="H269" s="174" t="s">
        <v>80</v>
      </c>
    </row>
    <row r="270" spans="1:8">
      <c r="A270" s="174" t="s">
        <v>622</v>
      </c>
      <c r="B270" s="174">
        <v>17386919.91</v>
      </c>
      <c r="C270" s="174">
        <v>26635953.93</v>
      </c>
      <c r="D270" s="174">
        <v>34224166.409999996</v>
      </c>
      <c r="E270" s="174">
        <v>9798707.4299999997</v>
      </c>
      <c r="G270" s="174">
        <f t="shared" si="4"/>
        <v>9798707.4299999997</v>
      </c>
      <c r="H270" s="174" t="s">
        <v>80</v>
      </c>
    </row>
    <row r="271" spans="1:8">
      <c r="A271" s="174" t="s">
        <v>623</v>
      </c>
      <c r="B271" s="174">
        <v>325090.24</v>
      </c>
      <c r="C271" s="174">
        <v>9985503.7799999993</v>
      </c>
      <c r="D271" s="174">
        <v>2671609.19</v>
      </c>
      <c r="E271" s="174">
        <v>7638984.8300000001</v>
      </c>
      <c r="G271" s="174">
        <f t="shared" si="4"/>
        <v>7638984.8300000001</v>
      </c>
      <c r="H271" s="174" t="s">
        <v>80</v>
      </c>
    </row>
    <row r="272" spans="1:8">
      <c r="A272" s="174" t="s">
        <v>138</v>
      </c>
      <c r="B272" s="174">
        <v>0</v>
      </c>
      <c r="C272" s="174">
        <v>6905896.2300000004</v>
      </c>
      <c r="D272" s="174">
        <v>3161785.98</v>
      </c>
      <c r="E272" s="174">
        <v>3744110.25</v>
      </c>
      <c r="G272" s="174">
        <f t="shared" si="4"/>
        <v>3744110.25</v>
      </c>
      <c r="H272" s="174" t="s">
        <v>80</v>
      </c>
    </row>
    <row r="273" spans="1:8">
      <c r="A273" s="174" t="s">
        <v>624</v>
      </c>
      <c r="B273" s="174">
        <v>4603883.3099999996</v>
      </c>
      <c r="C273" s="174">
        <v>23555566.68</v>
      </c>
      <c r="D273" s="174">
        <v>16343952.91</v>
      </c>
      <c r="E273" s="174">
        <v>11815497.08</v>
      </c>
      <c r="G273" s="174">
        <f t="shared" si="4"/>
        <v>11815497.08</v>
      </c>
      <c r="H273" s="174" t="s">
        <v>80</v>
      </c>
    </row>
    <row r="274" spans="1:8">
      <c r="A274" s="174" t="s">
        <v>147</v>
      </c>
      <c r="B274" s="174">
        <v>7292708.7199999997</v>
      </c>
      <c r="C274" s="174">
        <v>0</v>
      </c>
      <c r="D274" s="174">
        <v>6303093.3899999997</v>
      </c>
      <c r="E274" s="174">
        <v>989615.33</v>
      </c>
      <c r="G274" s="174">
        <f t="shared" si="4"/>
        <v>989615.33</v>
      </c>
      <c r="H274" s="174" t="s">
        <v>80</v>
      </c>
    </row>
    <row r="275" spans="1:8">
      <c r="A275" s="174" t="s">
        <v>625</v>
      </c>
      <c r="B275" s="174">
        <v>5809384</v>
      </c>
      <c r="C275" s="174">
        <v>15266991.789999999</v>
      </c>
      <c r="D275" s="174">
        <v>5809384</v>
      </c>
      <c r="E275" s="174">
        <v>15266991.789999999</v>
      </c>
      <c r="G275" s="174">
        <f t="shared" si="4"/>
        <v>15266991.789999999</v>
      </c>
      <c r="H275" s="174" t="s">
        <v>80</v>
      </c>
    </row>
    <row r="276" spans="1:8">
      <c r="A276" s="174" t="s">
        <v>1139</v>
      </c>
      <c r="B276" s="174">
        <v>0</v>
      </c>
      <c r="C276" s="174">
        <v>0</v>
      </c>
      <c r="D276" s="174">
        <v>0</v>
      </c>
      <c r="E276" s="174">
        <v>0</v>
      </c>
      <c r="G276" s="174">
        <f t="shared" si="4"/>
        <v>0</v>
      </c>
      <c r="H276" s="174" t="s">
        <v>80</v>
      </c>
    </row>
    <row r="277" spans="1:8">
      <c r="A277" s="174" t="s">
        <v>626</v>
      </c>
      <c r="B277" s="174">
        <v>6794488.7999999998</v>
      </c>
      <c r="C277" s="174">
        <v>0</v>
      </c>
      <c r="D277" s="174">
        <v>6794488.7999999998</v>
      </c>
      <c r="E277" s="174">
        <v>0</v>
      </c>
      <c r="G277" s="174">
        <f t="shared" si="4"/>
        <v>0</v>
      </c>
      <c r="H277" s="174" t="s">
        <v>80</v>
      </c>
    </row>
    <row r="278" spans="1:8">
      <c r="A278" s="174" t="s">
        <v>1140</v>
      </c>
      <c r="B278" s="174">
        <v>0</v>
      </c>
      <c r="C278" s="174">
        <v>0</v>
      </c>
      <c r="D278" s="174">
        <v>0</v>
      </c>
      <c r="E278" s="174">
        <v>0</v>
      </c>
      <c r="G278" s="174">
        <f t="shared" si="4"/>
        <v>0</v>
      </c>
      <c r="H278" s="174" t="s">
        <v>80</v>
      </c>
    </row>
    <row r="279" spans="1:8">
      <c r="A279" s="174" t="s">
        <v>1141</v>
      </c>
      <c r="B279" s="174">
        <v>0</v>
      </c>
      <c r="C279" s="174">
        <v>0</v>
      </c>
      <c r="D279" s="174">
        <v>0</v>
      </c>
      <c r="E279" s="174">
        <v>0</v>
      </c>
      <c r="G279" s="174">
        <f t="shared" si="4"/>
        <v>0</v>
      </c>
      <c r="H279" s="174" t="s">
        <v>80</v>
      </c>
    </row>
    <row r="280" spans="1:8">
      <c r="A280" s="174" t="s">
        <v>1142</v>
      </c>
      <c r="B280" s="174">
        <v>0</v>
      </c>
      <c r="C280" s="174">
        <v>0</v>
      </c>
      <c r="D280" s="174">
        <v>0</v>
      </c>
      <c r="E280" s="174">
        <v>0</v>
      </c>
      <c r="G280" s="174">
        <f t="shared" si="4"/>
        <v>0</v>
      </c>
      <c r="H280" s="174" t="s">
        <v>80</v>
      </c>
    </row>
    <row r="281" spans="1:8">
      <c r="A281" s="174" t="s">
        <v>627</v>
      </c>
      <c r="B281" s="174">
        <v>4721686.2300000004</v>
      </c>
      <c r="C281" s="174">
        <v>0</v>
      </c>
      <c r="D281" s="174">
        <v>4721686.2</v>
      </c>
      <c r="E281" s="174">
        <v>0.03</v>
      </c>
      <c r="G281" s="174">
        <f t="shared" si="4"/>
        <v>0.03</v>
      </c>
      <c r="H281" s="174" t="s">
        <v>80</v>
      </c>
    </row>
    <row r="282" spans="1:8">
      <c r="A282" s="174" t="s">
        <v>151</v>
      </c>
      <c r="B282" s="174">
        <v>7201164.3600000003</v>
      </c>
      <c r="C282" s="174">
        <v>11144635.91</v>
      </c>
      <c r="D282" s="174">
        <v>14049542.73</v>
      </c>
      <c r="E282" s="174">
        <v>4296257.54</v>
      </c>
      <c r="G282" s="174">
        <f t="shared" si="4"/>
        <v>4296257.54</v>
      </c>
      <c r="H282" s="174" t="s">
        <v>80</v>
      </c>
    </row>
    <row r="283" spans="1:8">
      <c r="A283" s="174" t="s">
        <v>628</v>
      </c>
      <c r="B283" s="174">
        <v>2690844.76</v>
      </c>
      <c r="C283" s="174">
        <v>9357371.9499999993</v>
      </c>
      <c r="D283" s="174">
        <v>7424968.9500000002</v>
      </c>
      <c r="E283" s="174">
        <v>4623247.76</v>
      </c>
      <c r="G283" s="174">
        <f t="shared" si="4"/>
        <v>4623247.76</v>
      </c>
      <c r="H283" s="174" t="s">
        <v>80</v>
      </c>
    </row>
    <row r="284" spans="1:8">
      <c r="A284" s="174" t="s">
        <v>100</v>
      </c>
      <c r="B284" s="174">
        <v>0</v>
      </c>
      <c r="C284" s="174">
        <v>81035</v>
      </c>
      <c r="D284" s="174">
        <v>29360</v>
      </c>
      <c r="E284" s="174">
        <v>51675</v>
      </c>
      <c r="G284" s="174">
        <f t="shared" si="4"/>
        <v>51675</v>
      </c>
      <c r="H284" s="174" t="s">
        <v>80</v>
      </c>
    </row>
    <row r="285" spans="1:8">
      <c r="A285" s="174" t="s">
        <v>629</v>
      </c>
      <c r="B285" s="174">
        <v>566971</v>
      </c>
      <c r="C285" s="174">
        <v>0</v>
      </c>
      <c r="D285" s="174">
        <v>0</v>
      </c>
      <c r="E285" s="174">
        <v>566971</v>
      </c>
      <c r="G285" s="174">
        <f t="shared" si="4"/>
        <v>566971</v>
      </c>
      <c r="H285" s="174" t="s">
        <v>80</v>
      </c>
    </row>
    <row r="286" spans="1:8">
      <c r="A286" s="174" t="s">
        <v>104</v>
      </c>
      <c r="B286" s="174">
        <v>5785049.6100000003</v>
      </c>
      <c r="C286" s="174">
        <v>1102266.1200000001</v>
      </c>
      <c r="D286" s="174">
        <v>0</v>
      </c>
      <c r="E286" s="174">
        <v>6887315.7300000004</v>
      </c>
      <c r="G286" s="174">
        <f t="shared" si="4"/>
        <v>6887315.7300000004</v>
      </c>
      <c r="H286" s="174" t="s">
        <v>80</v>
      </c>
    </row>
    <row r="287" spans="1:8">
      <c r="A287" s="174" t="s">
        <v>630</v>
      </c>
      <c r="B287" s="174">
        <v>1828000</v>
      </c>
      <c r="C287" s="174">
        <v>0</v>
      </c>
      <c r="D287" s="174">
        <v>0</v>
      </c>
      <c r="E287" s="174">
        <v>1828000</v>
      </c>
      <c r="G287" s="174">
        <f t="shared" si="4"/>
        <v>1828000</v>
      </c>
      <c r="H287" s="174" t="s">
        <v>80</v>
      </c>
    </row>
    <row r="288" spans="1:8">
      <c r="A288" s="174" t="s">
        <v>631</v>
      </c>
      <c r="B288" s="174">
        <v>15854746</v>
      </c>
      <c r="C288" s="174">
        <v>0</v>
      </c>
      <c r="D288" s="174">
        <v>0</v>
      </c>
      <c r="E288" s="174">
        <v>15854746</v>
      </c>
      <c r="G288" s="174">
        <f t="shared" si="4"/>
        <v>15854746</v>
      </c>
      <c r="H288" s="174" t="s">
        <v>80</v>
      </c>
    </row>
    <row r="289" spans="1:8">
      <c r="A289" s="174" t="s">
        <v>632</v>
      </c>
      <c r="B289" s="174">
        <v>94670795.629999995</v>
      </c>
      <c r="C289" s="174">
        <v>0</v>
      </c>
      <c r="D289" s="174">
        <v>0</v>
      </c>
      <c r="E289" s="174">
        <v>94670795.629999995</v>
      </c>
      <c r="G289" s="174">
        <f t="shared" si="4"/>
        <v>94670795.629999995</v>
      </c>
      <c r="H289" s="174" t="s">
        <v>80</v>
      </c>
    </row>
    <row r="290" spans="1:8">
      <c r="A290" s="174" t="s">
        <v>633</v>
      </c>
      <c r="B290" s="174">
        <v>25694213</v>
      </c>
      <c r="C290" s="174">
        <v>0</v>
      </c>
      <c r="D290" s="174">
        <v>0</v>
      </c>
      <c r="E290" s="174">
        <v>25694213</v>
      </c>
      <c r="G290" s="174">
        <f t="shared" si="4"/>
        <v>25694213</v>
      </c>
      <c r="H290" s="174" t="s">
        <v>80</v>
      </c>
    </row>
    <row r="291" spans="1:8">
      <c r="A291" s="174" t="s">
        <v>634</v>
      </c>
      <c r="B291" s="174">
        <v>173049403.75</v>
      </c>
      <c r="C291" s="174">
        <v>0</v>
      </c>
      <c r="D291" s="174">
        <v>0</v>
      </c>
      <c r="E291" s="174">
        <v>173049403.75</v>
      </c>
      <c r="G291" s="174">
        <f t="shared" si="4"/>
        <v>173049403.75</v>
      </c>
      <c r="H291" s="174" t="s">
        <v>80</v>
      </c>
    </row>
    <row r="292" spans="1:8">
      <c r="A292" s="174" t="s">
        <v>635</v>
      </c>
      <c r="B292" s="174">
        <v>520299.16</v>
      </c>
      <c r="C292" s="174">
        <v>0</v>
      </c>
      <c r="D292" s="174">
        <v>0</v>
      </c>
      <c r="E292" s="174">
        <v>520299.16</v>
      </c>
      <c r="G292" s="174">
        <f t="shared" si="4"/>
        <v>520299.16</v>
      </c>
      <c r="H292" s="174" t="s">
        <v>80</v>
      </c>
    </row>
    <row r="293" spans="1:8">
      <c r="A293" s="174" t="s">
        <v>636</v>
      </c>
      <c r="B293" s="174">
        <v>23800</v>
      </c>
      <c r="C293" s="174">
        <v>0</v>
      </c>
      <c r="D293" s="174">
        <v>0</v>
      </c>
      <c r="E293" s="174">
        <v>23800</v>
      </c>
      <c r="G293" s="174">
        <f t="shared" si="4"/>
        <v>23800</v>
      </c>
      <c r="H293" s="174" t="s">
        <v>80</v>
      </c>
    </row>
    <row r="294" spans="1:8">
      <c r="A294" s="174" t="s">
        <v>98</v>
      </c>
      <c r="B294" s="174">
        <v>24500</v>
      </c>
      <c r="C294" s="174">
        <v>0</v>
      </c>
      <c r="D294" s="174">
        <v>0</v>
      </c>
      <c r="E294" s="174">
        <v>24500</v>
      </c>
      <c r="G294" s="174">
        <f t="shared" si="4"/>
        <v>24500</v>
      </c>
      <c r="H294" s="174" t="s">
        <v>80</v>
      </c>
    </row>
    <row r="295" spans="1:8">
      <c r="A295" s="174" t="s">
        <v>118</v>
      </c>
      <c r="B295" s="174">
        <v>177117.8</v>
      </c>
      <c r="C295" s="174">
        <v>0</v>
      </c>
      <c r="D295" s="174">
        <v>0</v>
      </c>
      <c r="E295" s="174">
        <v>177117.8</v>
      </c>
      <c r="G295" s="174">
        <f t="shared" si="4"/>
        <v>177117.8</v>
      </c>
      <c r="H295" s="174" t="s">
        <v>80</v>
      </c>
    </row>
    <row r="296" spans="1:8">
      <c r="A296" s="174" t="s">
        <v>120</v>
      </c>
      <c r="B296" s="174">
        <v>2213684.23</v>
      </c>
      <c r="C296" s="174">
        <v>1599914.32</v>
      </c>
      <c r="D296" s="174">
        <v>0</v>
      </c>
      <c r="E296" s="174">
        <v>3813598.55</v>
      </c>
      <c r="G296" s="174">
        <f t="shared" si="4"/>
        <v>3813598.55</v>
      </c>
      <c r="H296" s="174" t="s">
        <v>80</v>
      </c>
    </row>
    <row r="297" spans="1:8">
      <c r="A297" s="174" t="s">
        <v>131</v>
      </c>
      <c r="B297" s="174">
        <v>200000</v>
      </c>
      <c r="C297" s="174">
        <v>0</v>
      </c>
      <c r="D297" s="174">
        <v>0</v>
      </c>
      <c r="E297" s="174">
        <v>200000</v>
      </c>
      <c r="G297" s="174">
        <f t="shared" si="4"/>
        <v>200000</v>
      </c>
      <c r="H297" s="174" t="s">
        <v>80</v>
      </c>
    </row>
    <row r="298" spans="1:8">
      <c r="A298" s="174" t="s">
        <v>637</v>
      </c>
      <c r="B298" s="174">
        <v>112500</v>
      </c>
      <c r="C298" s="174">
        <v>0</v>
      </c>
      <c r="D298" s="174">
        <v>0</v>
      </c>
      <c r="E298" s="174">
        <v>112500</v>
      </c>
      <c r="G298" s="174">
        <f t="shared" si="4"/>
        <v>112500</v>
      </c>
      <c r="H298" s="174" t="s">
        <v>80</v>
      </c>
    </row>
    <row r="299" spans="1:8">
      <c r="A299" s="174" t="s">
        <v>82</v>
      </c>
      <c r="B299" s="174">
        <v>2749599.1</v>
      </c>
      <c r="C299" s="174">
        <v>123728.81</v>
      </c>
      <c r="D299" s="174">
        <v>0</v>
      </c>
      <c r="E299" s="174">
        <v>2873327.91</v>
      </c>
      <c r="G299" s="174">
        <f t="shared" si="4"/>
        <v>2873327.91</v>
      </c>
      <c r="H299" s="174" t="s">
        <v>80</v>
      </c>
    </row>
    <row r="300" spans="1:8">
      <c r="A300" s="174" t="s">
        <v>638</v>
      </c>
      <c r="B300" s="174">
        <v>4602992.92</v>
      </c>
      <c r="C300" s="174">
        <v>0</v>
      </c>
      <c r="D300" s="174">
        <v>0</v>
      </c>
      <c r="E300" s="174">
        <v>4602992.92</v>
      </c>
      <c r="G300" s="174">
        <f t="shared" si="4"/>
        <v>4602992.92</v>
      </c>
      <c r="H300" s="174" t="s">
        <v>80</v>
      </c>
    </row>
    <row r="301" spans="1:8">
      <c r="A301" s="174" t="s">
        <v>639</v>
      </c>
      <c r="B301" s="174">
        <v>598700</v>
      </c>
      <c r="C301" s="174">
        <v>0</v>
      </c>
      <c r="D301" s="174">
        <v>0</v>
      </c>
      <c r="E301" s="174">
        <v>598700</v>
      </c>
      <c r="G301" s="174">
        <f t="shared" si="4"/>
        <v>598700</v>
      </c>
      <c r="H301" s="174" t="s">
        <v>80</v>
      </c>
    </row>
    <row r="302" spans="1:8">
      <c r="A302" s="174" t="s">
        <v>640</v>
      </c>
      <c r="B302" s="174">
        <v>285980</v>
      </c>
      <c r="C302" s="174">
        <v>0</v>
      </c>
      <c r="D302" s="174">
        <v>0</v>
      </c>
      <c r="E302" s="174">
        <v>285980</v>
      </c>
      <c r="G302" s="174">
        <f t="shared" si="4"/>
        <v>285980</v>
      </c>
      <c r="H302" s="174" t="s">
        <v>80</v>
      </c>
    </row>
    <row r="303" spans="1:8">
      <c r="A303" s="174" t="s">
        <v>641</v>
      </c>
      <c r="B303" s="174">
        <v>3462000</v>
      </c>
      <c r="C303" s="174">
        <v>0</v>
      </c>
      <c r="D303" s="174">
        <v>0</v>
      </c>
      <c r="E303" s="174">
        <v>3462000</v>
      </c>
      <c r="G303" s="174">
        <f t="shared" si="4"/>
        <v>3462000</v>
      </c>
      <c r="H303" s="174" t="s">
        <v>80</v>
      </c>
    </row>
    <row r="304" spans="1:8">
      <c r="A304" s="174" t="s">
        <v>642</v>
      </c>
      <c r="B304" s="174">
        <v>1046000</v>
      </c>
      <c r="C304" s="174">
        <v>0</v>
      </c>
      <c r="D304" s="174">
        <v>0</v>
      </c>
      <c r="E304" s="174">
        <v>1046000</v>
      </c>
      <c r="G304" s="174">
        <f t="shared" si="4"/>
        <v>1046000</v>
      </c>
      <c r="H304" s="174" t="s">
        <v>80</v>
      </c>
    </row>
    <row r="305" spans="1:8">
      <c r="A305" s="174" t="s">
        <v>643</v>
      </c>
      <c r="B305" s="174">
        <v>519855</v>
      </c>
      <c r="C305" s="174">
        <v>0</v>
      </c>
      <c r="D305" s="174">
        <v>0</v>
      </c>
      <c r="E305" s="174">
        <v>519855</v>
      </c>
      <c r="G305" s="174">
        <f t="shared" si="4"/>
        <v>519855</v>
      </c>
      <c r="H305" s="174" t="s">
        <v>80</v>
      </c>
    </row>
    <row r="306" spans="1:8">
      <c r="A306" s="174" t="s">
        <v>644</v>
      </c>
      <c r="B306" s="174">
        <v>75085.7</v>
      </c>
      <c r="C306" s="174">
        <v>0</v>
      </c>
      <c r="D306" s="174">
        <v>0</v>
      </c>
      <c r="E306" s="174">
        <v>75085.7</v>
      </c>
      <c r="G306" s="174">
        <f t="shared" si="4"/>
        <v>75085.7</v>
      </c>
      <c r="H306" s="174" t="s">
        <v>80</v>
      </c>
    </row>
    <row r="307" spans="1:8">
      <c r="A307" s="174" t="s">
        <v>645</v>
      </c>
      <c r="B307" s="174">
        <v>89971.98</v>
      </c>
      <c r="C307" s="174">
        <v>0</v>
      </c>
      <c r="D307" s="174">
        <v>0</v>
      </c>
      <c r="E307" s="174">
        <v>89971.98</v>
      </c>
      <c r="G307" s="174">
        <f t="shared" si="4"/>
        <v>89971.98</v>
      </c>
      <c r="H307" s="174" t="s">
        <v>80</v>
      </c>
    </row>
    <row r="308" spans="1:8">
      <c r="A308" s="174" t="s">
        <v>646</v>
      </c>
      <c r="B308" s="174">
        <v>5570.4</v>
      </c>
      <c r="C308" s="174">
        <v>0</v>
      </c>
      <c r="D308" s="174">
        <v>0</v>
      </c>
      <c r="E308" s="174">
        <v>5570.4</v>
      </c>
      <c r="G308" s="174">
        <f t="shared" si="4"/>
        <v>5570.4</v>
      </c>
      <c r="H308" s="174" t="s">
        <v>80</v>
      </c>
    </row>
    <row r="309" spans="1:8">
      <c r="A309" s="174" t="s">
        <v>647</v>
      </c>
      <c r="B309" s="174">
        <v>12500</v>
      </c>
      <c r="C309" s="174">
        <v>0</v>
      </c>
      <c r="D309" s="174">
        <v>0</v>
      </c>
      <c r="E309" s="174">
        <v>12500</v>
      </c>
      <c r="G309" s="174">
        <f t="shared" si="4"/>
        <v>12500</v>
      </c>
      <c r="H309" s="174" t="s">
        <v>80</v>
      </c>
    </row>
    <row r="310" spans="1:8">
      <c r="A310" s="174" t="s">
        <v>648</v>
      </c>
      <c r="B310" s="174">
        <v>38680854.859999999</v>
      </c>
      <c r="C310" s="174">
        <v>466420.9</v>
      </c>
      <c r="D310" s="174">
        <v>0</v>
      </c>
      <c r="E310" s="174">
        <v>39147275.759999998</v>
      </c>
      <c r="G310" s="174">
        <f t="shared" si="4"/>
        <v>39147275.759999998</v>
      </c>
      <c r="H310" s="174" t="s">
        <v>80</v>
      </c>
    </row>
    <row r="311" spans="1:8">
      <c r="A311" s="174" t="s">
        <v>1143</v>
      </c>
      <c r="B311" s="174">
        <v>0</v>
      </c>
      <c r="C311" s="174">
        <v>0</v>
      </c>
      <c r="D311" s="174">
        <v>0</v>
      </c>
      <c r="E311" s="174">
        <v>0</v>
      </c>
      <c r="G311" s="174">
        <f t="shared" si="4"/>
        <v>0</v>
      </c>
      <c r="H311" s="174" t="s">
        <v>80</v>
      </c>
    </row>
    <row r="312" spans="1:8">
      <c r="A312" s="174" t="s">
        <v>101</v>
      </c>
      <c r="B312" s="174">
        <v>602491</v>
      </c>
      <c r="C312" s="174">
        <v>9334.5400000000009</v>
      </c>
      <c r="D312" s="174">
        <v>0</v>
      </c>
      <c r="E312" s="174">
        <v>611825.54</v>
      </c>
      <c r="G312" s="174">
        <f t="shared" si="4"/>
        <v>611825.54</v>
      </c>
      <c r="H312" s="174" t="s">
        <v>80</v>
      </c>
    </row>
    <row r="313" spans="1:8">
      <c r="A313" s="174" t="s">
        <v>649</v>
      </c>
      <c r="B313" s="174">
        <v>121985.1</v>
      </c>
      <c r="C313" s="174">
        <v>0</v>
      </c>
      <c r="D313" s="174">
        <v>0</v>
      </c>
      <c r="E313" s="174">
        <v>121985.1</v>
      </c>
      <c r="G313" s="174">
        <f t="shared" si="4"/>
        <v>121985.1</v>
      </c>
      <c r="H313" s="174" t="s">
        <v>80</v>
      </c>
    </row>
    <row r="314" spans="1:8">
      <c r="A314" s="174" t="s">
        <v>650</v>
      </c>
      <c r="B314" s="174">
        <v>84189.4</v>
      </c>
      <c r="C314" s="174">
        <v>0</v>
      </c>
      <c r="D314" s="174">
        <v>0</v>
      </c>
      <c r="E314" s="174">
        <v>84189.4</v>
      </c>
      <c r="G314" s="174">
        <f t="shared" si="4"/>
        <v>84189.4</v>
      </c>
      <c r="H314" s="174" t="s">
        <v>80</v>
      </c>
    </row>
    <row r="315" spans="1:8">
      <c r="A315" s="174" t="s">
        <v>651</v>
      </c>
      <c r="B315" s="174">
        <v>188650</v>
      </c>
      <c r="C315" s="174">
        <v>0</v>
      </c>
      <c r="D315" s="174">
        <v>0</v>
      </c>
      <c r="E315" s="174">
        <v>188650</v>
      </c>
      <c r="G315" s="174">
        <f t="shared" si="4"/>
        <v>188650</v>
      </c>
      <c r="H315" s="174" t="s">
        <v>80</v>
      </c>
    </row>
    <row r="316" spans="1:8">
      <c r="A316" s="174" t="s">
        <v>652</v>
      </c>
      <c r="B316" s="174">
        <v>315000</v>
      </c>
      <c r="C316" s="174">
        <v>0</v>
      </c>
      <c r="D316" s="174">
        <v>0</v>
      </c>
      <c r="E316" s="174">
        <v>315000</v>
      </c>
      <c r="G316" s="174">
        <f t="shared" si="4"/>
        <v>315000</v>
      </c>
      <c r="H316" s="174" t="s">
        <v>80</v>
      </c>
    </row>
    <row r="317" spans="1:8">
      <c r="A317" s="174" t="s">
        <v>653</v>
      </c>
      <c r="B317" s="174">
        <v>315000</v>
      </c>
      <c r="C317" s="174">
        <v>0</v>
      </c>
      <c r="D317" s="174">
        <v>0</v>
      </c>
      <c r="E317" s="174">
        <v>315000</v>
      </c>
      <c r="G317" s="174">
        <f t="shared" si="4"/>
        <v>315000</v>
      </c>
      <c r="H317" s="174" t="s">
        <v>80</v>
      </c>
    </row>
    <row r="318" spans="1:8">
      <c r="A318" s="174" t="s">
        <v>97</v>
      </c>
      <c r="B318" s="174">
        <v>10284000</v>
      </c>
      <c r="C318" s="174">
        <v>0</v>
      </c>
      <c r="D318" s="174">
        <v>0</v>
      </c>
      <c r="E318" s="174">
        <v>10284000</v>
      </c>
      <c r="G318" s="174">
        <f t="shared" si="4"/>
        <v>10284000</v>
      </c>
      <c r="H318" s="174" t="s">
        <v>80</v>
      </c>
    </row>
    <row r="319" spans="1:8">
      <c r="A319" s="174" t="s">
        <v>654</v>
      </c>
      <c r="B319" s="174">
        <v>355999.99</v>
      </c>
      <c r="C319" s="174">
        <v>0</v>
      </c>
      <c r="D319" s="174">
        <v>0</v>
      </c>
      <c r="E319" s="174">
        <v>355999.99</v>
      </c>
      <c r="G319" s="174">
        <f t="shared" si="4"/>
        <v>355999.99</v>
      </c>
      <c r="H319" s="174" t="s">
        <v>80</v>
      </c>
    </row>
    <row r="320" spans="1:8">
      <c r="A320" s="174" t="s">
        <v>110</v>
      </c>
      <c r="B320" s="174">
        <v>4900000</v>
      </c>
      <c r="C320" s="174">
        <v>0</v>
      </c>
      <c r="D320" s="174">
        <v>0</v>
      </c>
      <c r="E320" s="174">
        <v>4900000</v>
      </c>
      <c r="G320" s="174">
        <f t="shared" si="4"/>
        <v>4900000</v>
      </c>
      <c r="H320" s="174" t="s">
        <v>80</v>
      </c>
    </row>
    <row r="321" spans="1:8">
      <c r="A321" s="174" t="s">
        <v>655</v>
      </c>
      <c r="B321" s="174">
        <v>1920666.88</v>
      </c>
      <c r="C321" s="174">
        <v>0</v>
      </c>
      <c r="D321" s="174">
        <v>0</v>
      </c>
      <c r="E321" s="174">
        <v>1920666.88</v>
      </c>
      <c r="G321" s="174">
        <f t="shared" si="4"/>
        <v>1920666.88</v>
      </c>
      <c r="H321" s="174" t="s">
        <v>80</v>
      </c>
    </row>
    <row r="322" spans="1:8">
      <c r="A322" s="174" t="s">
        <v>656</v>
      </c>
      <c r="B322" s="174">
        <v>3838045.93</v>
      </c>
      <c r="C322" s="174">
        <v>0</v>
      </c>
      <c r="D322" s="174">
        <v>0</v>
      </c>
      <c r="E322" s="174">
        <v>3838045.93</v>
      </c>
      <c r="G322" s="174">
        <f t="shared" si="4"/>
        <v>3838045.93</v>
      </c>
      <c r="H322" s="174" t="s">
        <v>80</v>
      </c>
    </row>
    <row r="323" spans="1:8">
      <c r="A323" s="174" t="s">
        <v>657</v>
      </c>
      <c r="B323" s="174">
        <v>1655000</v>
      </c>
      <c r="C323" s="174">
        <v>0</v>
      </c>
      <c r="D323" s="174">
        <v>0</v>
      </c>
      <c r="E323" s="174">
        <v>1655000</v>
      </c>
      <c r="G323" s="174">
        <f t="shared" ref="G323:G386" si="5">E323+F323</f>
        <v>1655000</v>
      </c>
      <c r="H323" s="174" t="s">
        <v>80</v>
      </c>
    </row>
    <row r="324" spans="1:8">
      <c r="A324" s="174" t="s">
        <v>142</v>
      </c>
      <c r="B324" s="174">
        <v>722000</v>
      </c>
      <c r="C324" s="174">
        <v>0</v>
      </c>
      <c r="D324" s="174">
        <v>0</v>
      </c>
      <c r="E324" s="174">
        <v>722000</v>
      </c>
      <c r="G324" s="174">
        <f t="shared" si="5"/>
        <v>722000</v>
      </c>
      <c r="H324" s="174" t="s">
        <v>80</v>
      </c>
    </row>
    <row r="325" spans="1:8">
      <c r="A325" s="174" t="s">
        <v>658</v>
      </c>
      <c r="B325" s="174">
        <v>137000</v>
      </c>
      <c r="C325" s="174">
        <v>0</v>
      </c>
      <c r="D325" s="174">
        <v>0</v>
      </c>
      <c r="E325" s="174">
        <v>137000</v>
      </c>
      <c r="G325" s="174">
        <f t="shared" si="5"/>
        <v>137000</v>
      </c>
      <c r="H325" s="174" t="s">
        <v>80</v>
      </c>
    </row>
    <row r="326" spans="1:8">
      <c r="A326" s="174" t="s">
        <v>659</v>
      </c>
      <c r="B326" s="174">
        <v>37000</v>
      </c>
      <c r="C326" s="174">
        <v>0</v>
      </c>
      <c r="D326" s="174">
        <v>0</v>
      </c>
      <c r="E326" s="174">
        <v>37000</v>
      </c>
      <c r="G326" s="174">
        <f t="shared" si="5"/>
        <v>37000</v>
      </c>
      <c r="H326" s="174" t="s">
        <v>80</v>
      </c>
    </row>
    <row r="327" spans="1:8">
      <c r="A327" s="174" t="s">
        <v>660</v>
      </c>
      <c r="B327" s="174">
        <v>333354</v>
      </c>
      <c r="C327" s="174">
        <v>0</v>
      </c>
      <c r="D327" s="174">
        <v>0</v>
      </c>
      <c r="E327" s="174">
        <v>333354</v>
      </c>
      <c r="G327" s="174">
        <f t="shared" si="5"/>
        <v>333354</v>
      </c>
      <c r="H327" s="174" t="s">
        <v>80</v>
      </c>
    </row>
    <row r="328" spans="1:8">
      <c r="A328" s="174" t="s">
        <v>661</v>
      </c>
      <c r="B328" s="174">
        <v>55874.5</v>
      </c>
      <c r="C328" s="174">
        <v>0</v>
      </c>
      <c r="D328" s="174">
        <v>0</v>
      </c>
      <c r="E328" s="174">
        <v>55874.5</v>
      </c>
      <c r="G328" s="174">
        <f t="shared" si="5"/>
        <v>55874.5</v>
      </c>
      <c r="H328" s="174" t="s">
        <v>80</v>
      </c>
    </row>
    <row r="329" spans="1:8">
      <c r="A329" s="174" t="s">
        <v>662</v>
      </c>
      <c r="B329" s="174">
        <v>118000</v>
      </c>
      <c r="C329" s="174">
        <v>0</v>
      </c>
      <c r="D329" s="174">
        <v>0</v>
      </c>
      <c r="E329" s="174">
        <v>118000</v>
      </c>
      <c r="G329" s="174">
        <f t="shared" si="5"/>
        <v>118000</v>
      </c>
      <c r="H329" s="174" t="s">
        <v>80</v>
      </c>
    </row>
    <row r="330" spans="1:8">
      <c r="A330" s="174" t="s">
        <v>663</v>
      </c>
      <c r="B330" s="174">
        <v>1088169.3</v>
      </c>
      <c r="C330" s="174">
        <v>0</v>
      </c>
      <c r="D330" s="174">
        <v>0</v>
      </c>
      <c r="E330" s="174">
        <v>1088169.3</v>
      </c>
      <c r="G330" s="174">
        <f t="shared" si="5"/>
        <v>1088169.3</v>
      </c>
      <c r="H330" s="174" t="s">
        <v>80</v>
      </c>
    </row>
    <row r="331" spans="1:8">
      <c r="A331" s="174" t="s">
        <v>664</v>
      </c>
      <c r="B331" s="174">
        <v>7569717</v>
      </c>
      <c r="C331" s="174">
        <v>0</v>
      </c>
      <c r="D331" s="174">
        <v>0</v>
      </c>
      <c r="E331" s="174">
        <v>7569717</v>
      </c>
      <c r="G331" s="174">
        <f t="shared" si="5"/>
        <v>7569717</v>
      </c>
      <c r="H331" s="174" t="s">
        <v>80</v>
      </c>
    </row>
    <row r="332" spans="1:8">
      <c r="A332" s="174" t="s">
        <v>665</v>
      </c>
      <c r="B332" s="174">
        <v>1150000</v>
      </c>
      <c r="C332" s="174">
        <v>0</v>
      </c>
      <c r="D332" s="174">
        <v>0</v>
      </c>
      <c r="E332" s="174">
        <v>1150000</v>
      </c>
      <c r="G332" s="174">
        <f t="shared" si="5"/>
        <v>1150000</v>
      </c>
      <c r="H332" s="174" t="s">
        <v>80</v>
      </c>
    </row>
    <row r="333" spans="1:8">
      <c r="A333" s="174" t="s">
        <v>111</v>
      </c>
      <c r="B333" s="174">
        <v>262400</v>
      </c>
      <c r="C333" s="174">
        <v>0</v>
      </c>
      <c r="D333" s="174">
        <v>0</v>
      </c>
      <c r="E333" s="174">
        <v>262400</v>
      </c>
      <c r="G333" s="174">
        <f t="shared" si="5"/>
        <v>262400</v>
      </c>
      <c r="H333" s="174" t="s">
        <v>80</v>
      </c>
    </row>
    <row r="334" spans="1:8">
      <c r="A334" s="174" t="s">
        <v>666</v>
      </c>
      <c r="B334" s="174">
        <v>690000</v>
      </c>
      <c r="C334" s="174">
        <v>0</v>
      </c>
      <c r="D334" s="174">
        <v>0</v>
      </c>
      <c r="E334" s="174">
        <v>690000</v>
      </c>
      <c r="G334" s="174">
        <f t="shared" si="5"/>
        <v>690000</v>
      </c>
      <c r="H334" s="174" t="s">
        <v>80</v>
      </c>
    </row>
    <row r="335" spans="1:8">
      <c r="A335" s="174" t="s">
        <v>667</v>
      </c>
      <c r="B335" s="174">
        <v>5025000</v>
      </c>
      <c r="C335" s="174">
        <v>0</v>
      </c>
      <c r="D335" s="174">
        <v>0</v>
      </c>
      <c r="E335" s="174">
        <v>5025000</v>
      </c>
      <c r="G335" s="174">
        <f t="shared" si="5"/>
        <v>5025000</v>
      </c>
      <c r="H335" s="174" t="s">
        <v>80</v>
      </c>
    </row>
    <row r="336" spans="1:8">
      <c r="A336" s="174" t="s">
        <v>668</v>
      </c>
      <c r="B336" s="174">
        <v>115507</v>
      </c>
      <c r="C336" s="174">
        <v>0</v>
      </c>
      <c r="D336" s="174">
        <v>0</v>
      </c>
      <c r="E336" s="174">
        <v>115507</v>
      </c>
      <c r="G336" s="174">
        <f t="shared" si="5"/>
        <v>115507</v>
      </c>
      <c r="H336" s="174" t="s">
        <v>80</v>
      </c>
    </row>
    <row r="337" spans="1:8">
      <c r="A337" s="174" t="s">
        <v>669</v>
      </c>
      <c r="B337" s="174">
        <v>797721</v>
      </c>
      <c r="C337" s="174">
        <v>0</v>
      </c>
      <c r="D337" s="174">
        <v>0</v>
      </c>
      <c r="E337" s="174">
        <v>797721</v>
      </c>
      <c r="G337" s="174">
        <f t="shared" si="5"/>
        <v>797721</v>
      </c>
      <c r="H337" s="174" t="s">
        <v>80</v>
      </c>
    </row>
    <row r="338" spans="1:8">
      <c r="A338" s="174" t="s">
        <v>670</v>
      </c>
      <c r="B338" s="174">
        <v>2428500</v>
      </c>
      <c r="C338" s="174">
        <v>0</v>
      </c>
      <c r="D338" s="174">
        <v>0</v>
      </c>
      <c r="E338" s="174">
        <v>2428500</v>
      </c>
      <c r="G338" s="174">
        <f t="shared" si="5"/>
        <v>2428500</v>
      </c>
      <c r="H338" s="174" t="s">
        <v>80</v>
      </c>
    </row>
    <row r="339" spans="1:8">
      <c r="A339" s="174" t="s">
        <v>671</v>
      </c>
      <c r="B339" s="174">
        <v>2379800</v>
      </c>
      <c r="C339" s="174">
        <v>0</v>
      </c>
      <c r="D339" s="174">
        <v>0</v>
      </c>
      <c r="E339" s="174">
        <v>2379800</v>
      </c>
      <c r="G339" s="174">
        <f t="shared" si="5"/>
        <v>2379800</v>
      </c>
      <c r="H339" s="174" t="s">
        <v>80</v>
      </c>
    </row>
    <row r="340" spans="1:8">
      <c r="A340" s="174" t="s">
        <v>119</v>
      </c>
      <c r="B340" s="174">
        <v>3000235.6</v>
      </c>
      <c r="C340" s="174">
        <v>0</v>
      </c>
      <c r="D340" s="174">
        <v>0</v>
      </c>
      <c r="E340" s="174">
        <v>3000235.6</v>
      </c>
      <c r="G340" s="174">
        <f t="shared" si="5"/>
        <v>3000235.6</v>
      </c>
      <c r="H340" s="174" t="s">
        <v>80</v>
      </c>
    </row>
    <row r="341" spans="1:8">
      <c r="A341" s="174" t="s">
        <v>90</v>
      </c>
      <c r="B341" s="174">
        <v>256800</v>
      </c>
      <c r="C341" s="174">
        <v>0</v>
      </c>
      <c r="D341" s="174">
        <v>0</v>
      </c>
      <c r="E341" s="174">
        <v>256800</v>
      </c>
      <c r="G341" s="174">
        <f t="shared" si="5"/>
        <v>256800</v>
      </c>
      <c r="H341" s="174" t="s">
        <v>80</v>
      </c>
    </row>
    <row r="342" spans="1:8">
      <c r="A342" s="174" t="s">
        <v>103</v>
      </c>
      <c r="B342" s="174">
        <v>298965.82</v>
      </c>
      <c r="C342" s="174">
        <v>0</v>
      </c>
      <c r="D342" s="174">
        <v>0</v>
      </c>
      <c r="E342" s="174">
        <v>298965.82</v>
      </c>
      <c r="G342" s="174">
        <f t="shared" si="5"/>
        <v>298965.82</v>
      </c>
      <c r="H342" s="174" t="s">
        <v>80</v>
      </c>
    </row>
    <row r="343" spans="1:8">
      <c r="A343" s="174" t="s">
        <v>672</v>
      </c>
      <c r="B343" s="174">
        <v>13830</v>
      </c>
      <c r="C343" s="174">
        <v>0</v>
      </c>
      <c r="D343" s="174">
        <v>0</v>
      </c>
      <c r="E343" s="174">
        <v>13830</v>
      </c>
      <c r="G343" s="174">
        <f t="shared" si="5"/>
        <v>13830</v>
      </c>
      <c r="H343" s="174" t="s">
        <v>80</v>
      </c>
    </row>
    <row r="344" spans="1:8">
      <c r="A344" s="174" t="s">
        <v>125</v>
      </c>
      <c r="B344" s="174">
        <v>145950944.11000001</v>
      </c>
      <c r="C344" s="174">
        <v>1373646.8</v>
      </c>
      <c r="D344" s="174">
        <v>4551555</v>
      </c>
      <c r="E344" s="174">
        <v>142773035.91</v>
      </c>
      <c r="G344" s="174">
        <f t="shared" si="5"/>
        <v>142773035.91</v>
      </c>
      <c r="H344" s="174" t="s">
        <v>80</v>
      </c>
    </row>
    <row r="345" spans="1:8">
      <c r="A345" s="174" t="s">
        <v>673</v>
      </c>
      <c r="B345" s="174">
        <v>206006</v>
      </c>
      <c r="C345" s="174">
        <v>0</v>
      </c>
      <c r="D345" s="174">
        <v>0</v>
      </c>
      <c r="E345" s="174">
        <v>206006</v>
      </c>
      <c r="G345" s="174">
        <f t="shared" si="5"/>
        <v>206006</v>
      </c>
      <c r="H345" s="174" t="s">
        <v>80</v>
      </c>
    </row>
    <row r="346" spans="1:8">
      <c r="A346" s="174" t="s">
        <v>137</v>
      </c>
      <c r="B346" s="174">
        <v>36265015.420000002</v>
      </c>
      <c r="C346" s="174">
        <v>70375000</v>
      </c>
      <c r="D346" s="174">
        <v>0</v>
      </c>
      <c r="E346" s="174">
        <v>106640015.42</v>
      </c>
      <c r="G346" s="174">
        <f t="shared" si="5"/>
        <v>106640015.42</v>
      </c>
      <c r="H346" s="174" t="s">
        <v>80</v>
      </c>
    </row>
    <row r="347" spans="1:8">
      <c r="A347" s="174" t="s">
        <v>674</v>
      </c>
      <c r="B347" s="174">
        <v>128000</v>
      </c>
      <c r="C347" s="174">
        <v>0</v>
      </c>
      <c r="D347" s="174">
        <v>0</v>
      </c>
      <c r="E347" s="174">
        <v>128000</v>
      </c>
      <c r="G347" s="174">
        <f t="shared" si="5"/>
        <v>128000</v>
      </c>
      <c r="H347" s="174" t="s">
        <v>80</v>
      </c>
    </row>
    <row r="348" spans="1:8">
      <c r="A348" s="174" t="s">
        <v>675</v>
      </c>
      <c r="B348" s="174">
        <v>622000</v>
      </c>
      <c r="C348" s="174">
        <v>0</v>
      </c>
      <c r="D348" s="174">
        <v>0</v>
      </c>
      <c r="E348" s="174">
        <v>622000</v>
      </c>
      <c r="G348" s="174">
        <f t="shared" si="5"/>
        <v>622000</v>
      </c>
      <c r="H348" s="174" t="s">
        <v>80</v>
      </c>
    </row>
    <row r="349" spans="1:8">
      <c r="A349" s="174" t="s">
        <v>676</v>
      </c>
      <c r="B349" s="174">
        <v>1600000</v>
      </c>
      <c r="C349" s="174">
        <v>0</v>
      </c>
      <c r="D349" s="174">
        <v>0</v>
      </c>
      <c r="E349" s="174">
        <v>1600000</v>
      </c>
      <c r="G349" s="174">
        <f t="shared" si="5"/>
        <v>1600000</v>
      </c>
      <c r="H349" s="174" t="s">
        <v>80</v>
      </c>
    </row>
    <row r="350" spans="1:8">
      <c r="A350" s="174" t="s">
        <v>677</v>
      </c>
      <c r="B350" s="174">
        <v>400000</v>
      </c>
      <c r="C350" s="174">
        <v>0</v>
      </c>
      <c r="D350" s="174">
        <v>0</v>
      </c>
      <c r="E350" s="174">
        <v>400000</v>
      </c>
      <c r="G350" s="174">
        <f t="shared" si="5"/>
        <v>400000</v>
      </c>
      <c r="H350" s="174" t="s">
        <v>80</v>
      </c>
    </row>
    <row r="351" spans="1:8">
      <c r="A351" s="174" t="s">
        <v>678</v>
      </c>
      <c r="B351" s="174">
        <v>2200000</v>
      </c>
      <c r="C351" s="174">
        <v>0</v>
      </c>
      <c r="D351" s="174">
        <v>0</v>
      </c>
      <c r="E351" s="174">
        <v>2200000</v>
      </c>
      <c r="G351" s="174">
        <f t="shared" si="5"/>
        <v>2200000</v>
      </c>
      <c r="H351" s="174" t="s">
        <v>80</v>
      </c>
    </row>
    <row r="352" spans="1:8">
      <c r="A352" s="174" t="s">
        <v>140</v>
      </c>
      <c r="B352" s="174">
        <v>6546275.29</v>
      </c>
      <c r="C352" s="174">
        <v>0</v>
      </c>
      <c r="D352" s="174">
        <v>0</v>
      </c>
      <c r="E352" s="174">
        <v>6546275.29</v>
      </c>
      <c r="G352" s="174">
        <f t="shared" si="5"/>
        <v>6546275.29</v>
      </c>
      <c r="H352" s="174" t="s">
        <v>80</v>
      </c>
    </row>
    <row r="353" spans="1:8">
      <c r="A353" s="174" t="s">
        <v>679</v>
      </c>
      <c r="B353" s="174">
        <v>594227.06999999995</v>
      </c>
      <c r="C353" s="174">
        <v>0</v>
      </c>
      <c r="D353" s="174">
        <v>0</v>
      </c>
      <c r="E353" s="174">
        <v>594227.06999999995</v>
      </c>
      <c r="G353" s="174">
        <f t="shared" si="5"/>
        <v>594227.06999999995</v>
      </c>
      <c r="H353" s="174" t="s">
        <v>80</v>
      </c>
    </row>
    <row r="354" spans="1:8">
      <c r="A354" s="174" t="s">
        <v>680</v>
      </c>
      <c r="B354" s="174">
        <v>592658</v>
      </c>
      <c r="C354" s="174">
        <v>0</v>
      </c>
      <c r="D354" s="174">
        <v>0</v>
      </c>
      <c r="E354" s="174">
        <v>592658</v>
      </c>
      <c r="G354" s="174">
        <f t="shared" si="5"/>
        <v>592658</v>
      </c>
      <c r="H354" s="174" t="s">
        <v>80</v>
      </c>
    </row>
    <row r="355" spans="1:8">
      <c r="A355" s="174" t="s">
        <v>681</v>
      </c>
      <c r="B355" s="174">
        <v>434808.08</v>
      </c>
      <c r="C355" s="174">
        <v>0</v>
      </c>
      <c r="D355" s="174">
        <v>0</v>
      </c>
      <c r="E355" s="174">
        <v>434808.08</v>
      </c>
      <c r="G355" s="174">
        <f t="shared" si="5"/>
        <v>434808.08</v>
      </c>
      <c r="H355" s="174" t="s">
        <v>80</v>
      </c>
    </row>
    <row r="356" spans="1:8">
      <c r="A356" s="174" t="s">
        <v>141</v>
      </c>
      <c r="B356" s="174">
        <v>450000</v>
      </c>
      <c r="C356" s="174">
        <v>0</v>
      </c>
      <c r="D356" s="174">
        <v>0</v>
      </c>
      <c r="E356" s="174">
        <v>450000</v>
      </c>
      <c r="G356" s="174">
        <f t="shared" si="5"/>
        <v>450000</v>
      </c>
      <c r="H356" s="174" t="s">
        <v>80</v>
      </c>
    </row>
    <row r="357" spans="1:8">
      <c r="A357" s="174" t="s">
        <v>682</v>
      </c>
      <c r="B357" s="174">
        <v>3974330</v>
      </c>
      <c r="C357" s="174">
        <v>0</v>
      </c>
      <c r="D357" s="174">
        <v>0</v>
      </c>
      <c r="E357" s="174">
        <v>3974330</v>
      </c>
      <c r="G357" s="174">
        <f t="shared" si="5"/>
        <v>3974330</v>
      </c>
      <c r="H357" s="174" t="s">
        <v>80</v>
      </c>
    </row>
    <row r="358" spans="1:8">
      <c r="A358" s="174" t="s">
        <v>683</v>
      </c>
      <c r="B358" s="174">
        <v>40625001.740000002</v>
      </c>
      <c r="C358" s="174">
        <v>0</v>
      </c>
      <c r="D358" s="174">
        <v>0</v>
      </c>
      <c r="E358" s="174">
        <v>40625001.740000002</v>
      </c>
      <c r="G358" s="174">
        <f t="shared" si="5"/>
        <v>40625001.740000002</v>
      </c>
      <c r="H358" s="174" t="s">
        <v>80</v>
      </c>
    </row>
    <row r="359" spans="1:8">
      <c r="A359" s="174" t="s">
        <v>684</v>
      </c>
      <c r="B359" s="174">
        <v>375000</v>
      </c>
      <c r="C359" s="174">
        <v>0</v>
      </c>
      <c r="D359" s="174">
        <v>0</v>
      </c>
      <c r="E359" s="174">
        <v>375000</v>
      </c>
      <c r="G359" s="174">
        <f t="shared" si="5"/>
        <v>375000</v>
      </c>
      <c r="H359" s="174" t="s">
        <v>80</v>
      </c>
    </row>
    <row r="360" spans="1:8">
      <c r="A360" s="174" t="s">
        <v>88</v>
      </c>
      <c r="B360" s="174">
        <v>4790782.28</v>
      </c>
      <c r="C360" s="174">
        <v>0</v>
      </c>
      <c r="D360" s="174">
        <v>0</v>
      </c>
      <c r="E360" s="174">
        <v>4790782.28</v>
      </c>
      <c r="G360" s="174">
        <f t="shared" si="5"/>
        <v>4790782.28</v>
      </c>
      <c r="H360" s="174" t="s">
        <v>80</v>
      </c>
    </row>
    <row r="361" spans="1:8">
      <c r="A361" s="174" t="s">
        <v>89</v>
      </c>
      <c r="B361" s="174">
        <v>22376520</v>
      </c>
      <c r="C361" s="174">
        <v>0</v>
      </c>
      <c r="D361" s="174">
        <v>0</v>
      </c>
      <c r="E361" s="174">
        <v>22376520</v>
      </c>
      <c r="G361" s="174">
        <f t="shared" si="5"/>
        <v>22376520</v>
      </c>
      <c r="H361" s="174" t="s">
        <v>80</v>
      </c>
    </row>
    <row r="362" spans="1:8">
      <c r="A362" s="174" t="s">
        <v>685</v>
      </c>
      <c r="B362" s="174">
        <v>2725000</v>
      </c>
      <c r="C362" s="174">
        <v>0</v>
      </c>
      <c r="D362" s="174">
        <v>0</v>
      </c>
      <c r="E362" s="174">
        <v>2725000</v>
      </c>
      <c r="G362" s="174">
        <f t="shared" si="5"/>
        <v>2725000</v>
      </c>
      <c r="H362" s="174" t="s">
        <v>80</v>
      </c>
    </row>
    <row r="363" spans="1:8">
      <c r="A363" s="174" t="s">
        <v>109</v>
      </c>
      <c r="B363" s="174">
        <v>231700</v>
      </c>
      <c r="C363" s="174">
        <v>0</v>
      </c>
      <c r="D363" s="174">
        <v>0</v>
      </c>
      <c r="E363" s="174">
        <v>231700</v>
      </c>
      <c r="G363" s="174">
        <f t="shared" si="5"/>
        <v>231700</v>
      </c>
      <c r="H363" s="174" t="s">
        <v>80</v>
      </c>
    </row>
    <row r="364" spans="1:8">
      <c r="A364" s="174" t="s">
        <v>686</v>
      </c>
      <c r="B364" s="174">
        <v>4374015</v>
      </c>
      <c r="C364" s="174">
        <v>0</v>
      </c>
      <c r="D364" s="174">
        <v>0</v>
      </c>
      <c r="E364" s="174">
        <v>4374015</v>
      </c>
      <c r="G364" s="174">
        <f t="shared" si="5"/>
        <v>4374015</v>
      </c>
      <c r="H364" s="174" t="s">
        <v>80</v>
      </c>
    </row>
    <row r="365" spans="1:8">
      <c r="A365" s="174" t="s">
        <v>687</v>
      </c>
      <c r="B365" s="174">
        <v>26889466.899999999</v>
      </c>
      <c r="C365" s="174">
        <v>0</v>
      </c>
      <c r="D365" s="174">
        <v>0</v>
      </c>
      <c r="E365" s="174">
        <v>26889466.899999999</v>
      </c>
      <c r="G365" s="174">
        <f t="shared" si="5"/>
        <v>26889466.899999999</v>
      </c>
      <c r="H365" s="174" t="s">
        <v>80</v>
      </c>
    </row>
    <row r="366" spans="1:8">
      <c r="A366" s="174" t="s">
        <v>688</v>
      </c>
      <c r="B366" s="174">
        <v>15500</v>
      </c>
      <c r="C366" s="174">
        <v>0</v>
      </c>
      <c r="D366" s="174">
        <v>0</v>
      </c>
      <c r="E366" s="174">
        <v>15500</v>
      </c>
      <c r="G366" s="174">
        <f t="shared" si="5"/>
        <v>15500</v>
      </c>
      <c r="H366" s="174" t="s">
        <v>80</v>
      </c>
    </row>
    <row r="367" spans="1:8">
      <c r="A367" s="174" t="s">
        <v>689</v>
      </c>
      <c r="B367" s="174">
        <v>58560</v>
      </c>
      <c r="C367" s="174">
        <v>0</v>
      </c>
      <c r="D367" s="174">
        <v>0</v>
      </c>
      <c r="E367" s="174">
        <v>58560</v>
      </c>
      <c r="G367" s="174">
        <f t="shared" si="5"/>
        <v>58560</v>
      </c>
      <c r="H367" s="174" t="s">
        <v>80</v>
      </c>
    </row>
    <row r="368" spans="1:8">
      <c r="A368" s="174" t="s">
        <v>690</v>
      </c>
      <c r="B368" s="174">
        <v>1300000</v>
      </c>
      <c r="C368" s="174">
        <v>0</v>
      </c>
      <c r="D368" s="174">
        <v>0</v>
      </c>
      <c r="E368" s="174">
        <v>1300000</v>
      </c>
      <c r="G368" s="174">
        <f t="shared" si="5"/>
        <v>1300000</v>
      </c>
      <c r="H368" s="174" t="s">
        <v>80</v>
      </c>
    </row>
    <row r="369" spans="1:8">
      <c r="A369" s="174" t="s">
        <v>691</v>
      </c>
      <c r="B369" s="174">
        <v>603990</v>
      </c>
      <c r="C369" s="174">
        <v>0</v>
      </c>
      <c r="D369" s="174">
        <v>0</v>
      </c>
      <c r="E369" s="174">
        <v>603990</v>
      </c>
      <c r="G369" s="174">
        <f t="shared" si="5"/>
        <v>603990</v>
      </c>
      <c r="H369" s="174" t="s">
        <v>80</v>
      </c>
    </row>
    <row r="370" spans="1:8">
      <c r="A370" s="174" t="s">
        <v>692</v>
      </c>
      <c r="B370" s="174">
        <v>1041000</v>
      </c>
      <c r="C370" s="174">
        <v>0</v>
      </c>
      <c r="D370" s="174">
        <v>0</v>
      </c>
      <c r="E370" s="174">
        <v>1041000</v>
      </c>
      <c r="G370" s="174">
        <f t="shared" si="5"/>
        <v>1041000</v>
      </c>
      <c r="H370" s="174" t="s">
        <v>80</v>
      </c>
    </row>
    <row r="371" spans="1:8">
      <c r="A371" s="174" t="s">
        <v>93</v>
      </c>
      <c r="B371" s="174">
        <v>5850</v>
      </c>
      <c r="C371" s="174">
        <v>0</v>
      </c>
      <c r="D371" s="174">
        <v>0</v>
      </c>
      <c r="E371" s="174">
        <v>5850</v>
      </c>
      <c r="G371" s="174">
        <f t="shared" si="5"/>
        <v>5850</v>
      </c>
      <c r="H371" s="174" t="s">
        <v>80</v>
      </c>
    </row>
    <row r="372" spans="1:8">
      <c r="A372" s="174" t="s">
        <v>693</v>
      </c>
      <c r="B372" s="174">
        <v>406900</v>
      </c>
      <c r="C372" s="174">
        <v>0</v>
      </c>
      <c r="D372" s="174">
        <v>0</v>
      </c>
      <c r="E372" s="174">
        <v>406900</v>
      </c>
      <c r="G372" s="174">
        <f t="shared" si="5"/>
        <v>406900</v>
      </c>
      <c r="H372" s="174" t="s">
        <v>80</v>
      </c>
    </row>
    <row r="373" spans="1:8">
      <c r="A373" s="174" t="s">
        <v>694</v>
      </c>
      <c r="B373" s="174">
        <v>1250</v>
      </c>
      <c r="C373" s="174">
        <v>0</v>
      </c>
      <c r="D373" s="174">
        <v>0</v>
      </c>
      <c r="E373" s="174">
        <v>1250</v>
      </c>
      <c r="G373" s="174">
        <f t="shared" si="5"/>
        <v>1250</v>
      </c>
      <c r="H373" s="174" t="s">
        <v>80</v>
      </c>
    </row>
    <row r="374" spans="1:8">
      <c r="A374" s="174" t="s">
        <v>106</v>
      </c>
      <c r="B374" s="174">
        <v>17770.400000000001</v>
      </c>
      <c r="C374" s="174">
        <v>0</v>
      </c>
      <c r="D374" s="174">
        <v>0</v>
      </c>
      <c r="E374" s="174">
        <v>17770.400000000001</v>
      </c>
      <c r="G374" s="174">
        <f t="shared" si="5"/>
        <v>17770.400000000001</v>
      </c>
      <c r="H374" s="174" t="s">
        <v>80</v>
      </c>
    </row>
    <row r="375" spans="1:8">
      <c r="A375" s="174" t="s">
        <v>695</v>
      </c>
      <c r="B375" s="174">
        <v>340500</v>
      </c>
      <c r="C375" s="174">
        <v>0</v>
      </c>
      <c r="D375" s="174">
        <v>0</v>
      </c>
      <c r="E375" s="174">
        <v>340500</v>
      </c>
      <c r="G375" s="174">
        <f t="shared" si="5"/>
        <v>340500</v>
      </c>
      <c r="H375" s="174" t="s">
        <v>80</v>
      </c>
    </row>
    <row r="376" spans="1:8">
      <c r="A376" s="174" t="s">
        <v>696</v>
      </c>
      <c r="B376" s="174">
        <v>391809.22</v>
      </c>
      <c r="C376" s="174">
        <v>0</v>
      </c>
      <c r="D376" s="174">
        <v>0</v>
      </c>
      <c r="E376" s="174">
        <v>391809.22</v>
      </c>
      <c r="G376" s="174">
        <f t="shared" si="5"/>
        <v>391809.22</v>
      </c>
      <c r="H376" s="174" t="s">
        <v>80</v>
      </c>
    </row>
    <row r="377" spans="1:8">
      <c r="A377" s="174" t="s">
        <v>697</v>
      </c>
      <c r="B377" s="174">
        <v>160000</v>
      </c>
      <c r="C377" s="174">
        <v>0</v>
      </c>
      <c r="D377" s="174">
        <v>0</v>
      </c>
      <c r="E377" s="174">
        <v>160000</v>
      </c>
      <c r="G377" s="174">
        <f t="shared" si="5"/>
        <v>160000</v>
      </c>
      <c r="H377" s="174" t="s">
        <v>80</v>
      </c>
    </row>
    <row r="378" spans="1:8">
      <c r="A378" s="174" t="s">
        <v>148</v>
      </c>
      <c r="B378" s="174">
        <v>197984.96</v>
      </c>
      <c r="C378" s="174">
        <v>0</v>
      </c>
      <c r="D378" s="174">
        <v>0</v>
      </c>
      <c r="E378" s="174">
        <v>197984.96</v>
      </c>
      <c r="G378" s="174">
        <f t="shared" si="5"/>
        <v>197984.96</v>
      </c>
      <c r="H378" s="174" t="s">
        <v>80</v>
      </c>
    </row>
    <row r="379" spans="1:8">
      <c r="A379" s="174" t="s">
        <v>698</v>
      </c>
      <c r="B379" s="174">
        <v>760000</v>
      </c>
      <c r="C379" s="174">
        <v>0</v>
      </c>
      <c r="D379" s="174">
        <v>0</v>
      </c>
      <c r="E379" s="174">
        <v>760000</v>
      </c>
      <c r="G379" s="174">
        <f t="shared" si="5"/>
        <v>760000</v>
      </c>
      <c r="H379" s="174" t="s">
        <v>80</v>
      </c>
    </row>
    <row r="380" spans="1:8">
      <c r="A380" s="174" t="s">
        <v>149</v>
      </c>
      <c r="B380" s="174">
        <v>215561.98</v>
      </c>
      <c r="C380" s="174">
        <v>0</v>
      </c>
      <c r="D380" s="174">
        <v>0</v>
      </c>
      <c r="E380" s="174">
        <v>215561.98</v>
      </c>
      <c r="G380" s="174">
        <f t="shared" si="5"/>
        <v>215561.98</v>
      </c>
      <c r="H380" s="174" t="s">
        <v>80</v>
      </c>
    </row>
    <row r="381" spans="1:8">
      <c r="A381" s="174" t="s">
        <v>150</v>
      </c>
      <c r="B381" s="174">
        <v>33700</v>
      </c>
      <c r="C381" s="174">
        <v>0</v>
      </c>
      <c r="D381" s="174">
        <v>0</v>
      </c>
      <c r="E381" s="174">
        <v>33700</v>
      </c>
      <c r="G381" s="174">
        <f t="shared" si="5"/>
        <v>33700</v>
      </c>
      <c r="H381" s="174" t="s">
        <v>80</v>
      </c>
    </row>
    <row r="382" spans="1:8">
      <c r="A382" s="174" t="s">
        <v>699</v>
      </c>
      <c r="B382" s="174">
        <v>12250000</v>
      </c>
      <c r="C382" s="174">
        <v>0</v>
      </c>
      <c r="D382" s="174">
        <v>0</v>
      </c>
      <c r="E382" s="174">
        <v>12250000</v>
      </c>
      <c r="G382" s="174">
        <f t="shared" si="5"/>
        <v>12250000</v>
      </c>
      <c r="H382" s="174" t="s">
        <v>80</v>
      </c>
    </row>
    <row r="383" spans="1:8">
      <c r="A383" s="174" t="s">
        <v>700</v>
      </c>
      <c r="B383" s="174">
        <v>412201</v>
      </c>
      <c r="C383" s="174">
        <v>0</v>
      </c>
      <c r="D383" s="174">
        <v>0</v>
      </c>
      <c r="E383" s="174">
        <v>412201</v>
      </c>
      <c r="G383" s="174">
        <f t="shared" si="5"/>
        <v>412201</v>
      </c>
      <c r="H383" s="174" t="s">
        <v>80</v>
      </c>
    </row>
    <row r="384" spans="1:8">
      <c r="A384" s="174" t="s">
        <v>701</v>
      </c>
      <c r="B384" s="174">
        <v>280200</v>
      </c>
      <c r="C384" s="174">
        <v>0</v>
      </c>
      <c r="D384" s="174">
        <v>0</v>
      </c>
      <c r="E384" s="174">
        <v>280200</v>
      </c>
      <c r="G384" s="174">
        <f t="shared" si="5"/>
        <v>280200</v>
      </c>
      <c r="H384" s="174" t="s">
        <v>80</v>
      </c>
    </row>
    <row r="385" spans="1:8">
      <c r="A385" s="174" t="s">
        <v>91</v>
      </c>
      <c r="B385" s="174">
        <v>1613994.5</v>
      </c>
      <c r="C385" s="174">
        <v>49525.5</v>
      </c>
      <c r="D385" s="174">
        <v>33889.83</v>
      </c>
      <c r="E385" s="174">
        <v>1629630.17</v>
      </c>
      <c r="G385" s="174">
        <f t="shared" si="5"/>
        <v>1629630.17</v>
      </c>
      <c r="H385" s="174" t="s">
        <v>80</v>
      </c>
    </row>
    <row r="386" spans="1:8">
      <c r="A386" s="174" t="s">
        <v>702</v>
      </c>
      <c r="B386" s="174">
        <v>931740</v>
      </c>
      <c r="C386" s="174">
        <v>0</v>
      </c>
      <c r="D386" s="174">
        <v>0</v>
      </c>
      <c r="E386" s="174">
        <v>931740</v>
      </c>
      <c r="G386" s="174">
        <f t="shared" si="5"/>
        <v>931740</v>
      </c>
      <c r="H386" s="174" t="s">
        <v>80</v>
      </c>
    </row>
    <row r="387" spans="1:8">
      <c r="A387" s="174" t="s">
        <v>1145</v>
      </c>
      <c r="B387" s="174">
        <v>0</v>
      </c>
      <c r="C387" s="174">
        <v>61.31</v>
      </c>
      <c r="D387" s="174">
        <v>965563.15</v>
      </c>
      <c r="E387" s="174">
        <v>-965501.84</v>
      </c>
      <c r="G387" s="174">
        <f t="shared" ref="G387:G450" si="6">E387+F387</f>
        <v>-965501.84</v>
      </c>
      <c r="H387" s="174" t="s">
        <v>13</v>
      </c>
    </row>
    <row r="388" spans="1:8">
      <c r="A388" s="174" t="s">
        <v>328</v>
      </c>
      <c r="B388" s="174">
        <v>0</v>
      </c>
      <c r="C388" s="174">
        <v>34130.129999999997</v>
      </c>
      <c r="D388" s="174">
        <v>32075</v>
      </c>
      <c r="E388" s="174">
        <v>2055.13</v>
      </c>
      <c r="G388" s="174">
        <f t="shared" si="6"/>
        <v>2055.13</v>
      </c>
      <c r="H388" s="174" t="s">
        <v>13</v>
      </c>
    </row>
    <row r="389" spans="1:8">
      <c r="A389" s="174" t="s">
        <v>316</v>
      </c>
      <c r="B389" s="174">
        <v>0</v>
      </c>
      <c r="C389" s="174">
        <v>116.68</v>
      </c>
      <c r="D389" s="174">
        <v>109.24</v>
      </c>
      <c r="E389" s="174">
        <v>7.44</v>
      </c>
      <c r="G389" s="174">
        <f t="shared" si="6"/>
        <v>7.44</v>
      </c>
      <c r="H389" s="174" t="s">
        <v>80</v>
      </c>
    </row>
    <row r="390" spans="1:8">
      <c r="A390" s="174" t="s">
        <v>1146</v>
      </c>
      <c r="B390" s="174">
        <v>0</v>
      </c>
      <c r="C390" s="174">
        <v>6428818.4800000004</v>
      </c>
      <c r="D390" s="174">
        <v>0</v>
      </c>
      <c r="E390" s="174">
        <v>6428818.4800000004</v>
      </c>
      <c r="G390" s="174">
        <f t="shared" si="6"/>
        <v>6428818.4800000004</v>
      </c>
      <c r="H390" s="174" t="s">
        <v>13</v>
      </c>
    </row>
    <row r="391" spans="1:8">
      <c r="A391" s="174" t="s">
        <v>347</v>
      </c>
      <c r="B391" s="174">
        <v>0</v>
      </c>
      <c r="C391" s="174">
        <v>562879</v>
      </c>
      <c r="D391" s="174">
        <v>35000</v>
      </c>
      <c r="E391" s="174">
        <v>527879</v>
      </c>
      <c r="G391" s="174">
        <f t="shared" si="6"/>
        <v>527879</v>
      </c>
      <c r="H391" s="174" t="s">
        <v>13</v>
      </c>
    </row>
    <row r="392" spans="1:8">
      <c r="A392" s="174" t="s">
        <v>348</v>
      </c>
      <c r="B392" s="174">
        <v>0</v>
      </c>
      <c r="C392" s="174">
        <v>206484.27</v>
      </c>
      <c r="D392" s="174">
        <v>327272.23</v>
      </c>
      <c r="E392" s="174">
        <v>-120787.96</v>
      </c>
      <c r="G392" s="174">
        <f t="shared" si="6"/>
        <v>-120787.96</v>
      </c>
      <c r="H392" s="174" t="s">
        <v>13</v>
      </c>
    </row>
    <row r="393" spans="1:8">
      <c r="A393" s="174" t="s">
        <v>472</v>
      </c>
      <c r="B393" s="174">
        <v>0</v>
      </c>
      <c r="C393" s="174">
        <v>26500</v>
      </c>
      <c r="D393" s="174">
        <v>0</v>
      </c>
      <c r="E393" s="174">
        <v>26500</v>
      </c>
      <c r="G393" s="174">
        <f t="shared" si="6"/>
        <v>26500</v>
      </c>
      <c r="H393" s="174" t="s">
        <v>13</v>
      </c>
    </row>
    <row r="394" spans="1:8">
      <c r="A394" s="174" t="s">
        <v>1561</v>
      </c>
      <c r="B394" s="174">
        <v>0</v>
      </c>
      <c r="C394" s="174">
        <v>122760</v>
      </c>
      <c r="D394" s="174">
        <v>0</v>
      </c>
      <c r="E394" s="174">
        <v>122760</v>
      </c>
      <c r="F394" s="174">
        <v>31748</v>
      </c>
      <c r="G394" s="174">
        <f t="shared" si="6"/>
        <v>154508</v>
      </c>
      <c r="H394" s="174" t="s">
        <v>71</v>
      </c>
    </row>
    <row r="395" spans="1:8">
      <c r="A395" s="174" t="s">
        <v>345</v>
      </c>
      <c r="B395" s="174">
        <v>0</v>
      </c>
      <c r="C395" s="174">
        <v>371344</v>
      </c>
      <c r="D395" s="174">
        <v>0</v>
      </c>
      <c r="E395" s="174">
        <v>371344</v>
      </c>
      <c r="F395" s="174">
        <v>6200</v>
      </c>
      <c r="G395" s="174">
        <f t="shared" si="6"/>
        <v>377544</v>
      </c>
      <c r="H395" s="174" t="s">
        <v>71</v>
      </c>
    </row>
    <row r="396" spans="1:8">
      <c r="A396" s="174" t="s">
        <v>341</v>
      </c>
      <c r="B396" s="174">
        <v>0</v>
      </c>
      <c r="C396" s="174">
        <v>21496544.079999998</v>
      </c>
      <c r="D396" s="174">
        <v>5975817</v>
      </c>
      <c r="E396" s="174">
        <v>15520727.08</v>
      </c>
      <c r="F396" s="174">
        <v>7315182</v>
      </c>
      <c r="G396" s="174">
        <f t="shared" si="6"/>
        <v>22835909.079999998</v>
      </c>
      <c r="H396" s="174" t="s">
        <v>55</v>
      </c>
    </row>
    <row r="397" spans="1:8">
      <c r="A397" s="174" t="s">
        <v>1147</v>
      </c>
      <c r="B397" s="174">
        <v>0</v>
      </c>
      <c r="C397" s="174">
        <v>16180289</v>
      </c>
      <c r="D397" s="174">
        <v>3474593</v>
      </c>
      <c r="E397" s="174">
        <v>12705696</v>
      </c>
      <c r="F397" s="174">
        <v>4130997</v>
      </c>
      <c r="G397" s="174">
        <f t="shared" si="6"/>
        <v>16836693</v>
      </c>
      <c r="H397" s="174" t="s">
        <v>58</v>
      </c>
    </row>
    <row r="398" spans="1:8">
      <c r="A398" s="174" t="s">
        <v>1148</v>
      </c>
      <c r="B398" s="174">
        <v>0</v>
      </c>
      <c r="C398" s="174">
        <v>5200400</v>
      </c>
      <c r="D398" s="174">
        <v>1313300</v>
      </c>
      <c r="E398" s="174">
        <v>3887100</v>
      </c>
      <c r="F398" s="174">
        <v>1313300</v>
      </c>
      <c r="G398" s="174">
        <f t="shared" si="6"/>
        <v>5200400</v>
      </c>
      <c r="H398" s="174" t="s">
        <v>71</v>
      </c>
    </row>
    <row r="399" spans="1:8">
      <c r="A399" s="174" t="s">
        <v>703</v>
      </c>
      <c r="B399" s="174">
        <v>0</v>
      </c>
      <c r="C399" s="174">
        <v>1450000</v>
      </c>
      <c r="D399" s="174">
        <v>1400000</v>
      </c>
      <c r="E399" s="174">
        <v>50000</v>
      </c>
      <c r="G399" s="174">
        <f t="shared" si="6"/>
        <v>50000</v>
      </c>
      <c r="H399" s="233" t="s">
        <v>71</v>
      </c>
    </row>
    <row r="400" spans="1:8">
      <c r="A400" s="174" t="s">
        <v>356</v>
      </c>
      <c r="B400" s="174">
        <v>0</v>
      </c>
      <c r="C400" s="174">
        <v>313632</v>
      </c>
      <c r="D400" s="174">
        <v>30486.47</v>
      </c>
      <c r="E400" s="174">
        <v>283145.53000000003</v>
      </c>
      <c r="G400" s="174">
        <f t="shared" si="6"/>
        <v>283145.53000000003</v>
      </c>
      <c r="H400" s="174" t="s">
        <v>73</v>
      </c>
    </row>
    <row r="401" spans="1:8">
      <c r="A401" s="174" t="s">
        <v>340</v>
      </c>
      <c r="B401" s="174">
        <v>0</v>
      </c>
      <c r="C401" s="174">
        <v>54735092.140000001</v>
      </c>
      <c r="D401" s="174">
        <v>55384.56</v>
      </c>
      <c r="E401" s="174">
        <v>54679707.579999998</v>
      </c>
      <c r="F401" s="174">
        <v>228490</v>
      </c>
      <c r="G401" s="174">
        <f t="shared" si="6"/>
        <v>54908197.579999998</v>
      </c>
      <c r="H401" s="174" t="s">
        <v>59</v>
      </c>
    </row>
    <row r="402" spans="1:8">
      <c r="A402" s="174" t="s">
        <v>343</v>
      </c>
      <c r="B402" s="174">
        <v>0</v>
      </c>
      <c r="C402" s="174">
        <v>192700</v>
      </c>
      <c r="D402" s="174">
        <v>0</v>
      </c>
      <c r="E402" s="174">
        <v>192700</v>
      </c>
      <c r="G402" s="174">
        <f t="shared" si="6"/>
        <v>192700</v>
      </c>
      <c r="H402" s="174" t="s">
        <v>67</v>
      </c>
    </row>
    <row r="403" spans="1:8">
      <c r="A403" s="174" t="s">
        <v>1562</v>
      </c>
      <c r="B403" s="174">
        <v>0</v>
      </c>
      <c r="C403" s="174">
        <v>0</v>
      </c>
      <c r="D403" s="174">
        <v>33844</v>
      </c>
      <c r="E403" s="174">
        <v>-33844</v>
      </c>
      <c r="G403" s="174">
        <f t="shared" si="6"/>
        <v>-33844</v>
      </c>
      <c r="H403" s="174" t="s">
        <v>71</v>
      </c>
    </row>
    <row r="404" spans="1:8">
      <c r="A404" s="174" t="s">
        <v>335</v>
      </c>
      <c r="B404" s="174">
        <v>0</v>
      </c>
      <c r="C404" s="174">
        <v>837191</v>
      </c>
      <c r="D404" s="174">
        <v>289214</v>
      </c>
      <c r="E404" s="174">
        <v>547977</v>
      </c>
      <c r="F404" s="174">
        <v>184784</v>
      </c>
      <c r="G404" s="174">
        <f t="shared" si="6"/>
        <v>732761</v>
      </c>
      <c r="H404" s="174" t="s">
        <v>71</v>
      </c>
    </row>
    <row r="405" spans="1:8">
      <c r="A405" s="174" t="s">
        <v>314</v>
      </c>
      <c r="B405" s="174">
        <v>0</v>
      </c>
      <c r="C405" s="174">
        <v>1847132.25</v>
      </c>
      <c r="D405" s="174">
        <v>0</v>
      </c>
      <c r="E405" s="174">
        <v>1847132.25</v>
      </c>
      <c r="G405" s="174">
        <f t="shared" si="6"/>
        <v>1847132.25</v>
      </c>
      <c r="H405" s="174" t="s">
        <v>60</v>
      </c>
    </row>
    <row r="406" spans="1:8">
      <c r="A406" s="174" t="s">
        <v>319</v>
      </c>
      <c r="B406" s="174">
        <v>0</v>
      </c>
      <c r="C406" s="174">
        <v>27922269.699999999</v>
      </c>
      <c r="D406" s="174">
        <v>0</v>
      </c>
      <c r="E406" s="174">
        <v>27922269.699999999</v>
      </c>
      <c r="G406" s="174">
        <f t="shared" si="6"/>
        <v>27922269.699999999</v>
      </c>
      <c r="H406" s="174" t="s">
        <v>9</v>
      </c>
    </row>
    <row r="407" spans="1:8">
      <c r="A407" s="174" t="s">
        <v>322</v>
      </c>
      <c r="B407" s="174">
        <v>0</v>
      </c>
      <c r="C407" s="174">
        <v>6190436.3300000001</v>
      </c>
      <c r="D407" s="174">
        <v>1750</v>
      </c>
      <c r="E407" s="174">
        <v>6188686.3300000001</v>
      </c>
      <c r="G407" s="174">
        <f t="shared" si="6"/>
        <v>6188686.3300000001</v>
      </c>
      <c r="H407" s="174" t="s">
        <v>11</v>
      </c>
    </row>
    <row r="408" spans="1:8">
      <c r="A408" s="174" t="s">
        <v>704</v>
      </c>
      <c r="B408" s="174">
        <v>0</v>
      </c>
      <c r="C408" s="174">
        <v>0</v>
      </c>
      <c r="D408" s="174">
        <v>36870023</v>
      </c>
      <c r="E408" s="174">
        <v>-36870023</v>
      </c>
      <c r="G408" s="174">
        <f t="shared" si="6"/>
        <v>-36870023</v>
      </c>
      <c r="H408" s="174" t="s">
        <v>80</v>
      </c>
    </row>
    <row r="409" spans="1:8">
      <c r="A409" s="174" t="s">
        <v>317</v>
      </c>
      <c r="B409" s="174">
        <v>0</v>
      </c>
      <c r="C409" s="174">
        <v>8179409.4000000004</v>
      </c>
      <c r="D409" s="174">
        <v>0</v>
      </c>
      <c r="E409" s="174">
        <v>8179409.4000000004</v>
      </c>
      <c r="G409" s="174">
        <f t="shared" si="6"/>
        <v>8179409.4000000004</v>
      </c>
      <c r="H409" s="174" t="s">
        <v>9</v>
      </c>
    </row>
    <row r="410" spans="1:8">
      <c r="A410" s="174" t="s">
        <v>321</v>
      </c>
      <c r="B410" s="174">
        <v>0</v>
      </c>
      <c r="C410" s="174">
        <v>380837253.50999999</v>
      </c>
      <c r="D410" s="174">
        <v>0</v>
      </c>
      <c r="E410" s="174">
        <v>380837253.50999999</v>
      </c>
      <c r="G410" s="174">
        <f t="shared" si="6"/>
        <v>380837253.50999999</v>
      </c>
      <c r="H410" s="174" t="s">
        <v>9</v>
      </c>
    </row>
    <row r="411" spans="1:8">
      <c r="A411" s="174" t="s">
        <v>1149</v>
      </c>
      <c r="B411" s="174">
        <v>0</v>
      </c>
      <c r="C411" s="174">
        <v>18056</v>
      </c>
      <c r="D411" s="174">
        <v>0</v>
      </c>
      <c r="E411" s="174">
        <v>18056</v>
      </c>
      <c r="G411" s="174">
        <f t="shared" si="6"/>
        <v>18056</v>
      </c>
      <c r="H411" s="174" t="s">
        <v>44</v>
      </c>
    </row>
    <row r="412" spans="1:8">
      <c r="A412" s="174" t="s">
        <v>318</v>
      </c>
      <c r="B412" s="174">
        <v>0</v>
      </c>
      <c r="C412" s="174">
        <v>5043460.1500000004</v>
      </c>
      <c r="D412" s="174">
        <v>0</v>
      </c>
      <c r="E412" s="174">
        <v>5043460.1500000004</v>
      </c>
      <c r="G412" s="174">
        <f t="shared" si="6"/>
        <v>5043460.1500000004</v>
      </c>
      <c r="H412" s="174" t="s">
        <v>44</v>
      </c>
    </row>
    <row r="413" spans="1:8">
      <c r="A413" s="174" t="s">
        <v>475</v>
      </c>
      <c r="B413" s="174">
        <v>0</v>
      </c>
      <c r="C413" s="174">
        <v>54130</v>
      </c>
      <c r="D413" s="174">
        <v>84770</v>
      </c>
      <c r="E413" s="174">
        <v>-30640</v>
      </c>
      <c r="G413" s="174">
        <f t="shared" si="6"/>
        <v>-30640</v>
      </c>
      <c r="H413" s="174" t="s">
        <v>44</v>
      </c>
    </row>
    <row r="414" spans="1:8">
      <c r="A414" s="174" t="s">
        <v>323</v>
      </c>
      <c r="B414" s="174">
        <v>0</v>
      </c>
      <c r="C414" s="174">
        <v>9175683.5099999998</v>
      </c>
      <c r="D414" s="174">
        <v>50</v>
      </c>
      <c r="E414" s="174">
        <v>9175633.5099999998</v>
      </c>
      <c r="G414" s="174">
        <f t="shared" si="6"/>
        <v>9175633.5099999998</v>
      </c>
      <c r="H414" s="174" t="s">
        <v>44</v>
      </c>
    </row>
    <row r="415" spans="1:8">
      <c r="A415" s="174" t="s">
        <v>320</v>
      </c>
      <c r="B415" s="174">
        <v>0</v>
      </c>
      <c r="C415" s="174">
        <v>63948135</v>
      </c>
      <c r="D415" s="174">
        <v>0</v>
      </c>
      <c r="E415" s="174">
        <v>63948135</v>
      </c>
      <c r="G415" s="174">
        <f t="shared" si="6"/>
        <v>63948135</v>
      </c>
      <c r="H415" s="174" t="s">
        <v>9</v>
      </c>
    </row>
    <row r="416" spans="1:8">
      <c r="A416" s="174" t="s">
        <v>1434</v>
      </c>
      <c r="B416" s="174">
        <v>0</v>
      </c>
      <c r="C416" s="174">
        <v>58000</v>
      </c>
      <c r="D416" s="174">
        <v>0</v>
      </c>
      <c r="E416" s="174">
        <v>58000</v>
      </c>
      <c r="G416" s="174">
        <f t="shared" si="6"/>
        <v>58000</v>
      </c>
      <c r="H416" s="174" t="s">
        <v>71</v>
      </c>
    </row>
    <row r="417" spans="1:8">
      <c r="A417" s="174" t="s">
        <v>355</v>
      </c>
      <c r="B417" s="174">
        <v>0</v>
      </c>
      <c r="C417" s="174">
        <v>150165</v>
      </c>
      <c r="D417" s="174">
        <v>0</v>
      </c>
      <c r="E417" s="174">
        <v>150165</v>
      </c>
      <c r="G417" s="174">
        <f t="shared" si="6"/>
        <v>150165</v>
      </c>
      <c r="H417" s="174" t="s">
        <v>66</v>
      </c>
    </row>
    <row r="418" spans="1:8">
      <c r="A418" s="174" t="s">
        <v>1150</v>
      </c>
      <c r="B418" s="174">
        <v>0</v>
      </c>
      <c r="C418" s="174">
        <v>137398</v>
      </c>
      <c r="D418" s="174">
        <v>0</v>
      </c>
      <c r="E418" s="174">
        <v>137398</v>
      </c>
      <c r="G418" s="174">
        <f t="shared" si="6"/>
        <v>137398</v>
      </c>
      <c r="H418" s="174" t="s">
        <v>71</v>
      </c>
    </row>
    <row r="419" spans="1:8">
      <c r="A419" s="174" t="s">
        <v>1435</v>
      </c>
      <c r="B419" s="174">
        <v>0</v>
      </c>
      <c r="C419" s="174">
        <v>0.57999999999999996</v>
      </c>
      <c r="D419" s="174">
        <v>1.1100000000000001</v>
      </c>
      <c r="E419" s="174">
        <v>-0.53</v>
      </c>
      <c r="G419" s="174">
        <f t="shared" si="6"/>
        <v>-0.53</v>
      </c>
      <c r="H419" s="174" t="s">
        <v>80</v>
      </c>
    </row>
    <row r="420" spans="1:8">
      <c r="A420" s="174" t="s">
        <v>1151</v>
      </c>
      <c r="B420" s="174">
        <v>0</v>
      </c>
      <c r="C420" s="174">
        <v>100000</v>
      </c>
      <c r="D420" s="174">
        <v>0</v>
      </c>
      <c r="E420" s="174">
        <v>100000</v>
      </c>
      <c r="G420" s="174">
        <f t="shared" si="6"/>
        <v>100000</v>
      </c>
      <c r="H420" s="174" t="s">
        <v>71</v>
      </c>
    </row>
    <row r="421" spans="1:8">
      <c r="A421" s="174" t="s">
        <v>358</v>
      </c>
      <c r="B421" s="174">
        <v>0</v>
      </c>
      <c r="C421" s="174">
        <v>10000</v>
      </c>
      <c r="D421" s="174">
        <v>0</v>
      </c>
      <c r="E421" s="174">
        <v>10000</v>
      </c>
      <c r="G421" s="174">
        <f t="shared" si="6"/>
        <v>10000</v>
      </c>
      <c r="H421" s="174" t="s">
        <v>71</v>
      </c>
    </row>
    <row r="422" spans="1:8">
      <c r="A422" s="174" t="s">
        <v>1563</v>
      </c>
      <c r="B422" s="174">
        <v>0</v>
      </c>
      <c r="C422" s="174">
        <v>5450</v>
      </c>
      <c r="D422" s="174">
        <v>0</v>
      </c>
      <c r="E422" s="174">
        <v>5450</v>
      </c>
      <c r="G422" s="174">
        <f t="shared" si="6"/>
        <v>5450</v>
      </c>
      <c r="H422" s="174" t="s">
        <v>71</v>
      </c>
    </row>
    <row r="423" spans="1:8">
      <c r="A423" s="174" t="s">
        <v>1152</v>
      </c>
      <c r="B423" s="174">
        <v>0</v>
      </c>
      <c r="C423" s="174">
        <v>1978802.4</v>
      </c>
      <c r="D423" s="174">
        <v>467310</v>
      </c>
      <c r="E423" s="174">
        <v>1511492.4</v>
      </c>
      <c r="F423" s="174">
        <v>467310</v>
      </c>
      <c r="G423" s="174">
        <f t="shared" si="6"/>
        <v>1978802.4</v>
      </c>
      <c r="H423" s="174" t="s">
        <v>60</v>
      </c>
    </row>
    <row r="424" spans="1:8">
      <c r="A424" s="174" t="s">
        <v>1153</v>
      </c>
      <c r="B424" s="174">
        <v>0</v>
      </c>
      <c r="C424" s="174">
        <v>4550</v>
      </c>
      <c r="D424" s="174">
        <v>0</v>
      </c>
      <c r="E424" s="174">
        <v>4550</v>
      </c>
      <c r="G424" s="174">
        <f t="shared" si="6"/>
        <v>4550</v>
      </c>
      <c r="H424" s="174" t="s">
        <v>71</v>
      </c>
    </row>
    <row r="425" spans="1:8">
      <c r="A425" s="174" t="s">
        <v>1436</v>
      </c>
      <c r="B425" s="174">
        <v>0</v>
      </c>
      <c r="C425" s="174">
        <v>70058</v>
      </c>
      <c r="D425" s="174">
        <v>0</v>
      </c>
      <c r="E425" s="174">
        <v>70058</v>
      </c>
      <c r="G425" s="174">
        <f t="shared" si="6"/>
        <v>70058</v>
      </c>
      <c r="H425" s="174" t="s">
        <v>71</v>
      </c>
    </row>
    <row r="426" spans="1:8">
      <c r="A426" s="174" t="s">
        <v>325</v>
      </c>
      <c r="B426" s="174">
        <v>0</v>
      </c>
      <c r="C426" s="174">
        <v>24636.71</v>
      </c>
      <c r="D426" s="174">
        <v>3329.61</v>
      </c>
      <c r="E426" s="174">
        <v>21307.1</v>
      </c>
      <c r="G426" s="174">
        <f t="shared" si="6"/>
        <v>21307.1</v>
      </c>
      <c r="H426" s="174" t="s">
        <v>71</v>
      </c>
    </row>
    <row r="427" spans="1:8">
      <c r="A427" s="174" t="s">
        <v>326</v>
      </c>
      <c r="B427" s="174">
        <v>0</v>
      </c>
      <c r="C427" s="174">
        <v>98320</v>
      </c>
      <c r="D427" s="174">
        <v>0</v>
      </c>
      <c r="E427" s="174">
        <v>98320</v>
      </c>
      <c r="G427" s="174">
        <f t="shared" si="6"/>
        <v>98320</v>
      </c>
      <c r="H427" s="174" t="s">
        <v>71</v>
      </c>
    </row>
    <row r="428" spans="1:8">
      <c r="A428" s="174" t="s">
        <v>1564</v>
      </c>
      <c r="B428" s="174">
        <v>0</v>
      </c>
      <c r="C428" s="174">
        <v>143897</v>
      </c>
      <c r="D428" s="174">
        <v>0</v>
      </c>
      <c r="E428" s="174">
        <v>143897</v>
      </c>
      <c r="G428" s="174">
        <f t="shared" si="6"/>
        <v>143897</v>
      </c>
      <c r="H428" s="174" t="s">
        <v>71</v>
      </c>
    </row>
    <row r="429" spans="1:8">
      <c r="A429" s="174" t="s">
        <v>331</v>
      </c>
      <c r="B429" s="174">
        <v>0</v>
      </c>
      <c r="C429" s="174">
        <v>117996.2</v>
      </c>
      <c r="D429" s="174">
        <v>0</v>
      </c>
      <c r="E429" s="174">
        <v>117996.2</v>
      </c>
      <c r="G429" s="174">
        <f t="shared" si="6"/>
        <v>117996.2</v>
      </c>
      <c r="H429" s="174" t="s">
        <v>66</v>
      </c>
    </row>
    <row r="430" spans="1:8">
      <c r="A430" s="174" t="s">
        <v>332</v>
      </c>
      <c r="B430" s="174">
        <v>0</v>
      </c>
      <c r="C430" s="174">
        <v>38622</v>
      </c>
      <c r="D430" s="174">
        <v>0</v>
      </c>
      <c r="E430" s="174">
        <v>38622</v>
      </c>
      <c r="G430" s="174">
        <f t="shared" si="6"/>
        <v>38622</v>
      </c>
      <c r="H430" s="174" t="s">
        <v>71</v>
      </c>
    </row>
    <row r="431" spans="1:8">
      <c r="A431" s="174" t="s">
        <v>333</v>
      </c>
      <c r="B431" s="174">
        <v>0</v>
      </c>
      <c r="C431" s="174">
        <v>154798</v>
      </c>
      <c r="D431" s="174">
        <v>0</v>
      </c>
      <c r="E431" s="174">
        <v>154798</v>
      </c>
      <c r="G431" s="174">
        <f t="shared" si="6"/>
        <v>154798</v>
      </c>
      <c r="H431" s="174" t="s">
        <v>71</v>
      </c>
    </row>
    <row r="432" spans="1:8">
      <c r="A432" s="174" t="s">
        <v>315</v>
      </c>
      <c r="B432" s="174">
        <v>0</v>
      </c>
      <c r="C432" s="174">
        <v>81.11</v>
      </c>
      <c r="D432" s="174">
        <v>58.19</v>
      </c>
      <c r="E432" s="174">
        <v>22.92</v>
      </c>
      <c r="G432" s="174">
        <f t="shared" si="6"/>
        <v>22.92</v>
      </c>
      <c r="H432" s="174" t="s">
        <v>80</v>
      </c>
    </row>
    <row r="433" spans="1:8">
      <c r="A433" s="174" t="s">
        <v>310</v>
      </c>
      <c r="B433" s="174">
        <v>0</v>
      </c>
      <c r="C433" s="174">
        <v>1438223</v>
      </c>
      <c r="D433" s="174">
        <v>600218</v>
      </c>
      <c r="E433" s="174">
        <v>838005</v>
      </c>
      <c r="F433" s="174">
        <v>324466</v>
      </c>
      <c r="G433" s="174">
        <f t="shared" si="6"/>
        <v>1162471</v>
      </c>
      <c r="H433" s="174" t="s">
        <v>71</v>
      </c>
    </row>
    <row r="434" spans="1:8">
      <c r="A434" s="174" t="s">
        <v>418</v>
      </c>
      <c r="B434" s="174">
        <v>0</v>
      </c>
      <c r="C434" s="174">
        <v>631230</v>
      </c>
      <c r="D434" s="174">
        <v>205205</v>
      </c>
      <c r="E434" s="174">
        <v>426025</v>
      </c>
      <c r="G434" s="174">
        <f t="shared" si="6"/>
        <v>426025</v>
      </c>
      <c r="H434" s="174" t="s">
        <v>64</v>
      </c>
    </row>
    <row r="435" spans="1:8">
      <c r="A435" s="174" t="s">
        <v>1154</v>
      </c>
      <c r="B435" s="174">
        <v>0</v>
      </c>
      <c r="C435" s="174">
        <v>9000</v>
      </c>
      <c r="D435" s="174">
        <v>0</v>
      </c>
      <c r="E435" s="174">
        <v>9000</v>
      </c>
      <c r="F435" s="174">
        <v>4500</v>
      </c>
      <c r="G435" s="174">
        <f t="shared" si="6"/>
        <v>13500</v>
      </c>
      <c r="H435" s="174" t="s">
        <v>71</v>
      </c>
    </row>
    <row r="436" spans="1:8">
      <c r="A436" s="174" t="s">
        <v>1155</v>
      </c>
      <c r="B436" s="174">
        <v>0</v>
      </c>
      <c r="C436" s="174">
        <v>820856.76</v>
      </c>
      <c r="D436" s="174">
        <v>0</v>
      </c>
      <c r="E436" s="174">
        <v>820856.76</v>
      </c>
      <c r="F436" s="174">
        <v>645623</v>
      </c>
      <c r="G436" s="174">
        <f t="shared" si="6"/>
        <v>1466479.76</v>
      </c>
      <c r="H436" s="174" t="s">
        <v>71</v>
      </c>
    </row>
    <row r="437" spans="1:8">
      <c r="A437" s="174" t="s">
        <v>705</v>
      </c>
      <c r="B437" s="174">
        <v>0</v>
      </c>
      <c r="C437" s="174">
        <v>19285.36</v>
      </c>
      <c r="D437" s="174">
        <v>0</v>
      </c>
      <c r="E437" s="174">
        <v>19285.36</v>
      </c>
      <c r="G437" s="174">
        <f t="shared" si="6"/>
        <v>19285.36</v>
      </c>
      <c r="H437" s="174" t="s">
        <v>71</v>
      </c>
    </row>
    <row r="438" spans="1:8">
      <c r="A438" s="174" t="s">
        <v>311</v>
      </c>
      <c r="B438" s="174">
        <v>0</v>
      </c>
      <c r="C438" s="174">
        <v>282312.96000000002</v>
      </c>
      <c r="D438" s="174">
        <v>0</v>
      </c>
      <c r="E438" s="174">
        <v>282312.96000000002</v>
      </c>
      <c r="G438" s="174">
        <f t="shared" si="6"/>
        <v>282312.96000000002</v>
      </c>
      <c r="H438" s="174" t="s">
        <v>71</v>
      </c>
    </row>
    <row r="439" spans="1:8">
      <c r="A439" s="174" t="s">
        <v>312</v>
      </c>
      <c r="B439" s="174">
        <v>0</v>
      </c>
      <c r="C439" s="174">
        <v>50</v>
      </c>
      <c r="D439" s="174">
        <v>0</v>
      </c>
      <c r="E439" s="174">
        <v>50</v>
      </c>
      <c r="G439" s="174">
        <f t="shared" si="6"/>
        <v>50</v>
      </c>
      <c r="H439" s="174" t="s">
        <v>71</v>
      </c>
    </row>
    <row r="440" spans="1:8">
      <c r="A440" s="174" t="s">
        <v>313</v>
      </c>
      <c r="B440" s="174">
        <v>0</v>
      </c>
      <c r="C440" s="174">
        <v>74418.100000000006</v>
      </c>
      <c r="D440" s="174">
        <v>2110</v>
      </c>
      <c r="E440" s="174">
        <v>72308.100000000006</v>
      </c>
      <c r="G440" s="174">
        <f t="shared" si="6"/>
        <v>72308.100000000006</v>
      </c>
      <c r="H440" s="174" t="s">
        <v>71</v>
      </c>
    </row>
    <row r="441" spans="1:8">
      <c r="A441" s="174" t="s">
        <v>1156</v>
      </c>
      <c r="B441" s="174">
        <v>0</v>
      </c>
      <c r="C441" s="174">
        <v>221100</v>
      </c>
      <c r="D441" s="174">
        <v>0</v>
      </c>
      <c r="E441" s="174">
        <v>221100</v>
      </c>
      <c r="F441" s="174">
        <v>75500</v>
      </c>
      <c r="G441" s="174">
        <f t="shared" si="6"/>
        <v>296600</v>
      </c>
      <c r="H441" s="174" t="s">
        <v>66</v>
      </c>
    </row>
    <row r="442" spans="1:8">
      <c r="A442" s="174" t="s">
        <v>1157</v>
      </c>
      <c r="B442" s="174">
        <v>0</v>
      </c>
      <c r="C442" s="174">
        <v>480000</v>
      </c>
      <c r="D442" s="174">
        <v>0</v>
      </c>
      <c r="E442" s="174">
        <v>480000</v>
      </c>
      <c r="F442" s="174">
        <v>160000</v>
      </c>
      <c r="G442" s="174">
        <f t="shared" si="6"/>
        <v>640000</v>
      </c>
      <c r="H442" s="174" t="s">
        <v>66</v>
      </c>
    </row>
    <row r="443" spans="1:8">
      <c r="A443" s="174" t="s">
        <v>1437</v>
      </c>
      <c r="B443" s="174">
        <v>0</v>
      </c>
      <c r="C443" s="174">
        <v>12627025.210000001</v>
      </c>
      <c r="D443" s="174">
        <v>0</v>
      </c>
      <c r="E443" s="174">
        <v>12627025.210000001</v>
      </c>
      <c r="G443" s="174">
        <f t="shared" si="6"/>
        <v>12627025.210000001</v>
      </c>
      <c r="H443" s="174" t="s">
        <v>1053</v>
      </c>
    </row>
    <row r="444" spans="1:8">
      <c r="A444" s="174" t="s">
        <v>1438</v>
      </c>
      <c r="B444" s="174">
        <v>0</v>
      </c>
      <c r="C444" s="174">
        <v>60245</v>
      </c>
      <c r="D444" s="174">
        <v>0</v>
      </c>
      <c r="E444" s="174">
        <v>60245</v>
      </c>
      <c r="G444" s="174">
        <f t="shared" si="6"/>
        <v>60245</v>
      </c>
      <c r="H444" s="174" t="s">
        <v>54</v>
      </c>
    </row>
    <row r="445" spans="1:8">
      <c r="A445" s="174" t="s">
        <v>329</v>
      </c>
      <c r="B445" s="174">
        <v>0</v>
      </c>
      <c r="C445" s="174">
        <v>117988</v>
      </c>
      <c r="D445" s="174">
        <v>51474</v>
      </c>
      <c r="E445" s="174">
        <v>66514</v>
      </c>
      <c r="F445" s="183">
        <v>31714</v>
      </c>
      <c r="G445" s="174">
        <f t="shared" si="6"/>
        <v>98228</v>
      </c>
      <c r="H445" s="174" t="s">
        <v>52</v>
      </c>
    </row>
    <row r="446" spans="1:8">
      <c r="A446" s="174" t="s">
        <v>330</v>
      </c>
      <c r="B446" s="174">
        <v>0</v>
      </c>
      <c r="C446" s="174">
        <v>2946975</v>
      </c>
      <c r="D446" s="174">
        <v>1285422</v>
      </c>
      <c r="E446" s="174">
        <v>1661553</v>
      </c>
      <c r="F446" s="183">
        <v>684273</v>
      </c>
      <c r="G446" s="174">
        <f t="shared" si="6"/>
        <v>2345826</v>
      </c>
      <c r="H446" s="174" t="s">
        <v>52</v>
      </c>
    </row>
    <row r="447" spans="1:8">
      <c r="A447" s="174" t="s">
        <v>364</v>
      </c>
      <c r="B447" s="174">
        <v>0</v>
      </c>
      <c r="C447" s="174">
        <v>187196</v>
      </c>
      <c r="D447" s="174">
        <v>0</v>
      </c>
      <c r="E447" s="174">
        <v>187196</v>
      </c>
      <c r="G447" s="174">
        <f t="shared" si="6"/>
        <v>187196</v>
      </c>
      <c r="H447" s="177" t="s">
        <v>51</v>
      </c>
    </row>
    <row r="448" spans="1:8">
      <c r="A448" s="174" t="s">
        <v>365</v>
      </c>
      <c r="B448" s="174">
        <v>0</v>
      </c>
      <c r="C448" s="174">
        <v>4810535.7300000004</v>
      </c>
      <c r="D448" s="174">
        <v>347978</v>
      </c>
      <c r="E448" s="174">
        <v>4462557.7300000004</v>
      </c>
      <c r="F448" s="174">
        <v>320910</v>
      </c>
      <c r="G448" s="174">
        <f t="shared" si="6"/>
        <v>4783467.7300000004</v>
      </c>
      <c r="H448" s="174" t="s">
        <v>51</v>
      </c>
    </row>
    <row r="449" spans="1:8">
      <c r="A449" s="174" t="s">
        <v>366</v>
      </c>
      <c r="B449" s="174">
        <v>0</v>
      </c>
      <c r="C449" s="174">
        <v>12457</v>
      </c>
      <c r="D449" s="174">
        <v>0</v>
      </c>
      <c r="E449" s="174">
        <v>12457</v>
      </c>
      <c r="G449" s="174">
        <f t="shared" si="6"/>
        <v>12457</v>
      </c>
      <c r="H449" s="174" t="s">
        <v>51</v>
      </c>
    </row>
    <row r="450" spans="1:8">
      <c r="A450" s="174" t="s">
        <v>706</v>
      </c>
      <c r="B450" s="174">
        <v>0</v>
      </c>
      <c r="C450" s="174">
        <v>600</v>
      </c>
      <c r="D450" s="174">
        <v>0</v>
      </c>
      <c r="E450" s="174">
        <v>600</v>
      </c>
      <c r="G450" s="174">
        <f t="shared" si="6"/>
        <v>600</v>
      </c>
      <c r="H450" s="174" t="s">
        <v>51</v>
      </c>
    </row>
    <row r="451" spans="1:8">
      <c r="A451" s="174" t="s">
        <v>367</v>
      </c>
      <c r="B451" s="174">
        <v>0</v>
      </c>
      <c r="C451" s="174">
        <v>9980884</v>
      </c>
      <c r="D451" s="174">
        <v>0</v>
      </c>
      <c r="E451" s="174">
        <v>9980884</v>
      </c>
      <c r="G451" s="174">
        <f t="shared" ref="G451:G514" si="7">E451+F451</f>
        <v>9980884</v>
      </c>
      <c r="H451" s="174" t="s">
        <v>51</v>
      </c>
    </row>
    <row r="452" spans="1:8">
      <c r="A452" s="174" t="s">
        <v>368</v>
      </c>
      <c r="B452" s="174">
        <v>0</v>
      </c>
      <c r="C452" s="174">
        <v>884620</v>
      </c>
      <c r="D452" s="174">
        <v>0</v>
      </c>
      <c r="E452" s="174">
        <v>884620</v>
      </c>
      <c r="G452" s="174">
        <f t="shared" si="7"/>
        <v>884620</v>
      </c>
      <c r="H452" s="174" t="s">
        <v>51</v>
      </c>
    </row>
    <row r="453" spans="1:8">
      <c r="A453" s="174" t="s">
        <v>369</v>
      </c>
      <c r="B453" s="174">
        <v>0</v>
      </c>
      <c r="C453" s="174">
        <v>410765</v>
      </c>
      <c r="D453" s="174">
        <v>0</v>
      </c>
      <c r="E453" s="174">
        <v>410765</v>
      </c>
      <c r="G453" s="174">
        <f t="shared" si="7"/>
        <v>410765</v>
      </c>
      <c r="H453" s="174" t="s">
        <v>51</v>
      </c>
    </row>
    <row r="454" spans="1:8">
      <c r="A454" s="174" t="s">
        <v>370</v>
      </c>
      <c r="B454" s="174">
        <v>0</v>
      </c>
      <c r="C454" s="174">
        <v>470369</v>
      </c>
      <c r="D454" s="174">
        <v>0</v>
      </c>
      <c r="E454" s="174">
        <v>470369</v>
      </c>
      <c r="G454" s="174">
        <f t="shared" si="7"/>
        <v>470369</v>
      </c>
      <c r="H454" s="174" t="s">
        <v>51</v>
      </c>
    </row>
    <row r="455" spans="1:8">
      <c r="A455" s="174" t="s">
        <v>371</v>
      </c>
      <c r="B455" s="174">
        <v>0</v>
      </c>
      <c r="C455" s="174">
        <v>880440</v>
      </c>
      <c r="D455" s="174">
        <v>0</v>
      </c>
      <c r="E455" s="174">
        <v>880440</v>
      </c>
      <c r="G455" s="174">
        <f t="shared" si="7"/>
        <v>880440</v>
      </c>
      <c r="H455" s="174" t="s">
        <v>51</v>
      </c>
    </row>
    <row r="456" spans="1:8">
      <c r="A456" s="174" t="s">
        <v>372</v>
      </c>
      <c r="B456" s="174">
        <v>0</v>
      </c>
      <c r="C456" s="174">
        <v>299240</v>
      </c>
      <c r="D456" s="174">
        <v>0</v>
      </c>
      <c r="E456" s="174">
        <v>299240</v>
      </c>
      <c r="G456" s="174">
        <f t="shared" si="7"/>
        <v>299240</v>
      </c>
      <c r="H456" s="174" t="s">
        <v>51</v>
      </c>
    </row>
    <row r="457" spans="1:8">
      <c r="A457" s="174" t="s">
        <v>373</v>
      </c>
      <c r="B457" s="174">
        <v>0</v>
      </c>
      <c r="C457" s="174">
        <v>924371</v>
      </c>
      <c r="D457" s="174">
        <v>0</v>
      </c>
      <c r="E457" s="174">
        <v>924371</v>
      </c>
      <c r="G457" s="174">
        <f t="shared" si="7"/>
        <v>924371</v>
      </c>
      <c r="H457" s="174" t="s">
        <v>51</v>
      </c>
    </row>
    <row r="458" spans="1:8">
      <c r="A458" s="174" t="s">
        <v>1158</v>
      </c>
      <c r="B458" s="174">
        <v>0</v>
      </c>
      <c r="C458" s="174">
        <v>20384</v>
      </c>
      <c r="D458" s="174">
        <v>0</v>
      </c>
      <c r="E458" s="174">
        <v>20384</v>
      </c>
      <c r="G458" s="174">
        <f t="shared" si="7"/>
        <v>20384</v>
      </c>
      <c r="H458" s="174" t="s">
        <v>51</v>
      </c>
    </row>
    <row r="459" spans="1:8">
      <c r="A459" s="177" t="s">
        <v>374</v>
      </c>
      <c r="B459" s="174">
        <v>0</v>
      </c>
      <c r="C459" s="174">
        <v>3491391.57</v>
      </c>
      <c r="D459" s="174">
        <v>0</v>
      </c>
      <c r="E459" s="174">
        <v>3491391.57</v>
      </c>
      <c r="G459" s="174">
        <f t="shared" si="7"/>
        <v>3491391.57</v>
      </c>
      <c r="H459" s="174" t="s">
        <v>51</v>
      </c>
    </row>
    <row r="460" spans="1:8">
      <c r="A460" s="174" t="s">
        <v>363</v>
      </c>
      <c r="B460" s="174">
        <v>0</v>
      </c>
      <c r="C460" s="174">
        <v>297150</v>
      </c>
      <c r="D460" s="174">
        <v>0</v>
      </c>
      <c r="E460" s="174">
        <v>297150</v>
      </c>
      <c r="G460" s="174">
        <f t="shared" si="7"/>
        <v>297150</v>
      </c>
      <c r="H460" s="174" t="s">
        <v>51</v>
      </c>
    </row>
    <row r="461" spans="1:8">
      <c r="A461" s="174" t="s">
        <v>707</v>
      </c>
      <c r="B461" s="174">
        <v>0</v>
      </c>
      <c r="C461" s="174">
        <v>1399264</v>
      </c>
      <c r="D461" s="174">
        <v>610974</v>
      </c>
      <c r="E461" s="174">
        <v>788290</v>
      </c>
      <c r="F461" s="174">
        <v>344324</v>
      </c>
      <c r="G461" s="174">
        <f t="shared" si="7"/>
        <v>1132614</v>
      </c>
      <c r="H461" s="174" t="s">
        <v>51</v>
      </c>
    </row>
    <row r="462" spans="1:8">
      <c r="A462" s="174" t="s">
        <v>1542</v>
      </c>
      <c r="B462" s="174">
        <v>0</v>
      </c>
      <c r="C462" s="174">
        <v>923585</v>
      </c>
      <c r="D462" s="174">
        <v>0</v>
      </c>
      <c r="E462" s="174">
        <v>923585</v>
      </c>
      <c r="G462" s="174">
        <f t="shared" si="7"/>
        <v>923585</v>
      </c>
      <c r="H462" s="174" t="s">
        <v>51</v>
      </c>
    </row>
    <row r="463" spans="1:8">
      <c r="A463" s="174" t="s">
        <v>708</v>
      </c>
      <c r="B463" s="174">
        <v>0</v>
      </c>
      <c r="C463" s="174">
        <v>1735919</v>
      </c>
      <c r="D463" s="174">
        <v>0</v>
      </c>
      <c r="E463" s="174">
        <v>1735919</v>
      </c>
      <c r="G463" s="174">
        <f t="shared" si="7"/>
        <v>1735919</v>
      </c>
      <c r="H463" s="174" t="s">
        <v>51</v>
      </c>
    </row>
    <row r="464" spans="1:8">
      <c r="A464" s="174" t="s">
        <v>352</v>
      </c>
      <c r="B464" s="174">
        <v>0</v>
      </c>
      <c r="C464" s="174">
        <v>5039456</v>
      </c>
      <c r="D464" s="174">
        <v>0</v>
      </c>
      <c r="E464" s="174">
        <v>5039456</v>
      </c>
      <c r="G464" s="174">
        <f t="shared" si="7"/>
        <v>5039456</v>
      </c>
      <c r="H464" s="174" t="s">
        <v>51</v>
      </c>
    </row>
    <row r="465" spans="1:8">
      <c r="A465" s="174" t="s">
        <v>327</v>
      </c>
      <c r="B465" s="174">
        <v>0</v>
      </c>
      <c r="C465" s="174">
        <v>0</v>
      </c>
      <c r="D465" s="174">
        <v>102409</v>
      </c>
      <c r="E465" s="174">
        <v>-102409</v>
      </c>
      <c r="G465" s="174">
        <f t="shared" si="7"/>
        <v>-102409</v>
      </c>
      <c r="H465" s="174" t="s">
        <v>51</v>
      </c>
    </row>
    <row r="466" spans="1:8">
      <c r="A466" s="177" t="s">
        <v>309</v>
      </c>
      <c r="B466" s="174">
        <v>0</v>
      </c>
      <c r="C466" s="174">
        <v>15507686</v>
      </c>
      <c r="D466" s="174">
        <v>0</v>
      </c>
      <c r="E466" s="174">
        <v>15507686</v>
      </c>
      <c r="F466" s="174">
        <f>20000+14955707</f>
        <v>14975707</v>
      </c>
      <c r="G466" s="174">
        <f t="shared" si="7"/>
        <v>30483393</v>
      </c>
      <c r="H466" s="174" t="s">
        <v>51</v>
      </c>
    </row>
    <row r="467" spans="1:8">
      <c r="A467" s="174" t="s">
        <v>709</v>
      </c>
      <c r="B467" s="174">
        <v>0</v>
      </c>
      <c r="C467" s="174">
        <v>341631</v>
      </c>
      <c r="D467" s="174">
        <v>0</v>
      </c>
      <c r="E467" s="174">
        <v>341631</v>
      </c>
      <c r="G467" s="174">
        <f t="shared" si="7"/>
        <v>341631</v>
      </c>
      <c r="H467" s="174" t="s">
        <v>51</v>
      </c>
    </row>
    <row r="468" spans="1:8">
      <c r="A468" s="174" t="s">
        <v>710</v>
      </c>
      <c r="B468" s="174">
        <v>0</v>
      </c>
      <c r="C468" s="174">
        <v>1238551.5</v>
      </c>
      <c r="D468" s="174">
        <v>0</v>
      </c>
      <c r="E468" s="174">
        <v>1238551.5</v>
      </c>
      <c r="G468" s="174">
        <f t="shared" si="7"/>
        <v>1238551.5</v>
      </c>
      <c r="H468" s="174" t="s">
        <v>51</v>
      </c>
    </row>
    <row r="469" spans="1:8">
      <c r="A469" s="174" t="s">
        <v>1403</v>
      </c>
      <c r="B469" s="174">
        <v>0</v>
      </c>
      <c r="C469" s="174">
        <v>27000</v>
      </c>
      <c r="D469" s="174">
        <v>0</v>
      </c>
      <c r="E469" s="174">
        <v>27000</v>
      </c>
      <c r="G469" s="174">
        <f t="shared" si="7"/>
        <v>27000</v>
      </c>
      <c r="H469" s="174" t="s">
        <v>80</v>
      </c>
    </row>
    <row r="470" spans="1:8">
      <c r="A470" s="174" t="s">
        <v>353</v>
      </c>
      <c r="B470" s="174">
        <v>0</v>
      </c>
      <c r="C470" s="174">
        <v>1405307.24</v>
      </c>
      <c r="D470" s="174">
        <v>534775</v>
      </c>
      <c r="E470" s="174">
        <v>870532.24</v>
      </c>
      <c r="G470" s="174">
        <f t="shared" si="7"/>
        <v>870532.24</v>
      </c>
      <c r="H470" s="174" t="s">
        <v>54</v>
      </c>
    </row>
    <row r="471" spans="1:8">
      <c r="A471" s="174" t="s">
        <v>1439</v>
      </c>
      <c r="B471" s="174">
        <v>0</v>
      </c>
      <c r="C471" s="174">
        <v>480</v>
      </c>
      <c r="D471" s="174">
        <v>0</v>
      </c>
      <c r="E471" s="174">
        <v>480</v>
      </c>
      <c r="G471" s="174">
        <f t="shared" si="7"/>
        <v>480</v>
      </c>
      <c r="H471" s="174" t="s">
        <v>54</v>
      </c>
    </row>
    <row r="472" spans="1:8">
      <c r="A472" s="174" t="s">
        <v>344</v>
      </c>
      <c r="B472" s="174">
        <v>0</v>
      </c>
      <c r="C472" s="174">
        <v>150602</v>
      </c>
      <c r="D472" s="174">
        <v>0</v>
      </c>
      <c r="E472" s="174">
        <v>150602</v>
      </c>
      <c r="F472" s="174">
        <v>176812</v>
      </c>
      <c r="G472" s="174">
        <f t="shared" si="7"/>
        <v>327414</v>
      </c>
      <c r="H472" s="174" t="s">
        <v>54</v>
      </c>
    </row>
    <row r="473" spans="1:8">
      <c r="A473" s="174" t="s">
        <v>359</v>
      </c>
      <c r="B473" s="174">
        <v>0</v>
      </c>
      <c r="C473" s="174">
        <v>1000130.13</v>
      </c>
      <c r="D473" s="174">
        <v>1669.95</v>
      </c>
      <c r="E473" s="174">
        <v>998460.18</v>
      </c>
      <c r="G473" s="174">
        <f t="shared" si="7"/>
        <v>998460.18</v>
      </c>
      <c r="H473" s="174" t="s">
        <v>1054</v>
      </c>
    </row>
    <row r="474" spans="1:8">
      <c r="A474" s="174" t="s">
        <v>1043</v>
      </c>
      <c r="B474" s="174">
        <v>0</v>
      </c>
      <c r="C474" s="174">
        <v>41300</v>
      </c>
      <c r="D474" s="174">
        <v>0</v>
      </c>
      <c r="E474" s="174">
        <v>41300</v>
      </c>
      <c r="G474" s="174">
        <f t="shared" si="7"/>
        <v>41300</v>
      </c>
      <c r="H474" s="174" t="s">
        <v>1054</v>
      </c>
    </row>
    <row r="475" spans="1:8">
      <c r="A475" s="174" t="s">
        <v>711</v>
      </c>
      <c r="B475" s="174">
        <v>0</v>
      </c>
      <c r="C475" s="174">
        <v>11254.8</v>
      </c>
      <c r="D475" s="174">
        <v>0</v>
      </c>
      <c r="E475" s="174">
        <v>11254.8</v>
      </c>
      <c r="G475" s="174">
        <f t="shared" si="7"/>
        <v>11254.8</v>
      </c>
      <c r="H475" s="174" t="s">
        <v>1054</v>
      </c>
    </row>
    <row r="476" spans="1:8">
      <c r="A476" s="174" t="s">
        <v>712</v>
      </c>
      <c r="B476" s="174">
        <v>0</v>
      </c>
      <c r="C476" s="174">
        <v>2360</v>
      </c>
      <c r="D476" s="174">
        <v>0</v>
      </c>
      <c r="E476" s="174">
        <v>2360</v>
      </c>
      <c r="G476" s="174">
        <f t="shared" si="7"/>
        <v>2360</v>
      </c>
      <c r="H476" s="174" t="s">
        <v>1054</v>
      </c>
    </row>
    <row r="477" spans="1:8">
      <c r="A477" s="174" t="s">
        <v>360</v>
      </c>
      <c r="B477" s="174">
        <v>0</v>
      </c>
      <c r="C477" s="174">
        <v>87952.76</v>
      </c>
      <c r="D477" s="174">
        <v>0</v>
      </c>
      <c r="E477" s="174">
        <v>87952.76</v>
      </c>
      <c r="G477" s="174">
        <f t="shared" si="7"/>
        <v>87952.76</v>
      </c>
      <c r="H477" s="174" t="s">
        <v>1054</v>
      </c>
    </row>
    <row r="478" spans="1:8">
      <c r="A478" s="174" t="s">
        <v>414</v>
      </c>
      <c r="B478" s="174">
        <v>0</v>
      </c>
      <c r="C478" s="174">
        <v>2920</v>
      </c>
      <c r="D478" s="174">
        <v>0</v>
      </c>
      <c r="E478" s="174">
        <v>2920</v>
      </c>
      <c r="G478" s="174">
        <f t="shared" si="7"/>
        <v>2920</v>
      </c>
      <c r="H478" s="174" t="s">
        <v>1054</v>
      </c>
    </row>
    <row r="479" spans="1:8">
      <c r="A479" s="174" t="s">
        <v>361</v>
      </c>
      <c r="B479" s="174">
        <v>0</v>
      </c>
      <c r="C479" s="174">
        <v>8500</v>
      </c>
      <c r="D479" s="174">
        <v>0</v>
      </c>
      <c r="E479" s="174">
        <v>8500</v>
      </c>
      <c r="G479" s="174">
        <f t="shared" si="7"/>
        <v>8500</v>
      </c>
      <c r="H479" s="174" t="s">
        <v>1054</v>
      </c>
    </row>
    <row r="480" spans="1:8">
      <c r="A480" s="174" t="s">
        <v>713</v>
      </c>
      <c r="B480" s="174">
        <v>0</v>
      </c>
      <c r="C480" s="174">
        <v>276710</v>
      </c>
      <c r="D480" s="174">
        <v>0</v>
      </c>
      <c r="E480" s="174">
        <v>276710</v>
      </c>
      <c r="G480" s="174">
        <f t="shared" si="7"/>
        <v>276710</v>
      </c>
      <c r="H480" s="174" t="s">
        <v>1054</v>
      </c>
    </row>
    <row r="481" spans="1:8">
      <c r="A481" s="174" t="s">
        <v>362</v>
      </c>
      <c r="B481" s="174">
        <v>0</v>
      </c>
      <c r="C481" s="174">
        <v>3453991.16</v>
      </c>
      <c r="D481" s="174">
        <v>3380095.66</v>
      </c>
      <c r="E481" s="174">
        <v>73895.5</v>
      </c>
      <c r="G481" s="174">
        <f t="shared" si="7"/>
        <v>73895.5</v>
      </c>
      <c r="H481" s="174" t="s">
        <v>1054</v>
      </c>
    </row>
    <row r="482" spans="1:8">
      <c r="A482" s="174" t="s">
        <v>357</v>
      </c>
      <c r="B482" s="174">
        <v>0</v>
      </c>
      <c r="C482" s="174">
        <v>25388182.329999998</v>
      </c>
      <c r="D482" s="174">
        <v>29844999.300000001</v>
      </c>
      <c r="E482" s="174">
        <v>-4456816.97</v>
      </c>
      <c r="F482" s="108">
        <v>-25161872</v>
      </c>
      <c r="G482" s="175">
        <f t="shared" si="7"/>
        <v>-29618688.969999999</v>
      </c>
      <c r="H482" s="174" t="s">
        <v>73</v>
      </c>
    </row>
    <row r="483" spans="1:8">
      <c r="A483" s="176" t="s">
        <v>714</v>
      </c>
      <c r="B483" s="174">
        <v>0</v>
      </c>
      <c r="C483" s="174">
        <v>348061.53</v>
      </c>
      <c r="D483" s="174">
        <v>1928685.71</v>
      </c>
      <c r="E483" s="174">
        <v>-1580624.18</v>
      </c>
      <c r="G483" s="174">
        <f t="shared" si="7"/>
        <v>-1580624.18</v>
      </c>
      <c r="H483" s="174" t="s">
        <v>73</v>
      </c>
    </row>
    <row r="484" spans="1:8">
      <c r="A484" s="174" t="s">
        <v>1044</v>
      </c>
      <c r="B484" s="174">
        <v>0</v>
      </c>
      <c r="C484" s="174">
        <v>7421781</v>
      </c>
      <c r="D484" s="174">
        <v>33543</v>
      </c>
      <c r="E484" s="174">
        <v>7388238</v>
      </c>
      <c r="G484" s="174">
        <f t="shared" si="7"/>
        <v>7388238</v>
      </c>
      <c r="H484" s="174" t="s">
        <v>1055</v>
      </c>
    </row>
    <row r="485" spans="1:8">
      <c r="A485" s="174" t="s">
        <v>346</v>
      </c>
      <c r="B485" s="174">
        <v>0</v>
      </c>
      <c r="C485" s="174">
        <v>704724.15</v>
      </c>
      <c r="D485" s="174">
        <v>0</v>
      </c>
      <c r="E485" s="174">
        <v>704724.15</v>
      </c>
      <c r="G485" s="174">
        <f t="shared" si="7"/>
        <v>704724.15</v>
      </c>
      <c r="H485" s="174" t="s">
        <v>1054</v>
      </c>
    </row>
    <row r="486" spans="1:8">
      <c r="A486" s="174" t="s">
        <v>715</v>
      </c>
      <c r="B486" s="174">
        <v>0</v>
      </c>
      <c r="C486" s="174">
        <v>9439329.0299999993</v>
      </c>
      <c r="D486" s="174">
        <v>465610.4</v>
      </c>
      <c r="E486" s="174">
        <v>8973718.6300000008</v>
      </c>
      <c r="G486" s="174">
        <f t="shared" si="7"/>
        <v>8973718.6300000008</v>
      </c>
      <c r="H486" s="174" t="s">
        <v>339</v>
      </c>
    </row>
    <row r="487" spans="1:8">
      <c r="A487" s="174" t="s">
        <v>338</v>
      </c>
      <c r="B487" s="174">
        <v>0</v>
      </c>
      <c r="C487" s="174">
        <v>2500989.77</v>
      </c>
      <c r="D487" s="174">
        <v>1685018.48</v>
      </c>
      <c r="E487" s="174">
        <v>815971.29</v>
      </c>
      <c r="G487" s="174">
        <f t="shared" si="7"/>
        <v>815971.29</v>
      </c>
      <c r="H487" s="174" t="s">
        <v>339</v>
      </c>
    </row>
    <row r="488" spans="1:8">
      <c r="A488" s="174" t="s">
        <v>1440</v>
      </c>
      <c r="B488" s="174">
        <v>0</v>
      </c>
      <c r="C488" s="174">
        <v>31469</v>
      </c>
      <c r="D488" s="174">
        <v>0</v>
      </c>
      <c r="E488" s="174">
        <v>31469</v>
      </c>
      <c r="G488" s="174">
        <f t="shared" si="7"/>
        <v>31469</v>
      </c>
      <c r="H488" s="174" t="s">
        <v>339</v>
      </c>
    </row>
    <row r="489" spans="1:8">
      <c r="A489" s="174" t="s">
        <v>716</v>
      </c>
      <c r="B489" s="174">
        <v>0</v>
      </c>
      <c r="C489" s="174">
        <v>4150658.75</v>
      </c>
      <c r="D489" s="174">
        <v>0</v>
      </c>
      <c r="E489" s="174">
        <v>4150658.75</v>
      </c>
      <c r="G489" s="174">
        <f t="shared" si="7"/>
        <v>4150658.75</v>
      </c>
      <c r="H489" s="174" t="s">
        <v>339</v>
      </c>
    </row>
    <row r="490" spans="1:8">
      <c r="A490" s="174" t="s">
        <v>717</v>
      </c>
      <c r="B490" s="174">
        <v>0</v>
      </c>
      <c r="C490" s="174">
        <v>4159804.81</v>
      </c>
      <c r="D490" s="174">
        <v>19515</v>
      </c>
      <c r="E490" s="174">
        <v>4140289.81</v>
      </c>
      <c r="G490" s="174">
        <f t="shared" si="7"/>
        <v>4140289.81</v>
      </c>
      <c r="H490" s="174" t="s">
        <v>1056</v>
      </c>
    </row>
    <row r="491" spans="1:8">
      <c r="A491" s="174" t="s">
        <v>339</v>
      </c>
      <c r="B491" s="174">
        <v>0</v>
      </c>
      <c r="C491" s="174">
        <v>596266.32999999996</v>
      </c>
      <c r="D491" s="174">
        <v>56823</v>
      </c>
      <c r="E491" s="174">
        <v>539443.32999999996</v>
      </c>
      <c r="G491" s="174">
        <f t="shared" si="7"/>
        <v>539443.32999999996</v>
      </c>
      <c r="H491" s="174" t="s">
        <v>339</v>
      </c>
    </row>
    <row r="492" spans="1:8">
      <c r="A492" s="174" t="s">
        <v>1441</v>
      </c>
      <c r="B492" s="174">
        <v>0</v>
      </c>
      <c r="C492" s="174">
        <v>625000</v>
      </c>
      <c r="D492" s="174">
        <v>500000</v>
      </c>
      <c r="E492" s="174">
        <v>125000</v>
      </c>
      <c r="G492" s="174">
        <f t="shared" si="7"/>
        <v>125000</v>
      </c>
      <c r="H492" s="174" t="s">
        <v>71</v>
      </c>
    </row>
    <row r="493" spans="1:8">
      <c r="A493" s="174" t="s">
        <v>1404</v>
      </c>
      <c r="B493" s="174">
        <v>0</v>
      </c>
      <c r="C493" s="174">
        <v>600</v>
      </c>
      <c r="D493" s="174">
        <v>0</v>
      </c>
      <c r="E493" s="174">
        <v>600</v>
      </c>
      <c r="G493" s="174">
        <f t="shared" si="7"/>
        <v>600</v>
      </c>
      <c r="H493" s="174" t="s">
        <v>80</v>
      </c>
    </row>
    <row r="494" spans="1:8">
      <c r="A494" s="174" t="s">
        <v>1159</v>
      </c>
      <c r="B494" s="174">
        <v>0</v>
      </c>
      <c r="C494" s="174">
        <v>271.67</v>
      </c>
      <c r="D494" s="174">
        <v>0</v>
      </c>
      <c r="E494" s="174">
        <v>271.67</v>
      </c>
      <c r="G494" s="174">
        <f t="shared" si="7"/>
        <v>271.67</v>
      </c>
      <c r="H494" s="174" t="s">
        <v>80</v>
      </c>
    </row>
    <row r="495" spans="1:8">
      <c r="A495" s="174" t="s">
        <v>1442</v>
      </c>
      <c r="B495" s="174">
        <v>0</v>
      </c>
      <c r="C495" s="174">
        <v>370</v>
      </c>
      <c r="D495" s="174">
        <v>0</v>
      </c>
      <c r="E495" s="174">
        <v>370</v>
      </c>
      <c r="G495" s="174">
        <f t="shared" si="7"/>
        <v>370</v>
      </c>
      <c r="H495" s="174" t="s">
        <v>80</v>
      </c>
    </row>
    <row r="496" spans="1:8">
      <c r="A496" s="174" t="s">
        <v>1160</v>
      </c>
      <c r="B496" s="174">
        <v>0</v>
      </c>
      <c r="C496" s="174">
        <v>4941</v>
      </c>
      <c r="D496" s="174">
        <v>0</v>
      </c>
      <c r="E496" s="174">
        <v>4941</v>
      </c>
      <c r="G496" s="174">
        <f t="shared" si="7"/>
        <v>4941</v>
      </c>
      <c r="H496" s="174" t="s">
        <v>80</v>
      </c>
    </row>
    <row r="497" spans="1:8">
      <c r="A497" s="174" t="s">
        <v>334</v>
      </c>
      <c r="B497" s="174">
        <v>0</v>
      </c>
      <c r="C497" s="174">
        <v>2324615</v>
      </c>
      <c r="D497" s="174">
        <v>0</v>
      </c>
      <c r="E497" s="174">
        <v>2324615</v>
      </c>
      <c r="G497" s="174">
        <f t="shared" si="7"/>
        <v>2324615</v>
      </c>
      <c r="H497" s="174" t="s">
        <v>71</v>
      </c>
    </row>
    <row r="498" spans="1:8">
      <c r="A498" s="174" t="s">
        <v>337</v>
      </c>
      <c r="B498" s="174">
        <v>0</v>
      </c>
      <c r="C498" s="174">
        <v>557124.80000000005</v>
      </c>
      <c r="D498" s="174">
        <v>0</v>
      </c>
      <c r="E498" s="174">
        <v>557124.80000000005</v>
      </c>
      <c r="G498" s="174">
        <f t="shared" si="7"/>
        <v>557124.80000000005</v>
      </c>
      <c r="H498" s="174" t="s">
        <v>70</v>
      </c>
    </row>
    <row r="499" spans="1:8">
      <c r="A499" s="174" t="s">
        <v>1443</v>
      </c>
      <c r="B499" s="174">
        <v>0</v>
      </c>
      <c r="C499" s="174">
        <v>4000</v>
      </c>
      <c r="D499" s="174">
        <v>0</v>
      </c>
      <c r="E499" s="174">
        <v>4000</v>
      </c>
      <c r="G499" s="174">
        <f t="shared" si="7"/>
        <v>4000</v>
      </c>
      <c r="H499" s="174" t="s">
        <v>71</v>
      </c>
    </row>
    <row r="500" spans="1:8">
      <c r="A500" s="174" t="s">
        <v>342</v>
      </c>
      <c r="B500" s="174">
        <v>0</v>
      </c>
      <c r="C500" s="174">
        <v>7920</v>
      </c>
      <c r="D500" s="174">
        <v>0</v>
      </c>
      <c r="E500" s="174">
        <v>7920</v>
      </c>
      <c r="G500" s="174">
        <f t="shared" si="7"/>
        <v>7920</v>
      </c>
      <c r="H500" s="174" t="s">
        <v>71</v>
      </c>
    </row>
    <row r="501" spans="1:8">
      <c r="A501" s="174" t="s">
        <v>324</v>
      </c>
      <c r="B501" s="174">
        <v>0</v>
      </c>
      <c r="C501" s="174">
        <v>2196129.9700000002</v>
      </c>
      <c r="D501" s="174">
        <v>443750</v>
      </c>
      <c r="E501" s="174">
        <v>1752379.97</v>
      </c>
      <c r="F501" s="174">
        <v>639867</v>
      </c>
      <c r="G501" s="174">
        <f t="shared" si="7"/>
        <v>2392246.9699999997</v>
      </c>
      <c r="H501" s="174" t="s">
        <v>71</v>
      </c>
    </row>
    <row r="502" spans="1:8">
      <c r="A502" s="174" t="s">
        <v>1444</v>
      </c>
      <c r="B502" s="174">
        <v>0</v>
      </c>
      <c r="C502" s="174">
        <v>0.85</v>
      </c>
      <c r="D502" s="174">
        <v>10.89</v>
      </c>
      <c r="E502" s="174">
        <v>-10.039999999999999</v>
      </c>
      <c r="G502" s="174">
        <f t="shared" si="7"/>
        <v>-10.039999999999999</v>
      </c>
      <c r="H502" s="174" t="s">
        <v>71</v>
      </c>
    </row>
    <row r="503" spans="1:8">
      <c r="A503" s="174" t="s">
        <v>354</v>
      </c>
      <c r="B503" s="174">
        <v>0</v>
      </c>
      <c r="C503" s="174">
        <v>6995439.6299999999</v>
      </c>
      <c r="D503" s="174">
        <v>34999.120000000003</v>
      </c>
      <c r="E503" s="174">
        <v>6960440.5099999998</v>
      </c>
      <c r="F503" s="174">
        <v>1178682</v>
      </c>
      <c r="G503" s="174">
        <f t="shared" si="7"/>
        <v>8139122.5099999998</v>
      </c>
      <c r="H503" s="174" t="s">
        <v>67</v>
      </c>
    </row>
    <row r="504" spans="1:8">
      <c r="A504" s="174" t="s">
        <v>1161</v>
      </c>
      <c r="B504" s="174">
        <v>0</v>
      </c>
      <c r="C504" s="174">
        <v>185663.73</v>
      </c>
      <c r="D504" s="174">
        <v>1.25</v>
      </c>
      <c r="E504" s="174">
        <v>185662.48</v>
      </c>
      <c r="G504" s="174">
        <f t="shared" si="7"/>
        <v>185662.48</v>
      </c>
      <c r="H504" s="174" t="s">
        <v>303</v>
      </c>
    </row>
    <row r="505" spans="1:8">
      <c r="A505" s="174" t="s">
        <v>718</v>
      </c>
      <c r="B505" s="174">
        <v>0</v>
      </c>
      <c r="C505" s="174">
        <v>16073.88</v>
      </c>
      <c r="D505" s="174">
        <v>0</v>
      </c>
      <c r="E505" s="174">
        <v>16073.88</v>
      </c>
      <c r="G505" s="174">
        <f t="shared" si="7"/>
        <v>16073.88</v>
      </c>
      <c r="H505" s="174" t="s">
        <v>67</v>
      </c>
    </row>
    <row r="506" spans="1:8">
      <c r="A506" s="174" t="s">
        <v>398</v>
      </c>
      <c r="B506" s="174">
        <v>0</v>
      </c>
      <c r="C506" s="174">
        <v>8197.6</v>
      </c>
      <c r="D506" s="174">
        <v>2832</v>
      </c>
      <c r="E506" s="174">
        <v>5365.6</v>
      </c>
      <c r="G506" s="174">
        <f t="shared" si="7"/>
        <v>5365.6</v>
      </c>
      <c r="H506" s="174" t="s">
        <v>71</v>
      </c>
    </row>
    <row r="507" spans="1:8">
      <c r="A507" s="174" t="s">
        <v>349</v>
      </c>
      <c r="B507" s="174">
        <v>0</v>
      </c>
      <c r="C507" s="174">
        <v>1460610</v>
      </c>
      <c r="D507" s="174">
        <v>16363813.51</v>
      </c>
      <c r="E507" s="174">
        <v>-14903203.51</v>
      </c>
      <c r="F507" s="174">
        <v>-10733989</v>
      </c>
      <c r="G507" s="174">
        <f>E507-F507</f>
        <v>-4169214.51</v>
      </c>
      <c r="H507" s="174" t="s">
        <v>67</v>
      </c>
    </row>
    <row r="508" spans="1:8">
      <c r="A508" s="174" t="s">
        <v>350</v>
      </c>
      <c r="B508" s="174">
        <v>0</v>
      </c>
      <c r="C508" s="174">
        <v>1849050</v>
      </c>
      <c r="D508" s="174">
        <v>0</v>
      </c>
      <c r="E508" s="174">
        <v>1849050</v>
      </c>
      <c r="F508" s="174">
        <v>336000</v>
      </c>
      <c r="G508" s="174">
        <f t="shared" si="7"/>
        <v>2185050</v>
      </c>
      <c r="H508" s="174" t="s">
        <v>67</v>
      </c>
    </row>
    <row r="509" spans="1:8">
      <c r="A509" s="174" t="s">
        <v>351</v>
      </c>
      <c r="B509" s="174">
        <v>0</v>
      </c>
      <c r="C509" s="174">
        <v>6380844.79</v>
      </c>
      <c r="D509" s="174">
        <v>21500</v>
      </c>
      <c r="E509" s="174">
        <v>6359344.79</v>
      </c>
      <c r="F509" s="174">
        <v>345940</v>
      </c>
      <c r="G509" s="174">
        <f t="shared" si="7"/>
        <v>6705284.79</v>
      </c>
      <c r="H509" s="174" t="s">
        <v>67</v>
      </c>
    </row>
    <row r="510" spans="1:8">
      <c r="A510" s="174" t="s">
        <v>1162</v>
      </c>
      <c r="B510" s="174">
        <v>0</v>
      </c>
      <c r="C510" s="174">
        <v>152663</v>
      </c>
      <c r="D510" s="174">
        <v>0</v>
      </c>
      <c r="E510" s="174">
        <v>152663</v>
      </c>
      <c r="G510" s="174">
        <f t="shared" si="7"/>
        <v>152663</v>
      </c>
      <c r="H510" s="174" t="s">
        <v>67</v>
      </c>
    </row>
    <row r="511" spans="1:8">
      <c r="A511" s="174" t="s">
        <v>1163</v>
      </c>
      <c r="B511" s="174">
        <v>0</v>
      </c>
      <c r="C511" s="174">
        <v>122506.3</v>
      </c>
      <c r="D511" s="174">
        <v>0</v>
      </c>
      <c r="E511" s="174">
        <v>122506.3</v>
      </c>
      <c r="G511" s="174">
        <f t="shared" si="7"/>
        <v>122506.3</v>
      </c>
      <c r="H511" s="174" t="s">
        <v>67</v>
      </c>
    </row>
    <row r="512" spans="1:8">
      <c r="A512" s="174" t="s">
        <v>719</v>
      </c>
      <c r="B512" s="174">
        <v>0</v>
      </c>
      <c r="C512" s="174">
        <v>2887797.84</v>
      </c>
      <c r="D512" s="174">
        <v>391879.23</v>
      </c>
      <c r="E512" s="174">
        <v>2495918.61</v>
      </c>
      <c r="G512" s="174">
        <f t="shared" si="7"/>
        <v>2495918.61</v>
      </c>
      <c r="H512" s="174" t="s">
        <v>67</v>
      </c>
    </row>
    <row r="513" spans="1:8">
      <c r="A513" s="174" t="s">
        <v>336</v>
      </c>
      <c r="B513" s="174">
        <v>0</v>
      </c>
      <c r="C513" s="174">
        <v>0</v>
      </c>
      <c r="D513" s="174">
        <v>55909.96</v>
      </c>
      <c r="E513" s="174">
        <v>-55909.96</v>
      </c>
      <c r="G513" s="174">
        <f t="shared" si="7"/>
        <v>-55909.96</v>
      </c>
      <c r="H513" s="174" t="s">
        <v>67</v>
      </c>
    </row>
    <row r="514" spans="1:8">
      <c r="A514" s="174" t="s">
        <v>1565</v>
      </c>
      <c r="B514" s="174">
        <v>0</v>
      </c>
      <c r="C514" s="174">
        <v>18000</v>
      </c>
      <c r="D514" s="174">
        <v>0</v>
      </c>
      <c r="E514" s="174">
        <v>18000</v>
      </c>
      <c r="G514" s="174">
        <f t="shared" si="7"/>
        <v>18000</v>
      </c>
      <c r="H514" s="174" t="s">
        <v>63</v>
      </c>
    </row>
    <row r="515" spans="1:8">
      <c r="A515" s="174" t="s">
        <v>305</v>
      </c>
      <c r="B515" s="174">
        <v>0</v>
      </c>
      <c r="C515" s="174">
        <v>0</v>
      </c>
      <c r="D515" s="174">
        <v>12652009</v>
      </c>
      <c r="E515" s="174">
        <v>-12652009</v>
      </c>
      <c r="G515" s="174">
        <f t="shared" ref="G515:G578" si="8">E515+F515</f>
        <v>-12652009</v>
      </c>
      <c r="H515" s="174" t="s">
        <v>303</v>
      </c>
    </row>
    <row r="516" spans="1:8">
      <c r="A516" s="174" t="s">
        <v>307</v>
      </c>
      <c r="B516" s="174">
        <v>0</v>
      </c>
      <c r="C516" s="174">
        <v>478700.42</v>
      </c>
      <c r="D516" s="174">
        <v>330165732.32999998</v>
      </c>
      <c r="E516" s="174">
        <v>-329687031.91000003</v>
      </c>
      <c r="G516" s="174">
        <f t="shared" si="8"/>
        <v>-329687031.91000003</v>
      </c>
      <c r="H516" s="174" t="s">
        <v>303</v>
      </c>
    </row>
    <row r="517" spans="1:8">
      <c r="A517" s="174" t="s">
        <v>304</v>
      </c>
      <c r="B517" s="174">
        <v>0</v>
      </c>
      <c r="C517" s="174">
        <v>0</v>
      </c>
      <c r="D517" s="174">
        <v>273732635.11000001</v>
      </c>
      <c r="E517" s="174">
        <v>-273732635.11000001</v>
      </c>
      <c r="G517" s="174">
        <f t="shared" si="8"/>
        <v>-273732635.11000001</v>
      </c>
      <c r="H517" s="174" t="s">
        <v>303</v>
      </c>
    </row>
    <row r="518" spans="1:8">
      <c r="A518" s="174" t="s">
        <v>405</v>
      </c>
      <c r="B518" s="174">
        <v>0</v>
      </c>
      <c r="C518" s="174">
        <v>0</v>
      </c>
      <c r="D518" s="174">
        <v>174791423.61000001</v>
      </c>
      <c r="E518" s="174">
        <v>-174791423.61000001</v>
      </c>
      <c r="G518" s="174">
        <f t="shared" si="8"/>
        <v>-174791423.61000001</v>
      </c>
      <c r="H518" s="174" t="s">
        <v>303</v>
      </c>
    </row>
    <row r="519" spans="1:8">
      <c r="A519" s="174" t="s">
        <v>1164</v>
      </c>
      <c r="B519" s="174">
        <v>0</v>
      </c>
      <c r="C519" s="174">
        <v>0</v>
      </c>
      <c r="D519" s="174">
        <v>36299338.950000003</v>
      </c>
      <c r="E519" s="174">
        <v>-36299338.950000003</v>
      </c>
      <c r="G519" s="174">
        <f t="shared" si="8"/>
        <v>-36299338.950000003</v>
      </c>
      <c r="H519" s="233" t="s">
        <v>10</v>
      </c>
    </row>
    <row r="520" spans="1:8">
      <c r="A520" s="174" t="s">
        <v>29</v>
      </c>
      <c r="B520" s="174">
        <v>0</v>
      </c>
      <c r="C520" s="174">
        <v>200000</v>
      </c>
      <c r="D520" s="174">
        <v>0</v>
      </c>
      <c r="E520" s="174">
        <v>200000</v>
      </c>
      <c r="G520" s="174">
        <f t="shared" si="8"/>
        <v>200000</v>
      </c>
      <c r="H520" s="174" t="s">
        <v>29</v>
      </c>
    </row>
    <row r="521" spans="1:8">
      <c r="A521" s="174" t="s">
        <v>441</v>
      </c>
      <c r="B521" s="174">
        <v>0</v>
      </c>
      <c r="C521" s="174">
        <v>0</v>
      </c>
      <c r="D521" s="174">
        <v>179700</v>
      </c>
      <c r="E521" s="174">
        <v>-179700</v>
      </c>
      <c r="G521" s="174">
        <f t="shared" si="8"/>
        <v>-179700</v>
      </c>
      <c r="H521" s="174" t="s">
        <v>6</v>
      </c>
    </row>
    <row r="522" spans="1:8">
      <c r="A522" s="174" t="s">
        <v>1445</v>
      </c>
      <c r="B522" s="174">
        <v>0</v>
      </c>
      <c r="C522" s="174">
        <v>0</v>
      </c>
      <c r="D522" s="174">
        <v>70944</v>
      </c>
      <c r="E522" s="174">
        <v>-70944</v>
      </c>
      <c r="G522" s="174">
        <f t="shared" si="8"/>
        <v>-70944</v>
      </c>
      <c r="H522" s="174" t="s">
        <v>306</v>
      </c>
    </row>
    <row r="523" spans="1:8">
      <c r="A523" s="174" t="s">
        <v>308</v>
      </c>
      <c r="B523" s="174">
        <v>0</v>
      </c>
      <c r="C523" s="174">
        <v>0</v>
      </c>
      <c r="D523" s="174">
        <v>5911890.5300000003</v>
      </c>
      <c r="E523" s="174">
        <v>-5911890.5300000003</v>
      </c>
      <c r="G523" s="174">
        <f t="shared" si="8"/>
        <v>-5911890.5300000003</v>
      </c>
      <c r="H523" s="174" t="s">
        <v>306</v>
      </c>
    </row>
    <row r="524" spans="1:8">
      <c r="A524" s="174" t="s">
        <v>20</v>
      </c>
      <c r="B524" s="174">
        <v>0</v>
      </c>
      <c r="C524" s="174">
        <v>0</v>
      </c>
      <c r="D524" s="174">
        <v>3196191.7</v>
      </c>
      <c r="E524" s="174">
        <v>-3196191.7</v>
      </c>
      <c r="G524" s="174">
        <f t="shared" si="8"/>
        <v>-3196191.7</v>
      </c>
      <c r="H524" s="174" t="s">
        <v>20</v>
      </c>
    </row>
    <row r="525" spans="1:8">
      <c r="A525" s="174" t="s">
        <v>720</v>
      </c>
      <c r="B525" s="174">
        <v>0</v>
      </c>
      <c r="C525" s="174">
        <v>8.6300000000000008</v>
      </c>
      <c r="D525" s="174">
        <v>0</v>
      </c>
      <c r="E525" s="174">
        <v>8.6300000000000008</v>
      </c>
      <c r="G525" s="174">
        <f t="shared" si="8"/>
        <v>8.6300000000000008</v>
      </c>
      <c r="H525" s="174" t="s">
        <v>80</v>
      </c>
    </row>
    <row r="526" spans="1:8">
      <c r="A526" s="174" t="s">
        <v>1446</v>
      </c>
      <c r="B526" s="174">
        <v>0</v>
      </c>
      <c r="C526" s="174">
        <v>483101</v>
      </c>
      <c r="D526" s="174">
        <v>556716.59</v>
      </c>
      <c r="E526" s="174">
        <v>-73615.59</v>
      </c>
      <c r="G526" s="174">
        <f t="shared" si="8"/>
        <v>-73615.59</v>
      </c>
      <c r="H526" s="174" t="s">
        <v>33</v>
      </c>
    </row>
    <row r="527" spans="1:8">
      <c r="A527" s="174" t="s">
        <v>1447</v>
      </c>
      <c r="B527" s="174">
        <v>0</v>
      </c>
      <c r="C527" s="174">
        <v>0</v>
      </c>
      <c r="D527" s="174">
        <v>554332.07999999996</v>
      </c>
      <c r="E527" s="174">
        <v>-554332.07999999996</v>
      </c>
      <c r="G527" s="174">
        <f t="shared" si="8"/>
        <v>-554332.07999999996</v>
      </c>
      <c r="H527" s="174" t="s">
        <v>36</v>
      </c>
    </row>
    <row r="528" spans="1:8">
      <c r="A528" s="174" t="s">
        <v>721</v>
      </c>
      <c r="B528" s="174">
        <v>-12205204.52</v>
      </c>
      <c r="C528" s="174">
        <v>0</v>
      </c>
      <c r="D528" s="174">
        <v>0</v>
      </c>
      <c r="E528" s="174">
        <v>-12205204.52</v>
      </c>
      <c r="G528" s="174">
        <f t="shared" si="8"/>
        <v>-12205204.52</v>
      </c>
      <c r="H528" s="174" t="s">
        <v>80</v>
      </c>
    </row>
    <row r="529" spans="1:8">
      <c r="A529" s="174" t="s">
        <v>722</v>
      </c>
      <c r="B529" s="174">
        <v>-444856832.20999998</v>
      </c>
      <c r="C529" s="174">
        <v>0</v>
      </c>
      <c r="D529" s="174">
        <v>0</v>
      </c>
      <c r="E529" s="174">
        <v>-444856832.20999998</v>
      </c>
      <c r="G529" s="174">
        <f t="shared" si="8"/>
        <v>-444856832.20999998</v>
      </c>
      <c r="H529" s="174" t="s">
        <v>80</v>
      </c>
    </row>
    <row r="530" spans="1:8">
      <c r="A530" s="174" t="s">
        <v>723</v>
      </c>
      <c r="B530" s="174">
        <v>-1497794</v>
      </c>
      <c r="C530" s="174">
        <v>0</v>
      </c>
      <c r="D530" s="174">
        <v>60245</v>
      </c>
      <c r="E530" s="174">
        <v>-1558039</v>
      </c>
      <c r="G530" s="174">
        <f t="shared" si="8"/>
        <v>-1558039</v>
      </c>
      <c r="H530" s="174" t="s">
        <v>80</v>
      </c>
    </row>
    <row r="531" spans="1:8">
      <c r="A531" s="174" t="s">
        <v>724</v>
      </c>
      <c r="B531" s="174">
        <v>-88032460</v>
      </c>
      <c r="C531" s="174">
        <v>0</v>
      </c>
      <c r="D531" s="174">
        <v>0</v>
      </c>
      <c r="E531" s="174">
        <v>-88032460</v>
      </c>
      <c r="G531" s="174">
        <f t="shared" si="8"/>
        <v>-88032460</v>
      </c>
      <c r="H531" s="174" t="s">
        <v>80</v>
      </c>
    </row>
    <row r="532" spans="1:8">
      <c r="A532" s="174" t="s">
        <v>725</v>
      </c>
      <c r="B532" s="174">
        <v>-3559700</v>
      </c>
      <c r="C532" s="174">
        <v>0</v>
      </c>
      <c r="D532" s="174">
        <v>0</v>
      </c>
      <c r="E532" s="174">
        <v>-3559700</v>
      </c>
      <c r="G532" s="174">
        <f t="shared" si="8"/>
        <v>-3559700</v>
      </c>
      <c r="H532" s="174" t="s">
        <v>80</v>
      </c>
    </row>
    <row r="533" spans="1:8">
      <c r="A533" s="174" t="s">
        <v>272</v>
      </c>
      <c r="B533" s="174">
        <v>0</v>
      </c>
      <c r="C533" s="174">
        <v>22281158.5</v>
      </c>
      <c r="D533" s="174">
        <v>32515800.25</v>
      </c>
      <c r="E533" s="174">
        <v>-10234641.75</v>
      </c>
      <c r="G533" s="174">
        <f t="shared" si="8"/>
        <v>-10234641.75</v>
      </c>
      <c r="H533" s="174" t="s">
        <v>80</v>
      </c>
    </row>
    <row r="534" spans="1:8">
      <c r="A534" s="174" t="s">
        <v>726</v>
      </c>
      <c r="B534" s="174">
        <v>-27624138.809999999</v>
      </c>
      <c r="C534" s="174">
        <v>97397139</v>
      </c>
      <c r="D534" s="174">
        <v>69772994.760000005</v>
      </c>
      <c r="E534" s="174">
        <v>5.43</v>
      </c>
      <c r="G534" s="174">
        <f t="shared" si="8"/>
        <v>5.43</v>
      </c>
      <c r="H534" s="174" t="s">
        <v>80</v>
      </c>
    </row>
    <row r="535" spans="1:8">
      <c r="A535" s="174" t="s">
        <v>727</v>
      </c>
      <c r="B535" s="174">
        <v>-1788030.1</v>
      </c>
      <c r="C535" s="174">
        <v>2352976.1</v>
      </c>
      <c r="D535" s="174">
        <v>564946</v>
      </c>
      <c r="E535" s="174">
        <v>0</v>
      </c>
      <c r="G535" s="174">
        <f t="shared" si="8"/>
        <v>0</v>
      </c>
      <c r="H535" s="174" t="s">
        <v>80</v>
      </c>
    </row>
    <row r="536" spans="1:8">
      <c r="A536" s="174" t="s">
        <v>243</v>
      </c>
      <c r="B536" s="174">
        <v>0</v>
      </c>
      <c r="C536" s="174">
        <v>25330074.620000001</v>
      </c>
      <c r="D536" s="174">
        <v>33746719.759999998</v>
      </c>
      <c r="E536" s="174">
        <v>-8416645.1400000006</v>
      </c>
      <c r="G536" s="174">
        <f t="shared" si="8"/>
        <v>-8416645.1400000006</v>
      </c>
      <c r="H536" s="174" t="s">
        <v>80</v>
      </c>
    </row>
    <row r="537" spans="1:8">
      <c r="A537" s="174" t="s">
        <v>180</v>
      </c>
      <c r="B537" s="174">
        <v>0</v>
      </c>
      <c r="C537" s="174">
        <v>22281158.5</v>
      </c>
      <c r="D537" s="174">
        <v>32515800.25</v>
      </c>
      <c r="E537" s="174">
        <v>-10234641.75</v>
      </c>
      <c r="G537" s="174">
        <f t="shared" si="8"/>
        <v>-10234641.75</v>
      </c>
      <c r="H537" s="174" t="s">
        <v>80</v>
      </c>
    </row>
    <row r="538" spans="1:8">
      <c r="A538" s="174" t="s">
        <v>202</v>
      </c>
      <c r="B538" s="174">
        <v>-128600</v>
      </c>
      <c r="C538" s="174">
        <v>433800</v>
      </c>
      <c r="D538" s="174">
        <v>303000</v>
      </c>
      <c r="E538" s="174">
        <v>2200</v>
      </c>
      <c r="G538" s="174">
        <f t="shared" si="8"/>
        <v>2200</v>
      </c>
      <c r="H538" s="174" t="s">
        <v>80</v>
      </c>
    </row>
    <row r="539" spans="1:8">
      <c r="A539" s="174" t="s">
        <v>1165</v>
      </c>
      <c r="B539" s="174">
        <v>0</v>
      </c>
      <c r="C539" s="174">
        <v>0</v>
      </c>
      <c r="D539" s="174">
        <v>0</v>
      </c>
      <c r="E539" s="174">
        <v>0</v>
      </c>
      <c r="G539" s="174">
        <f t="shared" si="8"/>
        <v>0</v>
      </c>
      <c r="H539" s="174" t="s">
        <v>80</v>
      </c>
    </row>
    <row r="540" spans="1:8">
      <c r="A540" s="174" t="s">
        <v>1166</v>
      </c>
      <c r="B540" s="174">
        <v>0</v>
      </c>
      <c r="C540" s="174">
        <v>0</v>
      </c>
      <c r="D540" s="174">
        <v>0</v>
      </c>
      <c r="E540" s="174">
        <v>0</v>
      </c>
      <c r="G540" s="174">
        <f t="shared" si="8"/>
        <v>0</v>
      </c>
      <c r="H540" s="174" t="s">
        <v>80</v>
      </c>
    </row>
    <row r="541" spans="1:8">
      <c r="A541" s="174" t="s">
        <v>1167</v>
      </c>
      <c r="B541" s="174">
        <v>0</v>
      </c>
      <c r="C541" s="174">
        <v>0</v>
      </c>
      <c r="D541" s="174">
        <v>0</v>
      </c>
      <c r="E541" s="174">
        <v>0</v>
      </c>
      <c r="G541" s="174">
        <f t="shared" si="8"/>
        <v>0</v>
      </c>
      <c r="H541" s="174" t="s">
        <v>80</v>
      </c>
    </row>
    <row r="542" spans="1:8">
      <c r="A542" s="174" t="s">
        <v>1168</v>
      </c>
      <c r="B542" s="174">
        <v>0</v>
      </c>
      <c r="C542" s="174">
        <v>0</v>
      </c>
      <c r="D542" s="174">
        <v>0</v>
      </c>
      <c r="E542" s="174">
        <v>0</v>
      </c>
      <c r="G542" s="174">
        <f t="shared" si="8"/>
        <v>0</v>
      </c>
      <c r="H542" s="174" t="s">
        <v>80</v>
      </c>
    </row>
    <row r="543" spans="1:8">
      <c r="A543" s="174" t="s">
        <v>476</v>
      </c>
      <c r="B543" s="174">
        <v>0.09</v>
      </c>
      <c r="C543" s="174">
        <v>0</v>
      </c>
      <c r="D543" s="174">
        <v>0</v>
      </c>
      <c r="E543" s="174">
        <v>0.09</v>
      </c>
      <c r="G543" s="174">
        <f t="shared" si="8"/>
        <v>0.09</v>
      </c>
      <c r="H543" s="174" t="s">
        <v>80</v>
      </c>
    </row>
    <row r="544" spans="1:8">
      <c r="A544" s="174" t="s">
        <v>432</v>
      </c>
      <c r="B544" s="174">
        <v>-1541.53</v>
      </c>
      <c r="C544" s="174">
        <v>1542</v>
      </c>
      <c r="D544" s="174">
        <v>0</v>
      </c>
      <c r="E544" s="174">
        <v>0.47</v>
      </c>
      <c r="G544" s="174">
        <f t="shared" si="8"/>
        <v>0.47</v>
      </c>
      <c r="H544" s="174" t="s">
        <v>80</v>
      </c>
    </row>
    <row r="545" spans="1:8">
      <c r="A545" s="174" t="s">
        <v>506</v>
      </c>
      <c r="B545" s="174">
        <v>0</v>
      </c>
      <c r="C545" s="174">
        <v>55712</v>
      </c>
      <c r="D545" s="174">
        <v>74562.03</v>
      </c>
      <c r="E545" s="174">
        <v>-18850.03</v>
      </c>
      <c r="G545" s="174">
        <f t="shared" si="8"/>
        <v>-18850.03</v>
      </c>
      <c r="H545" s="174" t="s">
        <v>80</v>
      </c>
    </row>
    <row r="546" spans="1:8">
      <c r="A546" s="174" t="s">
        <v>161</v>
      </c>
      <c r="B546" s="174">
        <v>-40000</v>
      </c>
      <c r="C546" s="174">
        <v>80000</v>
      </c>
      <c r="D546" s="174">
        <v>40000</v>
      </c>
      <c r="E546" s="174">
        <v>0</v>
      </c>
      <c r="G546" s="174">
        <f t="shared" si="8"/>
        <v>0</v>
      </c>
      <c r="H546" s="174" t="s">
        <v>80</v>
      </c>
    </row>
    <row r="547" spans="1:8">
      <c r="A547" s="174" t="s">
        <v>162</v>
      </c>
      <c r="B547" s="174">
        <v>-24187</v>
      </c>
      <c r="C547" s="174">
        <v>1579933</v>
      </c>
      <c r="D547" s="174">
        <v>2137081</v>
      </c>
      <c r="E547" s="174">
        <v>-581335</v>
      </c>
      <c r="G547" s="174">
        <f t="shared" si="8"/>
        <v>-581335</v>
      </c>
      <c r="H547" s="174" t="s">
        <v>80</v>
      </c>
    </row>
    <row r="548" spans="1:8">
      <c r="A548" s="174" t="s">
        <v>1169</v>
      </c>
      <c r="B548" s="174">
        <v>0</v>
      </c>
      <c r="C548" s="174">
        <v>0</v>
      </c>
      <c r="D548" s="174">
        <v>0</v>
      </c>
      <c r="E548" s="174">
        <v>0</v>
      </c>
      <c r="G548" s="174">
        <f t="shared" si="8"/>
        <v>0</v>
      </c>
      <c r="H548" s="174" t="s">
        <v>80</v>
      </c>
    </row>
    <row r="549" spans="1:8">
      <c r="A549" s="174" t="s">
        <v>412</v>
      </c>
      <c r="B549" s="174">
        <v>-4000</v>
      </c>
      <c r="C549" s="174">
        <v>266000</v>
      </c>
      <c r="D549" s="174">
        <v>370150</v>
      </c>
      <c r="E549" s="174">
        <v>-108150</v>
      </c>
      <c r="G549" s="174">
        <f t="shared" si="8"/>
        <v>-108150</v>
      </c>
      <c r="H549" s="174" t="s">
        <v>80</v>
      </c>
    </row>
    <row r="550" spans="1:8">
      <c r="A550" s="174" t="s">
        <v>163</v>
      </c>
      <c r="B550" s="174">
        <v>-6160.01</v>
      </c>
      <c r="C550" s="174">
        <v>176106</v>
      </c>
      <c r="D550" s="174">
        <v>238344</v>
      </c>
      <c r="E550" s="174">
        <v>-68398.009999999995</v>
      </c>
      <c r="G550" s="174">
        <f t="shared" si="8"/>
        <v>-68398.009999999995</v>
      </c>
      <c r="H550" s="174" t="s">
        <v>80</v>
      </c>
    </row>
    <row r="551" spans="1:8">
      <c r="A551" s="174" t="s">
        <v>164</v>
      </c>
      <c r="B551" s="174">
        <v>-0.01</v>
      </c>
      <c r="C551" s="174">
        <v>258717.09</v>
      </c>
      <c r="D551" s="174">
        <v>398123.99</v>
      </c>
      <c r="E551" s="174">
        <v>-139406.91</v>
      </c>
      <c r="G551" s="174">
        <f t="shared" si="8"/>
        <v>-139406.91</v>
      </c>
      <c r="H551" s="174" t="s">
        <v>80</v>
      </c>
    </row>
    <row r="552" spans="1:8">
      <c r="A552" s="174" t="s">
        <v>728</v>
      </c>
      <c r="B552" s="174">
        <v>-2290689.1800000002</v>
      </c>
      <c r="C552" s="174">
        <v>6775205</v>
      </c>
      <c r="D552" s="174">
        <v>4167317.68</v>
      </c>
      <c r="E552" s="174">
        <v>317198.14</v>
      </c>
      <c r="G552" s="174">
        <f t="shared" si="8"/>
        <v>317198.14</v>
      </c>
      <c r="H552" s="174" t="s">
        <v>80</v>
      </c>
    </row>
    <row r="553" spans="1:8">
      <c r="A553" s="174" t="s">
        <v>277</v>
      </c>
      <c r="B553" s="174">
        <v>-870981</v>
      </c>
      <c r="C553" s="174">
        <v>0</v>
      </c>
      <c r="D553" s="174">
        <v>0</v>
      </c>
      <c r="E553" s="174">
        <v>-870981</v>
      </c>
      <c r="G553" s="174">
        <f t="shared" si="8"/>
        <v>-870981</v>
      </c>
      <c r="H553" s="174" t="s">
        <v>80</v>
      </c>
    </row>
    <row r="554" spans="1:8">
      <c r="A554" s="174" t="s">
        <v>729</v>
      </c>
      <c r="B554" s="174">
        <v>-43685.8</v>
      </c>
      <c r="C554" s="174">
        <v>324443</v>
      </c>
      <c r="D554" s="174">
        <v>248827</v>
      </c>
      <c r="E554" s="174">
        <v>31930.2</v>
      </c>
      <c r="G554" s="174">
        <f t="shared" si="8"/>
        <v>31930.2</v>
      </c>
      <c r="H554" s="174" t="s">
        <v>80</v>
      </c>
    </row>
    <row r="555" spans="1:8">
      <c r="A555" s="174" t="s">
        <v>264</v>
      </c>
      <c r="B555" s="174">
        <v>-1279831.54</v>
      </c>
      <c r="C555" s="174">
        <v>2831750</v>
      </c>
      <c r="D555" s="174">
        <v>2188006</v>
      </c>
      <c r="E555" s="174">
        <v>-636087.54</v>
      </c>
      <c r="G555" s="174">
        <f t="shared" si="8"/>
        <v>-636087.54</v>
      </c>
      <c r="H555" s="174" t="s">
        <v>80</v>
      </c>
    </row>
    <row r="556" spans="1:8">
      <c r="A556" s="174" t="s">
        <v>258</v>
      </c>
      <c r="B556" s="174">
        <v>0</v>
      </c>
      <c r="C556" s="174">
        <v>188249.31</v>
      </c>
      <c r="D556" s="174">
        <v>12490</v>
      </c>
      <c r="E556" s="174">
        <v>175759.31</v>
      </c>
      <c r="G556" s="174">
        <f t="shared" si="8"/>
        <v>175759.31</v>
      </c>
      <c r="H556" s="174" t="s">
        <v>80</v>
      </c>
    </row>
    <row r="557" spans="1:8">
      <c r="A557" s="174" t="s">
        <v>730</v>
      </c>
      <c r="B557" s="174">
        <v>-9060315</v>
      </c>
      <c r="C557" s="174">
        <v>0</v>
      </c>
      <c r="D557" s="174">
        <v>923585</v>
      </c>
      <c r="E557" s="174">
        <v>-9983900</v>
      </c>
      <c r="G557" s="174">
        <f t="shared" si="8"/>
        <v>-9983900</v>
      </c>
      <c r="H557" s="174" t="s">
        <v>80</v>
      </c>
    </row>
    <row r="558" spans="1:8">
      <c r="A558" s="174" t="s">
        <v>192</v>
      </c>
      <c r="B558" s="174">
        <v>-31239162.649999999</v>
      </c>
      <c r="C558" s="174">
        <v>69627045</v>
      </c>
      <c r="D558" s="174">
        <v>40115968.799999997</v>
      </c>
      <c r="E558" s="174">
        <v>-1728086.45</v>
      </c>
      <c r="G558" s="174">
        <f t="shared" si="8"/>
        <v>-1728086.45</v>
      </c>
      <c r="H558" s="233" t="s">
        <v>80</v>
      </c>
    </row>
    <row r="559" spans="1:8">
      <c r="A559" s="174" t="s">
        <v>731</v>
      </c>
      <c r="B559" s="174">
        <v>0</v>
      </c>
      <c r="C559" s="174">
        <v>2289521</v>
      </c>
      <c r="D559" s="174">
        <v>2291791</v>
      </c>
      <c r="E559" s="174">
        <v>-2270</v>
      </c>
      <c r="G559" s="174">
        <f t="shared" si="8"/>
        <v>-2270</v>
      </c>
      <c r="H559" s="174" t="s">
        <v>80</v>
      </c>
    </row>
    <row r="560" spans="1:8">
      <c r="A560" s="174" t="s">
        <v>732</v>
      </c>
      <c r="B560" s="174">
        <v>-56823</v>
      </c>
      <c r="C560" s="174">
        <v>56823</v>
      </c>
      <c r="D560" s="174">
        <v>225302</v>
      </c>
      <c r="E560" s="174">
        <v>-225302</v>
      </c>
      <c r="G560" s="174">
        <f t="shared" si="8"/>
        <v>-225302</v>
      </c>
      <c r="H560" s="174" t="s">
        <v>339</v>
      </c>
    </row>
    <row r="561" spans="1:8">
      <c r="A561" s="174" t="s">
        <v>733</v>
      </c>
      <c r="B561" s="174">
        <v>1</v>
      </c>
      <c r="C561" s="174">
        <v>0</v>
      </c>
      <c r="D561" s="174">
        <v>32212240.760000002</v>
      </c>
      <c r="E561" s="174">
        <v>-32212239.760000002</v>
      </c>
      <c r="G561" s="174">
        <f t="shared" si="8"/>
        <v>-32212239.760000002</v>
      </c>
      <c r="H561" s="174" t="s">
        <v>80</v>
      </c>
    </row>
    <row r="562" spans="1:8">
      <c r="A562" s="174" t="s">
        <v>734</v>
      </c>
      <c r="B562" s="174">
        <v>-11132423</v>
      </c>
      <c r="C562" s="174">
        <v>11132423</v>
      </c>
      <c r="D562" s="174">
        <v>0</v>
      </c>
      <c r="E562" s="174">
        <v>0</v>
      </c>
      <c r="G562" s="174">
        <f t="shared" si="8"/>
        <v>0</v>
      </c>
      <c r="H562" s="174" t="s">
        <v>80</v>
      </c>
    </row>
    <row r="563" spans="1:8">
      <c r="A563" s="174" t="s">
        <v>1448</v>
      </c>
      <c r="B563" s="174">
        <v>0</v>
      </c>
      <c r="C563" s="174">
        <v>151040</v>
      </c>
      <c r="D563" s="174">
        <v>151040</v>
      </c>
      <c r="E563" s="174">
        <v>0</v>
      </c>
      <c r="G563" s="174">
        <f t="shared" si="8"/>
        <v>0</v>
      </c>
      <c r="H563" s="174" t="s">
        <v>80</v>
      </c>
    </row>
    <row r="564" spans="1:8">
      <c r="A564" s="174" t="s">
        <v>1170</v>
      </c>
      <c r="B564" s="174">
        <v>0</v>
      </c>
      <c r="C564" s="174">
        <v>0</v>
      </c>
      <c r="D564" s="174">
        <v>0</v>
      </c>
      <c r="E564" s="174">
        <v>0</v>
      </c>
      <c r="G564" s="174">
        <f t="shared" si="8"/>
        <v>0</v>
      </c>
      <c r="H564" s="174" t="s">
        <v>80</v>
      </c>
    </row>
    <row r="565" spans="1:8">
      <c r="A565" s="174" t="s">
        <v>1171</v>
      </c>
      <c r="B565" s="174">
        <v>0</v>
      </c>
      <c r="C565" s="174">
        <v>0</v>
      </c>
      <c r="D565" s="174">
        <v>8078.11</v>
      </c>
      <c r="E565" s="174">
        <v>-8078.11</v>
      </c>
      <c r="G565" s="174">
        <f t="shared" si="8"/>
        <v>-8078.11</v>
      </c>
      <c r="H565" s="174" t="s">
        <v>80</v>
      </c>
    </row>
    <row r="566" spans="1:8">
      <c r="A566" s="174" t="s">
        <v>1172</v>
      </c>
      <c r="B566" s="174">
        <v>0</v>
      </c>
      <c r="C566" s="174">
        <v>40179</v>
      </c>
      <c r="D566" s="174">
        <v>40179</v>
      </c>
      <c r="E566" s="174">
        <v>0</v>
      </c>
      <c r="G566" s="174">
        <f t="shared" si="8"/>
        <v>0</v>
      </c>
      <c r="H566" s="174" t="s">
        <v>80</v>
      </c>
    </row>
    <row r="567" spans="1:8">
      <c r="A567" s="174" t="s">
        <v>735</v>
      </c>
      <c r="B567" s="174">
        <v>-6336</v>
      </c>
      <c r="C567" s="174">
        <v>6336</v>
      </c>
      <c r="D567" s="174">
        <v>30019</v>
      </c>
      <c r="E567" s="174">
        <v>-30019</v>
      </c>
      <c r="G567" s="174">
        <f t="shared" si="8"/>
        <v>-30019</v>
      </c>
      <c r="H567" s="174" t="s">
        <v>80</v>
      </c>
    </row>
    <row r="568" spans="1:8">
      <c r="A568" s="174" t="s">
        <v>483</v>
      </c>
      <c r="B568" s="174">
        <v>0</v>
      </c>
      <c r="C568" s="174">
        <v>10535</v>
      </c>
      <c r="D568" s="174">
        <v>10535</v>
      </c>
      <c r="E568" s="174">
        <v>0</v>
      </c>
      <c r="G568" s="174">
        <f t="shared" si="8"/>
        <v>0</v>
      </c>
      <c r="H568" s="174" t="s">
        <v>80</v>
      </c>
    </row>
    <row r="569" spans="1:8">
      <c r="A569" s="174" t="s">
        <v>267</v>
      </c>
      <c r="B569" s="174">
        <v>-0.2</v>
      </c>
      <c r="C569" s="174">
        <v>2773</v>
      </c>
      <c r="D569" s="174">
        <v>2773</v>
      </c>
      <c r="E569" s="174">
        <v>-0.2</v>
      </c>
      <c r="G569" s="174">
        <f t="shared" si="8"/>
        <v>-0.2</v>
      </c>
      <c r="H569" s="174" t="s">
        <v>80</v>
      </c>
    </row>
    <row r="570" spans="1:8">
      <c r="A570" s="174" t="s">
        <v>227</v>
      </c>
      <c r="B570" s="174">
        <v>-15147</v>
      </c>
      <c r="C570" s="174">
        <v>139939</v>
      </c>
      <c r="D570" s="174">
        <v>124792</v>
      </c>
      <c r="E570" s="174">
        <v>0</v>
      </c>
      <c r="G570" s="174">
        <f t="shared" si="8"/>
        <v>0</v>
      </c>
      <c r="H570" s="174" t="s">
        <v>80</v>
      </c>
    </row>
    <row r="571" spans="1:8">
      <c r="A571" s="174" t="s">
        <v>736</v>
      </c>
      <c r="B571" s="174">
        <v>-135575</v>
      </c>
      <c r="C571" s="174">
        <v>271150</v>
      </c>
      <c r="D571" s="174">
        <v>135575</v>
      </c>
      <c r="E571" s="174">
        <v>0</v>
      </c>
      <c r="G571" s="174">
        <f t="shared" si="8"/>
        <v>0</v>
      </c>
      <c r="H571" s="174" t="s">
        <v>80</v>
      </c>
    </row>
    <row r="572" spans="1:8">
      <c r="A572" s="174" t="s">
        <v>1173</v>
      </c>
      <c r="B572" s="174">
        <v>0</v>
      </c>
      <c r="C572" s="174">
        <v>0</v>
      </c>
      <c r="D572" s="174">
        <v>0</v>
      </c>
      <c r="E572" s="174">
        <v>0</v>
      </c>
      <c r="G572" s="174">
        <f t="shared" si="8"/>
        <v>0</v>
      </c>
      <c r="H572" s="174" t="s">
        <v>80</v>
      </c>
    </row>
    <row r="573" spans="1:8">
      <c r="A573" s="174" t="s">
        <v>1174</v>
      </c>
      <c r="B573" s="174">
        <v>0</v>
      </c>
      <c r="C573" s="174">
        <v>0</v>
      </c>
      <c r="D573" s="174">
        <v>0</v>
      </c>
      <c r="E573" s="174">
        <v>0</v>
      </c>
      <c r="G573" s="174">
        <f t="shared" si="8"/>
        <v>0</v>
      </c>
      <c r="H573" s="174" t="s">
        <v>80</v>
      </c>
    </row>
    <row r="574" spans="1:8">
      <c r="A574" s="174" t="s">
        <v>200</v>
      </c>
      <c r="B574" s="174">
        <v>-92736</v>
      </c>
      <c r="C574" s="174">
        <v>92736</v>
      </c>
      <c r="D574" s="174">
        <v>0</v>
      </c>
      <c r="E574" s="174">
        <v>0</v>
      </c>
      <c r="G574" s="174">
        <f t="shared" si="8"/>
        <v>0</v>
      </c>
      <c r="H574" s="174" t="s">
        <v>80</v>
      </c>
    </row>
    <row r="575" spans="1:8">
      <c r="A575" s="174" t="s">
        <v>1449</v>
      </c>
      <c r="B575" s="174">
        <v>0</v>
      </c>
      <c r="C575" s="174">
        <v>120741</v>
      </c>
      <c r="D575" s="174">
        <v>255012</v>
      </c>
      <c r="E575" s="174">
        <v>-134271</v>
      </c>
      <c r="G575" s="174">
        <f t="shared" si="8"/>
        <v>-134271</v>
      </c>
      <c r="H575" s="174" t="s">
        <v>80</v>
      </c>
    </row>
    <row r="576" spans="1:8">
      <c r="A576" s="174" t="s">
        <v>1175</v>
      </c>
      <c r="B576" s="174">
        <v>0</v>
      </c>
      <c r="C576" s="174">
        <v>0</v>
      </c>
      <c r="D576" s="174">
        <v>0</v>
      </c>
      <c r="E576" s="174">
        <v>0</v>
      </c>
      <c r="G576" s="174">
        <f t="shared" si="8"/>
        <v>0</v>
      </c>
      <c r="H576" s="174" t="s">
        <v>80</v>
      </c>
    </row>
    <row r="577" spans="1:8">
      <c r="A577" s="174" t="s">
        <v>177</v>
      </c>
      <c r="B577" s="174">
        <v>-633655.30000000005</v>
      </c>
      <c r="C577" s="174">
        <v>633655</v>
      </c>
      <c r="D577" s="174">
        <v>336247</v>
      </c>
      <c r="E577" s="174">
        <v>-336247.3</v>
      </c>
      <c r="G577" s="174">
        <f t="shared" si="8"/>
        <v>-336247.3</v>
      </c>
      <c r="H577" s="174" t="s">
        <v>80</v>
      </c>
    </row>
    <row r="578" spans="1:8">
      <c r="A578" s="174" t="s">
        <v>172</v>
      </c>
      <c r="B578" s="174">
        <v>-72395.7</v>
      </c>
      <c r="C578" s="174">
        <v>86909.36</v>
      </c>
      <c r="D578" s="174">
        <v>14514</v>
      </c>
      <c r="E578" s="174">
        <v>-0.34</v>
      </c>
      <c r="G578" s="174">
        <f t="shared" si="8"/>
        <v>-0.34</v>
      </c>
      <c r="H578" s="174" t="s">
        <v>80</v>
      </c>
    </row>
    <row r="579" spans="1:8">
      <c r="A579" s="174" t="s">
        <v>171</v>
      </c>
      <c r="B579" s="174">
        <v>-65926.83</v>
      </c>
      <c r="C579" s="174">
        <v>0</v>
      </c>
      <c r="D579" s="174">
        <v>0</v>
      </c>
      <c r="E579" s="174">
        <v>-65926.83</v>
      </c>
      <c r="G579" s="174">
        <f t="shared" ref="G579:G642" si="9">E579+F579</f>
        <v>-65926.83</v>
      </c>
      <c r="H579" s="174" t="s">
        <v>80</v>
      </c>
    </row>
    <row r="580" spans="1:8">
      <c r="A580" s="174" t="s">
        <v>157</v>
      </c>
      <c r="B580" s="174">
        <v>-479073.48</v>
      </c>
      <c r="C580" s="174">
        <v>479073.48</v>
      </c>
      <c r="D580" s="174">
        <v>0</v>
      </c>
      <c r="E580" s="174">
        <v>0</v>
      </c>
      <c r="G580" s="174">
        <f t="shared" si="9"/>
        <v>0</v>
      </c>
      <c r="H580" s="174" t="s">
        <v>80</v>
      </c>
    </row>
    <row r="581" spans="1:8">
      <c r="A581" s="174" t="s">
        <v>1450</v>
      </c>
      <c r="B581" s="174">
        <v>0</v>
      </c>
      <c r="C581" s="174">
        <v>21420</v>
      </c>
      <c r="D581" s="174">
        <v>21420</v>
      </c>
      <c r="E581" s="174">
        <v>0</v>
      </c>
      <c r="G581" s="174">
        <f t="shared" si="9"/>
        <v>0</v>
      </c>
      <c r="H581" s="174" t="s">
        <v>80</v>
      </c>
    </row>
    <row r="582" spans="1:8">
      <c r="A582" s="174" t="s">
        <v>1451</v>
      </c>
      <c r="B582" s="174">
        <v>0</v>
      </c>
      <c r="C582" s="174">
        <v>0</v>
      </c>
      <c r="D582" s="174">
        <v>17228</v>
      </c>
      <c r="E582" s="174">
        <v>-17228</v>
      </c>
      <c r="G582" s="174">
        <f t="shared" si="9"/>
        <v>-17228</v>
      </c>
      <c r="H582" s="174" t="s">
        <v>80</v>
      </c>
    </row>
    <row r="583" spans="1:8">
      <c r="A583" s="174" t="s">
        <v>737</v>
      </c>
      <c r="B583" s="174">
        <v>-2985</v>
      </c>
      <c r="C583" s="174">
        <v>0</v>
      </c>
      <c r="D583" s="174">
        <v>0</v>
      </c>
      <c r="E583" s="174">
        <v>-2985</v>
      </c>
      <c r="G583" s="174">
        <f t="shared" si="9"/>
        <v>-2985</v>
      </c>
      <c r="H583" s="174" t="s">
        <v>80</v>
      </c>
    </row>
    <row r="584" spans="1:8">
      <c r="A584" s="174" t="s">
        <v>738</v>
      </c>
      <c r="B584" s="174">
        <v>-36573.800000000003</v>
      </c>
      <c r="C584" s="174">
        <v>27281.599999999999</v>
      </c>
      <c r="D584" s="174">
        <v>36580</v>
      </c>
      <c r="E584" s="174">
        <v>-45872.2</v>
      </c>
      <c r="G584" s="174">
        <f t="shared" si="9"/>
        <v>-45872.2</v>
      </c>
      <c r="H584" s="174" t="s">
        <v>80</v>
      </c>
    </row>
    <row r="585" spans="1:8">
      <c r="A585" s="174" t="s">
        <v>1176</v>
      </c>
      <c r="B585" s="174">
        <v>0</v>
      </c>
      <c r="C585" s="174">
        <v>0</v>
      </c>
      <c r="D585" s="174">
        <v>0</v>
      </c>
      <c r="E585" s="174">
        <v>0</v>
      </c>
      <c r="G585" s="174">
        <f t="shared" si="9"/>
        <v>0</v>
      </c>
      <c r="H585" s="174" t="s">
        <v>80</v>
      </c>
    </row>
    <row r="586" spans="1:8">
      <c r="A586" s="174" t="s">
        <v>739</v>
      </c>
      <c r="B586" s="174">
        <v>47790</v>
      </c>
      <c r="C586" s="174">
        <v>0</v>
      </c>
      <c r="D586" s="174">
        <v>47790</v>
      </c>
      <c r="E586" s="174">
        <v>0</v>
      </c>
      <c r="G586" s="174">
        <f t="shared" si="9"/>
        <v>0</v>
      </c>
      <c r="H586" s="174" t="s">
        <v>80</v>
      </c>
    </row>
    <row r="587" spans="1:8">
      <c r="A587" s="174" t="s">
        <v>301</v>
      </c>
      <c r="B587" s="174">
        <v>-133056</v>
      </c>
      <c r="C587" s="174">
        <v>133056</v>
      </c>
      <c r="D587" s="174">
        <v>0</v>
      </c>
      <c r="E587" s="174">
        <v>0</v>
      </c>
      <c r="G587" s="174">
        <f t="shared" si="9"/>
        <v>0</v>
      </c>
      <c r="H587" s="174" t="s">
        <v>80</v>
      </c>
    </row>
    <row r="588" spans="1:8">
      <c r="A588" s="174" t="s">
        <v>302</v>
      </c>
      <c r="B588" s="174">
        <v>-31860</v>
      </c>
      <c r="C588" s="174">
        <v>87084</v>
      </c>
      <c r="D588" s="174">
        <v>55224</v>
      </c>
      <c r="E588" s="174">
        <v>0</v>
      </c>
      <c r="G588" s="174">
        <f t="shared" si="9"/>
        <v>0</v>
      </c>
      <c r="H588" s="174" t="s">
        <v>80</v>
      </c>
    </row>
    <row r="589" spans="1:8">
      <c r="A589" s="174" t="s">
        <v>1177</v>
      </c>
      <c r="B589" s="174">
        <v>0</v>
      </c>
      <c r="C589" s="174">
        <v>0</v>
      </c>
      <c r="D589" s="174">
        <v>0</v>
      </c>
      <c r="E589" s="174">
        <v>0</v>
      </c>
      <c r="G589" s="174">
        <f t="shared" si="9"/>
        <v>0</v>
      </c>
      <c r="H589" s="174" t="s">
        <v>80</v>
      </c>
    </row>
    <row r="590" spans="1:8">
      <c r="A590" s="174" t="s">
        <v>1178</v>
      </c>
      <c r="B590" s="174">
        <v>0</v>
      </c>
      <c r="C590" s="174">
        <v>0</v>
      </c>
      <c r="D590" s="174">
        <v>0</v>
      </c>
      <c r="E590" s="174">
        <v>0</v>
      </c>
      <c r="G590" s="174">
        <f t="shared" si="9"/>
        <v>0</v>
      </c>
      <c r="H590" s="174" t="s">
        <v>80</v>
      </c>
    </row>
    <row r="591" spans="1:8">
      <c r="A591" s="174" t="s">
        <v>279</v>
      </c>
      <c r="B591" s="174">
        <v>0</v>
      </c>
      <c r="C591" s="174">
        <v>82397</v>
      </c>
      <c r="D591" s="174">
        <v>82397</v>
      </c>
      <c r="E591" s="174">
        <v>0</v>
      </c>
      <c r="G591" s="174">
        <f t="shared" si="9"/>
        <v>0</v>
      </c>
      <c r="H591" s="174" t="s">
        <v>80</v>
      </c>
    </row>
    <row r="592" spans="1:8">
      <c r="A592" s="174" t="s">
        <v>298</v>
      </c>
      <c r="B592" s="174">
        <v>-45937</v>
      </c>
      <c r="C592" s="174">
        <v>64312</v>
      </c>
      <c r="D592" s="174">
        <v>55545</v>
      </c>
      <c r="E592" s="174">
        <v>-37170</v>
      </c>
      <c r="G592" s="174">
        <f t="shared" si="9"/>
        <v>-37170</v>
      </c>
      <c r="H592" s="174" t="s">
        <v>80</v>
      </c>
    </row>
    <row r="593" spans="1:8">
      <c r="A593" s="174" t="s">
        <v>507</v>
      </c>
      <c r="B593" s="174">
        <v>0</v>
      </c>
      <c r="C593" s="174">
        <v>44569</v>
      </c>
      <c r="D593" s="174">
        <v>44569</v>
      </c>
      <c r="E593" s="174">
        <v>0</v>
      </c>
      <c r="G593" s="174">
        <f t="shared" si="9"/>
        <v>0</v>
      </c>
      <c r="H593" s="174" t="s">
        <v>80</v>
      </c>
    </row>
    <row r="594" spans="1:8">
      <c r="A594" s="174" t="s">
        <v>740</v>
      </c>
      <c r="B594" s="174">
        <v>5168.22</v>
      </c>
      <c r="C594" s="174">
        <v>139388.45000000001</v>
      </c>
      <c r="D594" s="174">
        <v>136839</v>
      </c>
      <c r="E594" s="174">
        <v>7717.67</v>
      </c>
      <c r="G594" s="174">
        <f t="shared" si="9"/>
        <v>7717.67</v>
      </c>
      <c r="H594" s="174" t="s">
        <v>80</v>
      </c>
    </row>
    <row r="595" spans="1:8">
      <c r="A595" s="174" t="s">
        <v>1566</v>
      </c>
      <c r="B595" s="174">
        <v>0</v>
      </c>
      <c r="C595" s="174">
        <v>472</v>
      </c>
      <c r="D595" s="174">
        <v>472</v>
      </c>
      <c r="E595" s="174">
        <v>0</v>
      </c>
      <c r="G595" s="174">
        <f t="shared" si="9"/>
        <v>0</v>
      </c>
      <c r="H595" s="174" t="s">
        <v>80</v>
      </c>
    </row>
    <row r="596" spans="1:8">
      <c r="A596" s="174" t="s">
        <v>1180</v>
      </c>
      <c r="B596" s="174">
        <v>0</v>
      </c>
      <c r="C596" s="174">
        <v>18874</v>
      </c>
      <c r="D596" s="174">
        <v>18874</v>
      </c>
      <c r="E596" s="174">
        <v>0</v>
      </c>
      <c r="G596" s="174">
        <f t="shared" si="9"/>
        <v>0</v>
      </c>
      <c r="H596" s="174" t="s">
        <v>80</v>
      </c>
    </row>
    <row r="597" spans="1:8">
      <c r="A597" s="174" t="s">
        <v>297</v>
      </c>
      <c r="B597" s="174">
        <v>-390771.28</v>
      </c>
      <c r="C597" s="174">
        <v>2970253.88</v>
      </c>
      <c r="D597" s="174">
        <v>3329261.6</v>
      </c>
      <c r="E597" s="174">
        <v>-749779</v>
      </c>
      <c r="G597" s="174">
        <f t="shared" si="9"/>
        <v>-749779</v>
      </c>
      <c r="H597" s="174" t="s">
        <v>80</v>
      </c>
    </row>
    <row r="598" spans="1:8">
      <c r="A598" s="174" t="s">
        <v>296</v>
      </c>
      <c r="B598" s="174">
        <v>-3203522</v>
      </c>
      <c r="C598" s="174">
        <v>3203522</v>
      </c>
      <c r="D598" s="174">
        <v>0</v>
      </c>
      <c r="E598" s="174">
        <v>0</v>
      </c>
      <c r="G598" s="174">
        <f t="shared" si="9"/>
        <v>0</v>
      </c>
      <c r="H598" s="174" t="s">
        <v>80</v>
      </c>
    </row>
    <row r="599" spans="1:8">
      <c r="A599" s="174" t="s">
        <v>478</v>
      </c>
      <c r="B599" s="174">
        <v>-1378</v>
      </c>
      <c r="C599" s="174">
        <v>0</v>
      </c>
      <c r="D599" s="174">
        <v>0</v>
      </c>
      <c r="E599" s="174">
        <v>-1378</v>
      </c>
      <c r="G599" s="174">
        <f t="shared" si="9"/>
        <v>-1378</v>
      </c>
      <c r="H599" s="174" t="s">
        <v>80</v>
      </c>
    </row>
    <row r="600" spans="1:8">
      <c r="A600" s="174" t="s">
        <v>1407</v>
      </c>
      <c r="B600" s="174">
        <v>0</v>
      </c>
      <c r="C600" s="174">
        <v>0</v>
      </c>
      <c r="D600" s="174">
        <v>0</v>
      </c>
      <c r="E600" s="174">
        <v>0</v>
      </c>
      <c r="G600" s="174">
        <f t="shared" si="9"/>
        <v>0</v>
      </c>
      <c r="H600" s="174" t="s">
        <v>80</v>
      </c>
    </row>
    <row r="601" spans="1:8">
      <c r="A601" s="174" t="s">
        <v>294</v>
      </c>
      <c r="B601" s="174">
        <v>-6785</v>
      </c>
      <c r="C601" s="174">
        <v>9782</v>
      </c>
      <c r="D601" s="174">
        <v>2997</v>
      </c>
      <c r="E601" s="174">
        <v>0</v>
      </c>
      <c r="G601" s="174">
        <f t="shared" si="9"/>
        <v>0</v>
      </c>
      <c r="H601" s="174" t="s">
        <v>80</v>
      </c>
    </row>
    <row r="602" spans="1:8">
      <c r="A602" s="174" t="s">
        <v>1181</v>
      </c>
      <c r="B602" s="174">
        <v>0</v>
      </c>
      <c r="C602" s="174">
        <v>0</v>
      </c>
      <c r="D602" s="174">
        <v>0</v>
      </c>
      <c r="E602" s="174">
        <v>0</v>
      </c>
      <c r="G602" s="174">
        <f t="shared" si="9"/>
        <v>0</v>
      </c>
      <c r="H602" s="174" t="s">
        <v>80</v>
      </c>
    </row>
    <row r="603" spans="1:8">
      <c r="A603" s="174" t="s">
        <v>741</v>
      </c>
      <c r="B603" s="174">
        <v>-0.5</v>
      </c>
      <c r="C603" s="174">
        <v>0</v>
      </c>
      <c r="D603" s="174">
        <v>0</v>
      </c>
      <c r="E603" s="174">
        <v>-0.5</v>
      </c>
      <c r="G603" s="174">
        <f t="shared" si="9"/>
        <v>-0.5</v>
      </c>
      <c r="H603" s="174" t="s">
        <v>80</v>
      </c>
    </row>
    <row r="604" spans="1:8">
      <c r="A604" s="174" t="s">
        <v>1182</v>
      </c>
      <c r="B604" s="174">
        <v>0</v>
      </c>
      <c r="C604" s="174">
        <v>0</v>
      </c>
      <c r="D604" s="174">
        <v>0</v>
      </c>
      <c r="E604" s="174">
        <v>0</v>
      </c>
      <c r="G604" s="174">
        <f t="shared" si="9"/>
        <v>0</v>
      </c>
      <c r="H604" s="174" t="s">
        <v>80</v>
      </c>
    </row>
    <row r="605" spans="1:8">
      <c r="A605" s="174" t="s">
        <v>295</v>
      </c>
      <c r="B605" s="174">
        <v>-6440</v>
      </c>
      <c r="C605" s="174">
        <v>6440</v>
      </c>
      <c r="D605" s="174">
        <v>0</v>
      </c>
      <c r="E605" s="174">
        <v>0</v>
      </c>
      <c r="G605" s="174">
        <f t="shared" si="9"/>
        <v>0</v>
      </c>
      <c r="H605" s="174" t="s">
        <v>80</v>
      </c>
    </row>
    <row r="606" spans="1:8">
      <c r="A606" s="174" t="s">
        <v>1183</v>
      </c>
      <c r="B606" s="174">
        <v>0</v>
      </c>
      <c r="C606" s="174">
        <v>0</v>
      </c>
      <c r="D606" s="174">
        <v>0</v>
      </c>
      <c r="E606" s="174">
        <v>0</v>
      </c>
      <c r="G606" s="174">
        <f t="shared" si="9"/>
        <v>0</v>
      </c>
      <c r="H606" s="174" t="s">
        <v>80</v>
      </c>
    </row>
    <row r="607" spans="1:8">
      <c r="A607" s="174" t="s">
        <v>742</v>
      </c>
      <c r="B607" s="174">
        <v>-11769</v>
      </c>
      <c r="C607" s="174">
        <v>0</v>
      </c>
      <c r="D607" s="174">
        <v>0</v>
      </c>
      <c r="E607" s="174">
        <v>-11769</v>
      </c>
      <c r="G607" s="174">
        <f t="shared" si="9"/>
        <v>-11769</v>
      </c>
      <c r="H607" s="174" t="s">
        <v>80</v>
      </c>
    </row>
    <row r="608" spans="1:8">
      <c r="A608" s="174" t="s">
        <v>446</v>
      </c>
      <c r="B608" s="174">
        <v>29531.9</v>
      </c>
      <c r="C608" s="174">
        <v>0</v>
      </c>
      <c r="D608" s="174">
        <v>0</v>
      </c>
      <c r="E608" s="174">
        <v>29531.9</v>
      </c>
      <c r="G608" s="174">
        <f t="shared" si="9"/>
        <v>29531.9</v>
      </c>
      <c r="H608" s="174" t="s">
        <v>80</v>
      </c>
    </row>
    <row r="609" spans="1:8">
      <c r="A609" s="174" t="s">
        <v>743</v>
      </c>
      <c r="B609" s="174">
        <v>-95975.8</v>
      </c>
      <c r="C609" s="174">
        <v>192163</v>
      </c>
      <c r="D609" s="174">
        <v>284600</v>
      </c>
      <c r="E609" s="174">
        <v>-188412.79999999999</v>
      </c>
      <c r="G609" s="174">
        <f t="shared" si="9"/>
        <v>-188412.79999999999</v>
      </c>
      <c r="H609" s="174" t="s">
        <v>80</v>
      </c>
    </row>
    <row r="610" spans="1:8">
      <c r="A610" s="174" t="s">
        <v>293</v>
      </c>
      <c r="B610" s="174">
        <v>-97297.53</v>
      </c>
      <c r="C610" s="174">
        <v>1632592</v>
      </c>
      <c r="D610" s="174">
        <v>1689593.95</v>
      </c>
      <c r="E610" s="174">
        <v>-154299.48000000001</v>
      </c>
      <c r="G610" s="174">
        <f t="shared" si="9"/>
        <v>-154299.48000000001</v>
      </c>
      <c r="H610" s="174" t="s">
        <v>80</v>
      </c>
    </row>
    <row r="611" spans="1:8">
      <c r="A611" s="174" t="s">
        <v>1184</v>
      </c>
      <c r="B611" s="174">
        <v>0</v>
      </c>
      <c r="C611" s="174">
        <v>0</v>
      </c>
      <c r="D611" s="174">
        <v>0</v>
      </c>
      <c r="E611" s="174">
        <v>0</v>
      </c>
      <c r="G611" s="174">
        <f t="shared" si="9"/>
        <v>0</v>
      </c>
      <c r="H611" s="174" t="s">
        <v>80</v>
      </c>
    </row>
    <row r="612" spans="1:8">
      <c r="A612" s="174" t="s">
        <v>286</v>
      </c>
      <c r="B612" s="174">
        <v>0</v>
      </c>
      <c r="C612" s="174">
        <v>33955</v>
      </c>
      <c r="D612" s="174">
        <v>35455</v>
      </c>
      <c r="E612" s="174">
        <v>-1500</v>
      </c>
      <c r="G612" s="174">
        <f t="shared" si="9"/>
        <v>-1500</v>
      </c>
      <c r="H612" s="174" t="s">
        <v>80</v>
      </c>
    </row>
    <row r="613" spans="1:8">
      <c r="A613" s="174" t="s">
        <v>744</v>
      </c>
      <c r="B613" s="174">
        <v>-0.05</v>
      </c>
      <c r="C613" s="174">
        <v>0</v>
      </c>
      <c r="D613" s="174">
        <v>0</v>
      </c>
      <c r="E613" s="174">
        <v>-0.05</v>
      </c>
      <c r="G613" s="174">
        <f t="shared" si="9"/>
        <v>-0.05</v>
      </c>
      <c r="H613" s="174" t="s">
        <v>80</v>
      </c>
    </row>
    <row r="614" spans="1:8">
      <c r="A614" s="174" t="s">
        <v>1452</v>
      </c>
      <c r="B614" s="174">
        <v>0</v>
      </c>
      <c r="C614" s="174">
        <v>0</v>
      </c>
      <c r="D614" s="174">
        <v>9924</v>
      </c>
      <c r="E614" s="174">
        <v>-9924</v>
      </c>
      <c r="G614" s="174">
        <f t="shared" si="9"/>
        <v>-9924</v>
      </c>
      <c r="H614" s="174" t="s">
        <v>80</v>
      </c>
    </row>
    <row r="615" spans="1:8">
      <c r="A615" s="174" t="s">
        <v>1185</v>
      </c>
      <c r="B615" s="174">
        <v>0</v>
      </c>
      <c r="C615" s="174">
        <v>0</v>
      </c>
      <c r="D615" s="174">
        <v>0</v>
      </c>
      <c r="E615" s="174">
        <v>0</v>
      </c>
      <c r="G615" s="174">
        <f t="shared" si="9"/>
        <v>0</v>
      </c>
      <c r="H615" s="174" t="s">
        <v>80</v>
      </c>
    </row>
    <row r="616" spans="1:8">
      <c r="A616" s="174" t="s">
        <v>1186</v>
      </c>
      <c r="B616" s="174">
        <v>0</v>
      </c>
      <c r="C616" s="174">
        <v>0</v>
      </c>
      <c r="D616" s="174">
        <v>10544</v>
      </c>
      <c r="E616" s="174">
        <v>-10544</v>
      </c>
      <c r="G616" s="174">
        <f t="shared" si="9"/>
        <v>-10544</v>
      </c>
      <c r="H616" s="174" t="s">
        <v>80</v>
      </c>
    </row>
    <row r="617" spans="1:8">
      <c r="A617" s="174" t="s">
        <v>1187</v>
      </c>
      <c r="B617" s="174">
        <v>0</v>
      </c>
      <c r="C617" s="174">
        <v>800457</v>
      </c>
      <c r="D617" s="174">
        <v>1048815</v>
      </c>
      <c r="E617" s="174">
        <v>-248358</v>
      </c>
      <c r="G617" s="174">
        <f t="shared" si="9"/>
        <v>-248358</v>
      </c>
      <c r="H617" s="174" t="s">
        <v>80</v>
      </c>
    </row>
    <row r="618" spans="1:8">
      <c r="A618" s="174" t="s">
        <v>287</v>
      </c>
      <c r="B618" s="174">
        <v>0.36</v>
      </c>
      <c r="C618" s="174">
        <v>0</v>
      </c>
      <c r="D618" s="174">
        <v>0</v>
      </c>
      <c r="E618" s="174">
        <v>0.36</v>
      </c>
      <c r="G618" s="174">
        <f t="shared" si="9"/>
        <v>0.36</v>
      </c>
      <c r="H618" s="174" t="s">
        <v>80</v>
      </c>
    </row>
    <row r="619" spans="1:8">
      <c r="A619" s="174" t="s">
        <v>288</v>
      </c>
      <c r="B619" s="174">
        <v>-55980.07</v>
      </c>
      <c r="C619" s="174">
        <v>158942.51</v>
      </c>
      <c r="D619" s="174">
        <v>110105</v>
      </c>
      <c r="E619" s="174">
        <v>-7142.56</v>
      </c>
      <c r="G619" s="174">
        <f t="shared" si="9"/>
        <v>-7142.56</v>
      </c>
      <c r="H619" s="174" t="s">
        <v>80</v>
      </c>
    </row>
    <row r="620" spans="1:8">
      <c r="A620" s="174" t="s">
        <v>1188</v>
      </c>
      <c r="B620" s="174">
        <v>0</v>
      </c>
      <c r="C620" s="174">
        <v>0</v>
      </c>
      <c r="D620" s="174">
        <v>0</v>
      </c>
      <c r="E620" s="174">
        <v>0</v>
      </c>
      <c r="G620" s="174">
        <f t="shared" si="9"/>
        <v>0</v>
      </c>
      <c r="H620" s="174" t="s">
        <v>80</v>
      </c>
    </row>
    <row r="621" spans="1:8">
      <c r="A621" s="174" t="s">
        <v>290</v>
      </c>
      <c r="B621" s="174">
        <v>-67376.240000000005</v>
      </c>
      <c r="C621" s="174">
        <v>67376.240000000005</v>
      </c>
      <c r="D621" s="174">
        <v>0</v>
      </c>
      <c r="E621" s="174">
        <v>0</v>
      </c>
      <c r="G621" s="174">
        <f t="shared" si="9"/>
        <v>0</v>
      </c>
      <c r="H621" s="174" t="s">
        <v>80</v>
      </c>
    </row>
    <row r="622" spans="1:8">
      <c r="A622" s="174" t="s">
        <v>284</v>
      </c>
      <c r="B622" s="174">
        <v>0.2</v>
      </c>
      <c r="C622" s="174">
        <v>0</v>
      </c>
      <c r="D622" s="174">
        <v>0</v>
      </c>
      <c r="E622" s="174">
        <v>0.2</v>
      </c>
      <c r="G622" s="174">
        <f t="shared" si="9"/>
        <v>0.2</v>
      </c>
      <c r="H622" s="174" t="s">
        <v>80</v>
      </c>
    </row>
    <row r="623" spans="1:8">
      <c r="A623" s="174" t="s">
        <v>745</v>
      </c>
      <c r="B623" s="174">
        <v>-16520</v>
      </c>
      <c r="C623" s="174">
        <v>0</v>
      </c>
      <c r="D623" s="174">
        <v>0</v>
      </c>
      <c r="E623" s="174">
        <v>-16520</v>
      </c>
      <c r="G623" s="174">
        <f t="shared" si="9"/>
        <v>-16520</v>
      </c>
      <c r="H623" s="174" t="s">
        <v>80</v>
      </c>
    </row>
    <row r="624" spans="1:8">
      <c r="A624" s="174" t="s">
        <v>1189</v>
      </c>
      <c r="B624" s="174">
        <v>0</v>
      </c>
      <c r="C624" s="174">
        <v>10997.6</v>
      </c>
      <c r="D624" s="174">
        <v>10997</v>
      </c>
      <c r="E624" s="174">
        <v>0.6</v>
      </c>
      <c r="G624" s="174">
        <f t="shared" si="9"/>
        <v>0.6</v>
      </c>
      <c r="H624" s="174" t="s">
        <v>80</v>
      </c>
    </row>
    <row r="625" spans="1:8">
      <c r="A625" s="174" t="s">
        <v>1567</v>
      </c>
      <c r="B625" s="174">
        <v>0</v>
      </c>
      <c r="C625" s="174">
        <v>0</v>
      </c>
      <c r="D625" s="174">
        <v>84541</v>
      </c>
      <c r="E625" s="174">
        <v>-84541</v>
      </c>
      <c r="G625" s="174">
        <f t="shared" si="9"/>
        <v>-84541</v>
      </c>
      <c r="H625" s="174" t="s">
        <v>80</v>
      </c>
    </row>
    <row r="626" spans="1:8">
      <c r="A626" s="174" t="s">
        <v>746</v>
      </c>
      <c r="B626" s="174">
        <v>-97707</v>
      </c>
      <c r="C626" s="174">
        <v>138882</v>
      </c>
      <c r="D626" s="174">
        <v>55502</v>
      </c>
      <c r="E626" s="174">
        <v>-14327</v>
      </c>
      <c r="G626" s="174">
        <f t="shared" si="9"/>
        <v>-14327</v>
      </c>
      <c r="H626" s="174" t="s">
        <v>80</v>
      </c>
    </row>
    <row r="627" spans="1:8">
      <c r="A627" s="174" t="s">
        <v>281</v>
      </c>
      <c r="B627" s="174">
        <v>-63981.1</v>
      </c>
      <c r="C627" s="174">
        <v>213552</v>
      </c>
      <c r="D627" s="174">
        <v>149571</v>
      </c>
      <c r="E627" s="174">
        <v>-0.1</v>
      </c>
      <c r="G627" s="174">
        <f t="shared" si="9"/>
        <v>-0.1</v>
      </c>
      <c r="H627" s="174" t="s">
        <v>80</v>
      </c>
    </row>
    <row r="628" spans="1:8">
      <c r="A628" s="174" t="s">
        <v>278</v>
      </c>
      <c r="B628" s="174">
        <v>-427455</v>
      </c>
      <c r="C628" s="174">
        <v>514504</v>
      </c>
      <c r="D628" s="174">
        <v>87049</v>
      </c>
      <c r="E628" s="174">
        <v>0</v>
      </c>
      <c r="G628" s="174">
        <f t="shared" si="9"/>
        <v>0</v>
      </c>
      <c r="H628" s="174" t="s">
        <v>80</v>
      </c>
    </row>
    <row r="629" spans="1:8">
      <c r="A629" s="174" t="s">
        <v>274</v>
      </c>
      <c r="B629" s="174">
        <v>-99775.5</v>
      </c>
      <c r="C629" s="174">
        <v>102887.5</v>
      </c>
      <c r="D629" s="174">
        <v>38154</v>
      </c>
      <c r="E629" s="174">
        <v>-35042</v>
      </c>
      <c r="G629" s="174">
        <f t="shared" si="9"/>
        <v>-35042</v>
      </c>
      <c r="H629" s="174" t="s">
        <v>80</v>
      </c>
    </row>
    <row r="630" spans="1:8">
      <c r="A630" s="174" t="s">
        <v>275</v>
      </c>
      <c r="B630" s="174">
        <v>-407361.01</v>
      </c>
      <c r="C630" s="174">
        <v>617607</v>
      </c>
      <c r="D630" s="174">
        <v>363117</v>
      </c>
      <c r="E630" s="174">
        <v>-152871.01</v>
      </c>
      <c r="G630" s="174">
        <f t="shared" si="9"/>
        <v>-152871.01</v>
      </c>
      <c r="H630" s="174" t="s">
        <v>80</v>
      </c>
    </row>
    <row r="631" spans="1:8">
      <c r="A631" s="174" t="s">
        <v>276</v>
      </c>
      <c r="B631" s="174">
        <v>-1775316.58</v>
      </c>
      <c r="C631" s="174">
        <v>1351792.97</v>
      </c>
      <c r="D631" s="174">
        <v>84393</v>
      </c>
      <c r="E631" s="174">
        <v>-507916.61</v>
      </c>
      <c r="G631" s="174">
        <f t="shared" si="9"/>
        <v>-507916.61</v>
      </c>
      <c r="H631" s="174" t="s">
        <v>80</v>
      </c>
    </row>
    <row r="632" spans="1:8">
      <c r="A632" s="174" t="s">
        <v>280</v>
      </c>
      <c r="B632" s="174">
        <v>-6136</v>
      </c>
      <c r="C632" s="174">
        <v>3068</v>
      </c>
      <c r="D632" s="174">
        <v>38538</v>
      </c>
      <c r="E632" s="174">
        <v>-41606</v>
      </c>
      <c r="G632" s="174">
        <f t="shared" si="9"/>
        <v>-41606</v>
      </c>
      <c r="H632" s="174" t="s">
        <v>80</v>
      </c>
    </row>
    <row r="633" spans="1:8">
      <c r="A633" s="174" t="s">
        <v>1453</v>
      </c>
      <c r="B633" s="174">
        <v>0</v>
      </c>
      <c r="C633" s="174">
        <v>5791</v>
      </c>
      <c r="D633" s="174">
        <v>5791</v>
      </c>
      <c r="E633" s="174">
        <v>0</v>
      </c>
      <c r="G633" s="174">
        <f t="shared" si="9"/>
        <v>0</v>
      </c>
      <c r="H633" s="174" t="s">
        <v>80</v>
      </c>
    </row>
    <row r="634" spans="1:8">
      <c r="A634" s="174" t="s">
        <v>1568</v>
      </c>
      <c r="B634" s="174">
        <v>0</v>
      </c>
      <c r="C634" s="174">
        <v>0</v>
      </c>
      <c r="D634" s="174">
        <v>28320</v>
      </c>
      <c r="E634" s="174">
        <v>-28320</v>
      </c>
      <c r="G634" s="174">
        <f t="shared" si="9"/>
        <v>-28320</v>
      </c>
      <c r="H634" s="174" t="s">
        <v>80</v>
      </c>
    </row>
    <row r="635" spans="1:8">
      <c r="A635" s="174" t="s">
        <v>454</v>
      </c>
      <c r="B635" s="174">
        <v>257505.5</v>
      </c>
      <c r="C635" s="174">
        <v>0</v>
      </c>
      <c r="D635" s="174">
        <v>335120</v>
      </c>
      <c r="E635" s="174">
        <v>-77614.5</v>
      </c>
      <c r="G635" s="174">
        <f t="shared" si="9"/>
        <v>-77614.5</v>
      </c>
      <c r="H635" s="174" t="s">
        <v>80</v>
      </c>
    </row>
    <row r="636" spans="1:8">
      <c r="A636" s="174" t="s">
        <v>271</v>
      </c>
      <c r="B636" s="174">
        <v>-29832.6</v>
      </c>
      <c r="C636" s="174">
        <v>1416</v>
      </c>
      <c r="D636" s="174">
        <v>1416</v>
      </c>
      <c r="E636" s="174">
        <v>-29832.6</v>
      </c>
      <c r="G636" s="174">
        <f t="shared" si="9"/>
        <v>-29832.6</v>
      </c>
      <c r="H636" s="174" t="s">
        <v>80</v>
      </c>
    </row>
    <row r="637" spans="1:8">
      <c r="A637" s="174" t="s">
        <v>1191</v>
      </c>
      <c r="B637" s="174">
        <v>0</v>
      </c>
      <c r="C637" s="174">
        <v>0</v>
      </c>
      <c r="D637" s="174">
        <v>0</v>
      </c>
      <c r="E637" s="174">
        <v>0</v>
      </c>
      <c r="G637" s="174">
        <f t="shared" si="9"/>
        <v>0</v>
      </c>
      <c r="H637" s="174" t="s">
        <v>80</v>
      </c>
    </row>
    <row r="638" spans="1:8">
      <c r="A638" s="174" t="s">
        <v>747</v>
      </c>
      <c r="B638" s="174">
        <v>-449535.74</v>
      </c>
      <c r="C638" s="174">
        <v>1423767</v>
      </c>
      <c r="D638" s="174">
        <v>1470097</v>
      </c>
      <c r="E638" s="174">
        <v>-495865.74</v>
      </c>
      <c r="G638" s="174">
        <f t="shared" si="9"/>
        <v>-495865.74</v>
      </c>
      <c r="H638" s="174" t="s">
        <v>80</v>
      </c>
    </row>
    <row r="639" spans="1:8">
      <c r="A639" s="174" t="s">
        <v>748</v>
      </c>
      <c r="B639" s="174">
        <v>-20650.5</v>
      </c>
      <c r="C639" s="174">
        <v>41300</v>
      </c>
      <c r="D639" s="174">
        <v>20650</v>
      </c>
      <c r="E639" s="174">
        <v>-0.5</v>
      </c>
      <c r="G639" s="174">
        <f t="shared" si="9"/>
        <v>-0.5</v>
      </c>
      <c r="H639" s="174" t="s">
        <v>80</v>
      </c>
    </row>
    <row r="640" spans="1:8">
      <c r="A640" s="174" t="s">
        <v>1454</v>
      </c>
      <c r="B640" s="174">
        <v>0</v>
      </c>
      <c r="C640" s="174">
        <v>14496</v>
      </c>
      <c r="D640" s="174">
        <v>0</v>
      </c>
      <c r="E640" s="174">
        <v>14496</v>
      </c>
      <c r="G640" s="174">
        <f t="shared" si="9"/>
        <v>14496</v>
      </c>
      <c r="H640" s="174" t="s">
        <v>80</v>
      </c>
    </row>
    <row r="641" spans="1:8">
      <c r="A641" s="174" t="s">
        <v>749</v>
      </c>
      <c r="B641" s="174">
        <v>-23187</v>
      </c>
      <c r="C641" s="174">
        <v>23187</v>
      </c>
      <c r="D641" s="174">
        <v>0</v>
      </c>
      <c r="E641" s="174">
        <v>0</v>
      </c>
      <c r="G641" s="174">
        <f t="shared" si="9"/>
        <v>0</v>
      </c>
      <c r="H641" s="174" t="s">
        <v>80</v>
      </c>
    </row>
    <row r="642" spans="1:8">
      <c r="A642" s="174" t="s">
        <v>1455</v>
      </c>
      <c r="B642" s="174">
        <v>0</v>
      </c>
      <c r="C642" s="174">
        <v>17700</v>
      </c>
      <c r="D642" s="174">
        <v>17700</v>
      </c>
      <c r="E642" s="174">
        <v>0</v>
      </c>
      <c r="G642" s="174">
        <f t="shared" si="9"/>
        <v>0</v>
      </c>
      <c r="H642" s="174" t="s">
        <v>80</v>
      </c>
    </row>
    <row r="643" spans="1:8">
      <c r="A643" s="174" t="s">
        <v>750</v>
      </c>
      <c r="B643" s="174">
        <v>-851</v>
      </c>
      <c r="C643" s="174">
        <v>0</v>
      </c>
      <c r="D643" s="174">
        <v>0</v>
      </c>
      <c r="E643" s="174">
        <v>-851</v>
      </c>
      <c r="G643" s="174">
        <f t="shared" ref="G643:G706" si="10">E643+F643</f>
        <v>-851</v>
      </c>
      <c r="H643" s="174" t="s">
        <v>80</v>
      </c>
    </row>
    <row r="644" spans="1:8">
      <c r="A644" s="174" t="s">
        <v>751</v>
      </c>
      <c r="B644" s="174">
        <v>-46728</v>
      </c>
      <c r="C644" s="174">
        <v>206895</v>
      </c>
      <c r="D644" s="174">
        <v>260290</v>
      </c>
      <c r="E644" s="174">
        <v>-100123</v>
      </c>
      <c r="G644" s="174">
        <f t="shared" si="10"/>
        <v>-100123</v>
      </c>
      <c r="H644" s="174" t="s">
        <v>80</v>
      </c>
    </row>
    <row r="645" spans="1:8">
      <c r="A645" s="174" t="s">
        <v>752</v>
      </c>
      <c r="B645" s="174">
        <v>-12095</v>
      </c>
      <c r="C645" s="174">
        <v>0</v>
      </c>
      <c r="D645" s="174">
        <v>0</v>
      </c>
      <c r="E645" s="174">
        <v>-12095</v>
      </c>
      <c r="G645" s="174">
        <f t="shared" si="10"/>
        <v>-12095</v>
      </c>
      <c r="H645" s="174" t="s">
        <v>80</v>
      </c>
    </row>
    <row r="646" spans="1:8">
      <c r="A646" s="174" t="s">
        <v>753</v>
      </c>
      <c r="B646" s="174">
        <v>-1872</v>
      </c>
      <c r="C646" s="174">
        <v>10207</v>
      </c>
      <c r="D646" s="174">
        <v>10207</v>
      </c>
      <c r="E646" s="174">
        <v>-1872</v>
      </c>
      <c r="G646" s="174">
        <f t="shared" si="10"/>
        <v>-1872</v>
      </c>
      <c r="H646" s="174" t="s">
        <v>80</v>
      </c>
    </row>
    <row r="647" spans="1:8">
      <c r="A647" s="174" t="s">
        <v>1456</v>
      </c>
      <c r="B647" s="174">
        <v>0</v>
      </c>
      <c r="C647" s="174">
        <v>94148</v>
      </c>
      <c r="D647" s="174">
        <v>94148</v>
      </c>
      <c r="E647" s="174">
        <v>0</v>
      </c>
      <c r="G647" s="174">
        <f t="shared" si="10"/>
        <v>0</v>
      </c>
      <c r="H647" s="174" t="s">
        <v>80</v>
      </c>
    </row>
    <row r="648" spans="1:8">
      <c r="A648" s="174" t="s">
        <v>455</v>
      </c>
      <c r="B648" s="174">
        <v>0</v>
      </c>
      <c r="C648" s="174">
        <v>28586</v>
      </c>
      <c r="D648" s="174">
        <v>28586</v>
      </c>
      <c r="E648" s="174">
        <v>0</v>
      </c>
      <c r="G648" s="174">
        <f t="shared" si="10"/>
        <v>0</v>
      </c>
      <c r="H648" s="174" t="s">
        <v>80</v>
      </c>
    </row>
    <row r="649" spans="1:8">
      <c r="A649" s="174" t="s">
        <v>265</v>
      </c>
      <c r="B649" s="174">
        <v>0</v>
      </c>
      <c r="C649" s="174">
        <v>1407948.87</v>
      </c>
      <c r="D649" s="174">
        <v>1412138.37</v>
      </c>
      <c r="E649" s="174">
        <v>-4189.5</v>
      </c>
      <c r="G649" s="174">
        <f t="shared" si="10"/>
        <v>-4189.5</v>
      </c>
      <c r="H649" s="174" t="s">
        <v>80</v>
      </c>
    </row>
    <row r="650" spans="1:8">
      <c r="A650" s="174" t="s">
        <v>1569</v>
      </c>
      <c r="B650" s="174">
        <v>0</v>
      </c>
      <c r="C650" s="174">
        <v>43247</v>
      </c>
      <c r="D650" s="174">
        <v>43247</v>
      </c>
      <c r="E650" s="174">
        <v>0</v>
      </c>
      <c r="G650" s="174">
        <f t="shared" si="10"/>
        <v>0</v>
      </c>
      <c r="H650" s="174" t="s">
        <v>80</v>
      </c>
    </row>
    <row r="651" spans="1:8">
      <c r="A651" s="174" t="s">
        <v>754</v>
      </c>
      <c r="B651" s="174">
        <v>-2006</v>
      </c>
      <c r="C651" s="174">
        <v>2006</v>
      </c>
      <c r="D651" s="174">
        <v>0</v>
      </c>
      <c r="E651" s="174">
        <v>0</v>
      </c>
      <c r="G651" s="174">
        <f t="shared" si="10"/>
        <v>0</v>
      </c>
      <c r="H651" s="174" t="s">
        <v>80</v>
      </c>
    </row>
    <row r="652" spans="1:8">
      <c r="A652" s="174" t="s">
        <v>527</v>
      </c>
      <c r="B652" s="174">
        <v>-55322.5</v>
      </c>
      <c r="C652" s="174">
        <v>55322.5</v>
      </c>
      <c r="D652" s="174">
        <v>41094</v>
      </c>
      <c r="E652" s="174">
        <v>-41094</v>
      </c>
      <c r="G652" s="174">
        <f t="shared" si="10"/>
        <v>-41094</v>
      </c>
      <c r="H652" s="174" t="s">
        <v>80</v>
      </c>
    </row>
    <row r="653" spans="1:8">
      <c r="A653" s="174" t="s">
        <v>1192</v>
      </c>
      <c r="B653" s="174">
        <v>0</v>
      </c>
      <c r="C653" s="174">
        <v>0</v>
      </c>
      <c r="D653" s="174">
        <v>0</v>
      </c>
      <c r="E653" s="174">
        <v>0</v>
      </c>
      <c r="G653" s="174">
        <f t="shared" si="10"/>
        <v>0</v>
      </c>
      <c r="H653" s="174" t="s">
        <v>80</v>
      </c>
    </row>
    <row r="654" spans="1:8">
      <c r="A654" s="174" t="s">
        <v>388</v>
      </c>
      <c r="B654" s="174">
        <v>-122909</v>
      </c>
      <c r="C654" s="174">
        <v>122909</v>
      </c>
      <c r="D654" s="174">
        <v>0</v>
      </c>
      <c r="E654" s="174">
        <v>0</v>
      </c>
      <c r="G654" s="174">
        <f t="shared" si="10"/>
        <v>0</v>
      </c>
      <c r="H654" s="174" t="s">
        <v>80</v>
      </c>
    </row>
    <row r="655" spans="1:8">
      <c r="A655" s="174" t="s">
        <v>263</v>
      </c>
      <c r="B655" s="174">
        <v>-33816</v>
      </c>
      <c r="C655" s="174">
        <v>30335</v>
      </c>
      <c r="D655" s="174">
        <v>51532</v>
      </c>
      <c r="E655" s="174">
        <v>-55013</v>
      </c>
      <c r="G655" s="174">
        <f t="shared" si="10"/>
        <v>-55013</v>
      </c>
      <c r="H655" s="174" t="s">
        <v>80</v>
      </c>
    </row>
    <row r="656" spans="1:8">
      <c r="A656" s="174" t="s">
        <v>403</v>
      </c>
      <c r="B656" s="174">
        <v>-11800</v>
      </c>
      <c r="C656" s="174">
        <v>11800</v>
      </c>
      <c r="D656" s="174">
        <v>0</v>
      </c>
      <c r="E656" s="174">
        <v>0</v>
      </c>
      <c r="G656" s="174">
        <f t="shared" si="10"/>
        <v>0</v>
      </c>
      <c r="H656" s="174" t="s">
        <v>80</v>
      </c>
    </row>
    <row r="657" spans="1:8">
      <c r="A657" s="174" t="s">
        <v>1193</v>
      </c>
      <c r="B657" s="174">
        <v>0</v>
      </c>
      <c r="C657" s="174">
        <v>0</v>
      </c>
      <c r="D657" s="174">
        <v>0</v>
      </c>
      <c r="E657" s="174">
        <v>0</v>
      </c>
      <c r="G657" s="174">
        <f t="shared" si="10"/>
        <v>0</v>
      </c>
      <c r="H657" s="174" t="s">
        <v>80</v>
      </c>
    </row>
    <row r="658" spans="1:8">
      <c r="A658" s="174" t="s">
        <v>1194</v>
      </c>
      <c r="B658" s="174">
        <v>0</v>
      </c>
      <c r="C658" s="174">
        <v>0</v>
      </c>
      <c r="D658" s="174">
        <v>0</v>
      </c>
      <c r="E658" s="174">
        <v>0</v>
      </c>
      <c r="G658" s="174">
        <f t="shared" si="10"/>
        <v>0</v>
      </c>
      <c r="H658" s="174" t="s">
        <v>80</v>
      </c>
    </row>
    <row r="659" spans="1:8">
      <c r="A659" s="174" t="s">
        <v>262</v>
      </c>
      <c r="B659" s="174">
        <v>-16862</v>
      </c>
      <c r="C659" s="174">
        <v>21181</v>
      </c>
      <c r="D659" s="174">
        <v>26255</v>
      </c>
      <c r="E659" s="174">
        <v>-21936</v>
      </c>
      <c r="G659" s="174">
        <f t="shared" si="10"/>
        <v>-21936</v>
      </c>
      <c r="H659" s="174" t="s">
        <v>80</v>
      </c>
    </row>
    <row r="660" spans="1:8">
      <c r="A660" s="174" t="s">
        <v>1570</v>
      </c>
      <c r="B660" s="174">
        <v>0</v>
      </c>
      <c r="C660" s="174">
        <v>37524</v>
      </c>
      <c r="D660" s="174">
        <v>37524</v>
      </c>
      <c r="E660" s="174">
        <v>0</v>
      </c>
      <c r="G660" s="174">
        <f t="shared" si="10"/>
        <v>0</v>
      </c>
      <c r="H660" s="174" t="s">
        <v>80</v>
      </c>
    </row>
    <row r="661" spans="1:8">
      <c r="A661" s="174" t="s">
        <v>452</v>
      </c>
      <c r="B661" s="174">
        <v>10968.82</v>
      </c>
      <c r="C661" s="174">
        <v>0</v>
      </c>
      <c r="D661" s="174">
        <v>11292.26</v>
      </c>
      <c r="E661" s="174">
        <v>-323.44</v>
      </c>
      <c r="G661" s="174">
        <f t="shared" si="10"/>
        <v>-323.44</v>
      </c>
      <c r="H661" s="174" t="s">
        <v>80</v>
      </c>
    </row>
    <row r="662" spans="1:8">
      <c r="A662" s="174" t="s">
        <v>259</v>
      </c>
      <c r="B662" s="174">
        <v>-1180</v>
      </c>
      <c r="C662" s="174">
        <v>5310</v>
      </c>
      <c r="D662" s="174">
        <v>34633</v>
      </c>
      <c r="E662" s="174">
        <v>-30503</v>
      </c>
      <c r="G662" s="174">
        <f t="shared" si="10"/>
        <v>-30503</v>
      </c>
      <c r="H662" s="174" t="s">
        <v>80</v>
      </c>
    </row>
    <row r="663" spans="1:8">
      <c r="A663" s="174" t="s">
        <v>755</v>
      </c>
      <c r="B663" s="174">
        <v>-50551</v>
      </c>
      <c r="C663" s="174">
        <v>50551</v>
      </c>
      <c r="D663" s="174">
        <v>0</v>
      </c>
      <c r="E663" s="174">
        <v>0</v>
      </c>
      <c r="G663" s="174">
        <f t="shared" si="10"/>
        <v>0</v>
      </c>
      <c r="H663" s="174" t="s">
        <v>80</v>
      </c>
    </row>
    <row r="664" spans="1:8">
      <c r="A664" s="174" t="s">
        <v>756</v>
      </c>
      <c r="B664" s="174">
        <v>0</v>
      </c>
      <c r="C664" s="174">
        <v>146697</v>
      </c>
      <c r="D664" s="174">
        <v>146697</v>
      </c>
      <c r="E664" s="174">
        <v>0</v>
      </c>
      <c r="G664" s="174">
        <f t="shared" si="10"/>
        <v>0</v>
      </c>
      <c r="H664" s="174" t="s">
        <v>80</v>
      </c>
    </row>
    <row r="665" spans="1:8">
      <c r="A665" s="174" t="s">
        <v>466</v>
      </c>
      <c r="B665" s="174">
        <v>-13803</v>
      </c>
      <c r="C665" s="174">
        <v>0</v>
      </c>
      <c r="D665" s="174">
        <v>5963</v>
      </c>
      <c r="E665" s="174">
        <v>-19766</v>
      </c>
      <c r="G665" s="174">
        <f t="shared" si="10"/>
        <v>-19766</v>
      </c>
      <c r="H665" s="174" t="s">
        <v>80</v>
      </c>
    </row>
    <row r="666" spans="1:8">
      <c r="A666" s="174" t="s">
        <v>257</v>
      </c>
      <c r="B666" s="174">
        <v>-1523</v>
      </c>
      <c r="C666" s="174">
        <v>48091</v>
      </c>
      <c r="D666" s="174">
        <v>46568</v>
      </c>
      <c r="E666" s="174">
        <v>0</v>
      </c>
      <c r="G666" s="174">
        <f t="shared" si="10"/>
        <v>0</v>
      </c>
      <c r="H666" s="174" t="s">
        <v>80</v>
      </c>
    </row>
    <row r="667" spans="1:8">
      <c r="A667" s="174" t="s">
        <v>385</v>
      </c>
      <c r="B667" s="174">
        <v>-17220</v>
      </c>
      <c r="C667" s="174">
        <v>15930</v>
      </c>
      <c r="D667" s="174">
        <v>0</v>
      </c>
      <c r="E667" s="174">
        <v>-1290</v>
      </c>
      <c r="G667" s="174">
        <f t="shared" si="10"/>
        <v>-1290</v>
      </c>
      <c r="H667" s="174" t="s">
        <v>80</v>
      </c>
    </row>
    <row r="668" spans="1:8">
      <c r="A668" s="174" t="s">
        <v>256</v>
      </c>
      <c r="B668" s="174">
        <v>-49192.44</v>
      </c>
      <c r="C668" s="174">
        <v>87461.66</v>
      </c>
      <c r="D668" s="174">
        <v>65909.399999999994</v>
      </c>
      <c r="E668" s="174">
        <v>-27640.18</v>
      </c>
      <c r="G668" s="174">
        <f t="shared" si="10"/>
        <v>-27640.18</v>
      </c>
      <c r="H668" s="174" t="s">
        <v>80</v>
      </c>
    </row>
    <row r="669" spans="1:8">
      <c r="A669" s="174" t="s">
        <v>255</v>
      </c>
      <c r="B669" s="174">
        <v>-9803.18</v>
      </c>
      <c r="C669" s="174">
        <v>78268.399999999994</v>
      </c>
      <c r="D669" s="174">
        <v>77252.429999999993</v>
      </c>
      <c r="E669" s="174">
        <v>-8787.2099999999991</v>
      </c>
      <c r="G669" s="174">
        <f t="shared" si="10"/>
        <v>-8787.2099999999991</v>
      </c>
      <c r="H669" s="174" t="s">
        <v>80</v>
      </c>
    </row>
    <row r="670" spans="1:8">
      <c r="A670" s="174" t="s">
        <v>253</v>
      </c>
      <c r="B670" s="174">
        <v>-269120.09999999998</v>
      </c>
      <c r="C670" s="174">
        <v>379044</v>
      </c>
      <c r="D670" s="174">
        <v>115992</v>
      </c>
      <c r="E670" s="174">
        <v>-6068.1</v>
      </c>
      <c r="G670" s="174">
        <f t="shared" si="10"/>
        <v>-6068.1</v>
      </c>
      <c r="H670" s="174" t="s">
        <v>80</v>
      </c>
    </row>
    <row r="671" spans="1:8">
      <c r="A671" s="174" t="s">
        <v>1571</v>
      </c>
      <c r="B671" s="174">
        <v>0</v>
      </c>
      <c r="C671" s="174">
        <v>0</v>
      </c>
      <c r="D671" s="174">
        <v>0</v>
      </c>
      <c r="E671" s="174">
        <v>0</v>
      </c>
      <c r="G671" s="174">
        <f t="shared" si="10"/>
        <v>0</v>
      </c>
      <c r="H671" s="174" t="s">
        <v>80</v>
      </c>
    </row>
    <row r="672" spans="1:8">
      <c r="A672" s="174" t="s">
        <v>252</v>
      </c>
      <c r="B672" s="174">
        <v>-920</v>
      </c>
      <c r="C672" s="174">
        <v>920</v>
      </c>
      <c r="D672" s="174">
        <v>0</v>
      </c>
      <c r="E672" s="174">
        <v>0</v>
      </c>
      <c r="G672" s="174">
        <f t="shared" si="10"/>
        <v>0</v>
      </c>
      <c r="H672" s="174" t="s">
        <v>80</v>
      </c>
    </row>
    <row r="673" spans="1:8">
      <c r="A673" s="174" t="s">
        <v>757</v>
      </c>
      <c r="B673" s="174">
        <v>5133</v>
      </c>
      <c r="C673" s="174">
        <v>0</v>
      </c>
      <c r="D673" s="174">
        <v>0</v>
      </c>
      <c r="E673" s="174">
        <v>5133</v>
      </c>
      <c r="G673" s="174">
        <f t="shared" si="10"/>
        <v>5133</v>
      </c>
      <c r="H673" s="174" t="s">
        <v>80</v>
      </c>
    </row>
    <row r="674" spans="1:8">
      <c r="A674" s="174" t="s">
        <v>1572</v>
      </c>
      <c r="B674" s="174">
        <v>0</v>
      </c>
      <c r="C674" s="174">
        <v>50000</v>
      </c>
      <c r="D674" s="174">
        <v>50000</v>
      </c>
      <c r="E674" s="174">
        <v>0</v>
      </c>
      <c r="G674" s="174">
        <f t="shared" si="10"/>
        <v>0</v>
      </c>
      <c r="H674" s="174" t="s">
        <v>80</v>
      </c>
    </row>
    <row r="675" spans="1:8">
      <c r="A675" s="174" t="s">
        <v>250</v>
      </c>
      <c r="B675" s="174">
        <v>-108360</v>
      </c>
      <c r="C675" s="174">
        <v>0</v>
      </c>
      <c r="D675" s="174">
        <v>144756</v>
      </c>
      <c r="E675" s="174">
        <v>-253116</v>
      </c>
      <c r="G675" s="174">
        <f t="shared" si="10"/>
        <v>-253116</v>
      </c>
      <c r="H675" s="174" t="s">
        <v>80</v>
      </c>
    </row>
    <row r="676" spans="1:8">
      <c r="A676" s="174" t="s">
        <v>1573</v>
      </c>
      <c r="B676" s="174">
        <v>0</v>
      </c>
      <c r="C676" s="174">
        <v>80846.350000000006</v>
      </c>
      <c r="D676" s="174">
        <v>0</v>
      </c>
      <c r="E676" s="174">
        <v>80846.350000000006</v>
      </c>
      <c r="G676" s="174">
        <f t="shared" si="10"/>
        <v>80846.350000000006</v>
      </c>
      <c r="H676" s="174" t="s">
        <v>80</v>
      </c>
    </row>
    <row r="677" spans="1:8">
      <c r="A677" s="174" t="s">
        <v>1195</v>
      </c>
      <c r="B677" s="174">
        <v>0</v>
      </c>
      <c r="C677" s="174">
        <v>33030.559999999998</v>
      </c>
      <c r="D677" s="174">
        <v>33030</v>
      </c>
      <c r="E677" s="174">
        <v>0.56000000000000005</v>
      </c>
      <c r="G677" s="174">
        <f t="shared" si="10"/>
        <v>0.56000000000000005</v>
      </c>
      <c r="H677" s="174" t="s">
        <v>80</v>
      </c>
    </row>
    <row r="678" spans="1:8">
      <c r="A678" s="174" t="s">
        <v>462</v>
      </c>
      <c r="B678" s="174">
        <v>-30990</v>
      </c>
      <c r="C678" s="174">
        <v>68718</v>
      </c>
      <c r="D678" s="174">
        <v>69708</v>
      </c>
      <c r="E678" s="174">
        <v>-31980</v>
      </c>
      <c r="G678" s="174">
        <f t="shared" si="10"/>
        <v>-31980</v>
      </c>
      <c r="H678" s="174" t="s">
        <v>80</v>
      </c>
    </row>
    <row r="679" spans="1:8">
      <c r="A679" s="174" t="s">
        <v>1196</v>
      </c>
      <c r="B679" s="174">
        <v>0</v>
      </c>
      <c r="C679" s="174">
        <v>0</v>
      </c>
      <c r="D679" s="174">
        <v>0</v>
      </c>
      <c r="E679" s="174">
        <v>0</v>
      </c>
      <c r="G679" s="174">
        <f t="shared" si="10"/>
        <v>0</v>
      </c>
      <c r="H679" s="174" t="s">
        <v>80</v>
      </c>
    </row>
    <row r="680" spans="1:8">
      <c r="A680" s="174" t="s">
        <v>758</v>
      </c>
      <c r="B680" s="174">
        <v>0.2</v>
      </c>
      <c r="C680" s="174">
        <v>0</v>
      </c>
      <c r="D680" s="174">
        <v>0</v>
      </c>
      <c r="E680" s="174">
        <v>0.2</v>
      </c>
      <c r="G680" s="174">
        <f t="shared" si="10"/>
        <v>0.2</v>
      </c>
      <c r="H680" s="174" t="s">
        <v>80</v>
      </c>
    </row>
    <row r="681" spans="1:8">
      <c r="A681" s="174" t="s">
        <v>246</v>
      </c>
      <c r="B681" s="174">
        <v>-0.5</v>
      </c>
      <c r="C681" s="174">
        <v>46537</v>
      </c>
      <c r="D681" s="174">
        <v>42782</v>
      </c>
      <c r="E681" s="174">
        <v>3754.5</v>
      </c>
      <c r="G681" s="174">
        <f t="shared" si="10"/>
        <v>3754.5</v>
      </c>
      <c r="H681" s="174" t="s">
        <v>80</v>
      </c>
    </row>
    <row r="682" spans="1:8">
      <c r="A682" s="174" t="s">
        <v>528</v>
      </c>
      <c r="B682" s="174">
        <v>-10684</v>
      </c>
      <c r="C682" s="174">
        <v>10684</v>
      </c>
      <c r="D682" s="174">
        <v>0</v>
      </c>
      <c r="E682" s="174">
        <v>0</v>
      </c>
      <c r="G682" s="174">
        <f t="shared" si="10"/>
        <v>0</v>
      </c>
      <c r="H682" s="174" t="s">
        <v>80</v>
      </c>
    </row>
    <row r="683" spans="1:8">
      <c r="A683" s="174" t="s">
        <v>242</v>
      </c>
      <c r="B683" s="174">
        <v>-11800</v>
      </c>
      <c r="C683" s="174">
        <v>11800</v>
      </c>
      <c r="D683" s="174">
        <v>0</v>
      </c>
      <c r="E683" s="174">
        <v>0</v>
      </c>
      <c r="G683" s="174">
        <f t="shared" si="10"/>
        <v>0</v>
      </c>
      <c r="H683" s="174" t="s">
        <v>80</v>
      </c>
    </row>
    <row r="684" spans="1:8">
      <c r="A684" s="174" t="s">
        <v>1197</v>
      </c>
      <c r="B684" s="174">
        <v>0</v>
      </c>
      <c r="C684" s="174">
        <v>0</v>
      </c>
      <c r="D684" s="174">
        <v>0</v>
      </c>
      <c r="E684" s="174">
        <v>0</v>
      </c>
      <c r="G684" s="174">
        <f t="shared" si="10"/>
        <v>0</v>
      </c>
      <c r="H684" s="174" t="s">
        <v>80</v>
      </c>
    </row>
    <row r="685" spans="1:8">
      <c r="A685" s="174" t="s">
        <v>467</v>
      </c>
      <c r="B685" s="174">
        <v>-15882.8</v>
      </c>
      <c r="C685" s="174">
        <v>15882.8</v>
      </c>
      <c r="D685" s="174">
        <v>0</v>
      </c>
      <c r="E685" s="174">
        <v>0</v>
      </c>
      <c r="G685" s="174">
        <f t="shared" si="10"/>
        <v>0</v>
      </c>
      <c r="H685" s="174" t="s">
        <v>80</v>
      </c>
    </row>
    <row r="686" spans="1:8">
      <c r="A686" s="174" t="s">
        <v>759</v>
      </c>
      <c r="B686" s="174">
        <v>-53100</v>
      </c>
      <c r="C686" s="174">
        <v>194464</v>
      </c>
      <c r="D686" s="174">
        <v>166616</v>
      </c>
      <c r="E686" s="174">
        <v>-25252</v>
      </c>
      <c r="G686" s="174">
        <f t="shared" si="10"/>
        <v>-25252</v>
      </c>
      <c r="H686" s="174" t="s">
        <v>80</v>
      </c>
    </row>
    <row r="687" spans="1:8">
      <c r="A687" s="174" t="s">
        <v>760</v>
      </c>
      <c r="B687" s="174">
        <v>-8942.01</v>
      </c>
      <c r="C687" s="174">
        <v>8942.01</v>
      </c>
      <c r="D687" s="174">
        <v>0</v>
      </c>
      <c r="E687" s="174">
        <v>0</v>
      </c>
      <c r="G687" s="174">
        <f t="shared" si="10"/>
        <v>0</v>
      </c>
      <c r="H687" s="174" t="s">
        <v>80</v>
      </c>
    </row>
    <row r="688" spans="1:8">
      <c r="A688" s="174" t="s">
        <v>236</v>
      </c>
      <c r="B688" s="174">
        <v>3337</v>
      </c>
      <c r="C688" s="174">
        <v>0</v>
      </c>
      <c r="D688" s="174">
        <v>0</v>
      </c>
      <c r="E688" s="174">
        <v>3337</v>
      </c>
      <c r="G688" s="174">
        <f t="shared" si="10"/>
        <v>3337</v>
      </c>
      <c r="H688" s="174" t="s">
        <v>80</v>
      </c>
    </row>
    <row r="689" spans="1:8">
      <c r="A689" s="174" t="s">
        <v>434</v>
      </c>
      <c r="B689" s="174">
        <v>0</v>
      </c>
      <c r="C689" s="174">
        <v>22945</v>
      </c>
      <c r="D689" s="174">
        <v>27237</v>
      </c>
      <c r="E689" s="174">
        <v>-4292</v>
      </c>
      <c r="G689" s="174">
        <f t="shared" si="10"/>
        <v>-4292</v>
      </c>
      <c r="H689" s="174" t="s">
        <v>80</v>
      </c>
    </row>
    <row r="690" spans="1:8">
      <c r="A690" s="174" t="s">
        <v>238</v>
      </c>
      <c r="B690" s="174">
        <v>-4528.3999999999996</v>
      </c>
      <c r="C690" s="174">
        <v>2507</v>
      </c>
      <c r="D690" s="174">
        <v>0</v>
      </c>
      <c r="E690" s="174">
        <v>-2021.4</v>
      </c>
      <c r="G690" s="174">
        <f t="shared" si="10"/>
        <v>-2021.4</v>
      </c>
      <c r="H690" s="174" t="s">
        <v>80</v>
      </c>
    </row>
    <row r="691" spans="1:8">
      <c r="A691" s="174" t="s">
        <v>457</v>
      </c>
      <c r="B691" s="174">
        <v>-500</v>
      </c>
      <c r="C691" s="174">
        <v>18880</v>
      </c>
      <c r="D691" s="174">
        <v>0</v>
      </c>
      <c r="E691" s="174">
        <v>18380</v>
      </c>
      <c r="G691" s="174">
        <f t="shared" si="10"/>
        <v>18380</v>
      </c>
      <c r="H691" s="174" t="s">
        <v>80</v>
      </c>
    </row>
    <row r="692" spans="1:8">
      <c r="A692" s="174" t="s">
        <v>761</v>
      </c>
      <c r="B692" s="174">
        <v>0</v>
      </c>
      <c r="C692" s="174">
        <v>1534</v>
      </c>
      <c r="D692" s="174">
        <v>4602</v>
      </c>
      <c r="E692" s="174">
        <v>-3068</v>
      </c>
      <c r="G692" s="174">
        <f t="shared" si="10"/>
        <v>-3068</v>
      </c>
      <c r="H692" s="174" t="s">
        <v>80</v>
      </c>
    </row>
    <row r="693" spans="1:8">
      <c r="A693" s="174" t="s">
        <v>1574</v>
      </c>
      <c r="B693" s="174">
        <v>0</v>
      </c>
      <c r="C693" s="174">
        <v>0</v>
      </c>
      <c r="D693" s="174">
        <v>853</v>
      </c>
      <c r="E693" s="174">
        <v>-853</v>
      </c>
      <c r="G693" s="174">
        <f t="shared" si="10"/>
        <v>-853</v>
      </c>
      <c r="H693" s="174" t="s">
        <v>80</v>
      </c>
    </row>
    <row r="694" spans="1:8">
      <c r="A694" s="174" t="s">
        <v>1198</v>
      </c>
      <c r="B694" s="174">
        <v>0</v>
      </c>
      <c r="C694" s="174">
        <v>0</v>
      </c>
      <c r="D694" s="174">
        <v>0</v>
      </c>
      <c r="E694" s="174">
        <v>0</v>
      </c>
      <c r="G694" s="174">
        <f t="shared" si="10"/>
        <v>0</v>
      </c>
      <c r="H694" s="174" t="s">
        <v>80</v>
      </c>
    </row>
    <row r="695" spans="1:8">
      <c r="A695" s="174" t="s">
        <v>233</v>
      </c>
      <c r="B695" s="174">
        <v>-130013</v>
      </c>
      <c r="C695" s="174">
        <v>168481</v>
      </c>
      <c r="D695" s="174">
        <v>184234</v>
      </c>
      <c r="E695" s="174">
        <v>-145766</v>
      </c>
      <c r="G695" s="174">
        <f t="shared" si="10"/>
        <v>-145766</v>
      </c>
      <c r="H695" s="174" t="s">
        <v>80</v>
      </c>
    </row>
    <row r="696" spans="1:8">
      <c r="A696" s="174" t="s">
        <v>229</v>
      </c>
      <c r="B696" s="174">
        <v>-7646.4</v>
      </c>
      <c r="C696" s="174">
        <v>1947</v>
      </c>
      <c r="D696" s="174">
        <v>1947</v>
      </c>
      <c r="E696" s="174">
        <v>-7646.4</v>
      </c>
      <c r="G696" s="174">
        <f t="shared" si="10"/>
        <v>-7646.4</v>
      </c>
      <c r="H696" s="174" t="s">
        <v>80</v>
      </c>
    </row>
    <row r="697" spans="1:8">
      <c r="A697" s="174" t="s">
        <v>230</v>
      </c>
      <c r="B697" s="174">
        <v>-29064</v>
      </c>
      <c r="C697" s="174">
        <v>16013</v>
      </c>
      <c r="D697" s="174">
        <v>27777</v>
      </c>
      <c r="E697" s="174">
        <v>-40828</v>
      </c>
      <c r="G697" s="174">
        <f t="shared" si="10"/>
        <v>-40828</v>
      </c>
      <c r="H697" s="174" t="s">
        <v>80</v>
      </c>
    </row>
    <row r="698" spans="1:8">
      <c r="A698" s="174" t="s">
        <v>1199</v>
      </c>
      <c r="B698" s="174">
        <v>0</v>
      </c>
      <c r="C698" s="174">
        <v>0</v>
      </c>
      <c r="D698" s="174">
        <v>0</v>
      </c>
      <c r="E698" s="174">
        <v>0</v>
      </c>
      <c r="G698" s="174">
        <f t="shared" si="10"/>
        <v>0</v>
      </c>
      <c r="H698" s="174" t="s">
        <v>80</v>
      </c>
    </row>
    <row r="699" spans="1:8">
      <c r="A699" s="174" t="s">
        <v>1200</v>
      </c>
      <c r="B699" s="174">
        <v>0</v>
      </c>
      <c r="C699" s="174">
        <v>3492.8</v>
      </c>
      <c r="D699" s="174">
        <v>3492.8</v>
      </c>
      <c r="E699" s="174">
        <v>0</v>
      </c>
      <c r="G699" s="174">
        <f t="shared" si="10"/>
        <v>0</v>
      </c>
      <c r="H699" s="174" t="s">
        <v>80</v>
      </c>
    </row>
    <row r="700" spans="1:8">
      <c r="A700" s="174" t="s">
        <v>232</v>
      </c>
      <c r="B700" s="174">
        <v>-42959</v>
      </c>
      <c r="C700" s="174">
        <v>66560</v>
      </c>
      <c r="D700" s="174">
        <v>23601</v>
      </c>
      <c r="E700" s="174">
        <v>0</v>
      </c>
      <c r="G700" s="174">
        <f t="shared" si="10"/>
        <v>0</v>
      </c>
      <c r="H700" s="174" t="s">
        <v>80</v>
      </c>
    </row>
    <row r="701" spans="1:8">
      <c r="A701" s="174" t="s">
        <v>1201</v>
      </c>
      <c r="B701" s="174">
        <v>0</v>
      </c>
      <c r="C701" s="174">
        <v>0</v>
      </c>
      <c r="D701" s="174">
        <v>0</v>
      </c>
      <c r="E701" s="174">
        <v>0</v>
      </c>
      <c r="G701" s="174">
        <f t="shared" si="10"/>
        <v>0</v>
      </c>
      <c r="H701" s="174" t="s">
        <v>80</v>
      </c>
    </row>
    <row r="702" spans="1:8">
      <c r="A702" s="174" t="s">
        <v>469</v>
      </c>
      <c r="B702" s="174">
        <v>-3894</v>
      </c>
      <c r="C702" s="174">
        <v>5841</v>
      </c>
      <c r="D702" s="174">
        <v>37422.6</v>
      </c>
      <c r="E702" s="174">
        <v>-35475.599999999999</v>
      </c>
      <c r="G702" s="174">
        <f t="shared" si="10"/>
        <v>-35475.599999999999</v>
      </c>
      <c r="H702" s="174" t="s">
        <v>80</v>
      </c>
    </row>
    <row r="703" spans="1:8">
      <c r="A703" s="174" t="s">
        <v>508</v>
      </c>
      <c r="B703" s="174">
        <v>-1357</v>
      </c>
      <c r="C703" s="174">
        <v>5841</v>
      </c>
      <c r="D703" s="174">
        <v>2242</v>
      </c>
      <c r="E703" s="174">
        <v>2242</v>
      </c>
      <c r="G703" s="174">
        <f t="shared" si="10"/>
        <v>2242</v>
      </c>
      <c r="H703" s="174" t="s">
        <v>80</v>
      </c>
    </row>
    <row r="704" spans="1:8">
      <c r="A704" s="174" t="s">
        <v>1202</v>
      </c>
      <c r="B704" s="174">
        <v>0</v>
      </c>
      <c r="C704" s="174">
        <v>0</v>
      </c>
      <c r="D704" s="174">
        <v>0</v>
      </c>
      <c r="E704" s="174">
        <v>0</v>
      </c>
      <c r="G704" s="174">
        <f t="shared" si="10"/>
        <v>0</v>
      </c>
      <c r="H704" s="174" t="s">
        <v>80</v>
      </c>
    </row>
    <row r="705" spans="1:8">
      <c r="A705" s="174" t="s">
        <v>1457</v>
      </c>
      <c r="B705" s="174">
        <v>0</v>
      </c>
      <c r="C705" s="174">
        <v>7434</v>
      </c>
      <c r="D705" s="174">
        <v>7434</v>
      </c>
      <c r="E705" s="174">
        <v>0</v>
      </c>
      <c r="G705" s="174">
        <f t="shared" si="10"/>
        <v>0</v>
      </c>
      <c r="H705" s="174" t="s">
        <v>80</v>
      </c>
    </row>
    <row r="706" spans="1:8">
      <c r="A706" s="174" t="s">
        <v>226</v>
      </c>
      <c r="B706" s="174">
        <v>-8574</v>
      </c>
      <c r="C706" s="174">
        <v>23109</v>
      </c>
      <c r="D706" s="174">
        <v>14535</v>
      </c>
      <c r="E706" s="174">
        <v>0</v>
      </c>
      <c r="G706" s="174">
        <f t="shared" si="10"/>
        <v>0</v>
      </c>
      <c r="H706" s="174" t="s">
        <v>80</v>
      </c>
    </row>
    <row r="707" spans="1:8">
      <c r="A707" s="174" t="s">
        <v>1203</v>
      </c>
      <c r="B707" s="174">
        <v>0</v>
      </c>
      <c r="C707" s="174">
        <v>0</v>
      </c>
      <c r="D707" s="174">
        <v>0</v>
      </c>
      <c r="E707" s="174">
        <v>0</v>
      </c>
      <c r="G707" s="174">
        <f t="shared" ref="G707:G770" si="11">E707+F707</f>
        <v>0</v>
      </c>
      <c r="H707" s="174" t="s">
        <v>80</v>
      </c>
    </row>
    <row r="708" spans="1:8">
      <c r="A708" s="174" t="s">
        <v>1204</v>
      </c>
      <c r="B708" s="174">
        <v>0</v>
      </c>
      <c r="C708" s="174">
        <v>16107</v>
      </c>
      <c r="D708" s="174">
        <v>16107</v>
      </c>
      <c r="E708" s="174">
        <v>0</v>
      </c>
      <c r="G708" s="174">
        <f t="shared" si="11"/>
        <v>0</v>
      </c>
      <c r="H708" s="174" t="s">
        <v>80</v>
      </c>
    </row>
    <row r="709" spans="1:8">
      <c r="A709" s="174" t="s">
        <v>228</v>
      </c>
      <c r="B709" s="174">
        <v>-11611.8</v>
      </c>
      <c r="C709" s="174">
        <v>15446</v>
      </c>
      <c r="D709" s="174">
        <v>3835</v>
      </c>
      <c r="E709" s="174">
        <v>-0.8</v>
      </c>
      <c r="G709" s="174">
        <f t="shared" si="11"/>
        <v>-0.8</v>
      </c>
      <c r="H709" s="174" t="s">
        <v>80</v>
      </c>
    </row>
    <row r="710" spans="1:8">
      <c r="A710" s="174" t="s">
        <v>401</v>
      </c>
      <c r="B710" s="174">
        <v>-438567.49</v>
      </c>
      <c r="C710" s="174">
        <v>468902.39</v>
      </c>
      <c r="D710" s="174">
        <v>58646.02</v>
      </c>
      <c r="E710" s="174">
        <v>-28311.119999999999</v>
      </c>
      <c r="G710" s="174">
        <f t="shared" si="11"/>
        <v>-28311.119999999999</v>
      </c>
      <c r="H710" s="174" t="s">
        <v>80</v>
      </c>
    </row>
    <row r="711" spans="1:8">
      <c r="A711" s="174" t="s">
        <v>402</v>
      </c>
      <c r="B711" s="174">
        <v>212861.49</v>
      </c>
      <c r="C711" s="174">
        <v>196093.98</v>
      </c>
      <c r="D711" s="174">
        <v>115582.56</v>
      </c>
      <c r="E711" s="174">
        <v>293372.90999999997</v>
      </c>
      <c r="G711" s="174">
        <f t="shared" si="11"/>
        <v>293372.90999999997</v>
      </c>
      <c r="H711" s="174" t="s">
        <v>80</v>
      </c>
    </row>
    <row r="712" spans="1:8">
      <c r="A712" s="174" t="s">
        <v>1205</v>
      </c>
      <c r="B712" s="174">
        <v>0</v>
      </c>
      <c r="C712" s="174">
        <v>0</v>
      </c>
      <c r="D712" s="174">
        <v>0</v>
      </c>
      <c r="E712" s="174">
        <v>0</v>
      </c>
      <c r="G712" s="174">
        <f t="shared" si="11"/>
        <v>0</v>
      </c>
      <c r="H712" s="174" t="s">
        <v>80</v>
      </c>
    </row>
    <row r="713" spans="1:8">
      <c r="A713" s="174" t="s">
        <v>1206</v>
      </c>
      <c r="B713" s="174">
        <v>0</v>
      </c>
      <c r="C713" s="174">
        <v>0</v>
      </c>
      <c r="D713" s="174">
        <v>0</v>
      </c>
      <c r="E713" s="174">
        <v>0</v>
      </c>
      <c r="G713" s="174">
        <f t="shared" si="11"/>
        <v>0</v>
      </c>
      <c r="H713" s="174" t="s">
        <v>80</v>
      </c>
    </row>
    <row r="714" spans="1:8">
      <c r="A714" s="174" t="s">
        <v>225</v>
      </c>
      <c r="B714" s="174">
        <v>-0.05</v>
      </c>
      <c r="C714" s="174">
        <v>0</v>
      </c>
      <c r="D714" s="174">
        <v>0</v>
      </c>
      <c r="E714" s="174">
        <v>-0.05</v>
      </c>
      <c r="G714" s="174">
        <f t="shared" si="11"/>
        <v>-0.05</v>
      </c>
      <c r="H714" s="174" t="s">
        <v>80</v>
      </c>
    </row>
    <row r="715" spans="1:8">
      <c r="A715" s="174" t="s">
        <v>1575</v>
      </c>
      <c r="B715" s="174">
        <v>0</v>
      </c>
      <c r="C715" s="174">
        <v>0</v>
      </c>
      <c r="D715" s="174">
        <v>4584</v>
      </c>
      <c r="E715" s="174">
        <v>-4584</v>
      </c>
      <c r="G715" s="174">
        <f t="shared" si="11"/>
        <v>-4584</v>
      </c>
      <c r="H715" s="174" t="s">
        <v>80</v>
      </c>
    </row>
    <row r="716" spans="1:8">
      <c r="A716" s="174" t="s">
        <v>1458</v>
      </c>
      <c r="B716" s="174">
        <v>0</v>
      </c>
      <c r="C716" s="174">
        <v>0</v>
      </c>
      <c r="D716" s="174">
        <v>19475</v>
      </c>
      <c r="E716" s="174">
        <v>-19475</v>
      </c>
      <c r="G716" s="174">
        <f t="shared" si="11"/>
        <v>-19475</v>
      </c>
      <c r="H716" s="174" t="s">
        <v>80</v>
      </c>
    </row>
    <row r="717" spans="1:8">
      <c r="A717" s="174" t="s">
        <v>521</v>
      </c>
      <c r="B717" s="174">
        <v>0</v>
      </c>
      <c r="C717" s="174">
        <v>23010</v>
      </c>
      <c r="D717" s="174">
        <v>23010</v>
      </c>
      <c r="E717" s="174">
        <v>0</v>
      </c>
      <c r="G717" s="174">
        <f t="shared" si="11"/>
        <v>0</v>
      </c>
      <c r="H717" s="174" t="s">
        <v>80</v>
      </c>
    </row>
    <row r="718" spans="1:8">
      <c r="A718" s="174" t="s">
        <v>762</v>
      </c>
      <c r="B718" s="174">
        <v>-0.24</v>
      </c>
      <c r="C718" s="174">
        <v>0</v>
      </c>
      <c r="D718" s="174">
        <v>0</v>
      </c>
      <c r="E718" s="174">
        <v>-0.24</v>
      </c>
      <c r="G718" s="174">
        <f t="shared" si="11"/>
        <v>-0.24</v>
      </c>
      <c r="H718" s="174" t="s">
        <v>80</v>
      </c>
    </row>
    <row r="719" spans="1:8">
      <c r="A719" s="174" t="s">
        <v>763</v>
      </c>
      <c r="B719" s="174">
        <v>-8083</v>
      </c>
      <c r="C719" s="174">
        <v>10738</v>
      </c>
      <c r="D719" s="174">
        <v>2655</v>
      </c>
      <c r="E719" s="174">
        <v>0</v>
      </c>
      <c r="G719" s="174">
        <f t="shared" si="11"/>
        <v>0</v>
      </c>
      <c r="H719" s="174" t="s">
        <v>80</v>
      </c>
    </row>
    <row r="720" spans="1:8">
      <c r="A720" s="174" t="s">
        <v>223</v>
      </c>
      <c r="B720" s="174">
        <v>0.23</v>
      </c>
      <c r="C720" s="174">
        <v>0</v>
      </c>
      <c r="D720" s="174">
        <v>0</v>
      </c>
      <c r="E720" s="174">
        <v>0.23</v>
      </c>
      <c r="G720" s="174">
        <f t="shared" si="11"/>
        <v>0.23</v>
      </c>
      <c r="H720" s="174" t="s">
        <v>80</v>
      </c>
    </row>
    <row r="721" spans="1:8">
      <c r="A721" s="174" t="s">
        <v>764</v>
      </c>
      <c r="B721" s="174">
        <v>-1449</v>
      </c>
      <c r="C721" s="174">
        <v>313880</v>
      </c>
      <c r="D721" s="174">
        <v>364018</v>
      </c>
      <c r="E721" s="174">
        <v>-51587</v>
      </c>
      <c r="G721" s="174">
        <f t="shared" si="11"/>
        <v>-51587</v>
      </c>
      <c r="H721" s="174" t="s">
        <v>80</v>
      </c>
    </row>
    <row r="722" spans="1:8">
      <c r="A722" s="174" t="s">
        <v>1459</v>
      </c>
      <c r="B722" s="174">
        <v>0</v>
      </c>
      <c r="C722" s="174">
        <v>0</v>
      </c>
      <c r="D722" s="174">
        <v>472</v>
      </c>
      <c r="E722" s="174">
        <v>-472</v>
      </c>
      <c r="G722" s="174">
        <f t="shared" si="11"/>
        <v>-472</v>
      </c>
      <c r="H722" s="174" t="s">
        <v>80</v>
      </c>
    </row>
    <row r="723" spans="1:8">
      <c r="A723" s="174" t="s">
        <v>765</v>
      </c>
      <c r="B723" s="174">
        <v>0</v>
      </c>
      <c r="C723" s="174">
        <v>191546</v>
      </c>
      <c r="D723" s="174">
        <v>191546</v>
      </c>
      <c r="E723" s="174">
        <v>0</v>
      </c>
      <c r="G723" s="174">
        <f t="shared" si="11"/>
        <v>0</v>
      </c>
      <c r="H723" s="174" t="s">
        <v>80</v>
      </c>
    </row>
    <row r="724" spans="1:8">
      <c r="A724" s="174" t="s">
        <v>766</v>
      </c>
      <c r="B724" s="174">
        <v>5550</v>
      </c>
      <c r="C724" s="174">
        <v>0</v>
      </c>
      <c r="D724" s="174">
        <v>0</v>
      </c>
      <c r="E724" s="174">
        <v>5550</v>
      </c>
      <c r="G724" s="174">
        <f t="shared" si="11"/>
        <v>5550</v>
      </c>
      <c r="H724" s="174" t="s">
        <v>80</v>
      </c>
    </row>
    <row r="725" spans="1:8">
      <c r="A725" s="174" t="s">
        <v>1576</v>
      </c>
      <c r="B725" s="174">
        <v>0</v>
      </c>
      <c r="C725" s="174">
        <v>7552</v>
      </c>
      <c r="D725" s="174">
        <v>0</v>
      </c>
      <c r="E725" s="174">
        <v>7552</v>
      </c>
      <c r="G725" s="174">
        <f t="shared" si="11"/>
        <v>7552</v>
      </c>
      <c r="H725" s="174" t="s">
        <v>80</v>
      </c>
    </row>
    <row r="726" spans="1:8">
      <c r="A726" s="174" t="s">
        <v>1577</v>
      </c>
      <c r="B726" s="174">
        <v>0</v>
      </c>
      <c r="C726" s="174">
        <v>0</v>
      </c>
      <c r="D726" s="174">
        <v>21712</v>
      </c>
      <c r="E726" s="174">
        <v>-21712</v>
      </c>
      <c r="G726" s="174">
        <f t="shared" si="11"/>
        <v>-21712</v>
      </c>
      <c r="H726" s="174" t="s">
        <v>80</v>
      </c>
    </row>
    <row r="727" spans="1:8">
      <c r="A727" s="174" t="s">
        <v>458</v>
      </c>
      <c r="B727" s="174">
        <v>-632</v>
      </c>
      <c r="C727" s="174">
        <v>14650</v>
      </c>
      <c r="D727" s="174">
        <v>15788</v>
      </c>
      <c r="E727" s="174">
        <v>-1770</v>
      </c>
      <c r="G727" s="174">
        <f t="shared" si="11"/>
        <v>-1770</v>
      </c>
      <c r="H727" s="174" t="s">
        <v>80</v>
      </c>
    </row>
    <row r="728" spans="1:8">
      <c r="A728" s="174" t="s">
        <v>220</v>
      </c>
      <c r="B728" s="174">
        <v>-94425</v>
      </c>
      <c r="C728" s="174">
        <v>662481</v>
      </c>
      <c r="D728" s="174">
        <v>568056</v>
      </c>
      <c r="E728" s="174">
        <v>0</v>
      </c>
      <c r="G728" s="174">
        <f t="shared" si="11"/>
        <v>0</v>
      </c>
      <c r="H728" s="174" t="s">
        <v>80</v>
      </c>
    </row>
    <row r="729" spans="1:8">
      <c r="A729" s="174" t="s">
        <v>445</v>
      </c>
      <c r="B729" s="174">
        <v>-66080</v>
      </c>
      <c r="C729" s="174">
        <v>95816</v>
      </c>
      <c r="D729" s="174">
        <v>29736</v>
      </c>
      <c r="E729" s="174">
        <v>0</v>
      </c>
      <c r="G729" s="174">
        <f t="shared" si="11"/>
        <v>0</v>
      </c>
      <c r="H729" s="174" t="s">
        <v>80</v>
      </c>
    </row>
    <row r="730" spans="1:8">
      <c r="A730" s="174" t="s">
        <v>219</v>
      </c>
      <c r="B730" s="174">
        <v>0</v>
      </c>
      <c r="C730" s="174">
        <v>60920</v>
      </c>
      <c r="D730" s="174">
        <v>60920</v>
      </c>
      <c r="E730" s="174">
        <v>0</v>
      </c>
      <c r="G730" s="174">
        <f t="shared" si="11"/>
        <v>0</v>
      </c>
      <c r="H730" s="174" t="s">
        <v>80</v>
      </c>
    </row>
    <row r="731" spans="1:8">
      <c r="A731" s="174" t="s">
        <v>422</v>
      </c>
      <c r="B731" s="174">
        <v>-37760</v>
      </c>
      <c r="C731" s="174">
        <v>84488</v>
      </c>
      <c r="D731" s="174">
        <v>58410</v>
      </c>
      <c r="E731" s="174">
        <v>-11682</v>
      </c>
      <c r="G731" s="174">
        <f t="shared" si="11"/>
        <v>-11682</v>
      </c>
      <c r="H731" s="174" t="s">
        <v>80</v>
      </c>
    </row>
    <row r="732" spans="1:8">
      <c r="A732" s="174" t="s">
        <v>1460</v>
      </c>
      <c r="B732" s="174">
        <v>0</v>
      </c>
      <c r="C732" s="174">
        <v>11508</v>
      </c>
      <c r="D732" s="174">
        <v>11508</v>
      </c>
      <c r="E732" s="174">
        <v>0</v>
      </c>
      <c r="G732" s="174">
        <f t="shared" si="11"/>
        <v>0</v>
      </c>
      <c r="H732" s="174" t="s">
        <v>80</v>
      </c>
    </row>
    <row r="733" spans="1:8">
      <c r="A733" s="174" t="s">
        <v>479</v>
      </c>
      <c r="B733" s="174">
        <v>-19540</v>
      </c>
      <c r="C733" s="174">
        <v>0</v>
      </c>
      <c r="D733" s="174">
        <v>14700</v>
      </c>
      <c r="E733" s="174">
        <v>-34240</v>
      </c>
      <c r="G733" s="174">
        <f t="shared" si="11"/>
        <v>-34240</v>
      </c>
      <c r="H733" s="174" t="s">
        <v>80</v>
      </c>
    </row>
    <row r="734" spans="1:8">
      <c r="A734" s="174" t="s">
        <v>1461</v>
      </c>
      <c r="B734" s="174">
        <v>0</v>
      </c>
      <c r="C734" s="174">
        <v>17900.599999999999</v>
      </c>
      <c r="D734" s="174">
        <v>99828</v>
      </c>
      <c r="E734" s="174">
        <v>-81927.399999999994</v>
      </c>
      <c r="G734" s="174">
        <f t="shared" si="11"/>
        <v>-81927.399999999994</v>
      </c>
      <c r="H734" s="174" t="s">
        <v>80</v>
      </c>
    </row>
    <row r="735" spans="1:8">
      <c r="A735" s="174" t="s">
        <v>1462</v>
      </c>
      <c r="B735" s="174">
        <v>0</v>
      </c>
      <c r="C735" s="174">
        <v>835</v>
      </c>
      <c r="D735" s="174">
        <v>835</v>
      </c>
      <c r="E735" s="174">
        <v>0</v>
      </c>
      <c r="G735" s="174">
        <f t="shared" si="11"/>
        <v>0</v>
      </c>
      <c r="H735" s="174" t="s">
        <v>80</v>
      </c>
    </row>
    <row r="736" spans="1:8">
      <c r="A736" s="174" t="s">
        <v>468</v>
      </c>
      <c r="B736" s="174">
        <v>-18526</v>
      </c>
      <c r="C736" s="174">
        <v>18526</v>
      </c>
      <c r="D736" s="174">
        <v>0</v>
      </c>
      <c r="E736" s="174">
        <v>0</v>
      </c>
      <c r="G736" s="174">
        <f t="shared" si="11"/>
        <v>0</v>
      </c>
      <c r="H736" s="174" t="s">
        <v>80</v>
      </c>
    </row>
    <row r="737" spans="1:8">
      <c r="A737" s="174" t="s">
        <v>767</v>
      </c>
      <c r="B737" s="174">
        <v>-25960</v>
      </c>
      <c r="C737" s="174">
        <v>0</v>
      </c>
      <c r="D737" s="174">
        <v>0</v>
      </c>
      <c r="E737" s="174">
        <v>-25960</v>
      </c>
      <c r="G737" s="174">
        <f t="shared" si="11"/>
        <v>-25960</v>
      </c>
      <c r="H737" s="174" t="s">
        <v>80</v>
      </c>
    </row>
    <row r="738" spans="1:8">
      <c r="A738" s="174" t="s">
        <v>768</v>
      </c>
      <c r="B738" s="174">
        <v>-52156</v>
      </c>
      <c r="C738" s="174">
        <v>356832</v>
      </c>
      <c r="D738" s="174">
        <v>304676</v>
      </c>
      <c r="E738" s="174">
        <v>0</v>
      </c>
      <c r="G738" s="174">
        <f t="shared" si="11"/>
        <v>0</v>
      </c>
      <c r="H738" s="174" t="s">
        <v>80</v>
      </c>
    </row>
    <row r="739" spans="1:8">
      <c r="A739" s="174" t="s">
        <v>217</v>
      </c>
      <c r="B739" s="174">
        <v>-59714</v>
      </c>
      <c r="C739" s="174">
        <v>109904</v>
      </c>
      <c r="D739" s="174">
        <v>50190</v>
      </c>
      <c r="E739" s="174">
        <v>0</v>
      </c>
      <c r="G739" s="174">
        <f t="shared" si="11"/>
        <v>0</v>
      </c>
      <c r="H739" s="174" t="s">
        <v>80</v>
      </c>
    </row>
    <row r="740" spans="1:8">
      <c r="A740" s="174" t="s">
        <v>769</v>
      </c>
      <c r="B740" s="174">
        <v>-367395</v>
      </c>
      <c r="C740" s="174">
        <v>712572</v>
      </c>
      <c r="D740" s="174">
        <v>430164</v>
      </c>
      <c r="E740" s="174">
        <v>-84987</v>
      </c>
      <c r="G740" s="174">
        <f t="shared" si="11"/>
        <v>-84987</v>
      </c>
      <c r="H740" s="174" t="s">
        <v>80</v>
      </c>
    </row>
    <row r="741" spans="1:8">
      <c r="A741" s="174" t="s">
        <v>770</v>
      </c>
      <c r="B741" s="174">
        <v>-0.36</v>
      </c>
      <c r="C741" s="174">
        <v>4779</v>
      </c>
      <c r="D741" s="174">
        <v>4779</v>
      </c>
      <c r="E741" s="174">
        <v>-0.36</v>
      </c>
      <c r="G741" s="174">
        <f t="shared" si="11"/>
        <v>-0.36</v>
      </c>
      <c r="H741" s="174" t="s">
        <v>80</v>
      </c>
    </row>
    <row r="742" spans="1:8">
      <c r="A742" s="174" t="s">
        <v>771</v>
      </c>
      <c r="B742" s="174">
        <v>-12596</v>
      </c>
      <c r="C742" s="174">
        <v>58584</v>
      </c>
      <c r="D742" s="174">
        <v>45988</v>
      </c>
      <c r="E742" s="174">
        <v>0</v>
      </c>
      <c r="G742" s="174">
        <f t="shared" si="11"/>
        <v>0</v>
      </c>
      <c r="H742" s="174" t="s">
        <v>80</v>
      </c>
    </row>
    <row r="743" spans="1:8">
      <c r="A743" s="174" t="s">
        <v>216</v>
      </c>
      <c r="B743" s="174">
        <v>-40380</v>
      </c>
      <c r="C743" s="174">
        <v>74635</v>
      </c>
      <c r="D743" s="174">
        <v>124643</v>
      </c>
      <c r="E743" s="174">
        <v>-90388</v>
      </c>
      <c r="G743" s="174">
        <f t="shared" si="11"/>
        <v>-90388</v>
      </c>
      <c r="H743" s="174" t="s">
        <v>80</v>
      </c>
    </row>
    <row r="744" spans="1:8">
      <c r="A744" s="174" t="s">
        <v>1207</v>
      </c>
      <c r="B744" s="174">
        <v>0</v>
      </c>
      <c r="C744" s="174">
        <v>18148</v>
      </c>
      <c r="D744" s="174">
        <v>18148</v>
      </c>
      <c r="E744" s="174">
        <v>0</v>
      </c>
      <c r="G744" s="174">
        <f t="shared" si="11"/>
        <v>0</v>
      </c>
      <c r="H744" s="174" t="s">
        <v>80</v>
      </c>
    </row>
    <row r="745" spans="1:8">
      <c r="A745" s="174" t="s">
        <v>1578</v>
      </c>
      <c r="B745" s="174">
        <v>0</v>
      </c>
      <c r="C745" s="174">
        <v>0</v>
      </c>
      <c r="D745" s="174">
        <v>10768</v>
      </c>
      <c r="E745" s="174">
        <v>-10768</v>
      </c>
      <c r="G745" s="174">
        <f t="shared" si="11"/>
        <v>-10768</v>
      </c>
      <c r="H745" s="174" t="s">
        <v>80</v>
      </c>
    </row>
    <row r="746" spans="1:8">
      <c r="A746" s="174" t="s">
        <v>215</v>
      </c>
      <c r="B746" s="174">
        <v>-11328</v>
      </c>
      <c r="C746" s="174">
        <v>11328</v>
      </c>
      <c r="D746" s="174">
        <v>0</v>
      </c>
      <c r="E746" s="174">
        <v>0</v>
      </c>
      <c r="G746" s="174">
        <f t="shared" si="11"/>
        <v>0</v>
      </c>
      <c r="H746" s="174" t="s">
        <v>80</v>
      </c>
    </row>
    <row r="747" spans="1:8">
      <c r="A747" s="174" t="s">
        <v>421</v>
      </c>
      <c r="B747" s="174">
        <v>-0.2</v>
      </c>
      <c r="C747" s="174">
        <v>15576</v>
      </c>
      <c r="D747" s="174">
        <v>15576</v>
      </c>
      <c r="E747" s="174">
        <v>-0.2</v>
      </c>
      <c r="G747" s="174">
        <f t="shared" si="11"/>
        <v>-0.2</v>
      </c>
      <c r="H747" s="174" t="s">
        <v>80</v>
      </c>
    </row>
    <row r="748" spans="1:8">
      <c r="A748" s="174" t="s">
        <v>772</v>
      </c>
      <c r="B748" s="174">
        <v>-9865</v>
      </c>
      <c r="C748" s="174">
        <v>14797.4</v>
      </c>
      <c r="D748" s="174">
        <v>4932.3999999999996</v>
      </c>
      <c r="E748" s="174">
        <v>0</v>
      </c>
      <c r="G748" s="174">
        <f t="shared" si="11"/>
        <v>0</v>
      </c>
      <c r="H748" s="174" t="s">
        <v>80</v>
      </c>
    </row>
    <row r="749" spans="1:8">
      <c r="A749" s="174" t="s">
        <v>1208</v>
      </c>
      <c r="B749" s="174">
        <v>0</v>
      </c>
      <c r="C749" s="174">
        <v>38409</v>
      </c>
      <c r="D749" s="174">
        <v>43129</v>
      </c>
      <c r="E749" s="174">
        <v>-4720</v>
      </c>
      <c r="G749" s="174">
        <f t="shared" si="11"/>
        <v>-4720</v>
      </c>
      <c r="H749" s="174" t="s">
        <v>80</v>
      </c>
    </row>
    <row r="750" spans="1:8">
      <c r="A750" s="174" t="s">
        <v>1209</v>
      </c>
      <c r="B750" s="174">
        <v>0</v>
      </c>
      <c r="C750" s="174">
        <v>0</v>
      </c>
      <c r="D750" s="174">
        <v>0</v>
      </c>
      <c r="E750" s="174">
        <v>0</v>
      </c>
      <c r="G750" s="174">
        <f t="shared" si="11"/>
        <v>0</v>
      </c>
      <c r="H750" s="174" t="s">
        <v>80</v>
      </c>
    </row>
    <row r="751" spans="1:8">
      <c r="A751" s="174" t="s">
        <v>377</v>
      </c>
      <c r="B751" s="174">
        <v>-68342</v>
      </c>
      <c r="C751" s="174">
        <v>181987</v>
      </c>
      <c r="D751" s="174">
        <v>131054.01</v>
      </c>
      <c r="E751" s="174">
        <v>-17409.009999999998</v>
      </c>
      <c r="G751" s="174">
        <f t="shared" si="11"/>
        <v>-17409.009999999998</v>
      </c>
      <c r="H751" s="174" t="s">
        <v>80</v>
      </c>
    </row>
    <row r="752" spans="1:8">
      <c r="A752" s="174" t="s">
        <v>773</v>
      </c>
      <c r="B752" s="174">
        <v>-1510</v>
      </c>
      <c r="C752" s="174">
        <v>0</v>
      </c>
      <c r="D752" s="174">
        <v>0</v>
      </c>
      <c r="E752" s="174">
        <v>-1510</v>
      </c>
      <c r="G752" s="174">
        <f t="shared" si="11"/>
        <v>-1510</v>
      </c>
      <c r="H752" s="174" t="s">
        <v>80</v>
      </c>
    </row>
    <row r="753" spans="1:8">
      <c r="A753" s="174" t="s">
        <v>774</v>
      </c>
      <c r="B753" s="174">
        <v>-20387</v>
      </c>
      <c r="C753" s="174">
        <v>0</v>
      </c>
      <c r="D753" s="174">
        <v>21513</v>
      </c>
      <c r="E753" s="174">
        <v>-41900</v>
      </c>
      <c r="G753" s="174">
        <f t="shared" si="11"/>
        <v>-41900</v>
      </c>
      <c r="H753" s="174" t="s">
        <v>80</v>
      </c>
    </row>
    <row r="754" spans="1:8">
      <c r="A754" s="174" t="s">
        <v>443</v>
      </c>
      <c r="B754" s="174">
        <v>-6263.98</v>
      </c>
      <c r="C754" s="174">
        <v>31777</v>
      </c>
      <c r="D754" s="174">
        <v>69264</v>
      </c>
      <c r="E754" s="174">
        <v>-43750.98</v>
      </c>
      <c r="G754" s="174">
        <f t="shared" si="11"/>
        <v>-43750.98</v>
      </c>
      <c r="H754" s="174" t="s">
        <v>80</v>
      </c>
    </row>
    <row r="755" spans="1:8">
      <c r="A755" s="174" t="s">
        <v>775</v>
      </c>
      <c r="B755" s="174">
        <v>0</v>
      </c>
      <c r="C755" s="174">
        <v>16638</v>
      </c>
      <c r="D755" s="174">
        <v>16638</v>
      </c>
      <c r="E755" s="174">
        <v>0</v>
      </c>
      <c r="G755" s="174">
        <f t="shared" si="11"/>
        <v>0</v>
      </c>
      <c r="H755" s="174" t="s">
        <v>80</v>
      </c>
    </row>
    <row r="756" spans="1:8">
      <c r="A756" s="174" t="s">
        <v>1579</v>
      </c>
      <c r="B756" s="174">
        <v>0</v>
      </c>
      <c r="C756" s="174">
        <v>35400</v>
      </c>
      <c r="D756" s="174">
        <v>35400</v>
      </c>
      <c r="E756" s="174">
        <v>0</v>
      </c>
      <c r="G756" s="174">
        <f t="shared" si="11"/>
        <v>0</v>
      </c>
      <c r="H756" s="174" t="s">
        <v>80</v>
      </c>
    </row>
    <row r="757" spans="1:8">
      <c r="A757" s="174" t="s">
        <v>206</v>
      </c>
      <c r="B757" s="174">
        <v>0</v>
      </c>
      <c r="C757" s="174">
        <v>38943</v>
      </c>
      <c r="D757" s="174">
        <v>38943</v>
      </c>
      <c r="E757" s="174">
        <v>0</v>
      </c>
      <c r="G757" s="174">
        <f t="shared" si="11"/>
        <v>0</v>
      </c>
      <c r="H757" s="174" t="s">
        <v>80</v>
      </c>
    </row>
    <row r="758" spans="1:8">
      <c r="A758" s="174" t="s">
        <v>384</v>
      </c>
      <c r="B758" s="174">
        <v>-24824</v>
      </c>
      <c r="C758" s="174">
        <v>64109</v>
      </c>
      <c r="D758" s="174">
        <v>64109</v>
      </c>
      <c r="E758" s="174">
        <v>-24824</v>
      </c>
      <c r="G758" s="174">
        <f t="shared" si="11"/>
        <v>-24824</v>
      </c>
      <c r="H758" s="174" t="s">
        <v>80</v>
      </c>
    </row>
    <row r="759" spans="1:8">
      <c r="A759" s="174" t="s">
        <v>1210</v>
      </c>
      <c r="B759" s="174">
        <v>0</v>
      </c>
      <c r="C759" s="174">
        <v>0</v>
      </c>
      <c r="D759" s="174">
        <v>0</v>
      </c>
      <c r="E759" s="174">
        <v>0</v>
      </c>
      <c r="G759" s="174">
        <f t="shared" si="11"/>
        <v>0</v>
      </c>
      <c r="H759" s="174" t="s">
        <v>80</v>
      </c>
    </row>
    <row r="760" spans="1:8">
      <c r="A760" s="174" t="s">
        <v>776</v>
      </c>
      <c r="B760" s="174">
        <v>-216819</v>
      </c>
      <c r="C760" s="174">
        <v>216819</v>
      </c>
      <c r="D760" s="174">
        <v>0</v>
      </c>
      <c r="E760" s="174">
        <v>0</v>
      </c>
      <c r="G760" s="174">
        <f t="shared" si="11"/>
        <v>0</v>
      </c>
      <c r="H760" s="174" t="s">
        <v>80</v>
      </c>
    </row>
    <row r="761" spans="1:8">
      <c r="A761" s="174" t="s">
        <v>1211</v>
      </c>
      <c r="B761" s="174">
        <v>0</v>
      </c>
      <c r="C761" s="174">
        <v>0</v>
      </c>
      <c r="D761" s="174">
        <v>0</v>
      </c>
      <c r="E761" s="174">
        <v>0</v>
      </c>
      <c r="G761" s="174">
        <f t="shared" si="11"/>
        <v>0</v>
      </c>
      <c r="H761" s="174" t="s">
        <v>80</v>
      </c>
    </row>
    <row r="762" spans="1:8">
      <c r="A762" s="174" t="s">
        <v>201</v>
      </c>
      <c r="B762" s="174">
        <v>-9973.26</v>
      </c>
      <c r="C762" s="174">
        <v>38092.26</v>
      </c>
      <c r="D762" s="174">
        <v>28119</v>
      </c>
      <c r="E762" s="174">
        <v>0</v>
      </c>
      <c r="G762" s="174">
        <f t="shared" si="11"/>
        <v>0</v>
      </c>
      <c r="H762" s="174" t="s">
        <v>80</v>
      </c>
    </row>
    <row r="763" spans="1:8">
      <c r="A763" s="174" t="s">
        <v>417</v>
      </c>
      <c r="B763" s="174">
        <v>-26609</v>
      </c>
      <c r="C763" s="174">
        <v>26609</v>
      </c>
      <c r="D763" s="174">
        <v>0</v>
      </c>
      <c r="E763" s="174">
        <v>0</v>
      </c>
      <c r="G763" s="174">
        <f t="shared" si="11"/>
        <v>0</v>
      </c>
      <c r="H763" s="174" t="s">
        <v>80</v>
      </c>
    </row>
    <row r="764" spans="1:8">
      <c r="A764" s="174" t="s">
        <v>777</v>
      </c>
      <c r="B764" s="174">
        <v>-36650</v>
      </c>
      <c r="C764" s="174">
        <v>63294</v>
      </c>
      <c r="D764" s="174">
        <v>41606</v>
      </c>
      <c r="E764" s="174">
        <v>-14962</v>
      </c>
      <c r="G764" s="174">
        <f t="shared" si="11"/>
        <v>-14962</v>
      </c>
      <c r="H764" s="174" t="s">
        <v>80</v>
      </c>
    </row>
    <row r="765" spans="1:8">
      <c r="A765" s="174" t="s">
        <v>199</v>
      </c>
      <c r="B765" s="174">
        <v>1162.8</v>
      </c>
      <c r="C765" s="174">
        <v>991.2</v>
      </c>
      <c r="D765" s="174">
        <v>0</v>
      </c>
      <c r="E765" s="174">
        <v>2154</v>
      </c>
      <c r="G765" s="174">
        <f t="shared" si="11"/>
        <v>2154</v>
      </c>
      <c r="H765" s="174" t="s">
        <v>80</v>
      </c>
    </row>
    <row r="766" spans="1:8">
      <c r="A766" s="174" t="s">
        <v>778</v>
      </c>
      <c r="B766" s="174">
        <v>-0.54</v>
      </c>
      <c r="C766" s="174">
        <v>12887.7</v>
      </c>
      <c r="D766" s="174">
        <v>12887</v>
      </c>
      <c r="E766" s="174">
        <v>0.16</v>
      </c>
      <c r="G766" s="174">
        <f t="shared" si="11"/>
        <v>0.16</v>
      </c>
      <c r="H766" s="174" t="s">
        <v>80</v>
      </c>
    </row>
    <row r="767" spans="1:8">
      <c r="A767" s="174" t="s">
        <v>1212</v>
      </c>
      <c r="B767" s="174">
        <v>0</v>
      </c>
      <c r="C767" s="174">
        <v>12887.7</v>
      </c>
      <c r="D767" s="174">
        <v>12888</v>
      </c>
      <c r="E767" s="174">
        <v>-0.3</v>
      </c>
      <c r="G767" s="174">
        <f t="shared" si="11"/>
        <v>-0.3</v>
      </c>
      <c r="H767" s="174" t="s">
        <v>80</v>
      </c>
    </row>
    <row r="768" spans="1:8">
      <c r="A768" s="174" t="s">
        <v>379</v>
      </c>
      <c r="B768" s="174">
        <v>-38527</v>
      </c>
      <c r="C768" s="174">
        <v>112743</v>
      </c>
      <c r="D768" s="174">
        <v>76989</v>
      </c>
      <c r="E768" s="174">
        <v>-2773</v>
      </c>
      <c r="G768" s="174">
        <f t="shared" si="11"/>
        <v>-2773</v>
      </c>
      <c r="H768" s="174" t="s">
        <v>80</v>
      </c>
    </row>
    <row r="769" spans="1:8">
      <c r="A769" s="174" t="s">
        <v>387</v>
      </c>
      <c r="B769" s="174">
        <v>408.6</v>
      </c>
      <c r="C769" s="174">
        <v>0</v>
      </c>
      <c r="D769" s="174">
        <v>0</v>
      </c>
      <c r="E769" s="174">
        <v>408.6</v>
      </c>
      <c r="G769" s="174">
        <f t="shared" si="11"/>
        <v>408.6</v>
      </c>
      <c r="H769" s="174" t="s">
        <v>80</v>
      </c>
    </row>
    <row r="770" spans="1:8">
      <c r="A770" s="174" t="s">
        <v>463</v>
      </c>
      <c r="B770" s="174">
        <v>-44075</v>
      </c>
      <c r="C770" s="174">
        <v>305381</v>
      </c>
      <c r="D770" s="174">
        <v>322440</v>
      </c>
      <c r="E770" s="174">
        <v>-61134</v>
      </c>
      <c r="G770" s="174">
        <f t="shared" si="11"/>
        <v>-61134</v>
      </c>
      <c r="H770" s="174" t="s">
        <v>80</v>
      </c>
    </row>
    <row r="771" spans="1:8">
      <c r="A771" s="174" t="s">
        <v>1213</v>
      </c>
      <c r="B771" s="174">
        <v>0</v>
      </c>
      <c r="C771" s="174">
        <v>0</v>
      </c>
      <c r="D771" s="174">
        <v>0</v>
      </c>
      <c r="E771" s="174">
        <v>0</v>
      </c>
      <c r="G771" s="174">
        <f t="shared" ref="G771:G834" si="12">E771+F771</f>
        <v>0</v>
      </c>
      <c r="H771" s="174" t="s">
        <v>80</v>
      </c>
    </row>
    <row r="772" spans="1:8">
      <c r="A772" s="174" t="s">
        <v>779</v>
      </c>
      <c r="B772" s="174">
        <v>0</v>
      </c>
      <c r="C772" s="174">
        <v>12637.8</v>
      </c>
      <c r="D772" s="174">
        <v>12637.8</v>
      </c>
      <c r="E772" s="174">
        <v>0</v>
      </c>
      <c r="G772" s="174">
        <f t="shared" si="12"/>
        <v>0</v>
      </c>
      <c r="H772" s="174" t="s">
        <v>80</v>
      </c>
    </row>
    <row r="773" spans="1:8">
      <c r="A773" s="174" t="s">
        <v>1214</v>
      </c>
      <c r="B773" s="174">
        <v>0</v>
      </c>
      <c r="C773" s="174">
        <v>0</v>
      </c>
      <c r="D773" s="174">
        <v>0</v>
      </c>
      <c r="E773" s="174">
        <v>0</v>
      </c>
      <c r="G773" s="174">
        <f t="shared" si="12"/>
        <v>0</v>
      </c>
      <c r="H773" s="174" t="s">
        <v>80</v>
      </c>
    </row>
    <row r="774" spans="1:8">
      <c r="A774" s="174" t="s">
        <v>1215</v>
      </c>
      <c r="B774" s="174">
        <v>0</v>
      </c>
      <c r="C774" s="174">
        <v>167084.29999999999</v>
      </c>
      <c r="D774" s="174">
        <v>167084.29999999999</v>
      </c>
      <c r="E774" s="174">
        <v>0</v>
      </c>
      <c r="G774" s="174">
        <f t="shared" si="12"/>
        <v>0</v>
      </c>
      <c r="H774" s="174" t="s">
        <v>80</v>
      </c>
    </row>
    <row r="775" spans="1:8">
      <c r="A775" s="174" t="s">
        <v>1463</v>
      </c>
      <c r="B775" s="174">
        <v>0</v>
      </c>
      <c r="C775" s="174">
        <v>13000</v>
      </c>
      <c r="D775" s="174">
        <v>13324</v>
      </c>
      <c r="E775" s="174">
        <v>-324</v>
      </c>
      <c r="G775" s="174">
        <f t="shared" si="12"/>
        <v>-324</v>
      </c>
      <c r="H775" s="174" t="s">
        <v>80</v>
      </c>
    </row>
    <row r="776" spans="1:8">
      <c r="A776" s="174" t="s">
        <v>194</v>
      </c>
      <c r="B776" s="174">
        <v>-17750</v>
      </c>
      <c r="C776" s="174">
        <v>0</v>
      </c>
      <c r="D776" s="174">
        <v>0</v>
      </c>
      <c r="E776" s="174">
        <v>-17750</v>
      </c>
      <c r="G776" s="174">
        <f t="shared" si="12"/>
        <v>-17750</v>
      </c>
      <c r="H776" s="174" t="s">
        <v>80</v>
      </c>
    </row>
    <row r="777" spans="1:8">
      <c r="A777" s="174" t="s">
        <v>1216</v>
      </c>
      <c r="B777" s="174">
        <v>0</v>
      </c>
      <c r="C777" s="174">
        <v>61360</v>
      </c>
      <c r="D777" s="174">
        <v>61360</v>
      </c>
      <c r="E777" s="174">
        <v>0</v>
      </c>
      <c r="G777" s="174">
        <f t="shared" si="12"/>
        <v>0</v>
      </c>
      <c r="H777" s="174" t="s">
        <v>80</v>
      </c>
    </row>
    <row r="778" spans="1:8">
      <c r="A778" s="174" t="s">
        <v>509</v>
      </c>
      <c r="B778" s="174">
        <v>-4790</v>
      </c>
      <c r="C778" s="174">
        <v>0</v>
      </c>
      <c r="D778" s="174">
        <v>0</v>
      </c>
      <c r="E778" s="174">
        <v>-4790</v>
      </c>
      <c r="G778" s="174">
        <f t="shared" si="12"/>
        <v>-4790</v>
      </c>
      <c r="H778" s="174" t="s">
        <v>80</v>
      </c>
    </row>
    <row r="779" spans="1:8">
      <c r="A779" s="174" t="s">
        <v>1217</v>
      </c>
      <c r="B779" s="174">
        <v>0</v>
      </c>
      <c r="C779" s="174">
        <v>0</v>
      </c>
      <c r="D779" s="174">
        <v>0</v>
      </c>
      <c r="E779" s="174">
        <v>0</v>
      </c>
      <c r="G779" s="174">
        <f t="shared" si="12"/>
        <v>0</v>
      </c>
      <c r="H779" s="174" t="s">
        <v>80</v>
      </c>
    </row>
    <row r="780" spans="1:8">
      <c r="A780" s="174" t="s">
        <v>1218</v>
      </c>
      <c r="B780" s="174">
        <v>0</v>
      </c>
      <c r="C780" s="174">
        <v>0</v>
      </c>
      <c r="D780" s="174">
        <v>0</v>
      </c>
      <c r="E780" s="174">
        <v>0</v>
      </c>
      <c r="G780" s="174">
        <f t="shared" si="12"/>
        <v>0</v>
      </c>
      <c r="H780" s="174" t="s">
        <v>80</v>
      </c>
    </row>
    <row r="781" spans="1:8">
      <c r="A781" s="174" t="s">
        <v>1219</v>
      </c>
      <c r="B781" s="174">
        <v>0</v>
      </c>
      <c r="C781" s="174">
        <v>0</v>
      </c>
      <c r="D781" s="174">
        <v>0</v>
      </c>
      <c r="E781" s="174">
        <v>0</v>
      </c>
      <c r="G781" s="174">
        <f t="shared" si="12"/>
        <v>0</v>
      </c>
      <c r="H781" s="174" t="s">
        <v>80</v>
      </c>
    </row>
    <row r="782" spans="1:8">
      <c r="A782" s="174" t="s">
        <v>1580</v>
      </c>
      <c r="B782" s="174">
        <v>0</v>
      </c>
      <c r="C782" s="174">
        <v>13771</v>
      </c>
      <c r="D782" s="174">
        <v>13771</v>
      </c>
      <c r="E782" s="174">
        <v>0</v>
      </c>
      <c r="G782" s="174">
        <f t="shared" si="12"/>
        <v>0</v>
      </c>
      <c r="H782" s="174" t="s">
        <v>80</v>
      </c>
    </row>
    <row r="783" spans="1:8">
      <c r="A783" s="174" t="s">
        <v>1220</v>
      </c>
      <c r="B783" s="174">
        <v>0</v>
      </c>
      <c r="C783" s="174">
        <v>0</v>
      </c>
      <c r="D783" s="174">
        <v>0</v>
      </c>
      <c r="E783" s="174">
        <v>0</v>
      </c>
      <c r="G783" s="174">
        <f t="shared" si="12"/>
        <v>0</v>
      </c>
      <c r="H783" s="174" t="s">
        <v>80</v>
      </c>
    </row>
    <row r="784" spans="1:8">
      <c r="A784" s="174" t="s">
        <v>191</v>
      </c>
      <c r="B784" s="174">
        <v>-242458</v>
      </c>
      <c r="C784" s="174">
        <v>520357.75</v>
      </c>
      <c r="D784" s="174">
        <v>339919.75</v>
      </c>
      <c r="E784" s="174">
        <v>-62020</v>
      </c>
      <c r="G784" s="174">
        <f t="shared" si="12"/>
        <v>-62020</v>
      </c>
      <c r="H784" s="174" t="s">
        <v>80</v>
      </c>
    </row>
    <row r="785" spans="1:8">
      <c r="A785" s="174" t="s">
        <v>780</v>
      </c>
      <c r="B785" s="174">
        <v>-270397</v>
      </c>
      <c r="C785" s="174">
        <v>234525</v>
      </c>
      <c r="D785" s="174">
        <v>122130</v>
      </c>
      <c r="E785" s="174">
        <v>-158002</v>
      </c>
      <c r="G785" s="174">
        <f t="shared" si="12"/>
        <v>-158002</v>
      </c>
      <c r="H785" s="174" t="s">
        <v>80</v>
      </c>
    </row>
    <row r="786" spans="1:8">
      <c r="A786" s="174" t="s">
        <v>1221</v>
      </c>
      <c r="B786" s="174">
        <v>0</v>
      </c>
      <c r="C786" s="174">
        <v>0</v>
      </c>
      <c r="D786" s="174">
        <v>0</v>
      </c>
      <c r="E786" s="174">
        <v>0</v>
      </c>
      <c r="G786" s="174">
        <f t="shared" si="12"/>
        <v>0</v>
      </c>
      <c r="H786" s="174" t="s">
        <v>80</v>
      </c>
    </row>
    <row r="787" spans="1:8">
      <c r="A787" s="174" t="s">
        <v>781</v>
      </c>
      <c r="B787" s="174">
        <v>-21308.5</v>
      </c>
      <c r="C787" s="174">
        <v>23777</v>
      </c>
      <c r="D787" s="174">
        <v>12968</v>
      </c>
      <c r="E787" s="174">
        <v>-10499.5</v>
      </c>
      <c r="G787" s="174">
        <f t="shared" si="12"/>
        <v>-10499.5</v>
      </c>
      <c r="H787" s="174" t="s">
        <v>80</v>
      </c>
    </row>
    <row r="788" spans="1:8">
      <c r="A788" s="174" t="s">
        <v>782</v>
      </c>
      <c r="B788" s="174">
        <v>-1888.5</v>
      </c>
      <c r="C788" s="174">
        <v>26521</v>
      </c>
      <c r="D788" s="174">
        <v>92394</v>
      </c>
      <c r="E788" s="174">
        <v>-67761.5</v>
      </c>
      <c r="G788" s="174">
        <f t="shared" si="12"/>
        <v>-67761.5</v>
      </c>
      <c r="H788" s="174" t="s">
        <v>80</v>
      </c>
    </row>
    <row r="789" spans="1:8">
      <c r="A789" s="174" t="s">
        <v>187</v>
      </c>
      <c r="B789" s="174">
        <v>-344330</v>
      </c>
      <c r="C789" s="174">
        <v>537911</v>
      </c>
      <c r="D789" s="174">
        <v>244485</v>
      </c>
      <c r="E789" s="174">
        <v>-50904</v>
      </c>
      <c r="G789" s="174">
        <f t="shared" si="12"/>
        <v>-50904</v>
      </c>
      <c r="H789" s="174" t="s">
        <v>80</v>
      </c>
    </row>
    <row r="790" spans="1:8">
      <c r="A790" s="174" t="s">
        <v>1222</v>
      </c>
      <c r="B790" s="174">
        <v>0</v>
      </c>
      <c r="C790" s="174">
        <v>0</v>
      </c>
      <c r="D790" s="174">
        <v>0</v>
      </c>
      <c r="E790" s="174">
        <v>0</v>
      </c>
      <c r="G790" s="174">
        <f t="shared" si="12"/>
        <v>0</v>
      </c>
      <c r="H790" s="174" t="s">
        <v>80</v>
      </c>
    </row>
    <row r="791" spans="1:8">
      <c r="A791" s="174" t="s">
        <v>188</v>
      </c>
      <c r="B791" s="174">
        <v>0</v>
      </c>
      <c r="C791" s="174">
        <v>24249</v>
      </c>
      <c r="D791" s="174">
        <v>24249</v>
      </c>
      <c r="E791" s="174">
        <v>0</v>
      </c>
      <c r="G791" s="174">
        <f t="shared" si="12"/>
        <v>0</v>
      </c>
      <c r="H791" s="174" t="s">
        <v>80</v>
      </c>
    </row>
    <row r="792" spans="1:8">
      <c r="A792" s="174" t="s">
        <v>189</v>
      </c>
      <c r="B792" s="174">
        <v>-74340</v>
      </c>
      <c r="C792" s="174">
        <v>536310</v>
      </c>
      <c r="D792" s="174">
        <v>518964</v>
      </c>
      <c r="E792" s="174">
        <v>-56994</v>
      </c>
      <c r="G792" s="174">
        <f t="shared" si="12"/>
        <v>-56994</v>
      </c>
      <c r="H792" s="174" t="s">
        <v>80</v>
      </c>
    </row>
    <row r="793" spans="1:8">
      <c r="A793" s="174" t="s">
        <v>1223</v>
      </c>
      <c r="B793" s="174">
        <v>0</v>
      </c>
      <c r="C793" s="174">
        <v>44250</v>
      </c>
      <c r="D793" s="174">
        <v>33344</v>
      </c>
      <c r="E793" s="174">
        <v>10906</v>
      </c>
      <c r="G793" s="174">
        <f t="shared" si="12"/>
        <v>10906</v>
      </c>
      <c r="H793" s="174" t="s">
        <v>80</v>
      </c>
    </row>
    <row r="794" spans="1:8">
      <c r="A794" s="174" t="s">
        <v>190</v>
      </c>
      <c r="B794" s="174">
        <v>0.86</v>
      </c>
      <c r="C794" s="174">
        <v>0</v>
      </c>
      <c r="D794" s="174">
        <v>0</v>
      </c>
      <c r="E794" s="174">
        <v>0.86</v>
      </c>
      <c r="G794" s="174">
        <f t="shared" si="12"/>
        <v>0.86</v>
      </c>
      <c r="H794" s="174" t="s">
        <v>80</v>
      </c>
    </row>
    <row r="795" spans="1:8">
      <c r="A795" s="174" t="s">
        <v>181</v>
      </c>
      <c r="B795" s="174">
        <v>-3000</v>
      </c>
      <c r="C795" s="174">
        <v>0</v>
      </c>
      <c r="D795" s="174">
        <v>0</v>
      </c>
      <c r="E795" s="174">
        <v>-3000</v>
      </c>
      <c r="G795" s="174">
        <f t="shared" si="12"/>
        <v>-3000</v>
      </c>
      <c r="H795" s="174" t="s">
        <v>80</v>
      </c>
    </row>
    <row r="796" spans="1:8">
      <c r="A796" s="174" t="s">
        <v>783</v>
      </c>
      <c r="B796" s="174">
        <v>-7446</v>
      </c>
      <c r="C796" s="174">
        <v>7446</v>
      </c>
      <c r="D796" s="174">
        <v>0</v>
      </c>
      <c r="E796" s="174">
        <v>0</v>
      </c>
      <c r="G796" s="174">
        <f t="shared" si="12"/>
        <v>0</v>
      </c>
      <c r="H796" s="174" t="s">
        <v>80</v>
      </c>
    </row>
    <row r="797" spans="1:8">
      <c r="A797" s="174" t="s">
        <v>182</v>
      </c>
      <c r="B797" s="174">
        <v>-13539.4</v>
      </c>
      <c r="C797" s="174">
        <v>0</v>
      </c>
      <c r="D797" s="174">
        <v>0</v>
      </c>
      <c r="E797" s="174">
        <v>-13539.4</v>
      </c>
      <c r="G797" s="174">
        <f t="shared" si="12"/>
        <v>-13539.4</v>
      </c>
      <c r="H797" s="174" t="s">
        <v>80</v>
      </c>
    </row>
    <row r="798" spans="1:8">
      <c r="A798" s="174" t="s">
        <v>1224</v>
      </c>
      <c r="B798" s="174">
        <v>0</v>
      </c>
      <c r="C798" s="174">
        <v>0</v>
      </c>
      <c r="D798" s="174">
        <v>0</v>
      </c>
      <c r="E798" s="174">
        <v>0</v>
      </c>
      <c r="G798" s="174">
        <f t="shared" si="12"/>
        <v>0</v>
      </c>
      <c r="H798" s="174" t="s">
        <v>80</v>
      </c>
    </row>
    <row r="799" spans="1:8">
      <c r="A799" s="174" t="s">
        <v>480</v>
      </c>
      <c r="B799" s="174">
        <v>-31860</v>
      </c>
      <c r="C799" s="174">
        <v>34515</v>
      </c>
      <c r="D799" s="174">
        <v>46433</v>
      </c>
      <c r="E799" s="174">
        <v>-43778</v>
      </c>
      <c r="G799" s="174">
        <f t="shared" si="12"/>
        <v>-43778</v>
      </c>
      <c r="H799" s="174" t="s">
        <v>80</v>
      </c>
    </row>
    <row r="800" spans="1:8">
      <c r="A800" s="174" t="s">
        <v>1225</v>
      </c>
      <c r="B800" s="174">
        <v>0</v>
      </c>
      <c r="C800" s="174">
        <v>5369</v>
      </c>
      <c r="D800" s="174">
        <v>5369</v>
      </c>
      <c r="E800" s="174">
        <v>0</v>
      </c>
      <c r="G800" s="174">
        <f t="shared" si="12"/>
        <v>0</v>
      </c>
      <c r="H800" s="174" t="s">
        <v>80</v>
      </c>
    </row>
    <row r="801" spans="1:8">
      <c r="A801" s="174" t="s">
        <v>178</v>
      </c>
      <c r="B801" s="174">
        <v>-0.08</v>
      </c>
      <c r="C801" s="174">
        <v>0</v>
      </c>
      <c r="D801" s="174">
        <v>0</v>
      </c>
      <c r="E801" s="174">
        <v>-0.08</v>
      </c>
      <c r="G801" s="174">
        <f t="shared" si="12"/>
        <v>-0.08</v>
      </c>
      <c r="H801" s="174" t="s">
        <v>80</v>
      </c>
    </row>
    <row r="802" spans="1:8">
      <c r="A802" s="174" t="s">
        <v>1226</v>
      </c>
      <c r="B802" s="174">
        <v>0</v>
      </c>
      <c r="C802" s="174">
        <v>0</v>
      </c>
      <c r="D802" s="174">
        <v>0</v>
      </c>
      <c r="E802" s="174">
        <v>0</v>
      </c>
      <c r="G802" s="174">
        <f t="shared" si="12"/>
        <v>0</v>
      </c>
      <c r="H802" s="174" t="s">
        <v>80</v>
      </c>
    </row>
    <row r="803" spans="1:8">
      <c r="A803" s="174" t="s">
        <v>179</v>
      </c>
      <c r="B803" s="174">
        <v>3628.6</v>
      </c>
      <c r="C803" s="174">
        <v>0</v>
      </c>
      <c r="D803" s="174">
        <v>0</v>
      </c>
      <c r="E803" s="174">
        <v>3628.6</v>
      </c>
      <c r="G803" s="174">
        <f t="shared" si="12"/>
        <v>3628.6</v>
      </c>
      <c r="H803" s="174" t="s">
        <v>80</v>
      </c>
    </row>
    <row r="804" spans="1:8">
      <c r="A804" s="174" t="s">
        <v>176</v>
      </c>
      <c r="B804" s="174">
        <v>-122795</v>
      </c>
      <c r="C804" s="174">
        <v>148225</v>
      </c>
      <c r="D804" s="174">
        <v>95548</v>
      </c>
      <c r="E804" s="174">
        <v>-70118</v>
      </c>
      <c r="G804" s="174">
        <f t="shared" si="12"/>
        <v>-70118</v>
      </c>
      <c r="H804" s="174" t="s">
        <v>80</v>
      </c>
    </row>
    <row r="805" spans="1:8">
      <c r="A805" s="174" t="s">
        <v>481</v>
      </c>
      <c r="B805" s="174">
        <v>-229003</v>
      </c>
      <c r="C805" s="174">
        <v>209994</v>
      </c>
      <c r="D805" s="174">
        <v>0</v>
      </c>
      <c r="E805" s="174">
        <v>-19009</v>
      </c>
      <c r="G805" s="174">
        <f t="shared" si="12"/>
        <v>-19009</v>
      </c>
      <c r="H805" s="174" t="s">
        <v>80</v>
      </c>
    </row>
    <row r="806" spans="1:8">
      <c r="A806" s="174" t="s">
        <v>1227</v>
      </c>
      <c r="B806" s="174">
        <v>0</v>
      </c>
      <c r="C806" s="174">
        <v>0</v>
      </c>
      <c r="D806" s="174">
        <v>0</v>
      </c>
      <c r="E806" s="174">
        <v>0</v>
      </c>
      <c r="G806" s="174">
        <f t="shared" si="12"/>
        <v>0</v>
      </c>
      <c r="H806" s="174" t="s">
        <v>80</v>
      </c>
    </row>
    <row r="807" spans="1:8">
      <c r="A807" s="174" t="s">
        <v>174</v>
      </c>
      <c r="B807" s="174">
        <v>-4956</v>
      </c>
      <c r="C807" s="174">
        <v>4956</v>
      </c>
      <c r="D807" s="174">
        <v>0</v>
      </c>
      <c r="E807" s="174">
        <v>0</v>
      </c>
      <c r="G807" s="174">
        <f t="shared" si="12"/>
        <v>0</v>
      </c>
      <c r="H807" s="174" t="s">
        <v>80</v>
      </c>
    </row>
    <row r="808" spans="1:8">
      <c r="A808" s="174" t="s">
        <v>1464</v>
      </c>
      <c r="B808" s="174">
        <v>0</v>
      </c>
      <c r="C808" s="174">
        <v>0</v>
      </c>
      <c r="D808" s="174">
        <v>2360</v>
      </c>
      <c r="E808" s="174">
        <v>-2360</v>
      </c>
      <c r="G808" s="174">
        <f t="shared" si="12"/>
        <v>-2360</v>
      </c>
      <c r="H808" s="174" t="s">
        <v>80</v>
      </c>
    </row>
    <row r="809" spans="1:8">
      <c r="A809" s="174" t="s">
        <v>175</v>
      </c>
      <c r="B809" s="174">
        <v>-108335</v>
      </c>
      <c r="C809" s="174">
        <v>11434</v>
      </c>
      <c r="D809" s="174">
        <v>24945</v>
      </c>
      <c r="E809" s="174">
        <v>-121846</v>
      </c>
      <c r="G809" s="174">
        <f t="shared" si="12"/>
        <v>-121846</v>
      </c>
      <c r="H809" s="174" t="s">
        <v>80</v>
      </c>
    </row>
    <row r="810" spans="1:8">
      <c r="A810" s="174" t="s">
        <v>1228</v>
      </c>
      <c r="B810" s="174">
        <v>0</v>
      </c>
      <c r="C810" s="174">
        <v>98087</v>
      </c>
      <c r="D810" s="174">
        <v>98088</v>
      </c>
      <c r="E810" s="174">
        <v>-1</v>
      </c>
      <c r="G810" s="174">
        <f t="shared" si="12"/>
        <v>-1</v>
      </c>
      <c r="H810" s="174" t="s">
        <v>80</v>
      </c>
    </row>
    <row r="811" spans="1:8">
      <c r="A811" s="174" t="s">
        <v>784</v>
      </c>
      <c r="B811" s="174">
        <v>-6903.78</v>
      </c>
      <c r="C811" s="174">
        <v>31801</v>
      </c>
      <c r="D811" s="174">
        <v>40155</v>
      </c>
      <c r="E811" s="174">
        <v>-15257.78</v>
      </c>
      <c r="G811" s="174">
        <f t="shared" si="12"/>
        <v>-15257.78</v>
      </c>
      <c r="H811" s="174" t="s">
        <v>80</v>
      </c>
    </row>
    <row r="812" spans="1:8">
      <c r="A812" s="174" t="s">
        <v>420</v>
      </c>
      <c r="B812" s="174">
        <v>-1305516.8500000001</v>
      </c>
      <c r="C812" s="174">
        <v>3099479.5</v>
      </c>
      <c r="D812" s="174">
        <v>2460786.34</v>
      </c>
      <c r="E812" s="174">
        <v>-666823.68999999994</v>
      </c>
      <c r="G812" s="174">
        <f t="shared" si="12"/>
        <v>-666823.68999999994</v>
      </c>
      <c r="H812" s="174" t="s">
        <v>80</v>
      </c>
    </row>
    <row r="813" spans="1:8">
      <c r="A813" s="174" t="s">
        <v>407</v>
      </c>
      <c r="B813" s="174">
        <v>-19765</v>
      </c>
      <c r="C813" s="174">
        <v>19765</v>
      </c>
      <c r="D813" s="174">
        <v>0</v>
      </c>
      <c r="E813" s="174">
        <v>0</v>
      </c>
      <c r="G813" s="174">
        <f t="shared" si="12"/>
        <v>0</v>
      </c>
      <c r="H813" s="174" t="s">
        <v>80</v>
      </c>
    </row>
    <row r="814" spans="1:8">
      <c r="A814" s="174" t="s">
        <v>785</v>
      </c>
      <c r="B814" s="174">
        <v>-8200</v>
      </c>
      <c r="C814" s="174">
        <v>0</v>
      </c>
      <c r="D814" s="174">
        <v>0</v>
      </c>
      <c r="E814" s="174">
        <v>-8200</v>
      </c>
      <c r="G814" s="174">
        <f t="shared" si="12"/>
        <v>-8200</v>
      </c>
      <c r="H814" s="174" t="s">
        <v>80</v>
      </c>
    </row>
    <row r="815" spans="1:8">
      <c r="A815" s="174" t="s">
        <v>442</v>
      </c>
      <c r="B815" s="174">
        <v>-300009.86</v>
      </c>
      <c r="C815" s="174">
        <v>371606</v>
      </c>
      <c r="D815" s="174">
        <v>323244.01</v>
      </c>
      <c r="E815" s="174">
        <v>-251647.87</v>
      </c>
      <c r="G815" s="174">
        <f t="shared" si="12"/>
        <v>-251647.87</v>
      </c>
      <c r="H815" s="174" t="s">
        <v>80</v>
      </c>
    </row>
    <row r="816" spans="1:8">
      <c r="A816" s="174" t="s">
        <v>170</v>
      </c>
      <c r="B816" s="174">
        <v>-3014.89</v>
      </c>
      <c r="C816" s="174">
        <v>10089</v>
      </c>
      <c r="D816" s="174">
        <v>25960</v>
      </c>
      <c r="E816" s="174">
        <v>-18885.89</v>
      </c>
      <c r="G816" s="174">
        <f t="shared" si="12"/>
        <v>-18885.89</v>
      </c>
      <c r="H816" s="174" t="s">
        <v>80</v>
      </c>
    </row>
    <row r="817" spans="1:8">
      <c r="A817" s="174" t="s">
        <v>1581</v>
      </c>
      <c r="B817" s="174">
        <v>0</v>
      </c>
      <c r="C817" s="174">
        <v>0</v>
      </c>
      <c r="D817" s="174">
        <v>227746</v>
      </c>
      <c r="E817" s="174">
        <v>-227746</v>
      </c>
      <c r="G817" s="174">
        <f t="shared" si="12"/>
        <v>-227746</v>
      </c>
      <c r="H817" s="174" t="s">
        <v>80</v>
      </c>
    </row>
    <row r="818" spans="1:8">
      <c r="A818" s="174" t="s">
        <v>786</v>
      </c>
      <c r="B818" s="174">
        <v>-14650</v>
      </c>
      <c r="C818" s="174">
        <v>0</v>
      </c>
      <c r="D818" s="174">
        <v>0</v>
      </c>
      <c r="E818" s="174">
        <v>-14650</v>
      </c>
      <c r="G818" s="174">
        <f t="shared" si="12"/>
        <v>-14650</v>
      </c>
      <c r="H818" s="174" t="s">
        <v>80</v>
      </c>
    </row>
    <row r="819" spans="1:8">
      <c r="A819" s="174" t="s">
        <v>522</v>
      </c>
      <c r="B819" s="174">
        <v>-5310</v>
      </c>
      <c r="C819" s="174">
        <v>24632</v>
      </c>
      <c r="D819" s="174">
        <v>19322</v>
      </c>
      <c r="E819" s="174">
        <v>0</v>
      </c>
      <c r="G819" s="174">
        <f t="shared" si="12"/>
        <v>0</v>
      </c>
      <c r="H819" s="174" t="s">
        <v>80</v>
      </c>
    </row>
    <row r="820" spans="1:8">
      <c r="A820" s="174" t="s">
        <v>1230</v>
      </c>
      <c r="B820" s="174">
        <v>0</v>
      </c>
      <c r="C820" s="174">
        <v>0</v>
      </c>
      <c r="D820" s="174">
        <v>0</v>
      </c>
      <c r="E820" s="174">
        <v>0</v>
      </c>
      <c r="G820" s="174">
        <f t="shared" si="12"/>
        <v>0</v>
      </c>
      <c r="H820" s="174" t="s">
        <v>80</v>
      </c>
    </row>
    <row r="821" spans="1:8">
      <c r="A821" s="174" t="s">
        <v>787</v>
      </c>
      <c r="B821" s="174">
        <v>173483.6</v>
      </c>
      <c r="C821" s="174">
        <v>0</v>
      </c>
      <c r="D821" s="174">
        <v>173484</v>
      </c>
      <c r="E821" s="174">
        <v>-0.4</v>
      </c>
      <c r="G821" s="174">
        <f t="shared" si="12"/>
        <v>-0.4</v>
      </c>
      <c r="H821" s="174" t="s">
        <v>80</v>
      </c>
    </row>
    <row r="822" spans="1:8">
      <c r="A822" s="174" t="s">
        <v>788</v>
      </c>
      <c r="B822" s="174">
        <v>12744</v>
      </c>
      <c r="C822" s="174">
        <v>0</v>
      </c>
      <c r="D822" s="174">
        <v>12744</v>
      </c>
      <c r="E822" s="174">
        <v>0</v>
      </c>
      <c r="G822" s="174">
        <f t="shared" si="12"/>
        <v>0</v>
      </c>
      <c r="H822" s="174" t="s">
        <v>80</v>
      </c>
    </row>
    <row r="823" spans="1:8">
      <c r="A823" s="174" t="s">
        <v>168</v>
      </c>
      <c r="B823" s="174">
        <v>-11706</v>
      </c>
      <c r="C823" s="174">
        <v>89377</v>
      </c>
      <c r="D823" s="174">
        <v>77671</v>
      </c>
      <c r="E823" s="174">
        <v>0</v>
      </c>
      <c r="G823" s="174">
        <f t="shared" si="12"/>
        <v>0</v>
      </c>
      <c r="H823" s="174" t="s">
        <v>80</v>
      </c>
    </row>
    <row r="824" spans="1:8">
      <c r="A824" s="174" t="s">
        <v>789</v>
      </c>
      <c r="B824" s="174">
        <v>-151278</v>
      </c>
      <c r="C824" s="174">
        <v>173419</v>
      </c>
      <c r="D824" s="174">
        <v>97232</v>
      </c>
      <c r="E824" s="174">
        <v>-75091</v>
      </c>
      <c r="G824" s="174">
        <f t="shared" si="12"/>
        <v>-75091</v>
      </c>
      <c r="H824" s="174" t="s">
        <v>80</v>
      </c>
    </row>
    <row r="825" spans="1:8">
      <c r="A825" s="174" t="s">
        <v>167</v>
      </c>
      <c r="B825" s="174">
        <v>-48734</v>
      </c>
      <c r="C825" s="174">
        <v>112454</v>
      </c>
      <c r="D825" s="174">
        <v>127440</v>
      </c>
      <c r="E825" s="174">
        <v>-63720</v>
      </c>
      <c r="G825" s="174">
        <f t="shared" si="12"/>
        <v>-63720</v>
      </c>
      <c r="H825" s="174" t="s">
        <v>80</v>
      </c>
    </row>
    <row r="826" spans="1:8">
      <c r="A826" s="174" t="s">
        <v>1231</v>
      </c>
      <c r="B826" s="174">
        <v>0</v>
      </c>
      <c r="C826" s="174">
        <v>0</v>
      </c>
      <c r="D826" s="174">
        <v>0</v>
      </c>
      <c r="E826" s="174">
        <v>0</v>
      </c>
      <c r="G826" s="174">
        <f t="shared" si="12"/>
        <v>0</v>
      </c>
      <c r="H826" s="174" t="s">
        <v>80</v>
      </c>
    </row>
    <row r="827" spans="1:8">
      <c r="A827" s="174" t="s">
        <v>1465</v>
      </c>
      <c r="B827" s="174">
        <v>0</v>
      </c>
      <c r="C827" s="174">
        <v>8106.6</v>
      </c>
      <c r="D827" s="174">
        <v>0</v>
      </c>
      <c r="E827" s="174">
        <v>8106.6</v>
      </c>
      <c r="G827" s="174">
        <f t="shared" si="12"/>
        <v>8106.6</v>
      </c>
      <c r="H827" s="174" t="s">
        <v>80</v>
      </c>
    </row>
    <row r="828" spans="1:8">
      <c r="A828" s="174" t="s">
        <v>790</v>
      </c>
      <c r="B828" s="174">
        <v>-38781.4</v>
      </c>
      <c r="C828" s="174">
        <v>43371</v>
      </c>
      <c r="D828" s="174">
        <v>8024</v>
      </c>
      <c r="E828" s="174">
        <v>-3434.4</v>
      </c>
      <c r="G828" s="174">
        <f t="shared" si="12"/>
        <v>-3434.4</v>
      </c>
      <c r="H828" s="174" t="s">
        <v>80</v>
      </c>
    </row>
    <row r="829" spans="1:8">
      <c r="A829" s="174" t="s">
        <v>1538</v>
      </c>
      <c r="B829" s="174">
        <v>0</v>
      </c>
      <c r="C829" s="174">
        <v>365575</v>
      </c>
      <c r="D829" s="174">
        <v>365575</v>
      </c>
      <c r="E829" s="174">
        <v>0</v>
      </c>
      <c r="G829" s="174">
        <f t="shared" si="12"/>
        <v>0</v>
      </c>
      <c r="H829" s="174" t="s">
        <v>80</v>
      </c>
    </row>
    <row r="830" spans="1:8">
      <c r="A830" s="174" t="s">
        <v>166</v>
      </c>
      <c r="B830" s="174">
        <v>-38242</v>
      </c>
      <c r="C830" s="174">
        <v>108754</v>
      </c>
      <c r="D830" s="174">
        <v>140823</v>
      </c>
      <c r="E830" s="174">
        <v>-70311</v>
      </c>
      <c r="G830" s="174">
        <f t="shared" si="12"/>
        <v>-70311</v>
      </c>
      <c r="H830" s="174" t="s">
        <v>80</v>
      </c>
    </row>
    <row r="831" spans="1:8">
      <c r="A831" s="174" t="s">
        <v>791</v>
      </c>
      <c r="B831" s="174">
        <v>4152.88</v>
      </c>
      <c r="C831" s="174">
        <v>551157</v>
      </c>
      <c r="D831" s="174">
        <v>382788</v>
      </c>
      <c r="E831" s="174">
        <v>172521.88</v>
      </c>
      <c r="G831" s="174">
        <f t="shared" si="12"/>
        <v>172521.88</v>
      </c>
      <c r="H831" s="174" t="s">
        <v>80</v>
      </c>
    </row>
    <row r="832" spans="1:8">
      <c r="A832" s="174" t="s">
        <v>792</v>
      </c>
      <c r="B832" s="174">
        <v>0</v>
      </c>
      <c r="C832" s="174">
        <v>16354.8</v>
      </c>
      <c r="D832" s="174">
        <v>16354</v>
      </c>
      <c r="E832" s="174">
        <v>0.8</v>
      </c>
      <c r="G832" s="174">
        <f t="shared" si="12"/>
        <v>0.8</v>
      </c>
      <c r="H832" s="174" t="s">
        <v>80</v>
      </c>
    </row>
    <row r="833" spans="1:8">
      <c r="A833" s="174" t="s">
        <v>386</v>
      </c>
      <c r="B833" s="174">
        <v>-14331</v>
      </c>
      <c r="C833" s="174">
        <v>0</v>
      </c>
      <c r="D833" s="174">
        <v>0</v>
      </c>
      <c r="E833" s="174">
        <v>-14331</v>
      </c>
      <c r="G833" s="174">
        <f t="shared" si="12"/>
        <v>-14331</v>
      </c>
      <c r="H833" s="174" t="s">
        <v>80</v>
      </c>
    </row>
    <row r="834" spans="1:8">
      <c r="A834" s="174" t="s">
        <v>1466</v>
      </c>
      <c r="B834" s="174">
        <v>0</v>
      </c>
      <c r="C834" s="174">
        <v>9533</v>
      </c>
      <c r="D834" s="174">
        <v>26799</v>
      </c>
      <c r="E834" s="174">
        <v>-17266</v>
      </c>
      <c r="G834" s="174">
        <f t="shared" si="12"/>
        <v>-17266</v>
      </c>
      <c r="H834" s="174" t="s">
        <v>80</v>
      </c>
    </row>
    <row r="835" spans="1:8">
      <c r="A835" s="174" t="s">
        <v>165</v>
      </c>
      <c r="B835" s="174">
        <v>-243959</v>
      </c>
      <c r="C835" s="174">
        <v>727169</v>
      </c>
      <c r="D835" s="174">
        <v>765702</v>
      </c>
      <c r="E835" s="174">
        <v>-282492</v>
      </c>
      <c r="G835" s="174">
        <f t="shared" ref="G835:G898" si="13">E835+F835</f>
        <v>-282492</v>
      </c>
      <c r="H835" s="174" t="s">
        <v>80</v>
      </c>
    </row>
    <row r="836" spans="1:8">
      <c r="A836" s="174" t="s">
        <v>793</v>
      </c>
      <c r="B836" s="174">
        <v>-17818</v>
      </c>
      <c r="C836" s="174">
        <v>17818</v>
      </c>
      <c r="D836" s="174">
        <v>0</v>
      </c>
      <c r="E836" s="174">
        <v>0</v>
      </c>
      <c r="G836" s="174">
        <f t="shared" si="13"/>
        <v>0</v>
      </c>
      <c r="H836" s="174" t="s">
        <v>80</v>
      </c>
    </row>
    <row r="837" spans="1:8">
      <c r="A837" s="174" t="s">
        <v>1232</v>
      </c>
      <c r="B837" s="174">
        <v>0</v>
      </c>
      <c r="C837" s="174">
        <v>7788</v>
      </c>
      <c r="D837" s="174">
        <v>7788</v>
      </c>
      <c r="E837" s="174">
        <v>0</v>
      </c>
      <c r="G837" s="174">
        <f t="shared" si="13"/>
        <v>0</v>
      </c>
      <c r="H837" s="174" t="s">
        <v>80</v>
      </c>
    </row>
    <row r="838" spans="1:8">
      <c r="A838" s="174" t="s">
        <v>1233</v>
      </c>
      <c r="B838" s="174">
        <v>0</v>
      </c>
      <c r="C838" s="174">
        <v>0</v>
      </c>
      <c r="D838" s="174">
        <v>0</v>
      </c>
      <c r="E838" s="174">
        <v>0</v>
      </c>
      <c r="G838" s="174">
        <f t="shared" si="13"/>
        <v>0</v>
      </c>
      <c r="H838" s="174" t="s">
        <v>80</v>
      </c>
    </row>
    <row r="839" spans="1:8">
      <c r="A839" s="174" t="s">
        <v>1045</v>
      </c>
      <c r="B839" s="174">
        <v>-110802</v>
      </c>
      <c r="C839" s="174">
        <v>110802</v>
      </c>
      <c r="D839" s="174">
        <v>0</v>
      </c>
      <c r="E839" s="174">
        <v>0</v>
      </c>
      <c r="G839" s="174">
        <f t="shared" si="13"/>
        <v>0</v>
      </c>
      <c r="H839" s="174" t="s">
        <v>80</v>
      </c>
    </row>
    <row r="840" spans="1:8">
      <c r="A840" s="174" t="s">
        <v>510</v>
      </c>
      <c r="B840" s="174">
        <v>-7.0000000000000007E-2</v>
      </c>
      <c r="C840" s="174">
        <v>0</v>
      </c>
      <c r="D840" s="174">
        <v>0</v>
      </c>
      <c r="E840" s="174">
        <v>-7.0000000000000007E-2</v>
      </c>
      <c r="G840" s="174">
        <f t="shared" si="13"/>
        <v>-7.0000000000000007E-2</v>
      </c>
      <c r="H840" s="174" t="s">
        <v>80</v>
      </c>
    </row>
    <row r="841" spans="1:8">
      <c r="A841" s="174" t="s">
        <v>159</v>
      </c>
      <c r="B841" s="174">
        <v>-163695</v>
      </c>
      <c r="C841" s="174">
        <v>163695</v>
      </c>
      <c r="D841" s="174">
        <v>833</v>
      </c>
      <c r="E841" s="174">
        <v>-833</v>
      </c>
      <c r="G841" s="174">
        <f t="shared" si="13"/>
        <v>-833</v>
      </c>
      <c r="H841" s="174" t="s">
        <v>80</v>
      </c>
    </row>
    <row r="842" spans="1:8">
      <c r="A842" s="174" t="s">
        <v>794</v>
      </c>
      <c r="B842" s="174">
        <v>-200.6</v>
      </c>
      <c r="C842" s="174">
        <v>0</v>
      </c>
      <c r="D842" s="174">
        <v>0</v>
      </c>
      <c r="E842" s="174">
        <v>-200.6</v>
      </c>
      <c r="G842" s="174">
        <f t="shared" si="13"/>
        <v>-200.6</v>
      </c>
      <c r="H842" s="174" t="s">
        <v>80</v>
      </c>
    </row>
    <row r="843" spans="1:8">
      <c r="A843" s="174" t="s">
        <v>795</v>
      </c>
      <c r="B843" s="174">
        <v>23954</v>
      </c>
      <c r="C843" s="174">
        <v>84701</v>
      </c>
      <c r="D843" s="174">
        <v>108655</v>
      </c>
      <c r="E843" s="174">
        <v>0</v>
      </c>
      <c r="G843" s="174">
        <f t="shared" si="13"/>
        <v>0</v>
      </c>
      <c r="H843" s="174" t="s">
        <v>80</v>
      </c>
    </row>
    <row r="844" spans="1:8">
      <c r="A844" s="174" t="s">
        <v>796</v>
      </c>
      <c r="B844" s="174">
        <v>-219303</v>
      </c>
      <c r="C844" s="174">
        <v>379134</v>
      </c>
      <c r="D844" s="174">
        <v>281253</v>
      </c>
      <c r="E844" s="174">
        <v>-121422</v>
      </c>
      <c r="G844" s="174">
        <f t="shared" si="13"/>
        <v>-121422</v>
      </c>
      <c r="H844" s="174" t="s">
        <v>80</v>
      </c>
    </row>
    <row r="845" spans="1:8">
      <c r="A845" s="174" t="s">
        <v>797</v>
      </c>
      <c r="B845" s="174">
        <v>-236085.4</v>
      </c>
      <c r="C845" s="174">
        <v>414589</v>
      </c>
      <c r="D845" s="174">
        <v>407790</v>
      </c>
      <c r="E845" s="174">
        <v>-229286.39999999999</v>
      </c>
      <c r="G845" s="174">
        <f t="shared" si="13"/>
        <v>-229286.39999999999</v>
      </c>
      <c r="H845" s="174" t="s">
        <v>80</v>
      </c>
    </row>
    <row r="846" spans="1:8">
      <c r="A846" s="174" t="s">
        <v>158</v>
      </c>
      <c r="B846" s="174">
        <v>-49320.34</v>
      </c>
      <c r="C846" s="174">
        <v>49320</v>
      </c>
      <c r="D846" s="174">
        <v>0</v>
      </c>
      <c r="E846" s="174">
        <v>-0.34</v>
      </c>
      <c r="G846" s="174">
        <f t="shared" si="13"/>
        <v>-0.34</v>
      </c>
      <c r="H846" s="174" t="s">
        <v>80</v>
      </c>
    </row>
    <row r="847" spans="1:8">
      <c r="A847" s="174" t="s">
        <v>1467</v>
      </c>
      <c r="B847" s="174">
        <v>0</v>
      </c>
      <c r="C847" s="174">
        <v>9204</v>
      </c>
      <c r="D847" s="174">
        <v>9204</v>
      </c>
      <c r="E847" s="174">
        <v>0</v>
      </c>
      <c r="G847" s="174">
        <f t="shared" si="13"/>
        <v>0</v>
      </c>
      <c r="H847" s="174" t="s">
        <v>80</v>
      </c>
    </row>
    <row r="848" spans="1:8">
      <c r="A848" s="174" t="s">
        <v>1468</v>
      </c>
      <c r="B848" s="174">
        <v>0</v>
      </c>
      <c r="C848" s="174">
        <v>0</v>
      </c>
      <c r="D848" s="174">
        <v>4128</v>
      </c>
      <c r="E848" s="174">
        <v>-4128</v>
      </c>
      <c r="G848" s="174">
        <f t="shared" si="13"/>
        <v>-4128</v>
      </c>
      <c r="H848" s="174" t="s">
        <v>80</v>
      </c>
    </row>
    <row r="849" spans="1:8">
      <c r="A849" s="174" t="s">
        <v>1234</v>
      </c>
      <c r="B849" s="174">
        <v>0</v>
      </c>
      <c r="C849" s="174">
        <v>0</v>
      </c>
      <c r="D849" s="174">
        <v>0</v>
      </c>
      <c r="E849" s="174">
        <v>0</v>
      </c>
      <c r="G849" s="174">
        <f t="shared" si="13"/>
        <v>0</v>
      </c>
      <c r="H849" s="174" t="s">
        <v>80</v>
      </c>
    </row>
    <row r="850" spans="1:8">
      <c r="A850" s="174" t="s">
        <v>156</v>
      </c>
      <c r="B850" s="174">
        <v>-0.01</v>
      </c>
      <c r="C850" s="174">
        <v>0</v>
      </c>
      <c r="D850" s="174">
        <v>0</v>
      </c>
      <c r="E850" s="174">
        <v>-0.01</v>
      </c>
      <c r="G850" s="174">
        <f t="shared" si="13"/>
        <v>-0.01</v>
      </c>
      <c r="H850" s="174" t="s">
        <v>80</v>
      </c>
    </row>
    <row r="851" spans="1:8">
      <c r="A851" s="174" t="s">
        <v>1235</v>
      </c>
      <c r="B851" s="174">
        <v>0</v>
      </c>
      <c r="C851" s="174">
        <v>68502</v>
      </c>
      <c r="D851" s="174">
        <v>68502</v>
      </c>
      <c r="E851" s="174">
        <v>0</v>
      </c>
      <c r="G851" s="174">
        <f t="shared" si="13"/>
        <v>0</v>
      </c>
      <c r="H851" s="174" t="s">
        <v>80</v>
      </c>
    </row>
    <row r="852" spans="1:8">
      <c r="A852" s="174" t="s">
        <v>425</v>
      </c>
      <c r="B852" s="174">
        <v>-0.01</v>
      </c>
      <c r="C852" s="174">
        <v>50598</v>
      </c>
      <c r="D852" s="174">
        <v>50598</v>
      </c>
      <c r="E852" s="174">
        <v>-0.01</v>
      </c>
      <c r="G852" s="174">
        <f t="shared" si="13"/>
        <v>-0.01</v>
      </c>
      <c r="H852" s="174" t="s">
        <v>80</v>
      </c>
    </row>
    <row r="853" spans="1:8">
      <c r="A853" s="174" t="s">
        <v>798</v>
      </c>
      <c r="B853" s="174">
        <v>780</v>
      </c>
      <c r="C853" s="174">
        <v>0</v>
      </c>
      <c r="D853" s="174">
        <v>0</v>
      </c>
      <c r="E853" s="174">
        <v>780</v>
      </c>
      <c r="G853" s="174">
        <f t="shared" si="13"/>
        <v>780</v>
      </c>
      <c r="H853" s="174" t="s">
        <v>80</v>
      </c>
    </row>
    <row r="854" spans="1:8">
      <c r="A854" s="174" t="s">
        <v>1469</v>
      </c>
      <c r="B854" s="174">
        <v>0</v>
      </c>
      <c r="C854" s="174">
        <v>15340</v>
      </c>
      <c r="D854" s="174">
        <v>15340</v>
      </c>
      <c r="E854" s="174">
        <v>0</v>
      </c>
      <c r="G854" s="174">
        <f t="shared" si="13"/>
        <v>0</v>
      </c>
      <c r="H854" s="174" t="s">
        <v>80</v>
      </c>
    </row>
    <row r="855" spans="1:8">
      <c r="A855" s="174" t="s">
        <v>799</v>
      </c>
      <c r="B855" s="174">
        <v>-5283</v>
      </c>
      <c r="C855" s="174">
        <v>0</v>
      </c>
      <c r="D855" s="174">
        <v>6656</v>
      </c>
      <c r="E855" s="174">
        <v>-11939</v>
      </c>
      <c r="G855" s="174">
        <f t="shared" si="13"/>
        <v>-11939</v>
      </c>
      <c r="H855" s="174" t="s">
        <v>80</v>
      </c>
    </row>
    <row r="856" spans="1:8">
      <c r="A856" s="174" t="s">
        <v>800</v>
      </c>
      <c r="B856" s="174">
        <v>0.03</v>
      </c>
      <c r="C856" s="174">
        <v>0</v>
      </c>
      <c r="D856" s="174">
        <v>0</v>
      </c>
      <c r="E856" s="174">
        <v>0.03</v>
      </c>
      <c r="G856" s="174">
        <f t="shared" si="13"/>
        <v>0.03</v>
      </c>
      <c r="H856" s="174" t="s">
        <v>80</v>
      </c>
    </row>
    <row r="857" spans="1:8">
      <c r="A857" s="174" t="s">
        <v>1582</v>
      </c>
      <c r="B857" s="174">
        <v>0</v>
      </c>
      <c r="C857" s="174">
        <v>0</v>
      </c>
      <c r="D857" s="174">
        <v>29028</v>
      </c>
      <c r="E857" s="174">
        <v>-29028</v>
      </c>
      <c r="G857" s="174">
        <f t="shared" si="13"/>
        <v>-29028</v>
      </c>
      <c r="H857" s="174" t="s">
        <v>80</v>
      </c>
    </row>
    <row r="858" spans="1:8">
      <c r="A858" s="174" t="s">
        <v>1236</v>
      </c>
      <c r="B858" s="174">
        <v>0</v>
      </c>
      <c r="C858" s="174">
        <v>0</v>
      </c>
      <c r="D858" s="174">
        <v>0</v>
      </c>
      <c r="E858" s="174">
        <v>0</v>
      </c>
      <c r="G858" s="174">
        <f t="shared" si="13"/>
        <v>0</v>
      </c>
      <c r="H858" s="174" t="s">
        <v>80</v>
      </c>
    </row>
    <row r="859" spans="1:8">
      <c r="A859" s="174" t="s">
        <v>153</v>
      </c>
      <c r="B859" s="174">
        <v>-33075.040000000001</v>
      </c>
      <c r="C859" s="174">
        <v>220871</v>
      </c>
      <c r="D859" s="174">
        <v>199808</v>
      </c>
      <c r="E859" s="174">
        <v>-12012.04</v>
      </c>
      <c r="G859" s="174">
        <f t="shared" si="13"/>
        <v>-12012.04</v>
      </c>
      <c r="H859" s="174" t="s">
        <v>80</v>
      </c>
    </row>
    <row r="860" spans="1:8">
      <c r="A860" s="174" t="s">
        <v>152</v>
      </c>
      <c r="B860" s="174">
        <v>-1156</v>
      </c>
      <c r="C860" s="174">
        <v>1156</v>
      </c>
      <c r="D860" s="174">
        <v>15387</v>
      </c>
      <c r="E860" s="174">
        <v>-15387</v>
      </c>
      <c r="G860" s="174">
        <f t="shared" si="13"/>
        <v>-15387</v>
      </c>
      <c r="H860" s="174" t="s">
        <v>80</v>
      </c>
    </row>
    <row r="861" spans="1:8">
      <c r="A861" s="174" t="s">
        <v>474</v>
      </c>
      <c r="B861" s="174">
        <v>-1510</v>
      </c>
      <c r="C861" s="174">
        <v>1510</v>
      </c>
      <c r="D861" s="174">
        <v>3575</v>
      </c>
      <c r="E861" s="174">
        <v>-3575</v>
      </c>
      <c r="G861" s="174">
        <f t="shared" si="13"/>
        <v>-3575</v>
      </c>
      <c r="H861" s="174" t="s">
        <v>80</v>
      </c>
    </row>
    <row r="862" spans="1:8">
      <c r="A862" s="174" t="s">
        <v>1237</v>
      </c>
      <c r="B862" s="174">
        <v>0</v>
      </c>
      <c r="C862" s="174">
        <v>0</v>
      </c>
      <c r="D862" s="174">
        <v>0</v>
      </c>
      <c r="E862" s="174">
        <v>0</v>
      </c>
      <c r="G862" s="174">
        <f t="shared" si="13"/>
        <v>0</v>
      </c>
      <c r="H862" s="174" t="s">
        <v>80</v>
      </c>
    </row>
    <row r="863" spans="1:8">
      <c r="A863" s="174" t="s">
        <v>511</v>
      </c>
      <c r="B863" s="174">
        <v>-84830</v>
      </c>
      <c r="C863" s="174">
        <v>204601</v>
      </c>
      <c r="D863" s="174">
        <v>156115</v>
      </c>
      <c r="E863" s="174">
        <v>-36344</v>
      </c>
      <c r="G863" s="174">
        <f t="shared" si="13"/>
        <v>-36344</v>
      </c>
      <c r="H863" s="174" t="s">
        <v>80</v>
      </c>
    </row>
    <row r="864" spans="1:8">
      <c r="A864" s="174" t="s">
        <v>1238</v>
      </c>
      <c r="B864" s="174">
        <v>0</v>
      </c>
      <c r="C864" s="174">
        <v>47200</v>
      </c>
      <c r="D864" s="174">
        <v>47200</v>
      </c>
      <c r="E864" s="174">
        <v>0</v>
      </c>
      <c r="G864" s="174">
        <f t="shared" si="13"/>
        <v>0</v>
      </c>
      <c r="H864" s="174" t="s">
        <v>80</v>
      </c>
    </row>
    <row r="865" spans="1:8">
      <c r="A865" s="174" t="s">
        <v>1239</v>
      </c>
      <c r="B865" s="174">
        <v>0</v>
      </c>
      <c r="C865" s="174">
        <v>27848</v>
      </c>
      <c r="D865" s="174">
        <v>27848</v>
      </c>
      <c r="E865" s="174">
        <v>0</v>
      </c>
      <c r="G865" s="174">
        <f t="shared" si="13"/>
        <v>0</v>
      </c>
      <c r="H865" s="174" t="s">
        <v>80</v>
      </c>
    </row>
    <row r="866" spans="1:8">
      <c r="A866" s="174" t="s">
        <v>801</v>
      </c>
      <c r="B866" s="174">
        <v>0.08</v>
      </c>
      <c r="C866" s="174">
        <v>0</v>
      </c>
      <c r="D866" s="174">
        <v>0</v>
      </c>
      <c r="E866" s="174">
        <v>0.08</v>
      </c>
      <c r="G866" s="174">
        <f t="shared" si="13"/>
        <v>0.08</v>
      </c>
      <c r="H866" s="174" t="s">
        <v>80</v>
      </c>
    </row>
    <row r="867" spans="1:8">
      <c r="A867" s="174" t="s">
        <v>1240</v>
      </c>
      <c r="B867" s="174">
        <v>0</v>
      </c>
      <c r="C867" s="174">
        <v>0</v>
      </c>
      <c r="D867" s="174">
        <v>0</v>
      </c>
      <c r="E867" s="174">
        <v>0</v>
      </c>
      <c r="G867" s="174">
        <f t="shared" si="13"/>
        <v>0</v>
      </c>
      <c r="H867" s="174" t="s">
        <v>80</v>
      </c>
    </row>
    <row r="868" spans="1:8">
      <c r="A868" s="174" t="s">
        <v>802</v>
      </c>
      <c r="B868" s="174">
        <v>-45900</v>
      </c>
      <c r="C868" s="174">
        <v>0</v>
      </c>
      <c r="D868" s="174">
        <v>0</v>
      </c>
      <c r="E868" s="174">
        <v>-45900</v>
      </c>
      <c r="G868" s="174">
        <f t="shared" si="13"/>
        <v>-45900</v>
      </c>
      <c r="H868" s="174" t="s">
        <v>80</v>
      </c>
    </row>
    <row r="869" spans="1:8">
      <c r="A869" s="174" t="s">
        <v>803</v>
      </c>
      <c r="B869" s="174">
        <v>0</v>
      </c>
      <c r="C869" s="174">
        <v>8850</v>
      </c>
      <c r="D869" s="174">
        <v>0</v>
      </c>
      <c r="E869" s="174">
        <v>8850</v>
      </c>
      <c r="G869" s="174">
        <f t="shared" si="13"/>
        <v>8850</v>
      </c>
      <c r="H869" s="174" t="s">
        <v>80</v>
      </c>
    </row>
    <row r="870" spans="1:8">
      <c r="A870" s="174" t="s">
        <v>1241</v>
      </c>
      <c r="B870" s="174">
        <v>0</v>
      </c>
      <c r="C870" s="174">
        <v>0</v>
      </c>
      <c r="D870" s="174">
        <v>0</v>
      </c>
      <c r="E870" s="174">
        <v>0</v>
      </c>
      <c r="G870" s="174">
        <f t="shared" si="13"/>
        <v>0</v>
      </c>
      <c r="H870" s="174" t="s">
        <v>80</v>
      </c>
    </row>
    <row r="871" spans="1:8">
      <c r="A871" s="174" t="s">
        <v>804</v>
      </c>
      <c r="B871" s="174">
        <v>0</v>
      </c>
      <c r="C871" s="174">
        <v>50764</v>
      </c>
      <c r="D871" s="174">
        <v>29264</v>
      </c>
      <c r="E871" s="174">
        <v>21500</v>
      </c>
      <c r="G871" s="174">
        <f t="shared" si="13"/>
        <v>21500</v>
      </c>
      <c r="H871" s="174" t="s">
        <v>80</v>
      </c>
    </row>
    <row r="872" spans="1:8">
      <c r="A872" s="174" t="s">
        <v>805</v>
      </c>
      <c r="B872" s="174">
        <v>-1374524.97</v>
      </c>
      <c r="C872" s="174">
        <v>5986754</v>
      </c>
      <c r="D872" s="174">
        <v>4418439.9400000004</v>
      </c>
      <c r="E872" s="174">
        <v>193789.09</v>
      </c>
      <c r="G872" s="174">
        <f t="shared" si="13"/>
        <v>193789.09</v>
      </c>
      <c r="H872" s="174" t="s">
        <v>80</v>
      </c>
    </row>
    <row r="873" spans="1:8">
      <c r="A873" s="174" t="s">
        <v>1470</v>
      </c>
      <c r="B873" s="174">
        <v>0</v>
      </c>
      <c r="C873" s="174">
        <v>69892</v>
      </c>
      <c r="D873" s="174">
        <v>69892</v>
      </c>
      <c r="E873" s="174">
        <v>0</v>
      </c>
      <c r="G873" s="174">
        <f t="shared" si="13"/>
        <v>0</v>
      </c>
      <c r="H873" s="174" t="s">
        <v>80</v>
      </c>
    </row>
    <row r="874" spans="1:8">
      <c r="A874" s="174" t="s">
        <v>806</v>
      </c>
      <c r="B874" s="174">
        <v>-39407.160000000003</v>
      </c>
      <c r="C874" s="174">
        <v>94734</v>
      </c>
      <c r="D874" s="174">
        <v>90058</v>
      </c>
      <c r="E874" s="174">
        <v>-34731.160000000003</v>
      </c>
      <c r="G874" s="174">
        <f t="shared" si="13"/>
        <v>-34731.160000000003</v>
      </c>
      <c r="H874" s="174" t="s">
        <v>80</v>
      </c>
    </row>
    <row r="875" spans="1:8">
      <c r="A875" s="174" t="s">
        <v>484</v>
      </c>
      <c r="B875" s="174">
        <v>6931.32</v>
      </c>
      <c r="C875" s="174">
        <v>0</v>
      </c>
      <c r="D875" s="174">
        <v>6931</v>
      </c>
      <c r="E875" s="174">
        <v>0.32</v>
      </c>
      <c r="G875" s="174">
        <f t="shared" si="13"/>
        <v>0.32</v>
      </c>
      <c r="H875" s="174" t="s">
        <v>80</v>
      </c>
    </row>
    <row r="876" spans="1:8">
      <c r="A876" s="174" t="s">
        <v>807</v>
      </c>
      <c r="B876" s="174">
        <v>0</v>
      </c>
      <c r="C876" s="174">
        <v>238882.08</v>
      </c>
      <c r="D876" s="174">
        <v>9875241</v>
      </c>
      <c r="E876" s="174">
        <v>-9636358.9199999999</v>
      </c>
      <c r="G876" s="174">
        <f t="shared" si="13"/>
        <v>-9636358.9199999999</v>
      </c>
      <c r="H876" s="174" t="s">
        <v>80</v>
      </c>
    </row>
    <row r="877" spans="1:8">
      <c r="A877" s="174" t="s">
        <v>1242</v>
      </c>
      <c r="B877" s="174">
        <v>0</v>
      </c>
      <c r="C877" s="174">
        <v>0</v>
      </c>
      <c r="D877" s="174">
        <v>0</v>
      </c>
      <c r="E877" s="174">
        <v>0</v>
      </c>
      <c r="G877" s="174">
        <f t="shared" si="13"/>
        <v>0</v>
      </c>
      <c r="H877" s="174" t="s">
        <v>80</v>
      </c>
    </row>
    <row r="878" spans="1:8">
      <c r="A878" s="174" t="s">
        <v>1471</v>
      </c>
      <c r="B878" s="174">
        <v>0</v>
      </c>
      <c r="C878" s="174">
        <v>35100</v>
      </c>
      <c r="D878" s="174">
        <v>0</v>
      </c>
      <c r="E878" s="174">
        <v>35100</v>
      </c>
      <c r="G878" s="174">
        <f t="shared" si="13"/>
        <v>35100</v>
      </c>
      <c r="H878" s="174" t="s">
        <v>80</v>
      </c>
    </row>
    <row r="879" spans="1:8">
      <c r="A879" s="174" t="s">
        <v>291</v>
      </c>
      <c r="B879" s="174">
        <v>3064.5</v>
      </c>
      <c r="C879" s="174">
        <v>0</v>
      </c>
      <c r="D879" s="174">
        <v>5044</v>
      </c>
      <c r="E879" s="174">
        <v>-1979.5</v>
      </c>
      <c r="G879" s="174">
        <f t="shared" si="13"/>
        <v>-1979.5</v>
      </c>
      <c r="H879" s="174" t="s">
        <v>80</v>
      </c>
    </row>
    <row r="880" spans="1:8">
      <c r="A880" s="174" t="s">
        <v>808</v>
      </c>
      <c r="B880" s="174">
        <v>108708</v>
      </c>
      <c r="C880" s="174">
        <v>330676.8</v>
      </c>
      <c r="D880" s="174">
        <v>439385</v>
      </c>
      <c r="E880" s="174">
        <v>-0.2</v>
      </c>
      <c r="G880" s="174">
        <f t="shared" si="13"/>
        <v>-0.2</v>
      </c>
      <c r="H880" s="174" t="s">
        <v>80</v>
      </c>
    </row>
    <row r="881" spans="1:8">
      <c r="A881" s="174" t="s">
        <v>809</v>
      </c>
      <c r="B881" s="174">
        <v>5098</v>
      </c>
      <c r="C881" s="174">
        <v>983023</v>
      </c>
      <c r="D881" s="174">
        <v>988081</v>
      </c>
      <c r="E881" s="174">
        <v>40</v>
      </c>
      <c r="G881" s="174">
        <f t="shared" si="13"/>
        <v>40</v>
      </c>
      <c r="H881" s="174" t="s">
        <v>80</v>
      </c>
    </row>
    <row r="882" spans="1:8">
      <c r="A882" s="174" t="s">
        <v>440</v>
      </c>
      <c r="B882" s="174">
        <v>-341383</v>
      </c>
      <c r="C882" s="174">
        <v>15235719.93</v>
      </c>
      <c r="D882" s="174">
        <v>10606445.08</v>
      </c>
      <c r="E882" s="174">
        <v>4287891.8499999996</v>
      </c>
      <c r="G882" s="174">
        <f t="shared" si="13"/>
        <v>4287891.8499999996</v>
      </c>
      <c r="H882" s="174" t="s">
        <v>80</v>
      </c>
    </row>
    <row r="883" spans="1:8">
      <c r="A883" s="174" t="s">
        <v>1243</v>
      </c>
      <c r="B883" s="174">
        <v>0</v>
      </c>
      <c r="C883" s="174">
        <v>42200</v>
      </c>
      <c r="D883" s="174">
        <v>47200</v>
      </c>
      <c r="E883" s="174">
        <v>-5000</v>
      </c>
      <c r="G883" s="174">
        <f t="shared" si="13"/>
        <v>-5000</v>
      </c>
      <c r="H883" s="174" t="s">
        <v>80</v>
      </c>
    </row>
    <row r="884" spans="1:8">
      <c r="A884" s="174" t="s">
        <v>810</v>
      </c>
      <c r="B884" s="174">
        <v>-53909</v>
      </c>
      <c r="C884" s="174">
        <v>73407</v>
      </c>
      <c r="D884" s="174">
        <v>26550</v>
      </c>
      <c r="E884" s="174">
        <v>-7052</v>
      </c>
      <c r="G884" s="174">
        <f t="shared" si="13"/>
        <v>-7052</v>
      </c>
      <c r="H884" s="174" t="s">
        <v>80</v>
      </c>
    </row>
    <row r="885" spans="1:8">
      <c r="A885" s="174" t="s">
        <v>1472</v>
      </c>
      <c r="B885" s="174">
        <v>0</v>
      </c>
      <c r="C885" s="174">
        <v>0</v>
      </c>
      <c r="D885" s="174">
        <v>3835</v>
      </c>
      <c r="E885" s="174">
        <v>-3835</v>
      </c>
      <c r="G885" s="174">
        <f t="shared" si="13"/>
        <v>-3835</v>
      </c>
      <c r="H885" s="174" t="s">
        <v>80</v>
      </c>
    </row>
    <row r="886" spans="1:8">
      <c r="A886" s="174" t="s">
        <v>1473</v>
      </c>
      <c r="B886" s="174">
        <v>0</v>
      </c>
      <c r="C886" s="174">
        <v>35872</v>
      </c>
      <c r="D886" s="174">
        <v>35872</v>
      </c>
      <c r="E886" s="174">
        <v>0</v>
      </c>
      <c r="G886" s="174">
        <f t="shared" si="13"/>
        <v>0</v>
      </c>
      <c r="H886" s="174" t="s">
        <v>80</v>
      </c>
    </row>
    <row r="887" spans="1:8">
      <c r="A887" s="174" t="s">
        <v>1583</v>
      </c>
      <c r="B887" s="174">
        <v>0</v>
      </c>
      <c r="C887" s="174">
        <v>0</v>
      </c>
      <c r="D887" s="174">
        <v>340200</v>
      </c>
      <c r="E887" s="174">
        <v>-340200</v>
      </c>
      <c r="G887" s="174">
        <f t="shared" si="13"/>
        <v>-340200</v>
      </c>
      <c r="H887" s="174" t="s">
        <v>80</v>
      </c>
    </row>
    <row r="888" spans="1:8">
      <c r="A888" s="174" t="s">
        <v>1474</v>
      </c>
      <c r="B888" s="174">
        <v>0</v>
      </c>
      <c r="C888" s="174">
        <v>44412.5</v>
      </c>
      <c r="D888" s="174">
        <v>8031375</v>
      </c>
      <c r="E888" s="174">
        <v>-7986962.5</v>
      </c>
      <c r="G888" s="174">
        <f t="shared" si="13"/>
        <v>-7986962.5</v>
      </c>
      <c r="H888" s="174" t="s">
        <v>80</v>
      </c>
    </row>
    <row r="889" spans="1:8">
      <c r="A889" s="174" t="s">
        <v>1475</v>
      </c>
      <c r="B889" s="174">
        <v>0</v>
      </c>
      <c r="C889" s="174">
        <v>223200</v>
      </c>
      <c r="D889" s="174">
        <v>0</v>
      </c>
      <c r="E889" s="174">
        <v>223200</v>
      </c>
      <c r="G889" s="174">
        <f t="shared" si="13"/>
        <v>223200</v>
      </c>
      <c r="H889" s="174" t="s">
        <v>80</v>
      </c>
    </row>
    <row r="890" spans="1:8">
      <c r="A890" s="174" t="s">
        <v>811</v>
      </c>
      <c r="B890" s="174">
        <v>0</v>
      </c>
      <c r="C890" s="174">
        <v>575461</v>
      </c>
      <c r="D890" s="174">
        <v>575461</v>
      </c>
      <c r="E890" s="174">
        <v>0</v>
      </c>
      <c r="G890" s="174">
        <f t="shared" si="13"/>
        <v>0</v>
      </c>
      <c r="H890" s="174" t="s">
        <v>80</v>
      </c>
    </row>
    <row r="891" spans="1:8">
      <c r="A891" s="174" t="s">
        <v>812</v>
      </c>
      <c r="B891" s="174">
        <v>-4661</v>
      </c>
      <c r="C891" s="174">
        <v>11210</v>
      </c>
      <c r="D891" s="174">
        <v>10325</v>
      </c>
      <c r="E891" s="174">
        <v>-3776</v>
      </c>
      <c r="G891" s="174">
        <f t="shared" si="13"/>
        <v>-3776</v>
      </c>
      <c r="H891" s="174" t="s">
        <v>80</v>
      </c>
    </row>
    <row r="892" spans="1:8">
      <c r="A892" s="174" t="s">
        <v>404</v>
      </c>
      <c r="B892" s="174">
        <v>-6072774.5499999998</v>
      </c>
      <c r="C892" s="174">
        <v>11535113.23</v>
      </c>
      <c r="D892" s="174">
        <v>5462338.6799999997</v>
      </c>
      <c r="E892" s="174">
        <v>0</v>
      </c>
      <c r="G892" s="174">
        <f t="shared" si="13"/>
        <v>0</v>
      </c>
      <c r="H892" s="174" t="s">
        <v>80</v>
      </c>
    </row>
    <row r="893" spans="1:8">
      <c r="A893" s="174" t="s">
        <v>390</v>
      </c>
      <c r="B893" s="174">
        <v>-1270766</v>
      </c>
      <c r="C893" s="174">
        <v>1719946</v>
      </c>
      <c r="D893" s="174">
        <v>4535899.55</v>
      </c>
      <c r="E893" s="174">
        <v>-4086719.55</v>
      </c>
      <c r="G893" s="174">
        <f t="shared" si="13"/>
        <v>-4086719.55</v>
      </c>
      <c r="H893" s="174" t="s">
        <v>80</v>
      </c>
    </row>
    <row r="894" spans="1:8">
      <c r="A894" s="174" t="s">
        <v>1245</v>
      </c>
      <c r="B894" s="174">
        <v>0</v>
      </c>
      <c r="C894" s="174">
        <v>0</v>
      </c>
      <c r="D894" s="174">
        <v>4720</v>
      </c>
      <c r="E894" s="174">
        <v>-4720</v>
      </c>
      <c r="G894" s="174">
        <f t="shared" si="13"/>
        <v>-4720</v>
      </c>
      <c r="H894" s="174" t="s">
        <v>80</v>
      </c>
    </row>
    <row r="895" spans="1:8">
      <c r="A895" s="174" t="s">
        <v>269</v>
      </c>
      <c r="B895" s="174">
        <v>-74490.36</v>
      </c>
      <c r="C895" s="174">
        <v>1112</v>
      </c>
      <c r="D895" s="174">
        <v>64579</v>
      </c>
      <c r="E895" s="174">
        <v>-137957.35999999999</v>
      </c>
      <c r="G895" s="174">
        <f t="shared" si="13"/>
        <v>-137957.35999999999</v>
      </c>
      <c r="H895" s="174" t="s">
        <v>80</v>
      </c>
    </row>
    <row r="896" spans="1:8">
      <c r="A896" s="174" t="s">
        <v>813</v>
      </c>
      <c r="B896" s="174">
        <v>0</v>
      </c>
      <c r="C896" s="174">
        <v>10244</v>
      </c>
      <c r="D896" s="174">
        <v>10244</v>
      </c>
      <c r="E896" s="174">
        <v>0</v>
      </c>
      <c r="G896" s="174">
        <f t="shared" si="13"/>
        <v>0</v>
      </c>
      <c r="H896" s="174" t="s">
        <v>80</v>
      </c>
    </row>
    <row r="897" spans="1:8">
      <c r="A897" s="174" t="s">
        <v>1246</v>
      </c>
      <c r="B897" s="174">
        <v>0</v>
      </c>
      <c r="C897" s="174">
        <v>0</v>
      </c>
      <c r="D897" s="174">
        <v>5607</v>
      </c>
      <c r="E897" s="174">
        <v>-5607</v>
      </c>
      <c r="G897" s="174">
        <f t="shared" si="13"/>
        <v>-5607</v>
      </c>
      <c r="H897" s="174" t="s">
        <v>80</v>
      </c>
    </row>
    <row r="898" spans="1:8">
      <c r="A898" s="174" t="s">
        <v>1247</v>
      </c>
      <c r="B898" s="174">
        <v>0</v>
      </c>
      <c r="C898" s="174">
        <v>29500</v>
      </c>
      <c r="D898" s="174">
        <v>29500</v>
      </c>
      <c r="E898" s="174">
        <v>0</v>
      </c>
      <c r="G898" s="174">
        <f t="shared" si="13"/>
        <v>0</v>
      </c>
      <c r="H898" s="174" t="s">
        <v>80</v>
      </c>
    </row>
    <row r="899" spans="1:8">
      <c r="A899" s="174" t="s">
        <v>814</v>
      </c>
      <c r="B899" s="174">
        <v>-258278</v>
      </c>
      <c r="C899" s="174">
        <v>258278</v>
      </c>
      <c r="D899" s="174">
        <v>0</v>
      </c>
      <c r="E899" s="174">
        <v>0</v>
      </c>
      <c r="G899" s="174">
        <f t="shared" ref="G899:G962" si="14">E899+F899</f>
        <v>0</v>
      </c>
      <c r="H899" s="174" t="s">
        <v>80</v>
      </c>
    </row>
    <row r="900" spans="1:8">
      <c r="A900" s="174" t="s">
        <v>815</v>
      </c>
      <c r="B900" s="174">
        <v>579</v>
      </c>
      <c r="C900" s="174">
        <v>104267</v>
      </c>
      <c r="D900" s="174">
        <v>104846</v>
      </c>
      <c r="E900" s="174">
        <v>0</v>
      </c>
      <c r="G900" s="174">
        <f t="shared" si="14"/>
        <v>0</v>
      </c>
      <c r="H900" s="174" t="s">
        <v>80</v>
      </c>
    </row>
    <row r="901" spans="1:8">
      <c r="A901" s="174" t="s">
        <v>1584</v>
      </c>
      <c r="B901" s="174">
        <v>0</v>
      </c>
      <c r="C901" s="174">
        <v>0</v>
      </c>
      <c r="D901" s="174">
        <v>0</v>
      </c>
      <c r="E901" s="174">
        <v>0</v>
      </c>
      <c r="G901" s="174">
        <f t="shared" si="14"/>
        <v>0</v>
      </c>
      <c r="H901" s="174" t="s">
        <v>80</v>
      </c>
    </row>
    <row r="902" spans="1:8">
      <c r="A902" s="174" t="s">
        <v>1046</v>
      </c>
      <c r="B902" s="174">
        <v>0</v>
      </c>
      <c r="C902" s="174">
        <v>79125</v>
      </c>
      <c r="D902" s="174">
        <v>79125</v>
      </c>
      <c r="E902" s="174">
        <v>0</v>
      </c>
      <c r="G902" s="174">
        <f t="shared" si="14"/>
        <v>0</v>
      </c>
      <c r="H902" s="174" t="s">
        <v>80</v>
      </c>
    </row>
    <row r="903" spans="1:8">
      <c r="A903" s="174" t="s">
        <v>1248</v>
      </c>
      <c r="B903" s="174">
        <v>0</v>
      </c>
      <c r="C903" s="174">
        <v>0</v>
      </c>
      <c r="D903" s="174">
        <v>0</v>
      </c>
      <c r="E903" s="174">
        <v>0</v>
      </c>
      <c r="G903" s="174">
        <f t="shared" si="14"/>
        <v>0</v>
      </c>
      <c r="H903" s="174" t="s">
        <v>80</v>
      </c>
    </row>
    <row r="904" spans="1:8">
      <c r="A904" s="174" t="s">
        <v>816</v>
      </c>
      <c r="B904" s="174">
        <v>-283452</v>
      </c>
      <c r="C904" s="174">
        <v>1201918</v>
      </c>
      <c r="D904" s="174">
        <v>918466</v>
      </c>
      <c r="E904" s="174">
        <v>0</v>
      </c>
      <c r="G904" s="174">
        <f t="shared" si="14"/>
        <v>0</v>
      </c>
      <c r="H904" s="174" t="s">
        <v>80</v>
      </c>
    </row>
    <row r="905" spans="1:8">
      <c r="A905" s="174" t="s">
        <v>817</v>
      </c>
      <c r="B905" s="174">
        <v>2601937</v>
      </c>
      <c r="C905" s="174">
        <v>0</v>
      </c>
      <c r="D905" s="174">
        <v>0</v>
      </c>
      <c r="E905" s="174">
        <v>2601937</v>
      </c>
      <c r="G905" s="174">
        <f t="shared" si="14"/>
        <v>2601937</v>
      </c>
      <c r="H905" s="174" t="s">
        <v>80</v>
      </c>
    </row>
    <row r="906" spans="1:8">
      <c r="A906" s="174" t="s">
        <v>1249</v>
      </c>
      <c r="B906" s="174">
        <v>0</v>
      </c>
      <c r="C906" s="174">
        <v>0</v>
      </c>
      <c r="D906" s="174">
        <v>0</v>
      </c>
      <c r="E906" s="174">
        <v>0</v>
      </c>
      <c r="G906" s="174">
        <f t="shared" si="14"/>
        <v>0</v>
      </c>
      <c r="H906" s="174" t="s">
        <v>80</v>
      </c>
    </row>
    <row r="907" spans="1:8">
      <c r="A907" s="174" t="s">
        <v>1250</v>
      </c>
      <c r="B907" s="174">
        <v>0</v>
      </c>
      <c r="C907" s="174">
        <v>146000.22</v>
      </c>
      <c r="D907" s="174">
        <v>146000</v>
      </c>
      <c r="E907" s="174">
        <v>0.22</v>
      </c>
      <c r="G907" s="174">
        <f t="shared" si="14"/>
        <v>0.22</v>
      </c>
      <c r="H907" s="174" t="s">
        <v>80</v>
      </c>
    </row>
    <row r="908" spans="1:8">
      <c r="A908" s="174" t="s">
        <v>818</v>
      </c>
      <c r="B908" s="174">
        <v>5500</v>
      </c>
      <c r="C908" s="174">
        <v>0</v>
      </c>
      <c r="D908" s="174">
        <v>0</v>
      </c>
      <c r="E908" s="174">
        <v>5500</v>
      </c>
      <c r="G908" s="174">
        <f t="shared" si="14"/>
        <v>5500</v>
      </c>
      <c r="H908" s="174" t="s">
        <v>80</v>
      </c>
    </row>
    <row r="909" spans="1:8">
      <c r="A909" s="174" t="s">
        <v>1476</v>
      </c>
      <c r="B909" s="174">
        <v>0</v>
      </c>
      <c r="C909" s="174">
        <v>0</v>
      </c>
      <c r="D909" s="174">
        <v>0</v>
      </c>
      <c r="E909" s="174">
        <v>0</v>
      </c>
      <c r="G909" s="174">
        <f t="shared" si="14"/>
        <v>0</v>
      </c>
      <c r="H909" s="174" t="s">
        <v>80</v>
      </c>
    </row>
    <row r="910" spans="1:8">
      <c r="A910" s="174" t="s">
        <v>819</v>
      </c>
      <c r="B910" s="174">
        <v>1768</v>
      </c>
      <c r="C910" s="174">
        <v>4137</v>
      </c>
      <c r="D910" s="174">
        <v>0</v>
      </c>
      <c r="E910" s="174">
        <v>5905</v>
      </c>
      <c r="G910" s="174">
        <f t="shared" si="14"/>
        <v>5905</v>
      </c>
      <c r="H910" s="174" t="s">
        <v>80</v>
      </c>
    </row>
    <row r="911" spans="1:8">
      <c r="A911" s="174" t="s">
        <v>820</v>
      </c>
      <c r="B911" s="174">
        <v>-40657.5</v>
      </c>
      <c r="C911" s="174">
        <v>40657.5</v>
      </c>
      <c r="D911" s="174">
        <v>0</v>
      </c>
      <c r="E911" s="174">
        <v>0</v>
      </c>
      <c r="G911" s="174">
        <f t="shared" si="14"/>
        <v>0</v>
      </c>
      <c r="H911" s="174" t="s">
        <v>80</v>
      </c>
    </row>
    <row r="912" spans="1:8">
      <c r="A912" s="174" t="s">
        <v>435</v>
      </c>
      <c r="B912" s="174">
        <v>0</v>
      </c>
      <c r="C912" s="174">
        <v>14278</v>
      </c>
      <c r="D912" s="174">
        <v>14278</v>
      </c>
      <c r="E912" s="174">
        <v>0</v>
      </c>
      <c r="G912" s="174">
        <f t="shared" si="14"/>
        <v>0</v>
      </c>
      <c r="H912" s="174" t="s">
        <v>80</v>
      </c>
    </row>
    <row r="913" spans="1:8">
      <c r="A913" s="174" t="s">
        <v>821</v>
      </c>
      <c r="B913" s="174">
        <v>0</v>
      </c>
      <c r="C913" s="174">
        <v>916092</v>
      </c>
      <c r="D913" s="174">
        <v>1664162</v>
      </c>
      <c r="E913" s="174">
        <v>-748070</v>
      </c>
      <c r="G913" s="174">
        <f t="shared" si="14"/>
        <v>-748070</v>
      </c>
      <c r="H913" s="174" t="s">
        <v>80</v>
      </c>
    </row>
    <row r="914" spans="1:8">
      <c r="A914" s="174" t="s">
        <v>1251</v>
      </c>
      <c r="B914" s="174">
        <v>0</v>
      </c>
      <c r="C914" s="174">
        <v>40352</v>
      </c>
      <c r="D914" s="174">
        <v>40352</v>
      </c>
      <c r="E914" s="174">
        <v>0</v>
      </c>
      <c r="G914" s="174">
        <f t="shared" si="14"/>
        <v>0</v>
      </c>
      <c r="H914" s="174" t="s">
        <v>80</v>
      </c>
    </row>
    <row r="915" spans="1:8">
      <c r="A915" s="174" t="s">
        <v>260</v>
      </c>
      <c r="B915" s="174">
        <v>-62205</v>
      </c>
      <c r="C915" s="174">
        <v>8638</v>
      </c>
      <c r="D915" s="174">
        <v>30621</v>
      </c>
      <c r="E915" s="174">
        <v>-84188</v>
      </c>
      <c r="G915" s="174">
        <f t="shared" si="14"/>
        <v>-84188</v>
      </c>
      <c r="H915" s="174" t="s">
        <v>80</v>
      </c>
    </row>
    <row r="916" spans="1:8">
      <c r="A916" s="174" t="s">
        <v>1252</v>
      </c>
      <c r="B916" s="174">
        <v>0</v>
      </c>
      <c r="C916" s="174">
        <v>0</v>
      </c>
      <c r="D916" s="174">
        <v>0</v>
      </c>
      <c r="E916" s="174">
        <v>0</v>
      </c>
      <c r="G916" s="174">
        <f t="shared" si="14"/>
        <v>0</v>
      </c>
      <c r="H916" s="174" t="s">
        <v>80</v>
      </c>
    </row>
    <row r="917" spans="1:8">
      <c r="A917" s="174" t="s">
        <v>822</v>
      </c>
      <c r="B917" s="174">
        <v>5900</v>
      </c>
      <c r="C917" s="174">
        <v>0</v>
      </c>
      <c r="D917" s="174">
        <v>0</v>
      </c>
      <c r="E917" s="174">
        <v>5900</v>
      </c>
      <c r="G917" s="174">
        <f t="shared" si="14"/>
        <v>5900</v>
      </c>
      <c r="H917" s="174" t="s">
        <v>80</v>
      </c>
    </row>
    <row r="918" spans="1:8">
      <c r="A918" s="174" t="s">
        <v>1477</v>
      </c>
      <c r="B918" s="174">
        <v>0</v>
      </c>
      <c r="C918" s="174">
        <v>0</v>
      </c>
      <c r="D918" s="174">
        <v>3742</v>
      </c>
      <c r="E918" s="174">
        <v>-3742</v>
      </c>
      <c r="G918" s="174">
        <f t="shared" si="14"/>
        <v>-3742</v>
      </c>
      <c r="H918" s="174" t="s">
        <v>80</v>
      </c>
    </row>
    <row r="919" spans="1:8">
      <c r="A919" s="174" t="s">
        <v>1253</v>
      </c>
      <c r="B919" s="174">
        <v>0</v>
      </c>
      <c r="C919" s="174">
        <v>0</v>
      </c>
      <c r="D919" s="174">
        <v>0</v>
      </c>
      <c r="E919" s="174">
        <v>0</v>
      </c>
      <c r="G919" s="174">
        <f t="shared" si="14"/>
        <v>0</v>
      </c>
      <c r="H919" s="174" t="s">
        <v>80</v>
      </c>
    </row>
    <row r="920" spans="1:8">
      <c r="A920" s="174" t="s">
        <v>823</v>
      </c>
      <c r="B920" s="174">
        <v>9238234</v>
      </c>
      <c r="C920" s="174">
        <v>47412866</v>
      </c>
      <c r="D920" s="174">
        <v>68607000</v>
      </c>
      <c r="E920" s="174">
        <v>-11955900</v>
      </c>
      <c r="G920" s="174">
        <f t="shared" si="14"/>
        <v>-11955900</v>
      </c>
      <c r="H920" s="174" t="s">
        <v>80</v>
      </c>
    </row>
    <row r="921" spans="1:8">
      <c r="A921" s="174" t="s">
        <v>824</v>
      </c>
      <c r="B921" s="174">
        <v>-0.2</v>
      </c>
      <c r="C921" s="174">
        <v>16620</v>
      </c>
      <c r="D921" s="174">
        <v>16620</v>
      </c>
      <c r="E921" s="174">
        <v>-0.2</v>
      </c>
      <c r="G921" s="174">
        <f t="shared" si="14"/>
        <v>-0.2</v>
      </c>
      <c r="H921" s="174" t="s">
        <v>80</v>
      </c>
    </row>
    <row r="922" spans="1:8">
      <c r="A922" s="174" t="s">
        <v>825</v>
      </c>
      <c r="B922" s="174">
        <v>0</v>
      </c>
      <c r="C922" s="174">
        <v>119416</v>
      </c>
      <c r="D922" s="174">
        <v>119416</v>
      </c>
      <c r="E922" s="174">
        <v>0</v>
      </c>
      <c r="G922" s="174">
        <f t="shared" si="14"/>
        <v>0</v>
      </c>
      <c r="H922" s="174" t="s">
        <v>80</v>
      </c>
    </row>
    <row r="923" spans="1:8">
      <c r="A923" s="174" t="s">
        <v>1254</v>
      </c>
      <c r="B923" s="174">
        <v>0</v>
      </c>
      <c r="C923" s="174">
        <v>137398</v>
      </c>
      <c r="D923" s="174">
        <v>137398</v>
      </c>
      <c r="E923" s="174">
        <v>0</v>
      </c>
      <c r="G923" s="174">
        <f t="shared" si="14"/>
        <v>0</v>
      </c>
      <c r="H923" s="174" t="s">
        <v>80</v>
      </c>
    </row>
    <row r="924" spans="1:8">
      <c r="A924" s="174" t="s">
        <v>1478</v>
      </c>
      <c r="B924" s="174">
        <v>0</v>
      </c>
      <c r="C924" s="174">
        <v>6490</v>
      </c>
      <c r="D924" s="174">
        <v>6490</v>
      </c>
      <c r="E924" s="174">
        <v>0</v>
      </c>
      <c r="G924" s="174">
        <f t="shared" si="14"/>
        <v>0</v>
      </c>
      <c r="H924" s="174" t="s">
        <v>80</v>
      </c>
    </row>
    <row r="925" spans="1:8">
      <c r="A925" s="174" t="s">
        <v>826</v>
      </c>
      <c r="B925" s="174">
        <v>-64110</v>
      </c>
      <c r="C925" s="174">
        <v>278551</v>
      </c>
      <c r="D925" s="174">
        <v>240425</v>
      </c>
      <c r="E925" s="174">
        <v>-25984</v>
      </c>
      <c r="G925" s="174">
        <f t="shared" si="14"/>
        <v>-25984</v>
      </c>
      <c r="H925" s="174" t="s">
        <v>80</v>
      </c>
    </row>
    <row r="926" spans="1:8">
      <c r="A926" s="174" t="s">
        <v>249</v>
      </c>
      <c r="B926" s="174">
        <v>42147955.299999997</v>
      </c>
      <c r="C926" s="174">
        <v>0</v>
      </c>
      <c r="D926" s="174">
        <v>36697436.100000001</v>
      </c>
      <c r="E926" s="174">
        <v>5450519.2000000002</v>
      </c>
      <c r="G926" s="174">
        <f t="shared" si="14"/>
        <v>5450519.2000000002</v>
      </c>
      <c r="H926" s="174" t="s">
        <v>80</v>
      </c>
    </row>
    <row r="927" spans="1:8">
      <c r="A927" s="174" t="s">
        <v>248</v>
      </c>
      <c r="B927" s="174">
        <v>1092151.3400000001</v>
      </c>
      <c r="C927" s="174">
        <v>290552.8</v>
      </c>
      <c r="D927" s="174">
        <v>66937141.840000004</v>
      </c>
      <c r="E927" s="174">
        <v>-65554437.700000003</v>
      </c>
      <c r="G927" s="174">
        <f t="shared" si="14"/>
        <v>-65554437.700000003</v>
      </c>
      <c r="H927" s="174" t="s">
        <v>80</v>
      </c>
    </row>
    <row r="928" spans="1:8">
      <c r="A928" s="174" t="s">
        <v>439</v>
      </c>
      <c r="B928" s="174">
        <v>-4548</v>
      </c>
      <c r="C928" s="174">
        <v>84133</v>
      </c>
      <c r="D928" s="174">
        <v>84134</v>
      </c>
      <c r="E928" s="174">
        <v>-4549</v>
      </c>
      <c r="G928" s="174">
        <f t="shared" si="14"/>
        <v>-4549</v>
      </c>
      <c r="H928" s="174" t="s">
        <v>80</v>
      </c>
    </row>
    <row r="929" spans="1:8">
      <c r="A929" s="174" t="s">
        <v>1585</v>
      </c>
      <c r="B929" s="174">
        <v>0</v>
      </c>
      <c r="C929" s="174">
        <v>0</v>
      </c>
      <c r="D929" s="174">
        <v>0</v>
      </c>
      <c r="E929" s="174">
        <v>0</v>
      </c>
      <c r="G929" s="174">
        <f t="shared" si="14"/>
        <v>0</v>
      </c>
      <c r="H929" s="174" t="s">
        <v>80</v>
      </c>
    </row>
    <row r="930" spans="1:8">
      <c r="A930" s="174" t="s">
        <v>1255</v>
      </c>
      <c r="B930" s="174">
        <v>0</v>
      </c>
      <c r="C930" s="174">
        <v>3957932</v>
      </c>
      <c r="D930" s="174">
        <v>4139440</v>
      </c>
      <c r="E930" s="174">
        <v>-181508</v>
      </c>
      <c r="G930" s="174">
        <f t="shared" si="14"/>
        <v>-181508</v>
      </c>
      <c r="H930" s="174" t="s">
        <v>80</v>
      </c>
    </row>
    <row r="931" spans="1:8">
      <c r="A931" s="174" t="s">
        <v>1417</v>
      </c>
      <c r="B931" s="174">
        <v>0</v>
      </c>
      <c r="C931" s="174">
        <v>0</v>
      </c>
      <c r="D931" s="174">
        <v>0</v>
      </c>
      <c r="E931" s="174">
        <v>0</v>
      </c>
      <c r="G931" s="174">
        <f t="shared" si="14"/>
        <v>0</v>
      </c>
      <c r="H931" s="174" t="s">
        <v>80</v>
      </c>
    </row>
    <row r="932" spans="1:8">
      <c r="A932" s="174" t="s">
        <v>1256</v>
      </c>
      <c r="B932" s="174">
        <v>0</v>
      </c>
      <c r="C932" s="174">
        <v>0</v>
      </c>
      <c r="D932" s="174">
        <v>0</v>
      </c>
      <c r="E932" s="174">
        <v>0</v>
      </c>
      <c r="G932" s="174">
        <f t="shared" si="14"/>
        <v>0</v>
      </c>
      <c r="H932" s="174" t="s">
        <v>80</v>
      </c>
    </row>
    <row r="933" spans="1:8">
      <c r="A933" s="174" t="s">
        <v>244</v>
      </c>
      <c r="B933" s="174">
        <v>11258</v>
      </c>
      <c r="C933" s="174">
        <v>176692</v>
      </c>
      <c r="D933" s="174">
        <v>100559</v>
      </c>
      <c r="E933" s="174">
        <v>87391</v>
      </c>
      <c r="G933" s="174">
        <f t="shared" si="14"/>
        <v>87391</v>
      </c>
      <c r="H933" s="174" t="s">
        <v>80</v>
      </c>
    </row>
    <row r="934" spans="1:8">
      <c r="A934" s="174" t="s">
        <v>245</v>
      </c>
      <c r="B934" s="174">
        <v>-203061.43</v>
      </c>
      <c r="C934" s="174">
        <v>735637</v>
      </c>
      <c r="D934" s="174">
        <v>888144</v>
      </c>
      <c r="E934" s="174">
        <v>-355568.43</v>
      </c>
      <c r="G934" s="174">
        <f t="shared" si="14"/>
        <v>-355568.43</v>
      </c>
      <c r="H934" s="174" t="s">
        <v>80</v>
      </c>
    </row>
    <row r="935" spans="1:8">
      <c r="A935" s="174" t="s">
        <v>456</v>
      </c>
      <c r="B935" s="174">
        <v>-0.4</v>
      </c>
      <c r="C935" s="174">
        <v>0</v>
      </c>
      <c r="D935" s="174">
        <v>0</v>
      </c>
      <c r="E935" s="174">
        <v>-0.4</v>
      </c>
      <c r="G935" s="174">
        <f t="shared" si="14"/>
        <v>-0.4</v>
      </c>
      <c r="H935" s="174" t="s">
        <v>80</v>
      </c>
    </row>
    <row r="936" spans="1:8">
      <c r="A936" s="174" t="s">
        <v>408</v>
      </c>
      <c r="B936" s="174">
        <v>-46545.14</v>
      </c>
      <c r="C936" s="174">
        <v>47293</v>
      </c>
      <c r="D936" s="174">
        <v>44132</v>
      </c>
      <c r="E936" s="174">
        <v>-43384.14</v>
      </c>
      <c r="G936" s="174">
        <f t="shared" si="14"/>
        <v>-43384.14</v>
      </c>
      <c r="H936" s="174" t="s">
        <v>80</v>
      </c>
    </row>
    <row r="937" spans="1:8">
      <c r="A937" s="174" t="s">
        <v>827</v>
      </c>
      <c r="B937" s="174">
        <v>548427.9</v>
      </c>
      <c r="C937" s="174">
        <v>0</v>
      </c>
      <c r="D937" s="174">
        <v>0</v>
      </c>
      <c r="E937" s="174">
        <v>548427.9</v>
      </c>
      <c r="G937" s="174">
        <f t="shared" si="14"/>
        <v>548427.9</v>
      </c>
      <c r="H937" s="174" t="s">
        <v>80</v>
      </c>
    </row>
    <row r="938" spans="1:8">
      <c r="A938" s="174" t="s">
        <v>1586</v>
      </c>
      <c r="B938" s="174">
        <v>0</v>
      </c>
      <c r="C938" s="174">
        <v>322785</v>
      </c>
      <c r="D938" s="174">
        <v>322785</v>
      </c>
      <c r="E938" s="174">
        <v>0</v>
      </c>
      <c r="G938" s="174">
        <f t="shared" si="14"/>
        <v>0</v>
      </c>
      <c r="H938" s="174" t="s">
        <v>80</v>
      </c>
    </row>
    <row r="939" spans="1:8">
      <c r="A939" s="174" t="s">
        <v>1479</v>
      </c>
      <c r="B939" s="174">
        <v>0</v>
      </c>
      <c r="C939" s="174">
        <v>9440</v>
      </c>
      <c r="D939" s="174">
        <v>0</v>
      </c>
      <c r="E939" s="174">
        <v>9440</v>
      </c>
      <c r="G939" s="174">
        <f t="shared" si="14"/>
        <v>9440</v>
      </c>
      <c r="H939" s="174" t="s">
        <v>80</v>
      </c>
    </row>
    <row r="940" spans="1:8">
      <c r="A940" s="174" t="s">
        <v>1515</v>
      </c>
      <c r="B940" s="174">
        <v>0</v>
      </c>
      <c r="C940" s="174">
        <v>0</v>
      </c>
      <c r="D940" s="174">
        <v>0</v>
      </c>
      <c r="E940" s="174">
        <v>0</v>
      </c>
      <c r="G940" s="174">
        <f t="shared" si="14"/>
        <v>0</v>
      </c>
      <c r="H940" s="174" t="s">
        <v>80</v>
      </c>
    </row>
    <row r="941" spans="1:8">
      <c r="A941" s="174" t="s">
        <v>473</v>
      </c>
      <c r="B941" s="174">
        <v>-3500</v>
      </c>
      <c r="C941" s="174">
        <v>86246</v>
      </c>
      <c r="D941" s="174">
        <v>92596</v>
      </c>
      <c r="E941" s="174">
        <v>-9850</v>
      </c>
      <c r="G941" s="174">
        <f t="shared" si="14"/>
        <v>-9850</v>
      </c>
      <c r="H941" s="174" t="s">
        <v>80</v>
      </c>
    </row>
    <row r="942" spans="1:8">
      <c r="A942" s="174" t="s">
        <v>1480</v>
      </c>
      <c r="B942" s="174">
        <v>0</v>
      </c>
      <c r="C942" s="174">
        <v>14250</v>
      </c>
      <c r="D942" s="174">
        <v>0</v>
      </c>
      <c r="E942" s="174">
        <v>14250</v>
      </c>
      <c r="G942" s="174">
        <f t="shared" si="14"/>
        <v>14250</v>
      </c>
      <c r="H942" s="174" t="s">
        <v>80</v>
      </c>
    </row>
    <row r="943" spans="1:8">
      <c r="A943" s="174" t="s">
        <v>1257</v>
      </c>
      <c r="B943" s="174">
        <v>0</v>
      </c>
      <c r="C943" s="174">
        <v>0</v>
      </c>
      <c r="D943" s="174">
        <v>0</v>
      </c>
      <c r="E943" s="174">
        <v>0</v>
      </c>
      <c r="G943" s="174">
        <f t="shared" si="14"/>
        <v>0</v>
      </c>
      <c r="H943" s="174" t="s">
        <v>80</v>
      </c>
    </row>
    <row r="944" spans="1:8">
      <c r="A944" s="174" t="s">
        <v>241</v>
      </c>
      <c r="B944" s="174">
        <v>-311880</v>
      </c>
      <c r="C944" s="174">
        <v>0</v>
      </c>
      <c r="D944" s="174">
        <v>0</v>
      </c>
      <c r="E944" s="174">
        <v>-311880</v>
      </c>
      <c r="G944" s="174">
        <f t="shared" si="14"/>
        <v>-311880</v>
      </c>
      <c r="H944" s="174" t="s">
        <v>80</v>
      </c>
    </row>
    <row r="945" spans="1:8">
      <c r="A945" s="174" t="s">
        <v>828</v>
      </c>
      <c r="B945" s="174">
        <v>44975</v>
      </c>
      <c r="C945" s="174">
        <v>0</v>
      </c>
      <c r="D945" s="174">
        <v>0</v>
      </c>
      <c r="E945" s="174">
        <v>44975</v>
      </c>
      <c r="G945" s="174">
        <f t="shared" si="14"/>
        <v>44975</v>
      </c>
      <c r="H945" s="174" t="s">
        <v>80</v>
      </c>
    </row>
    <row r="946" spans="1:8">
      <c r="A946" s="174" t="s">
        <v>1258</v>
      </c>
      <c r="B946" s="174">
        <v>0</v>
      </c>
      <c r="C946" s="174">
        <v>0</v>
      </c>
      <c r="D946" s="174">
        <v>0</v>
      </c>
      <c r="E946" s="174">
        <v>0</v>
      </c>
      <c r="G946" s="174">
        <f t="shared" si="14"/>
        <v>0</v>
      </c>
      <c r="H946" s="174" t="s">
        <v>80</v>
      </c>
    </row>
    <row r="947" spans="1:8">
      <c r="A947" s="174" t="s">
        <v>1259</v>
      </c>
      <c r="B947" s="174">
        <v>0</v>
      </c>
      <c r="C947" s="174">
        <v>0</v>
      </c>
      <c r="D947" s="174">
        <v>0</v>
      </c>
      <c r="E947" s="174">
        <v>0</v>
      </c>
      <c r="G947" s="174">
        <f t="shared" si="14"/>
        <v>0</v>
      </c>
      <c r="H947" s="174" t="s">
        <v>80</v>
      </c>
    </row>
    <row r="948" spans="1:8">
      <c r="A948" s="174" t="s">
        <v>829</v>
      </c>
      <c r="B948" s="174">
        <v>32398</v>
      </c>
      <c r="C948" s="174">
        <v>0</v>
      </c>
      <c r="D948" s="174">
        <v>0</v>
      </c>
      <c r="E948" s="174">
        <v>32398</v>
      </c>
      <c r="G948" s="174">
        <f t="shared" si="14"/>
        <v>32398</v>
      </c>
      <c r="H948" s="174" t="s">
        <v>80</v>
      </c>
    </row>
    <row r="949" spans="1:8">
      <c r="A949" s="174" t="s">
        <v>830</v>
      </c>
      <c r="B949" s="174">
        <v>-1442</v>
      </c>
      <c r="C949" s="174">
        <v>0</v>
      </c>
      <c r="D949" s="174">
        <v>0</v>
      </c>
      <c r="E949" s="174">
        <v>-1442</v>
      </c>
      <c r="G949" s="174">
        <f t="shared" si="14"/>
        <v>-1442</v>
      </c>
      <c r="H949" s="174" t="s">
        <v>80</v>
      </c>
    </row>
    <row r="950" spans="1:8">
      <c r="A950" s="174" t="s">
        <v>1260</v>
      </c>
      <c r="B950" s="174">
        <v>0</v>
      </c>
      <c r="C950" s="174">
        <v>72942</v>
      </c>
      <c r="D950" s="174">
        <v>72942</v>
      </c>
      <c r="E950" s="174">
        <v>0</v>
      </c>
      <c r="G950" s="174">
        <f t="shared" si="14"/>
        <v>0</v>
      </c>
      <c r="H950" s="174" t="s">
        <v>80</v>
      </c>
    </row>
    <row r="951" spans="1:8">
      <c r="A951" s="174" t="s">
        <v>1481</v>
      </c>
      <c r="B951" s="174">
        <v>0</v>
      </c>
      <c r="C951" s="174">
        <v>18900</v>
      </c>
      <c r="D951" s="174">
        <v>18900</v>
      </c>
      <c r="E951" s="174">
        <v>0</v>
      </c>
      <c r="G951" s="174">
        <f t="shared" si="14"/>
        <v>0</v>
      </c>
      <c r="H951" s="174" t="s">
        <v>80</v>
      </c>
    </row>
    <row r="952" spans="1:8">
      <c r="A952" s="174" t="s">
        <v>831</v>
      </c>
      <c r="B952" s="174">
        <v>-16520</v>
      </c>
      <c r="C952" s="174">
        <v>0</v>
      </c>
      <c r="D952" s="174">
        <v>0</v>
      </c>
      <c r="E952" s="174">
        <v>-16520</v>
      </c>
      <c r="G952" s="174">
        <f t="shared" si="14"/>
        <v>-16520</v>
      </c>
      <c r="H952" s="174" t="s">
        <v>80</v>
      </c>
    </row>
    <row r="953" spans="1:8">
      <c r="A953" s="174" t="s">
        <v>832</v>
      </c>
      <c r="B953" s="174">
        <v>16834618.210000001</v>
      </c>
      <c r="C953" s="174">
        <v>0</v>
      </c>
      <c r="D953" s="174">
        <v>0</v>
      </c>
      <c r="E953" s="174">
        <v>16834618.210000001</v>
      </c>
      <c r="G953" s="174">
        <f t="shared" si="14"/>
        <v>16834618.210000001</v>
      </c>
      <c r="H953" s="174" t="s">
        <v>80</v>
      </c>
    </row>
    <row r="954" spans="1:8">
      <c r="A954" s="174" t="s">
        <v>235</v>
      </c>
      <c r="B954" s="174">
        <v>-17148820.5</v>
      </c>
      <c r="C954" s="174">
        <v>0</v>
      </c>
      <c r="D954" s="174">
        <v>0</v>
      </c>
      <c r="E954" s="174">
        <v>-17148820.5</v>
      </c>
      <c r="G954" s="174">
        <f t="shared" si="14"/>
        <v>-17148820.5</v>
      </c>
      <c r="H954" s="174" t="s">
        <v>80</v>
      </c>
    </row>
    <row r="955" spans="1:8">
      <c r="A955" s="174" t="s">
        <v>234</v>
      </c>
      <c r="B955" s="174">
        <v>137982122.58000001</v>
      </c>
      <c r="C955" s="174">
        <v>1914024.28</v>
      </c>
      <c r="D955" s="174">
        <v>0</v>
      </c>
      <c r="E955" s="174">
        <v>139896146.86000001</v>
      </c>
      <c r="G955" s="174">
        <f t="shared" si="14"/>
        <v>139896146.86000001</v>
      </c>
      <c r="H955" s="174" t="s">
        <v>80</v>
      </c>
    </row>
    <row r="956" spans="1:8">
      <c r="A956" s="174" t="s">
        <v>833</v>
      </c>
      <c r="B956" s="174">
        <v>-34650</v>
      </c>
      <c r="C956" s="174">
        <v>143650</v>
      </c>
      <c r="D956" s="174">
        <v>109000</v>
      </c>
      <c r="E956" s="174">
        <v>0</v>
      </c>
      <c r="G956" s="174">
        <f t="shared" si="14"/>
        <v>0</v>
      </c>
      <c r="H956" s="174" t="s">
        <v>80</v>
      </c>
    </row>
    <row r="957" spans="1:8">
      <c r="A957" s="174" t="s">
        <v>834</v>
      </c>
      <c r="B957" s="174">
        <v>-43641</v>
      </c>
      <c r="C957" s="174">
        <v>632600.66</v>
      </c>
      <c r="D957" s="174">
        <v>629580</v>
      </c>
      <c r="E957" s="174">
        <v>-40620.339999999997</v>
      </c>
      <c r="G957" s="174">
        <f t="shared" si="14"/>
        <v>-40620.339999999997</v>
      </c>
      <c r="H957" s="174" t="s">
        <v>80</v>
      </c>
    </row>
    <row r="958" spans="1:8">
      <c r="A958" s="174" t="s">
        <v>835</v>
      </c>
      <c r="B958" s="174">
        <v>-1782</v>
      </c>
      <c r="C958" s="174">
        <v>1782</v>
      </c>
      <c r="D958" s="174">
        <v>0</v>
      </c>
      <c r="E958" s="174">
        <v>0</v>
      </c>
      <c r="G958" s="174">
        <f t="shared" si="14"/>
        <v>0</v>
      </c>
      <c r="H958" s="174" t="s">
        <v>80</v>
      </c>
    </row>
    <row r="959" spans="1:8">
      <c r="A959" s="174" t="s">
        <v>836</v>
      </c>
      <c r="B959" s="174">
        <v>0.44</v>
      </c>
      <c r="C959" s="174">
        <v>96422</v>
      </c>
      <c r="D959" s="174">
        <v>120441</v>
      </c>
      <c r="E959" s="174">
        <v>-24018.560000000001</v>
      </c>
      <c r="G959" s="174">
        <f t="shared" si="14"/>
        <v>-24018.560000000001</v>
      </c>
      <c r="H959" s="174" t="s">
        <v>80</v>
      </c>
    </row>
    <row r="960" spans="1:8">
      <c r="A960" s="174" t="s">
        <v>1261</v>
      </c>
      <c r="B960" s="174">
        <v>0</v>
      </c>
      <c r="C960" s="174">
        <v>0</v>
      </c>
      <c r="D960" s="174">
        <v>0</v>
      </c>
      <c r="E960" s="174">
        <v>0</v>
      </c>
      <c r="G960" s="174">
        <f t="shared" si="14"/>
        <v>0</v>
      </c>
      <c r="H960" s="174" t="s">
        <v>80</v>
      </c>
    </row>
    <row r="961" spans="1:8">
      <c r="A961" s="174" t="s">
        <v>837</v>
      </c>
      <c r="B961" s="174">
        <v>3846</v>
      </c>
      <c r="C961" s="174">
        <v>459664</v>
      </c>
      <c r="D961" s="174">
        <v>463510</v>
      </c>
      <c r="E961" s="174">
        <v>0</v>
      </c>
      <c r="G961" s="174">
        <f t="shared" si="14"/>
        <v>0</v>
      </c>
      <c r="H961" s="174" t="s">
        <v>80</v>
      </c>
    </row>
    <row r="962" spans="1:8">
      <c r="A962" s="174" t="s">
        <v>838</v>
      </c>
      <c r="B962" s="174">
        <v>-0.28000000000000003</v>
      </c>
      <c r="C962" s="174">
        <v>0</v>
      </c>
      <c r="D962" s="174">
        <v>0</v>
      </c>
      <c r="E962" s="174">
        <v>-0.28000000000000003</v>
      </c>
      <c r="G962" s="174">
        <f t="shared" si="14"/>
        <v>-0.28000000000000003</v>
      </c>
      <c r="H962" s="174" t="s">
        <v>80</v>
      </c>
    </row>
    <row r="963" spans="1:8">
      <c r="A963" s="174" t="s">
        <v>1482</v>
      </c>
      <c r="B963" s="174">
        <v>0</v>
      </c>
      <c r="C963" s="174">
        <v>87000</v>
      </c>
      <c r="D963" s="174">
        <v>87000</v>
      </c>
      <c r="E963" s="174">
        <v>0</v>
      </c>
      <c r="G963" s="174">
        <f t="shared" ref="G963:G1026" si="15">E963+F963</f>
        <v>0</v>
      </c>
      <c r="H963" s="174" t="s">
        <v>80</v>
      </c>
    </row>
    <row r="964" spans="1:8">
      <c r="A964" s="174" t="s">
        <v>1587</v>
      </c>
      <c r="B964" s="174">
        <v>0</v>
      </c>
      <c r="C964" s="174">
        <v>2000.02</v>
      </c>
      <c r="D964" s="174">
        <v>2000</v>
      </c>
      <c r="E964" s="174">
        <v>0.02</v>
      </c>
      <c r="G964" s="174">
        <f t="shared" si="15"/>
        <v>0.02</v>
      </c>
      <c r="H964" s="174" t="s">
        <v>80</v>
      </c>
    </row>
    <row r="965" spans="1:8">
      <c r="A965" s="174" t="s">
        <v>1262</v>
      </c>
      <c r="B965" s="174">
        <v>0</v>
      </c>
      <c r="C965" s="174">
        <v>0</v>
      </c>
      <c r="D965" s="174">
        <v>0</v>
      </c>
      <c r="E965" s="174">
        <v>0</v>
      </c>
      <c r="G965" s="174">
        <f t="shared" si="15"/>
        <v>0</v>
      </c>
      <c r="H965" s="174" t="s">
        <v>80</v>
      </c>
    </row>
    <row r="966" spans="1:8">
      <c r="A966" s="174" t="s">
        <v>839</v>
      </c>
      <c r="B966" s="174">
        <v>-136.63</v>
      </c>
      <c r="C966" s="174">
        <v>0</v>
      </c>
      <c r="D966" s="174">
        <v>0</v>
      </c>
      <c r="E966" s="174">
        <v>-136.63</v>
      </c>
      <c r="G966" s="174">
        <f t="shared" si="15"/>
        <v>-136.63</v>
      </c>
      <c r="H966" s="174" t="s">
        <v>80</v>
      </c>
    </row>
    <row r="967" spans="1:8">
      <c r="A967" s="174" t="s">
        <v>1483</v>
      </c>
      <c r="B967" s="174">
        <v>0</v>
      </c>
      <c r="C967" s="174">
        <v>0</v>
      </c>
      <c r="D967" s="174">
        <v>0</v>
      </c>
      <c r="E967" s="174">
        <v>0</v>
      </c>
      <c r="G967" s="174">
        <f t="shared" si="15"/>
        <v>0</v>
      </c>
      <c r="H967" s="174" t="s">
        <v>80</v>
      </c>
    </row>
    <row r="968" spans="1:8">
      <c r="A968" s="174" t="s">
        <v>224</v>
      </c>
      <c r="B968" s="174">
        <v>-21780</v>
      </c>
      <c r="C968" s="174">
        <v>0</v>
      </c>
      <c r="D968" s="174">
        <v>0</v>
      </c>
      <c r="E968" s="174">
        <v>-21780</v>
      </c>
      <c r="G968" s="174">
        <f t="shared" si="15"/>
        <v>-21780</v>
      </c>
      <c r="H968" s="174" t="s">
        <v>80</v>
      </c>
    </row>
    <row r="969" spans="1:8">
      <c r="A969" s="174" t="s">
        <v>1263</v>
      </c>
      <c r="B969" s="174">
        <v>0</v>
      </c>
      <c r="C969" s="174">
        <v>0</v>
      </c>
      <c r="D969" s="174">
        <v>0</v>
      </c>
      <c r="E969" s="174">
        <v>0</v>
      </c>
      <c r="G969" s="174">
        <f t="shared" si="15"/>
        <v>0</v>
      </c>
      <c r="H969" s="174" t="s">
        <v>80</v>
      </c>
    </row>
    <row r="970" spans="1:8">
      <c r="A970" s="174" t="s">
        <v>840</v>
      </c>
      <c r="B970" s="174">
        <v>1620</v>
      </c>
      <c r="C970" s="174">
        <v>0</v>
      </c>
      <c r="D970" s="174">
        <v>0</v>
      </c>
      <c r="E970" s="174">
        <v>1620</v>
      </c>
      <c r="G970" s="174">
        <f t="shared" si="15"/>
        <v>1620</v>
      </c>
      <c r="H970" s="174" t="s">
        <v>80</v>
      </c>
    </row>
    <row r="971" spans="1:8">
      <c r="A971" s="174" t="s">
        <v>841</v>
      </c>
      <c r="B971" s="174">
        <v>0</v>
      </c>
      <c r="C971" s="174">
        <v>119000</v>
      </c>
      <c r="D971" s="174">
        <v>118000</v>
      </c>
      <c r="E971" s="174">
        <v>1000</v>
      </c>
      <c r="G971" s="174">
        <f t="shared" si="15"/>
        <v>1000</v>
      </c>
      <c r="H971" s="174" t="s">
        <v>80</v>
      </c>
    </row>
    <row r="972" spans="1:8">
      <c r="A972" s="174" t="s">
        <v>222</v>
      </c>
      <c r="B972" s="174">
        <v>-517434.81</v>
      </c>
      <c r="C972" s="174">
        <v>1246480.6000000001</v>
      </c>
      <c r="D972" s="174">
        <v>1243692.6000000001</v>
      </c>
      <c r="E972" s="174">
        <v>-514646.81</v>
      </c>
      <c r="G972" s="174">
        <f t="shared" si="15"/>
        <v>-514646.81</v>
      </c>
      <c r="H972" s="174" t="s">
        <v>80</v>
      </c>
    </row>
    <row r="973" spans="1:8">
      <c r="A973" s="174" t="s">
        <v>1264</v>
      </c>
      <c r="B973" s="174">
        <v>0</v>
      </c>
      <c r="C973" s="174">
        <v>111065</v>
      </c>
      <c r="D973" s="174">
        <v>111065</v>
      </c>
      <c r="E973" s="174">
        <v>0</v>
      </c>
      <c r="G973" s="174">
        <f t="shared" si="15"/>
        <v>0</v>
      </c>
      <c r="H973" s="174" t="s">
        <v>80</v>
      </c>
    </row>
    <row r="974" spans="1:8">
      <c r="A974" s="174" t="s">
        <v>842</v>
      </c>
      <c r="B974" s="174">
        <v>1491</v>
      </c>
      <c r="C974" s="174">
        <v>463266</v>
      </c>
      <c r="D974" s="174">
        <v>464757</v>
      </c>
      <c r="E974" s="174">
        <v>0</v>
      </c>
      <c r="G974" s="174">
        <f t="shared" si="15"/>
        <v>0</v>
      </c>
      <c r="H974" s="174" t="s">
        <v>80</v>
      </c>
    </row>
    <row r="975" spans="1:8">
      <c r="A975" s="174" t="s">
        <v>843</v>
      </c>
      <c r="B975" s="174">
        <v>0</v>
      </c>
      <c r="C975" s="174">
        <v>44722</v>
      </c>
      <c r="D975" s="174">
        <v>44722</v>
      </c>
      <c r="E975" s="174">
        <v>0</v>
      </c>
      <c r="G975" s="174">
        <f t="shared" si="15"/>
        <v>0</v>
      </c>
      <c r="H975" s="174" t="s">
        <v>80</v>
      </c>
    </row>
    <row r="976" spans="1:8">
      <c r="A976" s="174" t="s">
        <v>844</v>
      </c>
      <c r="B976" s="174">
        <v>-0.86</v>
      </c>
      <c r="C976" s="174">
        <v>0</v>
      </c>
      <c r="D976" s="174">
        <v>0</v>
      </c>
      <c r="E976" s="174">
        <v>-0.86</v>
      </c>
      <c r="G976" s="174">
        <f t="shared" si="15"/>
        <v>-0.86</v>
      </c>
      <c r="H976" s="174" t="s">
        <v>80</v>
      </c>
    </row>
    <row r="977" spans="1:8">
      <c r="A977" s="174" t="s">
        <v>845</v>
      </c>
      <c r="B977" s="174">
        <v>-400</v>
      </c>
      <c r="C977" s="174">
        <v>0</v>
      </c>
      <c r="D977" s="174">
        <v>0</v>
      </c>
      <c r="E977" s="174">
        <v>-400</v>
      </c>
      <c r="G977" s="174">
        <f t="shared" si="15"/>
        <v>-400</v>
      </c>
      <c r="H977" s="174" t="s">
        <v>80</v>
      </c>
    </row>
    <row r="978" spans="1:8">
      <c r="A978" s="174" t="s">
        <v>485</v>
      </c>
      <c r="B978" s="174">
        <v>-31784</v>
      </c>
      <c r="C978" s="174">
        <v>14750</v>
      </c>
      <c r="D978" s="174">
        <v>17700</v>
      </c>
      <c r="E978" s="174">
        <v>-34734</v>
      </c>
      <c r="G978" s="174">
        <f t="shared" si="15"/>
        <v>-34734</v>
      </c>
      <c r="H978" s="174" t="s">
        <v>80</v>
      </c>
    </row>
    <row r="979" spans="1:8">
      <c r="A979" s="174" t="s">
        <v>846</v>
      </c>
      <c r="B979" s="174">
        <v>13933</v>
      </c>
      <c r="C979" s="174">
        <v>0</v>
      </c>
      <c r="D979" s="174">
        <v>0</v>
      </c>
      <c r="E979" s="174">
        <v>13933</v>
      </c>
      <c r="G979" s="174">
        <f t="shared" si="15"/>
        <v>13933</v>
      </c>
      <c r="H979" s="174" t="s">
        <v>80</v>
      </c>
    </row>
    <row r="980" spans="1:8">
      <c r="A980" s="174" t="s">
        <v>1266</v>
      </c>
      <c r="B980" s="174">
        <v>0</v>
      </c>
      <c r="C980" s="174">
        <v>0</v>
      </c>
      <c r="D980" s="174">
        <v>0</v>
      </c>
      <c r="E980" s="174">
        <v>0</v>
      </c>
      <c r="G980" s="174">
        <f t="shared" si="15"/>
        <v>0</v>
      </c>
      <c r="H980" s="174" t="s">
        <v>80</v>
      </c>
    </row>
    <row r="981" spans="1:8">
      <c r="A981" s="174" t="s">
        <v>1420</v>
      </c>
      <c r="B981" s="174">
        <v>0</v>
      </c>
      <c r="C981" s="174">
        <v>0</v>
      </c>
      <c r="D981" s="174">
        <v>0</v>
      </c>
      <c r="E981" s="174">
        <v>0</v>
      </c>
      <c r="G981" s="174">
        <f t="shared" si="15"/>
        <v>0</v>
      </c>
      <c r="H981" s="174" t="s">
        <v>80</v>
      </c>
    </row>
    <row r="982" spans="1:8">
      <c r="A982" s="174" t="s">
        <v>1268</v>
      </c>
      <c r="B982" s="174">
        <v>0</v>
      </c>
      <c r="C982" s="174">
        <v>17700</v>
      </c>
      <c r="D982" s="174">
        <v>17700</v>
      </c>
      <c r="E982" s="174">
        <v>0</v>
      </c>
      <c r="G982" s="174">
        <f t="shared" si="15"/>
        <v>0</v>
      </c>
      <c r="H982" s="174" t="s">
        <v>80</v>
      </c>
    </row>
    <row r="983" spans="1:8">
      <c r="A983" s="174" t="s">
        <v>1269</v>
      </c>
      <c r="B983" s="174">
        <v>0</v>
      </c>
      <c r="C983" s="174">
        <v>0</v>
      </c>
      <c r="D983" s="174">
        <v>0</v>
      </c>
      <c r="E983" s="174">
        <v>0</v>
      </c>
      <c r="G983" s="174">
        <f t="shared" si="15"/>
        <v>0</v>
      </c>
      <c r="H983" s="174" t="s">
        <v>80</v>
      </c>
    </row>
    <row r="984" spans="1:8">
      <c r="A984" s="174" t="s">
        <v>847</v>
      </c>
      <c r="B984" s="174">
        <v>345500</v>
      </c>
      <c r="C984" s="174">
        <v>0</v>
      </c>
      <c r="D984" s="174">
        <v>0</v>
      </c>
      <c r="E984" s="174">
        <v>345500</v>
      </c>
      <c r="G984" s="174">
        <f t="shared" si="15"/>
        <v>345500</v>
      </c>
      <c r="H984" s="174" t="s">
        <v>80</v>
      </c>
    </row>
    <row r="985" spans="1:8">
      <c r="A985" s="174" t="s">
        <v>848</v>
      </c>
      <c r="B985" s="174">
        <v>-2.2599999999999998</v>
      </c>
      <c r="C985" s="174">
        <v>0</v>
      </c>
      <c r="D985" s="174">
        <v>0</v>
      </c>
      <c r="E985" s="174">
        <v>-2.2599999999999998</v>
      </c>
      <c r="G985" s="174">
        <f t="shared" si="15"/>
        <v>-2.2599999999999998</v>
      </c>
      <c r="H985" s="174" t="s">
        <v>80</v>
      </c>
    </row>
    <row r="986" spans="1:8">
      <c r="A986" s="174" t="s">
        <v>1270</v>
      </c>
      <c r="B986" s="174">
        <v>0</v>
      </c>
      <c r="C986" s="174">
        <v>0</v>
      </c>
      <c r="D986" s="174">
        <v>0</v>
      </c>
      <c r="E986" s="174">
        <v>0</v>
      </c>
      <c r="G986" s="174">
        <f t="shared" si="15"/>
        <v>0</v>
      </c>
      <c r="H986" s="174" t="s">
        <v>80</v>
      </c>
    </row>
    <row r="987" spans="1:8">
      <c r="A987" s="174" t="s">
        <v>849</v>
      </c>
      <c r="B987" s="174">
        <v>-236204</v>
      </c>
      <c r="C987" s="174">
        <v>236204</v>
      </c>
      <c r="D987" s="174">
        <v>0</v>
      </c>
      <c r="E987" s="174">
        <v>0</v>
      </c>
      <c r="G987" s="174">
        <f t="shared" si="15"/>
        <v>0</v>
      </c>
      <c r="H987" s="174" t="s">
        <v>80</v>
      </c>
    </row>
    <row r="988" spans="1:8">
      <c r="A988" s="174" t="s">
        <v>1271</v>
      </c>
      <c r="B988" s="174">
        <v>0</v>
      </c>
      <c r="C988" s="174">
        <v>0</v>
      </c>
      <c r="D988" s="174">
        <v>0</v>
      </c>
      <c r="E988" s="174">
        <v>0</v>
      </c>
      <c r="G988" s="174">
        <f t="shared" si="15"/>
        <v>0</v>
      </c>
      <c r="H988" s="174" t="s">
        <v>80</v>
      </c>
    </row>
    <row r="989" spans="1:8">
      <c r="A989" s="174" t="s">
        <v>1588</v>
      </c>
      <c r="B989" s="174">
        <v>0</v>
      </c>
      <c r="C989" s="174">
        <v>16520</v>
      </c>
      <c r="D989" s="174">
        <v>16520</v>
      </c>
      <c r="E989" s="174">
        <v>0</v>
      </c>
      <c r="G989" s="174">
        <f t="shared" si="15"/>
        <v>0</v>
      </c>
      <c r="H989" s="174" t="s">
        <v>80</v>
      </c>
    </row>
    <row r="990" spans="1:8">
      <c r="A990" s="174" t="s">
        <v>433</v>
      </c>
      <c r="B990" s="174">
        <v>-7128</v>
      </c>
      <c r="C990" s="174">
        <v>0</v>
      </c>
      <c r="D990" s="174">
        <v>0</v>
      </c>
      <c r="E990" s="174">
        <v>-7128</v>
      </c>
      <c r="G990" s="174">
        <f t="shared" si="15"/>
        <v>-7128</v>
      </c>
      <c r="H990" s="174" t="s">
        <v>80</v>
      </c>
    </row>
    <row r="991" spans="1:8">
      <c r="A991" s="174" t="s">
        <v>850</v>
      </c>
      <c r="B991" s="174">
        <v>-970</v>
      </c>
      <c r="C991" s="174">
        <v>970</v>
      </c>
      <c r="D991" s="174">
        <v>0</v>
      </c>
      <c r="E991" s="174">
        <v>0</v>
      </c>
      <c r="G991" s="174">
        <f t="shared" si="15"/>
        <v>0</v>
      </c>
      <c r="H991" s="174" t="s">
        <v>80</v>
      </c>
    </row>
    <row r="992" spans="1:8">
      <c r="A992" s="174" t="s">
        <v>851</v>
      </c>
      <c r="B992" s="174">
        <v>384450</v>
      </c>
      <c r="C992" s="174">
        <v>0</v>
      </c>
      <c r="D992" s="174">
        <v>384450</v>
      </c>
      <c r="E992" s="174">
        <v>0</v>
      </c>
      <c r="G992" s="174">
        <f t="shared" si="15"/>
        <v>0</v>
      </c>
      <c r="H992" s="174" t="s">
        <v>80</v>
      </c>
    </row>
    <row r="993" spans="1:8">
      <c r="A993" s="174" t="s">
        <v>852</v>
      </c>
      <c r="B993" s="174">
        <v>-56901.93</v>
      </c>
      <c r="C993" s="174">
        <v>72188</v>
      </c>
      <c r="D993" s="174">
        <v>105529</v>
      </c>
      <c r="E993" s="174">
        <v>-90242.93</v>
      </c>
      <c r="G993" s="174">
        <f t="shared" si="15"/>
        <v>-90242.93</v>
      </c>
      <c r="H993" s="174" t="s">
        <v>80</v>
      </c>
    </row>
    <row r="994" spans="1:8">
      <c r="A994" s="174" t="s">
        <v>394</v>
      </c>
      <c r="B994" s="174">
        <v>0</v>
      </c>
      <c r="C994" s="174">
        <v>18585</v>
      </c>
      <c r="D994" s="174">
        <v>19234</v>
      </c>
      <c r="E994" s="174">
        <v>-649</v>
      </c>
      <c r="G994" s="174">
        <f t="shared" si="15"/>
        <v>-649</v>
      </c>
      <c r="H994" s="174" t="s">
        <v>80</v>
      </c>
    </row>
    <row r="995" spans="1:8">
      <c r="A995" s="174" t="s">
        <v>213</v>
      </c>
      <c r="B995" s="174">
        <v>1443.13</v>
      </c>
      <c r="C995" s="174">
        <v>0</v>
      </c>
      <c r="D995" s="174">
        <v>0</v>
      </c>
      <c r="E995" s="174">
        <v>1443.13</v>
      </c>
      <c r="G995" s="174">
        <f t="shared" si="15"/>
        <v>1443.13</v>
      </c>
      <c r="H995" s="174" t="s">
        <v>80</v>
      </c>
    </row>
    <row r="996" spans="1:8">
      <c r="A996" s="174" t="s">
        <v>212</v>
      </c>
      <c r="B996" s="174">
        <v>-10701996.76</v>
      </c>
      <c r="C996" s="174">
        <v>1428000</v>
      </c>
      <c r="D996" s="174">
        <v>708000</v>
      </c>
      <c r="E996" s="174">
        <v>-9981996.7599999998</v>
      </c>
      <c r="G996" s="174">
        <f t="shared" si="15"/>
        <v>-9981996.7599999998</v>
      </c>
      <c r="H996" s="174" t="s">
        <v>80</v>
      </c>
    </row>
    <row r="997" spans="1:8">
      <c r="A997" s="174" t="s">
        <v>210</v>
      </c>
      <c r="B997" s="174">
        <v>-15232000</v>
      </c>
      <c r="C997" s="174">
        <v>634150049</v>
      </c>
      <c r="D997" s="174">
        <v>487975709.06</v>
      </c>
      <c r="E997" s="174">
        <v>130942339.94</v>
      </c>
      <c r="G997" s="174">
        <f t="shared" si="15"/>
        <v>130942339.94</v>
      </c>
      <c r="H997" s="174" t="s">
        <v>80</v>
      </c>
    </row>
    <row r="998" spans="1:8">
      <c r="A998" s="174" t="s">
        <v>853</v>
      </c>
      <c r="B998" s="174">
        <v>65324336.740000002</v>
      </c>
      <c r="C998" s="174">
        <v>241745</v>
      </c>
      <c r="D998" s="174">
        <v>127559783.69</v>
      </c>
      <c r="E998" s="174">
        <v>-61993701.950000003</v>
      </c>
      <c r="G998" s="174">
        <f t="shared" si="15"/>
        <v>-61993701.950000003</v>
      </c>
      <c r="H998" s="174" t="s">
        <v>80</v>
      </c>
    </row>
    <row r="999" spans="1:8">
      <c r="A999" s="174" t="s">
        <v>209</v>
      </c>
      <c r="B999" s="174">
        <v>-800893.59</v>
      </c>
      <c r="C999" s="174">
        <v>0</v>
      </c>
      <c r="D999" s="174">
        <v>0</v>
      </c>
      <c r="E999" s="174">
        <v>-800893.59</v>
      </c>
      <c r="G999" s="174">
        <f t="shared" si="15"/>
        <v>-800893.59</v>
      </c>
      <c r="H999" s="174" t="s">
        <v>80</v>
      </c>
    </row>
    <row r="1000" spans="1:8">
      <c r="A1000" s="174" t="s">
        <v>1272</v>
      </c>
      <c r="B1000" s="174">
        <v>0</v>
      </c>
      <c r="C1000" s="174">
        <v>0</v>
      </c>
      <c r="D1000" s="174">
        <v>0</v>
      </c>
      <c r="E1000" s="174">
        <v>0</v>
      </c>
      <c r="G1000" s="174">
        <f t="shared" si="15"/>
        <v>0</v>
      </c>
      <c r="H1000" s="174" t="s">
        <v>80</v>
      </c>
    </row>
    <row r="1001" spans="1:8">
      <c r="A1001" s="174" t="s">
        <v>208</v>
      </c>
      <c r="B1001" s="174">
        <v>50181786.509999998</v>
      </c>
      <c r="C1001" s="174">
        <v>534315</v>
      </c>
      <c r="D1001" s="174">
        <v>63798441.159999996</v>
      </c>
      <c r="E1001" s="174">
        <v>-13082339.65</v>
      </c>
      <c r="G1001" s="174">
        <f t="shared" si="15"/>
        <v>-13082339.65</v>
      </c>
      <c r="H1001" s="174" t="s">
        <v>80</v>
      </c>
    </row>
    <row r="1002" spans="1:8">
      <c r="A1002" s="174" t="s">
        <v>1273</v>
      </c>
      <c r="B1002" s="174">
        <v>0</v>
      </c>
      <c r="C1002" s="174">
        <v>0</v>
      </c>
      <c r="D1002" s="174">
        <v>0</v>
      </c>
      <c r="E1002" s="174">
        <v>0</v>
      </c>
      <c r="G1002" s="174">
        <f t="shared" si="15"/>
        <v>0</v>
      </c>
      <c r="H1002" s="174" t="s">
        <v>80</v>
      </c>
    </row>
    <row r="1003" spans="1:8">
      <c r="A1003" s="174" t="s">
        <v>854</v>
      </c>
      <c r="B1003" s="174">
        <v>44417.64</v>
      </c>
      <c r="C1003" s="174">
        <v>0</v>
      </c>
      <c r="D1003" s="174">
        <v>4862</v>
      </c>
      <c r="E1003" s="174">
        <v>39555.64</v>
      </c>
      <c r="G1003" s="174">
        <f t="shared" si="15"/>
        <v>39555.64</v>
      </c>
      <c r="H1003" s="174" t="s">
        <v>80</v>
      </c>
    </row>
    <row r="1004" spans="1:8">
      <c r="A1004" s="174" t="s">
        <v>1274</v>
      </c>
      <c r="B1004" s="174">
        <v>0</v>
      </c>
      <c r="C1004" s="174">
        <v>0</v>
      </c>
      <c r="D1004" s="174">
        <v>0</v>
      </c>
      <c r="E1004" s="174">
        <v>0</v>
      </c>
      <c r="G1004" s="174">
        <f t="shared" si="15"/>
        <v>0</v>
      </c>
      <c r="H1004" s="174" t="s">
        <v>80</v>
      </c>
    </row>
    <row r="1005" spans="1:8">
      <c r="A1005" s="174" t="s">
        <v>855</v>
      </c>
      <c r="B1005" s="174">
        <v>-1415.11</v>
      </c>
      <c r="C1005" s="174">
        <v>1415.11</v>
      </c>
      <c r="D1005" s="174">
        <v>0</v>
      </c>
      <c r="E1005" s="174">
        <v>0</v>
      </c>
      <c r="G1005" s="174">
        <f t="shared" si="15"/>
        <v>0</v>
      </c>
      <c r="H1005" s="174" t="s">
        <v>80</v>
      </c>
    </row>
    <row r="1006" spans="1:8">
      <c r="A1006" s="174" t="s">
        <v>1275</v>
      </c>
      <c r="B1006" s="174">
        <v>0</v>
      </c>
      <c r="C1006" s="174">
        <v>0</v>
      </c>
      <c r="D1006" s="174">
        <v>0</v>
      </c>
      <c r="E1006" s="174">
        <v>0</v>
      </c>
      <c r="G1006" s="174">
        <f t="shared" si="15"/>
        <v>0</v>
      </c>
      <c r="H1006" s="174" t="s">
        <v>80</v>
      </c>
    </row>
    <row r="1007" spans="1:8">
      <c r="A1007" s="174" t="s">
        <v>486</v>
      </c>
      <c r="B1007" s="174">
        <v>25960</v>
      </c>
      <c r="C1007" s="174">
        <v>0</v>
      </c>
      <c r="D1007" s="174">
        <v>25960</v>
      </c>
      <c r="E1007" s="174">
        <v>0</v>
      </c>
      <c r="G1007" s="174">
        <f t="shared" si="15"/>
        <v>0</v>
      </c>
      <c r="H1007" s="174" t="s">
        <v>80</v>
      </c>
    </row>
    <row r="1008" spans="1:8">
      <c r="A1008" s="174" t="s">
        <v>1484</v>
      </c>
      <c r="B1008" s="174">
        <v>0</v>
      </c>
      <c r="C1008" s="174">
        <v>791</v>
      </c>
      <c r="D1008" s="174">
        <v>791</v>
      </c>
      <c r="E1008" s="174">
        <v>0</v>
      </c>
      <c r="G1008" s="174">
        <f t="shared" si="15"/>
        <v>0</v>
      </c>
      <c r="H1008" s="174" t="s">
        <v>80</v>
      </c>
    </row>
    <row r="1009" spans="1:8">
      <c r="A1009" s="174" t="s">
        <v>1276</v>
      </c>
      <c r="B1009" s="174">
        <v>0</v>
      </c>
      <c r="C1009" s="174">
        <v>0</v>
      </c>
      <c r="D1009" s="174">
        <v>0</v>
      </c>
      <c r="E1009" s="174">
        <v>0</v>
      </c>
      <c r="G1009" s="174">
        <f t="shared" si="15"/>
        <v>0</v>
      </c>
      <c r="H1009" s="174" t="s">
        <v>80</v>
      </c>
    </row>
    <row r="1010" spans="1:8">
      <c r="A1010" s="174" t="s">
        <v>197</v>
      </c>
      <c r="B1010" s="174">
        <v>-43913.23</v>
      </c>
      <c r="C1010" s="174">
        <v>43913</v>
      </c>
      <c r="D1010" s="174">
        <v>0</v>
      </c>
      <c r="E1010" s="174">
        <v>-0.23</v>
      </c>
      <c r="G1010" s="174">
        <f t="shared" si="15"/>
        <v>-0.23</v>
      </c>
      <c r="H1010" s="174" t="s">
        <v>80</v>
      </c>
    </row>
    <row r="1011" spans="1:8">
      <c r="A1011" s="174" t="s">
        <v>1423</v>
      </c>
      <c r="B1011" s="174">
        <v>0</v>
      </c>
      <c r="C1011" s="174">
        <v>199666</v>
      </c>
      <c r="D1011" s="174">
        <v>149666</v>
      </c>
      <c r="E1011" s="174">
        <v>50000</v>
      </c>
      <c r="G1011" s="174">
        <f t="shared" si="15"/>
        <v>50000</v>
      </c>
      <c r="H1011" s="174" t="s">
        <v>80</v>
      </c>
    </row>
    <row r="1012" spans="1:8">
      <c r="A1012" s="174" t="s">
        <v>856</v>
      </c>
      <c r="B1012" s="174">
        <v>2400</v>
      </c>
      <c r="C1012" s="174">
        <v>0</v>
      </c>
      <c r="D1012" s="174">
        <v>0</v>
      </c>
      <c r="E1012" s="174">
        <v>2400</v>
      </c>
      <c r="G1012" s="174">
        <f t="shared" si="15"/>
        <v>2400</v>
      </c>
      <c r="H1012" s="174" t="s">
        <v>80</v>
      </c>
    </row>
    <row r="1013" spans="1:8">
      <c r="A1013" s="174" t="s">
        <v>857</v>
      </c>
      <c r="B1013" s="174">
        <v>0</v>
      </c>
      <c r="C1013" s="174">
        <v>41899</v>
      </c>
      <c r="D1013" s="174">
        <v>41899</v>
      </c>
      <c r="E1013" s="174">
        <v>0</v>
      </c>
      <c r="G1013" s="174">
        <f t="shared" si="15"/>
        <v>0</v>
      </c>
      <c r="H1013" s="174" t="s">
        <v>80</v>
      </c>
    </row>
    <row r="1014" spans="1:8">
      <c r="A1014" s="174" t="s">
        <v>193</v>
      </c>
      <c r="B1014" s="174">
        <v>-0.34</v>
      </c>
      <c r="C1014" s="174">
        <v>0</v>
      </c>
      <c r="D1014" s="174">
        <v>0</v>
      </c>
      <c r="E1014" s="174">
        <v>-0.34</v>
      </c>
      <c r="G1014" s="174">
        <f t="shared" si="15"/>
        <v>-0.34</v>
      </c>
      <c r="H1014" s="174" t="s">
        <v>80</v>
      </c>
    </row>
    <row r="1015" spans="1:8">
      <c r="A1015" s="174" t="s">
        <v>1485</v>
      </c>
      <c r="B1015" s="174">
        <v>0</v>
      </c>
      <c r="C1015" s="174">
        <v>47291.32</v>
      </c>
      <c r="D1015" s="174">
        <v>47525</v>
      </c>
      <c r="E1015" s="174">
        <v>-233.68</v>
      </c>
      <c r="G1015" s="174">
        <f t="shared" si="15"/>
        <v>-233.68</v>
      </c>
      <c r="H1015" s="174" t="s">
        <v>80</v>
      </c>
    </row>
    <row r="1016" spans="1:8">
      <c r="A1016" s="174" t="s">
        <v>1277</v>
      </c>
      <c r="B1016" s="174">
        <v>0</v>
      </c>
      <c r="C1016" s="174">
        <v>0</v>
      </c>
      <c r="D1016" s="174">
        <v>215323</v>
      </c>
      <c r="E1016" s="174">
        <v>-215323</v>
      </c>
      <c r="G1016" s="174">
        <f t="shared" si="15"/>
        <v>-215323</v>
      </c>
      <c r="H1016" s="174" t="s">
        <v>80</v>
      </c>
    </row>
    <row r="1017" spans="1:8">
      <c r="A1017" s="174" t="s">
        <v>1278</v>
      </c>
      <c r="B1017" s="174">
        <v>0</v>
      </c>
      <c r="C1017" s="174">
        <v>100000</v>
      </c>
      <c r="D1017" s="174">
        <v>0</v>
      </c>
      <c r="E1017" s="174">
        <v>100000</v>
      </c>
      <c r="G1017" s="174">
        <f t="shared" si="15"/>
        <v>100000</v>
      </c>
      <c r="H1017" s="174" t="s">
        <v>80</v>
      </c>
    </row>
    <row r="1018" spans="1:8">
      <c r="A1018" s="174" t="s">
        <v>1486</v>
      </c>
      <c r="B1018" s="174">
        <v>0</v>
      </c>
      <c r="C1018" s="174">
        <v>30798</v>
      </c>
      <c r="D1018" s="174">
        <v>30798</v>
      </c>
      <c r="E1018" s="174">
        <v>0</v>
      </c>
      <c r="G1018" s="174">
        <f t="shared" si="15"/>
        <v>0</v>
      </c>
      <c r="H1018" s="174" t="s">
        <v>80</v>
      </c>
    </row>
    <row r="1019" spans="1:8">
      <c r="A1019" s="174" t="s">
        <v>858</v>
      </c>
      <c r="B1019" s="174">
        <v>-12949</v>
      </c>
      <c r="C1019" s="174">
        <v>72415</v>
      </c>
      <c r="D1019" s="174">
        <v>59466</v>
      </c>
      <c r="E1019" s="174">
        <v>0</v>
      </c>
      <c r="G1019" s="174">
        <f t="shared" si="15"/>
        <v>0</v>
      </c>
      <c r="H1019" s="174" t="s">
        <v>80</v>
      </c>
    </row>
    <row r="1020" spans="1:8">
      <c r="A1020" s="174" t="s">
        <v>859</v>
      </c>
      <c r="B1020" s="174">
        <v>0</v>
      </c>
      <c r="C1020" s="174">
        <v>9086</v>
      </c>
      <c r="D1020" s="174">
        <v>9086</v>
      </c>
      <c r="E1020" s="174">
        <v>0</v>
      </c>
      <c r="G1020" s="174">
        <f t="shared" si="15"/>
        <v>0</v>
      </c>
      <c r="H1020" s="174" t="s">
        <v>80</v>
      </c>
    </row>
    <row r="1021" spans="1:8">
      <c r="A1021" s="174" t="s">
        <v>1279</v>
      </c>
      <c r="B1021" s="174">
        <v>0</v>
      </c>
      <c r="C1021" s="174">
        <v>0</v>
      </c>
      <c r="D1021" s="174">
        <v>0</v>
      </c>
      <c r="E1021" s="174">
        <v>0</v>
      </c>
      <c r="G1021" s="174">
        <f t="shared" si="15"/>
        <v>0</v>
      </c>
      <c r="H1021" s="174" t="s">
        <v>80</v>
      </c>
    </row>
    <row r="1022" spans="1:8">
      <c r="A1022" s="174" t="s">
        <v>438</v>
      </c>
      <c r="B1022" s="174">
        <v>-4725</v>
      </c>
      <c r="C1022" s="174">
        <v>0</v>
      </c>
      <c r="D1022" s="174">
        <v>0</v>
      </c>
      <c r="E1022" s="174">
        <v>-4725</v>
      </c>
      <c r="G1022" s="174">
        <f t="shared" si="15"/>
        <v>-4725</v>
      </c>
      <c r="H1022" s="174" t="s">
        <v>80</v>
      </c>
    </row>
    <row r="1023" spans="1:8">
      <c r="A1023" s="174" t="s">
        <v>860</v>
      </c>
      <c r="B1023" s="174">
        <v>-2771100.1</v>
      </c>
      <c r="C1023" s="174">
        <v>9236374</v>
      </c>
      <c r="D1023" s="174">
        <v>6504243.3099999996</v>
      </c>
      <c r="E1023" s="174">
        <v>-38969.410000000003</v>
      </c>
      <c r="G1023" s="174">
        <f t="shared" si="15"/>
        <v>-38969.410000000003</v>
      </c>
      <c r="H1023" s="174" t="s">
        <v>80</v>
      </c>
    </row>
    <row r="1024" spans="1:8">
      <c r="A1024" s="174" t="s">
        <v>1280</v>
      </c>
      <c r="B1024" s="174">
        <v>0</v>
      </c>
      <c r="C1024" s="174">
        <v>48380</v>
      </c>
      <c r="D1024" s="174">
        <v>48380</v>
      </c>
      <c r="E1024" s="174">
        <v>0</v>
      </c>
      <c r="G1024" s="174">
        <f t="shared" si="15"/>
        <v>0</v>
      </c>
      <c r="H1024" s="174" t="s">
        <v>80</v>
      </c>
    </row>
    <row r="1025" spans="1:8">
      <c r="A1025" s="174" t="s">
        <v>861</v>
      </c>
      <c r="B1025" s="174">
        <v>-34000</v>
      </c>
      <c r="C1025" s="174">
        <v>136000</v>
      </c>
      <c r="D1025" s="174">
        <v>102000</v>
      </c>
      <c r="E1025" s="174">
        <v>0</v>
      </c>
      <c r="G1025" s="174">
        <f t="shared" si="15"/>
        <v>0</v>
      </c>
      <c r="H1025" s="174" t="s">
        <v>80</v>
      </c>
    </row>
    <row r="1026" spans="1:8">
      <c r="A1026" s="174" t="s">
        <v>1487</v>
      </c>
      <c r="B1026" s="174">
        <v>0</v>
      </c>
      <c r="C1026" s="174">
        <v>30000</v>
      </c>
      <c r="D1026" s="174">
        <v>0</v>
      </c>
      <c r="E1026" s="174">
        <v>30000</v>
      </c>
      <c r="G1026" s="174">
        <f t="shared" si="15"/>
        <v>30000</v>
      </c>
      <c r="H1026" s="174" t="s">
        <v>80</v>
      </c>
    </row>
    <row r="1027" spans="1:8">
      <c r="A1027" s="174" t="s">
        <v>862</v>
      </c>
      <c r="B1027" s="174">
        <v>0</v>
      </c>
      <c r="C1027" s="174">
        <v>32061</v>
      </c>
      <c r="D1027" s="174">
        <v>32061</v>
      </c>
      <c r="E1027" s="174">
        <v>0</v>
      </c>
      <c r="G1027" s="174">
        <f t="shared" ref="G1027:G1090" si="16">E1027+F1027</f>
        <v>0</v>
      </c>
      <c r="H1027" s="174" t="s">
        <v>80</v>
      </c>
    </row>
    <row r="1028" spans="1:8">
      <c r="A1028" s="174" t="s">
        <v>863</v>
      </c>
      <c r="B1028" s="174">
        <v>-24544</v>
      </c>
      <c r="C1028" s="174">
        <v>115229</v>
      </c>
      <c r="D1028" s="174">
        <v>90685.36</v>
      </c>
      <c r="E1028" s="174">
        <v>-0.36</v>
      </c>
      <c r="G1028" s="174">
        <f t="shared" si="16"/>
        <v>-0.36</v>
      </c>
      <c r="H1028" s="174" t="s">
        <v>80</v>
      </c>
    </row>
    <row r="1029" spans="1:8">
      <c r="A1029" s="174" t="s">
        <v>864</v>
      </c>
      <c r="B1029" s="174">
        <v>-0.34</v>
      </c>
      <c r="C1029" s="174">
        <v>0</v>
      </c>
      <c r="D1029" s="174">
        <v>0</v>
      </c>
      <c r="E1029" s="174">
        <v>-0.34</v>
      </c>
      <c r="G1029" s="174">
        <f t="shared" si="16"/>
        <v>-0.34</v>
      </c>
      <c r="H1029" s="174" t="s">
        <v>80</v>
      </c>
    </row>
    <row r="1030" spans="1:8">
      <c r="A1030" s="174" t="s">
        <v>865</v>
      </c>
      <c r="B1030" s="174">
        <v>0</v>
      </c>
      <c r="C1030" s="174">
        <v>62658</v>
      </c>
      <c r="D1030" s="174">
        <v>93220</v>
      </c>
      <c r="E1030" s="174">
        <v>-30562</v>
      </c>
      <c r="G1030" s="174">
        <f t="shared" si="16"/>
        <v>-30562</v>
      </c>
      <c r="H1030" s="174" t="s">
        <v>80</v>
      </c>
    </row>
    <row r="1031" spans="1:8">
      <c r="A1031" s="174" t="s">
        <v>1488</v>
      </c>
      <c r="B1031" s="174">
        <v>0</v>
      </c>
      <c r="C1031" s="174">
        <v>3677</v>
      </c>
      <c r="D1031" s="174">
        <v>3677</v>
      </c>
      <c r="E1031" s="174">
        <v>0</v>
      </c>
      <c r="G1031" s="174">
        <f t="shared" si="16"/>
        <v>0</v>
      </c>
      <c r="H1031" s="174" t="s">
        <v>80</v>
      </c>
    </row>
    <row r="1032" spans="1:8">
      <c r="A1032" s="174" t="s">
        <v>169</v>
      </c>
      <c r="B1032" s="174">
        <v>-77102</v>
      </c>
      <c r="C1032" s="174">
        <v>79348</v>
      </c>
      <c r="D1032" s="174">
        <v>123428</v>
      </c>
      <c r="E1032" s="174">
        <v>-121182</v>
      </c>
      <c r="G1032" s="174">
        <f t="shared" si="16"/>
        <v>-121182</v>
      </c>
      <c r="H1032" s="174" t="s">
        <v>80</v>
      </c>
    </row>
    <row r="1033" spans="1:8">
      <c r="A1033" s="174" t="s">
        <v>866</v>
      </c>
      <c r="B1033" s="174">
        <v>-76080</v>
      </c>
      <c r="C1033" s="174">
        <v>83780</v>
      </c>
      <c r="D1033" s="174">
        <v>0</v>
      </c>
      <c r="E1033" s="174">
        <v>7700</v>
      </c>
      <c r="G1033" s="174">
        <f t="shared" si="16"/>
        <v>7700</v>
      </c>
      <c r="H1033" s="174" t="s">
        <v>80</v>
      </c>
    </row>
    <row r="1034" spans="1:8">
      <c r="A1034" s="174" t="s">
        <v>867</v>
      </c>
      <c r="B1034" s="174">
        <v>-5841.8</v>
      </c>
      <c r="C1034" s="174">
        <v>23640</v>
      </c>
      <c r="D1034" s="174">
        <v>18080</v>
      </c>
      <c r="E1034" s="174">
        <v>-281.8</v>
      </c>
      <c r="G1034" s="174">
        <f t="shared" si="16"/>
        <v>-281.8</v>
      </c>
      <c r="H1034" s="174" t="s">
        <v>80</v>
      </c>
    </row>
    <row r="1035" spans="1:8">
      <c r="A1035" s="174" t="s">
        <v>1282</v>
      </c>
      <c r="B1035" s="174">
        <v>0</v>
      </c>
      <c r="C1035" s="174">
        <v>103840</v>
      </c>
      <c r="D1035" s="174">
        <v>103840</v>
      </c>
      <c r="E1035" s="174">
        <v>0</v>
      </c>
      <c r="G1035" s="174">
        <f t="shared" si="16"/>
        <v>0</v>
      </c>
      <c r="H1035" s="174" t="s">
        <v>80</v>
      </c>
    </row>
    <row r="1036" spans="1:8">
      <c r="A1036" s="174" t="s">
        <v>868</v>
      </c>
      <c r="B1036" s="174">
        <v>-0.46</v>
      </c>
      <c r="C1036" s="174">
        <v>0</v>
      </c>
      <c r="D1036" s="174">
        <v>0</v>
      </c>
      <c r="E1036" s="174">
        <v>-0.46</v>
      </c>
      <c r="G1036" s="174">
        <f t="shared" si="16"/>
        <v>-0.46</v>
      </c>
      <c r="H1036" s="174" t="s">
        <v>80</v>
      </c>
    </row>
    <row r="1037" spans="1:8">
      <c r="A1037" s="174" t="s">
        <v>470</v>
      </c>
      <c r="B1037" s="174">
        <v>-444860</v>
      </c>
      <c r="C1037" s="174">
        <v>623040</v>
      </c>
      <c r="D1037" s="174">
        <v>178180</v>
      </c>
      <c r="E1037" s="174">
        <v>0</v>
      </c>
      <c r="G1037" s="174">
        <f t="shared" si="16"/>
        <v>0</v>
      </c>
      <c r="H1037" s="174" t="s">
        <v>80</v>
      </c>
    </row>
    <row r="1038" spans="1:8">
      <c r="A1038" s="174" t="s">
        <v>869</v>
      </c>
      <c r="B1038" s="174">
        <v>-41849.269999999997</v>
      </c>
      <c r="C1038" s="174">
        <v>182150</v>
      </c>
      <c r="D1038" s="174">
        <v>180867</v>
      </c>
      <c r="E1038" s="174">
        <v>-40566.269999999997</v>
      </c>
      <c r="G1038" s="174">
        <f t="shared" si="16"/>
        <v>-40566.269999999997</v>
      </c>
      <c r="H1038" s="174" t="s">
        <v>80</v>
      </c>
    </row>
    <row r="1039" spans="1:8">
      <c r="A1039" s="174" t="s">
        <v>870</v>
      </c>
      <c r="B1039" s="174">
        <v>0</v>
      </c>
      <c r="C1039" s="174">
        <v>32686</v>
      </c>
      <c r="D1039" s="174">
        <v>32686</v>
      </c>
      <c r="E1039" s="174">
        <v>0</v>
      </c>
      <c r="G1039" s="174">
        <f t="shared" si="16"/>
        <v>0</v>
      </c>
      <c r="H1039" s="174" t="s">
        <v>80</v>
      </c>
    </row>
    <row r="1040" spans="1:8">
      <c r="A1040" s="174" t="s">
        <v>871</v>
      </c>
      <c r="B1040" s="174">
        <v>2520</v>
      </c>
      <c r="C1040" s="174">
        <v>0</v>
      </c>
      <c r="D1040" s="174">
        <v>0</v>
      </c>
      <c r="E1040" s="174">
        <v>2520</v>
      </c>
      <c r="G1040" s="174">
        <f t="shared" si="16"/>
        <v>2520</v>
      </c>
      <c r="H1040" s="174" t="s">
        <v>80</v>
      </c>
    </row>
    <row r="1041" spans="1:8">
      <c r="A1041" s="174" t="s">
        <v>872</v>
      </c>
      <c r="B1041" s="174">
        <v>-3885</v>
      </c>
      <c r="C1041" s="174">
        <v>83759</v>
      </c>
      <c r="D1041" s="174">
        <v>83760</v>
      </c>
      <c r="E1041" s="174">
        <v>-3886</v>
      </c>
      <c r="G1041" s="174">
        <f t="shared" si="16"/>
        <v>-3886</v>
      </c>
      <c r="H1041" s="174" t="s">
        <v>80</v>
      </c>
    </row>
    <row r="1042" spans="1:8">
      <c r="A1042" s="174" t="s">
        <v>1283</v>
      </c>
      <c r="B1042" s="174">
        <v>0</v>
      </c>
      <c r="C1042" s="174">
        <v>36386</v>
      </c>
      <c r="D1042" s="174">
        <v>165714</v>
      </c>
      <c r="E1042" s="174">
        <v>-129328</v>
      </c>
      <c r="G1042" s="174">
        <f t="shared" si="16"/>
        <v>-129328</v>
      </c>
      <c r="H1042" s="174" t="s">
        <v>80</v>
      </c>
    </row>
    <row r="1043" spans="1:8">
      <c r="A1043" s="174" t="s">
        <v>1284</v>
      </c>
      <c r="B1043" s="174">
        <v>0</v>
      </c>
      <c r="C1043" s="174">
        <v>0</v>
      </c>
      <c r="D1043" s="174">
        <v>0</v>
      </c>
      <c r="E1043" s="174">
        <v>0</v>
      </c>
      <c r="G1043" s="174">
        <f t="shared" si="16"/>
        <v>0</v>
      </c>
      <c r="H1043" s="174" t="s">
        <v>80</v>
      </c>
    </row>
    <row r="1044" spans="1:8">
      <c r="A1044" s="174" t="s">
        <v>1489</v>
      </c>
      <c r="B1044" s="174">
        <v>0</v>
      </c>
      <c r="C1044" s="174">
        <v>0</v>
      </c>
      <c r="D1044" s="174">
        <v>0</v>
      </c>
      <c r="E1044" s="174">
        <v>0</v>
      </c>
      <c r="G1044" s="174">
        <f t="shared" si="16"/>
        <v>0</v>
      </c>
      <c r="H1044" s="174" t="s">
        <v>80</v>
      </c>
    </row>
    <row r="1045" spans="1:8">
      <c r="A1045" s="174" t="s">
        <v>873</v>
      </c>
      <c r="B1045" s="174">
        <v>-8191.48</v>
      </c>
      <c r="C1045" s="174">
        <v>22200</v>
      </c>
      <c r="D1045" s="174">
        <v>22200</v>
      </c>
      <c r="E1045" s="174">
        <v>-8191.48</v>
      </c>
      <c r="G1045" s="174">
        <f t="shared" si="16"/>
        <v>-8191.48</v>
      </c>
      <c r="H1045" s="174" t="s">
        <v>80</v>
      </c>
    </row>
    <row r="1046" spans="1:8">
      <c r="A1046" s="174" t="s">
        <v>874</v>
      </c>
      <c r="B1046" s="174">
        <v>-49400</v>
      </c>
      <c r="C1046" s="174">
        <v>49400</v>
      </c>
      <c r="D1046" s="174">
        <v>0</v>
      </c>
      <c r="E1046" s="174">
        <v>0</v>
      </c>
      <c r="G1046" s="174">
        <f t="shared" si="16"/>
        <v>0</v>
      </c>
      <c r="H1046" s="174" t="s">
        <v>80</v>
      </c>
    </row>
    <row r="1047" spans="1:8">
      <c r="A1047" s="174" t="s">
        <v>875</v>
      </c>
      <c r="B1047" s="174">
        <v>0</v>
      </c>
      <c r="C1047" s="174">
        <v>14650</v>
      </c>
      <c r="D1047" s="174">
        <v>14650</v>
      </c>
      <c r="E1047" s="174">
        <v>0</v>
      </c>
      <c r="G1047" s="174">
        <f t="shared" si="16"/>
        <v>0</v>
      </c>
      <c r="H1047" s="174" t="s">
        <v>80</v>
      </c>
    </row>
    <row r="1048" spans="1:8">
      <c r="A1048" s="174" t="s">
        <v>1285</v>
      </c>
      <c r="B1048" s="174">
        <v>0</v>
      </c>
      <c r="C1048" s="174">
        <v>21240</v>
      </c>
      <c r="D1048" s="174">
        <v>28438</v>
      </c>
      <c r="E1048" s="174">
        <v>-7198</v>
      </c>
      <c r="G1048" s="174">
        <f t="shared" si="16"/>
        <v>-7198</v>
      </c>
      <c r="H1048" s="174" t="s">
        <v>80</v>
      </c>
    </row>
    <row r="1049" spans="1:8">
      <c r="A1049" s="174" t="s">
        <v>1490</v>
      </c>
      <c r="B1049" s="174">
        <v>0</v>
      </c>
      <c r="C1049" s="174">
        <v>18880</v>
      </c>
      <c r="D1049" s="174">
        <v>18880</v>
      </c>
      <c r="E1049" s="174">
        <v>0</v>
      </c>
      <c r="G1049" s="174">
        <f t="shared" si="16"/>
        <v>0</v>
      </c>
      <c r="H1049" s="174" t="s">
        <v>80</v>
      </c>
    </row>
    <row r="1050" spans="1:8">
      <c r="A1050" s="174" t="s">
        <v>876</v>
      </c>
      <c r="B1050" s="174">
        <v>-1386</v>
      </c>
      <c r="C1050" s="174">
        <v>2670</v>
      </c>
      <c r="D1050" s="174">
        <v>5620</v>
      </c>
      <c r="E1050" s="174">
        <v>-4336</v>
      </c>
      <c r="G1050" s="174">
        <f t="shared" si="16"/>
        <v>-4336</v>
      </c>
      <c r="H1050" s="174" t="s">
        <v>80</v>
      </c>
    </row>
    <row r="1051" spans="1:8">
      <c r="A1051" s="174" t="s">
        <v>1491</v>
      </c>
      <c r="B1051" s="174">
        <v>0</v>
      </c>
      <c r="C1051" s="174">
        <v>0</v>
      </c>
      <c r="D1051" s="174">
        <v>51212</v>
      </c>
      <c r="E1051" s="174">
        <v>-51212</v>
      </c>
      <c r="G1051" s="174">
        <f t="shared" si="16"/>
        <v>-51212</v>
      </c>
      <c r="H1051" s="174" t="s">
        <v>80</v>
      </c>
    </row>
    <row r="1052" spans="1:8">
      <c r="A1052" s="174" t="s">
        <v>877</v>
      </c>
      <c r="B1052" s="174">
        <v>790350</v>
      </c>
      <c r="C1052" s="174">
        <v>0</v>
      </c>
      <c r="D1052" s="174">
        <v>0</v>
      </c>
      <c r="E1052" s="174">
        <v>790350</v>
      </c>
      <c r="G1052" s="174">
        <f t="shared" si="16"/>
        <v>790350</v>
      </c>
      <c r="H1052" s="174" t="s">
        <v>80</v>
      </c>
    </row>
    <row r="1053" spans="1:8">
      <c r="A1053" s="174" t="s">
        <v>878</v>
      </c>
      <c r="B1053" s="174">
        <v>-18682.599999999999</v>
      </c>
      <c r="C1053" s="174">
        <v>0</v>
      </c>
      <c r="D1053" s="174">
        <v>0</v>
      </c>
      <c r="E1053" s="174">
        <v>-18682.599999999999</v>
      </c>
      <c r="G1053" s="174">
        <f t="shared" si="16"/>
        <v>-18682.599999999999</v>
      </c>
      <c r="H1053" s="174" t="s">
        <v>80</v>
      </c>
    </row>
    <row r="1054" spans="1:8">
      <c r="A1054" s="174" t="s">
        <v>487</v>
      </c>
      <c r="B1054" s="174">
        <v>-141412</v>
      </c>
      <c r="C1054" s="174">
        <v>298188</v>
      </c>
      <c r="D1054" s="174">
        <v>158550</v>
      </c>
      <c r="E1054" s="174">
        <v>-1774</v>
      </c>
      <c r="G1054" s="174">
        <f t="shared" si="16"/>
        <v>-1774</v>
      </c>
      <c r="H1054" s="174" t="s">
        <v>80</v>
      </c>
    </row>
    <row r="1055" spans="1:8">
      <c r="A1055" s="174" t="s">
        <v>488</v>
      </c>
      <c r="B1055" s="174">
        <v>0</v>
      </c>
      <c r="C1055" s="174">
        <v>7875</v>
      </c>
      <c r="D1055" s="174">
        <v>7875</v>
      </c>
      <c r="E1055" s="174">
        <v>0</v>
      </c>
      <c r="G1055" s="174">
        <f t="shared" si="16"/>
        <v>0</v>
      </c>
      <c r="H1055" s="174" t="s">
        <v>80</v>
      </c>
    </row>
    <row r="1056" spans="1:8">
      <c r="A1056" s="174" t="s">
        <v>400</v>
      </c>
      <c r="B1056" s="174">
        <v>-392656</v>
      </c>
      <c r="C1056" s="174">
        <v>850945</v>
      </c>
      <c r="D1056" s="174">
        <v>458289</v>
      </c>
      <c r="E1056" s="174">
        <v>0</v>
      </c>
      <c r="G1056" s="174">
        <f t="shared" si="16"/>
        <v>0</v>
      </c>
      <c r="H1056" s="174" t="s">
        <v>80</v>
      </c>
    </row>
    <row r="1057" spans="1:8">
      <c r="A1057" s="174" t="s">
        <v>879</v>
      </c>
      <c r="B1057" s="174">
        <v>0</v>
      </c>
      <c r="C1057" s="174">
        <v>41158</v>
      </c>
      <c r="D1057" s="174">
        <v>41158</v>
      </c>
      <c r="E1057" s="174">
        <v>0</v>
      </c>
      <c r="G1057" s="174">
        <f t="shared" si="16"/>
        <v>0</v>
      </c>
      <c r="H1057" s="174" t="s">
        <v>80</v>
      </c>
    </row>
    <row r="1058" spans="1:8">
      <c r="A1058" s="174" t="s">
        <v>1589</v>
      </c>
      <c r="B1058" s="174">
        <v>0</v>
      </c>
      <c r="C1058" s="174">
        <v>22420</v>
      </c>
      <c r="D1058" s="174">
        <v>0</v>
      </c>
      <c r="E1058" s="174">
        <v>22420</v>
      </c>
      <c r="G1058" s="174">
        <f t="shared" si="16"/>
        <v>22420</v>
      </c>
      <c r="H1058" s="174" t="s">
        <v>80</v>
      </c>
    </row>
    <row r="1059" spans="1:8">
      <c r="A1059" s="174" t="s">
        <v>427</v>
      </c>
      <c r="B1059" s="174">
        <v>9031787.25</v>
      </c>
      <c r="C1059" s="174">
        <v>500110</v>
      </c>
      <c r="D1059" s="174">
        <v>594120</v>
      </c>
      <c r="E1059" s="174">
        <v>8937777.25</v>
      </c>
      <c r="G1059" s="174">
        <f t="shared" si="16"/>
        <v>8937777.25</v>
      </c>
      <c r="H1059" s="174" t="s">
        <v>80</v>
      </c>
    </row>
    <row r="1060" spans="1:8">
      <c r="A1060" s="174" t="s">
        <v>449</v>
      </c>
      <c r="B1060" s="174">
        <v>0</v>
      </c>
      <c r="C1060" s="174">
        <v>226023</v>
      </c>
      <c r="D1060" s="174">
        <v>226023</v>
      </c>
      <c r="E1060" s="174">
        <v>0</v>
      </c>
      <c r="G1060" s="174">
        <f t="shared" si="16"/>
        <v>0</v>
      </c>
      <c r="H1060" s="174" t="s">
        <v>80</v>
      </c>
    </row>
    <row r="1061" spans="1:8">
      <c r="A1061" s="174" t="s">
        <v>880</v>
      </c>
      <c r="B1061" s="174">
        <v>-57819</v>
      </c>
      <c r="C1061" s="174">
        <v>114533</v>
      </c>
      <c r="D1061" s="174">
        <v>56714</v>
      </c>
      <c r="E1061" s="174">
        <v>0</v>
      </c>
      <c r="G1061" s="174">
        <f t="shared" si="16"/>
        <v>0</v>
      </c>
      <c r="H1061" s="174" t="s">
        <v>80</v>
      </c>
    </row>
    <row r="1062" spans="1:8">
      <c r="A1062" s="174" t="s">
        <v>1286</v>
      </c>
      <c r="B1062" s="174">
        <v>0</v>
      </c>
      <c r="C1062" s="174">
        <v>289922</v>
      </c>
      <c r="D1062" s="174">
        <v>289922</v>
      </c>
      <c r="E1062" s="174">
        <v>0</v>
      </c>
      <c r="G1062" s="174">
        <f t="shared" si="16"/>
        <v>0</v>
      </c>
      <c r="H1062" s="174" t="s">
        <v>80</v>
      </c>
    </row>
    <row r="1063" spans="1:8">
      <c r="A1063" s="174" t="s">
        <v>1047</v>
      </c>
      <c r="B1063" s="174">
        <v>7118.1</v>
      </c>
      <c r="C1063" s="174">
        <v>11458.93</v>
      </c>
      <c r="D1063" s="174">
        <v>11458.93</v>
      </c>
      <c r="E1063" s="174">
        <v>7118.1</v>
      </c>
      <c r="G1063" s="174">
        <f t="shared" si="16"/>
        <v>7118.1</v>
      </c>
      <c r="H1063" s="174" t="s">
        <v>80</v>
      </c>
    </row>
    <row r="1064" spans="1:8">
      <c r="A1064" s="174" t="s">
        <v>1287</v>
      </c>
      <c r="B1064" s="174">
        <v>0</v>
      </c>
      <c r="C1064" s="174">
        <v>11591.58</v>
      </c>
      <c r="D1064" s="174">
        <v>11591.58</v>
      </c>
      <c r="E1064" s="174">
        <v>0</v>
      </c>
      <c r="G1064" s="174">
        <f t="shared" si="16"/>
        <v>0</v>
      </c>
      <c r="H1064" s="174" t="s">
        <v>80</v>
      </c>
    </row>
    <row r="1065" spans="1:8">
      <c r="A1065" s="174" t="s">
        <v>881</v>
      </c>
      <c r="B1065" s="174">
        <v>6162</v>
      </c>
      <c r="C1065" s="174">
        <v>1057307</v>
      </c>
      <c r="D1065" s="174">
        <v>57307</v>
      </c>
      <c r="E1065" s="174">
        <v>1006162</v>
      </c>
      <c r="G1065" s="174">
        <f t="shared" si="16"/>
        <v>1006162</v>
      </c>
      <c r="H1065" s="174" t="s">
        <v>80</v>
      </c>
    </row>
    <row r="1066" spans="1:8">
      <c r="A1066" s="174" t="s">
        <v>882</v>
      </c>
      <c r="B1066" s="174">
        <v>-6200</v>
      </c>
      <c r="C1066" s="174">
        <v>24800</v>
      </c>
      <c r="D1066" s="174">
        <v>24800</v>
      </c>
      <c r="E1066" s="174">
        <v>-6200</v>
      </c>
      <c r="G1066" s="174">
        <f t="shared" si="16"/>
        <v>-6200</v>
      </c>
      <c r="H1066" s="174" t="s">
        <v>80</v>
      </c>
    </row>
    <row r="1067" spans="1:8">
      <c r="A1067" s="174" t="s">
        <v>883</v>
      </c>
      <c r="B1067" s="174">
        <v>-17244</v>
      </c>
      <c r="C1067" s="174">
        <v>17244</v>
      </c>
      <c r="D1067" s="174">
        <v>0</v>
      </c>
      <c r="E1067" s="174">
        <v>0</v>
      </c>
      <c r="G1067" s="174">
        <f t="shared" si="16"/>
        <v>0</v>
      </c>
      <c r="H1067" s="174" t="s">
        <v>80</v>
      </c>
    </row>
    <row r="1068" spans="1:8">
      <c r="A1068" s="174" t="s">
        <v>154</v>
      </c>
      <c r="B1068" s="174">
        <v>-188280.18</v>
      </c>
      <c r="C1068" s="174">
        <v>753600</v>
      </c>
      <c r="D1068" s="174">
        <v>566400</v>
      </c>
      <c r="E1068" s="174">
        <v>-1080.18</v>
      </c>
      <c r="G1068" s="174">
        <f t="shared" si="16"/>
        <v>-1080.18</v>
      </c>
      <c r="H1068" s="174" t="s">
        <v>80</v>
      </c>
    </row>
    <row r="1069" spans="1:8">
      <c r="A1069" s="174" t="s">
        <v>884</v>
      </c>
      <c r="B1069" s="174">
        <v>8785.2000000000007</v>
      </c>
      <c r="C1069" s="174">
        <v>0</v>
      </c>
      <c r="D1069" s="174">
        <v>0</v>
      </c>
      <c r="E1069" s="174">
        <v>8785.2000000000007</v>
      </c>
      <c r="G1069" s="174">
        <f t="shared" si="16"/>
        <v>8785.2000000000007</v>
      </c>
      <c r="H1069" s="174" t="s">
        <v>80</v>
      </c>
    </row>
    <row r="1070" spans="1:8">
      <c r="A1070" s="174" t="s">
        <v>1288</v>
      </c>
      <c r="B1070" s="174">
        <v>0</v>
      </c>
      <c r="C1070" s="174">
        <v>100890</v>
      </c>
      <c r="D1070" s="174">
        <v>100890</v>
      </c>
      <c r="E1070" s="174">
        <v>0</v>
      </c>
      <c r="G1070" s="174">
        <f t="shared" si="16"/>
        <v>0</v>
      </c>
      <c r="H1070" s="174" t="s">
        <v>80</v>
      </c>
    </row>
    <row r="1071" spans="1:8">
      <c r="A1071" s="174" t="s">
        <v>512</v>
      </c>
      <c r="B1071" s="174">
        <v>-146216</v>
      </c>
      <c r="C1071" s="174">
        <v>164615</v>
      </c>
      <c r="D1071" s="174">
        <v>40441</v>
      </c>
      <c r="E1071" s="174">
        <v>-22042</v>
      </c>
      <c r="G1071" s="174">
        <f t="shared" si="16"/>
        <v>-22042</v>
      </c>
      <c r="H1071" s="174" t="s">
        <v>80</v>
      </c>
    </row>
    <row r="1072" spans="1:8">
      <c r="A1072" s="174" t="s">
        <v>885</v>
      </c>
      <c r="B1072" s="174">
        <v>65785</v>
      </c>
      <c r="C1072" s="174">
        <v>0</v>
      </c>
      <c r="D1072" s="174">
        <v>0</v>
      </c>
      <c r="E1072" s="174">
        <v>65785</v>
      </c>
      <c r="G1072" s="174">
        <f t="shared" si="16"/>
        <v>65785</v>
      </c>
      <c r="H1072" s="174" t="s">
        <v>80</v>
      </c>
    </row>
    <row r="1073" spans="1:8">
      <c r="A1073" s="174" t="s">
        <v>886</v>
      </c>
      <c r="B1073" s="174">
        <v>-6720</v>
      </c>
      <c r="C1073" s="174">
        <v>0</v>
      </c>
      <c r="D1073" s="174">
        <v>0</v>
      </c>
      <c r="E1073" s="174">
        <v>-6720</v>
      </c>
      <c r="G1073" s="174">
        <f t="shared" si="16"/>
        <v>-6720</v>
      </c>
      <c r="H1073" s="174" t="s">
        <v>80</v>
      </c>
    </row>
    <row r="1074" spans="1:8">
      <c r="A1074" s="174" t="s">
        <v>1289</v>
      </c>
      <c r="B1074" s="174">
        <v>0</v>
      </c>
      <c r="C1074" s="174">
        <v>14750</v>
      </c>
      <c r="D1074" s="174">
        <v>0</v>
      </c>
      <c r="E1074" s="174">
        <v>14750</v>
      </c>
      <c r="G1074" s="174">
        <f t="shared" si="16"/>
        <v>14750</v>
      </c>
      <c r="H1074" s="174" t="s">
        <v>80</v>
      </c>
    </row>
    <row r="1075" spans="1:8">
      <c r="A1075" s="174" t="s">
        <v>1290</v>
      </c>
      <c r="B1075" s="174">
        <v>0</v>
      </c>
      <c r="C1075" s="174">
        <v>0</v>
      </c>
      <c r="D1075" s="174">
        <v>0</v>
      </c>
      <c r="E1075" s="174">
        <v>0</v>
      </c>
      <c r="G1075" s="174">
        <f t="shared" si="16"/>
        <v>0</v>
      </c>
      <c r="H1075" s="174" t="s">
        <v>80</v>
      </c>
    </row>
    <row r="1076" spans="1:8">
      <c r="A1076" s="174" t="s">
        <v>887</v>
      </c>
      <c r="B1076" s="174">
        <v>0</v>
      </c>
      <c r="C1076" s="174">
        <v>474709</v>
      </c>
      <c r="D1076" s="174">
        <v>474708</v>
      </c>
      <c r="E1076" s="174">
        <v>1</v>
      </c>
      <c r="G1076" s="174">
        <f t="shared" si="16"/>
        <v>1</v>
      </c>
      <c r="H1076" s="174" t="s">
        <v>80</v>
      </c>
    </row>
    <row r="1077" spans="1:8">
      <c r="A1077" s="174" t="s">
        <v>1590</v>
      </c>
      <c r="B1077" s="174">
        <v>0</v>
      </c>
      <c r="C1077" s="174">
        <v>4860</v>
      </c>
      <c r="D1077" s="174">
        <v>362966</v>
      </c>
      <c r="E1077" s="174">
        <v>-358106</v>
      </c>
      <c r="G1077" s="174">
        <f t="shared" si="16"/>
        <v>-358106</v>
      </c>
      <c r="H1077" s="174" t="s">
        <v>80</v>
      </c>
    </row>
    <row r="1078" spans="1:8">
      <c r="A1078" s="174" t="s">
        <v>1291</v>
      </c>
      <c r="B1078" s="174">
        <v>0</v>
      </c>
      <c r="C1078" s="174">
        <v>0</v>
      </c>
      <c r="D1078" s="174">
        <v>0</v>
      </c>
      <c r="E1078" s="174">
        <v>0</v>
      </c>
      <c r="G1078" s="174">
        <f t="shared" si="16"/>
        <v>0</v>
      </c>
      <c r="H1078" s="174" t="s">
        <v>80</v>
      </c>
    </row>
    <row r="1079" spans="1:8">
      <c r="A1079" s="174" t="s">
        <v>300</v>
      </c>
      <c r="B1079" s="174">
        <v>497669</v>
      </c>
      <c r="C1079" s="174">
        <v>3336</v>
      </c>
      <c r="D1079" s="174">
        <v>195024</v>
      </c>
      <c r="E1079" s="174">
        <v>305981</v>
      </c>
      <c r="G1079" s="174">
        <f t="shared" si="16"/>
        <v>305981</v>
      </c>
      <c r="H1079" s="174" t="s">
        <v>80</v>
      </c>
    </row>
    <row r="1080" spans="1:8">
      <c r="A1080" s="174" t="s">
        <v>453</v>
      </c>
      <c r="B1080" s="174">
        <v>-1539.42</v>
      </c>
      <c r="C1080" s="174">
        <v>15078</v>
      </c>
      <c r="D1080" s="174">
        <v>15078</v>
      </c>
      <c r="E1080" s="174">
        <v>-1539.42</v>
      </c>
      <c r="G1080" s="174">
        <f t="shared" si="16"/>
        <v>-1539.42</v>
      </c>
      <c r="H1080" s="174" t="s">
        <v>80</v>
      </c>
    </row>
    <row r="1081" spans="1:8">
      <c r="A1081" s="174" t="s">
        <v>888</v>
      </c>
      <c r="B1081" s="174">
        <v>-40</v>
      </c>
      <c r="C1081" s="174">
        <v>0</v>
      </c>
      <c r="D1081" s="174">
        <v>0</v>
      </c>
      <c r="E1081" s="174">
        <v>-40</v>
      </c>
      <c r="G1081" s="174">
        <f t="shared" si="16"/>
        <v>-40</v>
      </c>
      <c r="H1081" s="174" t="s">
        <v>80</v>
      </c>
    </row>
    <row r="1082" spans="1:8">
      <c r="A1082" s="174" t="s">
        <v>1591</v>
      </c>
      <c r="B1082" s="174">
        <v>0</v>
      </c>
      <c r="C1082" s="174">
        <v>37145</v>
      </c>
      <c r="D1082" s="174">
        <v>37145</v>
      </c>
      <c r="E1082" s="174">
        <v>0</v>
      </c>
      <c r="G1082" s="174">
        <f t="shared" si="16"/>
        <v>0</v>
      </c>
      <c r="H1082" s="174" t="s">
        <v>80</v>
      </c>
    </row>
    <row r="1083" spans="1:8">
      <c r="A1083" s="174" t="s">
        <v>292</v>
      </c>
      <c r="B1083" s="174">
        <v>-2000</v>
      </c>
      <c r="C1083" s="174">
        <v>0</v>
      </c>
      <c r="D1083" s="174">
        <v>0</v>
      </c>
      <c r="E1083" s="174">
        <v>-2000</v>
      </c>
      <c r="G1083" s="174">
        <f t="shared" si="16"/>
        <v>-2000</v>
      </c>
      <c r="H1083" s="174" t="s">
        <v>80</v>
      </c>
    </row>
    <row r="1084" spans="1:8">
      <c r="A1084" s="174" t="s">
        <v>1424</v>
      </c>
      <c r="B1084" s="174">
        <v>0</v>
      </c>
      <c r="C1084" s="174">
        <v>0</v>
      </c>
      <c r="D1084" s="174">
        <v>0</v>
      </c>
      <c r="E1084" s="174">
        <v>0</v>
      </c>
      <c r="G1084" s="174">
        <f t="shared" si="16"/>
        <v>0</v>
      </c>
      <c r="H1084" s="174" t="s">
        <v>80</v>
      </c>
    </row>
    <row r="1085" spans="1:8">
      <c r="A1085" s="174" t="s">
        <v>889</v>
      </c>
      <c r="B1085" s="174">
        <v>-8280</v>
      </c>
      <c r="C1085" s="174">
        <v>8280</v>
      </c>
      <c r="D1085" s="174">
        <v>0</v>
      </c>
      <c r="E1085" s="174">
        <v>0</v>
      </c>
      <c r="G1085" s="174">
        <f t="shared" si="16"/>
        <v>0</v>
      </c>
      <c r="H1085" s="174" t="s">
        <v>80</v>
      </c>
    </row>
    <row r="1086" spans="1:8">
      <c r="A1086" s="174" t="s">
        <v>285</v>
      </c>
      <c r="B1086" s="174">
        <v>-610</v>
      </c>
      <c r="C1086" s="174">
        <v>610</v>
      </c>
      <c r="D1086" s="174">
        <v>0</v>
      </c>
      <c r="E1086" s="174">
        <v>0</v>
      </c>
      <c r="G1086" s="174">
        <f t="shared" si="16"/>
        <v>0</v>
      </c>
      <c r="H1086" s="174" t="s">
        <v>80</v>
      </c>
    </row>
    <row r="1087" spans="1:8">
      <c r="A1087" s="174" t="s">
        <v>289</v>
      </c>
      <c r="B1087" s="174">
        <v>-59895</v>
      </c>
      <c r="C1087" s="174">
        <v>229395</v>
      </c>
      <c r="D1087" s="174">
        <v>169500</v>
      </c>
      <c r="E1087" s="174">
        <v>0</v>
      </c>
      <c r="G1087" s="174">
        <f t="shared" si="16"/>
        <v>0</v>
      </c>
      <c r="H1087" s="174" t="s">
        <v>80</v>
      </c>
    </row>
    <row r="1088" spans="1:8">
      <c r="A1088" s="174" t="s">
        <v>1292</v>
      </c>
      <c r="B1088" s="174">
        <v>0</v>
      </c>
      <c r="C1088" s="174">
        <v>0</v>
      </c>
      <c r="D1088" s="174">
        <v>0</v>
      </c>
      <c r="E1088" s="174">
        <v>0</v>
      </c>
      <c r="G1088" s="174">
        <f t="shared" si="16"/>
        <v>0</v>
      </c>
      <c r="H1088" s="174" t="s">
        <v>80</v>
      </c>
    </row>
    <row r="1089" spans="1:8">
      <c r="A1089" s="174" t="s">
        <v>489</v>
      </c>
      <c r="B1089" s="174">
        <v>102</v>
      </c>
      <c r="C1089" s="174">
        <v>1015537</v>
      </c>
      <c r="D1089" s="174">
        <v>1047535</v>
      </c>
      <c r="E1089" s="174">
        <v>-31896</v>
      </c>
      <c r="G1089" s="174">
        <f t="shared" si="16"/>
        <v>-31896</v>
      </c>
      <c r="H1089" s="174" t="s">
        <v>80</v>
      </c>
    </row>
    <row r="1090" spans="1:8">
      <c r="A1090" s="174" t="s">
        <v>282</v>
      </c>
      <c r="B1090" s="174">
        <v>445</v>
      </c>
      <c r="C1090" s="174">
        <v>279847</v>
      </c>
      <c r="D1090" s="174">
        <v>280292</v>
      </c>
      <c r="E1090" s="174">
        <v>0</v>
      </c>
      <c r="G1090" s="174">
        <f t="shared" si="16"/>
        <v>0</v>
      </c>
      <c r="H1090" s="174" t="s">
        <v>80</v>
      </c>
    </row>
    <row r="1091" spans="1:8">
      <c r="A1091" s="174" t="s">
        <v>523</v>
      </c>
      <c r="B1091" s="174">
        <v>-281496</v>
      </c>
      <c r="C1091" s="174">
        <v>2483169</v>
      </c>
      <c r="D1091" s="174">
        <v>2229895</v>
      </c>
      <c r="E1091" s="174">
        <v>-28222</v>
      </c>
      <c r="G1091" s="174">
        <f t="shared" ref="G1091:G1154" si="17">E1091+F1091</f>
        <v>-28222</v>
      </c>
      <c r="H1091" s="174" t="s">
        <v>80</v>
      </c>
    </row>
    <row r="1092" spans="1:8">
      <c r="A1092" s="174" t="s">
        <v>273</v>
      </c>
      <c r="B1092" s="174">
        <v>-80916</v>
      </c>
      <c r="C1092" s="174">
        <v>861519</v>
      </c>
      <c r="D1092" s="174">
        <v>780603</v>
      </c>
      <c r="E1092" s="174">
        <v>0</v>
      </c>
      <c r="G1092" s="174">
        <f t="shared" si="17"/>
        <v>0</v>
      </c>
      <c r="H1092" s="174" t="s">
        <v>80</v>
      </c>
    </row>
    <row r="1093" spans="1:8">
      <c r="A1093" s="174" t="s">
        <v>1293</v>
      </c>
      <c r="B1093" s="174">
        <v>0</v>
      </c>
      <c r="C1093" s="174">
        <v>592486</v>
      </c>
      <c r="D1093" s="174">
        <v>708138</v>
      </c>
      <c r="E1093" s="174">
        <v>-115652</v>
      </c>
      <c r="G1093" s="174">
        <f t="shared" si="17"/>
        <v>-115652</v>
      </c>
      <c r="H1093" s="174" t="s">
        <v>80</v>
      </c>
    </row>
    <row r="1094" spans="1:8">
      <c r="A1094" s="174" t="s">
        <v>270</v>
      </c>
      <c r="B1094" s="174">
        <v>-38357.480000000003</v>
      </c>
      <c r="C1094" s="174">
        <v>0</v>
      </c>
      <c r="D1094" s="174">
        <v>0</v>
      </c>
      <c r="E1094" s="174">
        <v>-38357.480000000003</v>
      </c>
      <c r="G1094" s="174">
        <f t="shared" si="17"/>
        <v>-38357.480000000003</v>
      </c>
      <c r="H1094" s="174" t="s">
        <v>80</v>
      </c>
    </row>
    <row r="1095" spans="1:8">
      <c r="A1095" s="174" t="s">
        <v>890</v>
      </c>
      <c r="B1095" s="174">
        <v>-4230</v>
      </c>
      <c r="C1095" s="174">
        <v>0</v>
      </c>
      <c r="D1095" s="174">
        <v>0</v>
      </c>
      <c r="E1095" s="174">
        <v>-4230</v>
      </c>
      <c r="G1095" s="174">
        <f t="shared" si="17"/>
        <v>-4230</v>
      </c>
      <c r="H1095" s="174" t="s">
        <v>80</v>
      </c>
    </row>
    <row r="1096" spans="1:8">
      <c r="A1096" s="174" t="s">
        <v>1592</v>
      </c>
      <c r="B1096" s="174">
        <v>0</v>
      </c>
      <c r="C1096" s="174">
        <v>32390</v>
      </c>
      <c r="D1096" s="174">
        <v>36276</v>
      </c>
      <c r="E1096" s="174">
        <v>-3886</v>
      </c>
      <c r="G1096" s="174">
        <f t="shared" si="17"/>
        <v>-3886</v>
      </c>
      <c r="H1096" s="174" t="s">
        <v>80</v>
      </c>
    </row>
    <row r="1097" spans="1:8">
      <c r="A1097" s="174" t="s">
        <v>268</v>
      </c>
      <c r="B1097" s="174">
        <v>6313</v>
      </c>
      <c r="C1097" s="174">
        <v>7788</v>
      </c>
      <c r="D1097" s="174">
        <v>7788</v>
      </c>
      <c r="E1097" s="174">
        <v>6313</v>
      </c>
      <c r="G1097" s="174">
        <f t="shared" si="17"/>
        <v>6313</v>
      </c>
      <c r="H1097" s="174" t="s">
        <v>80</v>
      </c>
    </row>
    <row r="1098" spans="1:8">
      <c r="A1098" s="174" t="s">
        <v>266</v>
      </c>
      <c r="B1098" s="174">
        <v>-174560</v>
      </c>
      <c r="C1098" s="174">
        <v>803947.01</v>
      </c>
      <c r="D1098" s="174">
        <v>586186.01</v>
      </c>
      <c r="E1098" s="174">
        <v>43201</v>
      </c>
      <c r="G1098" s="174">
        <f t="shared" si="17"/>
        <v>43201</v>
      </c>
      <c r="H1098" s="174" t="s">
        <v>80</v>
      </c>
    </row>
    <row r="1099" spans="1:8">
      <c r="A1099" s="174" t="s">
        <v>490</v>
      </c>
      <c r="B1099" s="174">
        <v>0</v>
      </c>
      <c r="C1099" s="174">
        <v>741000</v>
      </c>
      <c r="D1099" s="174">
        <v>741000</v>
      </c>
      <c r="E1099" s="174">
        <v>0</v>
      </c>
      <c r="G1099" s="174">
        <f t="shared" si="17"/>
        <v>0</v>
      </c>
      <c r="H1099" s="174" t="s">
        <v>80</v>
      </c>
    </row>
    <row r="1100" spans="1:8">
      <c r="A1100" s="174" t="s">
        <v>1294</v>
      </c>
      <c r="B1100" s="174">
        <v>0</v>
      </c>
      <c r="C1100" s="174">
        <v>521237.96</v>
      </c>
      <c r="D1100" s="174">
        <v>258428.98</v>
      </c>
      <c r="E1100" s="174">
        <v>262808.98</v>
      </c>
      <c r="G1100" s="174">
        <f t="shared" si="17"/>
        <v>262808.98</v>
      </c>
      <c r="H1100" s="174" t="s">
        <v>80</v>
      </c>
    </row>
    <row r="1101" spans="1:8">
      <c r="A1101" s="174" t="s">
        <v>891</v>
      </c>
      <c r="B1101" s="174">
        <v>1161</v>
      </c>
      <c r="C1101" s="174">
        <v>67367</v>
      </c>
      <c r="D1101" s="174">
        <v>68528</v>
      </c>
      <c r="E1101" s="174">
        <v>0</v>
      </c>
      <c r="G1101" s="174">
        <f t="shared" si="17"/>
        <v>0</v>
      </c>
      <c r="H1101" s="174" t="s">
        <v>80</v>
      </c>
    </row>
    <row r="1102" spans="1:8">
      <c r="A1102" s="174" t="s">
        <v>1295</v>
      </c>
      <c r="B1102" s="174">
        <v>0</v>
      </c>
      <c r="C1102" s="174">
        <v>0</v>
      </c>
      <c r="D1102" s="174">
        <v>0</v>
      </c>
      <c r="E1102" s="174">
        <v>0</v>
      </c>
      <c r="G1102" s="174">
        <f t="shared" si="17"/>
        <v>0</v>
      </c>
      <c r="H1102" s="174" t="s">
        <v>80</v>
      </c>
    </row>
    <row r="1103" spans="1:8">
      <c r="A1103" s="174" t="s">
        <v>261</v>
      </c>
      <c r="B1103" s="174">
        <v>-58000</v>
      </c>
      <c r="C1103" s="174">
        <v>93018</v>
      </c>
      <c r="D1103" s="174">
        <v>34220</v>
      </c>
      <c r="E1103" s="174">
        <v>798</v>
      </c>
      <c r="G1103" s="174">
        <f t="shared" si="17"/>
        <v>798</v>
      </c>
      <c r="H1103" s="174" t="s">
        <v>80</v>
      </c>
    </row>
    <row r="1104" spans="1:8">
      <c r="A1104" s="174" t="s">
        <v>1296</v>
      </c>
      <c r="B1104" s="174">
        <v>0</v>
      </c>
      <c r="C1104" s="174">
        <v>0</v>
      </c>
      <c r="D1104" s="174">
        <v>0</v>
      </c>
      <c r="E1104" s="174">
        <v>0</v>
      </c>
      <c r="G1104" s="174">
        <f t="shared" si="17"/>
        <v>0</v>
      </c>
      <c r="H1104" s="174" t="s">
        <v>80</v>
      </c>
    </row>
    <row r="1105" spans="1:8">
      <c r="A1105" s="174" t="s">
        <v>892</v>
      </c>
      <c r="B1105" s="174">
        <v>-0.46</v>
      </c>
      <c r="C1105" s="174">
        <v>0</v>
      </c>
      <c r="D1105" s="174">
        <v>0</v>
      </c>
      <c r="E1105" s="174">
        <v>-0.46</v>
      </c>
      <c r="G1105" s="174">
        <f t="shared" si="17"/>
        <v>-0.46</v>
      </c>
      <c r="H1105" s="174" t="s">
        <v>80</v>
      </c>
    </row>
    <row r="1106" spans="1:8">
      <c r="A1106" s="174" t="s">
        <v>893</v>
      </c>
      <c r="B1106" s="174">
        <v>1263</v>
      </c>
      <c r="C1106" s="174">
        <v>0</v>
      </c>
      <c r="D1106" s="174">
        <v>0</v>
      </c>
      <c r="E1106" s="174">
        <v>1263</v>
      </c>
      <c r="G1106" s="174">
        <f t="shared" si="17"/>
        <v>1263</v>
      </c>
      <c r="H1106" s="174" t="s">
        <v>80</v>
      </c>
    </row>
    <row r="1107" spans="1:8">
      <c r="A1107" s="174" t="s">
        <v>254</v>
      </c>
      <c r="B1107" s="174">
        <v>-190218</v>
      </c>
      <c r="C1107" s="174">
        <v>190218</v>
      </c>
      <c r="D1107" s="174">
        <v>0</v>
      </c>
      <c r="E1107" s="174">
        <v>0</v>
      </c>
      <c r="G1107" s="174">
        <f t="shared" si="17"/>
        <v>0</v>
      </c>
      <c r="H1107" s="174" t="s">
        <v>80</v>
      </c>
    </row>
    <row r="1108" spans="1:8">
      <c r="A1108" s="174" t="s">
        <v>894</v>
      </c>
      <c r="B1108" s="174">
        <v>-105883</v>
      </c>
      <c r="C1108" s="174">
        <v>202726</v>
      </c>
      <c r="D1108" s="174">
        <v>96843</v>
      </c>
      <c r="E1108" s="174">
        <v>0</v>
      </c>
      <c r="G1108" s="174">
        <f t="shared" si="17"/>
        <v>0</v>
      </c>
      <c r="H1108" s="174" t="s">
        <v>80</v>
      </c>
    </row>
    <row r="1109" spans="1:8">
      <c r="A1109" s="174" t="s">
        <v>251</v>
      </c>
      <c r="B1109" s="174">
        <v>7280</v>
      </c>
      <c r="C1109" s="174">
        <v>29330</v>
      </c>
      <c r="D1109" s="174">
        <v>36750</v>
      </c>
      <c r="E1109" s="174">
        <v>-140</v>
      </c>
      <c r="G1109" s="174">
        <f t="shared" si="17"/>
        <v>-140</v>
      </c>
      <c r="H1109" s="174" t="s">
        <v>80</v>
      </c>
    </row>
    <row r="1110" spans="1:8">
      <c r="A1110" s="174" t="s">
        <v>247</v>
      </c>
      <c r="B1110" s="174">
        <v>548</v>
      </c>
      <c r="C1110" s="174">
        <v>72674</v>
      </c>
      <c r="D1110" s="174">
        <v>73222</v>
      </c>
      <c r="E1110" s="174">
        <v>0</v>
      </c>
      <c r="G1110" s="174">
        <f t="shared" si="17"/>
        <v>0</v>
      </c>
      <c r="H1110" s="174" t="s">
        <v>80</v>
      </c>
    </row>
    <row r="1111" spans="1:8">
      <c r="A1111" s="174" t="s">
        <v>1297</v>
      </c>
      <c r="B1111" s="174">
        <v>0</v>
      </c>
      <c r="C1111" s="174">
        <v>0</v>
      </c>
      <c r="D1111" s="174">
        <v>0</v>
      </c>
      <c r="E1111" s="174">
        <v>0</v>
      </c>
      <c r="G1111" s="174">
        <f t="shared" si="17"/>
        <v>0</v>
      </c>
      <c r="H1111" s="174" t="s">
        <v>80</v>
      </c>
    </row>
    <row r="1112" spans="1:8">
      <c r="A1112" s="174" t="s">
        <v>895</v>
      </c>
      <c r="B1112" s="174">
        <v>-44936.54</v>
      </c>
      <c r="C1112" s="174">
        <v>44936.54</v>
      </c>
      <c r="D1112" s="174">
        <v>0</v>
      </c>
      <c r="E1112" s="174">
        <v>0</v>
      </c>
      <c r="G1112" s="174">
        <f t="shared" si="17"/>
        <v>0</v>
      </c>
      <c r="H1112" s="174" t="s">
        <v>80</v>
      </c>
    </row>
    <row r="1113" spans="1:8">
      <c r="A1113" s="174" t="s">
        <v>237</v>
      </c>
      <c r="B1113" s="174">
        <v>-6000</v>
      </c>
      <c r="C1113" s="174">
        <v>6000</v>
      </c>
      <c r="D1113" s="174">
        <v>0</v>
      </c>
      <c r="E1113" s="174">
        <v>0</v>
      </c>
      <c r="G1113" s="174">
        <f t="shared" si="17"/>
        <v>0</v>
      </c>
      <c r="H1113" s="174" t="s">
        <v>80</v>
      </c>
    </row>
    <row r="1114" spans="1:8">
      <c r="A1114" s="174" t="s">
        <v>1492</v>
      </c>
      <c r="B1114" s="174">
        <v>0</v>
      </c>
      <c r="C1114" s="174">
        <v>19500</v>
      </c>
      <c r="D1114" s="174">
        <v>19500</v>
      </c>
      <c r="E1114" s="174">
        <v>0</v>
      </c>
      <c r="G1114" s="174">
        <f t="shared" si="17"/>
        <v>0</v>
      </c>
      <c r="H1114" s="174" t="s">
        <v>80</v>
      </c>
    </row>
    <row r="1115" spans="1:8">
      <c r="A1115" s="174" t="s">
        <v>1298</v>
      </c>
      <c r="B1115" s="174">
        <v>0</v>
      </c>
      <c r="C1115" s="174">
        <v>17000</v>
      </c>
      <c r="D1115" s="174">
        <v>17000</v>
      </c>
      <c r="E1115" s="174">
        <v>0</v>
      </c>
      <c r="G1115" s="174">
        <f t="shared" si="17"/>
        <v>0</v>
      </c>
      <c r="H1115" s="174" t="s">
        <v>80</v>
      </c>
    </row>
    <row r="1116" spans="1:8">
      <c r="A1116" s="174" t="s">
        <v>450</v>
      </c>
      <c r="B1116" s="174">
        <v>-10000</v>
      </c>
      <c r="C1116" s="174">
        <v>21500</v>
      </c>
      <c r="D1116" s="174">
        <v>21500</v>
      </c>
      <c r="E1116" s="174">
        <v>-10000</v>
      </c>
      <c r="G1116" s="174">
        <f t="shared" si="17"/>
        <v>-10000</v>
      </c>
      <c r="H1116" s="174" t="s">
        <v>80</v>
      </c>
    </row>
    <row r="1117" spans="1:8">
      <c r="A1117" s="174" t="s">
        <v>1493</v>
      </c>
      <c r="B1117" s="174">
        <v>0</v>
      </c>
      <c r="C1117" s="174">
        <v>32278</v>
      </c>
      <c r="D1117" s="174">
        <v>32278</v>
      </c>
      <c r="E1117" s="174">
        <v>0</v>
      </c>
      <c r="G1117" s="174">
        <f t="shared" si="17"/>
        <v>0</v>
      </c>
      <c r="H1117" s="174" t="s">
        <v>80</v>
      </c>
    </row>
    <row r="1118" spans="1:8">
      <c r="A1118" s="174" t="s">
        <v>218</v>
      </c>
      <c r="B1118" s="174">
        <v>-17248</v>
      </c>
      <c r="C1118" s="174">
        <v>1658362.2</v>
      </c>
      <c r="D1118" s="174">
        <v>1514670.2</v>
      </c>
      <c r="E1118" s="174">
        <v>126444</v>
      </c>
      <c r="G1118" s="174">
        <f t="shared" si="17"/>
        <v>126444</v>
      </c>
      <c r="H1118" s="174" t="s">
        <v>80</v>
      </c>
    </row>
    <row r="1119" spans="1:8">
      <c r="A1119" s="174" t="s">
        <v>395</v>
      </c>
      <c r="B1119" s="174">
        <v>29840.84</v>
      </c>
      <c r="C1119" s="174">
        <v>0</v>
      </c>
      <c r="D1119" s="174">
        <v>0</v>
      </c>
      <c r="E1119" s="174">
        <v>29840.84</v>
      </c>
      <c r="G1119" s="174">
        <f t="shared" si="17"/>
        <v>29840.84</v>
      </c>
      <c r="H1119" s="174" t="s">
        <v>80</v>
      </c>
    </row>
    <row r="1120" spans="1:8">
      <c r="A1120" s="174" t="s">
        <v>896</v>
      </c>
      <c r="B1120" s="174">
        <v>-47500</v>
      </c>
      <c r="C1120" s="174">
        <v>0</v>
      </c>
      <c r="D1120" s="174">
        <v>0</v>
      </c>
      <c r="E1120" s="174">
        <v>-47500</v>
      </c>
      <c r="G1120" s="174">
        <f t="shared" si="17"/>
        <v>-47500</v>
      </c>
      <c r="H1120" s="174" t="s">
        <v>80</v>
      </c>
    </row>
    <row r="1121" spans="1:8">
      <c r="A1121" s="174" t="s">
        <v>444</v>
      </c>
      <c r="B1121" s="174">
        <v>502</v>
      </c>
      <c r="C1121" s="174">
        <v>98474</v>
      </c>
      <c r="D1121" s="174">
        <v>98976</v>
      </c>
      <c r="E1121" s="174">
        <v>0</v>
      </c>
      <c r="G1121" s="174">
        <f t="shared" si="17"/>
        <v>0</v>
      </c>
      <c r="H1121" s="174" t="s">
        <v>80</v>
      </c>
    </row>
    <row r="1122" spans="1:8">
      <c r="A1122" s="174" t="s">
        <v>1593</v>
      </c>
      <c r="B1122" s="174">
        <v>0</v>
      </c>
      <c r="C1122" s="174">
        <v>500</v>
      </c>
      <c r="D1122" s="174">
        <v>29500</v>
      </c>
      <c r="E1122" s="174">
        <v>-29000</v>
      </c>
      <c r="G1122" s="174">
        <f t="shared" si="17"/>
        <v>-29000</v>
      </c>
      <c r="H1122" s="174" t="s">
        <v>80</v>
      </c>
    </row>
    <row r="1123" spans="1:8">
      <c r="A1123" s="174" t="s">
        <v>1494</v>
      </c>
      <c r="B1123" s="174">
        <v>0</v>
      </c>
      <c r="C1123" s="174">
        <v>518993</v>
      </c>
      <c r="D1123" s="174">
        <v>585450</v>
      </c>
      <c r="E1123" s="174">
        <v>-66457</v>
      </c>
      <c r="G1123" s="174">
        <f t="shared" si="17"/>
        <v>-66457</v>
      </c>
      <c r="H1123" s="174" t="s">
        <v>80</v>
      </c>
    </row>
    <row r="1124" spans="1:8">
      <c r="A1124" s="174" t="s">
        <v>198</v>
      </c>
      <c r="B1124" s="174">
        <v>106866.67</v>
      </c>
      <c r="C1124" s="174">
        <v>54430.34</v>
      </c>
      <c r="D1124" s="174">
        <v>7210.16</v>
      </c>
      <c r="E1124" s="174">
        <v>154086.85</v>
      </c>
      <c r="G1124" s="174">
        <f t="shared" si="17"/>
        <v>154086.85</v>
      </c>
      <c r="H1124" s="174" t="s">
        <v>80</v>
      </c>
    </row>
    <row r="1125" spans="1:8">
      <c r="A1125" s="174" t="s">
        <v>897</v>
      </c>
      <c r="B1125" s="174">
        <v>-14457</v>
      </c>
      <c r="C1125" s="174">
        <v>14457</v>
      </c>
      <c r="D1125" s="174">
        <v>0</v>
      </c>
      <c r="E1125" s="174">
        <v>0</v>
      </c>
      <c r="G1125" s="174">
        <f t="shared" si="17"/>
        <v>0</v>
      </c>
      <c r="H1125" s="174" t="s">
        <v>80</v>
      </c>
    </row>
    <row r="1126" spans="1:8">
      <c r="A1126" s="174" t="s">
        <v>898</v>
      </c>
      <c r="B1126" s="174">
        <v>4172</v>
      </c>
      <c r="C1126" s="174">
        <v>0</v>
      </c>
      <c r="D1126" s="174">
        <v>0</v>
      </c>
      <c r="E1126" s="174">
        <v>4172</v>
      </c>
      <c r="G1126" s="174">
        <f t="shared" si="17"/>
        <v>4172</v>
      </c>
      <c r="H1126" s="174" t="s">
        <v>80</v>
      </c>
    </row>
    <row r="1127" spans="1:8">
      <c r="A1127" s="174" t="s">
        <v>899</v>
      </c>
      <c r="B1127" s="174">
        <v>-265438</v>
      </c>
      <c r="C1127" s="174">
        <v>265438</v>
      </c>
      <c r="D1127" s="174">
        <v>0</v>
      </c>
      <c r="E1127" s="174">
        <v>0</v>
      </c>
      <c r="G1127" s="174">
        <f t="shared" si="17"/>
        <v>0</v>
      </c>
      <c r="H1127" s="174" t="s">
        <v>80</v>
      </c>
    </row>
    <row r="1128" spans="1:8">
      <c r="A1128" s="174" t="s">
        <v>459</v>
      </c>
      <c r="B1128" s="174">
        <v>0</v>
      </c>
      <c r="C1128" s="174">
        <v>643034</v>
      </c>
      <c r="D1128" s="174">
        <v>643034</v>
      </c>
      <c r="E1128" s="174">
        <v>0</v>
      </c>
      <c r="G1128" s="174">
        <f t="shared" si="17"/>
        <v>0</v>
      </c>
      <c r="H1128" s="174" t="s">
        <v>80</v>
      </c>
    </row>
    <row r="1129" spans="1:8">
      <c r="A1129" s="174" t="s">
        <v>513</v>
      </c>
      <c r="B1129" s="174">
        <v>-50</v>
      </c>
      <c r="C1129" s="174">
        <v>50</v>
      </c>
      <c r="D1129" s="174">
        <v>0</v>
      </c>
      <c r="E1129" s="174">
        <v>0</v>
      </c>
      <c r="G1129" s="174">
        <f t="shared" si="17"/>
        <v>0</v>
      </c>
      <c r="H1129" s="174" t="s">
        <v>80</v>
      </c>
    </row>
    <row r="1130" spans="1:8">
      <c r="A1130" s="174" t="s">
        <v>184</v>
      </c>
      <c r="B1130" s="174">
        <v>-322</v>
      </c>
      <c r="C1130" s="174">
        <v>247295</v>
      </c>
      <c r="D1130" s="174">
        <v>247375</v>
      </c>
      <c r="E1130" s="174">
        <v>-402</v>
      </c>
      <c r="G1130" s="174">
        <f t="shared" si="17"/>
        <v>-402</v>
      </c>
      <c r="H1130" s="174" t="s">
        <v>80</v>
      </c>
    </row>
    <row r="1131" spans="1:8">
      <c r="A1131" s="174" t="s">
        <v>183</v>
      </c>
      <c r="B1131" s="174">
        <v>-9074.7199999999993</v>
      </c>
      <c r="C1131" s="174">
        <v>3751</v>
      </c>
      <c r="D1131" s="174">
        <v>196956</v>
      </c>
      <c r="E1131" s="174">
        <v>-202279.72</v>
      </c>
      <c r="G1131" s="174">
        <f t="shared" si="17"/>
        <v>-202279.72</v>
      </c>
      <c r="H1131" s="174" t="s">
        <v>80</v>
      </c>
    </row>
    <row r="1132" spans="1:8">
      <c r="A1132" s="174" t="s">
        <v>900</v>
      </c>
      <c r="B1132" s="174">
        <v>0</v>
      </c>
      <c r="C1132" s="174">
        <v>23500</v>
      </c>
      <c r="D1132" s="174">
        <v>23500</v>
      </c>
      <c r="E1132" s="174">
        <v>0</v>
      </c>
      <c r="G1132" s="174">
        <f t="shared" si="17"/>
        <v>0</v>
      </c>
      <c r="H1132" s="174" t="s">
        <v>80</v>
      </c>
    </row>
    <row r="1133" spans="1:8">
      <c r="A1133" s="174" t="s">
        <v>173</v>
      </c>
      <c r="B1133" s="174">
        <v>-98500</v>
      </c>
      <c r="C1133" s="174">
        <v>544500</v>
      </c>
      <c r="D1133" s="174">
        <v>446000</v>
      </c>
      <c r="E1133" s="174">
        <v>0</v>
      </c>
      <c r="G1133" s="174">
        <f t="shared" si="17"/>
        <v>0</v>
      </c>
      <c r="H1133" s="174" t="s">
        <v>80</v>
      </c>
    </row>
    <row r="1134" spans="1:8">
      <c r="A1134" s="174" t="s">
        <v>901</v>
      </c>
      <c r="B1134" s="174">
        <v>-21200</v>
      </c>
      <c r="C1134" s="174">
        <v>21200</v>
      </c>
      <c r="D1134" s="174">
        <v>0</v>
      </c>
      <c r="E1134" s="174">
        <v>0</v>
      </c>
      <c r="G1134" s="174">
        <f t="shared" si="17"/>
        <v>0</v>
      </c>
      <c r="H1134" s="174" t="s">
        <v>80</v>
      </c>
    </row>
    <row r="1135" spans="1:8">
      <c r="A1135" s="174" t="s">
        <v>1299</v>
      </c>
      <c r="B1135" s="174">
        <v>0</v>
      </c>
      <c r="C1135" s="174">
        <v>1089719</v>
      </c>
      <c r="D1135" s="174">
        <v>1089719</v>
      </c>
      <c r="E1135" s="174">
        <v>0</v>
      </c>
      <c r="G1135" s="174">
        <f t="shared" si="17"/>
        <v>0</v>
      </c>
      <c r="H1135" s="174" t="s">
        <v>80</v>
      </c>
    </row>
    <row r="1136" spans="1:8">
      <c r="A1136" s="174" t="s">
        <v>464</v>
      </c>
      <c r="B1136" s="174">
        <v>0</v>
      </c>
      <c r="C1136" s="174">
        <v>426000</v>
      </c>
      <c r="D1136" s="174">
        <v>426000</v>
      </c>
      <c r="E1136" s="174">
        <v>0</v>
      </c>
      <c r="G1136" s="174">
        <f t="shared" si="17"/>
        <v>0</v>
      </c>
      <c r="H1136" s="174" t="s">
        <v>80</v>
      </c>
    </row>
    <row r="1137" spans="1:8">
      <c r="A1137" s="174" t="s">
        <v>381</v>
      </c>
      <c r="B1137" s="174">
        <v>-948403.69</v>
      </c>
      <c r="C1137" s="174">
        <v>1603460</v>
      </c>
      <c r="D1137" s="174">
        <v>835644</v>
      </c>
      <c r="E1137" s="174">
        <v>-180587.69</v>
      </c>
      <c r="G1137" s="174">
        <f t="shared" si="17"/>
        <v>-180587.69</v>
      </c>
      <c r="H1137" s="174" t="s">
        <v>80</v>
      </c>
    </row>
    <row r="1138" spans="1:8">
      <c r="A1138" s="174" t="s">
        <v>902</v>
      </c>
      <c r="B1138" s="174">
        <v>-14800</v>
      </c>
      <c r="C1138" s="174">
        <v>14800</v>
      </c>
      <c r="D1138" s="174">
        <v>0</v>
      </c>
      <c r="E1138" s="174">
        <v>0</v>
      </c>
      <c r="G1138" s="174">
        <f t="shared" si="17"/>
        <v>0</v>
      </c>
      <c r="H1138" s="174" t="s">
        <v>80</v>
      </c>
    </row>
    <row r="1139" spans="1:8">
      <c r="A1139" s="174" t="s">
        <v>1495</v>
      </c>
      <c r="B1139" s="174">
        <v>0</v>
      </c>
      <c r="C1139" s="174">
        <v>10000</v>
      </c>
      <c r="D1139" s="174">
        <v>0</v>
      </c>
      <c r="E1139" s="174">
        <v>10000</v>
      </c>
      <c r="G1139" s="174">
        <f t="shared" si="17"/>
        <v>10000</v>
      </c>
      <c r="H1139" s="174" t="s">
        <v>80</v>
      </c>
    </row>
    <row r="1140" spans="1:8">
      <c r="A1140" s="174" t="s">
        <v>903</v>
      </c>
      <c r="B1140" s="174">
        <v>204859</v>
      </c>
      <c r="C1140" s="174">
        <v>0</v>
      </c>
      <c r="D1140" s="174">
        <v>0</v>
      </c>
      <c r="E1140" s="174">
        <v>204859</v>
      </c>
      <c r="G1140" s="174">
        <f t="shared" si="17"/>
        <v>204859</v>
      </c>
      <c r="H1140" s="174" t="s">
        <v>80</v>
      </c>
    </row>
    <row r="1141" spans="1:8">
      <c r="A1141" s="174" t="s">
        <v>1594</v>
      </c>
      <c r="B1141" s="174">
        <v>0</v>
      </c>
      <c r="C1141" s="174">
        <v>607.11</v>
      </c>
      <c r="D1141" s="174">
        <v>607.11</v>
      </c>
      <c r="E1141" s="174">
        <v>0</v>
      </c>
      <c r="G1141" s="174">
        <f t="shared" si="17"/>
        <v>0</v>
      </c>
      <c r="H1141" s="174" t="s">
        <v>80</v>
      </c>
    </row>
    <row r="1142" spans="1:8">
      <c r="A1142" s="174" t="s">
        <v>904</v>
      </c>
      <c r="B1142" s="174">
        <v>1421.19</v>
      </c>
      <c r="C1142" s="174">
        <v>1624</v>
      </c>
      <c r="D1142" s="174">
        <v>0</v>
      </c>
      <c r="E1142" s="174">
        <v>3045.19</v>
      </c>
      <c r="G1142" s="174">
        <f t="shared" si="17"/>
        <v>3045.19</v>
      </c>
      <c r="H1142" s="174" t="s">
        <v>80</v>
      </c>
    </row>
    <row r="1143" spans="1:8">
      <c r="A1143" s="174" t="s">
        <v>396</v>
      </c>
      <c r="B1143" s="174">
        <v>39937.550000000003</v>
      </c>
      <c r="C1143" s="174">
        <v>5511</v>
      </c>
      <c r="D1143" s="174">
        <v>0</v>
      </c>
      <c r="E1143" s="174">
        <v>45448.55</v>
      </c>
      <c r="G1143" s="174">
        <f t="shared" si="17"/>
        <v>45448.55</v>
      </c>
      <c r="H1143" s="174" t="s">
        <v>80</v>
      </c>
    </row>
    <row r="1144" spans="1:8">
      <c r="A1144" s="174" t="s">
        <v>905</v>
      </c>
      <c r="B1144" s="174">
        <v>-2811.03</v>
      </c>
      <c r="C1144" s="174">
        <v>0</v>
      </c>
      <c r="D1144" s="174">
        <v>0</v>
      </c>
      <c r="E1144" s="174">
        <v>-2811.03</v>
      </c>
      <c r="G1144" s="174">
        <f t="shared" si="17"/>
        <v>-2811.03</v>
      </c>
      <c r="H1144" s="174" t="s">
        <v>80</v>
      </c>
    </row>
    <row r="1145" spans="1:8">
      <c r="A1145" s="174" t="s">
        <v>426</v>
      </c>
      <c r="B1145" s="174">
        <v>18348.53</v>
      </c>
      <c r="C1145" s="174">
        <v>13085</v>
      </c>
      <c r="D1145" s="174">
        <v>0</v>
      </c>
      <c r="E1145" s="174">
        <v>31433.53</v>
      </c>
      <c r="G1145" s="174">
        <f t="shared" si="17"/>
        <v>31433.53</v>
      </c>
      <c r="H1145" s="174" t="s">
        <v>80</v>
      </c>
    </row>
    <row r="1146" spans="1:8">
      <c r="A1146" s="174" t="s">
        <v>406</v>
      </c>
      <c r="B1146" s="174">
        <v>0</v>
      </c>
      <c r="C1146" s="174">
        <v>607</v>
      </c>
      <c r="D1146" s="174">
        <v>0</v>
      </c>
      <c r="E1146" s="174">
        <v>607</v>
      </c>
      <c r="G1146" s="174">
        <f t="shared" si="17"/>
        <v>607</v>
      </c>
      <c r="H1146" s="174" t="s">
        <v>80</v>
      </c>
    </row>
    <row r="1147" spans="1:8">
      <c r="A1147" s="174" t="s">
        <v>1496</v>
      </c>
      <c r="B1147" s="174">
        <v>0</v>
      </c>
      <c r="C1147" s="174">
        <v>157918</v>
      </c>
      <c r="D1147" s="174">
        <v>157918</v>
      </c>
      <c r="E1147" s="174">
        <v>0</v>
      </c>
      <c r="G1147" s="174">
        <f t="shared" si="17"/>
        <v>0</v>
      </c>
      <c r="H1147" s="174" t="s">
        <v>80</v>
      </c>
    </row>
    <row r="1148" spans="1:8">
      <c r="A1148" s="174" t="s">
        <v>1497</v>
      </c>
      <c r="B1148" s="174">
        <v>0</v>
      </c>
      <c r="C1148" s="174">
        <v>242813</v>
      </c>
      <c r="D1148" s="174">
        <v>242813</v>
      </c>
      <c r="E1148" s="174">
        <v>0</v>
      </c>
      <c r="G1148" s="174">
        <f t="shared" si="17"/>
        <v>0</v>
      </c>
      <c r="H1148" s="174" t="s">
        <v>80</v>
      </c>
    </row>
    <row r="1149" spans="1:8">
      <c r="A1149" s="174" t="s">
        <v>906</v>
      </c>
      <c r="B1149" s="174">
        <v>2480</v>
      </c>
      <c r="C1149" s="174">
        <v>0</v>
      </c>
      <c r="D1149" s="174">
        <v>0</v>
      </c>
      <c r="E1149" s="174">
        <v>2480</v>
      </c>
      <c r="G1149" s="174">
        <f t="shared" si="17"/>
        <v>2480</v>
      </c>
      <c r="H1149" s="174" t="s">
        <v>80</v>
      </c>
    </row>
    <row r="1150" spans="1:8">
      <c r="A1150" s="174" t="s">
        <v>907</v>
      </c>
      <c r="B1150" s="174">
        <v>2290</v>
      </c>
      <c r="C1150" s="174">
        <v>2480</v>
      </c>
      <c r="D1150" s="174">
        <v>0</v>
      </c>
      <c r="E1150" s="174">
        <v>4770</v>
      </c>
      <c r="G1150" s="174">
        <f t="shared" si="17"/>
        <v>4770</v>
      </c>
      <c r="H1150" s="174" t="s">
        <v>80</v>
      </c>
    </row>
    <row r="1151" spans="1:8">
      <c r="A1151" s="174" t="s">
        <v>908</v>
      </c>
      <c r="B1151" s="174">
        <v>379</v>
      </c>
      <c r="C1151" s="174">
        <v>21967</v>
      </c>
      <c r="D1151" s="174">
        <v>22346</v>
      </c>
      <c r="E1151" s="174">
        <v>0</v>
      </c>
      <c r="G1151" s="174">
        <f t="shared" si="17"/>
        <v>0</v>
      </c>
      <c r="H1151" s="174" t="s">
        <v>80</v>
      </c>
    </row>
    <row r="1152" spans="1:8">
      <c r="A1152" s="174" t="s">
        <v>909</v>
      </c>
      <c r="B1152" s="174">
        <v>0</v>
      </c>
      <c r="C1152" s="174">
        <v>473742</v>
      </c>
      <c r="D1152" s="174">
        <v>473742</v>
      </c>
      <c r="E1152" s="174">
        <v>0</v>
      </c>
      <c r="G1152" s="174">
        <f t="shared" si="17"/>
        <v>0</v>
      </c>
      <c r="H1152" s="174" t="s">
        <v>80</v>
      </c>
    </row>
    <row r="1153" spans="1:8">
      <c r="A1153" s="174" t="s">
        <v>428</v>
      </c>
      <c r="B1153" s="174">
        <v>-98438</v>
      </c>
      <c r="C1153" s="174">
        <v>428135</v>
      </c>
      <c r="D1153" s="174">
        <v>340553.66</v>
      </c>
      <c r="E1153" s="174">
        <v>-10856.66</v>
      </c>
      <c r="G1153" s="174">
        <f t="shared" si="17"/>
        <v>-10856.66</v>
      </c>
      <c r="H1153" s="174" t="s">
        <v>80</v>
      </c>
    </row>
    <row r="1154" spans="1:8">
      <c r="A1154" s="174" t="s">
        <v>389</v>
      </c>
      <c r="B1154" s="174">
        <v>264055.32</v>
      </c>
      <c r="C1154" s="174">
        <v>0</v>
      </c>
      <c r="D1154" s="174">
        <v>0</v>
      </c>
      <c r="E1154" s="174">
        <v>264055.32</v>
      </c>
      <c r="G1154" s="174">
        <f t="shared" si="17"/>
        <v>264055.32</v>
      </c>
      <c r="H1154" s="174" t="s">
        <v>80</v>
      </c>
    </row>
    <row r="1155" spans="1:8">
      <c r="A1155" s="174" t="s">
        <v>1301</v>
      </c>
      <c r="B1155" s="174">
        <v>0</v>
      </c>
      <c r="C1155" s="174">
        <v>0</v>
      </c>
      <c r="D1155" s="174">
        <v>0</v>
      </c>
      <c r="E1155" s="174">
        <v>0</v>
      </c>
      <c r="G1155" s="174">
        <f t="shared" ref="G1155:G1218" si="18">E1155+F1155</f>
        <v>0</v>
      </c>
      <c r="H1155" s="174" t="s">
        <v>80</v>
      </c>
    </row>
    <row r="1156" spans="1:8">
      <c r="A1156" s="174" t="s">
        <v>910</v>
      </c>
      <c r="B1156" s="174">
        <v>0</v>
      </c>
      <c r="C1156" s="174">
        <v>52143</v>
      </c>
      <c r="D1156" s="174">
        <v>52143</v>
      </c>
      <c r="E1156" s="174">
        <v>0</v>
      </c>
      <c r="G1156" s="174">
        <f t="shared" si="18"/>
        <v>0</v>
      </c>
      <c r="H1156" s="174" t="s">
        <v>80</v>
      </c>
    </row>
    <row r="1157" spans="1:8">
      <c r="A1157" s="174" t="s">
        <v>911</v>
      </c>
      <c r="B1157" s="174">
        <v>0</v>
      </c>
      <c r="C1157" s="174">
        <v>2357740</v>
      </c>
      <c r="D1157" s="174">
        <v>2357740</v>
      </c>
      <c r="E1157" s="174">
        <v>0</v>
      </c>
      <c r="G1157" s="174">
        <f t="shared" si="18"/>
        <v>0</v>
      </c>
      <c r="H1157" s="174" t="s">
        <v>80</v>
      </c>
    </row>
    <row r="1158" spans="1:8">
      <c r="A1158" s="174" t="s">
        <v>912</v>
      </c>
      <c r="B1158" s="174">
        <v>0</v>
      </c>
      <c r="C1158" s="174">
        <v>422817</v>
      </c>
      <c r="D1158" s="174">
        <v>422817</v>
      </c>
      <c r="E1158" s="174">
        <v>0</v>
      </c>
      <c r="G1158" s="174">
        <f t="shared" si="18"/>
        <v>0</v>
      </c>
      <c r="H1158" s="174" t="s">
        <v>80</v>
      </c>
    </row>
    <row r="1159" spans="1:8">
      <c r="A1159" s="174" t="s">
        <v>913</v>
      </c>
      <c r="B1159" s="174">
        <v>5637.6</v>
      </c>
      <c r="C1159" s="174">
        <v>0</v>
      </c>
      <c r="D1159" s="174">
        <v>0</v>
      </c>
      <c r="E1159" s="174">
        <v>5637.6</v>
      </c>
      <c r="G1159" s="174">
        <f t="shared" si="18"/>
        <v>5637.6</v>
      </c>
      <c r="H1159" s="174" t="s">
        <v>80</v>
      </c>
    </row>
    <row r="1160" spans="1:8">
      <c r="A1160" s="174" t="s">
        <v>1302</v>
      </c>
      <c r="B1160" s="174">
        <v>0</v>
      </c>
      <c r="C1160" s="174">
        <v>0</v>
      </c>
      <c r="D1160" s="174">
        <v>0</v>
      </c>
      <c r="E1160" s="174">
        <v>0</v>
      </c>
      <c r="G1160" s="174">
        <f t="shared" si="18"/>
        <v>0</v>
      </c>
      <c r="H1160" s="174" t="s">
        <v>80</v>
      </c>
    </row>
    <row r="1161" spans="1:8">
      <c r="A1161" s="174" t="s">
        <v>914</v>
      </c>
      <c r="B1161" s="174">
        <v>-36738.54</v>
      </c>
      <c r="C1161" s="174">
        <v>0</v>
      </c>
      <c r="D1161" s="174">
        <v>0</v>
      </c>
      <c r="E1161" s="174">
        <v>-36738.54</v>
      </c>
      <c r="G1161" s="174">
        <f t="shared" si="18"/>
        <v>-36738.54</v>
      </c>
      <c r="H1161" s="174" t="s">
        <v>80</v>
      </c>
    </row>
    <row r="1162" spans="1:8">
      <c r="A1162" s="174" t="s">
        <v>1303</v>
      </c>
      <c r="B1162" s="174">
        <v>0</v>
      </c>
      <c r="C1162" s="174">
        <v>0</v>
      </c>
      <c r="D1162" s="174">
        <v>0</v>
      </c>
      <c r="E1162" s="174">
        <v>0</v>
      </c>
      <c r="G1162" s="174">
        <f t="shared" si="18"/>
        <v>0</v>
      </c>
      <c r="H1162" s="174" t="s">
        <v>80</v>
      </c>
    </row>
    <row r="1163" spans="1:8">
      <c r="A1163" s="174" t="s">
        <v>1595</v>
      </c>
      <c r="B1163" s="174">
        <v>0</v>
      </c>
      <c r="C1163" s="174">
        <v>347483</v>
      </c>
      <c r="D1163" s="174">
        <v>0</v>
      </c>
      <c r="E1163" s="174">
        <v>347483</v>
      </c>
      <c r="G1163" s="174">
        <f t="shared" si="18"/>
        <v>347483</v>
      </c>
      <c r="H1163" s="174" t="s">
        <v>80</v>
      </c>
    </row>
    <row r="1164" spans="1:8">
      <c r="A1164" s="174" t="s">
        <v>915</v>
      </c>
      <c r="B1164" s="174">
        <v>-20029488</v>
      </c>
      <c r="C1164" s="174">
        <v>0</v>
      </c>
      <c r="D1164" s="174">
        <v>0</v>
      </c>
      <c r="E1164" s="174">
        <v>-20029488</v>
      </c>
      <c r="G1164" s="174">
        <f t="shared" si="18"/>
        <v>-20029488</v>
      </c>
      <c r="H1164" s="174" t="s">
        <v>80</v>
      </c>
    </row>
    <row r="1165" spans="1:8">
      <c r="A1165" s="174" t="s">
        <v>1304</v>
      </c>
      <c r="B1165" s="174">
        <v>0</v>
      </c>
      <c r="C1165" s="174">
        <v>0</v>
      </c>
      <c r="D1165" s="174">
        <v>0</v>
      </c>
      <c r="E1165" s="174">
        <v>0</v>
      </c>
      <c r="G1165" s="174">
        <f t="shared" si="18"/>
        <v>0</v>
      </c>
      <c r="H1165" s="174" t="s">
        <v>80</v>
      </c>
    </row>
    <row r="1166" spans="1:8">
      <c r="A1166" s="174" t="s">
        <v>1305</v>
      </c>
      <c r="B1166" s="174">
        <v>0</v>
      </c>
      <c r="C1166" s="174">
        <v>0</v>
      </c>
      <c r="D1166" s="174">
        <v>0</v>
      </c>
      <c r="E1166" s="174">
        <v>0</v>
      </c>
      <c r="G1166" s="174">
        <f t="shared" si="18"/>
        <v>0</v>
      </c>
      <c r="H1166" s="174" t="s">
        <v>80</v>
      </c>
    </row>
    <row r="1167" spans="1:8">
      <c r="A1167" s="174" t="s">
        <v>1306</v>
      </c>
      <c r="B1167" s="174">
        <v>0</v>
      </c>
      <c r="C1167" s="174">
        <v>0</v>
      </c>
      <c r="D1167" s="174">
        <v>0</v>
      </c>
      <c r="E1167" s="174">
        <v>0</v>
      </c>
      <c r="G1167" s="174">
        <f t="shared" si="18"/>
        <v>0</v>
      </c>
      <c r="H1167" s="174" t="s">
        <v>80</v>
      </c>
    </row>
    <row r="1168" spans="1:8">
      <c r="A1168" s="174" t="s">
        <v>916</v>
      </c>
      <c r="B1168" s="174">
        <v>0.01</v>
      </c>
      <c r="C1168" s="174">
        <v>536743</v>
      </c>
      <c r="D1168" s="174">
        <v>0</v>
      </c>
      <c r="E1168" s="174">
        <v>536743.01</v>
      </c>
      <c r="G1168" s="174">
        <f t="shared" si="18"/>
        <v>536743.01</v>
      </c>
      <c r="H1168" s="174" t="s">
        <v>80</v>
      </c>
    </row>
    <row r="1169" spans="1:8">
      <c r="A1169" s="174" t="s">
        <v>1307</v>
      </c>
      <c r="B1169" s="174">
        <v>0</v>
      </c>
      <c r="C1169" s="174">
        <v>0</v>
      </c>
      <c r="D1169" s="174">
        <v>0</v>
      </c>
      <c r="E1169" s="174">
        <v>0</v>
      </c>
      <c r="G1169" s="174">
        <f t="shared" si="18"/>
        <v>0</v>
      </c>
      <c r="H1169" s="174" t="s">
        <v>80</v>
      </c>
    </row>
    <row r="1170" spans="1:8">
      <c r="A1170" s="174" t="s">
        <v>917</v>
      </c>
      <c r="B1170" s="174">
        <v>-7206296.8700000001</v>
      </c>
      <c r="C1170" s="174">
        <v>7227000</v>
      </c>
      <c r="D1170" s="174">
        <v>0</v>
      </c>
      <c r="E1170" s="174">
        <v>20703.13</v>
      </c>
      <c r="G1170" s="174">
        <f t="shared" si="18"/>
        <v>20703.13</v>
      </c>
      <c r="H1170" s="174" t="s">
        <v>80</v>
      </c>
    </row>
    <row r="1171" spans="1:8">
      <c r="A1171" s="174" t="s">
        <v>1308</v>
      </c>
      <c r="B1171" s="174">
        <v>0</v>
      </c>
      <c r="C1171" s="174">
        <v>0</v>
      </c>
      <c r="D1171" s="174">
        <v>192340</v>
      </c>
      <c r="E1171" s="174">
        <v>-192340</v>
      </c>
      <c r="G1171" s="174">
        <f t="shared" si="18"/>
        <v>-192340</v>
      </c>
      <c r="H1171" s="174" t="s">
        <v>80</v>
      </c>
    </row>
    <row r="1172" spans="1:8">
      <c r="A1172" s="174" t="s">
        <v>1309</v>
      </c>
      <c r="B1172" s="174">
        <v>0</v>
      </c>
      <c r="C1172" s="174">
        <v>0</v>
      </c>
      <c r="D1172" s="174">
        <v>0</v>
      </c>
      <c r="E1172" s="174">
        <v>0</v>
      </c>
      <c r="G1172" s="174">
        <f t="shared" si="18"/>
        <v>0</v>
      </c>
      <c r="H1172" s="174" t="s">
        <v>80</v>
      </c>
    </row>
    <row r="1173" spans="1:8">
      <c r="A1173" s="174" t="s">
        <v>1310</v>
      </c>
      <c r="B1173" s="174">
        <v>0</v>
      </c>
      <c r="C1173" s="174">
        <v>0</v>
      </c>
      <c r="D1173" s="174">
        <v>0</v>
      </c>
      <c r="E1173" s="174">
        <v>0</v>
      </c>
      <c r="G1173" s="174">
        <f t="shared" si="18"/>
        <v>0</v>
      </c>
      <c r="H1173" s="174" t="s">
        <v>80</v>
      </c>
    </row>
    <row r="1174" spans="1:8">
      <c r="A1174" s="174" t="s">
        <v>918</v>
      </c>
      <c r="B1174" s="174">
        <v>-3007.5</v>
      </c>
      <c r="C1174" s="174">
        <v>3007.5</v>
      </c>
      <c r="D1174" s="174">
        <v>0</v>
      </c>
      <c r="E1174" s="174">
        <v>0</v>
      </c>
      <c r="G1174" s="174">
        <f t="shared" si="18"/>
        <v>0</v>
      </c>
      <c r="H1174" s="174" t="s">
        <v>80</v>
      </c>
    </row>
    <row r="1175" spans="1:8">
      <c r="A1175" s="174" t="s">
        <v>919</v>
      </c>
      <c r="B1175" s="174">
        <v>-362124.3</v>
      </c>
      <c r="C1175" s="174">
        <v>362124.3</v>
      </c>
      <c r="D1175" s="174">
        <v>152928</v>
      </c>
      <c r="E1175" s="174">
        <v>-152928</v>
      </c>
      <c r="G1175" s="174">
        <f t="shared" si="18"/>
        <v>-152928</v>
      </c>
      <c r="H1175" s="174" t="s">
        <v>80</v>
      </c>
    </row>
    <row r="1176" spans="1:8">
      <c r="A1176" s="174" t="s">
        <v>1311</v>
      </c>
      <c r="B1176" s="174">
        <v>0</v>
      </c>
      <c r="C1176" s="174">
        <v>0</v>
      </c>
      <c r="D1176" s="174">
        <v>0</v>
      </c>
      <c r="E1176" s="174">
        <v>0</v>
      </c>
      <c r="G1176" s="174">
        <f t="shared" si="18"/>
        <v>0</v>
      </c>
      <c r="H1176" s="174" t="s">
        <v>80</v>
      </c>
    </row>
    <row r="1177" spans="1:8">
      <c r="A1177" s="174" t="s">
        <v>460</v>
      </c>
      <c r="B1177" s="174">
        <v>0</v>
      </c>
      <c r="C1177" s="174">
        <v>1339302</v>
      </c>
      <c r="D1177" s="174">
        <v>1339302</v>
      </c>
      <c r="E1177" s="174">
        <v>0</v>
      </c>
      <c r="G1177" s="174">
        <f t="shared" si="18"/>
        <v>0</v>
      </c>
      <c r="H1177" s="174" t="s">
        <v>80</v>
      </c>
    </row>
    <row r="1178" spans="1:8">
      <c r="A1178" s="174" t="s">
        <v>920</v>
      </c>
      <c r="B1178" s="174">
        <v>-390679</v>
      </c>
      <c r="C1178" s="174">
        <v>390679</v>
      </c>
      <c r="D1178" s="174">
        <v>251786</v>
      </c>
      <c r="E1178" s="174">
        <v>-251786</v>
      </c>
      <c r="G1178" s="174">
        <f t="shared" si="18"/>
        <v>-251786</v>
      </c>
      <c r="H1178" s="174" t="s">
        <v>80</v>
      </c>
    </row>
    <row r="1179" spans="1:8">
      <c r="A1179" s="174" t="s">
        <v>1312</v>
      </c>
      <c r="B1179" s="174">
        <v>0</v>
      </c>
      <c r="C1179" s="174">
        <v>0</v>
      </c>
      <c r="D1179" s="174">
        <v>0</v>
      </c>
      <c r="E1179" s="174">
        <v>0</v>
      </c>
      <c r="G1179" s="174">
        <f t="shared" si="18"/>
        <v>0</v>
      </c>
      <c r="H1179" s="174" t="s">
        <v>80</v>
      </c>
    </row>
    <row r="1180" spans="1:8">
      <c r="A1180" s="174" t="s">
        <v>1313</v>
      </c>
      <c r="B1180" s="174">
        <v>0</v>
      </c>
      <c r="C1180" s="174">
        <v>0</v>
      </c>
      <c r="D1180" s="174">
        <v>0</v>
      </c>
      <c r="E1180" s="174">
        <v>0</v>
      </c>
      <c r="G1180" s="174">
        <f t="shared" si="18"/>
        <v>0</v>
      </c>
      <c r="H1180" s="174" t="s">
        <v>80</v>
      </c>
    </row>
    <row r="1181" spans="1:8">
      <c r="A1181" s="174" t="s">
        <v>1498</v>
      </c>
      <c r="B1181" s="174">
        <v>0</v>
      </c>
      <c r="C1181" s="174">
        <v>3970283</v>
      </c>
      <c r="D1181" s="174">
        <v>3973650</v>
      </c>
      <c r="E1181" s="174">
        <v>-3367</v>
      </c>
      <c r="G1181" s="174">
        <f t="shared" si="18"/>
        <v>-3367</v>
      </c>
      <c r="H1181" s="174" t="s">
        <v>80</v>
      </c>
    </row>
    <row r="1182" spans="1:8">
      <c r="A1182" s="174" t="s">
        <v>1314</v>
      </c>
      <c r="B1182" s="174">
        <v>0</v>
      </c>
      <c r="C1182" s="174">
        <v>0</v>
      </c>
      <c r="D1182" s="174">
        <v>0</v>
      </c>
      <c r="E1182" s="174">
        <v>0</v>
      </c>
      <c r="G1182" s="174">
        <f t="shared" si="18"/>
        <v>0</v>
      </c>
      <c r="H1182" s="174" t="s">
        <v>80</v>
      </c>
    </row>
    <row r="1183" spans="1:8">
      <c r="A1183" s="174" t="s">
        <v>451</v>
      </c>
      <c r="B1183" s="174">
        <v>-113701170.09</v>
      </c>
      <c r="C1183" s="174">
        <v>14600000</v>
      </c>
      <c r="D1183" s="174">
        <v>39600987.850000001</v>
      </c>
      <c r="E1183" s="174">
        <v>-138702157.94</v>
      </c>
      <c r="G1183" s="174">
        <f t="shared" si="18"/>
        <v>-138702157.94</v>
      </c>
      <c r="H1183" s="174" t="s">
        <v>80</v>
      </c>
    </row>
    <row r="1184" spans="1:8">
      <c r="A1184" s="174" t="s">
        <v>1596</v>
      </c>
      <c r="B1184" s="174">
        <v>0</v>
      </c>
      <c r="C1184" s="174">
        <v>0</v>
      </c>
      <c r="D1184" s="174">
        <v>283600.67</v>
      </c>
      <c r="E1184" s="174">
        <v>-283600.67</v>
      </c>
      <c r="G1184" s="174">
        <f t="shared" si="18"/>
        <v>-283600.67</v>
      </c>
      <c r="H1184" s="174" t="s">
        <v>80</v>
      </c>
    </row>
    <row r="1185" spans="1:8">
      <c r="A1185" s="174" t="s">
        <v>1315</v>
      </c>
      <c r="B1185" s="174">
        <v>0</v>
      </c>
      <c r="C1185" s="174">
        <v>0</v>
      </c>
      <c r="D1185" s="174">
        <v>0</v>
      </c>
      <c r="E1185" s="174">
        <v>0</v>
      </c>
      <c r="G1185" s="174">
        <f t="shared" si="18"/>
        <v>0</v>
      </c>
      <c r="H1185" s="174" t="s">
        <v>80</v>
      </c>
    </row>
    <row r="1186" spans="1:8">
      <c r="A1186" s="174" t="s">
        <v>239</v>
      </c>
      <c r="B1186" s="174">
        <v>0</v>
      </c>
      <c r="C1186" s="174">
        <v>5741730.5</v>
      </c>
      <c r="D1186" s="174">
        <v>5745242.5</v>
      </c>
      <c r="E1186" s="174">
        <v>-3512</v>
      </c>
      <c r="G1186" s="174">
        <f t="shared" si="18"/>
        <v>-3512</v>
      </c>
      <c r="H1186" s="174" t="s">
        <v>80</v>
      </c>
    </row>
    <row r="1187" spans="1:8">
      <c r="A1187" s="174" t="s">
        <v>1316</v>
      </c>
      <c r="B1187" s="174">
        <v>0</v>
      </c>
      <c r="C1187" s="174">
        <v>52356115</v>
      </c>
      <c r="D1187" s="174">
        <v>38210535</v>
      </c>
      <c r="E1187" s="174">
        <v>14145580</v>
      </c>
      <c r="G1187" s="174">
        <f t="shared" si="18"/>
        <v>14145580</v>
      </c>
      <c r="H1187" s="174" t="s">
        <v>80</v>
      </c>
    </row>
    <row r="1188" spans="1:8">
      <c r="A1188" s="174" t="s">
        <v>1317</v>
      </c>
      <c r="B1188" s="174">
        <v>0</v>
      </c>
      <c r="C1188" s="174">
        <v>0</v>
      </c>
      <c r="D1188" s="174">
        <v>0</v>
      </c>
      <c r="E1188" s="174">
        <v>0</v>
      </c>
      <c r="G1188" s="174">
        <f t="shared" si="18"/>
        <v>0</v>
      </c>
      <c r="H1188" s="174" t="s">
        <v>80</v>
      </c>
    </row>
    <row r="1189" spans="1:8">
      <c r="A1189" s="174" t="s">
        <v>1318</v>
      </c>
      <c r="B1189" s="174">
        <v>0</v>
      </c>
      <c r="C1189" s="174">
        <v>3540000</v>
      </c>
      <c r="D1189" s="174">
        <v>0</v>
      </c>
      <c r="E1189" s="174">
        <v>3540000</v>
      </c>
      <c r="G1189" s="174">
        <f t="shared" si="18"/>
        <v>3540000</v>
      </c>
      <c r="H1189" s="174" t="s">
        <v>80</v>
      </c>
    </row>
    <row r="1190" spans="1:8">
      <c r="A1190" s="174" t="s">
        <v>1319</v>
      </c>
      <c r="B1190" s="174">
        <v>0</v>
      </c>
      <c r="C1190" s="174">
        <v>0</v>
      </c>
      <c r="D1190" s="174">
        <v>0</v>
      </c>
      <c r="E1190" s="174">
        <v>0</v>
      </c>
      <c r="G1190" s="174">
        <f t="shared" si="18"/>
        <v>0</v>
      </c>
      <c r="H1190" s="174" t="s">
        <v>80</v>
      </c>
    </row>
    <row r="1191" spans="1:8">
      <c r="A1191" s="174" t="s">
        <v>1320</v>
      </c>
      <c r="B1191" s="174">
        <v>0</v>
      </c>
      <c r="C1191" s="174">
        <v>0</v>
      </c>
      <c r="D1191" s="174">
        <v>0</v>
      </c>
      <c r="E1191" s="174">
        <v>0</v>
      </c>
      <c r="G1191" s="174">
        <f t="shared" si="18"/>
        <v>0</v>
      </c>
      <c r="H1191" s="174" t="s">
        <v>80</v>
      </c>
    </row>
    <row r="1192" spans="1:8">
      <c r="A1192" s="174" t="s">
        <v>1321</v>
      </c>
      <c r="B1192" s="174">
        <v>0</v>
      </c>
      <c r="C1192" s="174">
        <v>0</v>
      </c>
      <c r="D1192" s="174">
        <v>0</v>
      </c>
      <c r="E1192" s="174">
        <v>0</v>
      </c>
      <c r="G1192" s="174">
        <f t="shared" si="18"/>
        <v>0</v>
      </c>
      <c r="H1192" s="174" t="s">
        <v>80</v>
      </c>
    </row>
    <row r="1193" spans="1:8">
      <c r="A1193" s="174" t="s">
        <v>921</v>
      </c>
      <c r="B1193" s="174">
        <v>2177.2800000000002</v>
      </c>
      <c r="C1193" s="174">
        <v>0</v>
      </c>
      <c r="D1193" s="174">
        <v>0</v>
      </c>
      <c r="E1193" s="174">
        <v>2177.2800000000002</v>
      </c>
      <c r="G1193" s="174">
        <f t="shared" si="18"/>
        <v>2177.2800000000002</v>
      </c>
      <c r="H1193" s="174" t="s">
        <v>80</v>
      </c>
    </row>
    <row r="1194" spans="1:8">
      <c r="A1194" s="174" t="s">
        <v>524</v>
      </c>
      <c r="B1194" s="174">
        <v>-1349976.14</v>
      </c>
      <c r="C1194" s="174">
        <v>4233358.9400000004</v>
      </c>
      <c r="D1194" s="174">
        <v>6095660.9400000004</v>
      </c>
      <c r="E1194" s="174">
        <v>-3212278.14</v>
      </c>
      <c r="G1194" s="174">
        <f t="shared" si="18"/>
        <v>-3212278.14</v>
      </c>
      <c r="H1194" s="174" t="s">
        <v>80</v>
      </c>
    </row>
    <row r="1195" spans="1:8">
      <c r="A1195" s="174" t="s">
        <v>1322</v>
      </c>
      <c r="B1195" s="174">
        <v>0</v>
      </c>
      <c r="C1195" s="174">
        <v>0</v>
      </c>
      <c r="D1195" s="174">
        <v>0</v>
      </c>
      <c r="E1195" s="174">
        <v>0</v>
      </c>
      <c r="G1195" s="174">
        <f t="shared" si="18"/>
        <v>0</v>
      </c>
      <c r="H1195" s="174" t="s">
        <v>80</v>
      </c>
    </row>
    <row r="1196" spans="1:8">
      <c r="A1196" s="174" t="s">
        <v>514</v>
      </c>
      <c r="B1196" s="174">
        <v>-6093</v>
      </c>
      <c r="C1196" s="174">
        <v>0</v>
      </c>
      <c r="D1196" s="174">
        <v>0</v>
      </c>
      <c r="E1196" s="174">
        <v>-6093</v>
      </c>
      <c r="G1196" s="174">
        <f t="shared" si="18"/>
        <v>-6093</v>
      </c>
      <c r="H1196" s="174" t="s">
        <v>80</v>
      </c>
    </row>
    <row r="1197" spans="1:8">
      <c r="A1197" s="174" t="s">
        <v>922</v>
      </c>
      <c r="B1197" s="174">
        <v>-2815223.04</v>
      </c>
      <c r="C1197" s="174">
        <v>0</v>
      </c>
      <c r="D1197" s="174">
        <v>0</v>
      </c>
      <c r="E1197" s="174">
        <v>-2815223.04</v>
      </c>
      <c r="G1197" s="174">
        <f t="shared" si="18"/>
        <v>-2815223.04</v>
      </c>
      <c r="H1197" s="174" t="s">
        <v>80</v>
      </c>
    </row>
    <row r="1198" spans="1:8">
      <c r="A1198" s="174" t="s">
        <v>515</v>
      </c>
      <c r="B1198" s="174">
        <v>-60939205.399999999</v>
      </c>
      <c r="C1198" s="174">
        <v>25711863</v>
      </c>
      <c r="D1198" s="174">
        <v>25716152</v>
      </c>
      <c r="E1198" s="174">
        <v>-60943494.399999999</v>
      </c>
      <c r="G1198" s="174">
        <f t="shared" si="18"/>
        <v>-60943494.399999999</v>
      </c>
      <c r="H1198" s="174" t="s">
        <v>80</v>
      </c>
    </row>
    <row r="1199" spans="1:8">
      <c r="A1199" s="174" t="s">
        <v>516</v>
      </c>
      <c r="B1199" s="174">
        <v>121956043.03</v>
      </c>
      <c r="C1199" s="174">
        <v>97354</v>
      </c>
      <c r="D1199" s="174">
        <v>114367859.02</v>
      </c>
      <c r="E1199" s="174">
        <v>7685538.0099999998</v>
      </c>
      <c r="G1199" s="174">
        <f t="shared" si="18"/>
        <v>7685538.0099999998</v>
      </c>
      <c r="H1199" s="174" t="s">
        <v>80</v>
      </c>
    </row>
    <row r="1200" spans="1:8">
      <c r="A1200" s="174" t="s">
        <v>214</v>
      </c>
      <c r="B1200" s="174">
        <v>-178274.77</v>
      </c>
      <c r="C1200" s="174">
        <v>618141.92000000004</v>
      </c>
      <c r="D1200" s="174">
        <v>838616.15</v>
      </c>
      <c r="E1200" s="174">
        <v>-398749</v>
      </c>
      <c r="G1200" s="174">
        <f t="shared" si="18"/>
        <v>-398749</v>
      </c>
      <c r="H1200" s="174" t="s">
        <v>80</v>
      </c>
    </row>
    <row r="1201" spans="1:8">
      <c r="A1201" s="174" t="s">
        <v>207</v>
      </c>
      <c r="B1201" s="174">
        <v>-0.16</v>
      </c>
      <c r="C1201" s="174">
        <v>0</v>
      </c>
      <c r="D1201" s="174">
        <v>0</v>
      </c>
      <c r="E1201" s="174">
        <v>-0.16</v>
      </c>
      <c r="G1201" s="174">
        <f t="shared" si="18"/>
        <v>-0.16</v>
      </c>
      <c r="H1201" s="174" t="s">
        <v>80</v>
      </c>
    </row>
    <row r="1202" spans="1:8">
      <c r="A1202" s="174" t="s">
        <v>923</v>
      </c>
      <c r="B1202" s="174">
        <v>-288057.3</v>
      </c>
      <c r="C1202" s="174">
        <v>27479518.260000002</v>
      </c>
      <c r="D1202" s="174">
        <v>27922268.98</v>
      </c>
      <c r="E1202" s="174">
        <v>-730808.02</v>
      </c>
      <c r="G1202" s="174">
        <f t="shared" si="18"/>
        <v>-730808.02</v>
      </c>
      <c r="H1202" s="174" t="s">
        <v>80</v>
      </c>
    </row>
    <row r="1203" spans="1:8">
      <c r="A1203" s="174" t="s">
        <v>195</v>
      </c>
      <c r="B1203" s="174">
        <v>-3347574.91</v>
      </c>
      <c r="C1203" s="174">
        <v>0</v>
      </c>
      <c r="D1203" s="174">
        <v>0</v>
      </c>
      <c r="E1203" s="174">
        <v>-3347574.91</v>
      </c>
      <c r="G1203" s="174">
        <f t="shared" si="18"/>
        <v>-3347574.91</v>
      </c>
      <c r="H1203" s="174" t="s">
        <v>80</v>
      </c>
    </row>
    <row r="1204" spans="1:8">
      <c r="A1204" s="174" t="s">
        <v>196</v>
      </c>
      <c r="B1204" s="174">
        <v>-4968583.95</v>
      </c>
      <c r="C1204" s="174">
        <v>5900745.8099999996</v>
      </c>
      <c r="D1204" s="174">
        <v>1264495.67</v>
      </c>
      <c r="E1204" s="174">
        <v>-332333.81</v>
      </c>
      <c r="G1204" s="174">
        <f t="shared" si="18"/>
        <v>-332333.81</v>
      </c>
      <c r="H1204" s="174" t="s">
        <v>80</v>
      </c>
    </row>
    <row r="1205" spans="1:8">
      <c r="A1205" s="174" t="s">
        <v>924</v>
      </c>
      <c r="B1205" s="174">
        <v>0</v>
      </c>
      <c r="C1205" s="174">
        <v>3241696</v>
      </c>
      <c r="D1205" s="174">
        <v>3241696</v>
      </c>
      <c r="E1205" s="174">
        <v>0</v>
      </c>
      <c r="G1205" s="174">
        <f t="shared" si="18"/>
        <v>0</v>
      </c>
      <c r="H1205" s="174" t="s">
        <v>80</v>
      </c>
    </row>
    <row r="1206" spans="1:8">
      <c r="A1206" s="174" t="s">
        <v>1323</v>
      </c>
      <c r="B1206" s="174">
        <v>0</v>
      </c>
      <c r="C1206" s="174">
        <v>0</v>
      </c>
      <c r="D1206" s="174">
        <v>0</v>
      </c>
      <c r="E1206" s="174">
        <v>0</v>
      </c>
      <c r="G1206" s="174">
        <f t="shared" si="18"/>
        <v>0</v>
      </c>
      <c r="H1206" s="174" t="s">
        <v>80</v>
      </c>
    </row>
    <row r="1207" spans="1:8">
      <c r="A1207" s="174" t="s">
        <v>925</v>
      </c>
      <c r="B1207" s="174">
        <v>397122</v>
      </c>
      <c r="C1207" s="174">
        <v>0</v>
      </c>
      <c r="D1207" s="174">
        <v>0</v>
      </c>
      <c r="E1207" s="174">
        <v>397122</v>
      </c>
      <c r="G1207" s="174">
        <f t="shared" si="18"/>
        <v>397122</v>
      </c>
      <c r="H1207" s="174" t="s">
        <v>80</v>
      </c>
    </row>
    <row r="1208" spans="1:8">
      <c r="A1208" s="174" t="s">
        <v>1324</v>
      </c>
      <c r="B1208" s="174">
        <v>0</v>
      </c>
      <c r="C1208" s="174">
        <v>0</v>
      </c>
      <c r="D1208" s="174">
        <v>0</v>
      </c>
      <c r="E1208" s="174">
        <v>0</v>
      </c>
      <c r="G1208" s="174">
        <f t="shared" si="18"/>
        <v>0</v>
      </c>
      <c r="H1208" s="174" t="s">
        <v>80</v>
      </c>
    </row>
    <row r="1209" spans="1:8">
      <c r="A1209" s="174" t="s">
        <v>517</v>
      </c>
      <c r="B1209" s="174">
        <v>9070549</v>
      </c>
      <c r="C1209" s="174">
        <v>0</v>
      </c>
      <c r="D1209" s="174">
        <v>0</v>
      </c>
      <c r="E1209" s="174">
        <v>9070549</v>
      </c>
      <c r="G1209" s="174">
        <f t="shared" si="18"/>
        <v>9070549</v>
      </c>
      <c r="H1209" s="174" t="s">
        <v>80</v>
      </c>
    </row>
    <row r="1210" spans="1:8">
      <c r="A1210" s="174" t="s">
        <v>1326</v>
      </c>
      <c r="B1210" s="174">
        <v>0</v>
      </c>
      <c r="C1210" s="174">
        <v>0</v>
      </c>
      <c r="D1210" s="174">
        <v>0</v>
      </c>
      <c r="E1210" s="174">
        <v>0</v>
      </c>
      <c r="G1210" s="174">
        <f t="shared" si="18"/>
        <v>0</v>
      </c>
      <c r="H1210" s="174" t="s">
        <v>80</v>
      </c>
    </row>
    <row r="1211" spans="1:8">
      <c r="A1211" s="174" t="s">
        <v>1327</v>
      </c>
      <c r="B1211" s="174">
        <v>0</v>
      </c>
      <c r="C1211" s="174">
        <v>1344060</v>
      </c>
      <c r="D1211" s="174">
        <v>1345200</v>
      </c>
      <c r="E1211" s="174">
        <v>-1140</v>
      </c>
      <c r="G1211" s="174">
        <f t="shared" si="18"/>
        <v>-1140</v>
      </c>
      <c r="H1211" s="174" t="s">
        <v>80</v>
      </c>
    </row>
    <row r="1212" spans="1:8">
      <c r="A1212" s="174" t="s">
        <v>437</v>
      </c>
      <c r="B1212" s="174">
        <v>-9289728</v>
      </c>
      <c r="C1212" s="174">
        <v>0</v>
      </c>
      <c r="D1212" s="174">
        <v>0</v>
      </c>
      <c r="E1212" s="174">
        <v>-9289728</v>
      </c>
      <c r="G1212" s="174">
        <f t="shared" si="18"/>
        <v>-9289728</v>
      </c>
      <c r="H1212" s="174" t="s">
        <v>80</v>
      </c>
    </row>
    <row r="1213" spans="1:8">
      <c r="A1213" s="174" t="s">
        <v>926</v>
      </c>
      <c r="B1213" s="174">
        <v>15352.4</v>
      </c>
      <c r="C1213" s="174">
        <v>0</v>
      </c>
      <c r="D1213" s="174">
        <v>0</v>
      </c>
      <c r="E1213" s="174">
        <v>15352.4</v>
      </c>
      <c r="G1213" s="174">
        <f t="shared" si="18"/>
        <v>15352.4</v>
      </c>
      <c r="H1213" s="174" t="s">
        <v>80</v>
      </c>
    </row>
    <row r="1214" spans="1:8">
      <c r="A1214" s="174" t="s">
        <v>378</v>
      </c>
      <c r="B1214" s="174">
        <v>3704282.43</v>
      </c>
      <c r="C1214" s="174">
        <v>958118.04</v>
      </c>
      <c r="D1214" s="174">
        <v>919735.67</v>
      </c>
      <c r="E1214" s="174">
        <v>3742664.8</v>
      </c>
      <c r="G1214" s="174">
        <f t="shared" si="18"/>
        <v>3742664.8</v>
      </c>
      <c r="H1214" s="174" t="s">
        <v>80</v>
      </c>
    </row>
    <row r="1215" spans="1:8">
      <c r="A1215" s="174" t="s">
        <v>927</v>
      </c>
      <c r="B1215" s="174">
        <v>-1667849.04</v>
      </c>
      <c r="C1215" s="174">
        <v>0</v>
      </c>
      <c r="D1215" s="174">
        <v>0</v>
      </c>
      <c r="E1215" s="174">
        <v>-1667849.04</v>
      </c>
      <c r="G1215" s="174">
        <f t="shared" si="18"/>
        <v>-1667849.04</v>
      </c>
      <c r="H1215" s="174" t="s">
        <v>80</v>
      </c>
    </row>
    <row r="1216" spans="1:8">
      <c r="A1216" s="174" t="s">
        <v>160</v>
      </c>
      <c r="B1216" s="174">
        <v>-120912.47</v>
      </c>
      <c r="C1216" s="174">
        <v>0</v>
      </c>
      <c r="D1216" s="174">
        <v>0</v>
      </c>
      <c r="E1216" s="174">
        <v>-120912.47</v>
      </c>
      <c r="G1216" s="174">
        <f t="shared" si="18"/>
        <v>-120912.47</v>
      </c>
      <c r="H1216" s="174" t="s">
        <v>80</v>
      </c>
    </row>
    <row r="1217" spans="1:8">
      <c r="A1217" s="174" t="s">
        <v>1328</v>
      </c>
      <c r="B1217" s="174">
        <v>0</v>
      </c>
      <c r="C1217" s="174">
        <v>0</v>
      </c>
      <c r="D1217" s="174">
        <v>0</v>
      </c>
      <c r="E1217" s="174">
        <v>0</v>
      </c>
      <c r="G1217" s="174">
        <f t="shared" si="18"/>
        <v>0</v>
      </c>
      <c r="H1217" s="174" t="s">
        <v>80</v>
      </c>
    </row>
    <row r="1218" spans="1:8">
      <c r="A1218" s="174" t="s">
        <v>491</v>
      </c>
      <c r="B1218" s="174">
        <v>-3.14</v>
      </c>
      <c r="C1218" s="174">
        <v>0</v>
      </c>
      <c r="D1218" s="174">
        <v>3758347</v>
      </c>
      <c r="E1218" s="174">
        <v>-3758350.14</v>
      </c>
      <c r="G1218" s="174">
        <f t="shared" si="18"/>
        <v>-3758350.14</v>
      </c>
      <c r="H1218" s="174" t="s">
        <v>80</v>
      </c>
    </row>
    <row r="1219" spans="1:8">
      <c r="A1219" s="174" t="s">
        <v>928</v>
      </c>
      <c r="B1219" s="174">
        <v>6686760.96</v>
      </c>
      <c r="C1219" s="174">
        <v>0</v>
      </c>
      <c r="D1219" s="174">
        <v>0</v>
      </c>
      <c r="E1219" s="174">
        <v>6686760.96</v>
      </c>
      <c r="G1219" s="174">
        <f t="shared" ref="G1219:G1282" si="19">E1219+F1219</f>
        <v>6686760.96</v>
      </c>
      <c r="H1219" s="174" t="s">
        <v>80</v>
      </c>
    </row>
    <row r="1220" spans="1:8">
      <c r="A1220" s="174" t="s">
        <v>929</v>
      </c>
      <c r="B1220" s="174">
        <v>-0.01</v>
      </c>
      <c r="C1220" s="174">
        <v>0</v>
      </c>
      <c r="D1220" s="174">
        <v>0</v>
      </c>
      <c r="E1220" s="174">
        <v>-0.01</v>
      </c>
      <c r="G1220" s="174">
        <f t="shared" si="19"/>
        <v>-0.01</v>
      </c>
      <c r="H1220" s="174" t="s">
        <v>80</v>
      </c>
    </row>
    <row r="1221" spans="1:8">
      <c r="A1221" s="174" t="s">
        <v>399</v>
      </c>
      <c r="B1221" s="174">
        <v>-1380670.92</v>
      </c>
      <c r="C1221" s="174">
        <v>2114866</v>
      </c>
      <c r="D1221" s="174">
        <v>1606629</v>
      </c>
      <c r="E1221" s="174">
        <v>-872433.92</v>
      </c>
      <c r="G1221" s="174">
        <f t="shared" si="19"/>
        <v>-872433.92</v>
      </c>
      <c r="H1221" s="174" t="s">
        <v>80</v>
      </c>
    </row>
    <row r="1222" spans="1:8">
      <c r="A1222" s="174" t="s">
        <v>930</v>
      </c>
      <c r="B1222" s="174">
        <v>-0.63</v>
      </c>
      <c r="C1222" s="174">
        <v>0</v>
      </c>
      <c r="D1222" s="174">
        <v>0</v>
      </c>
      <c r="E1222" s="174">
        <v>-0.63</v>
      </c>
      <c r="G1222" s="174">
        <f t="shared" si="19"/>
        <v>-0.63</v>
      </c>
      <c r="H1222" s="174" t="s">
        <v>80</v>
      </c>
    </row>
    <row r="1223" spans="1:8">
      <c r="A1223" s="174" t="s">
        <v>931</v>
      </c>
      <c r="B1223" s="174">
        <v>1800</v>
      </c>
      <c r="C1223" s="174">
        <v>0</v>
      </c>
      <c r="D1223" s="174">
        <v>0</v>
      </c>
      <c r="E1223" s="174">
        <v>1800</v>
      </c>
      <c r="G1223" s="174">
        <f t="shared" si="19"/>
        <v>1800</v>
      </c>
      <c r="H1223" s="174" t="s">
        <v>80</v>
      </c>
    </row>
    <row r="1224" spans="1:8">
      <c r="A1224" s="174" t="s">
        <v>397</v>
      </c>
      <c r="B1224" s="174">
        <v>-44301.5</v>
      </c>
      <c r="C1224" s="174">
        <v>12050</v>
      </c>
      <c r="D1224" s="174">
        <v>12050</v>
      </c>
      <c r="E1224" s="174">
        <v>-44301.5</v>
      </c>
      <c r="G1224" s="174">
        <f t="shared" si="19"/>
        <v>-44301.5</v>
      </c>
      <c r="H1224" s="174" t="s">
        <v>80</v>
      </c>
    </row>
    <row r="1225" spans="1:8">
      <c r="A1225" s="174" t="s">
        <v>1329</v>
      </c>
      <c r="B1225" s="174">
        <v>0</v>
      </c>
      <c r="C1225" s="174">
        <v>0</v>
      </c>
      <c r="D1225" s="174">
        <v>0</v>
      </c>
      <c r="E1225" s="174">
        <v>0</v>
      </c>
      <c r="G1225" s="174">
        <f t="shared" si="19"/>
        <v>0</v>
      </c>
      <c r="H1225" s="174" t="s">
        <v>80</v>
      </c>
    </row>
    <row r="1226" spans="1:8">
      <c r="A1226" s="174" t="s">
        <v>932</v>
      </c>
      <c r="B1226" s="174">
        <v>-25323.73</v>
      </c>
      <c r="C1226" s="174">
        <v>1328058</v>
      </c>
      <c r="D1226" s="174">
        <v>1328058</v>
      </c>
      <c r="E1226" s="174">
        <v>-25323.73</v>
      </c>
      <c r="G1226" s="174">
        <f t="shared" si="19"/>
        <v>-25323.73</v>
      </c>
      <c r="H1226" s="174" t="s">
        <v>80</v>
      </c>
    </row>
    <row r="1227" spans="1:8">
      <c r="A1227" s="174" t="s">
        <v>299</v>
      </c>
      <c r="B1227" s="174">
        <v>30429</v>
      </c>
      <c r="C1227" s="174">
        <v>0</v>
      </c>
      <c r="D1227" s="174">
        <v>0</v>
      </c>
      <c r="E1227" s="174">
        <v>30429</v>
      </c>
      <c r="G1227" s="174">
        <f t="shared" si="19"/>
        <v>30429</v>
      </c>
      <c r="H1227" s="174" t="s">
        <v>80</v>
      </c>
    </row>
    <row r="1228" spans="1:8">
      <c r="A1228" s="174" t="s">
        <v>933</v>
      </c>
      <c r="B1228" s="174">
        <v>200000</v>
      </c>
      <c r="C1228" s="174">
        <v>150000</v>
      </c>
      <c r="D1228" s="174">
        <v>0</v>
      </c>
      <c r="E1228" s="174">
        <v>350000</v>
      </c>
      <c r="G1228" s="174">
        <f t="shared" si="19"/>
        <v>350000</v>
      </c>
      <c r="H1228" s="174" t="s">
        <v>80</v>
      </c>
    </row>
    <row r="1229" spans="1:8">
      <c r="A1229" s="174" t="s">
        <v>1330</v>
      </c>
      <c r="B1229" s="174">
        <v>0</v>
      </c>
      <c r="C1229" s="174">
        <v>5000</v>
      </c>
      <c r="D1229" s="174">
        <v>5000</v>
      </c>
      <c r="E1229" s="174">
        <v>0</v>
      </c>
      <c r="G1229" s="174">
        <f t="shared" si="19"/>
        <v>0</v>
      </c>
      <c r="H1229" s="174" t="s">
        <v>80</v>
      </c>
    </row>
    <row r="1230" spans="1:8">
      <c r="A1230" s="174" t="s">
        <v>934</v>
      </c>
      <c r="B1230" s="174">
        <v>7668</v>
      </c>
      <c r="C1230" s="174">
        <v>0</v>
      </c>
      <c r="D1230" s="174">
        <v>0</v>
      </c>
      <c r="E1230" s="174">
        <v>7668</v>
      </c>
      <c r="G1230" s="174">
        <f t="shared" si="19"/>
        <v>7668</v>
      </c>
      <c r="H1230" s="174" t="s">
        <v>80</v>
      </c>
    </row>
    <row r="1231" spans="1:8">
      <c r="A1231" s="174" t="s">
        <v>1331</v>
      </c>
      <c r="B1231" s="174">
        <v>0</v>
      </c>
      <c r="C1231" s="174">
        <v>0</v>
      </c>
      <c r="D1231" s="174">
        <v>0</v>
      </c>
      <c r="E1231" s="174">
        <v>0</v>
      </c>
      <c r="G1231" s="174">
        <f t="shared" si="19"/>
        <v>0</v>
      </c>
      <c r="H1231" s="174" t="s">
        <v>80</v>
      </c>
    </row>
    <row r="1232" spans="1:8">
      <c r="A1232" s="174" t="s">
        <v>935</v>
      </c>
      <c r="B1232" s="174">
        <v>500</v>
      </c>
      <c r="C1232" s="174">
        <v>116500</v>
      </c>
      <c r="D1232" s="174">
        <v>118000</v>
      </c>
      <c r="E1232" s="174">
        <v>-1000</v>
      </c>
      <c r="G1232" s="174">
        <f t="shared" si="19"/>
        <v>-1000</v>
      </c>
      <c r="H1232" s="174" t="s">
        <v>80</v>
      </c>
    </row>
    <row r="1233" spans="1:8">
      <c r="A1233" s="174" t="s">
        <v>936</v>
      </c>
      <c r="B1233" s="174">
        <v>-21426</v>
      </c>
      <c r="C1233" s="174">
        <v>19518</v>
      </c>
      <c r="D1233" s="174">
        <v>0</v>
      </c>
      <c r="E1233" s="174">
        <v>-1908</v>
      </c>
      <c r="G1233" s="174">
        <f t="shared" si="19"/>
        <v>-1908</v>
      </c>
      <c r="H1233" s="174" t="s">
        <v>80</v>
      </c>
    </row>
    <row r="1234" spans="1:8">
      <c r="A1234" s="174" t="s">
        <v>1332</v>
      </c>
      <c r="B1234" s="174">
        <v>0</v>
      </c>
      <c r="C1234" s="174">
        <v>0</v>
      </c>
      <c r="D1234" s="174">
        <v>0</v>
      </c>
      <c r="E1234" s="174">
        <v>0</v>
      </c>
      <c r="G1234" s="174">
        <f t="shared" si="19"/>
        <v>0</v>
      </c>
      <c r="H1234" s="174" t="s">
        <v>80</v>
      </c>
    </row>
    <row r="1235" spans="1:8">
      <c r="A1235" s="174" t="s">
        <v>937</v>
      </c>
      <c r="B1235" s="174">
        <v>4000</v>
      </c>
      <c r="C1235" s="174">
        <v>0</v>
      </c>
      <c r="D1235" s="174">
        <v>0</v>
      </c>
      <c r="E1235" s="174">
        <v>4000</v>
      </c>
      <c r="G1235" s="174">
        <f t="shared" si="19"/>
        <v>4000</v>
      </c>
      <c r="H1235" s="174" t="s">
        <v>80</v>
      </c>
    </row>
    <row r="1236" spans="1:8">
      <c r="A1236" s="174" t="s">
        <v>938</v>
      </c>
      <c r="B1236" s="174">
        <v>-180000</v>
      </c>
      <c r="C1236" s="174">
        <v>780000</v>
      </c>
      <c r="D1236" s="174">
        <v>600000</v>
      </c>
      <c r="E1236" s="174">
        <v>0</v>
      </c>
      <c r="G1236" s="174">
        <f t="shared" si="19"/>
        <v>0</v>
      </c>
      <c r="H1236" s="174" t="s">
        <v>80</v>
      </c>
    </row>
    <row r="1237" spans="1:8">
      <c r="A1237" s="174" t="s">
        <v>382</v>
      </c>
      <c r="B1237" s="174">
        <v>-40406.5</v>
      </c>
      <c r="C1237" s="174">
        <v>0</v>
      </c>
      <c r="D1237" s="174">
        <v>0</v>
      </c>
      <c r="E1237" s="174">
        <v>-40406.5</v>
      </c>
      <c r="G1237" s="174">
        <f t="shared" si="19"/>
        <v>-40406.5</v>
      </c>
      <c r="H1237" s="174" t="s">
        <v>80</v>
      </c>
    </row>
    <row r="1238" spans="1:8">
      <c r="A1238" s="174" t="s">
        <v>939</v>
      </c>
      <c r="B1238" s="174">
        <v>-0.06</v>
      </c>
      <c r="C1238" s="174">
        <v>2426054.63</v>
      </c>
      <c r="D1238" s="174">
        <v>2426054.63</v>
      </c>
      <c r="E1238" s="174">
        <v>-0.06</v>
      </c>
      <c r="G1238" s="174">
        <f t="shared" si="19"/>
        <v>-0.06</v>
      </c>
      <c r="H1238" s="174" t="s">
        <v>80</v>
      </c>
    </row>
    <row r="1239" spans="1:8">
      <c r="A1239" s="174" t="s">
        <v>940</v>
      </c>
      <c r="B1239" s="174">
        <v>-0.45</v>
      </c>
      <c r="C1239" s="174">
        <v>20154.400000000001</v>
      </c>
      <c r="D1239" s="174">
        <v>20154.400000000001</v>
      </c>
      <c r="E1239" s="174">
        <v>-0.45</v>
      </c>
      <c r="G1239" s="174">
        <f t="shared" si="19"/>
        <v>-0.45</v>
      </c>
      <c r="H1239" s="174" t="s">
        <v>80</v>
      </c>
    </row>
    <row r="1240" spans="1:8">
      <c r="A1240" s="174" t="s">
        <v>941</v>
      </c>
      <c r="B1240" s="174">
        <v>-54000</v>
      </c>
      <c r="C1240" s="174">
        <v>240000</v>
      </c>
      <c r="D1240" s="174">
        <v>186000</v>
      </c>
      <c r="E1240" s="174">
        <v>0</v>
      </c>
      <c r="G1240" s="174">
        <f t="shared" si="19"/>
        <v>0</v>
      </c>
      <c r="H1240" s="174" t="s">
        <v>80</v>
      </c>
    </row>
    <row r="1241" spans="1:8">
      <c r="A1241" s="174" t="s">
        <v>942</v>
      </c>
      <c r="B1241" s="174">
        <v>-113400</v>
      </c>
      <c r="C1241" s="174">
        <v>504000</v>
      </c>
      <c r="D1241" s="174">
        <v>390600</v>
      </c>
      <c r="E1241" s="174">
        <v>0</v>
      </c>
      <c r="G1241" s="174">
        <f t="shared" si="19"/>
        <v>0</v>
      </c>
      <c r="H1241" s="174" t="s">
        <v>80</v>
      </c>
    </row>
    <row r="1242" spans="1:8">
      <c r="A1242" s="174" t="s">
        <v>943</v>
      </c>
      <c r="B1242" s="174">
        <v>-108000</v>
      </c>
      <c r="C1242" s="174">
        <v>480000</v>
      </c>
      <c r="D1242" s="174">
        <v>372000</v>
      </c>
      <c r="E1242" s="174">
        <v>0</v>
      </c>
      <c r="G1242" s="174">
        <f t="shared" si="19"/>
        <v>0</v>
      </c>
      <c r="H1242" s="174" t="s">
        <v>80</v>
      </c>
    </row>
    <row r="1243" spans="1:8">
      <c r="A1243" s="174" t="s">
        <v>944</v>
      </c>
      <c r="B1243" s="174">
        <v>-34000</v>
      </c>
      <c r="C1243" s="174">
        <v>136000</v>
      </c>
      <c r="D1243" s="174">
        <v>102000</v>
      </c>
      <c r="E1243" s="174">
        <v>0</v>
      </c>
      <c r="G1243" s="174">
        <f t="shared" si="19"/>
        <v>0</v>
      </c>
      <c r="H1243" s="174" t="s">
        <v>80</v>
      </c>
    </row>
    <row r="1244" spans="1:8">
      <c r="A1244" s="174" t="s">
        <v>945</v>
      </c>
      <c r="B1244" s="174">
        <v>4256</v>
      </c>
      <c r="C1244" s="174">
        <v>24985</v>
      </c>
      <c r="D1244" s="174">
        <v>0</v>
      </c>
      <c r="E1244" s="174">
        <v>29241</v>
      </c>
      <c r="G1244" s="174">
        <f t="shared" si="19"/>
        <v>29241</v>
      </c>
      <c r="H1244" s="174" t="s">
        <v>80</v>
      </c>
    </row>
    <row r="1245" spans="1:8">
      <c r="A1245" s="174" t="s">
        <v>946</v>
      </c>
      <c r="B1245" s="174">
        <v>4000</v>
      </c>
      <c r="C1245" s="174">
        <v>0</v>
      </c>
      <c r="D1245" s="174">
        <v>0</v>
      </c>
      <c r="E1245" s="174">
        <v>4000</v>
      </c>
      <c r="G1245" s="174">
        <f t="shared" si="19"/>
        <v>4000</v>
      </c>
      <c r="H1245" s="174" t="s">
        <v>80</v>
      </c>
    </row>
    <row r="1246" spans="1:8">
      <c r="A1246" s="174" t="s">
        <v>283</v>
      </c>
      <c r="B1246" s="174">
        <v>-6600</v>
      </c>
      <c r="C1246" s="174">
        <v>6600</v>
      </c>
      <c r="D1246" s="174">
        <v>0</v>
      </c>
      <c r="E1246" s="174">
        <v>0</v>
      </c>
      <c r="G1246" s="174">
        <f t="shared" si="19"/>
        <v>0</v>
      </c>
      <c r="H1246" s="174" t="s">
        <v>80</v>
      </c>
    </row>
    <row r="1247" spans="1:8">
      <c r="A1247" s="174" t="s">
        <v>947</v>
      </c>
      <c r="B1247" s="174">
        <v>-10726</v>
      </c>
      <c r="C1247" s="174">
        <v>121316</v>
      </c>
      <c r="D1247" s="174">
        <v>123971</v>
      </c>
      <c r="E1247" s="174">
        <v>-13381</v>
      </c>
      <c r="G1247" s="174">
        <f t="shared" si="19"/>
        <v>-13381</v>
      </c>
      <c r="H1247" s="174" t="s">
        <v>80</v>
      </c>
    </row>
    <row r="1248" spans="1:8">
      <c r="A1248" s="174" t="s">
        <v>529</v>
      </c>
      <c r="B1248" s="174">
        <v>73828</v>
      </c>
      <c r="C1248" s="174">
        <v>0</v>
      </c>
      <c r="D1248" s="174">
        <v>0</v>
      </c>
      <c r="E1248" s="174">
        <v>73828</v>
      </c>
      <c r="G1248" s="174">
        <f t="shared" si="19"/>
        <v>73828</v>
      </c>
      <c r="H1248" s="174" t="s">
        <v>80</v>
      </c>
    </row>
    <row r="1249" spans="1:8">
      <c r="A1249" s="174" t="s">
        <v>1333</v>
      </c>
      <c r="B1249" s="174">
        <v>0</v>
      </c>
      <c r="C1249" s="174">
        <v>0</v>
      </c>
      <c r="D1249" s="174">
        <v>0</v>
      </c>
      <c r="E1249" s="174">
        <v>0</v>
      </c>
      <c r="G1249" s="174">
        <f t="shared" si="19"/>
        <v>0</v>
      </c>
      <c r="H1249" s="174" t="s">
        <v>80</v>
      </c>
    </row>
    <row r="1250" spans="1:8">
      <c r="A1250" s="174" t="s">
        <v>411</v>
      </c>
      <c r="B1250" s="174">
        <v>-252702.43</v>
      </c>
      <c r="C1250" s="174">
        <v>17807153.48</v>
      </c>
      <c r="D1250" s="174">
        <v>17225722.280000001</v>
      </c>
      <c r="E1250" s="174">
        <v>328728.77</v>
      </c>
      <c r="G1250" s="174">
        <f t="shared" si="19"/>
        <v>328728.77</v>
      </c>
      <c r="H1250" s="174" t="s">
        <v>80</v>
      </c>
    </row>
    <row r="1251" spans="1:8">
      <c r="A1251" s="174" t="s">
        <v>948</v>
      </c>
      <c r="B1251" s="174">
        <v>-34300</v>
      </c>
      <c r="C1251" s="174">
        <v>177800</v>
      </c>
      <c r="D1251" s="174">
        <v>143500</v>
      </c>
      <c r="E1251" s="174">
        <v>0</v>
      </c>
      <c r="G1251" s="174">
        <f t="shared" si="19"/>
        <v>0</v>
      </c>
      <c r="H1251" s="174" t="s">
        <v>80</v>
      </c>
    </row>
    <row r="1252" spans="1:8">
      <c r="A1252" s="174" t="s">
        <v>1334</v>
      </c>
      <c r="B1252" s="174">
        <v>0</v>
      </c>
      <c r="C1252" s="174">
        <v>0</v>
      </c>
      <c r="D1252" s="174">
        <v>0</v>
      </c>
      <c r="E1252" s="174">
        <v>0</v>
      </c>
      <c r="G1252" s="174">
        <f t="shared" si="19"/>
        <v>0</v>
      </c>
      <c r="H1252" s="174" t="s">
        <v>80</v>
      </c>
    </row>
    <row r="1253" spans="1:8">
      <c r="A1253" s="174" t="s">
        <v>1335</v>
      </c>
      <c r="B1253" s="174">
        <v>0</v>
      </c>
      <c r="C1253" s="174">
        <v>0</v>
      </c>
      <c r="D1253" s="174">
        <v>0</v>
      </c>
      <c r="E1253" s="174">
        <v>0</v>
      </c>
      <c r="G1253" s="174">
        <f t="shared" si="19"/>
        <v>0</v>
      </c>
      <c r="H1253" s="174" t="s">
        <v>80</v>
      </c>
    </row>
    <row r="1254" spans="1:8">
      <c r="A1254" s="174" t="s">
        <v>949</v>
      </c>
      <c r="B1254" s="174">
        <v>-38243</v>
      </c>
      <c r="C1254" s="174">
        <v>38243</v>
      </c>
      <c r="D1254" s="174">
        <v>19022</v>
      </c>
      <c r="E1254" s="174">
        <v>-19022</v>
      </c>
      <c r="G1254" s="174">
        <f t="shared" si="19"/>
        <v>-19022</v>
      </c>
      <c r="H1254" s="174" t="s">
        <v>80</v>
      </c>
    </row>
    <row r="1255" spans="1:8">
      <c r="A1255" s="174" t="s">
        <v>1499</v>
      </c>
      <c r="B1255" s="174">
        <v>0</v>
      </c>
      <c r="C1255" s="174">
        <v>201600</v>
      </c>
      <c r="D1255" s="174">
        <v>201600</v>
      </c>
      <c r="E1255" s="174">
        <v>0</v>
      </c>
      <c r="G1255" s="174">
        <f t="shared" si="19"/>
        <v>0</v>
      </c>
      <c r="H1255" s="174" t="s">
        <v>80</v>
      </c>
    </row>
    <row r="1256" spans="1:8">
      <c r="A1256" s="174" t="s">
        <v>1336</v>
      </c>
      <c r="B1256" s="174">
        <v>0</v>
      </c>
      <c r="C1256" s="174">
        <v>0</v>
      </c>
      <c r="D1256" s="174">
        <v>0</v>
      </c>
      <c r="E1256" s="174">
        <v>0</v>
      </c>
      <c r="G1256" s="174">
        <f t="shared" si="19"/>
        <v>0</v>
      </c>
      <c r="H1256" s="174" t="s">
        <v>80</v>
      </c>
    </row>
    <row r="1257" spans="1:8">
      <c r="A1257" s="174" t="s">
        <v>1500</v>
      </c>
      <c r="B1257" s="174">
        <v>0</v>
      </c>
      <c r="C1257" s="174">
        <v>20000</v>
      </c>
      <c r="D1257" s="174">
        <v>20000</v>
      </c>
      <c r="E1257" s="174">
        <v>0</v>
      </c>
      <c r="G1257" s="174">
        <f t="shared" si="19"/>
        <v>0</v>
      </c>
      <c r="H1257" s="174" t="s">
        <v>80</v>
      </c>
    </row>
    <row r="1258" spans="1:8">
      <c r="A1258" s="174" t="s">
        <v>1501</v>
      </c>
      <c r="B1258" s="174">
        <v>0</v>
      </c>
      <c r="C1258" s="174">
        <v>0</v>
      </c>
      <c r="D1258" s="174">
        <v>0</v>
      </c>
      <c r="E1258" s="174">
        <v>0</v>
      </c>
      <c r="G1258" s="174">
        <f t="shared" si="19"/>
        <v>0</v>
      </c>
      <c r="H1258" s="174" t="s">
        <v>80</v>
      </c>
    </row>
    <row r="1259" spans="1:8">
      <c r="A1259" s="174" t="s">
        <v>1502</v>
      </c>
      <c r="B1259" s="174">
        <v>0</v>
      </c>
      <c r="C1259" s="174">
        <v>1091250</v>
      </c>
      <c r="D1259" s="174">
        <v>1091250</v>
      </c>
      <c r="E1259" s="174">
        <v>0</v>
      </c>
      <c r="G1259" s="174">
        <f t="shared" si="19"/>
        <v>0</v>
      </c>
      <c r="H1259" s="174" t="s">
        <v>80</v>
      </c>
    </row>
    <row r="1260" spans="1:8">
      <c r="A1260" s="174" t="s">
        <v>1597</v>
      </c>
      <c r="B1260" s="174">
        <v>0</v>
      </c>
      <c r="C1260" s="174">
        <v>0</v>
      </c>
      <c r="D1260" s="174">
        <v>708</v>
      </c>
      <c r="E1260" s="174">
        <v>-708</v>
      </c>
      <c r="G1260" s="174">
        <f t="shared" si="19"/>
        <v>-708</v>
      </c>
      <c r="H1260" s="174" t="s">
        <v>80</v>
      </c>
    </row>
    <row r="1261" spans="1:8">
      <c r="A1261" s="174" t="s">
        <v>950</v>
      </c>
      <c r="B1261" s="174">
        <v>63</v>
      </c>
      <c r="C1261" s="174">
        <v>100732</v>
      </c>
      <c r="D1261" s="174">
        <v>100795</v>
      </c>
      <c r="E1261" s="174">
        <v>0</v>
      </c>
      <c r="G1261" s="174">
        <f t="shared" si="19"/>
        <v>0</v>
      </c>
      <c r="H1261" s="174" t="s">
        <v>80</v>
      </c>
    </row>
    <row r="1262" spans="1:8">
      <c r="A1262" s="174" t="s">
        <v>951</v>
      </c>
      <c r="B1262" s="174">
        <v>-29686.23</v>
      </c>
      <c r="C1262" s="174">
        <v>29686.23</v>
      </c>
      <c r="D1262" s="174">
        <v>0</v>
      </c>
      <c r="E1262" s="174">
        <v>0</v>
      </c>
      <c r="G1262" s="174">
        <f t="shared" si="19"/>
        <v>0</v>
      </c>
      <c r="H1262" s="174" t="s">
        <v>80</v>
      </c>
    </row>
    <row r="1263" spans="1:8">
      <c r="A1263" s="174" t="s">
        <v>1337</v>
      </c>
      <c r="B1263" s="174">
        <v>0</v>
      </c>
      <c r="C1263" s="174">
        <v>3245</v>
      </c>
      <c r="D1263" s="174">
        <v>3245</v>
      </c>
      <c r="E1263" s="174">
        <v>0</v>
      </c>
      <c r="G1263" s="174">
        <f t="shared" si="19"/>
        <v>0</v>
      </c>
      <c r="H1263" s="174" t="s">
        <v>80</v>
      </c>
    </row>
    <row r="1264" spans="1:8">
      <c r="A1264" s="174" t="s">
        <v>952</v>
      </c>
      <c r="B1264" s="174">
        <v>0</v>
      </c>
      <c r="C1264" s="174">
        <v>208090</v>
      </c>
      <c r="D1264" s="174">
        <v>208500</v>
      </c>
      <c r="E1264" s="174">
        <v>-410</v>
      </c>
      <c r="G1264" s="174">
        <f t="shared" si="19"/>
        <v>-410</v>
      </c>
      <c r="H1264" s="174" t="s">
        <v>80</v>
      </c>
    </row>
    <row r="1265" spans="1:8">
      <c r="A1265" s="174" t="s">
        <v>953</v>
      </c>
      <c r="B1265" s="174">
        <v>-458</v>
      </c>
      <c r="C1265" s="174">
        <v>0</v>
      </c>
      <c r="D1265" s="174">
        <v>0</v>
      </c>
      <c r="E1265" s="174">
        <v>-458</v>
      </c>
      <c r="G1265" s="174">
        <f t="shared" si="19"/>
        <v>-458</v>
      </c>
      <c r="H1265" s="174" t="s">
        <v>80</v>
      </c>
    </row>
    <row r="1266" spans="1:8">
      <c r="A1266" s="174" t="s">
        <v>954</v>
      </c>
      <c r="B1266" s="174">
        <v>-12744</v>
      </c>
      <c r="C1266" s="174">
        <v>12744</v>
      </c>
      <c r="D1266" s="174">
        <v>0</v>
      </c>
      <c r="E1266" s="174">
        <v>0</v>
      </c>
      <c r="G1266" s="174">
        <f t="shared" si="19"/>
        <v>0</v>
      </c>
      <c r="H1266" s="174" t="s">
        <v>80</v>
      </c>
    </row>
    <row r="1267" spans="1:8">
      <c r="A1267" s="174" t="s">
        <v>955</v>
      </c>
      <c r="B1267" s="174">
        <v>-52200</v>
      </c>
      <c r="C1267" s="174">
        <v>213300</v>
      </c>
      <c r="D1267" s="174">
        <v>164700</v>
      </c>
      <c r="E1267" s="174">
        <v>-3600</v>
      </c>
      <c r="G1267" s="174">
        <f t="shared" si="19"/>
        <v>-3600</v>
      </c>
      <c r="H1267" s="174" t="s">
        <v>80</v>
      </c>
    </row>
    <row r="1268" spans="1:8">
      <c r="A1268" s="174" t="s">
        <v>956</v>
      </c>
      <c r="B1268" s="174">
        <v>31469</v>
      </c>
      <c r="C1268" s="174">
        <v>752514</v>
      </c>
      <c r="D1268" s="174">
        <v>783391</v>
      </c>
      <c r="E1268" s="174">
        <v>592</v>
      </c>
      <c r="G1268" s="174">
        <f t="shared" si="19"/>
        <v>592</v>
      </c>
      <c r="H1268" s="174" t="s">
        <v>71</v>
      </c>
    </row>
    <row r="1269" spans="1:8">
      <c r="A1269" s="174" t="s">
        <v>957</v>
      </c>
      <c r="B1269" s="174">
        <v>0</v>
      </c>
      <c r="C1269" s="174">
        <v>50000</v>
      </c>
      <c r="D1269" s="174">
        <v>69738</v>
      </c>
      <c r="E1269" s="174">
        <v>-19738</v>
      </c>
      <c r="G1269" s="174">
        <f t="shared" si="19"/>
        <v>-19738</v>
      </c>
      <c r="H1269" s="174" t="s">
        <v>80</v>
      </c>
    </row>
    <row r="1270" spans="1:8">
      <c r="A1270" s="174" t="s">
        <v>1338</v>
      </c>
      <c r="B1270" s="174">
        <v>0</v>
      </c>
      <c r="C1270" s="174">
        <v>206548.18</v>
      </c>
      <c r="D1270" s="174">
        <v>206548.38</v>
      </c>
      <c r="E1270" s="174">
        <v>-0.2</v>
      </c>
      <c r="G1270" s="174">
        <f t="shared" si="19"/>
        <v>-0.2</v>
      </c>
      <c r="H1270" s="174" t="s">
        <v>80</v>
      </c>
    </row>
    <row r="1271" spans="1:8">
      <c r="A1271" s="174" t="s">
        <v>423</v>
      </c>
      <c r="B1271" s="174">
        <v>19469</v>
      </c>
      <c r="C1271" s="174">
        <v>0</v>
      </c>
      <c r="D1271" s="174">
        <v>0</v>
      </c>
      <c r="E1271" s="174">
        <v>19469</v>
      </c>
      <c r="G1271" s="174">
        <f t="shared" si="19"/>
        <v>19469</v>
      </c>
      <c r="H1271" s="174" t="s">
        <v>80</v>
      </c>
    </row>
    <row r="1272" spans="1:8">
      <c r="A1272" s="174" t="s">
        <v>958</v>
      </c>
      <c r="B1272" s="174">
        <v>-41104.67</v>
      </c>
      <c r="C1272" s="174">
        <v>32643</v>
      </c>
      <c r="D1272" s="174">
        <v>35474.6</v>
      </c>
      <c r="E1272" s="174">
        <v>-43936.27</v>
      </c>
      <c r="G1272" s="174">
        <f t="shared" si="19"/>
        <v>-43936.27</v>
      </c>
      <c r="H1272" s="174" t="s">
        <v>80</v>
      </c>
    </row>
    <row r="1273" spans="1:8">
      <c r="A1273" s="174" t="s">
        <v>1503</v>
      </c>
      <c r="B1273" s="174">
        <v>0</v>
      </c>
      <c r="C1273" s="174">
        <v>53100</v>
      </c>
      <c r="D1273" s="174">
        <v>53100</v>
      </c>
      <c r="E1273" s="174">
        <v>0</v>
      </c>
      <c r="G1273" s="174">
        <f t="shared" si="19"/>
        <v>0</v>
      </c>
      <c r="H1273" s="174" t="s">
        <v>80</v>
      </c>
    </row>
    <row r="1274" spans="1:8">
      <c r="A1274" s="174" t="s">
        <v>1339</v>
      </c>
      <c r="B1274" s="174">
        <v>0</v>
      </c>
      <c r="C1274" s="174">
        <v>10450</v>
      </c>
      <c r="D1274" s="174">
        <v>10450</v>
      </c>
      <c r="E1274" s="174">
        <v>0</v>
      </c>
      <c r="G1274" s="174">
        <f t="shared" si="19"/>
        <v>0</v>
      </c>
      <c r="H1274" s="174" t="s">
        <v>80</v>
      </c>
    </row>
    <row r="1275" spans="1:8">
      <c r="A1275" s="174" t="s">
        <v>959</v>
      </c>
      <c r="B1275" s="174">
        <v>0</v>
      </c>
      <c r="C1275" s="174">
        <v>64800</v>
      </c>
      <c r="D1275" s="174">
        <v>64800</v>
      </c>
      <c r="E1275" s="174">
        <v>0</v>
      </c>
      <c r="G1275" s="174">
        <f t="shared" si="19"/>
        <v>0</v>
      </c>
      <c r="H1275" s="174" t="s">
        <v>80</v>
      </c>
    </row>
    <row r="1276" spans="1:8">
      <c r="A1276" s="174" t="s">
        <v>960</v>
      </c>
      <c r="B1276" s="174">
        <v>-45062</v>
      </c>
      <c r="C1276" s="174">
        <v>194922</v>
      </c>
      <c r="D1276" s="174">
        <v>149940</v>
      </c>
      <c r="E1276" s="174">
        <v>-80</v>
      </c>
      <c r="G1276" s="174">
        <f t="shared" si="19"/>
        <v>-80</v>
      </c>
      <c r="H1276" s="174" t="s">
        <v>80</v>
      </c>
    </row>
    <row r="1277" spans="1:8">
      <c r="A1277" s="174" t="s">
        <v>961</v>
      </c>
      <c r="B1277" s="174">
        <v>-81000</v>
      </c>
      <c r="C1277" s="174">
        <v>360000</v>
      </c>
      <c r="D1277" s="174">
        <v>279000</v>
      </c>
      <c r="E1277" s="174">
        <v>0</v>
      </c>
      <c r="G1277" s="174">
        <f t="shared" si="19"/>
        <v>0</v>
      </c>
      <c r="H1277" s="174" t="s">
        <v>80</v>
      </c>
    </row>
    <row r="1278" spans="1:8">
      <c r="A1278" s="174" t="s">
        <v>962</v>
      </c>
      <c r="B1278" s="174">
        <v>-500</v>
      </c>
      <c r="C1278" s="174">
        <v>500</v>
      </c>
      <c r="D1278" s="174">
        <v>0</v>
      </c>
      <c r="E1278" s="174">
        <v>0</v>
      </c>
      <c r="G1278" s="174">
        <f t="shared" si="19"/>
        <v>0</v>
      </c>
      <c r="H1278" s="174" t="s">
        <v>80</v>
      </c>
    </row>
    <row r="1279" spans="1:8">
      <c r="A1279" s="174" t="s">
        <v>1504</v>
      </c>
      <c r="B1279" s="174">
        <v>0</v>
      </c>
      <c r="C1279" s="174">
        <v>253200</v>
      </c>
      <c r="D1279" s="174">
        <v>253200</v>
      </c>
      <c r="E1279" s="174">
        <v>0</v>
      </c>
      <c r="G1279" s="174">
        <f t="shared" si="19"/>
        <v>0</v>
      </c>
      <c r="H1279" s="174" t="s">
        <v>80</v>
      </c>
    </row>
    <row r="1280" spans="1:8">
      <c r="A1280" s="174" t="s">
        <v>963</v>
      </c>
      <c r="B1280" s="174">
        <v>-129.69999999999999</v>
      </c>
      <c r="C1280" s="174">
        <v>129.69999999999999</v>
      </c>
      <c r="D1280" s="174">
        <v>0</v>
      </c>
      <c r="E1280" s="174">
        <v>0</v>
      </c>
      <c r="G1280" s="174">
        <f t="shared" si="19"/>
        <v>0</v>
      </c>
      <c r="H1280" s="174" t="s">
        <v>80</v>
      </c>
    </row>
    <row r="1281" spans="1:8">
      <c r="A1281" s="174" t="s">
        <v>964</v>
      </c>
      <c r="B1281" s="174">
        <v>0</v>
      </c>
      <c r="C1281" s="174">
        <v>500998.22</v>
      </c>
      <c r="D1281" s="174">
        <v>500998.22</v>
      </c>
      <c r="E1281" s="174">
        <v>0</v>
      </c>
      <c r="G1281" s="174">
        <f t="shared" si="19"/>
        <v>0</v>
      </c>
      <c r="H1281" s="174" t="s">
        <v>80</v>
      </c>
    </row>
    <row r="1282" spans="1:8">
      <c r="A1282" s="174" t="s">
        <v>471</v>
      </c>
      <c r="B1282" s="174">
        <v>1728</v>
      </c>
      <c r="C1282" s="174">
        <v>0</v>
      </c>
      <c r="D1282" s="174">
        <v>0</v>
      </c>
      <c r="E1282" s="174">
        <v>1728</v>
      </c>
      <c r="G1282" s="174">
        <f t="shared" si="19"/>
        <v>1728</v>
      </c>
      <c r="H1282" s="174" t="s">
        <v>80</v>
      </c>
    </row>
    <row r="1283" spans="1:8">
      <c r="A1283" s="174" t="s">
        <v>965</v>
      </c>
      <c r="B1283" s="174">
        <v>2016</v>
      </c>
      <c r="C1283" s="174">
        <v>0</v>
      </c>
      <c r="D1283" s="174">
        <v>0</v>
      </c>
      <c r="E1283" s="174">
        <v>2016</v>
      </c>
      <c r="G1283" s="174">
        <f t="shared" ref="G1283:G1346" si="20">E1283+F1283</f>
        <v>2016</v>
      </c>
      <c r="H1283" s="174" t="s">
        <v>80</v>
      </c>
    </row>
    <row r="1284" spans="1:8">
      <c r="A1284" s="174" t="s">
        <v>1598</v>
      </c>
      <c r="B1284" s="174">
        <v>0</v>
      </c>
      <c r="C1284" s="174">
        <v>0</v>
      </c>
      <c r="D1284" s="174">
        <v>0</v>
      </c>
      <c r="E1284" s="174">
        <v>0</v>
      </c>
      <c r="G1284" s="174">
        <f t="shared" si="20"/>
        <v>0</v>
      </c>
      <c r="H1284" s="174" t="s">
        <v>80</v>
      </c>
    </row>
    <row r="1285" spans="1:8">
      <c r="A1285" s="174" t="s">
        <v>1505</v>
      </c>
      <c r="B1285" s="174">
        <v>0</v>
      </c>
      <c r="C1285" s="174">
        <v>34427</v>
      </c>
      <c r="D1285" s="174">
        <v>35105</v>
      </c>
      <c r="E1285" s="174">
        <v>-678</v>
      </c>
      <c r="G1285" s="174">
        <f t="shared" si="20"/>
        <v>-678</v>
      </c>
      <c r="H1285" s="174" t="s">
        <v>80</v>
      </c>
    </row>
    <row r="1286" spans="1:8">
      <c r="A1286" s="174" t="s">
        <v>966</v>
      </c>
      <c r="B1286" s="174">
        <v>9000</v>
      </c>
      <c r="C1286" s="174">
        <v>0</v>
      </c>
      <c r="D1286" s="174">
        <v>0</v>
      </c>
      <c r="E1286" s="174">
        <v>9000</v>
      </c>
      <c r="G1286" s="174">
        <f t="shared" si="20"/>
        <v>9000</v>
      </c>
      <c r="H1286" s="174" t="s">
        <v>80</v>
      </c>
    </row>
    <row r="1287" spans="1:8">
      <c r="A1287" s="174" t="s">
        <v>1340</v>
      </c>
      <c r="B1287" s="174">
        <v>0</v>
      </c>
      <c r="C1287" s="174">
        <v>0</v>
      </c>
      <c r="D1287" s="174">
        <v>0</v>
      </c>
      <c r="E1287" s="174">
        <v>0</v>
      </c>
      <c r="G1287" s="174">
        <f t="shared" si="20"/>
        <v>0</v>
      </c>
      <c r="H1287" s="174" t="s">
        <v>80</v>
      </c>
    </row>
    <row r="1288" spans="1:8">
      <c r="A1288" s="174" t="s">
        <v>240</v>
      </c>
      <c r="B1288" s="174">
        <v>-1516300</v>
      </c>
      <c r="C1288" s="174">
        <v>1523823</v>
      </c>
      <c r="D1288" s="174">
        <v>112543</v>
      </c>
      <c r="E1288" s="174">
        <v>-105020</v>
      </c>
      <c r="G1288" s="174">
        <f t="shared" si="20"/>
        <v>-105020</v>
      </c>
      <c r="H1288" s="174" t="s">
        <v>80</v>
      </c>
    </row>
    <row r="1289" spans="1:8">
      <c r="A1289" s="174" t="s">
        <v>1599</v>
      </c>
      <c r="B1289" s="174">
        <v>0</v>
      </c>
      <c r="C1289" s="174">
        <v>18000</v>
      </c>
      <c r="D1289" s="174">
        <v>18000</v>
      </c>
      <c r="E1289" s="174">
        <v>0</v>
      </c>
      <c r="G1289" s="174">
        <f t="shared" si="20"/>
        <v>0</v>
      </c>
      <c r="H1289" s="174" t="s">
        <v>80</v>
      </c>
    </row>
    <row r="1290" spans="1:8">
      <c r="A1290" s="174" t="s">
        <v>967</v>
      </c>
      <c r="B1290" s="174">
        <v>-48600</v>
      </c>
      <c r="C1290" s="174">
        <v>213300</v>
      </c>
      <c r="D1290" s="174">
        <v>164700</v>
      </c>
      <c r="E1290" s="174">
        <v>0</v>
      </c>
      <c r="G1290" s="174">
        <f t="shared" si="20"/>
        <v>0</v>
      </c>
      <c r="H1290" s="174" t="s">
        <v>80</v>
      </c>
    </row>
    <row r="1291" spans="1:8">
      <c r="A1291" s="174" t="s">
        <v>968</v>
      </c>
      <c r="B1291" s="174">
        <v>-6504</v>
      </c>
      <c r="C1291" s="174">
        <v>10738</v>
      </c>
      <c r="D1291" s="174">
        <v>9322</v>
      </c>
      <c r="E1291" s="174">
        <v>-5088</v>
      </c>
      <c r="G1291" s="174">
        <f t="shared" si="20"/>
        <v>-5088</v>
      </c>
      <c r="H1291" s="174" t="s">
        <v>80</v>
      </c>
    </row>
    <row r="1292" spans="1:8">
      <c r="A1292" s="174" t="s">
        <v>1048</v>
      </c>
      <c r="B1292" s="174">
        <v>-0.4</v>
      </c>
      <c r="C1292" s="174">
        <v>0</v>
      </c>
      <c r="D1292" s="174">
        <v>0</v>
      </c>
      <c r="E1292" s="174">
        <v>-0.4</v>
      </c>
      <c r="G1292" s="174">
        <f t="shared" si="20"/>
        <v>-0.4</v>
      </c>
      <c r="H1292" s="174" t="s">
        <v>80</v>
      </c>
    </row>
    <row r="1293" spans="1:8">
      <c r="A1293" s="174" t="s">
        <v>969</v>
      </c>
      <c r="B1293" s="174">
        <v>-64800</v>
      </c>
      <c r="C1293" s="174">
        <v>277200</v>
      </c>
      <c r="D1293" s="174">
        <v>212400</v>
      </c>
      <c r="E1293" s="174">
        <v>0</v>
      </c>
      <c r="G1293" s="174">
        <f t="shared" si="20"/>
        <v>0</v>
      </c>
      <c r="H1293" s="174" t="s">
        <v>80</v>
      </c>
    </row>
    <row r="1294" spans="1:8">
      <c r="A1294" s="174" t="s">
        <v>1600</v>
      </c>
      <c r="B1294" s="174">
        <v>0</v>
      </c>
      <c r="C1294" s="174">
        <v>29500</v>
      </c>
      <c r="D1294" s="174">
        <v>29500</v>
      </c>
      <c r="E1294" s="174">
        <v>0</v>
      </c>
      <c r="G1294" s="174">
        <f t="shared" si="20"/>
        <v>0</v>
      </c>
      <c r="H1294" s="174" t="s">
        <v>80</v>
      </c>
    </row>
    <row r="1295" spans="1:8">
      <c r="A1295" s="174" t="s">
        <v>970</v>
      </c>
      <c r="B1295" s="174">
        <v>-37141</v>
      </c>
      <c r="C1295" s="174">
        <v>271901</v>
      </c>
      <c r="D1295" s="174">
        <v>236235</v>
      </c>
      <c r="E1295" s="174">
        <v>-1475</v>
      </c>
      <c r="G1295" s="174">
        <f t="shared" si="20"/>
        <v>-1475</v>
      </c>
      <c r="H1295" s="174" t="s">
        <v>80</v>
      </c>
    </row>
    <row r="1296" spans="1:8">
      <c r="A1296" s="174" t="s">
        <v>1601</v>
      </c>
      <c r="B1296" s="174">
        <v>0</v>
      </c>
      <c r="C1296" s="174">
        <v>0</v>
      </c>
      <c r="D1296" s="174">
        <v>3894</v>
      </c>
      <c r="E1296" s="174">
        <v>-3894</v>
      </c>
      <c r="G1296" s="174">
        <f t="shared" si="20"/>
        <v>-3894</v>
      </c>
      <c r="H1296" s="174" t="s">
        <v>80</v>
      </c>
    </row>
    <row r="1297" spans="1:8">
      <c r="A1297" s="174" t="s">
        <v>971</v>
      </c>
      <c r="B1297" s="174">
        <v>-147150</v>
      </c>
      <c r="C1297" s="174">
        <v>624000</v>
      </c>
      <c r="D1297" s="174">
        <v>483600</v>
      </c>
      <c r="E1297" s="174">
        <v>-6750</v>
      </c>
      <c r="G1297" s="174">
        <f t="shared" si="20"/>
        <v>-6750</v>
      </c>
      <c r="H1297" s="174" t="s">
        <v>80</v>
      </c>
    </row>
    <row r="1298" spans="1:8">
      <c r="A1298" s="174" t="s">
        <v>1602</v>
      </c>
      <c r="B1298" s="174">
        <v>0</v>
      </c>
      <c r="C1298" s="174">
        <v>55550</v>
      </c>
      <c r="D1298" s="174">
        <v>55000</v>
      </c>
      <c r="E1298" s="174">
        <v>550</v>
      </c>
      <c r="G1298" s="174">
        <f t="shared" si="20"/>
        <v>550</v>
      </c>
      <c r="H1298" s="174" t="s">
        <v>80</v>
      </c>
    </row>
    <row r="1299" spans="1:8">
      <c r="A1299" s="174" t="s">
        <v>972</v>
      </c>
      <c r="B1299" s="174">
        <v>-0.6</v>
      </c>
      <c r="C1299" s="174">
        <v>223348.7</v>
      </c>
      <c r="D1299" s="174">
        <v>223348.7</v>
      </c>
      <c r="E1299" s="174">
        <v>-0.6</v>
      </c>
      <c r="G1299" s="174">
        <f t="shared" si="20"/>
        <v>-0.6</v>
      </c>
      <c r="H1299" s="174" t="s">
        <v>80</v>
      </c>
    </row>
    <row r="1300" spans="1:8">
      <c r="A1300" s="174" t="s">
        <v>231</v>
      </c>
      <c r="B1300" s="174">
        <v>-365814.01</v>
      </c>
      <c r="C1300" s="174">
        <v>1479682</v>
      </c>
      <c r="D1300" s="174">
        <v>1602784</v>
      </c>
      <c r="E1300" s="174">
        <v>-488916.01</v>
      </c>
      <c r="G1300" s="174">
        <f t="shared" si="20"/>
        <v>-488916.01</v>
      </c>
      <c r="H1300" s="174" t="s">
        <v>80</v>
      </c>
    </row>
    <row r="1301" spans="1:8">
      <c r="A1301" s="174" t="s">
        <v>973</v>
      </c>
      <c r="B1301" s="174">
        <v>-484417.06</v>
      </c>
      <c r="C1301" s="174">
        <v>2065555</v>
      </c>
      <c r="D1301" s="174">
        <v>1411160.85</v>
      </c>
      <c r="E1301" s="174">
        <v>169977.09</v>
      </c>
      <c r="G1301" s="174">
        <f t="shared" si="20"/>
        <v>169977.09</v>
      </c>
      <c r="H1301" s="174" t="s">
        <v>80</v>
      </c>
    </row>
    <row r="1302" spans="1:8">
      <c r="A1302" s="174" t="s">
        <v>974</v>
      </c>
      <c r="B1302" s="174">
        <v>-389</v>
      </c>
      <c r="C1302" s="174">
        <v>0</v>
      </c>
      <c r="D1302" s="174">
        <v>0</v>
      </c>
      <c r="E1302" s="174">
        <v>-389</v>
      </c>
      <c r="G1302" s="174">
        <f t="shared" si="20"/>
        <v>-389</v>
      </c>
      <c r="H1302" s="174" t="s">
        <v>80</v>
      </c>
    </row>
    <row r="1303" spans="1:8">
      <c r="A1303" s="174" t="s">
        <v>975</v>
      </c>
      <c r="B1303" s="174">
        <v>-128520</v>
      </c>
      <c r="C1303" s="174">
        <v>556920</v>
      </c>
      <c r="D1303" s="174">
        <v>428400</v>
      </c>
      <c r="E1303" s="174">
        <v>0</v>
      </c>
      <c r="G1303" s="174">
        <f t="shared" si="20"/>
        <v>0</v>
      </c>
      <c r="H1303" s="174" t="s">
        <v>80</v>
      </c>
    </row>
    <row r="1304" spans="1:8">
      <c r="A1304" s="174" t="s">
        <v>380</v>
      </c>
      <c r="B1304" s="174">
        <v>-36315</v>
      </c>
      <c r="C1304" s="174">
        <v>86815</v>
      </c>
      <c r="D1304" s="174">
        <v>50500</v>
      </c>
      <c r="E1304" s="174">
        <v>0</v>
      </c>
      <c r="G1304" s="174">
        <f t="shared" si="20"/>
        <v>0</v>
      </c>
      <c r="H1304" s="174" t="s">
        <v>80</v>
      </c>
    </row>
    <row r="1305" spans="1:8">
      <c r="A1305" s="174" t="s">
        <v>1341</v>
      </c>
      <c r="B1305" s="174">
        <v>0</v>
      </c>
      <c r="C1305" s="174">
        <v>10000</v>
      </c>
      <c r="D1305" s="174">
        <v>10000</v>
      </c>
      <c r="E1305" s="174">
        <v>0</v>
      </c>
      <c r="G1305" s="174">
        <f t="shared" si="20"/>
        <v>0</v>
      </c>
      <c r="H1305" s="174" t="s">
        <v>80</v>
      </c>
    </row>
    <row r="1306" spans="1:8">
      <c r="A1306" s="174" t="s">
        <v>976</v>
      </c>
      <c r="B1306" s="174">
        <v>-6431</v>
      </c>
      <c r="C1306" s="174">
        <v>0</v>
      </c>
      <c r="D1306" s="174">
        <v>0</v>
      </c>
      <c r="E1306" s="174">
        <v>-6431</v>
      </c>
      <c r="G1306" s="174">
        <f t="shared" si="20"/>
        <v>-6431</v>
      </c>
      <c r="H1306" s="174" t="s">
        <v>80</v>
      </c>
    </row>
    <row r="1307" spans="1:8">
      <c r="A1307" s="174" t="s">
        <v>1603</v>
      </c>
      <c r="B1307" s="174">
        <v>0</v>
      </c>
      <c r="C1307" s="174">
        <v>10624.72</v>
      </c>
      <c r="D1307" s="174">
        <v>10624.72</v>
      </c>
      <c r="E1307" s="174">
        <v>0</v>
      </c>
      <c r="G1307" s="174">
        <f t="shared" si="20"/>
        <v>0</v>
      </c>
      <c r="H1307" s="174" t="s">
        <v>80</v>
      </c>
    </row>
    <row r="1308" spans="1:8">
      <c r="A1308" s="174" t="s">
        <v>977</v>
      </c>
      <c r="B1308" s="174">
        <v>150000</v>
      </c>
      <c r="C1308" s="174">
        <v>0</v>
      </c>
      <c r="D1308" s="174">
        <v>0</v>
      </c>
      <c r="E1308" s="174">
        <v>150000</v>
      </c>
      <c r="G1308" s="174">
        <f t="shared" si="20"/>
        <v>150000</v>
      </c>
      <c r="H1308" s="174" t="s">
        <v>80</v>
      </c>
    </row>
    <row r="1309" spans="1:8">
      <c r="A1309" s="174" t="s">
        <v>1342</v>
      </c>
      <c r="B1309" s="174">
        <v>0</v>
      </c>
      <c r="C1309" s="174">
        <v>0</v>
      </c>
      <c r="D1309" s="174">
        <v>0</v>
      </c>
      <c r="E1309" s="174">
        <v>0</v>
      </c>
      <c r="G1309" s="174">
        <f t="shared" si="20"/>
        <v>0</v>
      </c>
      <c r="H1309" s="174" t="s">
        <v>80</v>
      </c>
    </row>
    <row r="1310" spans="1:8">
      <c r="A1310" s="174" t="s">
        <v>221</v>
      </c>
      <c r="B1310" s="174">
        <v>-5311.43</v>
      </c>
      <c r="C1310" s="174">
        <v>15930</v>
      </c>
      <c r="D1310" s="174">
        <v>10620</v>
      </c>
      <c r="E1310" s="174">
        <v>-1.43</v>
      </c>
      <c r="G1310" s="174">
        <f t="shared" si="20"/>
        <v>-1.43</v>
      </c>
      <c r="H1310" s="174" t="s">
        <v>80</v>
      </c>
    </row>
    <row r="1311" spans="1:8">
      <c r="A1311" s="174" t="s">
        <v>465</v>
      </c>
      <c r="B1311" s="174">
        <v>-39722</v>
      </c>
      <c r="C1311" s="174">
        <v>257396</v>
      </c>
      <c r="D1311" s="174">
        <v>257396</v>
      </c>
      <c r="E1311" s="174">
        <v>-39722</v>
      </c>
      <c r="G1311" s="174">
        <f t="shared" si="20"/>
        <v>-39722</v>
      </c>
      <c r="H1311" s="174" t="s">
        <v>80</v>
      </c>
    </row>
    <row r="1312" spans="1:8">
      <c r="A1312" s="174" t="s">
        <v>1343</v>
      </c>
      <c r="B1312" s="174">
        <v>0</v>
      </c>
      <c r="C1312" s="174">
        <v>1024</v>
      </c>
      <c r="D1312" s="174">
        <v>60401</v>
      </c>
      <c r="E1312" s="174">
        <v>-59377</v>
      </c>
      <c r="G1312" s="174">
        <f t="shared" si="20"/>
        <v>-59377</v>
      </c>
      <c r="H1312" s="174" t="s">
        <v>80</v>
      </c>
    </row>
    <row r="1313" spans="1:8">
      <c r="A1313" s="174" t="s">
        <v>424</v>
      </c>
      <c r="B1313" s="174">
        <v>-215570</v>
      </c>
      <c r="C1313" s="174">
        <v>2510</v>
      </c>
      <c r="D1313" s="174">
        <v>148090</v>
      </c>
      <c r="E1313" s="174">
        <v>-361150</v>
      </c>
      <c r="G1313" s="174">
        <f t="shared" si="20"/>
        <v>-361150</v>
      </c>
      <c r="H1313" s="174" t="s">
        <v>80</v>
      </c>
    </row>
    <row r="1314" spans="1:8">
      <c r="A1314" s="174" t="s">
        <v>978</v>
      </c>
      <c r="B1314" s="174">
        <v>2445855</v>
      </c>
      <c r="C1314" s="174">
        <v>148500</v>
      </c>
      <c r="D1314" s="174">
        <v>0</v>
      </c>
      <c r="E1314" s="174">
        <v>2594355</v>
      </c>
      <c r="G1314" s="174">
        <f t="shared" si="20"/>
        <v>2594355</v>
      </c>
      <c r="H1314" s="174" t="s">
        <v>80</v>
      </c>
    </row>
    <row r="1315" spans="1:8">
      <c r="A1315" s="174" t="s">
        <v>979</v>
      </c>
      <c r="B1315" s="174">
        <v>-31904</v>
      </c>
      <c r="C1315" s="174">
        <v>50820</v>
      </c>
      <c r="D1315" s="174">
        <v>50820</v>
      </c>
      <c r="E1315" s="174">
        <v>-31904</v>
      </c>
      <c r="G1315" s="174">
        <f t="shared" si="20"/>
        <v>-31904</v>
      </c>
      <c r="H1315" s="174" t="s">
        <v>80</v>
      </c>
    </row>
    <row r="1316" spans="1:8">
      <c r="A1316" s="174" t="s">
        <v>1506</v>
      </c>
      <c r="B1316" s="174">
        <v>0</v>
      </c>
      <c r="C1316" s="174">
        <v>2419</v>
      </c>
      <c r="D1316" s="174">
        <v>2419</v>
      </c>
      <c r="E1316" s="174">
        <v>0</v>
      </c>
      <c r="G1316" s="174">
        <f t="shared" si="20"/>
        <v>0</v>
      </c>
      <c r="H1316" s="174" t="s">
        <v>80</v>
      </c>
    </row>
    <row r="1317" spans="1:8">
      <c r="A1317" s="174" t="s">
        <v>1344</v>
      </c>
      <c r="B1317" s="174">
        <v>0</v>
      </c>
      <c r="C1317" s="174">
        <v>0</v>
      </c>
      <c r="D1317" s="174">
        <v>0</v>
      </c>
      <c r="E1317" s="174">
        <v>0</v>
      </c>
      <c r="G1317" s="174">
        <f t="shared" si="20"/>
        <v>0</v>
      </c>
      <c r="H1317" s="174" t="s">
        <v>80</v>
      </c>
    </row>
    <row r="1318" spans="1:8">
      <c r="A1318" s="174" t="s">
        <v>1345</v>
      </c>
      <c r="B1318" s="174">
        <v>0</v>
      </c>
      <c r="C1318" s="174">
        <v>13190</v>
      </c>
      <c r="D1318" s="174">
        <v>0</v>
      </c>
      <c r="E1318" s="174">
        <v>13190</v>
      </c>
      <c r="G1318" s="174">
        <f t="shared" si="20"/>
        <v>13190</v>
      </c>
      <c r="H1318" s="174" t="s">
        <v>80</v>
      </c>
    </row>
    <row r="1319" spans="1:8">
      <c r="A1319" s="174" t="s">
        <v>1604</v>
      </c>
      <c r="B1319" s="174">
        <v>0</v>
      </c>
      <c r="C1319" s="174">
        <v>53429</v>
      </c>
      <c r="D1319" s="174">
        <v>53429</v>
      </c>
      <c r="E1319" s="174">
        <v>0</v>
      </c>
      <c r="G1319" s="174">
        <f t="shared" si="20"/>
        <v>0</v>
      </c>
      <c r="H1319" s="174" t="s">
        <v>80</v>
      </c>
    </row>
    <row r="1320" spans="1:8">
      <c r="A1320" s="174" t="s">
        <v>980</v>
      </c>
      <c r="B1320" s="174">
        <v>19410</v>
      </c>
      <c r="C1320" s="174">
        <v>5900</v>
      </c>
      <c r="D1320" s="174">
        <v>11800</v>
      </c>
      <c r="E1320" s="174">
        <v>13510</v>
      </c>
      <c r="G1320" s="174">
        <f t="shared" si="20"/>
        <v>13510</v>
      </c>
      <c r="H1320" s="174" t="s">
        <v>80</v>
      </c>
    </row>
    <row r="1321" spans="1:8">
      <c r="A1321" s="174" t="s">
        <v>981</v>
      </c>
      <c r="B1321" s="174">
        <v>49500</v>
      </c>
      <c r="C1321" s="174">
        <v>99000</v>
      </c>
      <c r="D1321" s="174">
        <v>0</v>
      </c>
      <c r="E1321" s="174">
        <v>148500</v>
      </c>
      <c r="G1321" s="174">
        <f t="shared" si="20"/>
        <v>148500</v>
      </c>
      <c r="H1321" s="174" t="s">
        <v>80</v>
      </c>
    </row>
    <row r="1322" spans="1:8">
      <c r="A1322" s="174" t="s">
        <v>982</v>
      </c>
      <c r="B1322" s="174">
        <v>30000</v>
      </c>
      <c r="C1322" s="174">
        <v>0</v>
      </c>
      <c r="D1322" s="174">
        <v>0</v>
      </c>
      <c r="E1322" s="174">
        <v>30000</v>
      </c>
      <c r="G1322" s="174">
        <f t="shared" si="20"/>
        <v>30000</v>
      </c>
      <c r="H1322" s="174" t="s">
        <v>80</v>
      </c>
    </row>
    <row r="1323" spans="1:8">
      <c r="A1323" s="174" t="s">
        <v>983</v>
      </c>
      <c r="B1323" s="174">
        <v>21240</v>
      </c>
      <c r="C1323" s="174">
        <v>0</v>
      </c>
      <c r="D1323" s="174">
        <v>0</v>
      </c>
      <c r="E1323" s="174">
        <v>21240</v>
      </c>
      <c r="G1323" s="174">
        <f t="shared" si="20"/>
        <v>21240</v>
      </c>
      <c r="H1323" s="174" t="s">
        <v>80</v>
      </c>
    </row>
    <row r="1324" spans="1:8">
      <c r="A1324" s="174" t="s">
        <v>984</v>
      </c>
      <c r="B1324" s="174">
        <v>-47200</v>
      </c>
      <c r="C1324" s="174">
        <v>47200</v>
      </c>
      <c r="D1324" s="174">
        <v>0</v>
      </c>
      <c r="E1324" s="174">
        <v>0</v>
      </c>
      <c r="G1324" s="174">
        <f t="shared" si="20"/>
        <v>0</v>
      </c>
      <c r="H1324" s="174" t="s">
        <v>80</v>
      </c>
    </row>
    <row r="1325" spans="1:8">
      <c r="A1325" s="174" t="s">
        <v>461</v>
      </c>
      <c r="B1325" s="174">
        <v>-1223853.24</v>
      </c>
      <c r="C1325" s="174">
        <v>5049860</v>
      </c>
      <c r="D1325" s="174">
        <v>3301913.28</v>
      </c>
      <c r="E1325" s="174">
        <v>524093.48</v>
      </c>
      <c r="G1325" s="174">
        <f t="shared" si="20"/>
        <v>524093.48</v>
      </c>
      <c r="H1325" s="174" t="s">
        <v>80</v>
      </c>
    </row>
    <row r="1326" spans="1:8">
      <c r="A1326" s="174" t="s">
        <v>985</v>
      </c>
      <c r="B1326" s="174">
        <v>-132120</v>
      </c>
      <c r="C1326" s="174">
        <v>475200</v>
      </c>
      <c r="D1326" s="174">
        <v>345600</v>
      </c>
      <c r="E1326" s="174">
        <v>-2520</v>
      </c>
      <c r="G1326" s="174">
        <f t="shared" si="20"/>
        <v>-2520</v>
      </c>
      <c r="H1326" s="174" t="s">
        <v>80</v>
      </c>
    </row>
    <row r="1327" spans="1:8">
      <c r="A1327" s="174" t="s">
        <v>1507</v>
      </c>
      <c r="B1327" s="174">
        <v>0</v>
      </c>
      <c r="C1327" s="174">
        <v>590000</v>
      </c>
      <c r="D1327" s="174">
        <v>590000</v>
      </c>
      <c r="E1327" s="174">
        <v>0</v>
      </c>
      <c r="G1327" s="174">
        <f t="shared" si="20"/>
        <v>0</v>
      </c>
      <c r="H1327" s="174" t="s">
        <v>80</v>
      </c>
    </row>
    <row r="1328" spans="1:8">
      <c r="A1328" s="174" t="s">
        <v>986</v>
      </c>
      <c r="B1328" s="174">
        <v>48980</v>
      </c>
      <c r="C1328" s="174">
        <v>0</v>
      </c>
      <c r="D1328" s="174">
        <v>0</v>
      </c>
      <c r="E1328" s="174">
        <v>48980</v>
      </c>
      <c r="G1328" s="174">
        <f t="shared" si="20"/>
        <v>48980</v>
      </c>
      <c r="H1328" s="174" t="s">
        <v>80</v>
      </c>
    </row>
    <row r="1329" spans="1:8">
      <c r="A1329" s="174" t="s">
        <v>1346</v>
      </c>
      <c r="B1329" s="174">
        <v>0</v>
      </c>
      <c r="C1329" s="174">
        <v>0</v>
      </c>
      <c r="D1329" s="174">
        <v>0</v>
      </c>
      <c r="E1329" s="174">
        <v>0</v>
      </c>
      <c r="G1329" s="174">
        <f t="shared" si="20"/>
        <v>0</v>
      </c>
      <c r="H1329" s="174" t="s">
        <v>80</v>
      </c>
    </row>
    <row r="1330" spans="1:8">
      <c r="A1330" s="174" t="s">
        <v>987</v>
      </c>
      <c r="B1330" s="174">
        <v>9874</v>
      </c>
      <c r="C1330" s="174">
        <v>0</v>
      </c>
      <c r="D1330" s="174">
        <v>0</v>
      </c>
      <c r="E1330" s="174">
        <v>9874</v>
      </c>
      <c r="G1330" s="174">
        <f t="shared" si="20"/>
        <v>9874</v>
      </c>
      <c r="H1330" s="174" t="s">
        <v>80</v>
      </c>
    </row>
    <row r="1331" spans="1:8">
      <c r="A1331" s="174" t="s">
        <v>988</v>
      </c>
      <c r="B1331" s="174">
        <v>-132920</v>
      </c>
      <c r="C1331" s="174">
        <v>475200</v>
      </c>
      <c r="D1331" s="174">
        <v>345600</v>
      </c>
      <c r="E1331" s="174">
        <v>-3320</v>
      </c>
      <c r="G1331" s="174">
        <f t="shared" si="20"/>
        <v>-3320</v>
      </c>
      <c r="H1331" s="174" t="s">
        <v>80</v>
      </c>
    </row>
    <row r="1332" spans="1:8">
      <c r="A1332" s="174" t="s">
        <v>1347</v>
      </c>
      <c r="B1332" s="174">
        <v>0</v>
      </c>
      <c r="C1332" s="174">
        <v>246035</v>
      </c>
      <c r="D1332" s="174">
        <v>0</v>
      </c>
      <c r="E1332" s="174">
        <v>246035</v>
      </c>
      <c r="G1332" s="174">
        <f t="shared" si="20"/>
        <v>246035</v>
      </c>
      <c r="H1332" s="174" t="s">
        <v>80</v>
      </c>
    </row>
    <row r="1333" spans="1:8">
      <c r="A1333" s="174" t="s">
        <v>989</v>
      </c>
      <c r="B1333" s="174">
        <v>50500</v>
      </c>
      <c r="C1333" s="174">
        <v>0</v>
      </c>
      <c r="D1333" s="174">
        <v>0</v>
      </c>
      <c r="E1333" s="174">
        <v>50500</v>
      </c>
      <c r="G1333" s="174">
        <f t="shared" si="20"/>
        <v>50500</v>
      </c>
      <c r="H1333" s="174" t="s">
        <v>80</v>
      </c>
    </row>
    <row r="1334" spans="1:8">
      <c r="A1334" s="174" t="s">
        <v>990</v>
      </c>
      <c r="B1334" s="174">
        <v>410850</v>
      </c>
      <c r="C1334" s="174">
        <v>297000</v>
      </c>
      <c r="D1334" s="174">
        <v>0</v>
      </c>
      <c r="E1334" s="174">
        <v>707850</v>
      </c>
      <c r="G1334" s="174">
        <f t="shared" si="20"/>
        <v>707850</v>
      </c>
      <c r="H1334" s="174" t="s">
        <v>80</v>
      </c>
    </row>
    <row r="1335" spans="1:8">
      <c r="A1335" s="174" t="s">
        <v>991</v>
      </c>
      <c r="B1335" s="174">
        <v>1187000</v>
      </c>
      <c r="C1335" s="174">
        <v>693000</v>
      </c>
      <c r="D1335" s="174">
        <v>0</v>
      </c>
      <c r="E1335" s="174">
        <v>1880000</v>
      </c>
      <c r="G1335" s="174">
        <f t="shared" si="20"/>
        <v>1880000</v>
      </c>
      <c r="H1335" s="174" t="s">
        <v>80</v>
      </c>
    </row>
    <row r="1336" spans="1:8">
      <c r="A1336" s="174" t="s">
        <v>992</v>
      </c>
      <c r="B1336" s="174">
        <v>-1170</v>
      </c>
      <c r="C1336" s="174">
        <v>0</v>
      </c>
      <c r="D1336" s="174">
        <v>21535</v>
      </c>
      <c r="E1336" s="174">
        <v>-22705</v>
      </c>
      <c r="G1336" s="174">
        <f t="shared" si="20"/>
        <v>-22705</v>
      </c>
      <c r="H1336" s="174" t="s">
        <v>80</v>
      </c>
    </row>
    <row r="1337" spans="1:8">
      <c r="A1337" s="174" t="s">
        <v>993</v>
      </c>
      <c r="B1337" s="174">
        <v>-168000</v>
      </c>
      <c r="C1337" s="174">
        <v>168000</v>
      </c>
      <c r="D1337" s="174">
        <v>0</v>
      </c>
      <c r="E1337" s="174">
        <v>0</v>
      </c>
      <c r="G1337" s="174">
        <f t="shared" si="20"/>
        <v>0</v>
      </c>
      <c r="H1337" s="174" t="s">
        <v>80</v>
      </c>
    </row>
    <row r="1338" spans="1:8">
      <c r="A1338" s="174" t="s">
        <v>994</v>
      </c>
      <c r="B1338" s="174">
        <v>3806.64</v>
      </c>
      <c r="C1338" s="174">
        <v>0</v>
      </c>
      <c r="D1338" s="174">
        <v>0</v>
      </c>
      <c r="E1338" s="174">
        <v>3806.64</v>
      </c>
      <c r="G1338" s="174">
        <f t="shared" si="20"/>
        <v>3806.64</v>
      </c>
      <c r="H1338" s="174" t="s">
        <v>80</v>
      </c>
    </row>
    <row r="1339" spans="1:8">
      <c r="A1339" s="174" t="s">
        <v>1348</v>
      </c>
      <c r="B1339" s="174">
        <v>0</v>
      </c>
      <c r="C1339" s="174">
        <v>0</v>
      </c>
      <c r="D1339" s="174">
        <v>0</v>
      </c>
      <c r="E1339" s="174">
        <v>0</v>
      </c>
      <c r="G1339" s="174">
        <f t="shared" si="20"/>
        <v>0</v>
      </c>
      <c r="H1339" s="174" t="s">
        <v>80</v>
      </c>
    </row>
    <row r="1340" spans="1:8">
      <c r="A1340" s="174" t="s">
        <v>995</v>
      </c>
      <c r="B1340" s="174">
        <v>-51408</v>
      </c>
      <c r="C1340" s="174">
        <v>222768</v>
      </c>
      <c r="D1340" s="174">
        <v>171360</v>
      </c>
      <c r="E1340" s="174">
        <v>0</v>
      </c>
      <c r="G1340" s="174">
        <f t="shared" si="20"/>
        <v>0</v>
      </c>
      <c r="H1340" s="174" t="s">
        <v>80</v>
      </c>
    </row>
    <row r="1341" spans="1:8">
      <c r="A1341" s="174" t="s">
        <v>1349</v>
      </c>
      <c r="B1341" s="174">
        <v>0</v>
      </c>
      <c r="C1341" s="174">
        <v>287626</v>
      </c>
      <c r="D1341" s="174">
        <v>287626</v>
      </c>
      <c r="E1341" s="174">
        <v>0</v>
      </c>
      <c r="G1341" s="174">
        <f t="shared" si="20"/>
        <v>0</v>
      </c>
      <c r="H1341" s="174" t="s">
        <v>80</v>
      </c>
    </row>
    <row r="1342" spans="1:8">
      <c r="A1342" s="174" t="s">
        <v>996</v>
      </c>
      <c r="B1342" s="174">
        <v>21121</v>
      </c>
      <c r="C1342" s="174">
        <v>11210</v>
      </c>
      <c r="D1342" s="174">
        <v>11210</v>
      </c>
      <c r="E1342" s="174">
        <v>21121</v>
      </c>
      <c r="G1342" s="174">
        <f t="shared" si="20"/>
        <v>21121</v>
      </c>
      <c r="H1342" s="174" t="s">
        <v>80</v>
      </c>
    </row>
    <row r="1343" spans="1:8">
      <c r="A1343" s="174" t="s">
        <v>997</v>
      </c>
      <c r="B1343" s="174">
        <v>9136</v>
      </c>
      <c r="C1343" s="174">
        <v>0</v>
      </c>
      <c r="D1343" s="174">
        <v>9136</v>
      </c>
      <c r="E1343" s="174">
        <v>0</v>
      </c>
      <c r="G1343" s="174">
        <f t="shared" si="20"/>
        <v>0</v>
      </c>
      <c r="H1343" s="174" t="s">
        <v>80</v>
      </c>
    </row>
    <row r="1344" spans="1:8">
      <c r="A1344" s="174" t="s">
        <v>1350</v>
      </c>
      <c r="B1344" s="174">
        <v>0</v>
      </c>
      <c r="C1344" s="174">
        <v>1257505</v>
      </c>
      <c r="D1344" s="174">
        <v>1373448.48</v>
      </c>
      <c r="E1344" s="174">
        <v>-115943.48</v>
      </c>
      <c r="G1344" s="174">
        <f t="shared" si="20"/>
        <v>-115943.48</v>
      </c>
      <c r="H1344" s="174" t="s">
        <v>80</v>
      </c>
    </row>
    <row r="1345" spans="1:8">
      <c r="A1345" s="174" t="s">
        <v>998</v>
      </c>
      <c r="B1345" s="174">
        <v>81969</v>
      </c>
      <c r="C1345" s="174">
        <v>1320</v>
      </c>
      <c r="D1345" s="174">
        <v>80388</v>
      </c>
      <c r="E1345" s="174">
        <v>2901</v>
      </c>
      <c r="G1345" s="174">
        <f t="shared" si="20"/>
        <v>2901</v>
      </c>
      <c r="H1345" s="174" t="s">
        <v>80</v>
      </c>
    </row>
    <row r="1346" spans="1:8">
      <c r="A1346" s="174" t="s">
        <v>1351</v>
      </c>
      <c r="B1346" s="174">
        <v>0</v>
      </c>
      <c r="C1346" s="174">
        <v>7080</v>
      </c>
      <c r="D1346" s="174">
        <v>7080</v>
      </c>
      <c r="E1346" s="174">
        <v>0</v>
      </c>
      <c r="G1346" s="174">
        <f t="shared" si="20"/>
        <v>0</v>
      </c>
      <c r="H1346" s="174" t="s">
        <v>80</v>
      </c>
    </row>
    <row r="1347" spans="1:8">
      <c r="A1347" s="174" t="s">
        <v>1352</v>
      </c>
      <c r="B1347" s="174">
        <v>0</v>
      </c>
      <c r="C1347" s="174">
        <v>0</v>
      </c>
      <c r="D1347" s="174">
        <v>0</v>
      </c>
      <c r="E1347" s="174">
        <v>0</v>
      </c>
      <c r="G1347" s="174">
        <f t="shared" ref="G1347:G1410" si="21">E1347+F1347</f>
        <v>0</v>
      </c>
      <c r="H1347" s="174" t="s">
        <v>80</v>
      </c>
    </row>
    <row r="1348" spans="1:8">
      <c r="A1348" s="174" t="s">
        <v>1508</v>
      </c>
      <c r="B1348" s="174">
        <v>0</v>
      </c>
      <c r="C1348" s="174">
        <v>170447</v>
      </c>
      <c r="D1348" s="174">
        <v>170447</v>
      </c>
      <c r="E1348" s="174">
        <v>0</v>
      </c>
      <c r="G1348" s="174">
        <f t="shared" si="21"/>
        <v>0</v>
      </c>
      <c r="H1348" s="174" t="s">
        <v>80</v>
      </c>
    </row>
    <row r="1349" spans="1:8">
      <c r="A1349" s="174" t="s">
        <v>1509</v>
      </c>
      <c r="B1349" s="174">
        <v>0</v>
      </c>
      <c r="C1349" s="174">
        <v>78706</v>
      </c>
      <c r="D1349" s="174">
        <v>72806</v>
      </c>
      <c r="E1349" s="174">
        <v>5900</v>
      </c>
      <c r="G1349" s="174">
        <f t="shared" si="21"/>
        <v>5900</v>
      </c>
      <c r="H1349" s="174" t="s">
        <v>80</v>
      </c>
    </row>
    <row r="1350" spans="1:8">
      <c r="A1350" s="174" t="s">
        <v>999</v>
      </c>
      <c r="B1350" s="174">
        <v>-29700</v>
      </c>
      <c r="C1350" s="174">
        <v>59700</v>
      </c>
      <c r="D1350" s="174">
        <v>30000</v>
      </c>
      <c r="E1350" s="174">
        <v>0</v>
      </c>
      <c r="G1350" s="174">
        <f t="shared" si="21"/>
        <v>0</v>
      </c>
      <c r="H1350" s="174" t="s">
        <v>80</v>
      </c>
    </row>
    <row r="1351" spans="1:8">
      <c r="A1351" s="174" t="s">
        <v>1353</v>
      </c>
      <c r="B1351" s="174">
        <v>0</v>
      </c>
      <c r="C1351" s="174">
        <v>90793</v>
      </c>
      <c r="D1351" s="174">
        <v>90793</v>
      </c>
      <c r="E1351" s="174">
        <v>0</v>
      </c>
      <c r="G1351" s="174">
        <f t="shared" si="21"/>
        <v>0</v>
      </c>
      <c r="H1351" s="174" t="s">
        <v>80</v>
      </c>
    </row>
    <row r="1352" spans="1:8">
      <c r="A1352" s="174" t="s">
        <v>1000</v>
      </c>
      <c r="B1352" s="174">
        <v>86828</v>
      </c>
      <c r="C1352" s="174">
        <v>346500</v>
      </c>
      <c r="D1352" s="174">
        <v>0</v>
      </c>
      <c r="E1352" s="174">
        <v>433328</v>
      </c>
      <c r="G1352" s="174">
        <f t="shared" si="21"/>
        <v>433328</v>
      </c>
      <c r="H1352" s="174" t="s">
        <v>80</v>
      </c>
    </row>
    <row r="1353" spans="1:8">
      <c r="A1353" s="174" t="s">
        <v>1001</v>
      </c>
      <c r="B1353" s="174">
        <v>-6863.39</v>
      </c>
      <c r="C1353" s="174">
        <v>4407.45</v>
      </c>
      <c r="D1353" s="174">
        <v>320741.28000000003</v>
      </c>
      <c r="E1353" s="174">
        <v>-323197.21999999997</v>
      </c>
      <c r="G1353" s="174">
        <f t="shared" si="21"/>
        <v>-323197.21999999997</v>
      </c>
      <c r="H1353" s="174" t="s">
        <v>80</v>
      </c>
    </row>
    <row r="1354" spans="1:8">
      <c r="A1354" s="174" t="s">
        <v>1510</v>
      </c>
      <c r="B1354" s="174">
        <v>0</v>
      </c>
      <c r="C1354" s="174">
        <v>31732</v>
      </c>
      <c r="D1354" s="174">
        <v>36632</v>
      </c>
      <c r="E1354" s="174">
        <v>-4900</v>
      </c>
      <c r="G1354" s="174">
        <f t="shared" si="21"/>
        <v>-4900</v>
      </c>
      <c r="H1354" s="174" t="s">
        <v>80</v>
      </c>
    </row>
    <row r="1355" spans="1:8">
      <c r="A1355" s="174" t="s">
        <v>1511</v>
      </c>
      <c r="B1355" s="174">
        <v>0</v>
      </c>
      <c r="C1355" s="174">
        <v>4000</v>
      </c>
      <c r="D1355" s="174">
        <v>4000</v>
      </c>
      <c r="E1355" s="174">
        <v>0</v>
      </c>
      <c r="G1355" s="174">
        <f t="shared" si="21"/>
        <v>0</v>
      </c>
      <c r="H1355" s="174" t="s">
        <v>80</v>
      </c>
    </row>
    <row r="1356" spans="1:8">
      <c r="A1356" s="174" t="s">
        <v>1354</v>
      </c>
      <c r="B1356" s="174">
        <v>0</v>
      </c>
      <c r="C1356" s="174">
        <v>0</v>
      </c>
      <c r="D1356" s="174">
        <v>0</v>
      </c>
      <c r="E1356" s="174">
        <v>0</v>
      </c>
      <c r="G1356" s="174">
        <f t="shared" si="21"/>
        <v>0</v>
      </c>
      <c r="H1356" s="174" t="s">
        <v>80</v>
      </c>
    </row>
    <row r="1357" spans="1:8">
      <c r="A1357" s="174" t="s">
        <v>1002</v>
      </c>
      <c r="B1357" s="174">
        <v>125</v>
      </c>
      <c r="C1357" s="174">
        <v>3750</v>
      </c>
      <c r="D1357" s="174">
        <v>6250</v>
      </c>
      <c r="E1357" s="174">
        <v>-2375</v>
      </c>
      <c r="G1357" s="174">
        <f t="shared" si="21"/>
        <v>-2375</v>
      </c>
      <c r="H1357" s="174" t="s">
        <v>80</v>
      </c>
    </row>
    <row r="1358" spans="1:8">
      <c r="A1358" s="174" t="s">
        <v>1003</v>
      </c>
      <c r="B1358" s="174">
        <v>-35425.25</v>
      </c>
      <c r="C1358" s="174">
        <v>0</v>
      </c>
      <c r="D1358" s="174">
        <v>0</v>
      </c>
      <c r="E1358" s="174">
        <v>-35425.25</v>
      </c>
      <c r="G1358" s="174">
        <f t="shared" si="21"/>
        <v>-35425.25</v>
      </c>
      <c r="H1358" s="174" t="s">
        <v>80</v>
      </c>
    </row>
    <row r="1359" spans="1:8">
      <c r="A1359" s="174" t="s">
        <v>1004</v>
      </c>
      <c r="B1359" s="174">
        <v>-31512.92</v>
      </c>
      <c r="C1359" s="174">
        <v>31513</v>
      </c>
      <c r="D1359" s="174">
        <v>0</v>
      </c>
      <c r="E1359" s="174">
        <v>0.08</v>
      </c>
      <c r="G1359" s="174">
        <f t="shared" si="21"/>
        <v>0.08</v>
      </c>
      <c r="H1359" s="174" t="s">
        <v>80</v>
      </c>
    </row>
    <row r="1360" spans="1:8">
      <c r="A1360" s="174" t="s">
        <v>1005</v>
      </c>
      <c r="B1360" s="174">
        <v>-11280</v>
      </c>
      <c r="C1360" s="174">
        <v>11280</v>
      </c>
      <c r="D1360" s="174">
        <v>0</v>
      </c>
      <c r="E1360" s="174">
        <v>0</v>
      </c>
      <c r="G1360" s="174">
        <f t="shared" si="21"/>
        <v>0</v>
      </c>
      <c r="H1360" s="174" t="s">
        <v>80</v>
      </c>
    </row>
    <row r="1361" spans="1:8">
      <c r="A1361" s="174" t="s">
        <v>1006</v>
      </c>
      <c r="B1361" s="174">
        <v>-153381</v>
      </c>
      <c r="C1361" s="174">
        <v>311737</v>
      </c>
      <c r="D1361" s="174">
        <v>519680</v>
      </c>
      <c r="E1361" s="174">
        <v>-361324</v>
      </c>
      <c r="G1361" s="174">
        <f t="shared" si="21"/>
        <v>-361324</v>
      </c>
      <c r="H1361" s="174" t="s">
        <v>80</v>
      </c>
    </row>
    <row r="1362" spans="1:8">
      <c r="A1362" s="174" t="s">
        <v>1355</v>
      </c>
      <c r="B1362" s="174">
        <v>0</v>
      </c>
      <c r="C1362" s="174">
        <v>537350</v>
      </c>
      <c r="D1362" s="174">
        <v>537350</v>
      </c>
      <c r="E1362" s="174">
        <v>0</v>
      </c>
      <c r="G1362" s="174">
        <f t="shared" si="21"/>
        <v>0</v>
      </c>
      <c r="H1362" s="174" t="s">
        <v>80</v>
      </c>
    </row>
    <row r="1363" spans="1:8">
      <c r="A1363" s="174" t="s">
        <v>1007</v>
      </c>
      <c r="B1363" s="174">
        <v>350000</v>
      </c>
      <c r="C1363" s="174">
        <v>0</v>
      </c>
      <c r="D1363" s="174">
        <v>0</v>
      </c>
      <c r="E1363" s="174">
        <v>350000</v>
      </c>
      <c r="G1363" s="174">
        <f t="shared" si="21"/>
        <v>350000</v>
      </c>
      <c r="H1363" s="174" t="s">
        <v>80</v>
      </c>
    </row>
    <row r="1364" spans="1:8">
      <c r="A1364" s="174" t="s">
        <v>1356</v>
      </c>
      <c r="B1364" s="174">
        <v>0</v>
      </c>
      <c r="C1364" s="174">
        <v>0</v>
      </c>
      <c r="D1364" s="174">
        <v>0</v>
      </c>
      <c r="E1364" s="174">
        <v>0</v>
      </c>
      <c r="G1364" s="174">
        <f t="shared" si="21"/>
        <v>0</v>
      </c>
      <c r="H1364" s="174" t="s">
        <v>80</v>
      </c>
    </row>
    <row r="1365" spans="1:8">
      <c r="A1365" s="174" t="s">
        <v>1357</v>
      </c>
      <c r="B1365" s="174">
        <v>0</v>
      </c>
      <c r="C1365" s="174">
        <v>5100</v>
      </c>
      <c r="D1365" s="174">
        <v>0</v>
      </c>
      <c r="E1365" s="174">
        <v>5100</v>
      </c>
      <c r="G1365" s="174">
        <f t="shared" si="21"/>
        <v>5100</v>
      </c>
      <c r="H1365" s="174" t="s">
        <v>80</v>
      </c>
    </row>
    <row r="1366" spans="1:8">
      <c r="A1366" s="174" t="s">
        <v>1358</v>
      </c>
      <c r="B1366" s="174">
        <v>0</v>
      </c>
      <c r="C1366" s="174">
        <v>0</v>
      </c>
      <c r="D1366" s="174">
        <v>0</v>
      </c>
      <c r="E1366" s="174">
        <v>0</v>
      </c>
      <c r="G1366" s="174">
        <f t="shared" si="21"/>
        <v>0</v>
      </c>
      <c r="H1366" s="174" t="s">
        <v>80</v>
      </c>
    </row>
    <row r="1367" spans="1:8">
      <c r="A1367" s="174" t="s">
        <v>419</v>
      </c>
      <c r="B1367" s="174">
        <v>-20234.669999999998</v>
      </c>
      <c r="C1367" s="174">
        <v>1941542</v>
      </c>
      <c r="D1367" s="174">
        <v>1921308</v>
      </c>
      <c r="E1367" s="174">
        <v>-0.67</v>
      </c>
      <c r="G1367" s="174">
        <f t="shared" si="21"/>
        <v>-0.67</v>
      </c>
      <c r="H1367" s="174" t="s">
        <v>80</v>
      </c>
    </row>
    <row r="1368" spans="1:8">
      <c r="A1368" s="174" t="s">
        <v>1008</v>
      </c>
      <c r="B1368" s="174">
        <v>19025</v>
      </c>
      <c r="C1368" s="174">
        <v>144239</v>
      </c>
      <c r="D1368" s="174">
        <v>0</v>
      </c>
      <c r="E1368" s="174">
        <v>163264</v>
      </c>
      <c r="G1368" s="174">
        <f t="shared" si="21"/>
        <v>163264</v>
      </c>
      <c r="H1368" s="174" t="s">
        <v>80</v>
      </c>
    </row>
    <row r="1369" spans="1:8">
      <c r="A1369" s="174" t="s">
        <v>1009</v>
      </c>
      <c r="B1369" s="174">
        <v>0</v>
      </c>
      <c r="C1369" s="174">
        <v>4212</v>
      </c>
      <c r="D1369" s="174">
        <v>3068</v>
      </c>
      <c r="E1369" s="174">
        <v>1144</v>
      </c>
      <c r="G1369" s="174">
        <f t="shared" si="21"/>
        <v>1144</v>
      </c>
      <c r="H1369" s="174" t="s">
        <v>80</v>
      </c>
    </row>
    <row r="1370" spans="1:8">
      <c r="A1370" s="174" t="s">
        <v>1010</v>
      </c>
      <c r="B1370" s="174">
        <v>-3581</v>
      </c>
      <c r="C1370" s="174">
        <v>0</v>
      </c>
      <c r="D1370" s="174">
        <v>0</v>
      </c>
      <c r="E1370" s="174">
        <v>-3581</v>
      </c>
      <c r="G1370" s="174">
        <f t="shared" si="21"/>
        <v>-3581</v>
      </c>
      <c r="H1370" s="174" t="s">
        <v>80</v>
      </c>
    </row>
    <row r="1371" spans="1:8">
      <c r="A1371" s="174" t="s">
        <v>1359</v>
      </c>
      <c r="B1371" s="174">
        <v>0</v>
      </c>
      <c r="C1371" s="174">
        <v>0</v>
      </c>
      <c r="D1371" s="174">
        <v>21476</v>
      </c>
      <c r="E1371" s="174">
        <v>-21476</v>
      </c>
      <c r="G1371" s="174">
        <f t="shared" si="21"/>
        <v>-21476</v>
      </c>
      <c r="H1371" s="174" t="s">
        <v>80</v>
      </c>
    </row>
    <row r="1372" spans="1:8">
      <c r="A1372" s="174" t="s">
        <v>1605</v>
      </c>
      <c r="B1372" s="174">
        <v>0</v>
      </c>
      <c r="C1372" s="174">
        <v>324.5</v>
      </c>
      <c r="D1372" s="174">
        <v>324.5</v>
      </c>
      <c r="E1372" s="174">
        <v>0</v>
      </c>
      <c r="G1372" s="174">
        <f t="shared" si="21"/>
        <v>0</v>
      </c>
      <c r="H1372" s="174" t="s">
        <v>80</v>
      </c>
    </row>
    <row r="1373" spans="1:8">
      <c r="A1373" s="174" t="s">
        <v>1011</v>
      </c>
      <c r="B1373" s="174">
        <v>-0.64</v>
      </c>
      <c r="C1373" s="174">
        <v>410403.54</v>
      </c>
      <c r="D1373" s="174">
        <v>410403.54</v>
      </c>
      <c r="E1373" s="174">
        <v>-0.64</v>
      </c>
      <c r="G1373" s="174">
        <f t="shared" si="21"/>
        <v>-0.64</v>
      </c>
      <c r="H1373" s="174" t="s">
        <v>80</v>
      </c>
    </row>
    <row r="1374" spans="1:8">
      <c r="A1374" s="174" t="s">
        <v>1012</v>
      </c>
      <c r="B1374" s="174">
        <v>-146369.48000000001</v>
      </c>
      <c r="C1374" s="174">
        <v>187290</v>
      </c>
      <c r="D1374" s="174">
        <v>42775</v>
      </c>
      <c r="E1374" s="174">
        <v>-1854.48</v>
      </c>
      <c r="G1374" s="174">
        <f t="shared" si="21"/>
        <v>-1854.48</v>
      </c>
      <c r="H1374" s="174" t="s">
        <v>80</v>
      </c>
    </row>
    <row r="1375" spans="1:8">
      <c r="A1375" s="174" t="s">
        <v>155</v>
      </c>
      <c r="B1375" s="174">
        <v>-4150455.4</v>
      </c>
      <c r="C1375" s="174">
        <v>15396025</v>
      </c>
      <c r="D1375" s="174">
        <v>10418813</v>
      </c>
      <c r="E1375" s="174">
        <v>826756.6</v>
      </c>
      <c r="G1375" s="174">
        <f t="shared" si="21"/>
        <v>826756.6</v>
      </c>
      <c r="H1375" s="174" t="s">
        <v>80</v>
      </c>
    </row>
    <row r="1376" spans="1:8">
      <c r="A1376" s="174" t="s">
        <v>1606</v>
      </c>
      <c r="B1376" s="174">
        <v>0</v>
      </c>
      <c r="C1376" s="174">
        <v>4946.5600000000004</v>
      </c>
      <c r="D1376" s="174">
        <v>4946.5600000000004</v>
      </c>
      <c r="E1376" s="174">
        <v>0</v>
      </c>
      <c r="G1376" s="174">
        <f t="shared" si="21"/>
        <v>0</v>
      </c>
      <c r="H1376" s="174" t="s">
        <v>80</v>
      </c>
    </row>
    <row r="1377" spans="1:8">
      <c r="A1377" s="174" t="s">
        <v>1013</v>
      </c>
      <c r="B1377" s="174">
        <v>-854</v>
      </c>
      <c r="C1377" s="174">
        <v>811.55</v>
      </c>
      <c r="D1377" s="174">
        <v>811.55</v>
      </c>
      <c r="E1377" s="174">
        <v>-854</v>
      </c>
      <c r="G1377" s="174">
        <f t="shared" si="21"/>
        <v>-854</v>
      </c>
      <c r="H1377" s="174" t="s">
        <v>80</v>
      </c>
    </row>
    <row r="1378" spans="1:8">
      <c r="A1378" s="174" t="s">
        <v>393</v>
      </c>
      <c r="B1378" s="174">
        <v>15853.21</v>
      </c>
      <c r="C1378" s="174">
        <v>6727</v>
      </c>
      <c r="D1378" s="174">
        <v>0</v>
      </c>
      <c r="E1378" s="174">
        <v>22580.21</v>
      </c>
      <c r="G1378" s="174">
        <f t="shared" si="21"/>
        <v>22580.21</v>
      </c>
      <c r="H1378" s="174" t="s">
        <v>80</v>
      </c>
    </row>
    <row r="1379" spans="1:8">
      <c r="A1379" s="174" t="s">
        <v>1360</v>
      </c>
      <c r="B1379" s="174">
        <v>0</v>
      </c>
      <c r="C1379" s="174">
        <v>18580</v>
      </c>
      <c r="D1379" s="174">
        <v>18580</v>
      </c>
      <c r="E1379" s="174">
        <v>0</v>
      </c>
      <c r="G1379" s="174">
        <f t="shared" si="21"/>
        <v>0</v>
      </c>
      <c r="H1379" s="174" t="s">
        <v>80</v>
      </c>
    </row>
    <row r="1380" spans="1:8">
      <c r="A1380" s="174" t="s">
        <v>1014</v>
      </c>
      <c r="B1380" s="174">
        <v>-52030</v>
      </c>
      <c r="C1380" s="174">
        <v>52030</v>
      </c>
      <c r="D1380" s="174">
        <v>0</v>
      </c>
      <c r="E1380" s="174">
        <v>0</v>
      </c>
      <c r="G1380" s="174">
        <f t="shared" si="21"/>
        <v>0</v>
      </c>
      <c r="H1380" s="174" t="s">
        <v>80</v>
      </c>
    </row>
    <row r="1381" spans="1:8">
      <c r="A1381" s="174" t="s">
        <v>1015</v>
      </c>
      <c r="B1381" s="174">
        <v>-0.46</v>
      </c>
      <c r="C1381" s="174">
        <v>3329.61</v>
      </c>
      <c r="D1381" s="174">
        <v>3329.61</v>
      </c>
      <c r="E1381" s="174">
        <v>-0.46</v>
      </c>
      <c r="G1381" s="174">
        <f t="shared" si="21"/>
        <v>-0.46</v>
      </c>
      <c r="H1381" s="174" t="s">
        <v>80</v>
      </c>
    </row>
    <row r="1382" spans="1:8">
      <c r="A1382" s="174" t="s">
        <v>413</v>
      </c>
      <c r="B1382" s="174">
        <v>-8850</v>
      </c>
      <c r="C1382" s="174">
        <v>0</v>
      </c>
      <c r="D1382" s="174">
        <v>0</v>
      </c>
      <c r="E1382" s="174">
        <v>-8850</v>
      </c>
      <c r="G1382" s="174">
        <f t="shared" si="21"/>
        <v>-8850</v>
      </c>
      <c r="H1382" s="174" t="s">
        <v>80</v>
      </c>
    </row>
    <row r="1383" spans="1:8">
      <c r="A1383" s="174" t="s">
        <v>1016</v>
      </c>
      <c r="B1383" s="174">
        <v>0</v>
      </c>
      <c r="C1383" s="174">
        <v>165000</v>
      </c>
      <c r="D1383" s="174">
        <v>165000</v>
      </c>
      <c r="E1383" s="174">
        <v>0</v>
      </c>
      <c r="G1383" s="174">
        <f t="shared" si="21"/>
        <v>0</v>
      </c>
      <c r="H1383" s="174" t="s">
        <v>80</v>
      </c>
    </row>
    <row r="1384" spans="1:8">
      <c r="A1384" s="174" t="s">
        <v>1017</v>
      </c>
      <c r="B1384" s="174">
        <v>-1770</v>
      </c>
      <c r="C1384" s="174">
        <v>7080</v>
      </c>
      <c r="D1384" s="174">
        <v>5310</v>
      </c>
      <c r="E1384" s="174">
        <v>0</v>
      </c>
      <c r="G1384" s="174">
        <f t="shared" si="21"/>
        <v>0</v>
      </c>
      <c r="H1384" s="174" t="s">
        <v>80</v>
      </c>
    </row>
    <row r="1385" spans="1:8">
      <c r="A1385" s="174" t="s">
        <v>1018</v>
      </c>
      <c r="B1385" s="174">
        <v>-448828868.54000002</v>
      </c>
      <c r="C1385" s="174">
        <v>965876123</v>
      </c>
      <c r="D1385" s="174">
        <v>832273260.33000004</v>
      </c>
      <c r="E1385" s="174">
        <v>-315226005.87</v>
      </c>
      <c r="G1385" s="174">
        <f t="shared" si="21"/>
        <v>-315226005.87</v>
      </c>
      <c r="H1385" s="174" t="s">
        <v>80</v>
      </c>
    </row>
    <row r="1386" spans="1:8">
      <c r="A1386" s="174" t="s">
        <v>1019</v>
      </c>
      <c r="B1386" s="174">
        <v>536708.4</v>
      </c>
      <c r="C1386" s="174">
        <v>0</v>
      </c>
      <c r="D1386" s="174">
        <v>274468</v>
      </c>
      <c r="E1386" s="174">
        <v>262240.40000000002</v>
      </c>
      <c r="G1386" s="174">
        <f t="shared" si="21"/>
        <v>262240.40000000002</v>
      </c>
      <c r="H1386" s="174" t="s">
        <v>80</v>
      </c>
    </row>
    <row r="1387" spans="1:8">
      <c r="A1387" s="174" t="s">
        <v>1020</v>
      </c>
      <c r="B1387" s="174">
        <v>-59604687.869999997</v>
      </c>
      <c r="C1387" s="174">
        <v>185747380.59999999</v>
      </c>
      <c r="D1387" s="174">
        <v>184282308.91</v>
      </c>
      <c r="E1387" s="174">
        <v>-58139616.18</v>
      </c>
      <c r="G1387" s="174">
        <f t="shared" si="21"/>
        <v>-58139616.18</v>
      </c>
      <c r="H1387" s="174" t="s">
        <v>80</v>
      </c>
    </row>
    <row r="1388" spans="1:8">
      <c r="A1388" s="174" t="s">
        <v>1021</v>
      </c>
      <c r="B1388" s="174">
        <v>-904527117</v>
      </c>
      <c r="C1388" s="174">
        <v>125556316</v>
      </c>
      <c r="D1388" s="174">
        <v>142423200</v>
      </c>
      <c r="E1388" s="174">
        <v>-921394001</v>
      </c>
      <c r="G1388" s="174">
        <f t="shared" si="21"/>
        <v>-921394001</v>
      </c>
      <c r="H1388" s="174" t="s">
        <v>80</v>
      </c>
    </row>
    <row r="1389" spans="1:8">
      <c r="A1389" s="174" t="s">
        <v>1022</v>
      </c>
      <c r="B1389" s="174">
        <v>-254791622.38</v>
      </c>
      <c r="C1389" s="174">
        <v>0</v>
      </c>
      <c r="D1389" s="174">
        <v>0</v>
      </c>
      <c r="E1389" s="174">
        <v>-254791622.38</v>
      </c>
      <c r="G1389" s="174">
        <f t="shared" si="21"/>
        <v>-254791622.38</v>
      </c>
      <c r="H1389" s="174" t="s">
        <v>80</v>
      </c>
    </row>
    <row r="1390" spans="1:8">
      <c r="A1390" s="174" t="s">
        <v>1512</v>
      </c>
      <c r="B1390" s="174">
        <v>0</v>
      </c>
      <c r="C1390" s="174">
        <v>0</v>
      </c>
      <c r="D1390" s="174">
        <v>3718520</v>
      </c>
      <c r="E1390" s="174">
        <v>-3718520</v>
      </c>
      <c r="G1390" s="174">
        <f t="shared" si="21"/>
        <v>-3718520</v>
      </c>
      <c r="H1390" s="174" t="s">
        <v>80</v>
      </c>
    </row>
    <row r="1391" spans="1:8">
      <c r="A1391" s="174" t="s">
        <v>1023</v>
      </c>
      <c r="B1391" s="174">
        <v>-27509624.390000001</v>
      </c>
      <c r="C1391" s="174">
        <v>12000000</v>
      </c>
      <c r="D1391" s="174">
        <v>0</v>
      </c>
      <c r="E1391" s="174">
        <v>-15509624.390000001</v>
      </c>
      <c r="G1391" s="174">
        <f t="shared" si="21"/>
        <v>-15509624.390000001</v>
      </c>
      <c r="H1391" s="174" t="s">
        <v>80</v>
      </c>
    </row>
    <row r="1392" spans="1:8">
      <c r="A1392" s="174" t="s">
        <v>1024</v>
      </c>
      <c r="B1392" s="174">
        <v>-77618334.810000002</v>
      </c>
      <c r="C1392" s="174">
        <v>21992784</v>
      </c>
      <c r="D1392" s="174">
        <v>2581627</v>
      </c>
      <c r="E1392" s="174">
        <v>-58207177.810000002</v>
      </c>
      <c r="G1392" s="174">
        <f t="shared" si="21"/>
        <v>-58207177.810000002</v>
      </c>
      <c r="H1392" s="174" t="s">
        <v>80</v>
      </c>
    </row>
    <row r="1393" spans="1:8">
      <c r="A1393" s="174" t="s">
        <v>1025</v>
      </c>
      <c r="B1393" s="174">
        <v>-17551333.5</v>
      </c>
      <c r="C1393" s="174">
        <v>2547843.64</v>
      </c>
      <c r="D1393" s="174">
        <v>541977</v>
      </c>
      <c r="E1393" s="174">
        <v>-15545466.859999999</v>
      </c>
      <c r="G1393" s="174">
        <f t="shared" si="21"/>
        <v>-15545466.859999999</v>
      </c>
      <c r="H1393" s="174" t="s">
        <v>80</v>
      </c>
    </row>
    <row r="1394" spans="1:8">
      <c r="A1394" s="174" t="s">
        <v>1026</v>
      </c>
      <c r="B1394" s="174">
        <v>-1755555.59</v>
      </c>
      <c r="C1394" s="174">
        <v>1391661.44</v>
      </c>
      <c r="D1394" s="174">
        <v>147217</v>
      </c>
      <c r="E1394" s="174">
        <v>-511111.15</v>
      </c>
      <c r="G1394" s="174">
        <f t="shared" si="21"/>
        <v>-511111.15</v>
      </c>
      <c r="H1394" s="174" t="s">
        <v>80</v>
      </c>
    </row>
    <row r="1395" spans="1:8">
      <c r="A1395" s="174" t="s">
        <v>1027</v>
      </c>
      <c r="B1395" s="174">
        <v>-29027778</v>
      </c>
      <c r="C1395" s="174">
        <v>11259996.52</v>
      </c>
      <c r="D1395" s="174">
        <v>704441</v>
      </c>
      <c r="E1395" s="174">
        <v>-18472222.48</v>
      </c>
      <c r="G1395" s="174">
        <f t="shared" si="21"/>
        <v>-18472222.48</v>
      </c>
      <c r="H1395" s="174" t="s">
        <v>80</v>
      </c>
    </row>
    <row r="1396" spans="1:8">
      <c r="A1396" s="174" t="s">
        <v>1049</v>
      </c>
      <c r="B1396" s="174">
        <v>-60000000</v>
      </c>
      <c r="C1396" s="174">
        <v>1545369</v>
      </c>
      <c r="D1396" s="174">
        <v>1545369</v>
      </c>
      <c r="E1396" s="174">
        <v>-60000000</v>
      </c>
      <c r="G1396" s="174">
        <f t="shared" si="21"/>
        <v>-60000000</v>
      </c>
      <c r="H1396" s="174" t="s">
        <v>80</v>
      </c>
    </row>
    <row r="1397" spans="1:8">
      <c r="A1397" s="174" t="s">
        <v>1028</v>
      </c>
      <c r="B1397" s="174">
        <v>-50000000</v>
      </c>
      <c r="C1397" s="174">
        <v>1131342</v>
      </c>
      <c r="D1397" s="174">
        <v>811013</v>
      </c>
      <c r="E1397" s="174">
        <v>-49679671</v>
      </c>
      <c r="G1397" s="174">
        <f t="shared" si="21"/>
        <v>-49679671</v>
      </c>
      <c r="H1397" s="174" t="s">
        <v>80</v>
      </c>
    </row>
    <row r="1398" spans="1:8">
      <c r="A1398" s="174" t="s">
        <v>1050</v>
      </c>
      <c r="B1398" s="174">
        <v>-50000000</v>
      </c>
      <c r="C1398" s="174">
        <v>1457855.4</v>
      </c>
      <c r="D1398" s="174">
        <v>1090526.3999999999</v>
      </c>
      <c r="E1398" s="174">
        <v>-49632671</v>
      </c>
      <c r="G1398" s="174">
        <f t="shared" si="21"/>
        <v>-49632671</v>
      </c>
      <c r="H1398" s="174" t="s">
        <v>80</v>
      </c>
    </row>
    <row r="1399" spans="1:8">
      <c r="A1399" s="174" t="s">
        <v>1361</v>
      </c>
      <c r="B1399" s="174">
        <v>0</v>
      </c>
      <c r="C1399" s="174">
        <v>0</v>
      </c>
      <c r="D1399" s="174">
        <v>0</v>
      </c>
      <c r="E1399" s="174">
        <v>0</v>
      </c>
      <c r="G1399" s="174">
        <f t="shared" si="21"/>
        <v>0</v>
      </c>
      <c r="H1399" s="174" t="s">
        <v>80</v>
      </c>
    </row>
    <row r="1400" spans="1:8">
      <c r="A1400" s="174" t="s">
        <v>1362</v>
      </c>
      <c r="B1400" s="174">
        <v>0</v>
      </c>
      <c r="C1400" s="174">
        <v>0</v>
      </c>
      <c r="D1400" s="174">
        <v>0</v>
      </c>
      <c r="E1400" s="174">
        <v>0</v>
      </c>
      <c r="G1400" s="174">
        <f t="shared" si="21"/>
        <v>0</v>
      </c>
      <c r="H1400" s="174" t="s">
        <v>80</v>
      </c>
    </row>
    <row r="1401" spans="1:8">
      <c r="A1401" s="174" t="s">
        <v>1363</v>
      </c>
      <c r="B1401" s="174">
        <v>0</v>
      </c>
      <c r="C1401" s="174">
        <v>0</v>
      </c>
      <c r="D1401" s="174">
        <v>0</v>
      </c>
      <c r="E1401" s="174">
        <v>0</v>
      </c>
      <c r="G1401" s="174">
        <f t="shared" si="21"/>
        <v>0</v>
      </c>
      <c r="H1401" s="174" t="s">
        <v>80</v>
      </c>
    </row>
    <row r="1402" spans="1:8">
      <c r="A1402" s="174" t="s">
        <v>1364</v>
      </c>
      <c r="B1402" s="174">
        <v>0</v>
      </c>
      <c r="C1402" s="174">
        <v>0</v>
      </c>
      <c r="D1402" s="174">
        <v>0</v>
      </c>
      <c r="E1402" s="174">
        <v>0</v>
      </c>
      <c r="G1402" s="174">
        <f t="shared" si="21"/>
        <v>0</v>
      </c>
      <c r="H1402" s="174" t="s">
        <v>80</v>
      </c>
    </row>
    <row r="1403" spans="1:8">
      <c r="A1403" s="174" t="s">
        <v>1051</v>
      </c>
      <c r="B1403" s="174">
        <v>-446984.53</v>
      </c>
      <c r="C1403" s="174">
        <v>0</v>
      </c>
      <c r="D1403" s="174">
        <v>0</v>
      </c>
      <c r="E1403" s="174">
        <v>-446984.53</v>
      </c>
      <c r="G1403" s="174">
        <f t="shared" si="21"/>
        <v>-446984.53</v>
      </c>
      <c r="H1403" s="174" t="s">
        <v>80</v>
      </c>
    </row>
    <row r="1404" spans="1:8">
      <c r="A1404" s="174" t="s">
        <v>1029</v>
      </c>
      <c r="B1404" s="174">
        <v>-26668954.620000001</v>
      </c>
      <c r="C1404" s="174">
        <v>103899234</v>
      </c>
      <c r="D1404" s="174">
        <v>151934148.53999999</v>
      </c>
      <c r="E1404" s="174">
        <v>-74703869.159999996</v>
      </c>
      <c r="G1404" s="174">
        <f t="shared" si="21"/>
        <v>-74703869.159999996</v>
      </c>
      <c r="H1404" s="174" t="s">
        <v>80</v>
      </c>
    </row>
    <row r="1405" spans="1:8">
      <c r="A1405" s="174" t="s">
        <v>1030</v>
      </c>
      <c r="B1405" s="174">
        <v>-124620173.98</v>
      </c>
      <c r="C1405" s="174">
        <v>0</v>
      </c>
      <c r="D1405" s="174">
        <v>0</v>
      </c>
      <c r="E1405" s="174">
        <v>-124620173.98</v>
      </c>
      <c r="G1405" s="174">
        <f t="shared" si="21"/>
        <v>-124620173.98</v>
      </c>
      <c r="H1405" s="174" t="s">
        <v>80</v>
      </c>
    </row>
    <row r="1406" spans="1:8">
      <c r="A1406" s="174" t="s">
        <v>1365</v>
      </c>
      <c r="B1406" s="174">
        <v>0</v>
      </c>
      <c r="C1406" s="174">
        <v>0</v>
      </c>
      <c r="D1406" s="174">
        <v>0</v>
      </c>
      <c r="E1406" s="174">
        <v>0</v>
      </c>
      <c r="G1406" s="174">
        <f t="shared" si="21"/>
        <v>0</v>
      </c>
      <c r="H1406" s="174" t="s">
        <v>80</v>
      </c>
    </row>
    <row r="1407" spans="1:8">
      <c r="A1407" s="174" t="s">
        <v>1366</v>
      </c>
      <c r="B1407" s="174">
        <v>0</v>
      </c>
      <c r="C1407" s="174">
        <v>0</v>
      </c>
      <c r="D1407" s="174">
        <v>0</v>
      </c>
      <c r="E1407" s="174">
        <v>0</v>
      </c>
      <c r="G1407" s="174">
        <f t="shared" si="21"/>
        <v>0</v>
      </c>
      <c r="H1407" s="174" t="s">
        <v>80</v>
      </c>
    </row>
    <row r="1408" spans="1:8">
      <c r="A1408" s="174" t="s">
        <v>1367</v>
      </c>
      <c r="B1408" s="174">
        <v>0</v>
      </c>
      <c r="C1408" s="174">
        <v>0</v>
      </c>
      <c r="D1408" s="174">
        <v>0</v>
      </c>
      <c r="E1408" s="174">
        <v>0</v>
      </c>
      <c r="G1408" s="174">
        <f t="shared" si="21"/>
        <v>0</v>
      </c>
      <c r="H1408" s="174" t="s">
        <v>80</v>
      </c>
    </row>
    <row r="1409" spans="1:8">
      <c r="A1409" s="174" t="s">
        <v>1031</v>
      </c>
      <c r="B1409" s="174">
        <v>549499</v>
      </c>
      <c r="C1409" s="174">
        <v>0</v>
      </c>
      <c r="D1409" s="174">
        <v>0</v>
      </c>
      <c r="E1409" s="174">
        <v>549499</v>
      </c>
      <c r="G1409" s="174">
        <f t="shared" si="21"/>
        <v>549499</v>
      </c>
      <c r="H1409" s="174" t="s">
        <v>80</v>
      </c>
    </row>
    <row r="1410" spans="1:8">
      <c r="A1410" s="174" t="s">
        <v>1032</v>
      </c>
      <c r="B1410" s="174">
        <v>-264850888</v>
      </c>
      <c r="C1410" s="174">
        <v>50593951</v>
      </c>
      <c r="D1410" s="174">
        <v>31378000</v>
      </c>
      <c r="E1410" s="174">
        <v>-245634937</v>
      </c>
      <c r="G1410" s="174">
        <f t="shared" si="21"/>
        <v>-245634937</v>
      </c>
      <c r="H1410" s="174" t="s">
        <v>80</v>
      </c>
    </row>
    <row r="1411" spans="1:8">
      <c r="A1411" s="174" t="s">
        <v>1513</v>
      </c>
      <c r="B1411" s="174">
        <v>0</v>
      </c>
      <c r="C1411" s="174">
        <v>0</v>
      </c>
      <c r="D1411" s="174">
        <v>7437851</v>
      </c>
      <c r="E1411" s="174">
        <v>-7437851</v>
      </c>
      <c r="G1411" s="174">
        <f t="shared" ref="G1411:G1429" si="22">E1411+F1411</f>
        <v>-7437851</v>
      </c>
      <c r="H1411" s="174" t="s">
        <v>80</v>
      </c>
    </row>
    <row r="1412" spans="1:8">
      <c r="A1412" s="174" t="s">
        <v>1514</v>
      </c>
      <c r="B1412" s="174">
        <v>0</v>
      </c>
      <c r="C1412" s="174">
        <v>0</v>
      </c>
      <c r="D1412" s="174">
        <v>6136085</v>
      </c>
      <c r="E1412" s="174">
        <v>-6136085</v>
      </c>
      <c r="G1412" s="174">
        <f t="shared" si="22"/>
        <v>-6136085</v>
      </c>
      <c r="H1412" s="174" t="s">
        <v>80</v>
      </c>
    </row>
    <row r="1413" spans="1:8">
      <c r="A1413" s="174" t="s">
        <v>1033</v>
      </c>
      <c r="B1413" s="174">
        <v>-16745374.66</v>
      </c>
      <c r="C1413" s="174">
        <v>0</v>
      </c>
      <c r="D1413" s="174">
        <v>0</v>
      </c>
      <c r="E1413" s="174">
        <v>-16745374.66</v>
      </c>
      <c r="G1413" s="174">
        <f t="shared" si="22"/>
        <v>-16745374.66</v>
      </c>
      <c r="H1413" s="174" t="s">
        <v>80</v>
      </c>
    </row>
    <row r="1414" spans="1:8">
      <c r="A1414" s="174" t="s">
        <v>1034</v>
      </c>
      <c r="B1414" s="174">
        <v>-3784803.05</v>
      </c>
      <c r="C1414" s="174">
        <v>0</v>
      </c>
      <c r="D1414" s="174">
        <v>0</v>
      </c>
      <c r="E1414" s="174">
        <v>-3784803.05</v>
      </c>
      <c r="G1414" s="174">
        <f t="shared" si="22"/>
        <v>-3784803.05</v>
      </c>
      <c r="H1414" s="174" t="s">
        <v>80</v>
      </c>
    </row>
    <row r="1415" spans="1:8">
      <c r="A1415" s="174" t="s">
        <v>1035</v>
      </c>
      <c r="B1415" s="174">
        <v>-14538782.1</v>
      </c>
      <c r="C1415" s="174">
        <v>0</v>
      </c>
      <c r="D1415" s="174">
        <v>0</v>
      </c>
      <c r="E1415" s="174">
        <v>-14538782.1</v>
      </c>
      <c r="G1415" s="174">
        <f t="shared" si="22"/>
        <v>-14538782.1</v>
      </c>
      <c r="H1415" s="174" t="s">
        <v>80</v>
      </c>
    </row>
    <row r="1416" spans="1:8">
      <c r="A1416" s="174" t="s">
        <v>1036</v>
      </c>
      <c r="B1416" s="174">
        <v>-3103131</v>
      </c>
      <c r="C1416" s="174">
        <v>3339997.49</v>
      </c>
      <c r="D1416" s="174">
        <v>236866.5</v>
      </c>
      <c r="E1416" s="174">
        <v>-0.01</v>
      </c>
      <c r="G1416" s="174">
        <f t="shared" si="22"/>
        <v>-0.01</v>
      </c>
      <c r="H1416" s="174" t="s">
        <v>80</v>
      </c>
    </row>
    <row r="1417" spans="1:8">
      <c r="A1417" s="174" t="s">
        <v>1037</v>
      </c>
      <c r="B1417" s="174">
        <v>-12629931</v>
      </c>
      <c r="C1417" s="174">
        <v>1246553.8700000001</v>
      </c>
      <c r="D1417" s="174">
        <v>0</v>
      </c>
      <c r="E1417" s="174">
        <v>-11383377.130000001</v>
      </c>
      <c r="G1417" s="174">
        <f t="shared" si="22"/>
        <v>-11383377.130000001</v>
      </c>
      <c r="H1417" s="174" t="s">
        <v>80</v>
      </c>
    </row>
    <row r="1418" spans="1:8">
      <c r="A1418" s="174" t="s">
        <v>185</v>
      </c>
      <c r="B1418" s="174">
        <v>655608.93999999994</v>
      </c>
      <c r="C1418" s="174">
        <v>0</v>
      </c>
      <c r="D1418" s="174">
        <v>0</v>
      </c>
      <c r="E1418" s="174">
        <v>655608.93999999994</v>
      </c>
      <c r="G1418" s="174">
        <f t="shared" si="22"/>
        <v>655608.93999999994</v>
      </c>
      <c r="H1418" s="174" t="s">
        <v>80</v>
      </c>
    </row>
    <row r="1419" spans="1:8">
      <c r="A1419" s="174" t="s">
        <v>186</v>
      </c>
      <c r="B1419" s="174">
        <v>3464.96</v>
      </c>
      <c r="C1419" s="174">
        <v>84753979.319999993</v>
      </c>
      <c r="D1419" s="174">
        <v>84753979.319999993</v>
      </c>
      <c r="E1419" s="174">
        <v>3464.96</v>
      </c>
      <c r="G1419" s="174">
        <f t="shared" si="22"/>
        <v>3464.96</v>
      </c>
      <c r="H1419" s="174" t="s">
        <v>80</v>
      </c>
    </row>
    <row r="1420" spans="1:8">
      <c r="A1420" s="174" t="s">
        <v>1368</v>
      </c>
      <c r="B1420" s="174">
        <v>0</v>
      </c>
      <c r="C1420" s="174">
        <v>7196005.4199999999</v>
      </c>
      <c r="D1420" s="174">
        <v>7196005.4199999999</v>
      </c>
      <c r="E1420" s="174">
        <v>0</v>
      </c>
      <c r="G1420" s="174">
        <f t="shared" si="22"/>
        <v>0</v>
      </c>
      <c r="H1420" s="174" t="s">
        <v>80</v>
      </c>
    </row>
    <row r="1421" spans="1:8">
      <c r="A1421" s="174" t="s">
        <v>1369</v>
      </c>
      <c r="B1421" s="174">
        <v>0</v>
      </c>
      <c r="C1421" s="174">
        <v>0</v>
      </c>
      <c r="D1421" s="174">
        <v>0</v>
      </c>
      <c r="E1421" s="174">
        <v>0</v>
      </c>
      <c r="G1421" s="174">
        <f t="shared" si="22"/>
        <v>0</v>
      </c>
      <c r="H1421" s="174" t="s">
        <v>80</v>
      </c>
    </row>
    <row r="1422" spans="1:8">
      <c r="A1422" s="174" t="s">
        <v>1038</v>
      </c>
      <c r="B1422" s="174">
        <v>-2618078.6</v>
      </c>
      <c r="C1422" s="174">
        <v>0</v>
      </c>
      <c r="D1422" s="174">
        <v>0</v>
      </c>
      <c r="E1422" s="174">
        <v>-2618078.6</v>
      </c>
      <c r="G1422" s="174">
        <f t="shared" si="22"/>
        <v>-2618078.6</v>
      </c>
      <c r="H1422" s="174" t="s">
        <v>80</v>
      </c>
    </row>
    <row r="1423" spans="1:8">
      <c r="A1423" s="174" t="s">
        <v>1039</v>
      </c>
      <c r="B1423" s="174">
        <v>-220384430.65000001</v>
      </c>
      <c r="C1423" s="174">
        <v>132726025.94</v>
      </c>
      <c r="D1423" s="174">
        <v>128540455</v>
      </c>
      <c r="E1423" s="174">
        <v>-216198859.71000001</v>
      </c>
      <c r="G1423" s="174">
        <f t="shared" si="22"/>
        <v>-216198859.71000001</v>
      </c>
      <c r="H1423" s="174" t="s">
        <v>80</v>
      </c>
    </row>
    <row r="1424" spans="1:8">
      <c r="A1424" s="174" t="s">
        <v>211</v>
      </c>
      <c r="B1424" s="174">
        <v>-817212928.11000001</v>
      </c>
      <c r="C1424" s="174">
        <v>0</v>
      </c>
      <c r="D1424" s="174">
        <v>0</v>
      </c>
      <c r="E1424" s="174">
        <v>-817212928.11000001</v>
      </c>
      <c r="G1424" s="174">
        <f t="shared" si="22"/>
        <v>-817212928.11000001</v>
      </c>
      <c r="H1424" s="174" t="s">
        <v>80</v>
      </c>
    </row>
    <row r="1425" spans="1:8">
      <c r="A1425" s="174" t="s">
        <v>203</v>
      </c>
      <c r="B1425" s="174">
        <v>-260850171.12</v>
      </c>
      <c r="C1425" s="174">
        <v>3067671</v>
      </c>
      <c r="D1425" s="174">
        <v>12586124</v>
      </c>
      <c r="E1425" s="174">
        <v>-270368624.12</v>
      </c>
      <c r="G1425" s="174">
        <f t="shared" si="22"/>
        <v>-270368624.12</v>
      </c>
      <c r="H1425" s="174" t="s">
        <v>80</v>
      </c>
    </row>
    <row r="1426" spans="1:8">
      <c r="A1426" s="174" t="s">
        <v>204</v>
      </c>
      <c r="B1426" s="174">
        <v>-14666932</v>
      </c>
      <c r="C1426" s="174">
        <v>28738101.23</v>
      </c>
      <c r="D1426" s="174">
        <v>14204669.23</v>
      </c>
      <c r="E1426" s="174">
        <v>-133500</v>
      </c>
      <c r="G1426" s="174">
        <f t="shared" si="22"/>
        <v>-133500</v>
      </c>
      <c r="H1426" s="174" t="s">
        <v>80</v>
      </c>
    </row>
    <row r="1427" spans="1:8">
      <c r="A1427" s="174" t="s">
        <v>205</v>
      </c>
      <c r="B1427" s="174">
        <v>-1123027</v>
      </c>
      <c r="C1427" s="174">
        <v>0</v>
      </c>
      <c r="D1427" s="174">
        <v>0</v>
      </c>
      <c r="E1427" s="174">
        <v>-1123027</v>
      </c>
      <c r="G1427" s="174">
        <f t="shared" si="22"/>
        <v>-1123027</v>
      </c>
      <c r="H1427" s="174" t="s">
        <v>80</v>
      </c>
    </row>
    <row r="1428" spans="1:8">
      <c r="A1428" s="174" t="s">
        <v>1040</v>
      </c>
      <c r="B1428" s="174">
        <v>-44079386.990000002</v>
      </c>
      <c r="C1428" s="174">
        <v>0</v>
      </c>
      <c r="D1428" s="174">
        <v>0</v>
      </c>
      <c r="E1428" s="174">
        <v>-44079386.990000002</v>
      </c>
      <c r="G1428" s="174">
        <f t="shared" si="22"/>
        <v>-44079386.990000002</v>
      </c>
      <c r="H1428" s="174" t="s">
        <v>80</v>
      </c>
    </row>
    <row r="1429" spans="1:8">
      <c r="A1429" s="174" t="s">
        <v>375</v>
      </c>
      <c r="B1429" s="174">
        <v>30173509.93</v>
      </c>
      <c r="C1429" s="174">
        <v>0</v>
      </c>
      <c r="D1429" s="174">
        <v>0.03</v>
      </c>
      <c r="E1429" s="174">
        <v>30173509.899999999</v>
      </c>
      <c r="G1429" s="174">
        <f t="shared" si="22"/>
        <v>30173509.899999999</v>
      </c>
      <c r="H1429" s="174" t="s">
        <v>80</v>
      </c>
    </row>
    <row r="1432" spans="1:8">
      <c r="B1432" s="146">
        <f t="shared" ref="B1432:F1432" si="23">SUBTOTAL(9,B2:B1429)</f>
        <v>1.7881393432617188E-7</v>
      </c>
      <c r="C1432" s="146">
        <f t="shared" si="23"/>
        <v>5779526039.2500019</v>
      </c>
      <c r="D1432" s="146">
        <f t="shared" si="23"/>
        <v>5779526039.250001</v>
      </c>
      <c r="E1432" s="146">
        <f t="shared" si="23"/>
        <v>-1.0430812835693359E-6</v>
      </c>
      <c r="F1432" s="146">
        <f t="shared" si="23"/>
        <v>-1973532</v>
      </c>
      <c r="G1432" s="146">
        <f>SUBTOTAL(9,G2:G1429)</f>
        <v>19494445.999998957</v>
      </c>
    </row>
  </sheetData>
  <autoFilter ref="A1:I1" xr:uid="{ECE96C74-DC26-43DA-95EA-989BFFB4B3C5}"/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1151A-1FF3-408F-809E-E9A8A8C26556}">
  <sheetPr>
    <tabColor rgb="FFFFFF00"/>
  </sheetPr>
  <dimension ref="A1:M1476"/>
  <sheetViews>
    <sheetView zoomScale="80" zoomScaleNormal="80" workbookViewId="0">
      <pane ySplit="2" topLeftCell="A453" activePane="bottomLeft" state="frozen"/>
      <selection pane="bottomLeft" activeCell="E1480" sqref="E1480"/>
    </sheetView>
  </sheetViews>
  <sheetFormatPr defaultRowHeight="14.5"/>
  <cols>
    <col min="1" max="1" width="37.90625" style="211" customWidth="1"/>
    <col min="2" max="2" width="12.453125" style="211" bestFit="1" customWidth="1"/>
    <col min="3" max="5" width="14.7265625" style="211" customWidth="1"/>
    <col min="6" max="6" width="12.453125" style="211" customWidth="1"/>
    <col min="7" max="7" width="12.90625" style="211" customWidth="1"/>
    <col min="8" max="8" width="26.6328125" style="211" customWidth="1"/>
    <col min="9" max="9" width="0" style="211" hidden="1" customWidth="1"/>
    <col min="10" max="11" width="16.54296875" style="211" hidden="1" customWidth="1"/>
    <col min="12" max="13" width="0" style="211" hidden="1" customWidth="1"/>
    <col min="14" max="16384" width="8.7265625" style="211"/>
  </cols>
  <sheetData>
    <row r="1" spans="1:13">
      <c r="A1" s="43" t="s">
        <v>1662</v>
      </c>
    </row>
    <row r="2" spans="1:13" s="213" customFormat="1">
      <c r="A2" s="212" t="s">
        <v>530</v>
      </c>
      <c r="B2" s="212" t="s">
        <v>497</v>
      </c>
      <c r="C2" s="212" t="s">
        <v>499</v>
      </c>
      <c r="D2" s="212" t="s">
        <v>500</v>
      </c>
      <c r="E2" s="212" t="s">
        <v>498</v>
      </c>
      <c r="F2" s="214" t="s">
        <v>1517</v>
      </c>
      <c r="G2" s="214" t="s">
        <v>518</v>
      </c>
      <c r="H2" s="113" t="s">
        <v>1607</v>
      </c>
      <c r="I2" s="215">
        <v>1</v>
      </c>
      <c r="J2" s="232" t="s">
        <v>1665</v>
      </c>
      <c r="K2" s="232" t="s">
        <v>1666</v>
      </c>
      <c r="L2" s="213">
        <v>1</v>
      </c>
      <c r="M2" s="213">
        <v>1</v>
      </c>
    </row>
    <row r="3" spans="1:13">
      <c r="A3" s="211" t="s">
        <v>94</v>
      </c>
      <c r="B3" s="211">
        <v>0</v>
      </c>
      <c r="C3" s="211">
        <v>12782932</v>
      </c>
      <c r="D3" s="211">
        <v>12782932</v>
      </c>
      <c r="E3" s="211">
        <v>0</v>
      </c>
      <c r="G3" s="211">
        <f>E3+F3</f>
        <v>0</v>
      </c>
      <c r="H3" s="211" t="s">
        <v>80</v>
      </c>
      <c r="J3" s="211">
        <f>VLOOKUP(A3,'JULY-TB'!A:G,7,0)</f>
        <v>0</v>
      </c>
    </row>
    <row r="4" spans="1:13">
      <c r="A4" s="211" t="s">
        <v>531</v>
      </c>
      <c r="B4" s="211">
        <v>1607000</v>
      </c>
      <c r="C4" s="211">
        <v>0</v>
      </c>
      <c r="D4" s="211">
        <v>0</v>
      </c>
      <c r="E4" s="211">
        <v>1607000</v>
      </c>
      <c r="G4" s="211">
        <f t="shared" ref="G4:G67" si="0">E4+F4</f>
        <v>1607000</v>
      </c>
      <c r="H4" s="211" t="s">
        <v>80</v>
      </c>
      <c r="J4" s="211">
        <f>VLOOKUP(A4,'JULY-TB'!A:G,7,0)</f>
        <v>1607000</v>
      </c>
    </row>
    <row r="5" spans="1:13">
      <c r="A5" s="211" t="s">
        <v>532</v>
      </c>
      <c r="B5" s="211">
        <v>2200000</v>
      </c>
      <c r="C5" s="211">
        <v>0</v>
      </c>
      <c r="D5" s="211">
        <v>0</v>
      </c>
      <c r="E5" s="211">
        <v>2200000</v>
      </c>
      <c r="G5" s="211">
        <f t="shared" si="0"/>
        <v>2200000</v>
      </c>
      <c r="H5" s="211" t="s">
        <v>80</v>
      </c>
      <c r="J5" s="211">
        <f>VLOOKUP(A5,'JULY-TB'!A:G,7,0)</f>
        <v>2200000</v>
      </c>
    </row>
    <row r="6" spans="1:13">
      <c r="A6" s="211" t="s">
        <v>533</v>
      </c>
      <c r="B6" s="211">
        <v>108787</v>
      </c>
      <c r="C6" s="211">
        <v>0</v>
      </c>
      <c r="D6" s="211">
        <v>0</v>
      </c>
      <c r="E6" s="211">
        <v>108787</v>
      </c>
      <c r="G6" s="211">
        <f t="shared" si="0"/>
        <v>108787</v>
      </c>
      <c r="H6" s="211" t="s">
        <v>80</v>
      </c>
      <c r="J6" s="211">
        <f>VLOOKUP(A6,'JULY-TB'!A:G,7,0)</f>
        <v>108787</v>
      </c>
    </row>
    <row r="7" spans="1:13">
      <c r="A7" s="211" t="s">
        <v>1063</v>
      </c>
      <c r="B7" s="211">
        <v>0</v>
      </c>
      <c r="C7" s="211">
        <v>0</v>
      </c>
      <c r="D7" s="211">
        <v>0</v>
      </c>
      <c r="E7" s="211">
        <v>0</v>
      </c>
      <c r="G7" s="211">
        <f t="shared" si="0"/>
        <v>0</v>
      </c>
      <c r="H7" s="211" t="s">
        <v>80</v>
      </c>
      <c r="J7" s="211">
        <f>VLOOKUP(A7,'JULY-TB'!A:G,7,0)</f>
        <v>0</v>
      </c>
    </row>
    <row r="8" spans="1:13">
      <c r="A8" s="211" t="s">
        <v>1062</v>
      </c>
      <c r="B8" s="211">
        <v>0</v>
      </c>
      <c r="C8" s="211">
        <v>0</v>
      </c>
      <c r="D8" s="211">
        <v>0</v>
      </c>
      <c r="E8" s="211">
        <v>0</v>
      </c>
      <c r="G8" s="211">
        <f t="shared" si="0"/>
        <v>0</v>
      </c>
      <c r="H8" s="211" t="s">
        <v>80</v>
      </c>
      <c r="J8" s="211">
        <f>VLOOKUP(A8,'JULY-TB'!A:G,7,0)</f>
        <v>0</v>
      </c>
    </row>
    <row r="9" spans="1:13">
      <c r="A9" s="211" t="s">
        <v>143</v>
      </c>
      <c r="B9" s="211">
        <v>-18585.939999999999</v>
      </c>
      <c r="C9" s="211">
        <v>0</v>
      </c>
      <c r="D9" s="211">
        <v>0</v>
      </c>
      <c r="E9" s="211">
        <v>-18585.939999999999</v>
      </c>
      <c r="G9" s="211">
        <f t="shared" si="0"/>
        <v>-18585.939999999999</v>
      </c>
      <c r="H9" s="211" t="s">
        <v>80</v>
      </c>
      <c r="J9" s="211">
        <f>VLOOKUP(A9,'JULY-TB'!A:G,7,0)</f>
        <v>-18585.939999999999</v>
      </c>
    </row>
    <row r="10" spans="1:13">
      <c r="A10" s="211" t="s">
        <v>144</v>
      </c>
      <c r="B10" s="211">
        <v>1151</v>
      </c>
      <c r="C10" s="211">
        <v>0</v>
      </c>
      <c r="D10" s="211">
        <v>0</v>
      </c>
      <c r="E10" s="211">
        <v>1151</v>
      </c>
      <c r="G10" s="211">
        <f t="shared" si="0"/>
        <v>1151</v>
      </c>
      <c r="H10" s="211" t="s">
        <v>80</v>
      </c>
      <c r="J10" s="211">
        <f>VLOOKUP(A10,'JULY-TB'!A:G,7,0)</f>
        <v>1151</v>
      </c>
    </row>
    <row r="11" spans="1:13">
      <c r="A11" s="211" t="s">
        <v>430</v>
      </c>
      <c r="B11" s="211">
        <v>30286.3</v>
      </c>
      <c r="C11" s="211">
        <v>0</v>
      </c>
      <c r="D11" s="211">
        <v>0</v>
      </c>
      <c r="E11" s="211">
        <v>30286.3</v>
      </c>
      <c r="G11" s="211">
        <f t="shared" si="0"/>
        <v>30286.3</v>
      </c>
      <c r="H11" s="211" t="s">
        <v>80</v>
      </c>
      <c r="J11" s="211">
        <f>VLOOKUP(A11,'JULY-TB'!A:G,7,0)</f>
        <v>30286.3</v>
      </c>
    </row>
    <row r="12" spans="1:13">
      <c r="A12" s="211" t="s">
        <v>448</v>
      </c>
      <c r="B12" s="211">
        <v>1335.22</v>
      </c>
      <c r="C12" s="211">
        <v>0</v>
      </c>
      <c r="D12" s="211">
        <v>0</v>
      </c>
      <c r="E12" s="211">
        <v>1335.22</v>
      </c>
      <c r="G12" s="211">
        <f t="shared" si="0"/>
        <v>1335.22</v>
      </c>
      <c r="H12" s="211" t="s">
        <v>80</v>
      </c>
      <c r="J12" s="211">
        <f>VLOOKUP(A12,'JULY-TB'!A:G,7,0)</f>
        <v>1335.22</v>
      </c>
    </row>
    <row r="13" spans="1:13">
      <c r="A13" s="211" t="s">
        <v>1060</v>
      </c>
      <c r="B13" s="211">
        <v>0</v>
      </c>
      <c r="C13" s="211">
        <v>0</v>
      </c>
      <c r="D13" s="211">
        <v>0</v>
      </c>
      <c r="E13" s="211">
        <v>0</v>
      </c>
      <c r="G13" s="211">
        <f t="shared" si="0"/>
        <v>0</v>
      </c>
      <c r="H13" s="211" t="s">
        <v>80</v>
      </c>
      <c r="J13" s="211">
        <f>VLOOKUP(A13,'JULY-TB'!A:G,7,0)</f>
        <v>0</v>
      </c>
    </row>
    <row r="14" spans="1:13">
      <c r="A14" s="211" t="s">
        <v>145</v>
      </c>
      <c r="B14" s="211">
        <v>-418818</v>
      </c>
      <c r="C14" s="211">
        <v>0</v>
      </c>
      <c r="D14" s="211">
        <v>0</v>
      </c>
      <c r="E14" s="211">
        <v>-418818</v>
      </c>
      <c r="G14" s="211">
        <f t="shared" si="0"/>
        <v>-418818</v>
      </c>
      <c r="H14" s="211" t="s">
        <v>80</v>
      </c>
      <c r="J14" s="211">
        <f>VLOOKUP(A14,'JULY-TB'!A:G,7,0)</f>
        <v>-418818</v>
      </c>
    </row>
    <row r="15" spans="1:13">
      <c r="A15" s="211" t="s">
        <v>146</v>
      </c>
      <c r="B15" s="211">
        <v>66479.990000000005</v>
      </c>
      <c r="C15" s="211">
        <v>0</v>
      </c>
      <c r="D15" s="211">
        <v>0</v>
      </c>
      <c r="E15" s="211">
        <v>66479.990000000005</v>
      </c>
      <c r="G15" s="211">
        <f t="shared" si="0"/>
        <v>66479.990000000005</v>
      </c>
      <c r="H15" s="211" t="s">
        <v>80</v>
      </c>
      <c r="J15" s="211">
        <f>VLOOKUP(A15,'JULY-TB'!A:G,7,0)</f>
        <v>66479.990000000005</v>
      </c>
    </row>
    <row r="16" spans="1:13">
      <c r="A16" s="211" t="s">
        <v>392</v>
      </c>
      <c r="B16" s="211">
        <v>1767704.75</v>
      </c>
      <c r="C16" s="211">
        <v>0</v>
      </c>
      <c r="D16" s="211">
        <v>0</v>
      </c>
      <c r="E16" s="211">
        <v>1767704.75</v>
      </c>
      <c r="G16" s="211">
        <f t="shared" si="0"/>
        <v>1767704.75</v>
      </c>
      <c r="H16" s="211" t="s">
        <v>80</v>
      </c>
      <c r="J16" s="211">
        <f>VLOOKUP(A16,'JULY-TB'!A:G,7,0)</f>
        <v>1767704.75</v>
      </c>
    </row>
    <row r="17" spans="1:10">
      <c r="A17" s="211" t="s">
        <v>431</v>
      </c>
      <c r="B17" s="211">
        <v>1324336.43</v>
      </c>
      <c r="C17" s="211">
        <v>10833.93</v>
      </c>
      <c r="D17" s="211">
        <v>0</v>
      </c>
      <c r="E17" s="211">
        <v>1335170.3600000001</v>
      </c>
      <c r="G17" s="211">
        <f t="shared" si="0"/>
        <v>1335170.3600000001</v>
      </c>
      <c r="H17" s="211" t="s">
        <v>80</v>
      </c>
      <c r="J17" s="211">
        <f>VLOOKUP(A17,'JULY-TB'!A:G,7,0)</f>
        <v>1335170.3600000001</v>
      </c>
    </row>
    <row r="18" spans="1:10">
      <c r="A18" s="211" t="s">
        <v>501</v>
      </c>
      <c r="B18" s="211">
        <v>0</v>
      </c>
      <c r="C18" s="211">
        <v>2017189.52</v>
      </c>
      <c r="D18" s="211">
        <v>0</v>
      </c>
      <c r="E18" s="211">
        <v>2017189.52</v>
      </c>
      <c r="G18" s="211">
        <f t="shared" si="0"/>
        <v>2017189.52</v>
      </c>
      <c r="H18" s="211" t="s">
        <v>80</v>
      </c>
      <c r="J18" s="211">
        <f>VLOOKUP(A18,'JULY-TB'!A:G,7,0)</f>
        <v>1072573.47</v>
      </c>
    </row>
    <row r="19" spans="1:10">
      <c r="A19" s="211" t="s">
        <v>1059</v>
      </c>
      <c r="B19" s="211">
        <v>0</v>
      </c>
      <c r="C19" s="211">
        <v>0</v>
      </c>
      <c r="D19" s="211">
        <v>0</v>
      </c>
      <c r="E19" s="211">
        <v>0</v>
      </c>
      <c r="G19" s="211">
        <f t="shared" si="0"/>
        <v>0</v>
      </c>
      <c r="H19" s="211" t="s">
        <v>80</v>
      </c>
      <c r="J19" s="211">
        <f>VLOOKUP(A19,'JULY-TB'!A:G,7,0)</f>
        <v>0</v>
      </c>
    </row>
    <row r="20" spans="1:10">
      <c r="A20" s="211" t="s">
        <v>534</v>
      </c>
      <c r="B20" s="211">
        <v>1205388922.52</v>
      </c>
      <c r="C20" s="211">
        <v>262024200.75999999</v>
      </c>
      <c r="D20" s="211">
        <v>56099668</v>
      </c>
      <c r="E20" s="211">
        <v>1411313455.28</v>
      </c>
      <c r="G20" s="211">
        <f t="shared" si="0"/>
        <v>1411313455.28</v>
      </c>
      <c r="H20" s="211" t="s">
        <v>80</v>
      </c>
      <c r="J20" s="211">
        <f>VLOOKUP(A20,'JULY-TB'!A:G,7,0)</f>
        <v>1362741831.1199999</v>
      </c>
    </row>
    <row r="21" spans="1:10">
      <c r="A21" s="211" t="s">
        <v>535</v>
      </c>
      <c r="B21" s="211">
        <v>0.01</v>
      </c>
      <c r="C21" s="211">
        <v>0</v>
      </c>
      <c r="D21" s="211">
        <v>0</v>
      </c>
      <c r="E21" s="211">
        <v>0.01</v>
      </c>
      <c r="G21" s="211">
        <f t="shared" si="0"/>
        <v>0.01</v>
      </c>
      <c r="H21" s="211" t="s">
        <v>80</v>
      </c>
      <c r="J21" s="211">
        <f>VLOOKUP(A21,'JULY-TB'!A:G,7,0)</f>
        <v>0.01</v>
      </c>
    </row>
    <row r="22" spans="1:10">
      <c r="A22" s="211" t="s">
        <v>536</v>
      </c>
      <c r="B22" s="211">
        <v>0.06</v>
      </c>
      <c r="C22" s="211">
        <v>0</v>
      </c>
      <c r="D22" s="211">
        <v>0</v>
      </c>
      <c r="E22" s="211">
        <v>0.06</v>
      </c>
      <c r="G22" s="211">
        <f t="shared" si="0"/>
        <v>0.06</v>
      </c>
      <c r="H22" s="211" t="s">
        <v>80</v>
      </c>
      <c r="J22" s="211">
        <f>VLOOKUP(A22,'JULY-TB'!A:G,7,0)</f>
        <v>0.06</v>
      </c>
    </row>
    <row r="23" spans="1:10">
      <c r="A23" s="211" t="s">
        <v>1058</v>
      </c>
      <c r="B23" s="211">
        <v>0</v>
      </c>
      <c r="C23" s="211">
        <v>0</v>
      </c>
      <c r="D23" s="211">
        <v>0</v>
      </c>
      <c r="E23" s="211">
        <v>0</v>
      </c>
      <c r="G23" s="211">
        <f t="shared" si="0"/>
        <v>0</v>
      </c>
      <c r="H23" s="211" t="s">
        <v>80</v>
      </c>
      <c r="J23" s="211">
        <f>VLOOKUP(A23,'JULY-TB'!A:G,7,0)</f>
        <v>0</v>
      </c>
    </row>
    <row r="24" spans="1:10">
      <c r="A24" s="211" t="s">
        <v>84</v>
      </c>
      <c r="B24" s="211">
        <v>41258.14</v>
      </c>
      <c r="C24" s="211">
        <v>1202000</v>
      </c>
      <c r="D24" s="211">
        <v>1224068</v>
      </c>
      <c r="E24" s="211">
        <v>19190.14</v>
      </c>
      <c r="G24" s="211">
        <f t="shared" si="0"/>
        <v>19190.14</v>
      </c>
      <c r="H24" s="211" t="s">
        <v>80</v>
      </c>
      <c r="J24" s="211">
        <f>VLOOKUP(A24,'JULY-TB'!A:G,7,0)</f>
        <v>34547.14</v>
      </c>
    </row>
    <row r="25" spans="1:10">
      <c r="A25" s="211" t="s">
        <v>85</v>
      </c>
      <c r="B25" s="211">
        <v>895</v>
      </c>
      <c r="C25" s="211">
        <v>209746</v>
      </c>
      <c r="D25" s="211">
        <v>146976</v>
      </c>
      <c r="E25" s="211">
        <v>63665</v>
      </c>
      <c r="G25" s="211">
        <f t="shared" si="0"/>
        <v>63665</v>
      </c>
      <c r="H25" s="211" t="s">
        <v>80</v>
      </c>
      <c r="J25" s="211">
        <f>VLOOKUP(A25,'JULY-TB'!A:G,7,0)</f>
        <v>78025</v>
      </c>
    </row>
    <row r="26" spans="1:10">
      <c r="A26" s="211" t="s">
        <v>537</v>
      </c>
      <c r="B26" s="211">
        <v>12658</v>
      </c>
      <c r="C26" s="211">
        <v>0</v>
      </c>
      <c r="D26" s="211">
        <v>0</v>
      </c>
      <c r="E26" s="211">
        <v>12658</v>
      </c>
      <c r="G26" s="211">
        <f t="shared" si="0"/>
        <v>12658</v>
      </c>
      <c r="H26" s="211" t="s">
        <v>80</v>
      </c>
      <c r="J26" s="211">
        <f>VLOOKUP(A26,'JULY-TB'!A:G,7,0)</f>
        <v>12658</v>
      </c>
    </row>
    <row r="27" spans="1:10">
      <c r="A27" s="211" t="s">
        <v>538</v>
      </c>
      <c r="B27" s="211">
        <v>2176060</v>
      </c>
      <c r="C27" s="211">
        <v>42832</v>
      </c>
      <c r="D27" s="211">
        <v>0</v>
      </c>
      <c r="E27" s="211">
        <v>2218892</v>
      </c>
      <c r="G27" s="211">
        <f t="shared" si="0"/>
        <v>2218892</v>
      </c>
      <c r="H27" s="211" t="s">
        <v>80</v>
      </c>
      <c r="J27" s="211">
        <f>VLOOKUP(A27,'JULY-TB'!A:G,7,0)</f>
        <v>2176060</v>
      </c>
    </row>
    <row r="28" spans="1:10">
      <c r="A28" s="211" t="s">
        <v>539</v>
      </c>
      <c r="B28" s="211">
        <v>2589775</v>
      </c>
      <c r="C28" s="211">
        <v>0</v>
      </c>
      <c r="D28" s="211">
        <v>0</v>
      </c>
      <c r="E28" s="211">
        <v>2589775</v>
      </c>
      <c r="G28" s="211">
        <f t="shared" si="0"/>
        <v>2589775</v>
      </c>
      <c r="H28" s="211" t="s">
        <v>80</v>
      </c>
      <c r="J28" s="211">
        <f>VLOOKUP(A28,'JULY-TB'!A:G,7,0)</f>
        <v>2589775</v>
      </c>
    </row>
    <row r="29" spans="1:10">
      <c r="A29" s="211" t="s">
        <v>540</v>
      </c>
      <c r="B29" s="211">
        <v>6100000</v>
      </c>
      <c r="C29" s="211">
        <v>85687</v>
      </c>
      <c r="D29" s="211">
        <v>6185687</v>
      </c>
      <c r="E29" s="211">
        <v>0</v>
      </c>
      <c r="G29" s="211">
        <f t="shared" si="0"/>
        <v>0</v>
      </c>
      <c r="H29" s="211" t="s">
        <v>80</v>
      </c>
      <c r="J29" s="211">
        <f>VLOOKUP(A29,'JULY-TB'!A:G,7,0)</f>
        <v>-77119</v>
      </c>
    </row>
    <row r="30" spans="1:10">
      <c r="A30" s="211" t="s">
        <v>541</v>
      </c>
      <c r="B30" s="211">
        <v>60017754</v>
      </c>
      <c r="C30" s="211">
        <v>124289</v>
      </c>
      <c r="D30" s="211">
        <v>60142043</v>
      </c>
      <c r="E30" s="211">
        <v>0</v>
      </c>
      <c r="G30" s="211">
        <f t="shared" si="0"/>
        <v>0</v>
      </c>
      <c r="H30" s="211" t="s">
        <v>80</v>
      </c>
      <c r="J30" s="211">
        <f>VLOOKUP(A30,'JULY-TB'!A:G,7,0)</f>
        <v>-124289</v>
      </c>
    </row>
    <row r="31" spans="1:10">
      <c r="A31" s="211" t="s">
        <v>542</v>
      </c>
      <c r="B31" s="211">
        <v>2300953</v>
      </c>
      <c r="C31" s="211">
        <v>33543</v>
      </c>
      <c r="D31" s="211">
        <v>0</v>
      </c>
      <c r="E31" s="211">
        <v>2334496</v>
      </c>
      <c r="G31" s="211">
        <f t="shared" si="0"/>
        <v>2334496</v>
      </c>
      <c r="H31" s="211" t="s">
        <v>80</v>
      </c>
      <c r="J31" s="211">
        <f>VLOOKUP(A31,'JULY-TB'!A:G,7,0)</f>
        <v>2334496</v>
      </c>
    </row>
    <row r="32" spans="1:10">
      <c r="A32" s="211" t="s">
        <v>543</v>
      </c>
      <c r="B32" s="211">
        <v>50000000</v>
      </c>
      <c r="C32" s="211">
        <v>0</v>
      </c>
      <c r="D32" s="211">
        <v>1184246</v>
      </c>
      <c r="E32" s="211">
        <v>48815754</v>
      </c>
      <c r="G32" s="211">
        <f t="shared" si="0"/>
        <v>48815754</v>
      </c>
      <c r="H32" s="211" t="s">
        <v>80</v>
      </c>
      <c r="J32" s="211">
        <f>VLOOKUP(A32,'JULY-TB'!A:G,7,0)</f>
        <v>49467090</v>
      </c>
    </row>
    <row r="33" spans="1:10">
      <c r="A33" s="211" t="s">
        <v>544</v>
      </c>
      <c r="B33" s="211">
        <v>13000000</v>
      </c>
      <c r="C33" s="211">
        <v>72394</v>
      </c>
      <c r="D33" s="211">
        <v>0</v>
      </c>
      <c r="E33" s="211">
        <v>13072394</v>
      </c>
      <c r="G33" s="211">
        <f t="shared" si="0"/>
        <v>13072394</v>
      </c>
      <c r="H33" s="211" t="s">
        <v>80</v>
      </c>
      <c r="J33" s="211">
        <f>VLOOKUP(A33,'JULY-TB'!A:G,7,0)</f>
        <v>12846048</v>
      </c>
    </row>
    <row r="34" spans="1:10">
      <c r="A34" s="211" t="s">
        <v>1613</v>
      </c>
      <c r="B34" s="211">
        <v>0</v>
      </c>
      <c r="C34" s="211">
        <v>600000</v>
      </c>
      <c r="D34" s="211">
        <v>0</v>
      </c>
      <c r="E34" s="211">
        <v>600000</v>
      </c>
      <c r="G34" s="211">
        <f t="shared" si="0"/>
        <v>600000</v>
      </c>
      <c r="H34" s="211" t="s">
        <v>80</v>
      </c>
      <c r="J34" s="211" t="e">
        <f>VLOOKUP(A34,'JULY-TB'!A:G,7,0)</f>
        <v>#N/A</v>
      </c>
    </row>
    <row r="35" spans="1:10">
      <c r="A35" s="211" t="s">
        <v>1614</v>
      </c>
      <c r="B35" s="211">
        <v>0</v>
      </c>
      <c r="C35" s="211">
        <v>600000</v>
      </c>
      <c r="D35" s="211">
        <v>0</v>
      </c>
      <c r="E35" s="211">
        <v>600000</v>
      </c>
      <c r="G35" s="211">
        <f t="shared" si="0"/>
        <v>600000</v>
      </c>
      <c r="H35" s="211" t="s">
        <v>80</v>
      </c>
      <c r="J35" s="211" t="e">
        <f>VLOOKUP(A35,'JULY-TB'!A:G,7,0)</f>
        <v>#N/A</v>
      </c>
    </row>
    <row r="36" spans="1:10">
      <c r="A36" s="211" t="s">
        <v>519</v>
      </c>
      <c r="B36" s="211">
        <v>217112</v>
      </c>
      <c r="C36" s="211">
        <v>0</v>
      </c>
      <c r="D36" s="211">
        <v>0</v>
      </c>
      <c r="E36" s="211">
        <v>217112</v>
      </c>
      <c r="G36" s="211">
        <f t="shared" si="0"/>
        <v>217112</v>
      </c>
      <c r="H36" s="211" t="s">
        <v>80</v>
      </c>
      <c r="J36" s="211">
        <f>VLOOKUP(A36,'JULY-TB'!A:G,7,0)</f>
        <v>217112</v>
      </c>
    </row>
    <row r="37" spans="1:10">
      <c r="A37" s="211" t="s">
        <v>545</v>
      </c>
      <c r="B37" s="211">
        <v>12166394.48</v>
      </c>
      <c r="C37" s="211">
        <v>0</v>
      </c>
      <c r="D37" s="211">
        <v>0</v>
      </c>
      <c r="E37" s="211">
        <v>12166394.48</v>
      </c>
      <c r="G37" s="211">
        <f t="shared" si="0"/>
        <v>12166394.48</v>
      </c>
      <c r="H37" s="211" t="s">
        <v>80</v>
      </c>
      <c r="J37" s="211">
        <f>VLOOKUP(A37,'JULY-TB'!A:G,7,0)</f>
        <v>12166394.48</v>
      </c>
    </row>
    <row r="38" spans="1:10">
      <c r="A38" s="211" t="s">
        <v>546</v>
      </c>
      <c r="B38" s="211">
        <v>60587491.689999998</v>
      </c>
      <c r="C38" s="211">
        <v>0</v>
      </c>
      <c r="D38" s="211">
        <v>0</v>
      </c>
      <c r="E38" s="211">
        <v>60587491.689999998</v>
      </c>
      <c r="G38" s="211">
        <f t="shared" si="0"/>
        <v>60587491.689999998</v>
      </c>
      <c r="H38" s="211" t="s">
        <v>80</v>
      </c>
      <c r="J38" s="211">
        <f>VLOOKUP(A38,'JULY-TB'!A:G,7,0)</f>
        <v>60587491.689999998</v>
      </c>
    </row>
    <row r="39" spans="1:10">
      <c r="A39" s="211" t="s">
        <v>547</v>
      </c>
      <c r="B39" s="211">
        <v>243605.52</v>
      </c>
      <c r="C39" s="211">
        <v>0</v>
      </c>
      <c r="D39" s="211">
        <v>0</v>
      </c>
      <c r="E39" s="211">
        <v>243605.52</v>
      </c>
      <c r="G39" s="211">
        <f t="shared" si="0"/>
        <v>243605.52</v>
      </c>
      <c r="H39" s="211" t="s">
        <v>80</v>
      </c>
      <c r="J39" s="211">
        <f>VLOOKUP(A39,'JULY-TB'!A:G,7,0)</f>
        <v>243605.52</v>
      </c>
    </row>
    <row r="40" spans="1:10">
      <c r="A40" s="211" t="s">
        <v>548</v>
      </c>
      <c r="B40" s="211">
        <v>54931400</v>
      </c>
      <c r="C40" s="211">
        <v>0</v>
      </c>
      <c r="D40" s="211">
        <v>0</v>
      </c>
      <c r="E40" s="211">
        <v>54931400</v>
      </c>
      <c r="G40" s="211">
        <f t="shared" si="0"/>
        <v>54931400</v>
      </c>
      <c r="H40" s="211" t="s">
        <v>80</v>
      </c>
      <c r="J40" s="211">
        <f>VLOOKUP(A40,'JULY-TB'!A:G,7,0)</f>
        <v>54931400</v>
      </c>
    </row>
    <row r="41" spans="1:10">
      <c r="A41" s="211" t="s">
        <v>549</v>
      </c>
      <c r="B41" s="211">
        <v>-651515</v>
      </c>
      <c r="C41" s="211">
        <v>0</v>
      </c>
      <c r="D41" s="211">
        <v>0</v>
      </c>
      <c r="E41" s="211">
        <v>-651515</v>
      </c>
      <c r="G41" s="211">
        <f t="shared" si="0"/>
        <v>-651515</v>
      </c>
      <c r="H41" s="211" t="s">
        <v>80</v>
      </c>
      <c r="J41" s="211">
        <f>VLOOKUP(A41,'JULY-TB'!A:G,7,0)</f>
        <v>-651515</v>
      </c>
    </row>
    <row r="42" spans="1:10">
      <c r="A42" s="211" t="s">
        <v>550</v>
      </c>
      <c r="B42" s="211">
        <v>289971000</v>
      </c>
      <c r="C42" s="211">
        <v>0</v>
      </c>
      <c r="D42" s="211">
        <v>0</v>
      </c>
      <c r="E42" s="211">
        <v>289971000</v>
      </c>
      <c r="G42" s="211">
        <f t="shared" si="0"/>
        <v>289971000</v>
      </c>
      <c r="H42" s="211" t="s">
        <v>80</v>
      </c>
      <c r="J42" s="211">
        <f>VLOOKUP(A42,'JULY-TB'!A:G,7,0)</f>
        <v>289971000</v>
      </c>
    </row>
    <row r="43" spans="1:10">
      <c r="A43" s="211" t="s">
        <v>551</v>
      </c>
      <c r="B43" s="211">
        <v>5175000</v>
      </c>
      <c r="C43" s="211">
        <v>0</v>
      </c>
      <c r="D43" s="211">
        <v>0</v>
      </c>
      <c r="E43" s="211">
        <v>5175000</v>
      </c>
      <c r="G43" s="211">
        <f t="shared" si="0"/>
        <v>5175000</v>
      </c>
      <c r="H43" s="211" t="s">
        <v>80</v>
      </c>
      <c r="J43" s="211">
        <f>VLOOKUP(A43,'JULY-TB'!A:G,7,0)</f>
        <v>5175000</v>
      </c>
    </row>
    <row r="44" spans="1:10">
      <c r="A44" s="211" t="s">
        <v>1057</v>
      </c>
      <c r="B44" s="211">
        <v>0</v>
      </c>
      <c r="C44" s="211">
        <v>0</v>
      </c>
      <c r="D44" s="211">
        <v>0</v>
      </c>
      <c r="E44" s="211">
        <v>0</v>
      </c>
      <c r="G44" s="211">
        <f t="shared" si="0"/>
        <v>0</v>
      </c>
      <c r="H44" s="211" t="s">
        <v>80</v>
      </c>
      <c r="J44" s="211">
        <f>VLOOKUP(A44,'JULY-TB'!A:G,7,0)</f>
        <v>0</v>
      </c>
    </row>
    <row r="45" spans="1:10">
      <c r="A45" s="211" t="s">
        <v>552</v>
      </c>
      <c r="B45" s="211">
        <v>120000000</v>
      </c>
      <c r="C45" s="211">
        <v>0</v>
      </c>
      <c r="D45" s="211">
        <v>120000000</v>
      </c>
      <c r="E45" s="211">
        <v>0</v>
      </c>
      <c r="G45" s="211">
        <f t="shared" si="0"/>
        <v>0</v>
      </c>
      <c r="H45" s="211" t="s">
        <v>80</v>
      </c>
      <c r="J45" s="211">
        <f>VLOOKUP(A45,'JULY-TB'!A:G,7,0)</f>
        <v>0</v>
      </c>
    </row>
    <row r="46" spans="1:10">
      <c r="A46" s="211" t="s">
        <v>553</v>
      </c>
      <c r="B46" s="211">
        <v>788480</v>
      </c>
      <c r="C46" s="211">
        <v>0</v>
      </c>
      <c r="D46" s="211">
        <v>0</v>
      </c>
      <c r="E46" s="211">
        <v>788480</v>
      </c>
      <c r="G46" s="211">
        <f t="shared" si="0"/>
        <v>788480</v>
      </c>
      <c r="H46" s="211" t="s">
        <v>80</v>
      </c>
      <c r="J46" s="211">
        <f>VLOOKUP(A46,'JULY-TB'!A:G,7,0)</f>
        <v>788480</v>
      </c>
    </row>
    <row r="47" spans="1:10">
      <c r="A47" s="211" t="s">
        <v>554</v>
      </c>
      <c r="B47" s="211">
        <v>35987</v>
      </c>
      <c r="C47" s="211">
        <v>0</v>
      </c>
      <c r="D47" s="211">
        <v>0</v>
      </c>
      <c r="E47" s="211">
        <v>35987</v>
      </c>
      <c r="G47" s="211">
        <f t="shared" si="0"/>
        <v>35987</v>
      </c>
      <c r="H47" s="211" t="s">
        <v>339</v>
      </c>
      <c r="J47" s="211">
        <f>VLOOKUP(A47,'JULY-TB'!A:G,7,0)</f>
        <v>35987</v>
      </c>
    </row>
    <row r="48" spans="1:10">
      <c r="A48" s="211" t="s">
        <v>555</v>
      </c>
      <c r="B48" s="211">
        <v>761067.47</v>
      </c>
      <c r="C48" s="211">
        <v>252305.76</v>
      </c>
      <c r="D48" s="211">
        <v>956225.85</v>
      </c>
      <c r="E48" s="211">
        <v>57147.38</v>
      </c>
      <c r="G48" s="211">
        <f t="shared" si="0"/>
        <v>57147.38</v>
      </c>
      <c r="H48" s="211" t="s">
        <v>80</v>
      </c>
      <c r="J48" s="211">
        <f>VLOOKUP(A48,'JULY-TB'!A:G,7,0)</f>
        <v>266890.34999999998</v>
      </c>
    </row>
    <row r="49" spans="1:10">
      <c r="A49" s="211" t="s">
        <v>556</v>
      </c>
      <c r="B49" s="211">
        <v>227369.96</v>
      </c>
      <c r="C49" s="211">
        <v>186427.62</v>
      </c>
      <c r="D49" s="211">
        <v>424482.08</v>
      </c>
      <c r="E49" s="211">
        <v>-10684.5</v>
      </c>
      <c r="G49" s="211">
        <f t="shared" si="0"/>
        <v>-10684.5</v>
      </c>
      <c r="H49" s="211" t="s">
        <v>80</v>
      </c>
      <c r="J49" s="211">
        <f>VLOOKUP(A49,'JULY-TB'!A:G,7,0)</f>
        <v>21534.880000000001</v>
      </c>
    </row>
    <row r="50" spans="1:10">
      <c r="A50" s="211" t="s">
        <v>557</v>
      </c>
      <c r="B50" s="211">
        <v>761067.47</v>
      </c>
      <c r="C50" s="211">
        <v>252305.76</v>
      </c>
      <c r="D50" s="211">
        <v>956225.85</v>
      </c>
      <c r="E50" s="211">
        <v>57147.38</v>
      </c>
      <c r="G50" s="211">
        <f t="shared" si="0"/>
        <v>57147.38</v>
      </c>
      <c r="H50" s="211" t="s">
        <v>80</v>
      </c>
      <c r="J50" s="211">
        <f>VLOOKUP(A50,'JULY-TB'!A:G,7,0)</f>
        <v>266890.34999999998</v>
      </c>
    </row>
    <row r="51" spans="1:10">
      <c r="A51" s="211" t="s">
        <v>558</v>
      </c>
      <c r="B51" s="211">
        <v>-3821334</v>
      </c>
      <c r="C51" s="211">
        <v>0</v>
      </c>
      <c r="D51" s="211">
        <v>0</v>
      </c>
      <c r="E51" s="211">
        <v>-3821334</v>
      </c>
      <c r="G51" s="211">
        <f t="shared" si="0"/>
        <v>-3821334</v>
      </c>
      <c r="H51" s="211" t="s">
        <v>80</v>
      </c>
      <c r="J51" s="211">
        <f>VLOOKUP(A51,'JULY-TB'!A:G,7,0)</f>
        <v>-3821334</v>
      </c>
    </row>
    <row r="52" spans="1:10">
      <c r="A52" s="211" t="s">
        <v>87</v>
      </c>
      <c r="B52" s="211">
        <v>0</v>
      </c>
      <c r="C52" s="211">
        <v>52468385.210000001</v>
      </c>
      <c r="D52" s="211">
        <v>37511863.789999999</v>
      </c>
      <c r="E52" s="211">
        <v>14956521.42</v>
      </c>
      <c r="G52" s="211">
        <f t="shared" si="0"/>
        <v>14956521.42</v>
      </c>
      <c r="H52" s="211" t="s">
        <v>80</v>
      </c>
      <c r="J52" s="211">
        <f>VLOOKUP(A52,'JULY-TB'!A:G,7,0)</f>
        <v>9991028.4800000004</v>
      </c>
    </row>
    <row r="53" spans="1:10">
      <c r="A53" s="211" t="s">
        <v>105</v>
      </c>
      <c r="B53" s="211">
        <v>0</v>
      </c>
      <c r="C53" s="211">
        <v>67360.78</v>
      </c>
      <c r="D53" s="211">
        <v>67361.58</v>
      </c>
      <c r="E53" s="211">
        <v>-0.8</v>
      </c>
      <c r="G53" s="211">
        <f t="shared" si="0"/>
        <v>-0.8</v>
      </c>
      <c r="H53" s="211" t="s">
        <v>80</v>
      </c>
      <c r="J53" s="211">
        <f>VLOOKUP(A53,'JULY-TB'!A:G,7,0)</f>
        <v>15282.24</v>
      </c>
    </row>
    <row r="54" spans="1:10">
      <c r="A54" s="211" t="s">
        <v>1061</v>
      </c>
      <c r="B54" s="211">
        <v>1271337</v>
      </c>
      <c r="C54" s="211">
        <v>16184242.720000001</v>
      </c>
      <c r="D54" s="211">
        <v>16973696.489999998</v>
      </c>
      <c r="E54" s="211">
        <v>481883.23</v>
      </c>
      <c r="G54" s="211">
        <f t="shared" si="0"/>
        <v>481883.23</v>
      </c>
      <c r="H54" s="211" t="s">
        <v>80</v>
      </c>
      <c r="J54" s="211">
        <f>VLOOKUP(A54,'JULY-TB'!A:G,7,0)</f>
        <v>1573480.46</v>
      </c>
    </row>
    <row r="55" spans="1:10">
      <c r="A55" s="211" t="s">
        <v>135</v>
      </c>
      <c r="B55" s="211">
        <v>0</v>
      </c>
      <c r="C55" s="211">
        <v>52468385.310000002</v>
      </c>
      <c r="D55" s="211">
        <v>37511863.890000001</v>
      </c>
      <c r="E55" s="211">
        <v>14956521.42</v>
      </c>
      <c r="G55" s="211">
        <f t="shared" si="0"/>
        <v>14956521.42</v>
      </c>
      <c r="H55" s="211" t="s">
        <v>80</v>
      </c>
      <c r="J55" s="211">
        <f>VLOOKUP(A55,'JULY-TB'!A:G,7,0)</f>
        <v>9991028.4800000004</v>
      </c>
    </row>
    <row r="56" spans="1:10">
      <c r="A56" s="211" t="s">
        <v>559</v>
      </c>
      <c r="B56" s="211">
        <v>1171.99</v>
      </c>
      <c r="C56" s="211">
        <v>35254415</v>
      </c>
      <c r="D56" s="211">
        <v>35254411.990000002</v>
      </c>
      <c r="E56" s="211">
        <v>1175</v>
      </c>
      <c r="G56" s="211">
        <f t="shared" si="0"/>
        <v>1175</v>
      </c>
      <c r="H56" s="211" t="s">
        <v>80</v>
      </c>
      <c r="J56" s="211">
        <f>VLOOKUP(A56,'JULY-TB'!A:G,7,0)</f>
        <v>1176.8900000000001</v>
      </c>
    </row>
    <row r="57" spans="1:10">
      <c r="A57" s="211" t="s">
        <v>560</v>
      </c>
      <c r="B57" s="211">
        <v>-86936.05</v>
      </c>
      <c r="C57" s="211">
        <v>94858379.530000001</v>
      </c>
      <c r="D57" s="211">
        <v>94333344.579999998</v>
      </c>
      <c r="E57" s="211">
        <v>438098.9</v>
      </c>
      <c r="G57" s="211">
        <f t="shared" si="0"/>
        <v>438098.9</v>
      </c>
      <c r="H57" s="211" t="s">
        <v>80</v>
      </c>
      <c r="J57" s="211">
        <f>VLOOKUP(A57,'JULY-TB'!A:G,7,0)</f>
        <v>7055382.1600000001</v>
      </c>
    </row>
    <row r="58" spans="1:10">
      <c r="A58" s="211" t="s">
        <v>112</v>
      </c>
      <c r="B58" s="211">
        <v>23664031.890000001</v>
      </c>
      <c r="C58" s="211">
        <v>45900558.909999996</v>
      </c>
      <c r="D58" s="211">
        <v>46123506.549999997</v>
      </c>
      <c r="E58" s="211">
        <v>23441084.25</v>
      </c>
      <c r="G58" s="211">
        <f t="shared" si="0"/>
        <v>23441084.25</v>
      </c>
      <c r="H58" s="211" t="s">
        <v>80</v>
      </c>
      <c r="J58" s="211">
        <f>VLOOKUP(A58,'JULY-TB'!A:G,7,0)</f>
        <v>11382213.439999999</v>
      </c>
    </row>
    <row r="59" spans="1:10">
      <c r="A59" s="211" t="s">
        <v>561</v>
      </c>
      <c r="B59" s="211">
        <v>-26904578.440000001</v>
      </c>
      <c r="C59" s="211">
        <v>0</v>
      </c>
      <c r="D59" s="211">
        <v>0</v>
      </c>
      <c r="E59" s="211">
        <v>-26904578.440000001</v>
      </c>
      <c r="G59" s="211">
        <f t="shared" si="0"/>
        <v>-26904578.440000001</v>
      </c>
      <c r="H59" s="211" t="s">
        <v>80</v>
      </c>
      <c r="J59" s="211">
        <f>VLOOKUP(A59,'JULY-TB'!A:G,7,0)</f>
        <v>-26904578.440000001</v>
      </c>
    </row>
    <row r="60" spans="1:10">
      <c r="A60" s="211" t="s">
        <v>562</v>
      </c>
      <c r="B60" s="211">
        <v>-85919.34</v>
      </c>
      <c r="C60" s="211">
        <v>0</v>
      </c>
      <c r="D60" s="211">
        <v>0</v>
      </c>
      <c r="E60" s="211">
        <v>-85919.34</v>
      </c>
      <c r="G60" s="211">
        <f t="shared" si="0"/>
        <v>-85919.34</v>
      </c>
      <c r="H60" s="211" t="s">
        <v>80</v>
      </c>
      <c r="J60" s="211">
        <f>VLOOKUP(A60,'JULY-TB'!A:G,7,0)</f>
        <v>-85919.34</v>
      </c>
    </row>
    <row r="61" spans="1:10">
      <c r="A61" s="211" t="s">
        <v>96</v>
      </c>
      <c r="B61" s="211">
        <v>407065.63</v>
      </c>
      <c r="C61" s="211">
        <v>0</v>
      </c>
      <c r="D61" s="211">
        <v>0</v>
      </c>
      <c r="E61" s="211">
        <v>407065.63</v>
      </c>
      <c r="G61" s="211">
        <f t="shared" si="0"/>
        <v>407065.63</v>
      </c>
      <c r="H61" s="211" t="s">
        <v>80</v>
      </c>
      <c r="J61" s="211">
        <f>VLOOKUP(A61,'JULY-TB'!A:G,7,0)</f>
        <v>407065.63</v>
      </c>
    </row>
    <row r="62" spans="1:10">
      <c r="A62" s="211" t="s">
        <v>563</v>
      </c>
      <c r="B62" s="211">
        <v>7359905.7999999998</v>
      </c>
      <c r="C62" s="211">
        <v>0</v>
      </c>
      <c r="D62" s="211">
        <v>0</v>
      </c>
      <c r="E62" s="211">
        <v>7359905.7999999998</v>
      </c>
      <c r="G62" s="211">
        <f t="shared" si="0"/>
        <v>7359905.7999999998</v>
      </c>
      <c r="H62" s="211" t="s">
        <v>80</v>
      </c>
      <c r="J62" s="211">
        <f>VLOOKUP(A62,'JULY-TB'!A:G,7,0)</f>
        <v>7359905.7999999998</v>
      </c>
    </row>
    <row r="63" spans="1:10">
      <c r="A63" s="211" t="s">
        <v>564</v>
      </c>
      <c r="B63" s="211">
        <v>-7246.93</v>
      </c>
      <c r="C63" s="211">
        <v>220823</v>
      </c>
      <c r="D63" s="211">
        <v>0</v>
      </c>
      <c r="E63" s="211">
        <v>213576.07</v>
      </c>
      <c r="G63" s="211">
        <f t="shared" si="0"/>
        <v>213576.07</v>
      </c>
      <c r="H63" s="211" t="s">
        <v>80</v>
      </c>
      <c r="J63" s="211">
        <f>VLOOKUP(A63,'JULY-TB'!A:G,7,0)</f>
        <v>213576.07</v>
      </c>
    </row>
    <row r="64" spans="1:10">
      <c r="A64" s="211" t="s">
        <v>129</v>
      </c>
      <c r="B64" s="211">
        <v>1986677</v>
      </c>
      <c r="C64" s="211">
        <v>61972</v>
      </c>
      <c r="D64" s="211">
        <v>342799</v>
      </c>
      <c r="E64" s="211">
        <v>1705850</v>
      </c>
      <c r="G64" s="211">
        <f t="shared" si="0"/>
        <v>1705850</v>
      </c>
      <c r="H64" s="211" t="s">
        <v>80</v>
      </c>
      <c r="J64" s="211">
        <f>VLOOKUP(A64,'JULY-TB'!A:G,7,0)</f>
        <v>1705850</v>
      </c>
    </row>
    <row r="65" spans="1:10">
      <c r="A65" s="211" t="s">
        <v>565</v>
      </c>
      <c r="B65" s="211">
        <v>0</v>
      </c>
      <c r="C65" s="211">
        <v>415060</v>
      </c>
      <c r="D65" s="211">
        <v>415060</v>
      </c>
      <c r="E65" s="211">
        <v>0</v>
      </c>
      <c r="G65" s="211">
        <f t="shared" si="0"/>
        <v>0</v>
      </c>
      <c r="H65" s="211" t="s">
        <v>80</v>
      </c>
      <c r="J65" s="211">
        <f>VLOOKUP(A65,'JULY-TB'!A:G,7,0)</f>
        <v>0</v>
      </c>
    </row>
    <row r="66" spans="1:10">
      <c r="A66" s="211" t="s">
        <v>566</v>
      </c>
      <c r="B66" s="211">
        <v>0</v>
      </c>
      <c r="C66" s="211">
        <v>1271337</v>
      </c>
      <c r="D66" s="211">
        <v>1271337</v>
      </c>
      <c r="E66" s="211">
        <v>0</v>
      </c>
      <c r="G66" s="211">
        <f t="shared" si="0"/>
        <v>0</v>
      </c>
      <c r="H66" s="211" t="s">
        <v>80</v>
      </c>
      <c r="J66" s="211">
        <f>VLOOKUP(A66,'JULY-TB'!A:G,7,0)</f>
        <v>0</v>
      </c>
    </row>
    <row r="67" spans="1:10">
      <c r="A67" s="211" t="s">
        <v>567</v>
      </c>
      <c r="B67" s="211">
        <v>0</v>
      </c>
      <c r="C67" s="211">
        <v>415060</v>
      </c>
      <c r="D67" s="211">
        <v>415060</v>
      </c>
      <c r="E67" s="211">
        <v>0</v>
      </c>
      <c r="G67" s="211">
        <f t="shared" si="0"/>
        <v>0</v>
      </c>
      <c r="H67" s="211" t="s">
        <v>80</v>
      </c>
      <c r="J67" s="211">
        <f>VLOOKUP(A67,'JULY-TB'!A:G,7,0)</f>
        <v>0</v>
      </c>
    </row>
    <row r="68" spans="1:10">
      <c r="A68" s="211" t="s">
        <v>568</v>
      </c>
      <c r="B68" s="211">
        <v>222566</v>
      </c>
      <c r="C68" s="211">
        <v>0</v>
      </c>
      <c r="D68" s="211">
        <v>0</v>
      </c>
      <c r="E68" s="211">
        <v>222566</v>
      </c>
      <c r="G68" s="211">
        <f t="shared" ref="G68:G131" si="1">E68+F68</f>
        <v>222566</v>
      </c>
      <c r="H68" s="211" t="s">
        <v>80</v>
      </c>
      <c r="J68" s="211">
        <f>VLOOKUP(A68,'JULY-TB'!A:G,7,0)</f>
        <v>222566</v>
      </c>
    </row>
    <row r="69" spans="1:10">
      <c r="A69" s="211" t="s">
        <v>569</v>
      </c>
      <c r="B69" s="211">
        <v>173552</v>
      </c>
      <c r="C69" s="211">
        <v>0</v>
      </c>
      <c r="D69" s="211">
        <v>0</v>
      </c>
      <c r="E69" s="211">
        <v>173552</v>
      </c>
      <c r="G69" s="211">
        <f t="shared" si="1"/>
        <v>173552</v>
      </c>
      <c r="H69" s="211" t="s">
        <v>80</v>
      </c>
      <c r="J69" s="211">
        <f>VLOOKUP(A69,'JULY-TB'!A:G,7,0)</f>
        <v>173552</v>
      </c>
    </row>
    <row r="70" spans="1:10">
      <c r="A70" s="211" t="s">
        <v>570</v>
      </c>
      <c r="B70" s="211">
        <v>1600000</v>
      </c>
      <c r="C70" s="211">
        <v>0</v>
      </c>
      <c r="D70" s="211">
        <v>0</v>
      </c>
      <c r="E70" s="211">
        <v>1600000</v>
      </c>
      <c r="G70" s="211">
        <f t="shared" si="1"/>
        <v>1600000</v>
      </c>
      <c r="H70" s="211" t="s">
        <v>80</v>
      </c>
      <c r="J70" s="211">
        <f>VLOOKUP(A70,'JULY-TB'!A:G,7,0)</f>
        <v>1600000</v>
      </c>
    </row>
    <row r="71" spans="1:10">
      <c r="A71" s="211" t="s">
        <v>81</v>
      </c>
      <c r="B71" s="211">
        <v>-904063.5</v>
      </c>
      <c r="C71" s="211">
        <v>4457134</v>
      </c>
      <c r="D71" s="211">
        <v>3424637</v>
      </c>
      <c r="E71" s="211">
        <v>128433.5</v>
      </c>
      <c r="G71" s="211">
        <f t="shared" si="1"/>
        <v>128433.5</v>
      </c>
      <c r="H71" s="211" t="s">
        <v>80</v>
      </c>
      <c r="J71" s="211">
        <f>VLOOKUP(A71,'JULY-TB'!A:G,7,0)</f>
        <v>1018133.5</v>
      </c>
    </row>
    <row r="72" spans="1:10">
      <c r="A72" s="211" t="s">
        <v>571</v>
      </c>
      <c r="B72" s="211">
        <v>37500</v>
      </c>
      <c r="C72" s="211">
        <v>200000</v>
      </c>
      <c r="D72" s="211">
        <v>0</v>
      </c>
      <c r="E72" s="211">
        <v>237500</v>
      </c>
      <c r="G72" s="211">
        <f t="shared" si="1"/>
        <v>237500</v>
      </c>
      <c r="H72" s="211" t="s">
        <v>80</v>
      </c>
      <c r="J72" s="211">
        <f>VLOOKUP(A72,'JULY-TB'!A:G,7,0)</f>
        <v>237500</v>
      </c>
    </row>
    <row r="73" spans="1:10">
      <c r="A73" s="211" t="s">
        <v>572</v>
      </c>
      <c r="B73" s="211">
        <v>222030</v>
      </c>
      <c r="C73" s="211">
        <v>43000</v>
      </c>
      <c r="D73" s="211">
        <v>43000</v>
      </c>
      <c r="E73" s="211">
        <v>222030</v>
      </c>
      <c r="G73" s="211">
        <f t="shared" si="1"/>
        <v>222030</v>
      </c>
      <c r="H73" s="211" t="s">
        <v>80</v>
      </c>
      <c r="J73" s="211">
        <f>VLOOKUP(A73,'JULY-TB'!A:G,7,0)</f>
        <v>222030</v>
      </c>
    </row>
    <row r="74" spans="1:10">
      <c r="A74" s="211" t="s">
        <v>573</v>
      </c>
      <c r="B74" s="211">
        <v>5100</v>
      </c>
      <c r="C74" s="211">
        <v>44000</v>
      </c>
      <c r="D74" s="211">
        <v>45606</v>
      </c>
      <c r="E74" s="211">
        <v>3494</v>
      </c>
      <c r="G74" s="211">
        <f t="shared" si="1"/>
        <v>3494</v>
      </c>
      <c r="H74" s="211" t="s">
        <v>80</v>
      </c>
      <c r="J74" s="211">
        <f>VLOOKUP(A74,'JULY-TB'!A:G,7,0)</f>
        <v>3494</v>
      </c>
    </row>
    <row r="75" spans="1:10">
      <c r="A75" s="211" t="s">
        <v>139</v>
      </c>
      <c r="B75" s="211">
        <v>1475496</v>
      </c>
      <c r="C75" s="211">
        <v>1617000</v>
      </c>
      <c r="D75" s="211">
        <v>1342866</v>
      </c>
      <c r="E75" s="211">
        <v>1749630</v>
      </c>
      <c r="G75" s="211">
        <f t="shared" si="1"/>
        <v>1749630</v>
      </c>
      <c r="H75" s="211" t="s">
        <v>80</v>
      </c>
      <c r="J75" s="211">
        <f>VLOOKUP(A75,'JULY-TB'!A:G,7,0)</f>
        <v>1976283</v>
      </c>
    </row>
    <row r="76" spans="1:10">
      <c r="A76" s="211" t="s">
        <v>1041</v>
      </c>
      <c r="B76" s="211">
        <v>5000</v>
      </c>
      <c r="C76" s="211">
        <v>0</v>
      </c>
      <c r="D76" s="211">
        <v>0</v>
      </c>
      <c r="E76" s="211">
        <v>5000</v>
      </c>
      <c r="G76" s="211">
        <f t="shared" si="1"/>
        <v>5000</v>
      </c>
      <c r="H76" s="211" t="s">
        <v>80</v>
      </c>
      <c r="J76" s="211">
        <f>VLOOKUP(A76,'JULY-TB'!A:G,7,0)</f>
        <v>5000</v>
      </c>
    </row>
    <row r="77" spans="1:10">
      <c r="A77" s="211" t="s">
        <v>1075</v>
      </c>
      <c r="B77" s="211">
        <v>0</v>
      </c>
      <c r="C77" s="211">
        <v>0</v>
      </c>
      <c r="D77" s="211">
        <v>0</v>
      </c>
      <c r="E77" s="211">
        <v>0</v>
      </c>
      <c r="G77" s="211">
        <f t="shared" si="1"/>
        <v>0</v>
      </c>
      <c r="H77" s="211" t="s">
        <v>80</v>
      </c>
      <c r="J77" s="211">
        <f>VLOOKUP(A77,'JULY-TB'!A:G,7,0)</f>
        <v>0</v>
      </c>
    </row>
    <row r="78" spans="1:10">
      <c r="A78" s="211" t="s">
        <v>502</v>
      </c>
      <c r="B78" s="211">
        <v>107.89</v>
      </c>
      <c r="C78" s="211">
        <v>0</v>
      </c>
      <c r="D78" s="211">
        <v>0</v>
      </c>
      <c r="E78" s="211">
        <v>107.89</v>
      </c>
      <c r="G78" s="211">
        <f t="shared" si="1"/>
        <v>107.89</v>
      </c>
      <c r="H78" s="211" t="s">
        <v>80</v>
      </c>
      <c r="J78" s="211">
        <f>VLOOKUP(A78,'JULY-TB'!A:G,7,0)</f>
        <v>107.89</v>
      </c>
    </row>
    <row r="79" spans="1:10">
      <c r="A79" s="211" t="s">
        <v>1064</v>
      </c>
      <c r="B79" s="211">
        <v>0</v>
      </c>
      <c r="C79" s="211">
        <v>0</v>
      </c>
      <c r="D79" s="211">
        <v>0</v>
      </c>
      <c r="E79" s="211">
        <v>0</v>
      </c>
      <c r="G79" s="211">
        <f t="shared" si="1"/>
        <v>0</v>
      </c>
      <c r="H79" s="211" t="s">
        <v>80</v>
      </c>
      <c r="J79" s="211">
        <f>VLOOKUP(A79,'JULY-TB'!A:G,7,0)</f>
        <v>0</v>
      </c>
    </row>
    <row r="80" spans="1:10">
      <c r="A80" s="211" t="s">
        <v>1370</v>
      </c>
      <c r="B80" s="211">
        <v>0</v>
      </c>
      <c r="C80" s="211">
        <v>0</v>
      </c>
      <c r="D80" s="211">
        <v>0</v>
      </c>
      <c r="E80" s="211">
        <v>0</v>
      </c>
      <c r="G80" s="211">
        <f t="shared" si="1"/>
        <v>0</v>
      </c>
      <c r="H80" s="211" t="s">
        <v>80</v>
      </c>
      <c r="J80" s="211">
        <f>VLOOKUP(A80,'JULY-TB'!A:G,7,0)</f>
        <v>0</v>
      </c>
    </row>
    <row r="81" spans="1:10">
      <c r="A81" s="211" t="s">
        <v>1371</v>
      </c>
      <c r="B81" s="211">
        <v>0</v>
      </c>
      <c r="C81" s="211">
        <v>0</v>
      </c>
      <c r="D81" s="211">
        <v>0</v>
      </c>
      <c r="E81" s="211">
        <v>0</v>
      </c>
      <c r="G81" s="211">
        <f t="shared" si="1"/>
        <v>0</v>
      </c>
      <c r="H81" s="211" t="s">
        <v>80</v>
      </c>
      <c r="J81" s="211">
        <f>VLOOKUP(A81,'JULY-TB'!A:G,7,0)</f>
        <v>0</v>
      </c>
    </row>
    <row r="82" spans="1:10">
      <c r="A82" s="211" t="s">
        <v>1372</v>
      </c>
      <c r="B82" s="211">
        <v>0</v>
      </c>
      <c r="C82" s="211">
        <v>0</v>
      </c>
      <c r="D82" s="211">
        <v>0</v>
      </c>
      <c r="E82" s="211">
        <v>0</v>
      </c>
      <c r="G82" s="211">
        <f t="shared" si="1"/>
        <v>0</v>
      </c>
      <c r="H82" s="211" t="s">
        <v>80</v>
      </c>
      <c r="J82" s="211">
        <f>VLOOKUP(A82,'JULY-TB'!A:G,7,0)</f>
        <v>0</v>
      </c>
    </row>
    <row r="83" spans="1:10">
      <c r="A83" s="211" t="s">
        <v>574</v>
      </c>
      <c r="B83" s="211">
        <v>51907.76</v>
      </c>
      <c r="C83" s="211">
        <v>0</v>
      </c>
      <c r="D83" s="211">
        <v>51907.76</v>
      </c>
      <c r="E83" s="211">
        <v>0</v>
      </c>
      <c r="G83" s="211">
        <f t="shared" si="1"/>
        <v>0</v>
      </c>
      <c r="H83" s="211" t="s">
        <v>80</v>
      </c>
      <c r="J83" s="211">
        <f>VLOOKUP(A83,'JULY-TB'!A:G,7,0)</f>
        <v>0</v>
      </c>
    </row>
    <row r="84" spans="1:10">
      <c r="A84" s="211" t="s">
        <v>482</v>
      </c>
      <c r="B84" s="211">
        <v>-0.2</v>
      </c>
      <c r="C84" s="211">
        <v>0.2</v>
      </c>
      <c r="D84" s="211">
        <v>0</v>
      </c>
      <c r="E84" s="211">
        <v>0</v>
      </c>
      <c r="G84" s="211">
        <f t="shared" si="1"/>
        <v>0</v>
      </c>
      <c r="H84" s="211" t="s">
        <v>80</v>
      </c>
      <c r="J84" s="211">
        <f>VLOOKUP(A84,'JULY-TB'!A:G,7,0)</f>
        <v>0</v>
      </c>
    </row>
    <row r="85" spans="1:10">
      <c r="A85" s="211" t="s">
        <v>1065</v>
      </c>
      <c r="B85" s="211">
        <v>0</v>
      </c>
      <c r="C85" s="211">
        <v>0</v>
      </c>
      <c r="D85" s="211">
        <v>0</v>
      </c>
      <c r="E85" s="211">
        <v>0</v>
      </c>
      <c r="G85" s="211">
        <f t="shared" si="1"/>
        <v>0</v>
      </c>
      <c r="H85" s="211" t="s">
        <v>80</v>
      </c>
      <c r="J85" s="211">
        <f>VLOOKUP(A85,'JULY-TB'!A:G,7,0)</f>
        <v>0</v>
      </c>
    </row>
    <row r="86" spans="1:10">
      <c r="A86" s="211" t="s">
        <v>83</v>
      </c>
      <c r="B86" s="211">
        <v>-10.19</v>
      </c>
      <c r="C86" s="211">
        <v>10.19</v>
      </c>
      <c r="D86" s="211">
        <v>0</v>
      </c>
      <c r="E86" s="211">
        <v>0</v>
      </c>
      <c r="G86" s="211">
        <f t="shared" si="1"/>
        <v>0</v>
      </c>
      <c r="H86" s="211" t="s">
        <v>80</v>
      </c>
      <c r="J86" s="211">
        <f>VLOOKUP(A86,'JULY-TB'!A:G,7,0)</f>
        <v>0</v>
      </c>
    </row>
    <row r="87" spans="1:10">
      <c r="A87" s="211" t="s">
        <v>1373</v>
      </c>
      <c r="B87" s="211">
        <v>0</v>
      </c>
      <c r="C87" s="211">
        <v>0</v>
      </c>
      <c r="D87" s="211">
        <v>0</v>
      </c>
      <c r="E87" s="211">
        <v>0</v>
      </c>
      <c r="G87" s="211">
        <f t="shared" si="1"/>
        <v>0</v>
      </c>
      <c r="H87" s="211" t="s">
        <v>80</v>
      </c>
      <c r="J87" s="211">
        <f>VLOOKUP(A87,'JULY-TB'!A:G,7,0)</f>
        <v>0</v>
      </c>
    </row>
    <row r="88" spans="1:10">
      <c r="A88" s="211" t="s">
        <v>575</v>
      </c>
      <c r="B88" s="211">
        <v>478152.9</v>
      </c>
      <c r="C88" s="211">
        <v>717440</v>
      </c>
      <c r="D88" s="211">
        <v>478490</v>
      </c>
      <c r="E88" s="211">
        <v>717102.9</v>
      </c>
      <c r="G88" s="211">
        <f t="shared" si="1"/>
        <v>717102.9</v>
      </c>
      <c r="H88" s="211" t="s">
        <v>80</v>
      </c>
      <c r="J88" s="211">
        <f>VLOOKUP(A88,'JULY-TB'!A:G,7,0)</f>
        <v>225042.9</v>
      </c>
    </row>
    <row r="89" spans="1:10">
      <c r="A89" s="211" t="s">
        <v>1076</v>
      </c>
      <c r="B89" s="211">
        <v>0</v>
      </c>
      <c r="C89" s="211">
        <v>1260063</v>
      </c>
      <c r="D89" s="211">
        <v>0</v>
      </c>
      <c r="E89" s="211">
        <v>1260063</v>
      </c>
      <c r="G89" s="211">
        <f t="shared" si="1"/>
        <v>1260063</v>
      </c>
      <c r="H89" s="211" t="s">
        <v>80</v>
      </c>
      <c r="J89" s="211">
        <f>VLOOKUP(A89,'JULY-TB'!A:G,7,0)</f>
        <v>1260063</v>
      </c>
    </row>
    <row r="90" spans="1:10">
      <c r="A90" s="211" t="s">
        <v>520</v>
      </c>
      <c r="B90" s="211">
        <v>-1.05</v>
      </c>
      <c r="C90" s="211">
        <v>1.05</v>
      </c>
      <c r="D90" s="211">
        <v>0</v>
      </c>
      <c r="E90" s="211">
        <v>0</v>
      </c>
      <c r="G90" s="211">
        <f t="shared" si="1"/>
        <v>0</v>
      </c>
      <c r="H90" s="211" t="s">
        <v>80</v>
      </c>
      <c r="J90" s="211">
        <f>VLOOKUP(A90,'JULY-TB'!A:G,7,0)</f>
        <v>0</v>
      </c>
    </row>
    <row r="91" spans="1:10">
      <c r="A91" s="211" t="s">
        <v>1079</v>
      </c>
      <c r="B91" s="211">
        <v>0</v>
      </c>
      <c r="C91" s="211">
        <v>18880</v>
      </c>
      <c r="D91" s="211">
        <v>0</v>
      </c>
      <c r="E91" s="211">
        <v>18880</v>
      </c>
      <c r="G91" s="211">
        <f t="shared" si="1"/>
        <v>18880</v>
      </c>
      <c r="H91" s="211" t="s">
        <v>80</v>
      </c>
      <c r="J91" s="211">
        <f>VLOOKUP(A91,'JULY-TB'!A:G,7,0)</f>
        <v>18880</v>
      </c>
    </row>
    <row r="92" spans="1:10">
      <c r="A92" s="211" t="s">
        <v>1080</v>
      </c>
      <c r="B92" s="211">
        <v>0</v>
      </c>
      <c r="C92" s="211">
        <v>0</v>
      </c>
      <c r="D92" s="211">
        <v>0</v>
      </c>
      <c r="E92" s="211">
        <v>0</v>
      </c>
      <c r="G92" s="211">
        <f t="shared" si="1"/>
        <v>0</v>
      </c>
      <c r="H92" s="211" t="s">
        <v>80</v>
      </c>
      <c r="J92" s="211">
        <f>VLOOKUP(A92,'JULY-TB'!A:G,7,0)</f>
        <v>0</v>
      </c>
    </row>
    <row r="93" spans="1:10">
      <c r="A93" s="211" t="s">
        <v>1066</v>
      </c>
      <c r="B93" s="211">
        <v>0</v>
      </c>
      <c r="C93" s="211">
        <v>0</v>
      </c>
      <c r="D93" s="211">
        <v>0</v>
      </c>
      <c r="E93" s="211">
        <v>0</v>
      </c>
      <c r="G93" s="211">
        <f t="shared" si="1"/>
        <v>0</v>
      </c>
      <c r="H93" s="211" t="s">
        <v>80</v>
      </c>
      <c r="J93" s="211">
        <f>VLOOKUP(A93,'JULY-TB'!A:G,7,0)</f>
        <v>0</v>
      </c>
    </row>
    <row r="94" spans="1:10">
      <c r="A94" s="211" t="s">
        <v>576</v>
      </c>
      <c r="B94" s="211">
        <v>6490.1</v>
      </c>
      <c r="C94" s="211">
        <v>3349528.02</v>
      </c>
      <c r="D94" s="211">
        <v>1518890</v>
      </c>
      <c r="E94" s="211">
        <v>1837128.12</v>
      </c>
      <c r="G94" s="211">
        <f t="shared" si="1"/>
        <v>1837128.12</v>
      </c>
      <c r="H94" s="211" t="s">
        <v>80</v>
      </c>
      <c r="J94" s="211">
        <f>VLOOKUP(A94,'JULY-TB'!A:G,7,0)</f>
        <v>541606.12</v>
      </c>
    </row>
    <row r="95" spans="1:10">
      <c r="A95" s="211" t="s">
        <v>577</v>
      </c>
      <c r="B95" s="211">
        <v>-2088.6999999999998</v>
      </c>
      <c r="C95" s="211">
        <v>0</v>
      </c>
      <c r="D95" s="211">
        <v>0</v>
      </c>
      <c r="E95" s="211">
        <v>-2088.6999999999998</v>
      </c>
      <c r="G95" s="211">
        <f t="shared" si="1"/>
        <v>-2088.6999999999998</v>
      </c>
      <c r="H95" s="211" t="s">
        <v>80</v>
      </c>
      <c r="J95" s="211">
        <f>VLOOKUP(A95,'JULY-TB'!A:G,7,0)</f>
        <v>-2088.6999999999998</v>
      </c>
    </row>
    <row r="96" spans="1:10">
      <c r="A96" s="211" t="s">
        <v>1081</v>
      </c>
      <c r="B96" s="211">
        <v>0</v>
      </c>
      <c r="C96" s="211">
        <v>0</v>
      </c>
      <c r="D96" s="211">
        <v>0</v>
      </c>
      <c r="E96" s="211">
        <v>0</v>
      </c>
      <c r="G96" s="211">
        <f t="shared" si="1"/>
        <v>0</v>
      </c>
      <c r="H96" s="211" t="s">
        <v>80</v>
      </c>
      <c r="J96" s="211">
        <f>VLOOKUP(A96,'JULY-TB'!A:G,7,0)</f>
        <v>0</v>
      </c>
    </row>
    <row r="97" spans="1:10">
      <c r="A97" s="211" t="s">
        <v>1067</v>
      </c>
      <c r="B97" s="211">
        <v>0</v>
      </c>
      <c r="C97" s="211">
        <v>0</v>
      </c>
      <c r="D97" s="211">
        <v>0</v>
      </c>
      <c r="E97" s="211">
        <v>0</v>
      </c>
      <c r="G97" s="211">
        <f t="shared" si="1"/>
        <v>0</v>
      </c>
      <c r="H97" s="211" t="s">
        <v>80</v>
      </c>
      <c r="J97" s="211">
        <f>VLOOKUP(A97,'JULY-TB'!A:G,7,0)</f>
        <v>0</v>
      </c>
    </row>
    <row r="98" spans="1:10">
      <c r="A98" s="211" t="s">
        <v>1374</v>
      </c>
      <c r="B98" s="211">
        <v>0</v>
      </c>
      <c r="C98" s="211">
        <v>0</v>
      </c>
      <c r="D98" s="211">
        <v>0</v>
      </c>
      <c r="E98" s="211">
        <v>0</v>
      </c>
      <c r="G98" s="211">
        <f t="shared" si="1"/>
        <v>0</v>
      </c>
      <c r="H98" s="211" t="s">
        <v>80</v>
      </c>
      <c r="J98" s="211">
        <f>VLOOKUP(A98,'JULY-TB'!A:G,7,0)</f>
        <v>0</v>
      </c>
    </row>
    <row r="99" spans="1:10">
      <c r="A99" s="211" t="s">
        <v>1557</v>
      </c>
      <c r="B99" s="211">
        <v>0</v>
      </c>
      <c r="C99" s="211">
        <v>274264.56</v>
      </c>
      <c r="D99" s="211">
        <v>274292</v>
      </c>
      <c r="E99" s="211">
        <v>-27.44</v>
      </c>
      <c r="G99" s="211">
        <f t="shared" si="1"/>
        <v>-27.44</v>
      </c>
      <c r="H99" s="211" t="s">
        <v>80</v>
      </c>
      <c r="J99" s="211">
        <f>VLOOKUP(A99,'JULY-TB'!A:G,7,0)</f>
        <v>0.24</v>
      </c>
    </row>
    <row r="100" spans="1:10">
      <c r="A100" s="211" t="s">
        <v>1375</v>
      </c>
      <c r="B100" s="211">
        <v>0</v>
      </c>
      <c r="C100" s="211">
        <v>0</v>
      </c>
      <c r="D100" s="211">
        <v>0</v>
      </c>
      <c r="E100" s="211">
        <v>0</v>
      </c>
      <c r="G100" s="211">
        <f t="shared" si="1"/>
        <v>0</v>
      </c>
      <c r="H100" s="211" t="s">
        <v>80</v>
      </c>
      <c r="J100" s="211">
        <f>VLOOKUP(A100,'JULY-TB'!A:G,7,0)</f>
        <v>0</v>
      </c>
    </row>
    <row r="101" spans="1:10">
      <c r="A101" s="211" t="s">
        <v>578</v>
      </c>
      <c r="B101" s="211">
        <v>-779600</v>
      </c>
      <c r="C101" s="211">
        <v>779600</v>
      </c>
      <c r="D101" s="211">
        <v>0</v>
      </c>
      <c r="E101" s="211">
        <v>0</v>
      </c>
      <c r="G101" s="211">
        <f t="shared" si="1"/>
        <v>0</v>
      </c>
      <c r="H101" s="211" t="s">
        <v>80</v>
      </c>
      <c r="J101" s="211">
        <f>VLOOKUP(A101,'JULY-TB'!A:G,7,0)</f>
        <v>0</v>
      </c>
    </row>
    <row r="102" spans="1:10">
      <c r="A102" s="211" t="s">
        <v>1084</v>
      </c>
      <c r="B102" s="211">
        <v>0</v>
      </c>
      <c r="C102" s="211">
        <v>0</v>
      </c>
      <c r="D102" s="211">
        <v>0</v>
      </c>
      <c r="E102" s="211">
        <v>0</v>
      </c>
      <c r="G102" s="211">
        <f t="shared" si="1"/>
        <v>0</v>
      </c>
      <c r="H102" s="211" t="s">
        <v>80</v>
      </c>
      <c r="J102" s="211">
        <f>VLOOKUP(A102,'JULY-TB'!A:G,7,0)</f>
        <v>0</v>
      </c>
    </row>
    <row r="103" spans="1:10">
      <c r="A103" s="211" t="s">
        <v>1519</v>
      </c>
      <c r="B103" s="211">
        <v>0</v>
      </c>
      <c r="C103" s="211">
        <v>0</v>
      </c>
      <c r="D103" s="211">
        <v>0</v>
      </c>
      <c r="E103" s="211">
        <v>0</v>
      </c>
      <c r="G103" s="211">
        <f t="shared" si="1"/>
        <v>0</v>
      </c>
      <c r="H103" s="211" t="s">
        <v>80</v>
      </c>
      <c r="J103" s="211">
        <f>VLOOKUP(A103,'JULY-TB'!A:G,7,0)</f>
        <v>0</v>
      </c>
    </row>
    <row r="104" spans="1:10">
      <c r="A104" s="211" t="s">
        <v>1085</v>
      </c>
      <c r="B104" s="211">
        <v>0</v>
      </c>
      <c r="C104" s="211">
        <v>0</v>
      </c>
      <c r="D104" s="211">
        <v>0</v>
      </c>
      <c r="E104" s="211">
        <v>0</v>
      </c>
      <c r="G104" s="211">
        <f t="shared" si="1"/>
        <v>0</v>
      </c>
      <c r="H104" s="211" t="s">
        <v>80</v>
      </c>
      <c r="J104" s="211">
        <f>VLOOKUP(A104,'JULY-TB'!A:G,7,0)</f>
        <v>0</v>
      </c>
    </row>
    <row r="105" spans="1:10">
      <c r="A105" s="211" t="s">
        <v>1086</v>
      </c>
      <c r="B105" s="211">
        <v>0</v>
      </c>
      <c r="C105" s="211">
        <v>0</v>
      </c>
      <c r="D105" s="211">
        <v>0</v>
      </c>
      <c r="E105" s="211">
        <v>0</v>
      </c>
      <c r="G105" s="211">
        <f t="shared" si="1"/>
        <v>0</v>
      </c>
      <c r="H105" s="211" t="s">
        <v>80</v>
      </c>
      <c r="J105" s="211">
        <f>VLOOKUP(A105,'JULY-TB'!A:G,7,0)</f>
        <v>0</v>
      </c>
    </row>
    <row r="106" spans="1:10">
      <c r="A106" s="211" t="s">
        <v>579</v>
      </c>
      <c r="B106" s="211">
        <v>61360</v>
      </c>
      <c r="C106" s="211">
        <v>0</v>
      </c>
      <c r="D106" s="211">
        <v>61360</v>
      </c>
      <c r="E106" s="211">
        <v>0</v>
      </c>
      <c r="G106" s="211">
        <f t="shared" si="1"/>
        <v>0</v>
      </c>
      <c r="H106" s="211" t="s">
        <v>80</v>
      </c>
      <c r="J106" s="211">
        <f>VLOOKUP(A106,'JULY-TB'!A:G,7,0)</f>
        <v>0</v>
      </c>
    </row>
    <row r="107" spans="1:10">
      <c r="A107" s="211" t="s">
        <v>1615</v>
      </c>
      <c r="B107" s="211">
        <v>0</v>
      </c>
      <c r="C107" s="211">
        <v>1845520</v>
      </c>
      <c r="D107" s="211">
        <v>1845520</v>
      </c>
      <c r="E107" s="211">
        <v>0</v>
      </c>
      <c r="G107" s="211">
        <f t="shared" si="1"/>
        <v>0</v>
      </c>
      <c r="H107" s="211" t="s">
        <v>80</v>
      </c>
      <c r="J107" s="211" t="e">
        <f>VLOOKUP(A107,'JULY-TB'!A:G,7,0)</f>
        <v>#N/A</v>
      </c>
    </row>
    <row r="108" spans="1:10">
      <c r="A108" s="211" t="s">
        <v>1087</v>
      </c>
      <c r="B108" s="211">
        <v>0</v>
      </c>
      <c r="C108" s="211">
        <v>0</v>
      </c>
      <c r="D108" s="211">
        <v>0</v>
      </c>
      <c r="E108" s="211">
        <v>0</v>
      </c>
      <c r="G108" s="211">
        <f t="shared" si="1"/>
        <v>0</v>
      </c>
      <c r="H108" s="211" t="s">
        <v>80</v>
      </c>
      <c r="J108" s="211">
        <f>VLOOKUP(A108,'JULY-TB'!A:G,7,0)</f>
        <v>0</v>
      </c>
    </row>
    <row r="109" spans="1:10">
      <c r="A109" s="211" t="s">
        <v>1068</v>
      </c>
      <c r="B109" s="211">
        <v>0</v>
      </c>
      <c r="C109" s="211">
        <v>0</v>
      </c>
      <c r="D109" s="211">
        <v>0</v>
      </c>
      <c r="E109" s="211">
        <v>0</v>
      </c>
      <c r="G109" s="211">
        <f t="shared" si="1"/>
        <v>0</v>
      </c>
      <c r="H109" s="211" t="s">
        <v>80</v>
      </c>
      <c r="J109" s="211">
        <f>VLOOKUP(A109,'JULY-TB'!A:G,7,0)</f>
        <v>0</v>
      </c>
    </row>
    <row r="110" spans="1:10">
      <c r="A110" s="211" t="s">
        <v>1520</v>
      </c>
      <c r="B110" s="211">
        <v>0</v>
      </c>
      <c r="C110" s="211">
        <v>0</v>
      </c>
      <c r="D110" s="211">
        <v>0</v>
      </c>
      <c r="E110" s="211">
        <v>0</v>
      </c>
      <c r="G110" s="211">
        <f t="shared" si="1"/>
        <v>0</v>
      </c>
      <c r="H110" s="211" t="s">
        <v>80</v>
      </c>
      <c r="J110" s="211">
        <f>VLOOKUP(A110,'JULY-TB'!A:G,7,0)</f>
        <v>0</v>
      </c>
    </row>
    <row r="111" spans="1:10">
      <c r="A111" s="211" t="s">
        <v>1069</v>
      </c>
      <c r="B111" s="211">
        <v>0</v>
      </c>
      <c r="C111" s="211">
        <v>0</v>
      </c>
      <c r="D111" s="211">
        <v>0</v>
      </c>
      <c r="E111" s="211">
        <v>0</v>
      </c>
      <c r="G111" s="211">
        <f t="shared" si="1"/>
        <v>0</v>
      </c>
      <c r="H111" s="211" t="s">
        <v>80</v>
      </c>
      <c r="J111" s="211">
        <f>VLOOKUP(A111,'JULY-TB'!A:G,7,0)</f>
        <v>0</v>
      </c>
    </row>
    <row r="112" spans="1:10">
      <c r="A112" s="211" t="s">
        <v>580</v>
      </c>
      <c r="B112" s="211">
        <v>848480.5</v>
      </c>
      <c r="C112" s="211">
        <v>2063058.5</v>
      </c>
      <c r="D112" s="211">
        <v>1311320</v>
      </c>
      <c r="E112" s="211">
        <v>1600219</v>
      </c>
      <c r="G112" s="211">
        <f t="shared" si="1"/>
        <v>1600219</v>
      </c>
      <c r="H112" s="211" t="s">
        <v>80</v>
      </c>
      <c r="J112" s="211">
        <f>VLOOKUP(A112,'JULY-TB'!A:G,7,0)</f>
        <v>1138603</v>
      </c>
    </row>
    <row r="113" spans="1:10">
      <c r="A113" s="211" t="s">
        <v>1120</v>
      </c>
      <c r="B113" s="211">
        <v>0</v>
      </c>
      <c r="C113" s="211">
        <v>0</v>
      </c>
      <c r="D113" s="211">
        <v>0</v>
      </c>
      <c r="E113" s="211">
        <v>0</v>
      </c>
      <c r="G113" s="211">
        <f t="shared" si="1"/>
        <v>0</v>
      </c>
      <c r="H113" s="211" t="s">
        <v>80</v>
      </c>
      <c r="J113" s="211">
        <f>VLOOKUP(A113,'JULY-TB'!A:G,7,0)</f>
        <v>0</v>
      </c>
    </row>
    <row r="114" spans="1:10">
      <c r="A114" s="211" t="s">
        <v>1376</v>
      </c>
      <c r="B114" s="211">
        <v>0</v>
      </c>
      <c r="C114" s="211">
        <v>0</v>
      </c>
      <c r="D114" s="211">
        <v>0</v>
      </c>
      <c r="E114" s="211">
        <v>0</v>
      </c>
      <c r="G114" s="211">
        <f t="shared" si="1"/>
        <v>0</v>
      </c>
      <c r="H114" s="211" t="s">
        <v>80</v>
      </c>
      <c r="J114" s="211">
        <f>VLOOKUP(A114,'JULY-TB'!A:G,7,0)</f>
        <v>0</v>
      </c>
    </row>
    <row r="115" spans="1:10">
      <c r="A115" s="211" t="s">
        <v>581</v>
      </c>
      <c r="B115" s="211">
        <v>618393.16</v>
      </c>
      <c r="C115" s="211">
        <v>1940235.66</v>
      </c>
      <c r="D115" s="211">
        <v>1460426.42</v>
      </c>
      <c r="E115" s="211">
        <v>1098202.3999999999</v>
      </c>
      <c r="G115" s="211">
        <f t="shared" si="1"/>
        <v>1098202.3999999999</v>
      </c>
      <c r="H115" s="211" t="s">
        <v>80</v>
      </c>
      <c r="J115" s="211">
        <f>VLOOKUP(A115,'JULY-TB'!A:G,7,0)</f>
        <v>842033.26</v>
      </c>
    </row>
    <row r="116" spans="1:10">
      <c r="A116" s="211" t="s">
        <v>582</v>
      </c>
      <c r="B116" s="211">
        <v>0.06</v>
      </c>
      <c r="C116" s="211">
        <v>0.3</v>
      </c>
      <c r="D116" s="211">
        <v>0.36</v>
      </c>
      <c r="E116" s="211">
        <v>0</v>
      </c>
      <c r="G116" s="211">
        <f t="shared" si="1"/>
        <v>0</v>
      </c>
      <c r="H116" s="211" t="s">
        <v>80</v>
      </c>
      <c r="J116" s="211">
        <f>VLOOKUP(A116,'JULY-TB'!A:G,7,0)</f>
        <v>0</v>
      </c>
    </row>
    <row r="117" spans="1:10">
      <c r="A117" s="211" t="s">
        <v>1377</v>
      </c>
      <c r="B117" s="211">
        <v>0</v>
      </c>
      <c r="C117" s="211">
        <v>0</v>
      </c>
      <c r="D117" s="211">
        <v>0</v>
      </c>
      <c r="E117" s="211">
        <v>0</v>
      </c>
      <c r="G117" s="211">
        <f t="shared" si="1"/>
        <v>0</v>
      </c>
      <c r="H117" s="211" t="s">
        <v>80</v>
      </c>
      <c r="J117" s="211">
        <f>VLOOKUP(A117,'JULY-TB'!A:G,7,0)</f>
        <v>0</v>
      </c>
    </row>
    <row r="118" spans="1:10">
      <c r="A118" s="211" t="s">
        <v>436</v>
      </c>
      <c r="B118" s="211">
        <v>0.46</v>
      </c>
      <c r="C118" s="211">
        <v>180908.16</v>
      </c>
      <c r="D118" s="211">
        <v>0.46</v>
      </c>
      <c r="E118" s="211">
        <v>180908.16</v>
      </c>
      <c r="G118" s="211">
        <f t="shared" si="1"/>
        <v>180908.16</v>
      </c>
      <c r="H118" s="211" t="s">
        <v>80</v>
      </c>
      <c r="J118" s="211">
        <f>VLOOKUP(A118,'JULY-TB'!A:G,7,0)</f>
        <v>0</v>
      </c>
    </row>
    <row r="119" spans="1:10">
      <c r="A119" s="211" t="s">
        <v>1558</v>
      </c>
      <c r="B119" s="211">
        <v>0</v>
      </c>
      <c r="C119" s="211">
        <v>171990</v>
      </c>
      <c r="D119" s="211">
        <v>171990</v>
      </c>
      <c r="E119" s="211">
        <v>0</v>
      </c>
      <c r="G119" s="211">
        <f t="shared" si="1"/>
        <v>0</v>
      </c>
      <c r="H119" s="211" t="s">
        <v>80</v>
      </c>
      <c r="J119" s="211">
        <f>VLOOKUP(A119,'JULY-TB'!A:G,7,0)</f>
        <v>-116550</v>
      </c>
    </row>
    <row r="120" spans="1:10">
      <c r="A120" s="211" t="s">
        <v>583</v>
      </c>
      <c r="B120" s="211">
        <v>-913045</v>
      </c>
      <c r="C120" s="211">
        <v>913909.9</v>
      </c>
      <c r="D120" s="211">
        <v>865</v>
      </c>
      <c r="E120" s="211">
        <v>-0.1</v>
      </c>
      <c r="G120" s="211">
        <f t="shared" si="1"/>
        <v>-0.1</v>
      </c>
      <c r="H120" s="211" t="s">
        <v>80</v>
      </c>
      <c r="J120" s="211">
        <f>VLOOKUP(A120,'JULY-TB'!A:G,7,0)</f>
        <v>-0.1</v>
      </c>
    </row>
    <row r="121" spans="1:10">
      <c r="A121" s="211" t="s">
        <v>584</v>
      </c>
      <c r="B121" s="211">
        <v>-711.75</v>
      </c>
      <c r="C121" s="211">
        <v>711.75</v>
      </c>
      <c r="D121" s="211">
        <v>0</v>
      </c>
      <c r="E121" s="211">
        <v>0</v>
      </c>
      <c r="G121" s="211">
        <f t="shared" si="1"/>
        <v>0</v>
      </c>
      <c r="H121" s="211" t="s">
        <v>80</v>
      </c>
      <c r="J121" s="211">
        <f>VLOOKUP(A121,'JULY-TB'!A:G,7,0)</f>
        <v>0</v>
      </c>
    </row>
    <row r="122" spans="1:10">
      <c r="A122" s="211" t="s">
        <v>1042</v>
      </c>
      <c r="B122" s="211">
        <v>1112150.8999999999</v>
      </c>
      <c r="C122" s="211">
        <v>0</v>
      </c>
      <c r="D122" s="211">
        <v>1112150.8999999999</v>
      </c>
      <c r="E122" s="211">
        <v>0</v>
      </c>
      <c r="G122" s="211">
        <f t="shared" si="1"/>
        <v>0</v>
      </c>
      <c r="H122" s="211" t="s">
        <v>80</v>
      </c>
      <c r="J122" s="211">
        <f>VLOOKUP(A122,'JULY-TB'!A:G,7,0)</f>
        <v>0</v>
      </c>
    </row>
    <row r="123" spans="1:10">
      <c r="A123" s="211" t="s">
        <v>585</v>
      </c>
      <c r="B123" s="211">
        <v>-10480.76</v>
      </c>
      <c r="C123" s="211">
        <v>0</v>
      </c>
      <c r="D123" s="211">
        <v>0</v>
      </c>
      <c r="E123" s="211">
        <v>-10480.76</v>
      </c>
      <c r="G123" s="211">
        <f t="shared" si="1"/>
        <v>-10480.76</v>
      </c>
      <c r="H123" s="211" t="s">
        <v>80</v>
      </c>
      <c r="J123" s="211">
        <f>VLOOKUP(A123,'JULY-TB'!A:G,7,0)</f>
        <v>-10480.76</v>
      </c>
    </row>
    <row r="124" spans="1:10">
      <c r="A124" s="211" t="s">
        <v>586</v>
      </c>
      <c r="B124" s="211">
        <v>0.04</v>
      </c>
      <c r="C124" s="211">
        <v>1553706</v>
      </c>
      <c r="D124" s="211">
        <v>1401781.49</v>
      </c>
      <c r="E124" s="211">
        <v>151924.54999999999</v>
      </c>
      <c r="G124" s="211">
        <f t="shared" si="1"/>
        <v>151924.54999999999</v>
      </c>
      <c r="H124" s="211" t="s">
        <v>80</v>
      </c>
      <c r="J124" s="211">
        <f>VLOOKUP(A124,'JULY-TB'!A:G,7,0)</f>
        <v>-0.45</v>
      </c>
    </row>
    <row r="125" spans="1:10">
      <c r="A125" s="211" t="s">
        <v>107</v>
      </c>
      <c r="B125" s="211">
        <v>1886778.93</v>
      </c>
      <c r="C125" s="211">
        <v>0</v>
      </c>
      <c r="D125" s="211">
        <v>0</v>
      </c>
      <c r="E125" s="211">
        <v>1886778.93</v>
      </c>
      <c r="G125" s="211">
        <f t="shared" si="1"/>
        <v>1886778.93</v>
      </c>
      <c r="H125" s="211" t="s">
        <v>80</v>
      </c>
      <c r="J125" s="211">
        <f>VLOOKUP(A125,'JULY-TB'!A:G,7,0)</f>
        <v>1886778.93</v>
      </c>
    </row>
    <row r="126" spans="1:10">
      <c r="A126" s="211" t="s">
        <v>108</v>
      </c>
      <c r="B126" s="211">
        <v>42723370.759999998</v>
      </c>
      <c r="C126" s="211">
        <v>168971150.15000001</v>
      </c>
      <c r="D126" s="211">
        <v>148331676</v>
      </c>
      <c r="E126" s="211">
        <v>63362844.909999996</v>
      </c>
      <c r="G126" s="211">
        <f t="shared" si="1"/>
        <v>63362844.909999996</v>
      </c>
      <c r="H126" s="211" t="s">
        <v>80</v>
      </c>
      <c r="J126" s="211">
        <f>VLOOKUP(A126,'JULY-TB'!A:G,7,0)</f>
        <v>-1728104.5</v>
      </c>
    </row>
    <row r="127" spans="1:10">
      <c r="A127" s="211" t="s">
        <v>429</v>
      </c>
      <c r="B127" s="211">
        <v>-6977160</v>
      </c>
      <c r="C127" s="211">
        <v>12132917.970000001</v>
      </c>
      <c r="D127" s="211">
        <v>0</v>
      </c>
      <c r="E127" s="211">
        <v>5155757.97</v>
      </c>
      <c r="G127" s="211">
        <f t="shared" si="1"/>
        <v>5155757.97</v>
      </c>
      <c r="H127" s="211" t="s">
        <v>80</v>
      </c>
      <c r="J127" s="211">
        <f>VLOOKUP(A127,'JULY-TB'!A:G,7,0)</f>
        <v>-2080451.73</v>
      </c>
    </row>
    <row r="128" spans="1:10">
      <c r="A128" s="211" t="s">
        <v>1070</v>
      </c>
      <c r="B128" s="211">
        <v>0</v>
      </c>
      <c r="C128" s="211">
        <v>0</v>
      </c>
      <c r="D128" s="211">
        <v>0</v>
      </c>
      <c r="E128" s="211">
        <v>0</v>
      </c>
      <c r="G128" s="211">
        <f t="shared" si="1"/>
        <v>0</v>
      </c>
      <c r="H128" s="211" t="s">
        <v>80</v>
      </c>
      <c r="J128" s="211">
        <f>VLOOKUP(A128,'JULY-TB'!A:G,7,0)</f>
        <v>0</v>
      </c>
    </row>
    <row r="129" spans="1:10">
      <c r="A129" s="211" t="s">
        <v>1071</v>
      </c>
      <c r="B129" s="211">
        <v>19769297.699999999</v>
      </c>
      <c r="C129" s="211">
        <v>42607663.850000001</v>
      </c>
      <c r="D129" s="211">
        <v>9814008.6099999994</v>
      </c>
      <c r="E129" s="211">
        <v>52562952.939999998</v>
      </c>
      <c r="G129" s="211">
        <f t="shared" si="1"/>
        <v>52562952.939999998</v>
      </c>
      <c r="H129" s="211" t="s">
        <v>80</v>
      </c>
      <c r="J129" s="211">
        <f>VLOOKUP(A129,'JULY-TB'!A:G,7,0)</f>
        <v>47621828.390000001</v>
      </c>
    </row>
    <row r="130" spans="1:10">
      <c r="A130" s="211" t="s">
        <v>376</v>
      </c>
      <c r="B130" s="211">
        <v>-0.4</v>
      </c>
      <c r="C130" s="211">
        <v>0.4</v>
      </c>
      <c r="D130" s="211">
        <v>0</v>
      </c>
      <c r="E130" s="211">
        <v>0</v>
      </c>
      <c r="G130" s="211">
        <f t="shared" si="1"/>
        <v>0</v>
      </c>
      <c r="H130" s="211" t="s">
        <v>80</v>
      </c>
      <c r="J130" s="211">
        <f>VLOOKUP(A130,'JULY-TB'!A:G,7,0)</f>
        <v>0</v>
      </c>
    </row>
    <row r="131" spans="1:10">
      <c r="A131" s="211" t="s">
        <v>1072</v>
      </c>
      <c r="B131" s="211">
        <v>0</v>
      </c>
      <c r="C131" s="211">
        <v>0</v>
      </c>
      <c r="D131" s="211">
        <v>0</v>
      </c>
      <c r="E131" s="211">
        <v>0</v>
      </c>
      <c r="G131" s="211">
        <f t="shared" si="1"/>
        <v>0</v>
      </c>
      <c r="H131" s="211" t="s">
        <v>80</v>
      </c>
      <c r="J131" s="211">
        <f>VLOOKUP(A131,'JULY-TB'!A:G,7,0)</f>
        <v>0</v>
      </c>
    </row>
    <row r="132" spans="1:10">
      <c r="A132" s="211" t="s">
        <v>587</v>
      </c>
      <c r="B132" s="211">
        <v>-1888</v>
      </c>
      <c r="C132" s="211">
        <v>0</v>
      </c>
      <c r="D132" s="211">
        <v>0</v>
      </c>
      <c r="E132" s="211">
        <v>-1888</v>
      </c>
      <c r="G132" s="211">
        <f t="shared" ref="G132:G195" si="2">E132+F132</f>
        <v>-1888</v>
      </c>
      <c r="H132" s="211" t="s">
        <v>80</v>
      </c>
      <c r="J132" s="211">
        <f>VLOOKUP(A132,'JULY-TB'!A:G,7,0)</f>
        <v>-1888</v>
      </c>
    </row>
    <row r="133" spans="1:10">
      <c r="A133" s="211" t="s">
        <v>1616</v>
      </c>
      <c r="B133" s="211">
        <v>0</v>
      </c>
      <c r="C133" s="211">
        <v>156468</v>
      </c>
      <c r="D133" s="211">
        <v>0</v>
      </c>
      <c r="E133" s="211">
        <v>156468</v>
      </c>
      <c r="G133" s="211">
        <f t="shared" si="2"/>
        <v>156468</v>
      </c>
      <c r="H133" s="211" t="s">
        <v>80</v>
      </c>
      <c r="J133" s="211" t="e">
        <f>VLOOKUP(A133,'JULY-TB'!A:G,7,0)</f>
        <v>#N/A</v>
      </c>
    </row>
    <row r="134" spans="1:10">
      <c r="A134" s="211" t="s">
        <v>1378</v>
      </c>
      <c r="B134" s="211">
        <v>0</v>
      </c>
      <c r="C134" s="211">
        <v>0</v>
      </c>
      <c r="D134" s="211">
        <v>0</v>
      </c>
      <c r="E134" s="211">
        <v>0</v>
      </c>
      <c r="G134" s="211">
        <f t="shared" si="2"/>
        <v>0</v>
      </c>
      <c r="H134" s="211" t="s">
        <v>80</v>
      </c>
      <c r="J134" s="211">
        <f>VLOOKUP(A134,'JULY-TB'!A:G,7,0)</f>
        <v>0</v>
      </c>
    </row>
    <row r="135" spans="1:10">
      <c r="A135" s="211" t="s">
        <v>588</v>
      </c>
      <c r="B135" s="211">
        <v>595</v>
      </c>
      <c r="C135" s="211">
        <v>702100</v>
      </c>
      <c r="D135" s="211">
        <v>701505</v>
      </c>
      <c r="E135" s="211">
        <v>1190</v>
      </c>
      <c r="G135" s="211">
        <f t="shared" si="2"/>
        <v>1190</v>
      </c>
      <c r="H135" s="211" t="s">
        <v>80</v>
      </c>
      <c r="J135" s="211">
        <f>VLOOKUP(A135,'JULY-TB'!A:G,7,0)</f>
        <v>1190</v>
      </c>
    </row>
    <row r="136" spans="1:10">
      <c r="A136" s="211" t="s">
        <v>589</v>
      </c>
      <c r="B136" s="211">
        <v>1851351</v>
      </c>
      <c r="C136" s="211">
        <v>0</v>
      </c>
      <c r="D136" s="211">
        <v>1848150</v>
      </c>
      <c r="E136" s="211">
        <v>3201</v>
      </c>
      <c r="G136" s="211">
        <f t="shared" si="2"/>
        <v>3201</v>
      </c>
      <c r="H136" s="211" t="s">
        <v>80</v>
      </c>
      <c r="J136" s="211">
        <f>VLOOKUP(A136,'JULY-TB'!A:G,7,0)</f>
        <v>3201</v>
      </c>
    </row>
    <row r="137" spans="1:10">
      <c r="A137" s="211" t="s">
        <v>113</v>
      </c>
      <c r="B137" s="211">
        <v>-0.71</v>
      </c>
      <c r="C137" s="211">
        <v>208152.71</v>
      </c>
      <c r="D137" s="211">
        <v>0</v>
      </c>
      <c r="E137" s="211">
        <v>208152</v>
      </c>
      <c r="G137" s="211">
        <f t="shared" si="2"/>
        <v>208152</v>
      </c>
      <c r="H137" s="211" t="s">
        <v>80</v>
      </c>
      <c r="J137" s="211">
        <f>VLOOKUP(A137,'JULY-TB'!A:G,7,0)</f>
        <v>0</v>
      </c>
    </row>
    <row r="138" spans="1:10">
      <c r="A138" s="211" t="s">
        <v>503</v>
      </c>
      <c r="B138" s="211">
        <v>1313148.6599999999</v>
      </c>
      <c r="C138" s="211">
        <v>3410084.84</v>
      </c>
      <c r="D138" s="211">
        <v>2726097</v>
      </c>
      <c r="E138" s="211">
        <v>1997136.5</v>
      </c>
      <c r="G138" s="211">
        <f t="shared" si="2"/>
        <v>1997136.5</v>
      </c>
      <c r="H138" s="211" t="s">
        <v>80</v>
      </c>
      <c r="J138" s="211">
        <f>VLOOKUP(A138,'JULY-TB'!A:G,7,0)</f>
        <v>0.18</v>
      </c>
    </row>
    <row r="139" spans="1:10">
      <c r="A139" s="211" t="s">
        <v>447</v>
      </c>
      <c r="B139" s="211">
        <v>0.64</v>
      </c>
      <c r="C139" s="211">
        <v>0</v>
      </c>
      <c r="D139" s="211">
        <v>0.64</v>
      </c>
      <c r="E139" s="211">
        <v>0</v>
      </c>
      <c r="G139" s="211">
        <f t="shared" si="2"/>
        <v>0</v>
      </c>
      <c r="H139" s="211" t="s">
        <v>80</v>
      </c>
      <c r="J139" s="211">
        <f>VLOOKUP(A139,'JULY-TB'!A:G,7,0)</f>
        <v>0</v>
      </c>
    </row>
    <row r="140" spans="1:10">
      <c r="A140" s="211" t="s">
        <v>1379</v>
      </c>
      <c r="B140" s="211">
        <v>0</v>
      </c>
      <c r="C140" s="211">
        <v>0</v>
      </c>
      <c r="D140" s="211">
        <v>0</v>
      </c>
      <c r="E140" s="211">
        <v>0</v>
      </c>
      <c r="G140" s="211">
        <f t="shared" si="2"/>
        <v>0</v>
      </c>
      <c r="H140" s="211" t="s">
        <v>80</v>
      </c>
      <c r="J140" s="211">
        <f>VLOOKUP(A140,'JULY-TB'!A:G,7,0)</f>
        <v>0</v>
      </c>
    </row>
    <row r="141" spans="1:10">
      <c r="A141" s="211" t="s">
        <v>1088</v>
      </c>
      <c r="B141" s="211">
        <v>0</v>
      </c>
      <c r="C141" s="211">
        <v>0</v>
      </c>
      <c r="D141" s="211">
        <v>0</v>
      </c>
      <c r="E141" s="211">
        <v>0</v>
      </c>
      <c r="G141" s="211">
        <f t="shared" si="2"/>
        <v>0</v>
      </c>
      <c r="H141" s="211" t="s">
        <v>80</v>
      </c>
      <c r="J141" s="211">
        <f>VLOOKUP(A141,'JULY-TB'!A:G,7,0)</f>
        <v>0</v>
      </c>
    </row>
    <row r="142" spans="1:10">
      <c r="A142" s="211" t="s">
        <v>590</v>
      </c>
      <c r="B142" s="211">
        <v>-2411133.14</v>
      </c>
      <c r="C142" s="211">
        <v>0</v>
      </c>
      <c r="D142" s="211">
        <v>0</v>
      </c>
      <c r="E142" s="211">
        <v>-2411133.14</v>
      </c>
      <c r="G142" s="211">
        <f t="shared" si="2"/>
        <v>-2411133.14</v>
      </c>
      <c r="H142" s="211" t="s">
        <v>80</v>
      </c>
      <c r="J142" s="211">
        <f>VLOOKUP(A142,'JULY-TB'!A:G,7,0)</f>
        <v>-2411133.14</v>
      </c>
    </row>
    <row r="143" spans="1:10">
      <c r="A143" s="211" t="s">
        <v>114</v>
      </c>
      <c r="B143" s="211">
        <v>59634946.859999999</v>
      </c>
      <c r="C143" s="211">
        <v>0</v>
      </c>
      <c r="D143" s="211">
        <v>0</v>
      </c>
      <c r="E143" s="211">
        <v>59634946.859999999</v>
      </c>
      <c r="G143" s="211">
        <f t="shared" si="2"/>
        <v>59634946.859999999</v>
      </c>
      <c r="H143" s="211" t="s">
        <v>80</v>
      </c>
      <c r="J143" s="211">
        <f>VLOOKUP(A143,'JULY-TB'!A:G,7,0)</f>
        <v>59634946.859999999</v>
      </c>
    </row>
    <row r="144" spans="1:10">
      <c r="A144" s="211" t="s">
        <v>115</v>
      </c>
      <c r="B144" s="211">
        <v>-135139036.13</v>
      </c>
      <c r="C144" s="211">
        <v>0</v>
      </c>
      <c r="D144" s="211">
        <v>7961129.9199999999</v>
      </c>
      <c r="E144" s="211">
        <v>-143100166.05000001</v>
      </c>
      <c r="G144" s="211">
        <f t="shared" si="2"/>
        <v>-143100166.05000001</v>
      </c>
      <c r="H144" s="211" t="s">
        <v>80</v>
      </c>
      <c r="J144" s="211">
        <f>VLOOKUP(A144,'JULY-TB'!A:G,7,0)</f>
        <v>-135780268.74000001</v>
      </c>
    </row>
    <row r="145" spans="1:10">
      <c r="A145" s="211" t="s">
        <v>1074</v>
      </c>
      <c r="B145" s="211">
        <v>0</v>
      </c>
      <c r="C145" s="211">
        <v>0</v>
      </c>
      <c r="D145" s="211">
        <v>0</v>
      </c>
      <c r="E145" s="211">
        <v>0</v>
      </c>
      <c r="G145" s="211">
        <f t="shared" si="2"/>
        <v>0</v>
      </c>
      <c r="H145" s="211" t="s">
        <v>80</v>
      </c>
      <c r="J145" s="211">
        <f>VLOOKUP(A145,'JULY-TB'!A:G,7,0)</f>
        <v>0</v>
      </c>
    </row>
    <row r="146" spans="1:10">
      <c r="A146" s="211" t="s">
        <v>1089</v>
      </c>
      <c r="B146" s="211">
        <v>0</v>
      </c>
      <c r="C146" s="211">
        <v>0</v>
      </c>
      <c r="D146" s="211">
        <v>0</v>
      </c>
      <c r="E146" s="211">
        <v>0</v>
      </c>
      <c r="G146" s="211">
        <f t="shared" si="2"/>
        <v>0</v>
      </c>
      <c r="H146" s="211" t="s">
        <v>80</v>
      </c>
      <c r="J146" s="211">
        <f>VLOOKUP(A146,'JULY-TB'!A:G,7,0)</f>
        <v>0</v>
      </c>
    </row>
    <row r="147" spans="1:10">
      <c r="A147" s="211" t="s">
        <v>1381</v>
      </c>
      <c r="B147" s="211">
        <v>0</v>
      </c>
      <c r="C147" s="211">
        <v>0</v>
      </c>
      <c r="D147" s="211">
        <v>0</v>
      </c>
      <c r="E147" s="211">
        <v>0</v>
      </c>
      <c r="G147" s="211">
        <f t="shared" si="2"/>
        <v>0</v>
      </c>
      <c r="H147" s="211" t="s">
        <v>80</v>
      </c>
      <c r="J147" s="211">
        <f>VLOOKUP(A147,'JULY-TB'!A:G,7,0)</f>
        <v>0</v>
      </c>
    </row>
    <row r="148" spans="1:10">
      <c r="A148" s="211" t="s">
        <v>591</v>
      </c>
      <c r="B148" s="211">
        <v>3323083</v>
      </c>
      <c r="C148" s="211">
        <v>0</v>
      </c>
      <c r="D148" s="211">
        <v>0</v>
      </c>
      <c r="E148" s="211">
        <v>3323083</v>
      </c>
      <c r="G148" s="211">
        <f t="shared" si="2"/>
        <v>3323083</v>
      </c>
      <c r="H148" s="211" t="s">
        <v>80</v>
      </c>
      <c r="J148" s="211">
        <f>VLOOKUP(A148,'JULY-TB'!A:G,7,0)</f>
        <v>3323083</v>
      </c>
    </row>
    <row r="149" spans="1:10">
      <c r="A149" s="211" t="s">
        <v>1382</v>
      </c>
      <c r="B149" s="211">
        <v>0</v>
      </c>
      <c r="C149" s="211">
        <v>0</v>
      </c>
      <c r="D149" s="211">
        <v>0</v>
      </c>
      <c r="E149" s="211">
        <v>0</v>
      </c>
      <c r="G149" s="211">
        <f t="shared" si="2"/>
        <v>0</v>
      </c>
      <c r="H149" s="211" t="s">
        <v>80</v>
      </c>
      <c r="J149" s="211">
        <f>VLOOKUP(A149,'JULY-TB'!A:G,7,0)</f>
        <v>0</v>
      </c>
    </row>
    <row r="150" spans="1:10">
      <c r="A150" s="211" t="s">
        <v>1383</v>
      </c>
      <c r="B150" s="211">
        <v>0</v>
      </c>
      <c r="C150" s="211">
        <v>0</v>
      </c>
      <c r="D150" s="211">
        <v>0</v>
      </c>
      <c r="E150" s="211">
        <v>0</v>
      </c>
      <c r="G150" s="211">
        <f t="shared" si="2"/>
        <v>0</v>
      </c>
      <c r="H150" s="211" t="s">
        <v>80</v>
      </c>
      <c r="J150" s="211">
        <f>VLOOKUP(A150,'JULY-TB'!A:G,7,0)</f>
        <v>0</v>
      </c>
    </row>
    <row r="151" spans="1:10">
      <c r="A151" s="211" t="s">
        <v>1095</v>
      </c>
      <c r="B151" s="211">
        <v>0</v>
      </c>
      <c r="C151" s="211">
        <v>0</v>
      </c>
      <c r="D151" s="211">
        <v>0</v>
      </c>
      <c r="E151" s="211">
        <v>0</v>
      </c>
      <c r="G151" s="211">
        <f t="shared" si="2"/>
        <v>0</v>
      </c>
      <c r="H151" s="211" t="s">
        <v>80</v>
      </c>
      <c r="J151" s="211">
        <f>VLOOKUP(A151,'JULY-TB'!A:G,7,0)</f>
        <v>0</v>
      </c>
    </row>
    <row r="152" spans="1:10">
      <c r="A152" s="211" t="s">
        <v>1384</v>
      </c>
      <c r="B152" s="211">
        <v>0</v>
      </c>
      <c r="C152" s="211">
        <v>0</v>
      </c>
      <c r="D152" s="211">
        <v>0</v>
      </c>
      <c r="E152" s="211">
        <v>0</v>
      </c>
      <c r="G152" s="211">
        <f t="shared" si="2"/>
        <v>0</v>
      </c>
      <c r="H152" s="211" t="s">
        <v>80</v>
      </c>
      <c r="J152" s="211">
        <f>VLOOKUP(A152,'JULY-TB'!A:G,7,0)</f>
        <v>0</v>
      </c>
    </row>
    <row r="153" spans="1:10">
      <c r="A153" s="211" t="s">
        <v>116</v>
      </c>
      <c r="B153" s="211">
        <v>0.09</v>
      </c>
      <c r="C153" s="211">
        <v>183596.7</v>
      </c>
      <c r="D153" s="211">
        <v>183596.79</v>
      </c>
      <c r="E153" s="211">
        <v>0</v>
      </c>
      <c r="G153" s="211">
        <f t="shared" si="2"/>
        <v>0</v>
      </c>
      <c r="H153" s="211" t="s">
        <v>80</v>
      </c>
      <c r="J153" s="211">
        <f>VLOOKUP(A153,'JULY-TB'!A:G,7,0)</f>
        <v>0</v>
      </c>
    </row>
    <row r="154" spans="1:10">
      <c r="A154" s="211" t="s">
        <v>504</v>
      </c>
      <c r="B154" s="211">
        <v>0</v>
      </c>
      <c r="C154" s="211">
        <v>738916</v>
      </c>
      <c r="D154" s="211">
        <v>47200</v>
      </c>
      <c r="E154" s="211">
        <v>691716</v>
      </c>
      <c r="G154" s="211">
        <f t="shared" si="2"/>
        <v>691716</v>
      </c>
      <c r="H154" s="211" t="s">
        <v>80</v>
      </c>
      <c r="J154" s="211">
        <f>VLOOKUP(A154,'JULY-TB'!A:G,7,0)</f>
        <v>0</v>
      </c>
    </row>
    <row r="155" spans="1:10">
      <c r="A155" s="211" t="s">
        <v>117</v>
      </c>
      <c r="B155" s="211">
        <v>9045.1299999999992</v>
      </c>
      <c r="C155" s="211">
        <v>0</v>
      </c>
      <c r="D155" s="211">
        <v>9045.1299999999992</v>
      </c>
      <c r="E155" s="211">
        <v>0</v>
      </c>
      <c r="G155" s="211">
        <f t="shared" si="2"/>
        <v>0</v>
      </c>
      <c r="H155" s="211" t="s">
        <v>80</v>
      </c>
      <c r="J155" s="211">
        <f>VLOOKUP(A155,'JULY-TB'!A:G,7,0)</f>
        <v>0</v>
      </c>
    </row>
    <row r="156" spans="1:10">
      <c r="A156" s="211" t="s">
        <v>1077</v>
      </c>
      <c r="B156" s="211">
        <v>0</v>
      </c>
      <c r="C156" s="211">
        <v>2582010</v>
      </c>
      <c r="D156" s="211">
        <v>2584200</v>
      </c>
      <c r="E156" s="211">
        <v>-2190</v>
      </c>
      <c r="G156" s="211">
        <f t="shared" si="2"/>
        <v>-2190</v>
      </c>
      <c r="H156" s="211" t="s">
        <v>80</v>
      </c>
      <c r="J156" s="211">
        <f>VLOOKUP(A156,'JULY-TB'!A:G,7,0)</f>
        <v>1082010</v>
      </c>
    </row>
    <row r="157" spans="1:10">
      <c r="A157" s="211" t="s">
        <v>592</v>
      </c>
      <c r="B157" s="211">
        <v>2052.5</v>
      </c>
      <c r="C157" s="211">
        <v>0</v>
      </c>
      <c r="D157" s="211">
        <v>0</v>
      </c>
      <c r="E157" s="211">
        <v>2052.5</v>
      </c>
      <c r="G157" s="211">
        <f t="shared" si="2"/>
        <v>2052.5</v>
      </c>
      <c r="H157" s="211" t="s">
        <v>80</v>
      </c>
      <c r="J157" s="211">
        <f>VLOOKUP(A157,'JULY-TB'!A:G,7,0)</f>
        <v>2052.5</v>
      </c>
    </row>
    <row r="158" spans="1:10">
      <c r="A158" s="211" t="s">
        <v>1078</v>
      </c>
      <c r="B158" s="211">
        <v>0</v>
      </c>
      <c r="C158" s="211">
        <v>0</v>
      </c>
      <c r="D158" s="211">
        <v>0</v>
      </c>
      <c r="E158" s="211">
        <v>0</v>
      </c>
      <c r="G158" s="211">
        <f t="shared" si="2"/>
        <v>0</v>
      </c>
      <c r="H158" s="211" t="s">
        <v>80</v>
      </c>
      <c r="J158" s="211">
        <f>VLOOKUP(A158,'JULY-TB'!A:G,7,0)</f>
        <v>-3540000</v>
      </c>
    </row>
    <row r="159" spans="1:10">
      <c r="A159" s="211" t="s">
        <v>593</v>
      </c>
      <c r="B159" s="211">
        <v>1698.8</v>
      </c>
      <c r="C159" s="211">
        <v>0</v>
      </c>
      <c r="D159" s="211">
        <v>1698.8</v>
      </c>
      <c r="E159" s="211">
        <v>0</v>
      </c>
      <c r="G159" s="211">
        <f t="shared" si="2"/>
        <v>0</v>
      </c>
      <c r="H159" s="211" t="s">
        <v>80</v>
      </c>
      <c r="J159" s="211">
        <f>VLOOKUP(A159,'JULY-TB'!A:G,7,0)</f>
        <v>0</v>
      </c>
    </row>
    <row r="160" spans="1:10">
      <c r="A160" s="211" t="s">
        <v>1386</v>
      </c>
      <c r="B160" s="211">
        <v>0</v>
      </c>
      <c r="C160" s="211">
        <v>0</v>
      </c>
      <c r="D160" s="211">
        <v>0</v>
      </c>
      <c r="E160" s="211">
        <v>0</v>
      </c>
      <c r="G160" s="211">
        <f t="shared" si="2"/>
        <v>0</v>
      </c>
      <c r="H160" s="211" t="s">
        <v>80</v>
      </c>
      <c r="J160" s="211">
        <f>VLOOKUP(A160,'JULY-TB'!A:G,7,0)</f>
        <v>0</v>
      </c>
    </row>
    <row r="161" spans="1:10">
      <c r="A161" s="211" t="s">
        <v>1096</v>
      </c>
      <c r="B161" s="211">
        <v>0</v>
      </c>
      <c r="C161" s="211">
        <v>0</v>
      </c>
      <c r="D161" s="211">
        <v>0</v>
      </c>
      <c r="E161" s="211">
        <v>0</v>
      </c>
      <c r="G161" s="211">
        <f t="shared" si="2"/>
        <v>0</v>
      </c>
      <c r="H161" s="211" t="s">
        <v>80</v>
      </c>
      <c r="J161" s="211">
        <f>VLOOKUP(A161,'JULY-TB'!A:G,7,0)</f>
        <v>0</v>
      </c>
    </row>
    <row r="162" spans="1:10">
      <c r="A162" s="211" t="s">
        <v>1097</v>
      </c>
      <c r="B162" s="211">
        <v>0</v>
      </c>
      <c r="C162" s="211">
        <v>0</v>
      </c>
      <c r="D162" s="211">
        <v>0</v>
      </c>
      <c r="E162" s="211">
        <v>0</v>
      </c>
      <c r="G162" s="211">
        <f t="shared" si="2"/>
        <v>0</v>
      </c>
      <c r="H162" s="211" t="s">
        <v>80</v>
      </c>
      <c r="J162" s="211">
        <f>VLOOKUP(A162,'JULY-TB'!A:G,7,0)</f>
        <v>0</v>
      </c>
    </row>
    <row r="163" spans="1:10">
      <c r="A163" s="211" t="s">
        <v>594</v>
      </c>
      <c r="B163" s="211">
        <v>538.08000000000004</v>
      </c>
      <c r="C163" s="211">
        <v>0</v>
      </c>
      <c r="D163" s="211">
        <v>0</v>
      </c>
      <c r="E163" s="211">
        <v>538.08000000000004</v>
      </c>
      <c r="G163" s="211">
        <f t="shared" si="2"/>
        <v>538.08000000000004</v>
      </c>
      <c r="H163" s="211" t="s">
        <v>80</v>
      </c>
      <c r="J163" s="211">
        <f>VLOOKUP(A163,'JULY-TB'!A:G,7,0)</f>
        <v>538.08000000000004</v>
      </c>
    </row>
    <row r="164" spans="1:10">
      <c r="A164" s="211" t="s">
        <v>1521</v>
      </c>
      <c r="B164" s="211">
        <v>0</v>
      </c>
      <c r="C164" s="211">
        <v>0</v>
      </c>
      <c r="D164" s="211">
        <v>0</v>
      </c>
      <c r="E164" s="211">
        <v>0</v>
      </c>
      <c r="G164" s="211">
        <f t="shared" si="2"/>
        <v>0</v>
      </c>
      <c r="H164" s="211" t="s">
        <v>80</v>
      </c>
      <c r="J164" s="211">
        <f>VLOOKUP(A164,'JULY-TB'!A:G,7,0)</f>
        <v>0</v>
      </c>
    </row>
    <row r="165" spans="1:10">
      <c r="A165" s="211" t="s">
        <v>595</v>
      </c>
      <c r="B165" s="211">
        <v>54870</v>
      </c>
      <c r="C165" s="211">
        <v>0</v>
      </c>
      <c r="D165" s="211">
        <v>54870</v>
      </c>
      <c r="E165" s="211">
        <v>0</v>
      </c>
      <c r="G165" s="211">
        <f t="shared" si="2"/>
        <v>0</v>
      </c>
      <c r="H165" s="211" t="s">
        <v>80</v>
      </c>
      <c r="J165" s="211">
        <f>VLOOKUP(A165,'JULY-TB'!A:G,7,0)</f>
        <v>0</v>
      </c>
    </row>
    <row r="166" spans="1:10">
      <c r="A166" s="211" t="s">
        <v>596</v>
      </c>
      <c r="B166" s="211">
        <v>0</v>
      </c>
      <c r="C166" s="211">
        <v>41713</v>
      </c>
      <c r="D166" s="211">
        <v>41713</v>
      </c>
      <c r="E166" s="211">
        <v>0</v>
      </c>
      <c r="G166" s="211">
        <f t="shared" si="2"/>
        <v>0</v>
      </c>
      <c r="H166" s="211" t="s">
        <v>80</v>
      </c>
      <c r="J166" s="211">
        <f>VLOOKUP(A166,'JULY-TB'!A:G,7,0)</f>
        <v>0</v>
      </c>
    </row>
    <row r="167" spans="1:10">
      <c r="A167" s="211" t="s">
        <v>1617</v>
      </c>
      <c r="B167" s="211">
        <v>0</v>
      </c>
      <c r="C167" s="211">
        <v>285602.59999999998</v>
      </c>
      <c r="D167" s="211">
        <v>285603</v>
      </c>
      <c r="E167" s="211">
        <v>-0.4</v>
      </c>
      <c r="G167" s="211">
        <f t="shared" si="2"/>
        <v>-0.4</v>
      </c>
      <c r="H167" s="211" t="s">
        <v>80</v>
      </c>
      <c r="J167" s="211" t="e">
        <f>VLOOKUP(A167,'JULY-TB'!A:G,7,0)</f>
        <v>#N/A</v>
      </c>
    </row>
    <row r="168" spans="1:10">
      <c r="A168" s="211" t="s">
        <v>1082</v>
      </c>
      <c r="B168" s="211">
        <v>0</v>
      </c>
      <c r="C168" s="211">
        <v>168005.3</v>
      </c>
      <c r="D168" s="211">
        <v>168005.3</v>
      </c>
      <c r="E168" s="211">
        <v>0</v>
      </c>
      <c r="G168" s="211">
        <f t="shared" si="2"/>
        <v>0</v>
      </c>
      <c r="H168" s="211" t="s">
        <v>80</v>
      </c>
      <c r="J168" s="211">
        <f>VLOOKUP(A168,'JULY-TB'!A:G,7,0)</f>
        <v>168005.3</v>
      </c>
    </row>
    <row r="169" spans="1:10">
      <c r="A169" s="211" t="s">
        <v>1430</v>
      </c>
      <c r="B169" s="211">
        <v>0</v>
      </c>
      <c r="C169" s="211">
        <v>3823200</v>
      </c>
      <c r="D169" s="211">
        <v>3823200</v>
      </c>
      <c r="E169" s="211">
        <v>0</v>
      </c>
      <c r="G169" s="211">
        <f t="shared" si="2"/>
        <v>0</v>
      </c>
      <c r="H169" s="211" t="s">
        <v>80</v>
      </c>
      <c r="J169" s="211">
        <f>VLOOKUP(A169,'JULY-TB'!A:G,7,0)</f>
        <v>3823200</v>
      </c>
    </row>
    <row r="170" spans="1:10">
      <c r="A170" s="211" t="s">
        <v>1083</v>
      </c>
      <c r="B170" s="211">
        <v>0</v>
      </c>
      <c r="C170" s="211">
        <v>0</v>
      </c>
      <c r="D170" s="211">
        <v>0</v>
      </c>
      <c r="E170" s="211">
        <v>0</v>
      </c>
      <c r="G170" s="211">
        <f t="shared" si="2"/>
        <v>0</v>
      </c>
      <c r="H170" s="211" t="s">
        <v>80</v>
      </c>
      <c r="J170" s="211">
        <f>VLOOKUP(A170,'JULY-TB'!A:G,7,0)</f>
        <v>0</v>
      </c>
    </row>
    <row r="171" spans="1:10">
      <c r="A171" s="211" t="s">
        <v>597</v>
      </c>
      <c r="B171" s="211">
        <v>419071.58</v>
      </c>
      <c r="C171" s="211">
        <v>0</v>
      </c>
      <c r="D171" s="211">
        <v>419071.58</v>
      </c>
      <c r="E171" s="211">
        <v>0</v>
      </c>
      <c r="G171" s="211">
        <f t="shared" si="2"/>
        <v>0</v>
      </c>
      <c r="H171" s="211" t="s">
        <v>80</v>
      </c>
      <c r="J171" s="211">
        <f>VLOOKUP(A171,'JULY-TB'!A:G,7,0)</f>
        <v>0</v>
      </c>
    </row>
    <row r="172" spans="1:10">
      <c r="A172" s="211" t="s">
        <v>1098</v>
      </c>
      <c r="B172" s="211">
        <v>0</v>
      </c>
      <c r="C172" s="211">
        <v>0</v>
      </c>
      <c r="D172" s="211">
        <v>0</v>
      </c>
      <c r="E172" s="211">
        <v>0</v>
      </c>
      <c r="G172" s="211">
        <f t="shared" si="2"/>
        <v>0</v>
      </c>
      <c r="H172" s="211" t="s">
        <v>80</v>
      </c>
      <c r="J172" s="211">
        <f>VLOOKUP(A172,'JULY-TB'!A:G,7,0)</f>
        <v>0</v>
      </c>
    </row>
    <row r="173" spans="1:10">
      <c r="A173" s="211" t="s">
        <v>598</v>
      </c>
      <c r="B173" s="211">
        <v>-0.2</v>
      </c>
      <c r="C173" s="211">
        <v>0.2</v>
      </c>
      <c r="D173" s="211">
        <v>0</v>
      </c>
      <c r="E173" s="211">
        <v>0</v>
      </c>
      <c r="G173" s="211">
        <f t="shared" si="2"/>
        <v>0</v>
      </c>
      <c r="H173" s="211" t="s">
        <v>80</v>
      </c>
      <c r="J173" s="211">
        <f>VLOOKUP(A173,'JULY-TB'!A:G,7,0)</f>
        <v>0</v>
      </c>
    </row>
    <row r="174" spans="1:10">
      <c r="A174" s="211" t="s">
        <v>123</v>
      </c>
      <c r="B174" s="211">
        <v>901287.81</v>
      </c>
      <c r="C174" s="211">
        <v>384450</v>
      </c>
      <c r="D174" s="211">
        <v>0</v>
      </c>
      <c r="E174" s="211">
        <v>1285737.81</v>
      </c>
      <c r="G174" s="211">
        <f t="shared" si="2"/>
        <v>1285737.81</v>
      </c>
      <c r="H174" s="211" t="s">
        <v>80</v>
      </c>
      <c r="J174" s="211">
        <f>VLOOKUP(A174,'JULY-TB'!A:G,7,0)</f>
        <v>1285737.81</v>
      </c>
    </row>
    <row r="175" spans="1:10">
      <c r="A175" s="211" t="s">
        <v>1387</v>
      </c>
      <c r="B175" s="211">
        <v>0</v>
      </c>
      <c r="C175" s="211">
        <v>0</v>
      </c>
      <c r="D175" s="211">
        <v>0</v>
      </c>
      <c r="E175" s="211">
        <v>0</v>
      </c>
      <c r="G175" s="211">
        <f t="shared" si="2"/>
        <v>0</v>
      </c>
      <c r="H175" s="211" t="s">
        <v>80</v>
      </c>
      <c r="J175" s="211">
        <f>VLOOKUP(A175,'JULY-TB'!A:G,7,0)</f>
        <v>0</v>
      </c>
    </row>
    <row r="176" spans="1:10">
      <c r="A176" s="211" t="s">
        <v>1388</v>
      </c>
      <c r="B176" s="211">
        <v>0</v>
      </c>
      <c r="C176" s="211">
        <v>0</v>
      </c>
      <c r="D176" s="211">
        <v>0</v>
      </c>
      <c r="E176" s="211">
        <v>0</v>
      </c>
      <c r="G176" s="211">
        <f t="shared" si="2"/>
        <v>0</v>
      </c>
      <c r="H176" s="211" t="s">
        <v>80</v>
      </c>
      <c r="J176" s="211">
        <f>VLOOKUP(A176,'JULY-TB'!A:G,7,0)</f>
        <v>0</v>
      </c>
    </row>
    <row r="177" spans="1:10">
      <c r="A177" s="211" t="s">
        <v>1389</v>
      </c>
      <c r="B177" s="211">
        <v>0</v>
      </c>
      <c r="C177" s="211">
        <v>0</v>
      </c>
      <c r="D177" s="211">
        <v>0</v>
      </c>
      <c r="E177" s="211">
        <v>0</v>
      </c>
      <c r="G177" s="211">
        <f t="shared" si="2"/>
        <v>0</v>
      </c>
      <c r="H177" s="211" t="s">
        <v>80</v>
      </c>
      <c r="J177" s="211">
        <f>VLOOKUP(A177,'JULY-TB'!A:G,7,0)</f>
        <v>0</v>
      </c>
    </row>
    <row r="178" spans="1:10">
      <c r="A178" s="211" t="s">
        <v>599</v>
      </c>
      <c r="B178" s="211">
        <v>59633.75</v>
      </c>
      <c r="C178" s="211">
        <v>0</v>
      </c>
      <c r="D178" s="211">
        <v>0</v>
      </c>
      <c r="E178" s="211">
        <v>59633.75</v>
      </c>
      <c r="G178" s="211">
        <f t="shared" si="2"/>
        <v>59633.75</v>
      </c>
      <c r="H178" s="211" t="s">
        <v>80</v>
      </c>
      <c r="J178" s="211">
        <f>VLOOKUP(A178,'JULY-TB'!A:G,7,0)</f>
        <v>59633.75</v>
      </c>
    </row>
    <row r="179" spans="1:10">
      <c r="A179" s="211" t="s">
        <v>600</v>
      </c>
      <c r="B179" s="211">
        <v>675</v>
      </c>
      <c r="C179" s="211">
        <v>0</v>
      </c>
      <c r="D179" s="211">
        <v>0</v>
      </c>
      <c r="E179" s="211">
        <v>675</v>
      </c>
      <c r="G179" s="211">
        <f t="shared" si="2"/>
        <v>675</v>
      </c>
      <c r="H179" s="211" t="s">
        <v>80</v>
      </c>
      <c r="J179" s="211">
        <f>VLOOKUP(A179,'JULY-TB'!A:G,7,0)</f>
        <v>675</v>
      </c>
    </row>
    <row r="180" spans="1:10">
      <c r="A180" s="211" t="s">
        <v>601</v>
      </c>
      <c r="B180" s="211">
        <v>4692.88</v>
      </c>
      <c r="C180" s="211">
        <v>0</v>
      </c>
      <c r="D180" s="211">
        <v>0</v>
      </c>
      <c r="E180" s="211">
        <v>4692.88</v>
      </c>
      <c r="G180" s="211">
        <f t="shared" si="2"/>
        <v>4692.88</v>
      </c>
      <c r="H180" s="211" t="s">
        <v>80</v>
      </c>
      <c r="J180" s="211">
        <f>VLOOKUP(A180,'JULY-TB'!A:G,7,0)</f>
        <v>4692.88</v>
      </c>
    </row>
    <row r="181" spans="1:10">
      <c r="A181" s="211" t="s">
        <v>415</v>
      </c>
      <c r="B181" s="211">
        <v>1789930</v>
      </c>
      <c r="C181" s="211">
        <v>0</v>
      </c>
      <c r="D181" s="211">
        <v>1789930</v>
      </c>
      <c r="E181" s="211">
        <v>0</v>
      </c>
      <c r="G181" s="211">
        <f t="shared" si="2"/>
        <v>0</v>
      </c>
      <c r="H181" s="211" t="s">
        <v>80</v>
      </c>
      <c r="J181" s="211">
        <f>VLOOKUP(A181,'JULY-TB'!A:G,7,0)</f>
        <v>0</v>
      </c>
    </row>
    <row r="182" spans="1:10">
      <c r="A182" s="211" t="s">
        <v>1132</v>
      </c>
      <c r="B182" s="211">
        <v>0</v>
      </c>
      <c r="C182" s="211">
        <v>0</v>
      </c>
      <c r="D182" s="211">
        <v>0</v>
      </c>
      <c r="E182" s="211">
        <v>0</v>
      </c>
      <c r="G182" s="211">
        <f t="shared" si="2"/>
        <v>0</v>
      </c>
      <c r="H182" s="211" t="s">
        <v>80</v>
      </c>
      <c r="J182" s="211">
        <f>VLOOKUP(A182,'JULY-TB'!A:G,7,0)</f>
        <v>0</v>
      </c>
    </row>
    <row r="183" spans="1:10">
      <c r="A183" s="211" t="s">
        <v>126</v>
      </c>
      <c r="B183" s="211">
        <v>-267736696.16</v>
      </c>
      <c r="C183" s="211">
        <v>469870450.91000003</v>
      </c>
      <c r="D183" s="211">
        <v>609654461.22000003</v>
      </c>
      <c r="E183" s="211">
        <v>-407520706.47000003</v>
      </c>
      <c r="G183" s="211">
        <f t="shared" si="2"/>
        <v>-407520706.47000003</v>
      </c>
      <c r="H183" s="211" t="s">
        <v>80</v>
      </c>
      <c r="J183" s="211">
        <f>VLOOKUP(A183,'JULY-TB'!A:G,7,0)</f>
        <v>-286646621.14999998</v>
      </c>
    </row>
    <row r="184" spans="1:10">
      <c r="A184" s="211" t="s">
        <v>602</v>
      </c>
      <c r="B184" s="211">
        <v>1168786097.95</v>
      </c>
      <c r="C184" s="211">
        <v>145348424.84999999</v>
      </c>
      <c r="D184" s="211">
        <v>86331783.439999998</v>
      </c>
      <c r="E184" s="211">
        <v>1227802739.3599999</v>
      </c>
      <c r="G184" s="211">
        <f t="shared" si="2"/>
        <v>1227802739.3599999</v>
      </c>
      <c r="H184" s="211" t="s">
        <v>80</v>
      </c>
      <c r="J184" s="211">
        <f>VLOOKUP(A184,'JULY-TB'!A:G,7,0)</f>
        <v>1297894166.8699999</v>
      </c>
    </row>
    <row r="185" spans="1:10">
      <c r="A185" s="211" t="s">
        <v>127</v>
      </c>
      <c r="B185" s="211">
        <v>438946147.27999997</v>
      </c>
      <c r="C185" s="211">
        <v>0</v>
      </c>
      <c r="D185" s="211">
        <v>0</v>
      </c>
      <c r="E185" s="211">
        <v>438946147.27999997</v>
      </c>
      <c r="G185" s="211">
        <f t="shared" si="2"/>
        <v>438946147.27999997</v>
      </c>
      <c r="H185" s="211" t="s">
        <v>80</v>
      </c>
      <c r="J185" s="211">
        <f>VLOOKUP(A185,'JULY-TB'!A:G,7,0)</f>
        <v>438946147.27999997</v>
      </c>
    </row>
    <row r="186" spans="1:10">
      <c r="A186" s="211" t="s">
        <v>128</v>
      </c>
      <c r="B186" s="211">
        <v>14316309.33</v>
      </c>
      <c r="C186" s="211">
        <v>87036830.180000007</v>
      </c>
      <c r="D186" s="211">
        <v>33253032.190000001</v>
      </c>
      <c r="E186" s="211">
        <v>68100107.319999993</v>
      </c>
      <c r="G186" s="211">
        <f t="shared" si="2"/>
        <v>68100107.319999993</v>
      </c>
      <c r="H186" s="211" t="s">
        <v>80</v>
      </c>
      <c r="J186" s="211">
        <f>VLOOKUP(A186,'JULY-TB'!A:G,7,0)</f>
        <v>72622182.129999995</v>
      </c>
    </row>
    <row r="187" spans="1:10">
      <c r="A187" s="211" t="s">
        <v>1090</v>
      </c>
      <c r="B187" s="211">
        <v>0</v>
      </c>
      <c r="C187" s="211">
        <v>0</v>
      </c>
      <c r="D187" s="211">
        <v>0</v>
      </c>
      <c r="E187" s="211">
        <v>0</v>
      </c>
      <c r="G187" s="211">
        <f t="shared" si="2"/>
        <v>0</v>
      </c>
      <c r="H187" s="211" t="s">
        <v>80</v>
      </c>
      <c r="J187" s="211">
        <f>VLOOKUP(A187,'JULY-TB'!A:G,7,0)</f>
        <v>0</v>
      </c>
    </row>
    <row r="188" spans="1:10">
      <c r="A188" s="211" t="s">
        <v>1091</v>
      </c>
      <c r="B188" s="211">
        <v>0</v>
      </c>
      <c r="C188" s="211">
        <v>0</v>
      </c>
      <c r="D188" s="211">
        <v>0</v>
      </c>
      <c r="E188" s="211">
        <v>0</v>
      </c>
      <c r="G188" s="211">
        <f t="shared" si="2"/>
        <v>0</v>
      </c>
      <c r="H188" s="211" t="s">
        <v>80</v>
      </c>
      <c r="J188" s="211">
        <f>VLOOKUP(A188,'JULY-TB'!A:G,7,0)</f>
        <v>0</v>
      </c>
    </row>
    <row r="189" spans="1:10">
      <c r="A189" s="211" t="s">
        <v>1390</v>
      </c>
      <c r="B189" s="211">
        <v>0</v>
      </c>
      <c r="C189" s="211">
        <v>0</v>
      </c>
      <c r="D189" s="211">
        <v>0</v>
      </c>
      <c r="E189" s="211">
        <v>0</v>
      </c>
      <c r="G189" s="211">
        <f t="shared" si="2"/>
        <v>0</v>
      </c>
      <c r="H189" s="211" t="s">
        <v>80</v>
      </c>
      <c r="J189" s="211">
        <f>VLOOKUP(A189,'JULY-TB'!A:G,7,0)</f>
        <v>0</v>
      </c>
    </row>
    <row r="190" spans="1:10">
      <c r="A190" s="211" t="s">
        <v>1431</v>
      </c>
      <c r="B190" s="211">
        <v>0</v>
      </c>
      <c r="C190" s="211">
        <v>138296</v>
      </c>
      <c r="D190" s="211">
        <v>138296</v>
      </c>
      <c r="E190" s="211">
        <v>0</v>
      </c>
      <c r="G190" s="211">
        <f t="shared" si="2"/>
        <v>0</v>
      </c>
      <c r="H190" s="211" t="s">
        <v>80</v>
      </c>
      <c r="J190" s="211">
        <f>VLOOKUP(A190,'JULY-TB'!A:G,7,0)</f>
        <v>0</v>
      </c>
    </row>
    <row r="191" spans="1:10">
      <c r="A191" s="211" t="s">
        <v>1432</v>
      </c>
      <c r="B191" s="211">
        <v>0</v>
      </c>
      <c r="C191" s="211">
        <v>204913</v>
      </c>
      <c r="D191" s="211">
        <v>204913</v>
      </c>
      <c r="E191" s="211">
        <v>0</v>
      </c>
      <c r="G191" s="211">
        <f t="shared" si="2"/>
        <v>0</v>
      </c>
      <c r="H191" s="211" t="s">
        <v>80</v>
      </c>
      <c r="J191" s="211">
        <f>VLOOKUP(A191,'JULY-TB'!A:G,7,0)</f>
        <v>-0.1</v>
      </c>
    </row>
    <row r="192" spans="1:10">
      <c r="A192" s="211" t="s">
        <v>416</v>
      </c>
      <c r="B192" s="211">
        <v>-10432411.42</v>
      </c>
      <c r="C192" s="211">
        <v>9636358.9199999999</v>
      </c>
      <c r="D192" s="211">
        <v>0</v>
      </c>
      <c r="E192" s="211">
        <v>-796052.5</v>
      </c>
      <c r="G192" s="211">
        <f t="shared" si="2"/>
        <v>-796052.5</v>
      </c>
      <c r="H192" s="211" t="s">
        <v>80</v>
      </c>
      <c r="J192" s="211">
        <f>VLOOKUP(A192,'JULY-TB'!A:G,7,0)</f>
        <v>-796052.5</v>
      </c>
    </row>
    <row r="193" spans="1:10">
      <c r="A193" s="211" t="s">
        <v>603</v>
      </c>
      <c r="B193" s="211">
        <v>3042335.14</v>
      </c>
      <c r="C193" s="211">
        <v>11824895.630000001</v>
      </c>
      <c r="D193" s="211">
        <v>12917386.210000001</v>
      </c>
      <c r="E193" s="211">
        <v>1949844.56</v>
      </c>
      <c r="G193" s="211">
        <f t="shared" si="2"/>
        <v>1949844.56</v>
      </c>
      <c r="H193" s="211" t="s">
        <v>80</v>
      </c>
      <c r="J193" s="211">
        <f>VLOOKUP(A193,'JULY-TB'!A:G,7,0)</f>
        <v>-779703.31</v>
      </c>
    </row>
    <row r="194" spans="1:10">
      <c r="A194" s="211" t="s">
        <v>1391</v>
      </c>
      <c r="B194" s="211">
        <v>0</v>
      </c>
      <c r="C194" s="211">
        <v>0</v>
      </c>
      <c r="D194" s="211">
        <v>0</v>
      </c>
      <c r="E194" s="211">
        <v>0</v>
      </c>
      <c r="G194" s="211">
        <f t="shared" si="2"/>
        <v>0</v>
      </c>
      <c r="H194" s="211" t="s">
        <v>80</v>
      </c>
      <c r="J194" s="211">
        <f>VLOOKUP(A194,'JULY-TB'!A:G,7,0)</f>
        <v>0</v>
      </c>
    </row>
    <row r="195" spans="1:10">
      <c r="A195" s="211" t="s">
        <v>1392</v>
      </c>
      <c r="B195" s="211">
        <v>0</v>
      </c>
      <c r="C195" s="211">
        <v>0</v>
      </c>
      <c r="D195" s="211">
        <v>0</v>
      </c>
      <c r="E195" s="211">
        <v>0</v>
      </c>
      <c r="G195" s="211">
        <f t="shared" si="2"/>
        <v>0</v>
      </c>
      <c r="H195" s="211" t="s">
        <v>80</v>
      </c>
      <c r="J195" s="211">
        <f>VLOOKUP(A195,'JULY-TB'!A:G,7,0)</f>
        <v>0</v>
      </c>
    </row>
    <row r="196" spans="1:10">
      <c r="A196" s="211" t="s">
        <v>604</v>
      </c>
      <c r="B196" s="211">
        <v>4085294.79</v>
      </c>
      <c r="C196" s="211">
        <v>12770810.1</v>
      </c>
      <c r="D196" s="211">
        <v>13302199</v>
      </c>
      <c r="E196" s="211">
        <v>3553905.89</v>
      </c>
      <c r="G196" s="211">
        <f t="shared" ref="G196:G259" si="3">E196+F196</f>
        <v>3553905.89</v>
      </c>
      <c r="H196" s="211" t="s">
        <v>80</v>
      </c>
      <c r="J196" s="211">
        <f>VLOOKUP(A196,'JULY-TB'!A:G,7,0)</f>
        <v>3885065.89</v>
      </c>
    </row>
    <row r="197" spans="1:10">
      <c r="A197" s="211" t="s">
        <v>1093</v>
      </c>
      <c r="B197" s="211">
        <v>0</v>
      </c>
      <c r="C197" s="211">
        <v>0</v>
      </c>
      <c r="D197" s="211">
        <v>0</v>
      </c>
      <c r="E197" s="211">
        <v>0</v>
      </c>
      <c r="G197" s="211">
        <f t="shared" si="3"/>
        <v>0</v>
      </c>
      <c r="H197" s="211" t="s">
        <v>80</v>
      </c>
      <c r="J197" s="211">
        <f>VLOOKUP(A197,'JULY-TB'!A:G,7,0)</f>
        <v>0</v>
      </c>
    </row>
    <row r="198" spans="1:10">
      <c r="A198" s="211" t="s">
        <v>1559</v>
      </c>
      <c r="B198" s="211">
        <v>0</v>
      </c>
      <c r="C198" s="211">
        <v>3314016.24</v>
      </c>
      <c r="D198" s="211">
        <v>3103100</v>
      </c>
      <c r="E198" s="211">
        <v>210916.24</v>
      </c>
      <c r="G198" s="211">
        <f t="shared" si="3"/>
        <v>210916.24</v>
      </c>
      <c r="H198" s="211" t="s">
        <v>80</v>
      </c>
      <c r="J198" s="211">
        <f>VLOOKUP(A198,'JULY-TB'!A:G,7,0)</f>
        <v>-500000</v>
      </c>
    </row>
    <row r="199" spans="1:10">
      <c r="A199" s="211" t="s">
        <v>1094</v>
      </c>
      <c r="B199" s="211">
        <v>0</v>
      </c>
      <c r="C199" s="211">
        <v>0</v>
      </c>
      <c r="D199" s="211">
        <v>0</v>
      </c>
      <c r="E199" s="211">
        <v>0</v>
      </c>
      <c r="G199" s="211">
        <f t="shared" si="3"/>
        <v>0</v>
      </c>
      <c r="H199" s="211" t="s">
        <v>80</v>
      </c>
      <c r="J199" s="211">
        <f>VLOOKUP(A199,'JULY-TB'!A:G,7,0)</f>
        <v>0</v>
      </c>
    </row>
    <row r="200" spans="1:10">
      <c r="A200" s="211" t="s">
        <v>1618</v>
      </c>
      <c r="B200" s="211">
        <v>0</v>
      </c>
      <c r="C200" s="211">
        <v>53100</v>
      </c>
      <c r="D200" s="211">
        <v>0</v>
      </c>
      <c r="E200" s="211">
        <v>53100</v>
      </c>
      <c r="G200" s="211">
        <f t="shared" si="3"/>
        <v>53100</v>
      </c>
      <c r="H200" s="211" t="s">
        <v>80</v>
      </c>
      <c r="J200" s="211" t="e">
        <f>VLOOKUP(A200,'JULY-TB'!A:G,7,0)</f>
        <v>#N/A</v>
      </c>
    </row>
    <row r="201" spans="1:10">
      <c r="A201" s="211" t="s">
        <v>136</v>
      </c>
      <c r="B201" s="211">
        <v>0.93</v>
      </c>
      <c r="C201" s="211">
        <v>0</v>
      </c>
      <c r="D201" s="211">
        <v>0.93</v>
      </c>
      <c r="E201" s="211">
        <v>0</v>
      </c>
      <c r="G201" s="211">
        <f t="shared" si="3"/>
        <v>0</v>
      </c>
      <c r="H201" s="211" t="s">
        <v>80</v>
      </c>
      <c r="J201" s="211">
        <f>VLOOKUP(A201,'JULY-TB'!A:G,7,0)</f>
        <v>0</v>
      </c>
    </row>
    <row r="202" spans="1:10">
      <c r="A202" s="211" t="s">
        <v>1121</v>
      </c>
      <c r="B202" s="211">
        <v>0</v>
      </c>
      <c r="C202" s="211">
        <v>1126292.3</v>
      </c>
      <c r="D202" s="211">
        <v>1126292</v>
      </c>
      <c r="E202" s="211">
        <v>0.3</v>
      </c>
      <c r="G202" s="211">
        <f t="shared" si="3"/>
        <v>0.3</v>
      </c>
      <c r="H202" s="211" t="s">
        <v>80</v>
      </c>
      <c r="J202" s="211">
        <f>VLOOKUP(A202,'JULY-TB'!A:G,7,0)</f>
        <v>0.3</v>
      </c>
    </row>
    <row r="203" spans="1:10">
      <c r="A203" s="211" t="s">
        <v>1560</v>
      </c>
      <c r="B203" s="211">
        <v>0</v>
      </c>
      <c r="C203" s="211">
        <v>49780.9</v>
      </c>
      <c r="D203" s="211">
        <v>49780</v>
      </c>
      <c r="E203" s="211">
        <v>0.9</v>
      </c>
      <c r="G203" s="211">
        <f t="shared" si="3"/>
        <v>0.9</v>
      </c>
      <c r="H203" s="211" t="s">
        <v>80</v>
      </c>
      <c r="J203" s="211">
        <f>VLOOKUP(A203,'JULY-TB'!A:G,7,0)</f>
        <v>0.9</v>
      </c>
    </row>
    <row r="204" spans="1:10">
      <c r="A204" s="211" t="s">
        <v>1393</v>
      </c>
      <c r="B204" s="211">
        <v>0</v>
      </c>
      <c r="C204" s="211">
        <v>0</v>
      </c>
      <c r="D204" s="211">
        <v>0</v>
      </c>
      <c r="E204" s="211">
        <v>0</v>
      </c>
      <c r="G204" s="211">
        <f t="shared" si="3"/>
        <v>0</v>
      </c>
      <c r="H204" s="211" t="s">
        <v>80</v>
      </c>
      <c r="J204" s="211">
        <f>VLOOKUP(A204,'JULY-TB'!A:G,7,0)</f>
        <v>0</v>
      </c>
    </row>
    <row r="205" spans="1:10">
      <c r="A205" s="211" t="s">
        <v>1122</v>
      </c>
      <c r="B205" s="211">
        <v>0</v>
      </c>
      <c r="C205" s="211">
        <v>0</v>
      </c>
      <c r="D205" s="211">
        <v>0</v>
      </c>
      <c r="E205" s="211">
        <v>0</v>
      </c>
      <c r="G205" s="211">
        <f t="shared" si="3"/>
        <v>0</v>
      </c>
      <c r="H205" s="211" t="s">
        <v>80</v>
      </c>
      <c r="J205" s="211">
        <f>VLOOKUP(A205,'JULY-TB'!A:G,7,0)</f>
        <v>0</v>
      </c>
    </row>
    <row r="206" spans="1:10">
      <c r="A206" s="211" t="s">
        <v>1123</v>
      </c>
      <c r="B206" s="211">
        <v>0</v>
      </c>
      <c r="C206" s="211">
        <v>0</v>
      </c>
      <c r="D206" s="211">
        <v>0</v>
      </c>
      <c r="E206" s="211">
        <v>0</v>
      </c>
      <c r="G206" s="211">
        <f t="shared" si="3"/>
        <v>0</v>
      </c>
      <c r="H206" s="211" t="s">
        <v>80</v>
      </c>
      <c r="J206" s="211">
        <f>VLOOKUP(A206,'JULY-TB'!A:G,7,0)</f>
        <v>0</v>
      </c>
    </row>
    <row r="207" spans="1:10">
      <c r="A207" s="211" t="s">
        <v>1124</v>
      </c>
      <c r="B207" s="211">
        <v>0</v>
      </c>
      <c r="C207" s="211">
        <v>0</v>
      </c>
      <c r="D207" s="211">
        <v>0</v>
      </c>
      <c r="E207" s="211">
        <v>0</v>
      </c>
      <c r="G207" s="211">
        <f t="shared" si="3"/>
        <v>0</v>
      </c>
      <c r="H207" s="211" t="s">
        <v>80</v>
      </c>
      <c r="J207" s="211">
        <f>VLOOKUP(A207,'JULY-TB'!A:G,7,0)</f>
        <v>0</v>
      </c>
    </row>
    <row r="208" spans="1:10">
      <c r="A208" s="211" t="s">
        <v>1125</v>
      </c>
      <c r="B208" s="211">
        <v>0</v>
      </c>
      <c r="C208" s="211">
        <v>0</v>
      </c>
      <c r="D208" s="211">
        <v>0</v>
      </c>
      <c r="E208" s="211">
        <v>0</v>
      </c>
      <c r="G208" s="211">
        <f t="shared" si="3"/>
        <v>0</v>
      </c>
      <c r="H208" s="211" t="s">
        <v>80</v>
      </c>
      <c r="J208" s="211">
        <f>VLOOKUP(A208,'JULY-TB'!A:G,7,0)</f>
        <v>0</v>
      </c>
    </row>
    <row r="209" spans="1:10">
      <c r="A209" s="211" t="s">
        <v>1394</v>
      </c>
      <c r="B209" s="211">
        <v>0</v>
      </c>
      <c r="C209" s="211">
        <v>0</v>
      </c>
      <c r="D209" s="211">
        <v>0</v>
      </c>
      <c r="E209" s="211">
        <v>0</v>
      </c>
      <c r="G209" s="211">
        <f t="shared" si="3"/>
        <v>0</v>
      </c>
      <c r="H209" s="211" t="s">
        <v>80</v>
      </c>
      <c r="J209" s="211">
        <f>VLOOKUP(A209,'JULY-TB'!A:G,7,0)</f>
        <v>0</v>
      </c>
    </row>
    <row r="210" spans="1:10">
      <c r="A210" s="211" t="s">
        <v>605</v>
      </c>
      <c r="B210" s="211">
        <v>0</v>
      </c>
      <c r="C210" s="211">
        <v>795320</v>
      </c>
      <c r="D210" s="211">
        <v>795320</v>
      </c>
      <c r="E210" s="211">
        <v>0</v>
      </c>
      <c r="G210" s="211">
        <f t="shared" si="3"/>
        <v>0</v>
      </c>
      <c r="H210" s="211" t="s">
        <v>80</v>
      </c>
      <c r="J210" s="211">
        <f>VLOOKUP(A210,'JULY-TB'!A:G,7,0)</f>
        <v>0</v>
      </c>
    </row>
    <row r="211" spans="1:10">
      <c r="A211" s="211" t="s">
        <v>1126</v>
      </c>
      <c r="B211" s="211">
        <v>0</v>
      </c>
      <c r="C211" s="211">
        <v>0</v>
      </c>
      <c r="D211" s="211">
        <v>0</v>
      </c>
      <c r="E211" s="211">
        <v>0</v>
      </c>
      <c r="G211" s="211">
        <f t="shared" si="3"/>
        <v>0</v>
      </c>
      <c r="H211" s="211" t="s">
        <v>80</v>
      </c>
      <c r="J211" s="211">
        <f>VLOOKUP(A211,'JULY-TB'!A:G,7,0)</f>
        <v>0</v>
      </c>
    </row>
    <row r="212" spans="1:10">
      <c r="A212" s="211" t="s">
        <v>1395</v>
      </c>
      <c r="B212" s="211">
        <v>0</v>
      </c>
      <c r="C212" s="211">
        <v>0</v>
      </c>
      <c r="D212" s="211">
        <v>0</v>
      </c>
      <c r="E212" s="211">
        <v>0</v>
      </c>
      <c r="G212" s="211">
        <f t="shared" si="3"/>
        <v>0</v>
      </c>
      <c r="H212" s="211" t="s">
        <v>80</v>
      </c>
      <c r="J212" s="211">
        <f>VLOOKUP(A212,'JULY-TB'!A:G,7,0)</f>
        <v>0</v>
      </c>
    </row>
    <row r="213" spans="1:10">
      <c r="A213" s="211" t="s">
        <v>1397</v>
      </c>
      <c r="B213" s="211">
        <v>0</v>
      </c>
      <c r="C213" s="211">
        <v>0</v>
      </c>
      <c r="D213" s="211">
        <v>0</v>
      </c>
      <c r="E213" s="211">
        <v>0</v>
      </c>
      <c r="G213" s="211">
        <f t="shared" si="3"/>
        <v>0</v>
      </c>
      <c r="H213" s="211" t="s">
        <v>80</v>
      </c>
      <c r="J213" s="211">
        <f>VLOOKUP(A213,'JULY-TB'!A:G,7,0)</f>
        <v>0</v>
      </c>
    </row>
    <row r="214" spans="1:10">
      <c r="A214" s="211" t="s">
        <v>1398</v>
      </c>
      <c r="B214" s="211">
        <v>0</v>
      </c>
      <c r="C214" s="211">
        <v>0</v>
      </c>
      <c r="D214" s="211">
        <v>0</v>
      </c>
      <c r="E214" s="211">
        <v>0</v>
      </c>
      <c r="G214" s="211">
        <f t="shared" si="3"/>
        <v>0</v>
      </c>
      <c r="H214" s="211" t="s">
        <v>80</v>
      </c>
      <c r="J214" s="211">
        <f>VLOOKUP(A214,'JULY-TB'!A:G,7,0)</f>
        <v>0</v>
      </c>
    </row>
    <row r="215" spans="1:10">
      <c r="A215" s="211" t="s">
        <v>1127</v>
      </c>
      <c r="B215" s="211">
        <v>0</v>
      </c>
      <c r="C215" s="211">
        <v>0</v>
      </c>
      <c r="D215" s="211">
        <v>0</v>
      </c>
      <c r="E215" s="211">
        <v>0</v>
      </c>
      <c r="G215" s="211">
        <f t="shared" si="3"/>
        <v>0</v>
      </c>
      <c r="H215" s="211" t="s">
        <v>80</v>
      </c>
      <c r="J215" s="211">
        <f>VLOOKUP(A215,'JULY-TB'!A:G,7,0)</f>
        <v>0</v>
      </c>
    </row>
    <row r="216" spans="1:10">
      <c r="A216" s="211" t="s">
        <v>1128</v>
      </c>
      <c r="B216" s="211">
        <v>0</v>
      </c>
      <c r="C216" s="211">
        <v>0</v>
      </c>
      <c r="D216" s="211">
        <v>0</v>
      </c>
      <c r="E216" s="211">
        <v>0</v>
      </c>
      <c r="G216" s="211">
        <f t="shared" si="3"/>
        <v>0</v>
      </c>
      <c r="H216" s="211" t="s">
        <v>80</v>
      </c>
      <c r="J216" s="211">
        <f>VLOOKUP(A216,'JULY-TB'!A:G,7,0)</f>
        <v>0</v>
      </c>
    </row>
    <row r="217" spans="1:10">
      <c r="A217" s="211" t="s">
        <v>1399</v>
      </c>
      <c r="B217" s="211">
        <v>0</v>
      </c>
      <c r="C217" s="211">
        <v>0</v>
      </c>
      <c r="D217" s="211">
        <v>0</v>
      </c>
      <c r="E217" s="211">
        <v>0</v>
      </c>
      <c r="G217" s="211">
        <f t="shared" si="3"/>
        <v>0</v>
      </c>
      <c r="H217" s="211" t="s">
        <v>80</v>
      </c>
      <c r="J217" s="211">
        <f>VLOOKUP(A217,'JULY-TB'!A:G,7,0)</f>
        <v>0</v>
      </c>
    </row>
    <row r="218" spans="1:10">
      <c r="A218" s="211" t="s">
        <v>1100</v>
      </c>
      <c r="B218" s="211">
        <v>0</v>
      </c>
      <c r="C218" s="211">
        <v>0</v>
      </c>
      <c r="D218" s="211">
        <v>0</v>
      </c>
      <c r="E218" s="211">
        <v>0</v>
      </c>
      <c r="G218" s="211">
        <f t="shared" si="3"/>
        <v>0</v>
      </c>
      <c r="H218" s="211" t="s">
        <v>80</v>
      </c>
      <c r="J218" s="211">
        <f>VLOOKUP(A218,'JULY-TB'!A:G,7,0)</f>
        <v>0</v>
      </c>
    </row>
    <row r="219" spans="1:10">
      <c r="A219" s="211" t="s">
        <v>606</v>
      </c>
      <c r="B219" s="211">
        <v>-1037.4000000000001</v>
      </c>
      <c r="C219" s="211">
        <v>0</v>
      </c>
      <c r="D219" s="211">
        <v>0</v>
      </c>
      <c r="E219" s="211">
        <v>-1037.4000000000001</v>
      </c>
      <c r="G219" s="211">
        <f t="shared" si="3"/>
        <v>-1037.4000000000001</v>
      </c>
      <c r="H219" s="211" t="s">
        <v>80</v>
      </c>
      <c r="J219" s="211">
        <f>VLOOKUP(A219,'JULY-TB'!A:G,7,0)</f>
        <v>-1037.4000000000001</v>
      </c>
    </row>
    <row r="220" spans="1:10">
      <c r="A220" s="211" t="s">
        <v>383</v>
      </c>
      <c r="B220" s="211">
        <v>325669.58</v>
      </c>
      <c r="C220" s="211">
        <v>0</v>
      </c>
      <c r="D220" s="211">
        <v>325669.58</v>
      </c>
      <c r="E220" s="211">
        <v>0</v>
      </c>
      <c r="G220" s="211">
        <f t="shared" si="3"/>
        <v>0</v>
      </c>
      <c r="H220" s="211" t="s">
        <v>80</v>
      </c>
      <c r="J220" s="211">
        <f>VLOOKUP(A220,'JULY-TB'!A:G,7,0)</f>
        <v>0</v>
      </c>
    </row>
    <row r="221" spans="1:10">
      <c r="A221" s="211" t="s">
        <v>1101</v>
      </c>
      <c r="B221" s="211">
        <v>0</v>
      </c>
      <c r="C221" s="211">
        <v>0</v>
      </c>
      <c r="D221" s="211">
        <v>0</v>
      </c>
      <c r="E221" s="211">
        <v>0</v>
      </c>
      <c r="G221" s="211">
        <f t="shared" si="3"/>
        <v>0</v>
      </c>
      <c r="H221" s="211" t="s">
        <v>80</v>
      </c>
      <c r="J221" s="211">
        <f>VLOOKUP(A221,'JULY-TB'!A:G,7,0)</f>
        <v>0</v>
      </c>
    </row>
    <row r="222" spans="1:10">
      <c r="A222" s="211" t="s">
        <v>607</v>
      </c>
      <c r="B222" s="211">
        <v>0.06</v>
      </c>
      <c r="C222" s="211">
        <v>0</v>
      </c>
      <c r="D222" s="211">
        <v>0.06</v>
      </c>
      <c r="E222" s="211">
        <v>0</v>
      </c>
      <c r="G222" s="211">
        <f t="shared" si="3"/>
        <v>0</v>
      </c>
      <c r="H222" s="211" t="s">
        <v>80</v>
      </c>
      <c r="J222" s="211">
        <f>VLOOKUP(A222,'JULY-TB'!A:G,7,0)</f>
        <v>0</v>
      </c>
    </row>
    <row r="223" spans="1:10">
      <c r="A223" s="211" t="s">
        <v>1400</v>
      </c>
      <c r="B223" s="211">
        <v>0</v>
      </c>
      <c r="C223" s="211">
        <v>0</v>
      </c>
      <c r="D223" s="211">
        <v>0</v>
      </c>
      <c r="E223" s="211">
        <v>0</v>
      </c>
      <c r="G223" s="211">
        <f t="shared" si="3"/>
        <v>0</v>
      </c>
      <c r="H223" s="211" t="s">
        <v>80</v>
      </c>
      <c r="J223" s="211">
        <f>VLOOKUP(A223,'JULY-TB'!A:G,7,0)</f>
        <v>0</v>
      </c>
    </row>
    <row r="224" spans="1:10">
      <c r="A224" s="211" t="s">
        <v>526</v>
      </c>
      <c r="B224" s="211">
        <v>-70355</v>
      </c>
      <c r="C224" s="211">
        <v>0</v>
      </c>
      <c r="D224" s="211">
        <v>0</v>
      </c>
      <c r="E224" s="211">
        <v>-70355</v>
      </c>
      <c r="G224" s="211">
        <f t="shared" si="3"/>
        <v>-70355</v>
      </c>
      <c r="H224" s="211" t="s">
        <v>80</v>
      </c>
      <c r="J224" s="211">
        <f>VLOOKUP(A224,'JULY-TB'!A:G,7,0)</f>
        <v>-70355</v>
      </c>
    </row>
    <row r="225" spans="1:10">
      <c r="A225" s="211" t="s">
        <v>505</v>
      </c>
      <c r="B225" s="211">
        <v>1363.56</v>
      </c>
      <c r="C225" s="211">
        <v>1055854.26</v>
      </c>
      <c r="D225" s="211">
        <v>756411</v>
      </c>
      <c r="E225" s="211">
        <v>300806.82</v>
      </c>
      <c r="G225" s="211">
        <f t="shared" si="3"/>
        <v>300806.82</v>
      </c>
      <c r="H225" s="211" t="s">
        <v>80</v>
      </c>
      <c r="J225" s="211">
        <f>VLOOKUP(A225,'JULY-TB'!A:G,7,0)</f>
        <v>582811.81999999995</v>
      </c>
    </row>
    <row r="226" spans="1:10">
      <c r="A226" s="211" t="s">
        <v>1131</v>
      </c>
      <c r="B226" s="211">
        <v>0</v>
      </c>
      <c r="C226" s="211">
        <v>0</v>
      </c>
      <c r="D226" s="211">
        <v>0</v>
      </c>
      <c r="E226" s="211">
        <v>0</v>
      </c>
      <c r="G226" s="211">
        <f t="shared" si="3"/>
        <v>0</v>
      </c>
      <c r="H226" s="211" t="s">
        <v>80</v>
      </c>
      <c r="J226" s="211">
        <f>VLOOKUP(A226,'JULY-TB'!A:G,7,0)</f>
        <v>0</v>
      </c>
    </row>
    <row r="227" spans="1:10">
      <c r="A227" s="211" t="s">
        <v>1433</v>
      </c>
      <c r="B227" s="211">
        <v>0</v>
      </c>
      <c r="C227" s="211">
        <v>35985.599999999999</v>
      </c>
      <c r="D227" s="211">
        <v>35985</v>
      </c>
      <c r="E227" s="211">
        <v>0.6</v>
      </c>
      <c r="G227" s="211">
        <f t="shared" si="3"/>
        <v>0.6</v>
      </c>
      <c r="H227" s="211" t="s">
        <v>80</v>
      </c>
      <c r="J227" s="211">
        <f>VLOOKUP(A227,'JULY-TB'!A:G,7,0)</f>
        <v>0.6</v>
      </c>
    </row>
    <row r="228" spans="1:10">
      <c r="A228" s="211" t="s">
        <v>1104</v>
      </c>
      <c r="B228" s="211">
        <v>0</v>
      </c>
      <c r="C228" s="211">
        <v>0</v>
      </c>
      <c r="D228" s="211">
        <v>0</v>
      </c>
      <c r="E228" s="211">
        <v>0</v>
      </c>
      <c r="G228" s="211">
        <f t="shared" si="3"/>
        <v>0</v>
      </c>
      <c r="H228" s="211" t="s">
        <v>80</v>
      </c>
      <c r="J228" s="211">
        <f>VLOOKUP(A228,'JULY-TB'!A:G,7,0)</f>
        <v>0</v>
      </c>
    </row>
    <row r="229" spans="1:10">
      <c r="A229" s="211" t="s">
        <v>1105</v>
      </c>
      <c r="B229" s="211">
        <v>0</v>
      </c>
      <c r="C229" s="211">
        <v>0</v>
      </c>
      <c r="D229" s="211">
        <v>0</v>
      </c>
      <c r="E229" s="211">
        <v>0</v>
      </c>
      <c r="G229" s="211">
        <f t="shared" si="3"/>
        <v>0</v>
      </c>
      <c r="H229" s="211" t="s">
        <v>80</v>
      </c>
      <c r="J229" s="211">
        <f>VLOOKUP(A229,'JULY-TB'!A:G,7,0)</f>
        <v>0</v>
      </c>
    </row>
    <row r="230" spans="1:10">
      <c r="A230" s="211" t="s">
        <v>608</v>
      </c>
      <c r="B230" s="211">
        <v>1180148.46</v>
      </c>
      <c r="C230" s="211">
        <v>38402725.350000001</v>
      </c>
      <c r="D230" s="211">
        <v>35799564.590000004</v>
      </c>
      <c r="E230" s="211">
        <v>3783309.22</v>
      </c>
      <c r="G230" s="211">
        <f t="shared" si="3"/>
        <v>3783309.22</v>
      </c>
      <c r="H230" s="211" t="s">
        <v>80</v>
      </c>
      <c r="J230" s="211">
        <f>VLOOKUP(A230,'JULY-TB'!A:G,7,0)</f>
        <v>9752069.3200000003</v>
      </c>
    </row>
    <row r="231" spans="1:10">
      <c r="A231" s="211" t="s">
        <v>609</v>
      </c>
      <c r="B231" s="211">
        <v>0</v>
      </c>
      <c r="C231" s="211">
        <v>0</v>
      </c>
      <c r="D231" s="211">
        <v>0</v>
      </c>
      <c r="E231" s="211">
        <v>0</v>
      </c>
      <c r="G231" s="211">
        <f t="shared" si="3"/>
        <v>0</v>
      </c>
      <c r="H231" s="211" t="s">
        <v>80</v>
      </c>
      <c r="J231" s="211">
        <f>VLOOKUP(A231,'JULY-TB'!A:G,7,0)</f>
        <v>0</v>
      </c>
    </row>
    <row r="232" spans="1:10">
      <c r="A232" s="211" t="s">
        <v>610</v>
      </c>
      <c r="B232" s="211">
        <v>0</v>
      </c>
      <c r="C232" s="211">
        <v>2297213.92</v>
      </c>
      <c r="D232" s="211">
        <v>2286937.7999999998</v>
      </c>
      <c r="E232" s="211">
        <v>10276.120000000001</v>
      </c>
      <c r="G232" s="211">
        <f t="shared" si="3"/>
        <v>10276.120000000001</v>
      </c>
      <c r="H232" s="211" t="s">
        <v>80</v>
      </c>
      <c r="J232" s="211">
        <f>VLOOKUP(A232,'JULY-TB'!A:G,7,0)</f>
        <v>10276.129999999999</v>
      </c>
    </row>
    <row r="233" spans="1:10">
      <c r="A233" s="211" t="s">
        <v>611</v>
      </c>
      <c r="B233" s="211">
        <v>0.02</v>
      </c>
      <c r="C233" s="211">
        <v>15255005.630000001</v>
      </c>
      <c r="D233" s="211">
        <v>9601020.8200000003</v>
      </c>
      <c r="E233" s="211">
        <v>5653984.8300000001</v>
      </c>
      <c r="G233" s="211">
        <f t="shared" si="3"/>
        <v>5653984.8300000001</v>
      </c>
      <c r="H233" s="211" t="s">
        <v>80</v>
      </c>
      <c r="J233" s="211">
        <f>VLOOKUP(A233,'JULY-TB'!A:G,7,0)</f>
        <v>5853144.5899999999</v>
      </c>
    </row>
    <row r="234" spans="1:10">
      <c r="A234" s="211" t="s">
        <v>612</v>
      </c>
      <c r="B234" s="211">
        <v>1607471.88</v>
      </c>
      <c r="C234" s="211">
        <v>46.75</v>
      </c>
      <c r="D234" s="211">
        <v>1605902.88</v>
      </c>
      <c r="E234" s="211">
        <v>1615.75</v>
      </c>
      <c r="G234" s="211">
        <f t="shared" si="3"/>
        <v>1615.75</v>
      </c>
      <c r="H234" s="211" t="s">
        <v>80</v>
      </c>
      <c r="J234" s="211">
        <f>VLOOKUP(A234,'JULY-TB'!A:G,7,0)</f>
        <v>1615.75</v>
      </c>
    </row>
    <row r="235" spans="1:10">
      <c r="A235" s="211" t="s">
        <v>1106</v>
      </c>
      <c r="B235" s="211">
        <v>0</v>
      </c>
      <c r="C235" s="211">
        <v>0</v>
      </c>
      <c r="D235" s="211">
        <v>25173.97</v>
      </c>
      <c r="E235" s="211">
        <v>-25173.97</v>
      </c>
      <c r="G235" s="211">
        <f t="shared" si="3"/>
        <v>-25173.97</v>
      </c>
      <c r="H235" s="211" t="s">
        <v>80</v>
      </c>
      <c r="J235" s="211">
        <f>VLOOKUP(A235,'JULY-TB'!A:G,7,0)</f>
        <v>-25173.97</v>
      </c>
    </row>
    <row r="236" spans="1:10">
      <c r="A236" s="211" t="s">
        <v>613</v>
      </c>
      <c r="B236" s="211">
        <v>38436340.109999999</v>
      </c>
      <c r="C236" s="211">
        <v>101188922.40000001</v>
      </c>
      <c r="D236" s="211">
        <v>90336970.379999995</v>
      </c>
      <c r="E236" s="211">
        <v>49288292.130000003</v>
      </c>
      <c r="G236" s="211">
        <f t="shared" si="3"/>
        <v>49288292.130000003</v>
      </c>
      <c r="H236" s="211" t="s">
        <v>80</v>
      </c>
      <c r="J236" s="211">
        <f>VLOOKUP(A236,'JULY-TB'!A:G,7,0)</f>
        <v>39007898.950000003</v>
      </c>
    </row>
    <row r="237" spans="1:10">
      <c r="A237" s="211" t="s">
        <v>1107</v>
      </c>
      <c r="B237" s="211">
        <v>0</v>
      </c>
      <c r="C237" s="211">
        <v>340695.71</v>
      </c>
      <c r="D237" s="211">
        <v>0</v>
      </c>
      <c r="E237" s="211">
        <v>340695.71</v>
      </c>
      <c r="G237" s="211">
        <f t="shared" si="3"/>
        <v>340695.71</v>
      </c>
      <c r="H237" s="211" t="s">
        <v>80</v>
      </c>
      <c r="J237" s="211">
        <f>VLOOKUP(A237,'JULY-TB'!A:G,7,0)</f>
        <v>340695.71</v>
      </c>
    </row>
    <row r="238" spans="1:10">
      <c r="A238" s="211" t="s">
        <v>1108</v>
      </c>
      <c r="B238" s="211">
        <v>0</v>
      </c>
      <c r="C238" s="211">
        <v>0</v>
      </c>
      <c r="D238" s="211">
        <v>0</v>
      </c>
      <c r="E238" s="211">
        <v>0</v>
      </c>
      <c r="G238" s="211">
        <f t="shared" si="3"/>
        <v>0</v>
      </c>
      <c r="H238" s="211" t="s">
        <v>80</v>
      </c>
      <c r="J238" s="211">
        <f>VLOOKUP(A238,'JULY-TB'!A:G,7,0)</f>
        <v>0</v>
      </c>
    </row>
    <row r="239" spans="1:10">
      <c r="A239" s="211" t="s">
        <v>86</v>
      </c>
      <c r="B239" s="211">
        <v>0.02</v>
      </c>
      <c r="C239" s="211">
        <v>0</v>
      </c>
      <c r="D239" s="211">
        <v>0.02</v>
      </c>
      <c r="E239" s="211">
        <v>0</v>
      </c>
      <c r="G239" s="211">
        <f t="shared" si="3"/>
        <v>0</v>
      </c>
      <c r="H239" s="211" t="s">
        <v>80</v>
      </c>
      <c r="J239" s="211">
        <f>VLOOKUP(A239,'JULY-TB'!A:G,7,0)</f>
        <v>0</v>
      </c>
    </row>
    <row r="240" spans="1:10">
      <c r="A240" s="211" t="s">
        <v>1109</v>
      </c>
      <c r="B240" s="211">
        <v>0</v>
      </c>
      <c r="C240" s="211">
        <v>0</v>
      </c>
      <c r="D240" s="211">
        <v>0</v>
      </c>
      <c r="E240" s="211">
        <v>0</v>
      </c>
      <c r="G240" s="211">
        <f t="shared" si="3"/>
        <v>0</v>
      </c>
      <c r="H240" s="211" t="s">
        <v>80</v>
      </c>
      <c r="J240" s="211">
        <f>VLOOKUP(A240,'JULY-TB'!A:G,7,0)</f>
        <v>0</v>
      </c>
    </row>
    <row r="241" spans="1:10">
      <c r="A241" s="211" t="s">
        <v>1110</v>
      </c>
      <c r="B241" s="211">
        <v>0</v>
      </c>
      <c r="C241" s="211">
        <v>0</v>
      </c>
      <c r="D241" s="211">
        <v>0</v>
      </c>
      <c r="E241" s="211">
        <v>0</v>
      </c>
      <c r="G241" s="211">
        <f t="shared" si="3"/>
        <v>0</v>
      </c>
      <c r="H241" s="211" t="s">
        <v>80</v>
      </c>
      <c r="J241" s="211">
        <f>VLOOKUP(A241,'JULY-TB'!A:G,7,0)</f>
        <v>0</v>
      </c>
    </row>
    <row r="242" spans="1:10">
      <c r="A242" s="211" t="s">
        <v>1111</v>
      </c>
      <c r="B242" s="211">
        <v>0</v>
      </c>
      <c r="C242" s="211">
        <v>0</v>
      </c>
      <c r="D242" s="211">
        <v>0</v>
      </c>
      <c r="E242" s="211">
        <v>0</v>
      </c>
      <c r="G242" s="211">
        <f t="shared" si="3"/>
        <v>0</v>
      </c>
      <c r="H242" s="211" t="s">
        <v>80</v>
      </c>
      <c r="J242" s="211">
        <f>VLOOKUP(A242,'JULY-TB'!A:G,7,0)</f>
        <v>0</v>
      </c>
    </row>
    <row r="243" spans="1:10">
      <c r="A243" s="211" t="s">
        <v>92</v>
      </c>
      <c r="B243" s="211">
        <v>23898338.870000001</v>
      </c>
      <c r="C243" s="211">
        <v>28327858.899999999</v>
      </c>
      <c r="D243" s="211">
        <v>30560608.43</v>
      </c>
      <c r="E243" s="211">
        <v>21665589.34</v>
      </c>
      <c r="G243" s="211">
        <f t="shared" si="3"/>
        <v>21665589.34</v>
      </c>
      <c r="H243" s="211" t="s">
        <v>80</v>
      </c>
      <c r="J243" s="211">
        <f>VLOOKUP(A243,'JULY-TB'!A:G,7,0)</f>
        <v>3823932.33</v>
      </c>
    </row>
    <row r="244" spans="1:10">
      <c r="A244" s="211" t="s">
        <v>614</v>
      </c>
      <c r="B244" s="211">
        <v>9599129.1400000006</v>
      </c>
      <c r="C244" s="211">
        <v>8264027.2599999998</v>
      </c>
      <c r="D244" s="211">
        <v>13554255.58</v>
      </c>
      <c r="E244" s="211">
        <v>4308900.82</v>
      </c>
      <c r="G244" s="211">
        <f t="shared" si="3"/>
        <v>4308900.82</v>
      </c>
      <c r="H244" s="211" t="s">
        <v>80</v>
      </c>
      <c r="J244" s="211">
        <f>VLOOKUP(A244,'JULY-TB'!A:G,7,0)</f>
        <v>8474853.5099999998</v>
      </c>
    </row>
    <row r="245" spans="1:10">
      <c r="A245" s="211" t="s">
        <v>1112</v>
      </c>
      <c r="B245" s="211">
        <v>0</v>
      </c>
      <c r="C245" s="211">
        <v>0</v>
      </c>
      <c r="D245" s="211">
        <v>0</v>
      </c>
      <c r="E245" s="211">
        <v>0</v>
      </c>
      <c r="G245" s="211">
        <f t="shared" si="3"/>
        <v>0</v>
      </c>
      <c r="H245" s="211" t="s">
        <v>80</v>
      </c>
      <c r="J245" s="211">
        <f>VLOOKUP(A245,'JULY-TB'!A:G,7,0)</f>
        <v>0</v>
      </c>
    </row>
    <row r="246" spans="1:10">
      <c r="A246" s="211" t="s">
        <v>615</v>
      </c>
      <c r="B246" s="211">
        <v>3917952.01</v>
      </c>
      <c r="C246" s="211">
        <v>0</v>
      </c>
      <c r="D246" s="211">
        <v>3917952</v>
      </c>
      <c r="E246" s="211">
        <v>0.01</v>
      </c>
      <c r="G246" s="211">
        <f t="shared" si="3"/>
        <v>0.01</v>
      </c>
      <c r="H246" s="211" t="s">
        <v>80</v>
      </c>
      <c r="J246" s="211">
        <f>VLOOKUP(A246,'JULY-TB'!A:G,7,0)</f>
        <v>0.01</v>
      </c>
    </row>
    <row r="247" spans="1:10">
      <c r="A247" s="211" t="s">
        <v>95</v>
      </c>
      <c r="B247" s="211">
        <v>22116.86</v>
      </c>
      <c r="C247" s="211">
        <v>0</v>
      </c>
      <c r="D247" s="211">
        <v>22116.86</v>
      </c>
      <c r="E247" s="211">
        <v>0</v>
      </c>
      <c r="G247" s="211">
        <f t="shared" si="3"/>
        <v>0</v>
      </c>
      <c r="H247" s="211" t="s">
        <v>80</v>
      </c>
      <c r="J247" s="211">
        <f>VLOOKUP(A247,'JULY-TB'!A:G,7,0)</f>
        <v>0</v>
      </c>
    </row>
    <row r="248" spans="1:10">
      <c r="A248" s="211" t="s">
        <v>616</v>
      </c>
      <c r="B248" s="211">
        <v>25161872</v>
      </c>
      <c r="C248" s="211">
        <v>1491734</v>
      </c>
      <c r="D248" s="211">
        <v>25161872</v>
      </c>
      <c r="E248" s="211">
        <v>1491734</v>
      </c>
      <c r="G248" s="211">
        <f t="shared" si="3"/>
        <v>1491734</v>
      </c>
      <c r="H248" s="211" t="s">
        <v>80</v>
      </c>
      <c r="J248" s="211">
        <f>VLOOKUP(A248,'JULY-TB'!A:G,7,0)</f>
        <v>1491734</v>
      </c>
    </row>
    <row r="249" spans="1:10">
      <c r="A249" s="211" t="s">
        <v>99</v>
      </c>
      <c r="B249" s="211">
        <v>6511336.79</v>
      </c>
      <c r="C249" s="211">
        <v>63831011.229999997</v>
      </c>
      <c r="D249" s="211">
        <v>51512102.859999999</v>
      </c>
      <c r="E249" s="211">
        <v>18830245.16</v>
      </c>
      <c r="G249" s="211">
        <f t="shared" si="3"/>
        <v>18830245.16</v>
      </c>
      <c r="H249" s="211" t="s">
        <v>80</v>
      </c>
      <c r="J249" s="211">
        <f>VLOOKUP(A249,'JULY-TB'!A:G,7,0)</f>
        <v>5179075.12</v>
      </c>
    </row>
    <row r="250" spans="1:10">
      <c r="A250" s="211" t="s">
        <v>102</v>
      </c>
      <c r="B250" s="211">
        <v>44698801.439999998</v>
      </c>
      <c r="C250" s="211">
        <v>23139673.309999999</v>
      </c>
      <c r="D250" s="211">
        <v>26009488.34</v>
      </c>
      <c r="E250" s="211">
        <v>41828986.409999996</v>
      </c>
      <c r="G250" s="211">
        <f t="shared" si="3"/>
        <v>41828986.409999996</v>
      </c>
      <c r="H250" s="211" t="s">
        <v>80</v>
      </c>
      <c r="J250" s="211">
        <f>VLOOKUP(A250,'JULY-TB'!A:G,7,0)</f>
        <v>41828986.409999996</v>
      </c>
    </row>
    <row r="251" spans="1:10">
      <c r="A251" s="211" t="s">
        <v>617</v>
      </c>
      <c r="B251" s="211">
        <v>3950256.13</v>
      </c>
      <c r="C251" s="211">
        <v>5005897.3600000003</v>
      </c>
      <c r="D251" s="211">
        <v>3915870.09</v>
      </c>
      <c r="E251" s="211">
        <v>5040283.4000000004</v>
      </c>
      <c r="G251" s="211">
        <f t="shared" si="3"/>
        <v>5040283.4000000004</v>
      </c>
      <c r="H251" s="211" t="s">
        <v>80</v>
      </c>
      <c r="J251" s="211">
        <f>VLOOKUP(A251,'JULY-TB'!A:G,7,0)</f>
        <v>35146.76</v>
      </c>
    </row>
    <row r="252" spans="1:10">
      <c r="A252" s="211" t="s">
        <v>618</v>
      </c>
      <c r="B252" s="211">
        <v>13225854.939999999</v>
      </c>
      <c r="C252" s="211">
        <v>26144407.98</v>
      </c>
      <c r="D252" s="211">
        <v>14756178.039999999</v>
      </c>
      <c r="E252" s="211">
        <v>24614084.879999999</v>
      </c>
      <c r="G252" s="211">
        <f t="shared" si="3"/>
        <v>24614084.879999999</v>
      </c>
      <c r="H252" s="211" t="s">
        <v>80</v>
      </c>
      <c r="J252" s="211">
        <f>VLOOKUP(A252,'JULY-TB'!A:G,7,0)</f>
        <v>20214831.300000001</v>
      </c>
    </row>
    <row r="253" spans="1:10">
      <c r="A253" s="211" t="s">
        <v>1113</v>
      </c>
      <c r="B253" s="211">
        <v>0</v>
      </c>
      <c r="C253" s="211">
        <v>0</v>
      </c>
      <c r="D253" s="211">
        <v>0</v>
      </c>
      <c r="E253" s="211">
        <v>0</v>
      </c>
      <c r="G253" s="211">
        <f t="shared" si="3"/>
        <v>0</v>
      </c>
      <c r="H253" s="211" t="s">
        <v>80</v>
      </c>
      <c r="J253" s="211">
        <f>VLOOKUP(A253,'JULY-TB'!A:G,7,0)</f>
        <v>0</v>
      </c>
    </row>
    <row r="254" spans="1:10">
      <c r="A254" s="211" t="s">
        <v>1114</v>
      </c>
      <c r="B254" s="211">
        <v>0.01</v>
      </c>
      <c r="C254" s="211">
        <v>0</v>
      </c>
      <c r="D254" s="211">
        <v>0</v>
      </c>
      <c r="E254" s="211">
        <v>0.01</v>
      </c>
      <c r="G254" s="211">
        <f t="shared" si="3"/>
        <v>0.01</v>
      </c>
      <c r="H254" s="211" t="s">
        <v>80</v>
      </c>
      <c r="J254" s="211">
        <f>VLOOKUP(A254,'JULY-TB'!A:G,7,0)</f>
        <v>0</v>
      </c>
    </row>
    <row r="255" spans="1:10">
      <c r="A255" s="211" t="s">
        <v>1115</v>
      </c>
      <c r="B255" s="211">
        <v>0</v>
      </c>
      <c r="C255" s="211">
        <v>0</v>
      </c>
      <c r="D255" s="211">
        <v>0</v>
      </c>
      <c r="E255" s="211">
        <v>0</v>
      </c>
      <c r="G255" s="211">
        <f t="shared" si="3"/>
        <v>0</v>
      </c>
      <c r="H255" s="211" t="s">
        <v>80</v>
      </c>
      <c r="J255" s="211">
        <f>VLOOKUP(A255,'JULY-TB'!A:G,7,0)</f>
        <v>0</v>
      </c>
    </row>
    <row r="256" spans="1:10">
      <c r="A256" s="211" t="s">
        <v>1116</v>
      </c>
      <c r="B256" s="211">
        <v>0</v>
      </c>
      <c r="C256" s="211">
        <v>0</v>
      </c>
      <c r="D256" s="211">
        <v>0</v>
      </c>
      <c r="E256" s="211">
        <v>0</v>
      </c>
      <c r="G256" s="211">
        <f t="shared" si="3"/>
        <v>0</v>
      </c>
      <c r="H256" s="211" t="s">
        <v>80</v>
      </c>
      <c r="J256" s="211">
        <f>VLOOKUP(A256,'JULY-TB'!A:G,7,0)</f>
        <v>0</v>
      </c>
    </row>
    <row r="257" spans="1:10">
      <c r="A257" s="211" t="s">
        <v>1117</v>
      </c>
      <c r="B257" s="211">
        <v>0</v>
      </c>
      <c r="C257" s="211">
        <v>0</v>
      </c>
      <c r="D257" s="211">
        <v>0</v>
      </c>
      <c r="E257" s="211">
        <v>0</v>
      </c>
      <c r="G257" s="211">
        <f t="shared" si="3"/>
        <v>0</v>
      </c>
      <c r="H257" s="211" t="s">
        <v>80</v>
      </c>
      <c r="J257" s="211">
        <f>VLOOKUP(A257,'JULY-TB'!A:G,7,0)</f>
        <v>0</v>
      </c>
    </row>
    <row r="258" spans="1:10">
      <c r="A258" s="211" t="s">
        <v>1118</v>
      </c>
      <c r="B258" s="211">
        <v>0</v>
      </c>
      <c r="C258" s="211">
        <v>0</v>
      </c>
      <c r="D258" s="211">
        <v>0</v>
      </c>
      <c r="E258" s="211">
        <v>0</v>
      </c>
      <c r="G258" s="211">
        <f t="shared" si="3"/>
        <v>0</v>
      </c>
      <c r="H258" s="211" t="s">
        <v>80</v>
      </c>
      <c r="J258" s="211">
        <f>VLOOKUP(A258,'JULY-TB'!A:G,7,0)</f>
        <v>0</v>
      </c>
    </row>
    <row r="259" spans="1:10">
      <c r="A259" s="211" t="s">
        <v>1119</v>
      </c>
      <c r="B259" s="211">
        <v>0</v>
      </c>
      <c r="C259" s="211">
        <v>0</v>
      </c>
      <c r="D259" s="211">
        <v>0</v>
      </c>
      <c r="E259" s="211">
        <v>0</v>
      </c>
      <c r="G259" s="211">
        <f t="shared" si="3"/>
        <v>0</v>
      </c>
      <c r="H259" s="211" t="s">
        <v>80</v>
      </c>
      <c r="J259" s="211">
        <f>VLOOKUP(A259,'JULY-TB'!A:G,7,0)</f>
        <v>0</v>
      </c>
    </row>
    <row r="260" spans="1:10">
      <c r="A260" s="211" t="s">
        <v>619</v>
      </c>
      <c r="B260" s="211">
        <v>7765335.1699999999</v>
      </c>
      <c r="C260" s="211">
        <v>26888.23</v>
      </c>
      <c r="D260" s="211">
        <v>7765335.1100000003</v>
      </c>
      <c r="E260" s="211">
        <v>26888.29</v>
      </c>
      <c r="G260" s="211">
        <f t="shared" ref="G260:G323" si="4">E260+F260</f>
        <v>26888.29</v>
      </c>
      <c r="H260" s="211" t="s">
        <v>80</v>
      </c>
      <c r="J260" s="211">
        <f>VLOOKUP(A260,'JULY-TB'!A:G,7,0)</f>
        <v>348553</v>
      </c>
    </row>
    <row r="261" spans="1:10">
      <c r="A261" s="211" t="s">
        <v>1133</v>
      </c>
      <c r="B261" s="211">
        <v>0</v>
      </c>
      <c r="C261" s="211">
        <v>12379472.43</v>
      </c>
      <c r="D261" s="211">
        <v>6513091.2000000002</v>
      </c>
      <c r="E261" s="211">
        <v>5866381.2300000004</v>
      </c>
      <c r="G261" s="211">
        <f t="shared" si="4"/>
        <v>5866381.2300000004</v>
      </c>
      <c r="H261" s="211" t="s">
        <v>80</v>
      </c>
      <c r="J261" s="211">
        <f>VLOOKUP(A261,'JULY-TB'!A:G,7,0)</f>
        <v>12138259.289999999</v>
      </c>
    </row>
    <row r="262" spans="1:10">
      <c r="A262" s="211" t="s">
        <v>1134</v>
      </c>
      <c r="B262" s="211">
        <v>0</v>
      </c>
      <c r="C262" s="211">
        <v>0</v>
      </c>
      <c r="D262" s="211">
        <v>0</v>
      </c>
      <c r="E262" s="211">
        <v>0</v>
      </c>
      <c r="G262" s="211">
        <f t="shared" si="4"/>
        <v>0</v>
      </c>
      <c r="H262" s="211" t="s">
        <v>80</v>
      </c>
      <c r="J262" s="211">
        <f>VLOOKUP(A262,'JULY-TB'!A:G,7,0)</f>
        <v>0</v>
      </c>
    </row>
    <row r="263" spans="1:10">
      <c r="A263" s="211" t="s">
        <v>620</v>
      </c>
      <c r="B263" s="211">
        <v>-21173.27</v>
      </c>
      <c r="C263" s="211">
        <v>30105.17</v>
      </c>
      <c r="D263" s="211">
        <v>8931.9</v>
      </c>
      <c r="E263" s="211">
        <v>0</v>
      </c>
      <c r="G263" s="211">
        <f t="shared" si="4"/>
        <v>0</v>
      </c>
      <c r="H263" s="211" t="s">
        <v>80</v>
      </c>
      <c r="J263" s="211">
        <f>VLOOKUP(A263,'JULY-TB'!A:G,7,0)</f>
        <v>0</v>
      </c>
    </row>
    <row r="264" spans="1:10">
      <c r="A264" s="211" t="s">
        <v>121</v>
      </c>
      <c r="B264" s="211">
        <v>62465541.560000002</v>
      </c>
      <c r="C264" s="211">
        <v>23717920.34</v>
      </c>
      <c r="D264" s="211">
        <v>0</v>
      </c>
      <c r="E264" s="211">
        <v>86183461.900000006</v>
      </c>
      <c r="G264" s="211">
        <f t="shared" si="4"/>
        <v>86183461.900000006</v>
      </c>
      <c r="H264" s="211" t="s">
        <v>80</v>
      </c>
      <c r="J264" s="211">
        <f>VLOOKUP(A264,'JULY-TB'!A:G,7,0)</f>
        <v>81456290.590000004</v>
      </c>
    </row>
    <row r="265" spans="1:10">
      <c r="A265" s="211" t="s">
        <v>122</v>
      </c>
      <c r="B265" s="211">
        <v>-114518759.02</v>
      </c>
      <c r="C265" s="211">
        <v>115808394.02</v>
      </c>
      <c r="D265" s="211">
        <v>0</v>
      </c>
      <c r="E265" s="211">
        <v>1289635</v>
      </c>
      <c r="G265" s="211">
        <f t="shared" si="4"/>
        <v>1289635</v>
      </c>
      <c r="H265" s="211" t="s">
        <v>80</v>
      </c>
      <c r="J265" s="211">
        <f>VLOOKUP(A265,'JULY-TB'!A:G,7,0)</f>
        <v>28800</v>
      </c>
    </row>
    <row r="266" spans="1:10">
      <c r="A266" s="211" t="s">
        <v>124</v>
      </c>
      <c r="B266" s="211">
        <v>23835.5</v>
      </c>
      <c r="C266" s="211">
        <v>0</v>
      </c>
      <c r="D266" s="211">
        <v>23835.5</v>
      </c>
      <c r="E266" s="211">
        <v>0</v>
      </c>
      <c r="G266" s="211">
        <f t="shared" si="4"/>
        <v>0</v>
      </c>
      <c r="H266" s="211" t="s">
        <v>80</v>
      </c>
      <c r="J266" s="211">
        <f>VLOOKUP(A266,'JULY-TB'!A:G,7,0)</f>
        <v>0</v>
      </c>
    </row>
    <row r="267" spans="1:10">
      <c r="A267" s="211" t="s">
        <v>130</v>
      </c>
      <c r="B267" s="211">
        <v>722637.02</v>
      </c>
      <c r="C267" s="211">
        <v>177290.83</v>
      </c>
      <c r="D267" s="211">
        <v>0</v>
      </c>
      <c r="E267" s="211">
        <v>899927.85</v>
      </c>
      <c r="G267" s="211">
        <f t="shared" si="4"/>
        <v>899927.85</v>
      </c>
      <c r="H267" s="211" t="s">
        <v>80</v>
      </c>
      <c r="J267" s="211">
        <f>VLOOKUP(A267,'JULY-TB'!A:G,7,0)</f>
        <v>899927.85</v>
      </c>
    </row>
    <row r="268" spans="1:10">
      <c r="A268" s="211" t="s">
        <v>621</v>
      </c>
      <c r="B268" s="211">
        <v>12145757.09</v>
      </c>
      <c r="C268" s="211">
        <v>4181580.9</v>
      </c>
      <c r="D268" s="211">
        <v>16327337.99</v>
      </c>
      <c r="E268" s="211">
        <v>0</v>
      </c>
      <c r="G268" s="211">
        <f t="shared" si="4"/>
        <v>0</v>
      </c>
      <c r="H268" s="211" t="s">
        <v>80</v>
      </c>
      <c r="J268" s="211">
        <f>VLOOKUP(A268,'JULY-TB'!A:G,7,0)</f>
        <v>0</v>
      </c>
    </row>
    <row r="269" spans="1:10">
      <c r="A269" s="211" t="s">
        <v>1137</v>
      </c>
      <c r="B269" s="211">
        <v>0</v>
      </c>
      <c r="C269" s="211">
        <v>9537120</v>
      </c>
      <c r="D269" s="211">
        <v>9537120</v>
      </c>
      <c r="E269" s="211">
        <v>0</v>
      </c>
      <c r="G269" s="211">
        <f t="shared" si="4"/>
        <v>0</v>
      </c>
      <c r="H269" s="211" t="s">
        <v>80</v>
      </c>
      <c r="J269" s="211">
        <f>VLOOKUP(A269,'JULY-TB'!A:G,7,0)</f>
        <v>0</v>
      </c>
    </row>
    <row r="270" spans="1:10">
      <c r="A270" s="211" t="s">
        <v>477</v>
      </c>
      <c r="B270" s="211">
        <v>23454432.829999998</v>
      </c>
      <c r="C270" s="211">
        <v>39932728.259999998</v>
      </c>
      <c r="D270" s="211">
        <v>33766173.520000003</v>
      </c>
      <c r="E270" s="211">
        <v>29620987.57</v>
      </c>
      <c r="G270" s="211">
        <f t="shared" si="4"/>
        <v>29620987.57</v>
      </c>
      <c r="H270" s="211" t="s">
        <v>80</v>
      </c>
      <c r="J270" s="211">
        <f>VLOOKUP(A270,'JULY-TB'!A:G,7,0)</f>
        <v>24669722.870000001</v>
      </c>
    </row>
    <row r="271" spans="1:10">
      <c r="A271" s="211" t="s">
        <v>132</v>
      </c>
      <c r="B271" s="211">
        <v>-85477.02</v>
      </c>
      <c r="C271" s="211">
        <v>0</v>
      </c>
      <c r="D271" s="211">
        <v>15819.87</v>
      </c>
      <c r="E271" s="211">
        <v>-101296.89</v>
      </c>
      <c r="G271" s="211">
        <f t="shared" si="4"/>
        <v>-101296.89</v>
      </c>
      <c r="H271" s="211" t="s">
        <v>80</v>
      </c>
      <c r="J271" s="211">
        <f>VLOOKUP(A271,'JULY-TB'!A:G,7,0)</f>
        <v>-101296.89</v>
      </c>
    </row>
    <row r="272" spans="1:10">
      <c r="A272" s="211" t="s">
        <v>133</v>
      </c>
      <c r="B272" s="211">
        <v>7996440.0099999998</v>
      </c>
      <c r="C272" s="211">
        <v>65800504.75</v>
      </c>
      <c r="D272" s="211">
        <v>34263749.5</v>
      </c>
      <c r="E272" s="211">
        <v>39533195.259999998</v>
      </c>
      <c r="G272" s="211">
        <f t="shared" si="4"/>
        <v>39533195.259999998</v>
      </c>
      <c r="H272" s="211" t="s">
        <v>80</v>
      </c>
      <c r="J272" s="211">
        <f>VLOOKUP(A272,'JULY-TB'!A:G,7,0)</f>
        <v>15577791.52</v>
      </c>
    </row>
    <row r="273" spans="1:10">
      <c r="A273" s="211" t="s">
        <v>1138</v>
      </c>
      <c r="B273" s="211">
        <v>0</v>
      </c>
      <c r="C273" s="211">
        <v>0</v>
      </c>
      <c r="D273" s="211">
        <v>0</v>
      </c>
      <c r="E273" s="211">
        <v>0</v>
      </c>
      <c r="G273" s="211">
        <f t="shared" si="4"/>
        <v>0</v>
      </c>
      <c r="H273" s="211" t="s">
        <v>80</v>
      </c>
      <c r="J273" s="211">
        <f>VLOOKUP(A273,'JULY-TB'!A:G,7,0)</f>
        <v>0</v>
      </c>
    </row>
    <row r="274" spans="1:10">
      <c r="A274" s="211" t="s">
        <v>134</v>
      </c>
      <c r="B274" s="211">
        <v>26987540.149999999</v>
      </c>
      <c r="C274" s="211">
        <v>25672908.98</v>
      </c>
      <c r="D274" s="211">
        <v>44599294.350000001</v>
      </c>
      <c r="E274" s="211">
        <v>8061154.7800000003</v>
      </c>
      <c r="G274" s="211">
        <f t="shared" si="4"/>
        <v>8061154.7800000003</v>
      </c>
      <c r="H274" s="211" t="s">
        <v>80</v>
      </c>
      <c r="J274" s="211">
        <f>VLOOKUP(A274,'JULY-TB'!A:G,7,0)</f>
        <v>5286297.3499999996</v>
      </c>
    </row>
    <row r="275" spans="1:10">
      <c r="A275" s="211" t="s">
        <v>622</v>
      </c>
      <c r="B275" s="211">
        <v>17386919.91</v>
      </c>
      <c r="C275" s="211">
        <v>31653159.100000001</v>
      </c>
      <c r="D275" s="211">
        <v>44170111.770000003</v>
      </c>
      <c r="E275" s="211">
        <v>4869967.24</v>
      </c>
      <c r="G275" s="211">
        <f t="shared" si="4"/>
        <v>4869967.24</v>
      </c>
      <c r="H275" s="211" t="s">
        <v>80</v>
      </c>
      <c r="J275" s="211">
        <f>VLOOKUP(A275,'JULY-TB'!A:G,7,0)</f>
        <v>9798707.4299999997</v>
      </c>
    </row>
    <row r="276" spans="1:10">
      <c r="A276" s="211" t="s">
        <v>623</v>
      </c>
      <c r="B276" s="211">
        <v>325090.24</v>
      </c>
      <c r="C276" s="211">
        <v>12144497.57</v>
      </c>
      <c r="D276" s="211">
        <v>10334992.970000001</v>
      </c>
      <c r="E276" s="211">
        <v>2134594.84</v>
      </c>
      <c r="G276" s="211">
        <f t="shared" si="4"/>
        <v>2134594.84</v>
      </c>
      <c r="H276" s="211" t="s">
        <v>80</v>
      </c>
      <c r="J276" s="211">
        <f>VLOOKUP(A276,'JULY-TB'!A:G,7,0)</f>
        <v>7638984.8300000001</v>
      </c>
    </row>
    <row r="277" spans="1:10">
      <c r="A277" s="211" t="s">
        <v>138</v>
      </c>
      <c r="B277" s="211">
        <v>0</v>
      </c>
      <c r="C277" s="211">
        <v>6905896.2300000004</v>
      </c>
      <c r="D277" s="211">
        <v>3161785.98</v>
      </c>
      <c r="E277" s="211">
        <v>3744110.25</v>
      </c>
      <c r="G277" s="211">
        <f t="shared" si="4"/>
        <v>3744110.25</v>
      </c>
      <c r="H277" s="211" t="s">
        <v>80</v>
      </c>
      <c r="J277" s="211">
        <f>VLOOKUP(A277,'JULY-TB'!A:G,7,0)</f>
        <v>3744110.25</v>
      </c>
    </row>
    <row r="278" spans="1:10">
      <c r="A278" s="211" t="s">
        <v>624</v>
      </c>
      <c r="B278" s="211">
        <v>4603883.3099999996</v>
      </c>
      <c r="C278" s="211">
        <v>32774598.719999999</v>
      </c>
      <c r="D278" s="211">
        <v>30034025.710000001</v>
      </c>
      <c r="E278" s="211">
        <v>7344456.3200000003</v>
      </c>
      <c r="G278" s="211">
        <f t="shared" si="4"/>
        <v>7344456.3200000003</v>
      </c>
      <c r="H278" s="211" t="s">
        <v>80</v>
      </c>
      <c r="J278" s="211">
        <f>VLOOKUP(A278,'JULY-TB'!A:G,7,0)</f>
        <v>11815497.08</v>
      </c>
    </row>
    <row r="279" spans="1:10">
      <c r="A279" s="211" t="s">
        <v>147</v>
      </c>
      <c r="B279" s="211">
        <v>7292708.7199999997</v>
      </c>
      <c r="C279" s="211">
        <v>0</v>
      </c>
      <c r="D279" s="211">
        <v>6303093.3899999997</v>
      </c>
      <c r="E279" s="211">
        <v>989615.33</v>
      </c>
      <c r="G279" s="211">
        <f t="shared" si="4"/>
        <v>989615.33</v>
      </c>
      <c r="H279" s="211" t="s">
        <v>80</v>
      </c>
      <c r="J279" s="211">
        <f>VLOOKUP(A279,'JULY-TB'!A:G,7,0)</f>
        <v>989615.33</v>
      </c>
    </row>
    <row r="280" spans="1:10">
      <c r="A280" s="211" t="s">
        <v>625</v>
      </c>
      <c r="B280" s="211">
        <v>5809384</v>
      </c>
      <c r="C280" s="211">
        <v>29660868.350000001</v>
      </c>
      <c r="D280" s="211">
        <v>10152272</v>
      </c>
      <c r="E280" s="211">
        <v>25317980.350000001</v>
      </c>
      <c r="G280" s="211">
        <f t="shared" si="4"/>
        <v>25317980.350000001</v>
      </c>
      <c r="H280" s="211" t="s">
        <v>80</v>
      </c>
      <c r="J280" s="211">
        <f>VLOOKUP(A280,'JULY-TB'!A:G,7,0)</f>
        <v>15266991.789999999</v>
      </c>
    </row>
    <row r="281" spans="1:10">
      <c r="A281" s="211" t="s">
        <v>1139</v>
      </c>
      <c r="B281" s="211">
        <v>0</v>
      </c>
      <c r="C281" s="211">
        <v>0</v>
      </c>
      <c r="D281" s="211">
        <v>0</v>
      </c>
      <c r="E281" s="211">
        <v>0</v>
      </c>
      <c r="G281" s="211">
        <f t="shared" si="4"/>
        <v>0</v>
      </c>
      <c r="H281" s="211" t="s">
        <v>80</v>
      </c>
      <c r="J281" s="211">
        <f>VLOOKUP(A281,'JULY-TB'!A:G,7,0)</f>
        <v>0</v>
      </c>
    </row>
    <row r="282" spans="1:10">
      <c r="A282" s="211" t="s">
        <v>626</v>
      </c>
      <c r="B282" s="211">
        <v>6794488.7999999998</v>
      </c>
      <c r="C282" s="211">
        <v>0</v>
      </c>
      <c r="D282" s="211">
        <v>6794488.7999999998</v>
      </c>
      <c r="E282" s="211">
        <v>0</v>
      </c>
      <c r="G282" s="211">
        <f t="shared" si="4"/>
        <v>0</v>
      </c>
      <c r="H282" s="211" t="s">
        <v>80</v>
      </c>
      <c r="J282" s="211">
        <f>VLOOKUP(A282,'JULY-TB'!A:G,7,0)</f>
        <v>0</v>
      </c>
    </row>
    <row r="283" spans="1:10">
      <c r="A283" s="211" t="s">
        <v>1140</v>
      </c>
      <c r="B283" s="211">
        <v>0</v>
      </c>
      <c r="C283" s="211">
        <v>0</v>
      </c>
      <c r="D283" s="211">
        <v>0</v>
      </c>
      <c r="E283" s="211">
        <v>0</v>
      </c>
      <c r="G283" s="211">
        <f t="shared" si="4"/>
        <v>0</v>
      </c>
      <c r="H283" s="211" t="s">
        <v>80</v>
      </c>
      <c r="J283" s="211">
        <f>VLOOKUP(A283,'JULY-TB'!A:G,7,0)</f>
        <v>0</v>
      </c>
    </row>
    <row r="284" spans="1:10">
      <c r="A284" s="211" t="s">
        <v>1141</v>
      </c>
      <c r="B284" s="211">
        <v>0</v>
      </c>
      <c r="C284" s="211">
        <v>0</v>
      </c>
      <c r="D284" s="211">
        <v>0</v>
      </c>
      <c r="E284" s="211">
        <v>0</v>
      </c>
      <c r="G284" s="211">
        <f t="shared" si="4"/>
        <v>0</v>
      </c>
      <c r="H284" s="211" t="s">
        <v>80</v>
      </c>
      <c r="J284" s="211">
        <f>VLOOKUP(A284,'JULY-TB'!A:G,7,0)</f>
        <v>0</v>
      </c>
    </row>
    <row r="285" spans="1:10">
      <c r="A285" s="211" t="s">
        <v>1142</v>
      </c>
      <c r="B285" s="211">
        <v>0</v>
      </c>
      <c r="C285" s="211">
        <v>0</v>
      </c>
      <c r="D285" s="211">
        <v>0</v>
      </c>
      <c r="E285" s="211">
        <v>0</v>
      </c>
      <c r="G285" s="211">
        <f t="shared" si="4"/>
        <v>0</v>
      </c>
      <c r="H285" s="211" t="s">
        <v>80</v>
      </c>
      <c r="J285" s="211">
        <f>VLOOKUP(A285,'JULY-TB'!A:G,7,0)</f>
        <v>0</v>
      </c>
    </row>
    <row r="286" spans="1:10">
      <c r="A286" s="211" t="s">
        <v>627</v>
      </c>
      <c r="B286" s="211">
        <v>4721686.2300000004</v>
      </c>
      <c r="C286" s="211">
        <v>0</v>
      </c>
      <c r="D286" s="211">
        <v>4721686.2</v>
      </c>
      <c r="E286" s="211">
        <v>0.03</v>
      </c>
      <c r="G286" s="211">
        <f t="shared" si="4"/>
        <v>0.03</v>
      </c>
      <c r="H286" s="211" t="s">
        <v>80</v>
      </c>
      <c r="J286" s="211">
        <f>VLOOKUP(A286,'JULY-TB'!A:G,7,0)</f>
        <v>0.03</v>
      </c>
    </row>
    <row r="287" spans="1:10">
      <c r="A287" s="211" t="s">
        <v>151</v>
      </c>
      <c r="B287" s="211">
        <v>7201164.3600000003</v>
      </c>
      <c r="C287" s="211">
        <v>11144635.91</v>
      </c>
      <c r="D287" s="211">
        <v>14049542.73</v>
      </c>
      <c r="E287" s="211">
        <v>4296257.54</v>
      </c>
      <c r="G287" s="211">
        <f t="shared" si="4"/>
        <v>4296257.54</v>
      </c>
      <c r="H287" s="211" t="s">
        <v>80</v>
      </c>
      <c r="J287" s="211">
        <f>VLOOKUP(A287,'JULY-TB'!A:G,7,0)</f>
        <v>4296257.54</v>
      </c>
    </row>
    <row r="288" spans="1:10">
      <c r="A288" s="211" t="s">
        <v>628</v>
      </c>
      <c r="B288" s="211">
        <v>2690844.76</v>
      </c>
      <c r="C288" s="211">
        <v>9357371.9499999993</v>
      </c>
      <c r="D288" s="211">
        <v>12048216.699999999</v>
      </c>
      <c r="E288" s="211">
        <v>0.01</v>
      </c>
      <c r="G288" s="211">
        <f t="shared" si="4"/>
        <v>0.01</v>
      </c>
      <c r="H288" s="211" t="s">
        <v>80</v>
      </c>
      <c r="J288" s="211">
        <f>VLOOKUP(A288,'JULY-TB'!A:G,7,0)</f>
        <v>4623247.76</v>
      </c>
    </row>
    <row r="289" spans="1:10">
      <c r="A289" s="211" t="s">
        <v>100</v>
      </c>
      <c r="B289" s="211">
        <v>0</v>
      </c>
      <c r="C289" s="211">
        <v>81035</v>
      </c>
      <c r="D289" s="211">
        <v>29360</v>
      </c>
      <c r="E289" s="211">
        <v>51675</v>
      </c>
      <c r="G289" s="211">
        <f t="shared" si="4"/>
        <v>51675</v>
      </c>
      <c r="H289" s="211" t="s">
        <v>80</v>
      </c>
      <c r="J289" s="211">
        <f>VLOOKUP(A289,'JULY-TB'!A:G,7,0)</f>
        <v>51675</v>
      </c>
    </row>
    <row r="290" spans="1:10">
      <c r="A290" s="211" t="s">
        <v>629</v>
      </c>
      <c r="B290" s="211">
        <v>566971</v>
      </c>
      <c r="C290" s="211">
        <v>0</v>
      </c>
      <c r="D290" s="211">
        <v>0</v>
      </c>
      <c r="E290" s="211">
        <v>566971</v>
      </c>
      <c r="G290" s="211">
        <f t="shared" si="4"/>
        <v>566971</v>
      </c>
      <c r="H290" s="211" t="s">
        <v>80</v>
      </c>
      <c r="J290" s="211">
        <f>VLOOKUP(A290,'JULY-TB'!A:G,7,0)</f>
        <v>566971</v>
      </c>
    </row>
    <row r="291" spans="1:10">
      <c r="A291" s="211" t="s">
        <v>104</v>
      </c>
      <c r="B291" s="211">
        <v>5785049.6100000003</v>
      </c>
      <c r="C291" s="211">
        <v>1102266.1200000001</v>
      </c>
      <c r="D291" s="211">
        <v>0</v>
      </c>
      <c r="E291" s="211">
        <v>6887315.7300000004</v>
      </c>
      <c r="G291" s="211">
        <f t="shared" si="4"/>
        <v>6887315.7300000004</v>
      </c>
      <c r="H291" s="211" t="s">
        <v>80</v>
      </c>
      <c r="J291" s="211">
        <f>VLOOKUP(A291,'JULY-TB'!A:G,7,0)</f>
        <v>6887315.7300000004</v>
      </c>
    </row>
    <row r="292" spans="1:10">
      <c r="A292" s="211" t="s">
        <v>630</v>
      </c>
      <c r="B292" s="211">
        <v>1828000</v>
      </c>
      <c r="C292" s="211">
        <v>0</v>
      </c>
      <c r="D292" s="211">
        <v>0</v>
      </c>
      <c r="E292" s="211">
        <v>1828000</v>
      </c>
      <c r="G292" s="211">
        <f t="shared" si="4"/>
        <v>1828000</v>
      </c>
      <c r="H292" s="211" t="s">
        <v>80</v>
      </c>
      <c r="J292" s="211">
        <f>VLOOKUP(A292,'JULY-TB'!A:G,7,0)</f>
        <v>1828000</v>
      </c>
    </row>
    <row r="293" spans="1:10">
      <c r="A293" s="211" t="s">
        <v>631</v>
      </c>
      <c r="B293" s="211">
        <v>15854746</v>
      </c>
      <c r="C293" s="211">
        <v>0</v>
      </c>
      <c r="D293" s="211">
        <v>0</v>
      </c>
      <c r="E293" s="211">
        <v>15854746</v>
      </c>
      <c r="G293" s="211">
        <f t="shared" si="4"/>
        <v>15854746</v>
      </c>
      <c r="H293" s="211" t="s">
        <v>80</v>
      </c>
      <c r="J293" s="211">
        <f>VLOOKUP(A293,'JULY-TB'!A:G,7,0)</f>
        <v>15854746</v>
      </c>
    </row>
    <row r="294" spans="1:10">
      <c r="A294" s="211" t="s">
        <v>632</v>
      </c>
      <c r="B294" s="211">
        <v>94670795.629999995</v>
      </c>
      <c r="C294" s="211">
        <v>0</v>
      </c>
      <c r="D294" s="211">
        <v>0</v>
      </c>
      <c r="E294" s="211">
        <v>94670795.629999995</v>
      </c>
      <c r="G294" s="211">
        <f t="shared" si="4"/>
        <v>94670795.629999995</v>
      </c>
      <c r="H294" s="211" t="s">
        <v>80</v>
      </c>
      <c r="J294" s="211">
        <f>VLOOKUP(A294,'JULY-TB'!A:G,7,0)</f>
        <v>94670795.629999995</v>
      </c>
    </row>
    <row r="295" spans="1:10">
      <c r="A295" s="211" t="s">
        <v>633</v>
      </c>
      <c r="B295" s="211">
        <v>25694213</v>
      </c>
      <c r="C295" s="211">
        <v>0</v>
      </c>
      <c r="D295" s="211">
        <v>0</v>
      </c>
      <c r="E295" s="211">
        <v>25694213</v>
      </c>
      <c r="G295" s="211">
        <f t="shared" si="4"/>
        <v>25694213</v>
      </c>
      <c r="H295" s="211" t="s">
        <v>80</v>
      </c>
      <c r="J295" s="211">
        <f>VLOOKUP(A295,'JULY-TB'!A:G,7,0)</f>
        <v>25694213</v>
      </c>
    </row>
    <row r="296" spans="1:10">
      <c r="A296" s="211" t="s">
        <v>634</v>
      </c>
      <c r="B296" s="211">
        <v>173049403.75</v>
      </c>
      <c r="C296" s="211">
        <v>0</v>
      </c>
      <c r="D296" s="211">
        <v>0</v>
      </c>
      <c r="E296" s="211">
        <v>173049403.75</v>
      </c>
      <c r="G296" s="211">
        <f t="shared" si="4"/>
        <v>173049403.75</v>
      </c>
      <c r="H296" s="211" t="s">
        <v>80</v>
      </c>
      <c r="J296" s="211">
        <f>VLOOKUP(A296,'JULY-TB'!A:G,7,0)</f>
        <v>173049403.75</v>
      </c>
    </row>
    <row r="297" spans="1:10">
      <c r="A297" s="211" t="s">
        <v>635</v>
      </c>
      <c r="B297" s="211">
        <v>520299.16</v>
      </c>
      <c r="C297" s="211">
        <v>249990.62</v>
      </c>
      <c r="D297" s="211">
        <v>0</v>
      </c>
      <c r="E297" s="211">
        <v>770289.78</v>
      </c>
      <c r="G297" s="211">
        <f t="shared" si="4"/>
        <v>770289.78</v>
      </c>
      <c r="H297" s="211" t="s">
        <v>80</v>
      </c>
      <c r="J297" s="211">
        <f>VLOOKUP(A297,'JULY-TB'!A:G,7,0)</f>
        <v>520299.16</v>
      </c>
    </row>
    <row r="298" spans="1:10">
      <c r="A298" s="211" t="s">
        <v>636</v>
      </c>
      <c r="B298" s="211">
        <v>23800</v>
      </c>
      <c r="C298" s="211">
        <v>0</v>
      </c>
      <c r="D298" s="211">
        <v>0</v>
      </c>
      <c r="E298" s="211">
        <v>23800</v>
      </c>
      <c r="G298" s="211">
        <f t="shared" si="4"/>
        <v>23800</v>
      </c>
      <c r="H298" s="211" t="s">
        <v>80</v>
      </c>
      <c r="J298" s="211">
        <f>VLOOKUP(A298,'JULY-TB'!A:G,7,0)</f>
        <v>23800</v>
      </c>
    </row>
    <row r="299" spans="1:10">
      <c r="A299" s="211" t="s">
        <v>98</v>
      </c>
      <c r="B299" s="211">
        <v>24500</v>
      </c>
      <c r="C299" s="211">
        <v>0</v>
      </c>
      <c r="D299" s="211">
        <v>0</v>
      </c>
      <c r="E299" s="211">
        <v>24500</v>
      </c>
      <c r="G299" s="211">
        <f t="shared" si="4"/>
        <v>24500</v>
      </c>
      <c r="H299" s="211" t="s">
        <v>80</v>
      </c>
      <c r="J299" s="211">
        <f>VLOOKUP(A299,'JULY-TB'!A:G,7,0)</f>
        <v>24500</v>
      </c>
    </row>
    <row r="300" spans="1:10">
      <c r="A300" s="211" t="s">
        <v>118</v>
      </c>
      <c r="B300" s="211">
        <v>177117.8</v>
      </c>
      <c r="C300" s="211">
        <v>0</v>
      </c>
      <c r="D300" s="211">
        <v>0</v>
      </c>
      <c r="E300" s="211">
        <v>177117.8</v>
      </c>
      <c r="G300" s="211">
        <f t="shared" si="4"/>
        <v>177117.8</v>
      </c>
      <c r="H300" s="211" t="s">
        <v>80</v>
      </c>
      <c r="J300" s="211">
        <f>VLOOKUP(A300,'JULY-TB'!A:G,7,0)</f>
        <v>177117.8</v>
      </c>
    </row>
    <row r="301" spans="1:10">
      <c r="A301" s="211" t="s">
        <v>120</v>
      </c>
      <c r="B301" s="211">
        <v>2213684.23</v>
      </c>
      <c r="C301" s="211">
        <v>1599914.32</v>
      </c>
      <c r="D301" s="211">
        <v>0</v>
      </c>
      <c r="E301" s="211">
        <v>3813598.55</v>
      </c>
      <c r="G301" s="211">
        <f t="shared" si="4"/>
        <v>3813598.55</v>
      </c>
      <c r="H301" s="211" t="s">
        <v>80</v>
      </c>
      <c r="J301" s="211">
        <f>VLOOKUP(A301,'JULY-TB'!A:G,7,0)</f>
        <v>3813598.55</v>
      </c>
    </row>
    <row r="302" spans="1:10">
      <c r="A302" s="211" t="s">
        <v>131</v>
      </c>
      <c r="B302" s="211">
        <v>200000</v>
      </c>
      <c r="C302" s="211">
        <v>0</v>
      </c>
      <c r="D302" s="211">
        <v>0</v>
      </c>
      <c r="E302" s="211">
        <v>200000</v>
      </c>
      <c r="G302" s="211">
        <f t="shared" si="4"/>
        <v>200000</v>
      </c>
      <c r="H302" s="211" t="s">
        <v>80</v>
      </c>
      <c r="J302" s="211">
        <f>VLOOKUP(A302,'JULY-TB'!A:G,7,0)</f>
        <v>200000</v>
      </c>
    </row>
    <row r="303" spans="1:10">
      <c r="A303" s="211" t="s">
        <v>637</v>
      </c>
      <c r="B303" s="211">
        <v>112500</v>
      </c>
      <c r="C303" s="211">
        <v>0</v>
      </c>
      <c r="D303" s="211">
        <v>0</v>
      </c>
      <c r="E303" s="211">
        <v>112500</v>
      </c>
      <c r="G303" s="211">
        <f t="shared" si="4"/>
        <v>112500</v>
      </c>
      <c r="H303" s="211" t="s">
        <v>80</v>
      </c>
      <c r="J303" s="211">
        <f>VLOOKUP(A303,'JULY-TB'!A:G,7,0)</f>
        <v>112500</v>
      </c>
    </row>
    <row r="304" spans="1:10">
      <c r="A304" s="211" t="s">
        <v>82</v>
      </c>
      <c r="B304" s="211">
        <v>2749599.1</v>
      </c>
      <c r="C304" s="211">
        <v>123728.81</v>
      </c>
      <c r="D304" s="211">
        <v>0</v>
      </c>
      <c r="E304" s="211">
        <v>2873327.91</v>
      </c>
      <c r="G304" s="211">
        <f t="shared" si="4"/>
        <v>2873327.91</v>
      </c>
      <c r="H304" s="211" t="s">
        <v>80</v>
      </c>
      <c r="J304" s="211">
        <f>VLOOKUP(A304,'JULY-TB'!A:G,7,0)</f>
        <v>2873327.91</v>
      </c>
    </row>
    <row r="305" spans="1:10">
      <c r="A305" s="211" t="s">
        <v>638</v>
      </c>
      <c r="B305" s="211">
        <v>4602992.92</v>
      </c>
      <c r="C305" s="211">
        <v>0</v>
      </c>
      <c r="D305" s="211">
        <v>0</v>
      </c>
      <c r="E305" s="211">
        <v>4602992.92</v>
      </c>
      <c r="G305" s="211">
        <f t="shared" si="4"/>
        <v>4602992.92</v>
      </c>
      <c r="H305" s="211" t="s">
        <v>80</v>
      </c>
      <c r="J305" s="211">
        <f>VLOOKUP(A305,'JULY-TB'!A:G,7,0)</f>
        <v>4602992.92</v>
      </c>
    </row>
    <row r="306" spans="1:10">
      <c r="A306" s="211" t="s">
        <v>639</v>
      </c>
      <c r="B306" s="211">
        <v>598700</v>
      </c>
      <c r="C306" s="211">
        <v>0</v>
      </c>
      <c r="D306" s="211">
        <v>0</v>
      </c>
      <c r="E306" s="211">
        <v>598700</v>
      </c>
      <c r="G306" s="211">
        <f t="shared" si="4"/>
        <v>598700</v>
      </c>
      <c r="H306" s="211" t="s">
        <v>80</v>
      </c>
      <c r="J306" s="211">
        <f>VLOOKUP(A306,'JULY-TB'!A:G,7,0)</f>
        <v>598700</v>
      </c>
    </row>
    <row r="307" spans="1:10">
      <c r="A307" s="211" t="s">
        <v>640</v>
      </c>
      <c r="B307" s="211">
        <v>285980</v>
      </c>
      <c r="C307" s="211">
        <v>0</v>
      </c>
      <c r="D307" s="211">
        <v>0</v>
      </c>
      <c r="E307" s="211">
        <v>285980</v>
      </c>
      <c r="G307" s="211">
        <f t="shared" si="4"/>
        <v>285980</v>
      </c>
      <c r="H307" s="211" t="s">
        <v>80</v>
      </c>
      <c r="J307" s="211">
        <f>VLOOKUP(A307,'JULY-TB'!A:G,7,0)</f>
        <v>285980</v>
      </c>
    </row>
    <row r="308" spans="1:10">
      <c r="A308" s="211" t="s">
        <v>641</v>
      </c>
      <c r="B308" s="211">
        <v>3462000</v>
      </c>
      <c r="C308" s="211">
        <v>0</v>
      </c>
      <c r="D308" s="211">
        <v>0</v>
      </c>
      <c r="E308" s="211">
        <v>3462000</v>
      </c>
      <c r="G308" s="211">
        <f t="shared" si="4"/>
        <v>3462000</v>
      </c>
      <c r="H308" s="211" t="s">
        <v>80</v>
      </c>
      <c r="J308" s="211">
        <f>VLOOKUP(A308,'JULY-TB'!A:G,7,0)</f>
        <v>3462000</v>
      </c>
    </row>
    <row r="309" spans="1:10">
      <c r="A309" s="211" t="s">
        <v>642</v>
      </c>
      <c r="B309" s="211">
        <v>1046000</v>
      </c>
      <c r="C309" s="211">
        <v>0</v>
      </c>
      <c r="D309" s="211">
        <v>0</v>
      </c>
      <c r="E309" s="211">
        <v>1046000</v>
      </c>
      <c r="G309" s="211">
        <f t="shared" si="4"/>
        <v>1046000</v>
      </c>
      <c r="H309" s="211" t="s">
        <v>80</v>
      </c>
      <c r="J309" s="211">
        <f>VLOOKUP(A309,'JULY-TB'!A:G,7,0)</f>
        <v>1046000</v>
      </c>
    </row>
    <row r="310" spans="1:10">
      <c r="A310" s="211" t="s">
        <v>643</v>
      </c>
      <c r="B310" s="211">
        <v>519855</v>
      </c>
      <c r="C310" s="211">
        <v>0</v>
      </c>
      <c r="D310" s="211">
        <v>0</v>
      </c>
      <c r="E310" s="211">
        <v>519855</v>
      </c>
      <c r="G310" s="211">
        <f t="shared" si="4"/>
        <v>519855</v>
      </c>
      <c r="H310" s="211" t="s">
        <v>80</v>
      </c>
      <c r="J310" s="211">
        <f>VLOOKUP(A310,'JULY-TB'!A:G,7,0)</f>
        <v>519855</v>
      </c>
    </row>
    <row r="311" spans="1:10">
      <c r="A311" s="211" t="s">
        <v>644</v>
      </c>
      <c r="B311" s="211">
        <v>75085.7</v>
      </c>
      <c r="C311" s="211">
        <v>0</v>
      </c>
      <c r="D311" s="211">
        <v>0</v>
      </c>
      <c r="E311" s="211">
        <v>75085.7</v>
      </c>
      <c r="G311" s="211">
        <f t="shared" si="4"/>
        <v>75085.7</v>
      </c>
      <c r="H311" s="211" t="s">
        <v>80</v>
      </c>
      <c r="J311" s="211">
        <f>VLOOKUP(A311,'JULY-TB'!A:G,7,0)</f>
        <v>75085.7</v>
      </c>
    </row>
    <row r="312" spans="1:10">
      <c r="A312" s="211" t="s">
        <v>645</v>
      </c>
      <c r="B312" s="211">
        <v>89971.98</v>
      </c>
      <c r="C312" s="211">
        <v>0</v>
      </c>
      <c r="D312" s="211">
        <v>0</v>
      </c>
      <c r="E312" s="211">
        <v>89971.98</v>
      </c>
      <c r="G312" s="211">
        <f t="shared" si="4"/>
        <v>89971.98</v>
      </c>
      <c r="H312" s="211" t="s">
        <v>80</v>
      </c>
      <c r="J312" s="211">
        <f>VLOOKUP(A312,'JULY-TB'!A:G,7,0)</f>
        <v>89971.98</v>
      </c>
    </row>
    <row r="313" spans="1:10">
      <c r="A313" s="211" t="s">
        <v>646</v>
      </c>
      <c r="B313" s="211">
        <v>5570.4</v>
      </c>
      <c r="C313" s="211">
        <v>55500</v>
      </c>
      <c r="D313" s="211">
        <v>0</v>
      </c>
      <c r="E313" s="211">
        <v>61070.400000000001</v>
      </c>
      <c r="G313" s="211">
        <f t="shared" si="4"/>
        <v>61070.400000000001</v>
      </c>
      <c r="H313" s="211" t="s">
        <v>80</v>
      </c>
      <c r="J313" s="211">
        <f>VLOOKUP(A313,'JULY-TB'!A:G,7,0)</f>
        <v>5570.4</v>
      </c>
    </row>
    <row r="314" spans="1:10">
      <c r="A314" s="211" t="s">
        <v>647</v>
      </c>
      <c r="B314" s="211">
        <v>12500</v>
      </c>
      <c r="C314" s="211">
        <v>0</v>
      </c>
      <c r="D314" s="211">
        <v>0</v>
      </c>
      <c r="E314" s="211">
        <v>12500</v>
      </c>
      <c r="G314" s="211">
        <f t="shared" si="4"/>
        <v>12500</v>
      </c>
      <c r="H314" s="211" t="s">
        <v>80</v>
      </c>
      <c r="J314" s="211">
        <f>VLOOKUP(A314,'JULY-TB'!A:G,7,0)</f>
        <v>12500</v>
      </c>
    </row>
    <row r="315" spans="1:10">
      <c r="A315" s="211" t="s">
        <v>648</v>
      </c>
      <c r="B315" s="211">
        <v>38680854.859999999</v>
      </c>
      <c r="C315" s="211">
        <v>466420.9</v>
      </c>
      <c r="D315" s="211">
        <v>0</v>
      </c>
      <c r="E315" s="211">
        <v>39147275.759999998</v>
      </c>
      <c r="G315" s="211">
        <f t="shared" si="4"/>
        <v>39147275.759999998</v>
      </c>
      <c r="H315" s="211" t="s">
        <v>80</v>
      </c>
      <c r="J315" s="211">
        <f>VLOOKUP(A315,'JULY-TB'!A:G,7,0)</f>
        <v>39147275.759999998</v>
      </c>
    </row>
    <row r="316" spans="1:10">
      <c r="A316" s="211" t="s">
        <v>1143</v>
      </c>
      <c r="B316" s="211">
        <v>0</v>
      </c>
      <c r="C316" s="211">
        <v>0</v>
      </c>
      <c r="D316" s="211">
        <v>0</v>
      </c>
      <c r="E316" s="211">
        <v>0</v>
      </c>
      <c r="G316" s="211">
        <f t="shared" si="4"/>
        <v>0</v>
      </c>
      <c r="H316" s="211" t="s">
        <v>80</v>
      </c>
      <c r="J316" s="211">
        <f>VLOOKUP(A316,'JULY-TB'!A:G,7,0)</f>
        <v>0</v>
      </c>
    </row>
    <row r="317" spans="1:10">
      <c r="A317" s="211" t="s">
        <v>101</v>
      </c>
      <c r="B317" s="211">
        <v>602491</v>
      </c>
      <c r="C317" s="211">
        <v>9334.5400000000009</v>
      </c>
      <c r="D317" s="211">
        <v>0</v>
      </c>
      <c r="E317" s="211">
        <v>611825.54</v>
      </c>
      <c r="G317" s="211">
        <f t="shared" si="4"/>
        <v>611825.54</v>
      </c>
      <c r="H317" s="211" t="s">
        <v>80</v>
      </c>
      <c r="J317" s="211">
        <f>VLOOKUP(A317,'JULY-TB'!A:G,7,0)</f>
        <v>611825.54</v>
      </c>
    </row>
    <row r="318" spans="1:10">
      <c r="A318" s="211" t="s">
        <v>649</v>
      </c>
      <c r="B318" s="211">
        <v>121985.1</v>
      </c>
      <c r="C318" s="211">
        <v>0</v>
      </c>
      <c r="D318" s="211">
        <v>0</v>
      </c>
      <c r="E318" s="211">
        <v>121985.1</v>
      </c>
      <c r="G318" s="211">
        <f t="shared" si="4"/>
        <v>121985.1</v>
      </c>
      <c r="H318" s="211" t="s">
        <v>80</v>
      </c>
      <c r="J318" s="211">
        <f>VLOOKUP(A318,'JULY-TB'!A:G,7,0)</f>
        <v>121985.1</v>
      </c>
    </row>
    <row r="319" spans="1:10">
      <c r="A319" s="211" t="s">
        <v>650</v>
      </c>
      <c r="B319" s="211">
        <v>84189.4</v>
      </c>
      <c r="C319" s="211">
        <v>0</v>
      </c>
      <c r="D319" s="211">
        <v>0</v>
      </c>
      <c r="E319" s="211">
        <v>84189.4</v>
      </c>
      <c r="G319" s="211">
        <f t="shared" si="4"/>
        <v>84189.4</v>
      </c>
      <c r="H319" s="211" t="s">
        <v>80</v>
      </c>
      <c r="J319" s="211">
        <f>VLOOKUP(A319,'JULY-TB'!A:G,7,0)</f>
        <v>84189.4</v>
      </c>
    </row>
    <row r="320" spans="1:10">
      <c r="A320" s="211" t="s">
        <v>651</v>
      </c>
      <c r="B320" s="211">
        <v>188650</v>
      </c>
      <c r="C320" s="211">
        <v>0</v>
      </c>
      <c r="D320" s="211">
        <v>0</v>
      </c>
      <c r="E320" s="211">
        <v>188650</v>
      </c>
      <c r="G320" s="211">
        <f t="shared" si="4"/>
        <v>188650</v>
      </c>
      <c r="H320" s="211" t="s">
        <v>80</v>
      </c>
      <c r="J320" s="211">
        <f>VLOOKUP(A320,'JULY-TB'!A:G,7,0)</f>
        <v>188650</v>
      </c>
    </row>
    <row r="321" spans="1:10">
      <c r="A321" s="211" t="s">
        <v>652</v>
      </c>
      <c r="B321" s="211">
        <v>315000</v>
      </c>
      <c r="C321" s="211">
        <v>0</v>
      </c>
      <c r="D321" s="211">
        <v>0</v>
      </c>
      <c r="E321" s="211">
        <v>315000</v>
      </c>
      <c r="G321" s="211">
        <f t="shared" si="4"/>
        <v>315000</v>
      </c>
      <c r="H321" s="211" t="s">
        <v>80</v>
      </c>
      <c r="J321" s="211">
        <f>VLOOKUP(A321,'JULY-TB'!A:G,7,0)</f>
        <v>315000</v>
      </c>
    </row>
    <row r="322" spans="1:10">
      <c r="A322" s="211" t="s">
        <v>653</v>
      </c>
      <c r="B322" s="211">
        <v>315000</v>
      </c>
      <c r="C322" s="211">
        <v>0</v>
      </c>
      <c r="D322" s="211">
        <v>0</v>
      </c>
      <c r="E322" s="211">
        <v>315000</v>
      </c>
      <c r="G322" s="211">
        <f t="shared" si="4"/>
        <v>315000</v>
      </c>
      <c r="H322" s="211" t="s">
        <v>80</v>
      </c>
      <c r="J322" s="211">
        <f>VLOOKUP(A322,'JULY-TB'!A:G,7,0)</f>
        <v>315000</v>
      </c>
    </row>
    <row r="323" spans="1:10">
      <c r="A323" s="211" t="s">
        <v>97</v>
      </c>
      <c r="B323" s="211">
        <v>10284000</v>
      </c>
      <c r="C323" s="211">
        <v>0</v>
      </c>
      <c r="D323" s="211">
        <v>0</v>
      </c>
      <c r="E323" s="211">
        <v>10284000</v>
      </c>
      <c r="G323" s="211">
        <f t="shared" si="4"/>
        <v>10284000</v>
      </c>
      <c r="H323" s="211" t="s">
        <v>80</v>
      </c>
      <c r="J323" s="211">
        <f>VLOOKUP(A323,'JULY-TB'!A:G,7,0)</f>
        <v>10284000</v>
      </c>
    </row>
    <row r="324" spans="1:10">
      <c r="A324" s="211" t="s">
        <v>654</v>
      </c>
      <c r="B324" s="211">
        <v>355999.99</v>
      </c>
      <c r="C324" s="211">
        <v>0</v>
      </c>
      <c r="D324" s="211">
        <v>0</v>
      </c>
      <c r="E324" s="211">
        <v>355999.99</v>
      </c>
      <c r="G324" s="211">
        <f t="shared" ref="G324:G387" si="5">E324+F324</f>
        <v>355999.99</v>
      </c>
      <c r="H324" s="211" t="s">
        <v>80</v>
      </c>
      <c r="J324" s="211">
        <f>VLOOKUP(A324,'JULY-TB'!A:G,7,0)</f>
        <v>355999.99</v>
      </c>
    </row>
    <row r="325" spans="1:10">
      <c r="A325" s="211" t="s">
        <v>110</v>
      </c>
      <c r="B325" s="211">
        <v>4900000</v>
      </c>
      <c r="C325" s="211">
        <v>0</v>
      </c>
      <c r="D325" s="211">
        <v>0</v>
      </c>
      <c r="E325" s="211">
        <v>4900000</v>
      </c>
      <c r="G325" s="211">
        <f t="shared" si="5"/>
        <v>4900000</v>
      </c>
      <c r="H325" s="211" t="s">
        <v>80</v>
      </c>
      <c r="J325" s="211">
        <f>VLOOKUP(A325,'JULY-TB'!A:G,7,0)</f>
        <v>4900000</v>
      </c>
    </row>
    <row r="326" spans="1:10">
      <c r="A326" s="211" t="s">
        <v>655</v>
      </c>
      <c r="B326" s="211">
        <v>1920666.88</v>
      </c>
      <c r="C326" s="211">
        <v>0</v>
      </c>
      <c r="D326" s="211">
        <v>0</v>
      </c>
      <c r="E326" s="211">
        <v>1920666.88</v>
      </c>
      <c r="G326" s="211">
        <f t="shared" si="5"/>
        <v>1920666.88</v>
      </c>
      <c r="H326" s="211" t="s">
        <v>80</v>
      </c>
      <c r="J326" s="211">
        <f>VLOOKUP(A326,'JULY-TB'!A:G,7,0)</f>
        <v>1920666.88</v>
      </c>
    </row>
    <row r="327" spans="1:10">
      <c r="A327" s="211" t="s">
        <v>656</v>
      </c>
      <c r="B327" s="211">
        <v>3838045.93</v>
      </c>
      <c r="C327" s="211">
        <v>0</v>
      </c>
      <c r="D327" s="211">
        <v>0</v>
      </c>
      <c r="E327" s="211">
        <v>3838045.93</v>
      </c>
      <c r="G327" s="211">
        <f t="shared" si="5"/>
        <v>3838045.93</v>
      </c>
      <c r="H327" s="211" t="s">
        <v>80</v>
      </c>
      <c r="J327" s="211">
        <f>VLOOKUP(A327,'JULY-TB'!A:G,7,0)</f>
        <v>3838045.93</v>
      </c>
    </row>
    <row r="328" spans="1:10">
      <c r="A328" s="211" t="s">
        <v>657</v>
      </c>
      <c r="B328" s="211">
        <v>1655000</v>
      </c>
      <c r="C328" s="211">
        <v>0</v>
      </c>
      <c r="D328" s="211">
        <v>0</v>
      </c>
      <c r="E328" s="211">
        <v>1655000</v>
      </c>
      <c r="G328" s="211">
        <f t="shared" si="5"/>
        <v>1655000</v>
      </c>
      <c r="H328" s="211" t="s">
        <v>80</v>
      </c>
      <c r="J328" s="211">
        <f>VLOOKUP(A328,'JULY-TB'!A:G,7,0)</f>
        <v>1655000</v>
      </c>
    </row>
    <row r="329" spans="1:10">
      <c r="A329" s="211" t="s">
        <v>142</v>
      </c>
      <c r="B329" s="211">
        <v>722000</v>
      </c>
      <c r="C329" s="211">
        <v>0</v>
      </c>
      <c r="D329" s="211">
        <v>0</v>
      </c>
      <c r="E329" s="211">
        <v>722000</v>
      </c>
      <c r="G329" s="211">
        <f t="shared" si="5"/>
        <v>722000</v>
      </c>
      <c r="H329" s="211" t="s">
        <v>80</v>
      </c>
      <c r="J329" s="211">
        <f>VLOOKUP(A329,'JULY-TB'!A:G,7,0)</f>
        <v>722000</v>
      </c>
    </row>
    <row r="330" spans="1:10">
      <c r="A330" s="211" t="s">
        <v>658</v>
      </c>
      <c r="B330" s="211">
        <v>137000</v>
      </c>
      <c r="C330" s="211">
        <v>0</v>
      </c>
      <c r="D330" s="211">
        <v>0</v>
      </c>
      <c r="E330" s="211">
        <v>137000</v>
      </c>
      <c r="G330" s="211">
        <f t="shared" si="5"/>
        <v>137000</v>
      </c>
      <c r="H330" s="211" t="s">
        <v>80</v>
      </c>
      <c r="J330" s="211">
        <f>VLOOKUP(A330,'JULY-TB'!A:G,7,0)</f>
        <v>137000</v>
      </c>
    </row>
    <row r="331" spans="1:10">
      <c r="A331" s="211" t="s">
        <v>659</v>
      </c>
      <c r="B331" s="211">
        <v>37000</v>
      </c>
      <c r="C331" s="211">
        <v>0</v>
      </c>
      <c r="D331" s="211">
        <v>0</v>
      </c>
      <c r="E331" s="211">
        <v>37000</v>
      </c>
      <c r="G331" s="211">
        <f t="shared" si="5"/>
        <v>37000</v>
      </c>
      <c r="H331" s="211" t="s">
        <v>80</v>
      </c>
      <c r="J331" s="211">
        <f>VLOOKUP(A331,'JULY-TB'!A:G,7,0)</f>
        <v>37000</v>
      </c>
    </row>
    <row r="332" spans="1:10">
      <c r="A332" s="211" t="s">
        <v>660</v>
      </c>
      <c r="B332" s="211">
        <v>333354</v>
      </c>
      <c r="C332" s="211">
        <v>0</v>
      </c>
      <c r="D332" s="211">
        <v>0</v>
      </c>
      <c r="E332" s="211">
        <v>333354</v>
      </c>
      <c r="G332" s="211">
        <f t="shared" si="5"/>
        <v>333354</v>
      </c>
      <c r="H332" s="211" t="s">
        <v>80</v>
      </c>
      <c r="J332" s="211">
        <f>VLOOKUP(A332,'JULY-TB'!A:G,7,0)</f>
        <v>333354</v>
      </c>
    </row>
    <row r="333" spans="1:10">
      <c r="A333" s="211" t="s">
        <v>661</v>
      </c>
      <c r="B333" s="211">
        <v>55874.5</v>
      </c>
      <c r="C333" s="211">
        <v>0</v>
      </c>
      <c r="D333" s="211">
        <v>0</v>
      </c>
      <c r="E333" s="211">
        <v>55874.5</v>
      </c>
      <c r="G333" s="211">
        <f t="shared" si="5"/>
        <v>55874.5</v>
      </c>
      <c r="H333" s="211" t="s">
        <v>80</v>
      </c>
      <c r="J333" s="211">
        <f>VLOOKUP(A333,'JULY-TB'!A:G,7,0)</f>
        <v>55874.5</v>
      </c>
    </row>
    <row r="334" spans="1:10">
      <c r="A334" s="211" t="s">
        <v>662</v>
      </c>
      <c r="B334" s="211">
        <v>118000</v>
      </c>
      <c r="C334" s="211">
        <v>0</v>
      </c>
      <c r="D334" s="211">
        <v>0</v>
      </c>
      <c r="E334" s="211">
        <v>118000</v>
      </c>
      <c r="G334" s="211">
        <f t="shared" si="5"/>
        <v>118000</v>
      </c>
      <c r="H334" s="211" t="s">
        <v>80</v>
      </c>
      <c r="J334" s="211">
        <f>VLOOKUP(A334,'JULY-TB'!A:G,7,0)</f>
        <v>118000</v>
      </c>
    </row>
    <row r="335" spans="1:10">
      <c r="A335" s="211" t="s">
        <v>663</v>
      </c>
      <c r="B335" s="211">
        <v>1088169.3</v>
      </c>
      <c r="C335" s="211">
        <v>0</v>
      </c>
      <c r="D335" s="211">
        <v>0</v>
      </c>
      <c r="E335" s="211">
        <v>1088169.3</v>
      </c>
      <c r="G335" s="211">
        <f t="shared" si="5"/>
        <v>1088169.3</v>
      </c>
      <c r="H335" s="211" t="s">
        <v>80</v>
      </c>
      <c r="J335" s="211">
        <f>VLOOKUP(A335,'JULY-TB'!A:G,7,0)</f>
        <v>1088169.3</v>
      </c>
    </row>
    <row r="336" spans="1:10">
      <c r="A336" s="211" t="s">
        <v>664</v>
      </c>
      <c r="B336" s="211">
        <v>7569717</v>
      </c>
      <c r="C336" s="211">
        <v>0</v>
      </c>
      <c r="D336" s="211">
        <v>0</v>
      </c>
      <c r="E336" s="211">
        <v>7569717</v>
      </c>
      <c r="G336" s="211">
        <f t="shared" si="5"/>
        <v>7569717</v>
      </c>
      <c r="H336" s="211" t="s">
        <v>80</v>
      </c>
      <c r="J336" s="211">
        <f>VLOOKUP(A336,'JULY-TB'!A:G,7,0)</f>
        <v>7569717</v>
      </c>
    </row>
    <row r="337" spans="1:10">
      <c r="A337" s="211" t="s">
        <v>665</v>
      </c>
      <c r="B337" s="211">
        <v>1150000</v>
      </c>
      <c r="C337" s="211">
        <v>0</v>
      </c>
      <c r="D337" s="211">
        <v>0</v>
      </c>
      <c r="E337" s="211">
        <v>1150000</v>
      </c>
      <c r="G337" s="211">
        <f t="shared" si="5"/>
        <v>1150000</v>
      </c>
      <c r="H337" s="211" t="s">
        <v>80</v>
      </c>
      <c r="J337" s="211">
        <f>VLOOKUP(A337,'JULY-TB'!A:G,7,0)</f>
        <v>1150000</v>
      </c>
    </row>
    <row r="338" spans="1:10">
      <c r="A338" s="211" t="s">
        <v>111</v>
      </c>
      <c r="B338" s="211">
        <v>262400</v>
      </c>
      <c r="C338" s="211">
        <v>0</v>
      </c>
      <c r="D338" s="211">
        <v>0</v>
      </c>
      <c r="E338" s="211">
        <v>262400</v>
      </c>
      <c r="G338" s="211">
        <f t="shared" si="5"/>
        <v>262400</v>
      </c>
      <c r="H338" s="211" t="s">
        <v>80</v>
      </c>
      <c r="J338" s="211">
        <f>VLOOKUP(A338,'JULY-TB'!A:G,7,0)</f>
        <v>262400</v>
      </c>
    </row>
    <row r="339" spans="1:10">
      <c r="A339" s="211" t="s">
        <v>666</v>
      </c>
      <c r="B339" s="211">
        <v>690000</v>
      </c>
      <c r="C339" s="211">
        <v>0</v>
      </c>
      <c r="D339" s="211">
        <v>0</v>
      </c>
      <c r="E339" s="211">
        <v>690000</v>
      </c>
      <c r="G339" s="211">
        <f t="shared" si="5"/>
        <v>690000</v>
      </c>
      <c r="H339" s="211" t="s">
        <v>80</v>
      </c>
      <c r="J339" s="211">
        <f>VLOOKUP(A339,'JULY-TB'!A:G,7,0)</f>
        <v>690000</v>
      </c>
    </row>
    <row r="340" spans="1:10">
      <c r="A340" s="211" t="s">
        <v>667</v>
      </c>
      <c r="B340" s="211">
        <v>5025000</v>
      </c>
      <c r="C340" s="211">
        <v>0</v>
      </c>
      <c r="D340" s="211">
        <v>0</v>
      </c>
      <c r="E340" s="211">
        <v>5025000</v>
      </c>
      <c r="G340" s="211">
        <f t="shared" si="5"/>
        <v>5025000</v>
      </c>
      <c r="H340" s="211" t="s">
        <v>80</v>
      </c>
      <c r="J340" s="211">
        <f>VLOOKUP(A340,'JULY-TB'!A:G,7,0)</f>
        <v>5025000</v>
      </c>
    </row>
    <row r="341" spans="1:10">
      <c r="A341" s="211" t="s">
        <v>668</v>
      </c>
      <c r="B341" s="211">
        <v>115507</v>
      </c>
      <c r="C341" s="211">
        <v>0</v>
      </c>
      <c r="D341" s="211">
        <v>0</v>
      </c>
      <c r="E341" s="211">
        <v>115507</v>
      </c>
      <c r="G341" s="211">
        <f t="shared" si="5"/>
        <v>115507</v>
      </c>
      <c r="H341" s="211" t="s">
        <v>80</v>
      </c>
      <c r="J341" s="211">
        <f>VLOOKUP(A341,'JULY-TB'!A:G,7,0)</f>
        <v>115507</v>
      </c>
    </row>
    <row r="342" spans="1:10">
      <c r="A342" s="211" t="s">
        <v>669</v>
      </c>
      <c r="B342" s="211">
        <v>797721</v>
      </c>
      <c r="C342" s="211">
        <v>0</v>
      </c>
      <c r="D342" s="211">
        <v>0</v>
      </c>
      <c r="E342" s="211">
        <v>797721</v>
      </c>
      <c r="G342" s="211">
        <f t="shared" si="5"/>
        <v>797721</v>
      </c>
      <c r="H342" s="211" t="s">
        <v>80</v>
      </c>
      <c r="J342" s="211">
        <f>VLOOKUP(A342,'JULY-TB'!A:G,7,0)</f>
        <v>797721</v>
      </c>
    </row>
    <row r="343" spans="1:10">
      <c r="A343" s="211" t="s">
        <v>670</v>
      </c>
      <c r="B343" s="211">
        <v>2428500</v>
      </c>
      <c r="C343" s="211">
        <v>0</v>
      </c>
      <c r="D343" s="211">
        <v>0</v>
      </c>
      <c r="E343" s="211">
        <v>2428500</v>
      </c>
      <c r="G343" s="211">
        <f t="shared" si="5"/>
        <v>2428500</v>
      </c>
      <c r="H343" s="211" t="s">
        <v>80</v>
      </c>
      <c r="J343" s="211">
        <f>VLOOKUP(A343,'JULY-TB'!A:G,7,0)</f>
        <v>2428500</v>
      </c>
    </row>
    <row r="344" spans="1:10">
      <c r="A344" s="211" t="s">
        <v>671</v>
      </c>
      <c r="B344" s="211">
        <v>2379800</v>
      </c>
      <c r="C344" s="211">
        <v>0</v>
      </c>
      <c r="D344" s="211">
        <v>0</v>
      </c>
      <c r="E344" s="211">
        <v>2379800</v>
      </c>
      <c r="G344" s="211">
        <f t="shared" si="5"/>
        <v>2379800</v>
      </c>
      <c r="H344" s="211" t="s">
        <v>80</v>
      </c>
      <c r="J344" s="211">
        <f>VLOOKUP(A344,'JULY-TB'!A:G,7,0)</f>
        <v>2379800</v>
      </c>
    </row>
    <row r="345" spans="1:10">
      <c r="A345" s="211" t="s">
        <v>119</v>
      </c>
      <c r="B345" s="211">
        <v>3000235.6</v>
      </c>
      <c r="C345" s="211">
        <v>0</v>
      </c>
      <c r="D345" s="211">
        <v>0</v>
      </c>
      <c r="E345" s="211">
        <v>3000235.6</v>
      </c>
      <c r="G345" s="211">
        <f t="shared" si="5"/>
        <v>3000235.6</v>
      </c>
      <c r="H345" s="211" t="s">
        <v>80</v>
      </c>
      <c r="J345" s="211">
        <f>VLOOKUP(A345,'JULY-TB'!A:G,7,0)</f>
        <v>3000235.6</v>
      </c>
    </row>
    <row r="346" spans="1:10">
      <c r="A346" s="211" t="s">
        <v>90</v>
      </c>
      <c r="B346" s="211">
        <v>256800</v>
      </c>
      <c r="C346" s="211">
        <v>0</v>
      </c>
      <c r="D346" s="211">
        <v>0</v>
      </c>
      <c r="E346" s="211">
        <v>256800</v>
      </c>
      <c r="G346" s="211">
        <f t="shared" si="5"/>
        <v>256800</v>
      </c>
      <c r="H346" s="211" t="s">
        <v>80</v>
      </c>
      <c r="J346" s="211">
        <f>VLOOKUP(A346,'JULY-TB'!A:G,7,0)</f>
        <v>256800</v>
      </c>
    </row>
    <row r="347" spans="1:10">
      <c r="A347" s="211" t="s">
        <v>103</v>
      </c>
      <c r="B347" s="211">
        <v>298965.82</v>
      </c>
      <c r="C347" s="211">
        <v>0</v>
      </c>
      <c r="D347" s="211">
        <v>0</v>
      </c>
      <c r="E347" s="211">
        <v>298965.82</v>
      </c>
      <c r="G347" s="211">
        <f t="shared" si="5"/>
        <v>298965.82</v>
      </c>
      <c r="H347" s="211" t="s">
        <v>80</v>
      </c>
      <c r="J347" s="211">
        <f>VLOOKUP(A347,'JULY-TB'!A:G,7,0)</f>
        <v>298965.82</v>
      </c>
    </row>
    <row r="348" spans="1:10">
      <c r="A348" s="211" t="s">
        <v>672</v>
      </c>
      <c r="B348" s="211">
        <v>13830</v>
      </c>
      <c r="C348" s="211">
        <v>0</v>
      </c>
      <c r="D348" s="211">
        <v>0</v>
      </c>
      <c r="E348" s="211">
        <v>13830</v>
      </c>
      <c r="G348" s="211">
        <f t="shared" si="5"/>
        <v>13830</v>
      </c>
      <c r="H348" s="211" t="s">
        <v>80</v>
      </c>
      <c r="J348" s="211">
        <f>VLOOKUP(A348,'JULY-TB'!A:G,7,0)</f>
        <v>13830</v>
      </c>
    </row>
    <row r="349" spans="1:10">
      <c r="A349" s="211" t="s">
        <v>125</v>
      </c>
      <c r="B349" s="211">
        <v>145950944.11000001</v>
      </c>
      <c r="C349" s="211">
        <v>1813646.8</v>
      </c>
      <c r="D349" s="211">
        <v>4551555</v>
      </c>
      <c r="E349" s="211">
        <v>143213035.91</v>
      </c>
      <c r="G349" s="211">
        <f t="shared" si="5"/>
        <v>143213035.91</v>
      </c>
      <c r="H349" s="211" t="s">
        <v>80</v>
      </c>
      <c r="J349" s="211">
        <f>VLOOKUP(A349,'JULY-TB'!A:G,7,0)</f>
        <v>142773035.91</v>
      </c>
    </row>
    <row r="350" spans="1:10">
      <c r="A350" s="211" t="s">
        <v>673</v>
      </c>
      <c r="B350" s="211">
        <v>206006</v>
      </c>
      <c r="C350" s="211">
        <v>0</v>
      </c>
      <c r="D350" s="211">
        <v>0</v>
      </c>
      <c r="E350" s="211">
        <v>206006</v>
      </c>
      <c r="G350" s="211">
        <f t="shared" si="5"/>
        <v>206006</v>
      </c>
      <c r="H350" s="211" t="s">
        <v>80</v>
      </c>
      <c r="J350" s="211">
        <f>VLOOKUP(A350,'JULY-TB'!A:G,7,0)</f>
        <v>206006</v>
      </c>
    </row>
    <row r="351" spans="1:10">
      <c r="A351" s="211" t="s">
        <v>137</v>
      </c>
      <c r="B351" s="211">
        <v>36265015.420000002</v>
      </c>
      <c r="C351" s="211">
        <v>70375000</v>
      </c>
      <c r="D351" s="211">
        <v>0</v>
      </c>
      <c r="E351" s="211">
        <v>106640015.42</v>
      </c>
      <c r="G351" s="211">
        <f t="shared" si="5"/>
        <v>106640015.42</v>
      </c>
      <c r="H351" s="211" t="s">
        <v>80</v>
      </c>
      <c r="J351" s="211">
        <f>VLOOKUP(A351,'JULY-TB'!A:G,7,0)</f>
        <v>106640015.42</v>
      </c>
    </row>
    <row r="352" spans="1:10">
      <c r="A352" s="211" t="s">
        <v>674</v>
      </c>
      <c r="B352" s="211">
        <v>128000</v>
      </c>
      <c r="C352" s="211">
        <v>0</v>
      </c>
      <c r="D352" s="211">
        <v>0</v>
      </c>
      <c r="E352" s="211">
        <v>128000</v>
      </c>
      <c r="G352" s="211">
        <f t="shared" si="5"/>
        <v>128000</v>
      </c>
      <c r="H352" s="211" t="s">
        <v>80</v>
      </c>
      <c r="J352" s="211">
        <f>VLOOKUP(A352,'JULY-TB'!A:G,7,0)</f>
        <v>128000</v>
      </c>
    </row>
    <row r="353" spans="1:10">
      <c r="A353" s="211" t="s">
        <v>675</v>
      </c>
      <c r="B353" s="211">
        <v>622000</v>
      </c>
      <c r="C353" s="211">
        <v>0</v>
      </c>
      <c r="D353" s="211">
        <v>0</v>
      </c>
      <c r="E353" s="211">
        <v>622000</v>
      </c>
      <c r="G353" s="211">
        <f t="shared" si="5"/>
        <v>622000</v>
      </c>
      <c r="H353" s="211" t="s">
        <v>80</v>
      </c>
      <c r="J353" s="211">
        <f>VLOOKUP(A353,'JULY-TB'!A:G,7,0)</f>
        <v>622000</v>
      </c>
    </row>
    <row r="354" spans="1:10">
      <c r="A354" s="211" t="s">
        <v>676</v>
      </c>
      <c r="B354" s="211">
        <v>1600000</v>
      </c>
      <c r="C354" s="211">
        <v>0</v>
      </c>
      <c r="D354" s="211">
        <v>0</v>
      </c>
      <c r="E354" s="211">
        <v>1600000</v>
      </c>
      <c r="G354" s="211">
        <f t="shared" si="5"/>
        <v>1600000</v>
      </c>
      <c r="H354" s="211" t="s">
        <v>80</v>
      </c>
      <c r="J354" s="211">
        <f>VLOOKUP(A354,'JULY-TB'!A:G,7,0)</f>
        <v>1600000</v>
      </c>
    </row>
    <row r="355" spans="1:10">
      <c r="A355" s="211" t="s">
        <v>677</v>
      </c>
      <c r="B355" s="211">
        <v>400000</v>
      </c>
      <c r="C355" s="211">
        <v>0</v>
      </c>
      <c r="D355" s="211">
        <v>0</v>
      </c>
      <c r="E355" s="211">
        <v>400000</v>
      </c>
      <c r="G355" s="211">
        <f t="shared" si="5"/>
        <v>400000</v>
      </c>
      <c r="H355" s="211" t="s">
        <v>80</v>
      </c>
      <c r="J355" s="211">
        <f>VLOOKUP(A355,'JULY-TB'!A:G,7,0)</f>
        <v>400000</v>
      </c>
    </row>
    <row r="356" spans="1:10">
      <c r="A356" s="211" t="s">
        <v>678</v>
      </c>
      <c r="B356" s="211">
        <v>2200000</v>
      </c>
      <c r="C356" s="211">
        <v>0</v>
      </c>
      <c r="D356" s="211">
        <v>0</v>
      </c>
      <c r="E356" s="211">
        <v>2200000</v>
      </c>
      <c r="G356" s="211">
        <f t="shared" si="5"/>
        <v>2200000</v>
      </c>
      <c r="H356" s="211" t="s">
        <v>80</v>
      </c>
      <c r="J356" s="211">
        <f>VLOOKUP(A356,'JULY-TB'!A:G,7,0)</f>
        <v>2200000</v>
      </c>
    </row>
    <row r="357" spans="1:10">
      <c r="A357" s="211" t="s">
        <v>140</v>
      </c>
      <c r="B357" s="211">
        <v>6546275.29</v>
      </c>
      <c r="C357" s="211">
        <v>0</v>
      </c>
      <c r="D357" s="211">
        <v>0</v>
      </c>
      <c r="E357" s="211">
        <v>6546275.29</v>
      </c>
      <c r="G357" s="211">
        <f t="shared" si="5"/>
        <v>6546275.29</v>
      </c>
      <c r="H357" s="211" t="s">
        <v>80</v>
      </c>
      <c r="J357" s="211">
        <f>VLOOKUP(A357,'JULY-TB'!A:G,7,0)</f>
        <v>6546275.29</v>
      </c>
    </row>
    <row r="358" spans="1:10">
      <c r="A358" s="211" t="s">
        <v>679</v>
      </c>
      <c r="B358" s="211">
        <v>594227.06999999995</v>
      </c>
      <c r="C358" s="211">
        <v>0</v>
      </c>
      <c r="D358" s="211">
        <v>0</v>
      </c>
      <c r="E358" s="211">
        <v>594227.06999999995</v>
      </c>
      <c r="G358" s="211">
        <f t="shared" si="5"/>
        <v>594227.06999999995</v>
      </c>
      <c r="H358" s="211" t="s">
        <v>80</v>
      </c>
      <c r="J358" s="211">
        <f>VLOOKUP(A358,'JULY-TB'!A:G,7,0)</f>
        <v>594227.06999999995</v>
      </c>
    </row>
    <row r="359" spans="1:10">
      <c r="A359" s="211" t="s">
        <v>680</v>
      </c>
      <c r="B359" s="211">
        <v>592658</v>
      </c>
      <c r="C359" s="211">
        <v>0</v>
      </c>
      <c r="D359" s="211">
        <v>0</v>
      </c>
      <c r="E359" s="211">
        <v>592658</v>
      </c>
      <c r="G359" s="211">
        <f t="shared" si="5"/>
        <v>592658</v>
      </c>
      <c r="H359" s="211" t="s">
        <v>80</v>
      </c>
      <c r="J359" s="211">
        <f>VLOOKUP(A359,'JULY-TB'!A:G,7,0)</f>
        <v>592658</v>
      </c>
    </row>
    <row r="360" spans="1:10">
      <c r="A360" s="211" t="s">
        <v>681</v>
      </c>
      <c r="B360" s="211">
        <v>434808.08</v>
      </c>
      <c r="C360" s="211">
        <v>0</v>
      </c>
      <c r="D360" s="211">
        <v>0</v>
      </c>
      <c r="E360" s="211">
        <v>434808.08</v>
      </c>
      <c r="G360" s="211">
        <f t="shared" si="5"/>
        <v>434808.08</v>
      </c>
      <c r="H360" s="211" t="s">
        <v>80</v>
      </c>
      <c r="J360" s="211">
        <f>VLOOKUP(A360,'JULY-TB'!A:G,7,0)</f>
        <v>434808.08</v>
      </c>
    </row>
    <row r="361" spans="1:10">
      <c r="A361" s="211" t="s">
        <v>141</v>
      </c>
      <c r="B361" s="211">
        <v>450000</v>
      </c>
      <c r="C361" s="211">
        <v>0</v>
      </c>
      <c r="D361" s="211">
        <v>0</v>
      </c>
      <c r="E361" s="211">
        <v>450000</v>
      </c>
      <c r="G361" s="211">
        <f t="shared" si="5"/>
        <v>450000</v>
      </c>
      <c r="H361" s="211" t="s">
        <v>80</v>
      </c>
      <c r="J361" s="211">
        <f>VLOOKUP(A361,'JULY-TB'!A:G,7,0)</f>
        <v>450000</v>
      </c>
    </row>
    <row r="362" spans="1:10">
      <c r="A362" s="211" t="s">
        <v>682</v>
      </c>
      <c r="B362" s="211">
        <v>3974330</v>
      </c>
      <c r="C362" s="211">
        <v>0</v>
      </c>
      <c r="D362" s="211">
        <v>0</v>
      </c>
      <c r="E362" s="211">
        <v>3974330</v>
      </c>
      <c r="G362" s="211">
        <f t="shared" si="5"/>
        <v>3974330</v>
      </c>
      <c r="H362" s="211" t="s">
        <v>80</v>
      </c>
      <c r="J362" s="211">
        <f>VLOOKUP(A362,'JULY-TB'!A:G,7,0)</f>
        <v>3974330</v>
      </c>
    </row>
    <row r="363" spans="1:10">
      <c r="A363" s="211" t="s">
        <v>683</v>
      </c>
      <c r="B363" s="211">
        <v>40625001.740000002</v>
      </c>
      <c r="C363" s="211">
        <v>0</v>
      </c>
      <c r="D363" s="211">
        <v>0</v>
      </c>
      <c r="E363" s="211">
        <v>40625001.740000002</v>
      </c>
      <c r="G363" s="211">
        <f t="shared" si="5"/>
        <v>40625001.740000002</v>
      </c>
      <c r="H363" s="211" t="s">
        <v>80</v>
      </c>
      <c r="J363" s="211">
        <f>VLOOKUP(A363,'JULY-TB'!A:G,7,0)</f>
        <v>40625001.740000002</v>
      </c>
    </row>
    <row r="364" spans="1:10">
      <c r="A364" s="211" t="s">
        <v>684</v>
      </c>
      <c r="B364" s="211">
        <v>375000</v>
      </c>
      <c r="C364" s="211">
        <v>0</v>
      </c>
      <c r="D364" s="211">
        <v>0</v>
      </c>
      <c r="E364" s="211">
        <v>375000</v>
      </c>
      <c r="G364" s="211">
        <f t="shared" si="5"/>
        <v>375000</v>
      </c>
      <c r="H364" s="211" t="s">
        <v>80</v>
      </c>
      <c r="J364" s="211">
        <f>VLOOKUP(A364,'JULY-TB'!A:G,7,0)</f>
        <v>375000</v>
      </c>
    </row>
    <row r="365" spans="1:10">
      <c r="A365" s="211" t="s">
        <v>88</v>
      </c>
      <c r="B365" s="211">
        <v>4790782.28</v>
      </c>
      <c r="C365" s="211">
        <v>0</v>
      </c>
      <c r="D365" s="211">
        <v>0</v>
      </c>
      <c r="E365" s="211">
        <v>4790782.28</v>
      </c>
      <c r="G365" s="211">
        <f t="shared" si="5"/>
        <v>4790782.28</v>
      </c>
      <c r="H365" s="211" t="s">
        <v>80</v>
      </c>
      <c r="J365" s="211">
        <f>VLOOKUP(A365,'JULY-TB'!A:G,7,0)</f>
        <v>4790782.28</v>
      </c>
    </row>
    <row r="366" spans="1:10">
      <c r="A366" s="211" t="s">
        <v>89</v>
      </c>
      <c r="B366" s="211">
        <v>22376520</v>
      </c>
      <c r="C366" s="211">
        <v>0</v>
      </c>
      <c r="D366" s="211">
        <v>0</v>
      </c>
      <c r="E366" s="211">
        <v>22376520</v>
      </c>
      <c r="G366" s="211">
        <f t="shared" si="5"/>
        <v>22376520</v>
      </c>
      <c r="H366" s="211" t="s">
        <v>80</v>
      </c>
      <c r="J366" s="211">
        <f>VLOOKUP(A366,'JULY-TB'!A:G,7,0)</f>
        <v>22376520</v>
      </c>
    </row>
    <row r="367" spans="1:10">
      <c r="A367" s="211" t="s">
        <v>685</v>
      </c>
      <c r="B367" s="211">
        <v>2725000</v>
      </c>
      <c r="C367" s="211">
        <v>0</v>
      </c>
      <c r="D367" s="211">
        <v>0</v>
      </c>
      <c r="E367" s="211">
        <v>2725000</v>
      </c>
      <c r="G367" s="211">
        <f t="shared" si="5"/>
        <v>2725000</v>
      </c>
      <c r="H367" s="211" t="s">
        <v>80</v>
      </c>
      <c r="J367" s="211">
        <f>VLOOKUP(A367,'JULY-TB'!A:G,7,0)</f>
        <v>2725000</v>
      </c>
    </row>
    <row r="368" spans="1:10">
      <c r="A368" s="211" t="s">
        <v>109</v>
      </c>
      <c r="B368" s="211">
        <v>231700</v>
      </c>
      <c r="C368" s="211">
        <v>0</v>
      </c>
      <c r="D368" s="211">
        <v>0</v>
      </c>
      <c r="E368" s="211">
        <v>231700</v>
      </c>
      <c r="G368" s="211">
        <f t="shared" si="5"/>
        <v>231700</v>
      </c>
      <c r="H368" s="211" t="s">
        <v>80</v>
      </c>
      <c r="J368" s="211">
        <f>VLOOKUP(A368,'JULY-TB'!A:G,7,0)</f>
        <v>231700</v>
      </c>
    </row>
    <row r="369" spans="1:10">
      <c r="A369" s="211" t="s">
        <v>686</v>
      </c>
      <c r="B369" s="211">
        <v>4374015</v>
      </c>
      <c r="C369" s="211">
        <v>0</v>
      </c>
      <c r="D369" s="211">
        <v>0</v>
      </c>
      <c r="E369" s="211">
        <v>4374015</v>
      </c>
      <c r="G369" s="211">
        <f t="shared" si="5"/>
        <v>4374015</v>
      </c>
      <c r="H369" s="211" t="s">
        <v>80</v>
      </c>
      <c r="J369" s="211">
        <f>VLOOKUP(A369,'JULY-TB'!A:G,7,0)</f>
        <v>4374015</v>
      </c>
    </row>
    <row r="370" spans="1:10">
      <c r="A370" s="211" t="s">
        <v>687</v>
      </c>
      <c r="B370" s="211">
        <v>26889466.899999999</v>
      </c>
      <c r="C370" s="211">
        <v>0</v>
      </c>
      <c r="D370" s="211">
        <v>0</v>
      </c>
      <c r="E370" s="211">
        <v>26889466.899999999</v>
      </c>
      <c r="G370" s="211">
        <f t="shared" si="5"/>
        <v>26889466.899999999</v>
      </c>
      <c r="H370" s="211" t="s">
        <v>80</v>
      </c>
      <c r="J370" s="211">
        <f>VLOOKUP(A370,'JULY-TB'!A:G,7,0)</f>
        <v>26889466.899999999</v>
      </c>
    </row>
    <row r="371" spans="1:10">
      <c r="A371" s="211" t="s">
        <v>688</v>
      </c>
      <c r="B371" s="211">
        <v>15500</v>
      </c>
      <c r="C371" s="211">
        <v>0</v>
      </c>
      <c r="D371" s="211">
        <v>0</v>
      </c>
      <c r="E371" s="211">
        <v>15500</v>
      </c>
      <c r="G371" s="211">
        <f t="shared" si="5"/>
        <v>15500</v>
      </c>
      <c r="H371" s="211" t="s">
        <v>80</v>
      </c>
      <c r="J371" s="211">
        <f>VLOOKUP(A371,'JULY-TB'!A:G,7,0)</f>
        <v>15500</v>
      </c>
    </row>
    <row r="372" spans="1:10">
      <c r="A372" s="211" t="s">
        <v>689</v>
      </c>
      <c r="B372" s="211">
        <v>58560</v>
      </c>
      <c r="C372" s="211">
        <v>0</v>
      </c>
      <c r="D372" s="211">
        <v>0</v>
      </c>
      <c r="E372" s="211">
        <v>58560</v>
      </c>
      <c r="G372" s="211">
        <f t="shared" si="5"/>
        <v>58560</v>
      </c>
      <c r="H372" s="211" t="s">
        <v>80</v>
      </c>
      <c r="J372" s="211">
        <f>VLOOKUP(A372,'JULY-TB'!A:G,7,0)</f>
        <v>58560</v>
      </c>
    </row>
    <row r="373" spans="1:10">
      <c r="A373" s="211" t="s">
        <v>690</v>
      </c>
      <c r="B373" s="211">
        <v>1300000</v>
      </c>
      <c r="C373" s="211">
        <v>0</v>
      </c>
      <c r="D373" s="211">
        <v>0</v>
      </c>
      <c r="E373" s="211">
        <v>1300000</v>
      </c>
      <c r="G373" s="211">
        <f t="shared" si="5"/>
        <v>1300000</v>
      </c>
      <c r="H373" s="211" t="s">
        <v>80</v>
      </c>
      <c r="J373" s="211">
        <f>VLOOKUP(A373,'JULY-TB'!A:G,7,0)</f>
        <v>1300000</v>
      </c>
    </row>
    <row r="374" spans="1:10">
      <c r="A374" s="211" t="s">
        <v>691</v>
      </c>
      <c r="B374" s="211">
        <v>603990</v>
      </c>
      <c r="C374" s="211">
        <v>0</v>
      </c>
      <c r="D374" s="211">
        <v>0</v>
      </c>
      <c r="E374" s="211">
        <v>603990</v>
      </c>
      <c r="G374" s="211">
        <f t="shared" si="5"/>
        <v>603990</v>
      </c>
      <c r="H374" s="211" t="s">
        <v>80</v>
      </c>
      <c r="J374" s="211">
        <f>VLOOKUP(A374,'JULY-TB'!A:G,7,0)</f>
        <v>603990</v>
      </c>
    </row>
    <row r="375" spans="1:10">
      <c r="A375" s="211" t="s">
        <v>692</v>
      </c>
      <c r="B375" s="211">
        <v>1041000</v>
      </c>
      <c r="C375" s="211">
        <v>0</v>
      </c>
      <c r="D375" s="211">
        <v>0</v>
      </c>
      <c r="E375" s="211">
        <v>1041000</v>
      </c>
      <c r="G375" s="211">
        <f t="shared" si="5"/>
        <v>1041000</v>
      </c>
      <c r="H375" s="211" t="s">
        <v>80</v>
      </c>
      <c r="J375" s="211">
        <f>VLOOKUP(A375,'JULY-TB'!A:G,7,0)</f>
        <v>1041000</v>
      </c>
    </row>
    <row r="376" spans="1:10">
      <c r="A376" s="211" t="s">
        <v>93</v>
      </c>
      <c r="B376" s="211">
        <v>5850</v>
      </c>
      <c r="C376" s="211">
        <v>0</v>
      </c>
      <c r="D376" s="211">
        <v>0</v>
      </c>
      <c r="E376" s="211">
        <v>5850</v>
      </c>
      <c r="G376" s="211">
        <f t="shared" si="5"/>
        <v>5850</v>
      </c>
      <c r="H376" s="211" t="s">
        <v>80</v>
      </c>
      <c r="J376" s="211">
        <f>VLOOKUP(A376,'JULY-TB'!A:G,7,0)</f>
        <v>5850</v>
      </c>
    </row>
    <row r="377" spans="1:10">
      <c r="A377" s="211" t="s">
        <v>693</v>
      </c>
      <c r="B377" s="211">
        <v>406900</v>
      </c>
      <c r="C377" s="211">
        <v>0</v>
      </c>
      <c r="D377" s="211">
        <v>0</v>
      </c>
      <c r="E377" s="211">
        <v>406900</v>
      </c>
      <c r="G377" s="211">
        <f t="shared" si="5"/>
        <v>406900</v>
      </c>
      <c r="H377" s="211" t="s">
        <v>80</v>
      </c>
      <c r="J377" s="211">
        <f>VLOOKUP(A377,'JULY-TB'!A:G,7,0)</f>
        <v>406900</v>
      </c>
    </row>
    <row r="378" spans="1:10">
      <c r="A378" s="211" t="s">
        <v>694</v>
      </c>
      <c r="B378" s="211">
        <v>1250</v>
      </c>
      <c r="C378" s="211">
        <v>0</v>
      </c>
      <c r="D378" s="211">
        <v>0</v>
      </c>
      <c r="E378" s="211">
        <v>1250</v>
      </c>
      <c r="G378" s="211">
        <f t="shared" si="5"/>
        <v>1250</v>
      </c>
      <c r="H378" s="211" t="s">
        <v>80</v>
      </c>
      <c r="J378" s="211">
        <f>VLOOKUP(A378,'JULY-TB'!A:G,7,0)</f>
        <v>1250</v>
      </c>
    </row>
    <row r="379" spans="1:10">
      <c r="A379" s="211" t="s">
        <v>106</v>
      </c>
      <c r="B379" s="211">
        <v>17770.400000000001</v>
      </c>
      <c r="C379" s="211">
        <v>0</v>
      </c>
      <c r="D379" s="211">
        <v>0</v>
      </c>
      <c r="E379" s="211">
        <v>17770.400000000001</v>
      </c>
      <c r="G379" s="211">
        <f t="shared" si="5"/>
        <v>17770.400000000001</v>
      </c>
      <c r="H379" s="211" t="s">
        <v>80</v>
      </c>
      <c r="J379" s="211">
        <f>VLOOKUP(A379,'JULY-TB'!A:G,7,0)</f>
        <v>17770.400000000001</v>
      </c>
    </row>
    <row r="380" spans="1:10">
      <c r="A380" s="211" t="s">
        <v>695</v>
      </c>
      <c r="B380" s="211">
        <v>340500</v>
      </c>
      <c r="C380" s="211">
        <v>0</v>
      </c>
      <c r="D380" s="211">
        <v>0</v>
      </c>
      <c r="E380" s="211">
        <v>340500</v>
      </c>
      <c r="G380" s="211">
        <f t="shared" si="5"/>
        <v>340500</v>
      </c>
      <c r="H380" s="211" t="s">
        <v>80</v>
      </c>
      <c r="J380" s="211">
        <f>VLOOKUP(A380,'JULY-TB'!A:G,7,0)</f>
        <v>340500</v>
      </c>
    </row>
    <row r="381" spans="1:10">
      <c r="A381" s="211" t="s">
        <v>696</v>
      </c>
      <c r="B381" s="211">
        <v>391809.22</v>
      </c>
      <c r="C381" s="211">
        <v>0</v>
      </c>
      <c r="D381" s="211">
        <v>0</v>
      </c>
      <c r="E381" s="211">
        <v>391809.22</v>
      </c>
      <c r="G381" s="211">
        <f t="shared" si="5"/>
        <v>391809.22</v>
      </c>
      <c r="H381" s="211" t="s">
        <v>80</v>
      </c>
      <c r="J381" s="211">
        <f>VLOOKUP(A381,'JULY-TB'!A:G,7,0)</f>
        <v>391809.22</v>
      </c>
    </row>
    <row r="382" spans="1:10">
      <c r="A382" s="211" t="s">
        <v>697</v>
      </c>
      <c r="B382" s="211">
        <v>160000</v>
      </c>
      <c r="C382" s="211">
        <v>0</v>
      </c>
      <c r="D382" s="211">
        <v>0</v>
      </c>
      <c r="E382" s="211">
        <v>160000</v>
      </c>
      <c r="G382" s="211">
        <f t="shared" si="5"/>
        <v>160000</v>
      </c>
      <c r="H382" s="211" t="s">
        <v>80</v>
      </c>
      <c r="J382" s="211">
        <f>VLOOKUP(A382,'JULY-TB'!A:G,7,0)</f>
        <v>160000</v>
      </c>
    </row>
    <row r="383" spans="1:10">
      <c r="A383" s="211" t="s">
        <v>148</v>
      </c>
      <c r="B383" s="211">
        <v>197984.96</v>
      </c>
      <c r="C383" s="211">
        <v>0</v>
      </c>
      <c r="D383" s="211">
        <v>0</v>
      </c>
      <c r="E383" s="211">
        <v>197984.96</v>
      </c>
      <c r="G383" s="211">
        <f t="shared" si="5"/>
        <v>197984.96</v>
      </c>
      <c r="H383" s="211" t="s">
        <v>80</v>
      </c>
      <c r="J383" s="211">
        <f>VLOOKUP(A383,'JULY-TB'!A:G,7,0)</f>
        <v>197984.96</v>
      </c>
    </row>
    <row r="384" spans="1:10">
      <c r="A384" s="211" t="s">
        <v>698</v>
      </c>
      <c r="B384" s="211">
        <v>760000</v>
      </c>
      <c r="C384" s="211">
        <v>0</v>
      </c>
      <c r="D384" s="211">
        <v>0</v>
      </c>
      <c r="E384" s="211">
        <v>760000</v>
      </c>
      <c r="G384" s="211">
        <f t="shared" si="5"/>
        <v>760000</v>
      </c>
      <c r="H384" s="211" t="s">
        <v>80</v>
      </c>
      <c r="J384" s="211">
        <f>VLOOKUP(A384,'JULY-TB'!A:G,7,0)</f>
        <v>760000</v>
      </c>
    </row>
    <row r="385" spans="1:10">
      <c r="A385" s="211" t="s">
        <v>149</v>
      </c>
      <c r="B385" s="211">
        <v>215561.98</v>
      </c>
      <c r="C385" s="211">
        <v>0</v>
      </c>
      <c r="D385" s="211">
        <v>0</v>
      </c>
      <c r="E385" s="211">
        <v>215561.98</v>
      </c>
      <c r="G385" s="211">
        <f t="shared" si="5"/>
        <v>215561.98</v>
      </c>
      <c r="H385" s="211" t="s">
        <v>80</v>
      </c>
      <c r="J385" s="211">
        <f>VLOOKUP(A385,'JULY-TB'!A:G,7,0)</f>
        <v>215561.98</v>
      </c>
    </row>
    <row r="386" spans="1:10">
      <c r="A386" s="211" t="s">
        <v>150</v>
      </c>
      <c r="B386" s="211">
        <v>33700</v>
      </c>
      <c r="C386" s="211">
        <v>0</v>
      </c>
      <c r="D386" s="211">
        <v>0</v>
      </c>
      <c r="E386" s="211">
        <v>33700</v>
      </c>
      <c r="G386" s="211">
        <f t="shared" si="5"/>
        <v>33700</v>
      </c>
      <c r="H386" s="211" t="s">
        <v>80</v>
      </c>
      <c r="J386" s="211">
        <f>VLOOKUP(A386,'JULY-TB'!A:G,7,0)</f>
        <v>33700</v>
      </c>
    </row>
    <row r="387" spans="1:10">
      <c r="A387" s="211" t="s">
        <v>699</v>
      </c>
      <c r="B387" s="211">
        <v>12250000</v>
      </c>
      <c r="C387" s="211">
        <v>0</v>
      </c>
      <c r="D387" s="211">
        <v>0</v>
      </c>
      <c r="E387" s="211">
        <v>12250000</v>
      </c>
      <c r="G387" s="211">
        <f t="shared" si="5"/>
        <v>12250000</v>
      </c>
      <c r="H387" s="211" t="s">
        <v>80</v>
      </c>
      <c r="J387" s="211">
        <f>VLOOKUP(A387,'JULY-TB'!A:G,7,0)</f>
        <v>12250000</v>
      </c>
    </row>
    <row r="388" spans="1:10">
      <c r="A388" s="211" t="s">
        <v>1619</v>
      </c>
      <c r="B388" s="211">
        <v>0</v>
      </c>
      <c r="C388" s="211">
        <v>120600</v>
      </c>
      <c r="D388" s="211">
        <v>0</v>
      </c>
      <c r="E388" s="211">
        <v>120600</v>
      </c>
      <c r="G388" s="211">
        <f t="shared" ref="G388:G451" si="6">E388+F388</f>
        <v>120600</v>
      </c>
      <c r="H388" s="211" t="s">
        <v>80</v>
      </c>
      <c r="J388" s="211" t="e">
        <f>VLOOKUP(A388,'JULY-TB'!A:G,7,0)</f>
        <v>#N/A</v>
      </c>
    </row>
    <row r="389" spans="1:10">
      <c r="A389" s="211" t="s">
        <v>700</v>
      </c>
      <c r="B389" s="211">
        <v>412201</v>
      </c>
      <c r="C389" s="211">
        <v>0</v>
      </c>
      <c r="D389" s="211">
        <v>0</v>
      </c>
      <c r="E389" s="211">
        <v>412201</v>
      </c>
      <c r="G389" s="211">
        <f t="shared" si="6"/>
        <v>412201</v>
      </c>
      <c r="H389" s="211" t="s">
        <v>80</v>
      </c>
      <c r="J389" s="211">
        <f>VLOOKUP(A389,'JULY-TB'!A:G,7,0)</f>
        <v>412201</v>
      </c>
    </row>
    <row r="390" spans="1:10">
      <c r="A390" s="211" t="s">
        <v>701</v>
      </c>
      <c r="B390" s="211">
        <v>280200</v>
      </c>
      <c r="C390" s="211">
        <v>0</v>
      </c>
      <c r="D390" s="211">
        <v>0</v>
      </c>
      <c r="E390" s="211">
        <v>280200</v>
      </c>
      <c r="G390" s="211">
        <f t="shared" si="6"/>
        <v>280200</v>
      </c>
      <c r="H390" s="211" t="s">
        <v>80</v>
      </c>
      <c r="J390" s="211">
        <f>VLOOKUP(A390,'JULY-TB'!A:G,7,0)</f>
        <v>280200</v>
      </c>
    </row>
    <row r="391" spans="1:10">
      <c r="A391" s="211" t="s">
        <v>91</v>
      </c>
      <c r="B391" s="211">
        <v>1613994.5</v>
      </c>
      <c r="C391" s="211">
        <v>49525.5</v>
      </c>
      <c r="D391" s="211">
        <v>33889.83</v>
      </c>
      <c r="E391" s="211">
        <v>1629630.17</v>
      </c>
      <c r="G391" s="211">
        <f t="shared" si="6"/>
        <v>1629630.17</v>
      </c>
      <c r="H391" s="211" t="s">
        <v>80</v>
      </c>
      <c r="J391" s="211">
        <f>VLOOKUP(A391,'JULY-TB'!A:G,7,0)</f>
        <v>1629630.17</v>
      </c>
    </row>
    <row r="392" spans="1:10">
      <c r="A392" s="211" t="s">
        <v>702</v>
      </c>
      <c r="B392" s="211">
        <v>931740</v>
      </c>
      <c r="C392" s="211">
        <v>0</v>
      </c>
      <c r="D392" s="211">
        <v>0</v>
      </c>
      <c r="E392" s="211">
        <v>931740</v>
      </c>
      <c r="G392" s="211">
        <f t="shared" si="6"/>
        <v>931740</v>
      </c>
      <c r="H392" s="211" t="s">
        <v>80</v>
      </c>
      <c r="J392" s="211">
        <f>VLOOKUP(A392,'JULY-TB'!A:G,7,0)</f>
        <v>931740</v>
      </c>
    </row>
    <row r="393" spans="1:10">
      <c r="A393" s="211" t="s">
        <v>1145</v>
      </c>
      <c r="B393" s="211">
        <v>0</v>
      </c>
      <c r="C393" s="211">
        <v>2061.31</v>
      </c>
      <c r="D393" s="211">
        <v>965563.15</v>
      </c>
      <c r="E393" s="211">
        <v>-963501.84</v>
      </c>
      <c r="G393" s="211">
        <f t="shared" si="6"/>
        <v>-963501.84</v>
      </c>
      <c r="H393" s="211" t="s">
        <v>13</v>
      </c>
      <c r="J393" s="211">
        <f>VLOOKUP(A393,'JULY-TB'!A:G,7,0)</f>
        <v>-965501.84</v>
      </c>
    </row>
    <row r="394" spans="1:10">
      <c r="A394" s="211" t="s">
        <v>328</v>
      </c>
      <c r="B394" s="211">
        <v>0</v>
      </c>
      <c r="C394" s="211">
        <v>49435.9</v>
      </c>
      <c r="D394" s="211">
        <v>32075</v>
      </c>
      <c r="E394" s="211">
        <v>17360.900000000001</v>
      </c>
      <c r="G394" s="211">
        <f t="shared" si="6"/>
        <v>17360.900000000001</v>
      </c>
      <c r="H394" s="211" t="s">
        <v>13</v>
      </c>
      <c r="J394" s="211">
        <f>VLOOKUP(A394,'JULY-TB'!A:G,7,0)</f>
        <v>2055.13</v>
      </c>
    </row>
    <row r="395" spans="1:10">
      <c r="A395" s="211" t="s">
        <v>316</v>
      </c>
      <c r="B395" s="211">
        <v>0</v>
      </c>
      <c r="C395" s="211">
        <v>140.69999999999999</v>
      </c>
      <c r="D395" s="211">
        <v>132.69999999999999</v>
      </c>
      <c r="E395" s="211">
        <v>8</v>
      </c>
      <c r="G395" s="211">
        <f t="shared" si="6"/>
        <v>8</v>
      </c>
      <c r="H395" s="211" t="s">
        <v>80</v>
      </c>
      <c r="J395" s="211">
        <f>VLOOKUP(A395,'JULY-TB'!A:G,7,0)</f>
        <v>7.44</v>
      </c>
    </row>
    <row r="396" spans="1:10">
      <c r="A396" s="211" t="s">
        <v>1146</v>
      </c>
      <c r="B396" s="211">
        <v>0</v>
      </c>
      <c r="C396" s="211">
        <v>6428818.4800000004</v>
      </c>
      <c r="D396" s="211">
        <v>0</v>
      </c>
      <c r="E396" s="211">
        <v>6428818.4800000004</v>
      </c>
      <c r="G396" s="211">
        <f t="shared" si="6"/>
        <v>6428818.4800000004</v>
      </c>
      <c r="H396" s="211" t="s">
        <v>13</v>
      </c>
      <c r="J396" s="211">
        <f>VLOOKUP(A396,'JULY-TB'!A:G,7,0)</f>
        <v>6428818.4800000004</v>
      </c>
    </row>
    <row r="397" spans="1:10">
      <c r="A397" s="211" t="s">
        <v>347</v>
      </c>
      <c r="B397" s="211">
        <v>0</v>
      </c>
      <c r="C397" s="211">
        <v>606232</v>
      </c>
      <c r="D397" s="211">
        <v>35000</v>
      </c>
      <c r="E397" s="211">
        <v>571232</v>
      </c>
      <c r="G397" s="211">
        <f t="shared" si="6"/>
        <v>571232</v>
      </c>
      <c r="H397" s="211" t="s">
        <v>13</v>
      </c>
      <c r="J397" s="211">
        <f>VLOOKUP(A397,'JULY-TB'!A:G,7,0)</f>
        <v>527879</v>
      </c>
    </row>
    <row r="398" spans="1:10">
      <c r="A398" s="211" t="s">
        <v>348</v>
      </c>
      <c r="B398" s="211">
        <v>0</v>
      </c>
      <c r="C398" s="211">
        <v>795571.82</v>
      </c>
      <c r="D398" s="211">
        <v>347452.23</v>
      </c>
      <c r="E398" s="211">
        <v>448119.59</v>
      </c>
      <c r="G398" s="211">
        <f t="shared" si="6"/>
        <v>448119.59</v>
      </c>
      <c r="H398" s="211" t="s">
        <v>13</v>
      </c>
      <c r="J398" s="211">
        <f>VLOOKUP(A398,'JULY-TB'!A:G,7,0)</f>
        <v>-120787.96</v>
      </c>
    </row>
    <row r="399" spans="1:10">
      <c r="A399" s="211" t="s">
        <v>1620</v>
      </c>
      <c r="B399" s="211">
        <v>0</v>
      </c>
      <c r="C399" s="211">
        <v>650</v>
      </c>
      <c r="D399" s="211">
        <v>0</v>
      </c>
      <c r="E399" s="211">
        <v>650</v>
      </c>
      <c r="G399" s="211">
        <f t="shared" si="6"/>
        <v>650</v>
      </c>
      <c r="H399" s="211" t="s">
        <v>13</v>
      </c>
      <c r="J399" s="211" t="e">
        <f>VLOOKUP(A399,'JULY-TB'!A:G,7,0)</f>
        <v>#N/A</v>
      </c>
    </row>
    <row r="400" spans="1:10">
      <c r="A400" s="211" t="s">
        <v>472</v>
      </c>
      <c r="B400" s="211">
        <v>0</v>
      </c>
      <c r="C400" s="211">
        <v>31000</v>
      </c>
      <c r="D400" s="211">
        <v>0</v>
      </c>
      <c r="E400" s="211">
        <v>31000</v>
      </c>
      <c r="G400" s="211">
        <f t="shared" si="6"/>
        <v>31000</v>
      </c>
      <c r="H400" s="211" t="s">
        <v>13</v>
      </c>
      <c r="J400" s="211">
        <f>VLOOKUP(A400,'JULY-TB'!A:G,7,0)</f>
        <v>26500</v>
      </c>
    </row>
    <row r="401" spans="1:11">
      <c r="A401" s="211" t="s">
        <v>1561</v>
      </c>
      <c r="B401" s="211">
        <v>0</v>
      </c>
      <c r="C401" s="211">
        <v>201810</v>
      </c>
      <c r="D401" s="211">
        <v>0</v>
      </c>
      <c r="E401" s="211">
        <v>201810</v>
      </c>
      <c r="G401" s="211">
        <f t="shared" si="6"/>
        <v>201810</v>
      </c>
      <c r="H401" s="211" t="s">
        <v>71</v>
      </c>
      <c r="J401" s="211">
        <f>VLOOKUP(A401,'JULY-TB'!A:G,7,0)</f>
        <v>154508</v>
      </c>
    </row>
    <row r="402" spans="1:11">
      <c r="A402" s="211" t="s">
        <v>345</v>
      </c>
      <c r="B402" s="211">
        <v>0</v>
      </c>
      <c r="C402" s="211">
        <v>377544</v>
      </c>
      <c r="D402" s="211">
        <v>0</v>
      </c>
      <c r="E402" s="211">
        <v>377544</v>
      </c>
      <c r="F402" s="227">
        <v>5000</v>
      </c>
      <c r="G402" s="211">
        <f t="shared" si="6"/>
        <v>382544</v>
      </c>
      <c r="H402" s="211" t="s">
        <v>71</v>
      </c>
      <c r="J402" s="211">
        <f>VLOOKUP(A402,'JULY-TB'!A:G,7,0)</f>
        <v>377544</v>
      </c>
    </row>
    <row r="403" spans="1:11">
      <c r="A403" s="211" t="s">
        <v>341</v>
      </c>
      <c r="B403" s="211">
        <v>0</v>
      </c>
      <c r="C403" s="211">
        <v>29202215.079999998</v>
      </c>
      <c r="D403" s="211">
        <v>6030192</v>
      </c>
      <c r="E403" s="211">
        <v>23172023.079999998</v>
      </c>
      <c r="F403" s="227">
        <v>8112264</v>
      </c>
      <c r="G403" s="211">
        <f t="shared" si="6"/>
        <v>31284287.079999998</v>
      </c>
      <c r="H403" s="211" t="s">
        <v>55</v>
      </c>
      <c r="J403" s="211">
        <f>VLOOKUP(A403,'JULY-TB'!A:G,7,0)</f>
        <v>22835909.079999998</v>
      </c>
    </row>
    <row r="404" spans="1:11">
      <c r="A404" s="211" t="s">
        <v>1147</v>
      </c>
      <c r="B404" s="211">
        <v>0</v>
      </c>
      <c r="C404" s="211">
        <v>21350160</v>
      </c>
      <c r="D404" s="211">
        <v>3474593</v>
      </c>
      <c r="E404" s="211">
        <v>17875567</v>
      </c>
      <c r="F404" s="227">
        <f>4215121+105000</f>
        <v>4320121</v>
      </c>
      <c r="G404" s="211">
        <f t="shared" si="6"/>
        <v>22195688</v>
      </c>
      <c r="H404" s="211" t="s">
        <v>58</v>
      </c>
      <c r="J404" s="211">
        <f>VLOOKUP(A404,'JULY-TB'!A:G,7,0)</f>
        <v>16836693</v>
      </c>
    </row>
    <row r="405" spans="1:11">
      <c r="A405" s="211" t="s">
        <v>1148</v>
      </c>
      <c r="B405" s="211">
        <v>0</v>
      </c>
      <c r="C405" s="211">
        <v>6521700</v>
      </c>
      <c r="D405" s="211">
        <v>1313300</v>
      </c>
      <c r="E405" s="211">
        <v>5208400</v>
      </c>
      <c r="F405" s="211">
        <v>1321300</v>
      </c>
      <c r="G405" s="211">
        <f t="shared" si="6"/>
        <v>6529700</v>
      </c>
      <c r="H405" s="211" t="s">
        <v>71</v>
      </c>
      <c r="J405" s="211">
        <f>VLOOKUP(A405,'JULY-TB'!A:G,7,0)</f>
        <v>5200400</v>
      </c>
    </row>
    <row r="406" spans="1:11">
      <c r="A406" s="211" t="s">
        <v>703</v>
      </c>
      <c r="B406" s="211">
        <v>0</v>
      </c>
      <c r="C406" s="211">
        <v>1700000</v>
      </c>
      <c r="D406" s="211">
        <v>1400000</v>
      </c>
      <c r="E406" s="211">
        <v>300000</v>
      </c>
      <c r="G406" s="211">
        <f t="shared" si="6"/>
        <v>300000</v>
      </c>
      <c r="H406" s="211" t="s">
        <v>71</v>
      </c>
      <c r="J406" s="211">
        <f>VLOOKUP(A406,'JULY-TB'!A:G,7,0)</f>
        <v>50000</v>
      </c>
    </row>
    <row r="407" spans="1:11">
      <c r="A407" s="211" t="s">
        <v>356</v>
      </c>
      <c r="B407" s="211">
        <v>0</v>
      </c>
      <c r="C407" s="211">
        <v>313632</v>
      </c>
      <c r="D407" s="211">
        <v>30486.47</v>
      </c>
      <c r="E407" s="211">
        <v>283145.53000000003</v>
      </c>
      <c r="G407" s="211">
        <f t="shared" si="6"/>
        <v>283145.53000000003</v>
      </c>
      <c r="H407" s="211" t="s">
        <v>73</v>
      </c>
      <c r="J407" s="211">
        <f>VLOOKUP(A407,'JULY-TB'!A:G,7,0)</f>
        <v>283145.53000000003</v>
      </c>
    </row>
    <row r="408" spans="1:11">
      <c r="A408" s="211" t="s">
        <v>340</v>
      </c>
      <c r="B408" s="211">
        <v>0</v>
      </c>
      <c r="C408" s="211">
        <v>55698265.119999997</v>
      </c>
      <c r="D408" s="211">
        <v>55384.56</v>
      </c>
      <c r="E408" s="211">
        <v>55642880.560000002</v>
      </c>
      <c r="F408" s="211">
        <v>207763</v>
      </c>
      <c r="G408" s="211">
        <f t="shared" si="6"/>
        <v>55850643.560000002</v>
      </c>
      <c r="H408" s="211" t="s">
        <v>59</v>
      </c>
      <c r="J408" s="211">
        <f>VLOOKUP(A408,'JULY-TB'!A:G,7,0)</f>
        <v>54908197.579999998</v>
      </c>
      <c r="K408" s="211">
        <f>G408-J408</f>
        <v>942445.98000000417</v>
      </c>
    </row>
    <row r="409" spans="1:11">
      <c r="A409" s="211" t="s">
        <v>343</v>
      </c>
      <c r="B409" s="211">
        <v>0</v>
      </c>
      <c r="C409" s="211">
        <v>193430</v>
      </c>
      <c r="D409" s="211">
        <v>0</v>
      </c>
      <c r="E409" s="211">
        <v>193430</v>
      </c>
      <c r="G409" s="211">
        <f t="shared" si="6"/>
        <v>193430</v>
      </c>
      <c r="H409" s="211" t="s">
        <v>67</v>
      </c>
      <c r="J409" s="211">
        <f>VLOOKUP(A409,'JULY-TB'!A:G,7,0)</f>
        <v>192700</v>
      </c>
    </row>
    <row r="410" spans="1:11">
      <c r="A410" s="211" t="s">
        <v>1562</v>
      </c>
      <c r="B410" s="211">
        <v>0</v>
      </c>
      <c r="C410" s="211">
        <v>0</v>
      </c>
      <c r="D410" s="211">
        <v>33844</v>
      </c>
      <c r="E410" s="211">
        <v>-33844</v>
      </c>
      <c r="G410" s="211">
        <f t="shared" si="6"/>
        <v>-33844</v>
      </c>
      <c r="H410" s="211" t="s">
        <v>71</v>
      </c>
      <c r="J410" s="211">
        <f>VLOOKUP(A410,'JULY-TB'!A:G,7,0)</f>
        <v>-33844</v>
      </c>
    </row>
    <row r="411" spans="1:11">
      <c r="A411" s="211" t="s">
        <v>335</v>
      </c>
      <c r="B411" s="211">
        <v>0</v>
      </c>
      <c r="C411" s="211">
        <v>1021975</v>
      </c>
      <c r="D411" s="211">
        <v>289214</v>
      </c>
      <c r="E411" s="211">
        <v>732761</v>
      </c>
      <c r="F411" s="227">
        <f>87425+6680</f>
        <v>94105</v>
      </c>
      <c r="G411" s="211">
        <f t="shared" si="6"/>
        <v>826866</v>
      </c>
      <c r="H411" s="211" t="s">
        <v>71</v>
      </c>
      <c r="J411" s="211">
        <f>VLOOKUP(A411,'JULY-TB'!A:G,7,0)</f>
        <v>732761</v>
      </c>
    </row>
    <row r="412" spans="1:11">
      <c r="A412" s="211" t="s">
        <v>314</v>
      </c>
      <c r="B412" s="211">
        <v>0</v>
      </c>
      <c r="C412" s="211">
        <v>2776206.79</v>
      </c>
      <c r="D412" s="211">
        <v>0</v>
      </c>
      <c r="E412" s="211">
        <v>2776206.79</v>
      </c>
      <c r="F412" s="211">
        <v>164138</v>
      </c>
      <c r="G412" s="211">
        <f t="shared" si="6"/>
        <v>2940344.79</v>
      </c>
      <c r="H412" s="211" t="s">
        <v>60</v>
      </c>
      <c r="J412" s="211">
        <f>VLOOKUP(A412,'JULY-TB'!A:G,7,0)</f>
        <v>1847132.25</v>
      </c>
    </row>
    <row r="413" spans="1:11">
      <c r="A413" s="211" t="s">
        <v>319</v>
      </c>
      <c r="B413" s="211">
        <v>0</v>
      </c>
      <c r="C413" s="211">
        <v>27922269.699999999</v>
      </c>
      <c r="D413" s="211">
        <v>0</v>
      </c>
      <c r="E413" s="211">
        <v>27922269.699999999</v>
      </c>
      <c r="G413" s="211">
        <f t="shared" si="6"/>
        <v>27922269.699999999</v>
      </c>
      <c r="H413" s="211" t="s">
        <v>9</v>
      </c>
      <c r="J413" s="211">
        <f>VLOOKUP(A413,'JULY-TB'!A:G,7,0)</f>
        <v>27922269.699999999</v>
      </c>
    </row>
    <row r="414" spans="1:11">
      <c r="A414" s="211" t="s">
        <v>322</v>
      </c>
      <c r="B414" s="211">
        <v>0</v>
      </c>
      <c r="C414" s="211">
        <v>7640650.9299999997</v>
      </c>
      <c r="D414" s="211">
        <v>1750</v>
      </c>
      <c r="E414" s="211">
        <v>7638900.9299999997</v>
      </c>
      <c r="G414" s="211">
        <f t="shared" si="6"/>
        <v>7638900.9299999997</v>
      </c>
      <c r="H414" s="211" t="s">
        <v>11</v>
      </c>
      <c r="J414" s="211">
        <f>VLOOKUP(A414,'JULY-TB'!A:G,7,0)</f>
        <v>6188686.3300000001</v>
      </c>
    </row>
    <row r="415" spans="1:11">
      <c r="A415" s="211" t="s">
        <v>704</v>
      </c>
      <c r="B415" s="211">
        <v>0</v>
      </c>
      <c r="C415" s="211">
        <v>0</v>
      </c>
      <c r="D415" s="211">
        <v>36870023</v>
      </c>
      <c r="E415" s="211">
        <v>-36870023</v>
      </c>
      <c r="G415" s="211">
        <f t="shared" si="6"/>
        <v>-36870023</v>
      </c>
      <c r="H415" s="211" t="s">
        <v>9</v>
      </c>
      <c r="J415" s="211">
        <f>VLOOKUP(A415,'JULY-TB'!A:G,7,0)</f>
        <v>-36870023</v>
      </c>
    </row>
    <row r="416" spans="1:11">
      <c r="A416" s="211" t="s">
        <v>317</v>
      </c>
      <c r="B416" s="211">
        <v>0</v>
      </c>
      <c r="C416" s="211">
        <v>8999989.4000000004</v>
      </c>
      <c r="D416" s="211">
        <v>0</v>
      </c>
      <c r="E416" s="211">
        <v>8999989.4000000004</v>
      </c>
      <c r="G416" s="211">
        <f t="shared" si="6"/>
        <v>8999989.4000000004</v>
      </c>
      <c r="H416" s="211" t="s">
        <v>9</v>
      </c>
      <c r="J416" s="211">
        <f>VLOOKUP(A416,'JULY-TB'!A:G,7,0)</f>
        <v>8179409.4000000004</v>
      </c>
    </row>
    <row r="417" spans="1:10">
      <c r="A417" s="211" t="s">
        <v>1621</v>
      </c>
      <c r="B417" s="211">
        <v>0</v>
      </c>
      <c r="C417" s="211">
        <v>515217.19</v>
      </c>
      <c r="D417" s="211">
        <v>0</v>
      </c>
      <c r="E417" s="211">
        <v>515217.19</v>
      </c>
      <c r="G417" s="211">
        <f t="shared" si="6"/>
        <v>515217.19</v>
      </c>
      <c r="H417" s="211" t="s">
        <v>9</v>
      </c>
      <c r="J417" s="211" t="e">
        <f>VLOOKUP(A417,'JULY-TB'!A:G,7,0)</f>
        <v>#N/A</v>
      </c>
    </row>
    <row r="418" spans="1:10">
      <c r="A418" s="211" t="s">
        <v>321</v>
      </c>
      <c r="B418" s="211">
        <v>0</v>
      </c>
      <c r="C418" s="211">
        <v>569355764.30999994</v>
      </c>
      <c r="D418" s="211">
        <v>0</v>
      </c>
      <c r="E418" s="211">
        <v>569355764.30999994</v>
      </c>
      <c r="G418" s="211">
        <f t="shared" si="6"/>
        <v>569355764.30999994</v>
      </c>
      <c r="H418" s="211" t="s">
        <v>9</v>
      </c>
      <c r="J418" s="211">
        <f>VLOOKUP(A418,'JULY-TB'!A:G,7,0)</f>
        <v>380837253.50999999</v>
      </c>
    </row>
    <row r="419" spans="1:10">
      <c r="A419" s="211" t="s">
        <v>1622</v>
      </c>
      <c r="B419" s="211">
        <v>0</v>
      </c>
      <c r="C419" s="211">
        <v>95444.93</v>
      </c>
      <c r="D419" s="211">
        <v>0</v>
      </c>
      <c r="E419" s="211">
        <v>95444.93</v>
      </c>
      <c r="G419" s="211">
        <f t="shared" si="6"/>
        <v>95444.93</v>
      </c>
      <c r="H419" s="211" t="s">
        <v>44</v>
      </c>
      <c r="J419" s="211" t="e">
        <f>VLOOKUP(A419,'JULY-TB'!A:G,7,0)</f>
        <v>#N/A</v>
      </c>
    </row>
    <row r="420" spans="1:10">
      <c r="A420" s="211" t="s">
        <v>1149</v>
      </c>
      <c r="B420" s="211">
        <v>0</v>
      </c>
      <c r="C420" s="211">
        <v>23485</v>
      </c>
      <c r="D420" s="211">
        <v>0</v>
      </c>
      <c r="E420" s="211">
        <v>23485</v>
      </c>
      <c r="G420" s="211">
        <f t="shared" si="6"/>
        <v>23485</v>
      </c>
      <c r="H420" s="211" t="s">
        <v>44</v>
      </c>
      <c r="J420" s="211">
        <f>VLOOKUP(A420,'JULY-TB'!A:G,7,0)</f>
        <v>18056</v>
      </c>
    </row>
    <row r="421" spans="1:10">
      <c r="A421" s="211" t="s">
        <v>318</v>
      </c>
      <c r="B421" s="211">
        <v>0</v>
      </c>
      <c r="C421" s="211">
        <v>6571202.6500000004</v>
      </c>
      <c r="D421" s="211">
        <v>2000</v>
      </c>
      <c r="E421" s="211">
        <v>6569202.6500000004</v>
      </c>
      <c r="G421" s="211">
        <f t="shared" si="6"/>
        <v>6569202.6500000004</v>
      </c>
      <c r="H421" s="211" t="s">
        <v>44</v>
      </c>
      <c r="J421" s="211">
        <f>VLOOKUP(A421,'JULY-TB'!A:G,7,0)</f>
        <v>5043460.1500000004</v>
      </c>
    </row>
    <row r="422" spans="1:10">
      <c r="A422" s="211" t="s">
        <v>475</v>
      </c>
      <c r="B422" s="211">
        <v>0</v>
      </c>
      <c r="C422" s="211">
        <v>54130</v>
      </c>
      <c r="D422" s="211">
        <v>84770</v>
      </c>
      <c r="E422" s="211">
        <v>-30640</v>
      </c>
      <c r="G422" s="211">
        <f t="shared" si="6"/>
        <v>-30640</v>
      </c>
      <c r="H422" s="211" t="s">
        <v>44</v>
      </c>
      <c r="J422" s="211">
        <f>VLOOKUP(A422,'JULY-TB'!A:G,7,0)</f>
        <v>-30640</v>
      </c>
    </row>
    <row r="423" spans="1:10">
      <c r="A423" s="211" t="s">
        <v>323</v>
      </c>
      <c r="B423" s="211">
        <v>0</v>
      </c>
      <c r="C423" s="211">
        <v>12080204.09</v>
      </c>
      <c r="D423" s="211">
        <v>50</v>
      </c>
      <c r="E423" s="211">
        <v>12080154.09</v>
      </c>
      <c r="G423" s="211">
        <f t="shared" si="6"/>
        <v>12080154.09</v>
      </c>
      <c r="H423" s="211" t="s">
        <v>44</v>
      </c>
      <c r="J423" s="211">
        <f>VLOOKUP(A423,'JULY-TB'!A:G,7,0)</f>
        <v>9175633.5099999998</v>
      </c>
    </row>
    <row r="424" spans="1:10">
      <c r="A424" s="211" t="s">
        <v>320</v>
      </c>
      <c r="B424" s="211">
        <v>0</v>
      </c>
      <c r="C424" s="211">
        <v>112983134.45</v>
      </c>
      <c r="D424" s="211">
        <v>0</v>
      </c>
      <c r="E424" s="211">
        <v>112983134.45</v>
      </c>
      <c r="G424" s="211">
        <f t="shared" si="6"/>
        <v>112983134.45</v>
      </c>
      <c r="H424" s="211" t="s">
        <v>9</v>
      </c>
      <c r="J424" s="211">
        <f>VLOOKUP(A424,'JULY-TB'!A:G,7,0)</f>
        <v>63948135</v>
      </c>
    </row>
    <row r="425" spans="1:10">
      <c r="A425" s="211" t="s">
        <v>1434</v>
      </c>
      <c r="B425" s="211">
        <v>0</v>
      </c>
      <c r="C425" s="211">
        <v>63100</v>
      </c>
      <c r="D425" s="211">
        <v>0</v>
      </c>
      <c r="E425" s="211">
        <v>63100</v>
      </c>
      <c r="G425" s="211">
        <f t="shared" si="6"/>
        <v>63100</v>
      </c>
      <c r="H425" s="211" t="s">
        <v>71</v>
      </c>
      <c r="J425" s="211">
        <f>VLOOKUP(A425,'JULY-TB'!A:G,7,0)</f>
        <v>58000</v>
      </c>
    </row>
    <row r="426" spans="1:10">
      <c r="A426" s="211" t="s">
        <v>355</v>
      </c>
      <c r="B426" s="211">
        <v>0</v>
      </c>
      <c r="C426" s="211">
        <v>175865</v>
      </c>
      <c r="D426" s="211">
        <v>0</v>
      </c>
      <c r="E426" s="211">
        <v>175865</v>
      </c>
      <c r="G426" s="211">
        <f t="shared" si="6"/>
        <v>175865</v>
      </c>
      <c r="H426" s="211" t="s">
        <v>66</v>
      </c>
      <c r="J426" s="211">
        <f>VLOOKUP(A426,'JULY-TB'!A:G,7,0)</f>
        <v>150165</v>
      </c>
    </row>
    <row r="427" spans="1:10">
      <c r="A427" s="211" t="s">
        <v>1150</v>
      </c>
      <c r="B427" s="211">
        <v>0</v>
      </c>
      <c r="C427" s="211">
        <v>137398</v>
      </c>
      <c r="D427" s="211">
        <v>0</v>
      </c>
      <c r="E427" s="211">
        <v>137398</v>
      </c>
      <c r="G427" s="211">
        <f t="shared" si="6"/>
        <v>137398</v>
      </c>
      <c r="H427" s="211" t="s">
        <v>71</v>
      </c>
      <c r="J427" s="211">
        <f>VLOOKUP(A427,'JULY-TB'!A:G,7,0)</f>
        <v>137398</v>
      </c>
    </row>
    <row r="428" spans="1:10">
      <c r="A428" s="211" t="s">
        <v>1151</v>
      </c>
      <c r="B428" s="211">
        <v>0</v>
      </c>
      <c r="C428" s="211">
        <v>300000</v>
      </c>
      <c r="D428" s="211">
        <v>0</v>
      </c>
      <c r="E428" s="211">
        <v>300000</v>
      </c>
      <c r="G428" s="211">
        <f t="shared" si="6"/>
        <v>300000</v>
      </c>
      <c r="H428" s="211" t="s">
        <v>71</v>
      </c>
      <c r="J428" s="211">
        <f>VLOOKUP(A428,'JULY-TB'!A:G,7,0)</f>
        <v>100000</v>
      </c>
    </row>
    <row r="429" spans="1:10">
      <c r="A429" s="211" t="s">
        <v>358</v>
      </c>
      <c r="B429" s="211">
        <v>0</v>
      </c>
      <c r="C429" s="211">
        <v>10000</v>
      </c>
      <c r="D429" s="211">
        <v>0</v>
      </c>
      <c r="E429" s="211">
        <v>10000</v>
      </c>
      <c r="G429" s="211">
        <f t="shared" si="6"/>
        <v>10000</v>
      </c>
      <c r="H429" s="211" t="s">
        <v>71</v>
      </c>
      <c r="J429" s="211">
        <f>VLOOKUP(A429,'JULY-TB'!A:G,7,0)</f>
        <v>10000</v>
      </c>
    </row>
    <row r="430" spans="1:10">
      <c r="A430" s="211" t="s">
        <v>1563</v>
      </c>
      <c r="B430" s="211">
        <v>0</v>
      </c>
      <c r="C430" s="211">
        <v>5450</v>
      </c>
      <c r="D430" s="211">
        <v>0</v>
      </c>
      <c r="E430" s="211">
        <v>5450</v>
      </c>
      <c r="G430" s="211">
        <f t="shared" si="6"/>
        <v>5450</v>
      </c>
      <c r="H430" s="211" t="s">
        <v>71</v>
      </c>
      <c r="J430" s="211">
        <f>VLOOKUP(A430,'JULY-TB'!A:G,7,0)</f>
        <v>5450</v>
      </c>
    </row>
    <row r="431" spans="1:10">
      <c r="A431" s="211" t="s">
        <v>1152</v>
      </c>
      <c r="B431" s="211">
        <v>0</v>
      </c>
      <c r="C431" s="211">
        <v>2021637.54</v>
      </c>
      <c r="D431" s="211">
        <v>467310</v>
      </c>
      <c r="E431" s="211">
        <v>1554327.54</v>
      </c>
      <c r="F431" s="227">
        <v>554014</v>
      </c>
      <c r="G431" s="211">
        <f t="shared" si="6"/>
        <v>2108341.54</v>
      </c>
      <c r="H431" s="211" t="s">
        <v>60</v>
      </c>
      <c r="J431" s="211">
        <f>VLOOKUP(A431,'JULY-TB'!A:G,7,0)</f>
        <v>1978802.4</v>
      </c>
    </row>
    <row r="432" spans="1:10">
      <c r="A432" s="211" t="s">
        <v>1153</v>
      </c>
      <c r="B432" s="211">
        <v>0</v>
      </c>
      <c r="C432" s="211">
        <v>4550</v>
      </c>
      <c r="D432" s="211">
        <v>0</v>
      </c>
      <c r="E432" s="211">
        <v>4550</v>
      </c>
      <c r="G432" s="211">
        <f t="shared" si="6"/>
        <v>4550</v>
      </c>
      <c r="H432" s="211" t="s">
        <v>71</v>
      </c>
      <c r="J432" s="211">
        <f>VLOOKUP(A432,'JULY-TB'!A:G,7,0)</f>
        <v>4550</v>
      </c>
    </row>
    <row r="433" spans="1:10">
      <c r="A433" s="211" t="s">
        <v>1436</v>
      </c>
      <c r="B433" s="211">
        <v>0</v>
      </c>
      <c r="C433" s="211">
        <v>70058</v>
      </c>
      <c r="D433" s="211">
        <v>0</v>
      </c>
      <c r="E433" s="211">
        <v>70058</v>
      </c>
      <c r="G433" s="211">
        <f t="shared" si="6"/>
        <v>70058</v>
      </c>
      <c r="H433" s="211" t="s">
        <v>71</v>
      </c>
      <c r="J433" s="211">
        <f>VLOOKUP(A433,'JULY-TB'!A:G,7,0)</f>
        <v>70058</v>
      </c>
    </row>
    <row r="434" spans="1:10">
      <c r="A434" s="211" t="s">
        <v>325</v>
      </c>
      <c r="B434" s="211">
        <v>0</v>
      </c>
      <c r="C434" s="211">
        <v>27196.71</v>
      </c>
      <c r="D434" s="211">
        <v>3329.61</v>
      </c>
      <c r="E434" s="211">
        <v>23867.1</v>
      </c>
      <c r="G434" s="211">
        <f t="shared" si="6"/>
        <v>23867.1</v>
      </c>
      <c r="H434" s="211" t="s">
        <v>71</v>
      </c>
      <c r="J434" s="211">
        <f>VLOOKUP(A434,'JULY-TB'!A:G,7,0)</f>
        <v>21307.1</v>
      </c>
    </row>
    <row r="435" spans="1:10">
      <c r="A435" s="211" t="s">
        <v>326</v>
      </c>
      <c r="B435" s="211">
        <v>0</v>
      </c>
      <c r="C435" s="211">
        <v>115656</v>
      </c>
      <c r="D435" s="211">
        <v>0</v>
      </c>
      <c r="E435" s="211">
        <v>115656</v>
      </c>
      <c r="G435" s="211">
        <f t="shared" si="6"/>
        <v>115656</v>
      </c>
      <c r="H435" s="211" t="s">
        <v>71</v>
      </c>
      <c r="J435" s="211">
        <f>VLOOKUP(A435,'JULY-TB'!A:G,7,0)</f>
        <v>98320</v>
      </c>
    </row>
    <row r="436" spans="1:10">
      <c r="A436" s="211" t="s">
        <v>1564</v>
      </c>
      <c r="B436" s="211">
        <v>0</v>
      </c>
      <c r="C436" s="211">
        <v>143897</v>
      </c>
      <c r="D436" s="211">
        <v>0</v>
      </c>
      <c r="E436" s="211">
        <v>143897</v>
      </c>
      <c r="G436" s="211">
        <f t="shared" si="6"/>
        <v>143897</v>
      </c>
      <c r="H436" s="211" t="s">
        <v>71</v>
      </c>
      <c r="J436" s="211">
        <f>VLOOKUP(A436,'JULY-TB'!A:G,7,0)</f>
        <v>143897</v>
      </c>
    </row>
    <row r="437" spans="1:10">
      <c r="A437" s="211" t="s">
        <v>331</v>
      </c>
      <c r="B437" s="211">
        <v>0</v>
      </c>
      <c r="C437" s="211">
        <v>121996.2</v>
      </c>
      <c r="D437" s="211">
        <v>0</v>
      </c>
      <c r="E437" s="211">
        <v>121996.2</v>
      </c>
      <c r="G437" s="211">
        <f t="shared" si="6"/>
        <v>121996.2</v>
      </c>
      <c r="H437" s="211" t="s">
        <v>66</v>
      </c>
      <c r="J437" s="211">
        <f>VLOOKUP(A437,'JULY-TB'!A:G,7,0)</f>
        <v>117996.2</v>
      </c>
    </row>
    <row r="438" spans="1:10">
      <c r="A438" s="211" t="s">
        <v>332</v>
      </c>
      <c r="B438" s="211">
        <v>0</v>
      </c>
      <c r="C438" s="211">
        <v>76387</v>
      </c>
      <c r="D438" s="211">
        <v>0</v>
      </c>
      <c r="E438" s="211">
        <v>76387</v>
      </c>
      <c r="G438" s="211">
        <f t="shared" si="6"/>
        <v>76387</v>
      </c>
      <c r="H438" s="211" t="s">
        <v>71</v>
      </c>
      <c r="J438" s="211">
        <f>VLOOKUP(A438,'JULY-TB'!A:G,7,0)</f>
        <v>38622</v>
      </c>
    </row>
    <row r="439" spans="1:10">
      <c r="A439" s="211" t="s">
        <v>333</v>
      </c>
      <c r="B439" s="211">
        <v>0</v>
      </c>
      <c r="C439" s="211">
        <v>164478</v>
      </c>
      <c r="D439" s="211">
        <v>0</v>
      </c>
      <c r="E439" s="211">
        <v>164478</v>
      </c>
      <c r="G439" s="211">
        <f t="shared" si="6"/>
        <v>164478</v>
      </c>
      <c r="H439" s="211" t="s">
        <v>71</v>
      </c>
      <c r="J439" s="211">
        <f>VLOOKUP(A439,'JULY-TB'!A:G,7,0)</f>
        <v>154798</v>
      </c>
    </row>
    <row r="440" spans="1:10">
      <c r="A440" s="211" t="s">
        <v>315</v>
      </c>
      <c r="B440" s="211">
        <v>0</v>
      </c>
      <c r="C440" s="211">
        <v>94.76</v>
      </c>
      <c r="D440" s="211">
        <v>63.39</v>
      </c>
      <c r="E440" s="211">
        <v>31.37</v>
      </c>
      <c r="G440" s="211">
        <f t="shared" si="6"/>
        <v>31.37</v>
      </c>
      <c r="H440" s="211" t="s">
        <v>80</v>
      </c>
      <c r="J440" s="211">
        <f>VLOOKUP(A440,'JULY-TB'!A:G,7,0)</f>
        <v>22.92</v>
      </c>
    </row>
    <row r="441" spans="1:10">
      <c r="A441" s="211" t="s">
        <v>310</v>
      </c>
      <c r="B441" s="211">
        <v>0</v>
      </c>
      <c r="C441" s="211">
        <v>1762689</v>
      </c>
      <c r="D441" s="211">
        <v>600218</v>
      </c>
      <c r="E441" s="211">
        <v>1162471</v>
      </c>
      <c r="F441" s="228">
        <v>415483</v>
      </c>
      <c r="G441" s="211">
        <f t="shared" si="6"/>
        <v>1577954</v>
      </c>
      <c r="H441" s="211" t="s">
        <v>71</v>
      </c>
      <c r="J441" s="211">
        <f>VLOOKUP(A441,'JULY-TB'!A:G,7,0)</f>
        <v>1162471</v>
      </c>
    </row>
    <row r="442" spans="1:10">
      <c r="A442" s="211" t="s">
        <v>418</v>
      </c>
      <c r="B442" s="211">
        <v>0</v>
      </c>
      <c r="C442" s="211">
        <v>636170</v>
      </c>
      <c r="D442" s="211">
        <v>205205</v>
      </c>
      <c r="E442" s="211">
        <v>430965</v>
      </c>
      <c r="G442" s="211">
        <f t="shared" si="6"/>
        <v>430965</v>
      </c>
      <c r="H442" s="211" t="s">
        <v>64</v>
      </c>
      <c r="J442" s="211">
        <f>VLOOKUP(A442,'JULY-TB'!A:G,7,0)</f>
        <v>426025</v>
      </c>
    </row>
    <row r="443" spans="1:10">
      <c r="A443" s="211" t="s">
        <v>1154</v>
      </c>
      <c r="B443" s="211">
        <v>0</v>
      </c>
      <c r="C443" s="211">
        <v>13500</v>
      </c>
      <c r="D443" s="211">
        <v>0</v>
      </c>
      <c r="E443" s="211">
        <v>13500</v>
      </c>
      <c r="F443" s="227">
        <v>4500</v>
      </c>
      <c r="G443" s="211">
        <f t="shared" si="6"/>
        <v>18000</v>
      </c>
      <c r="H443" s="211" t="s">
        <v>71</v>
      </c>
      <c r="J443" s="211">
        <f>VLOOKUP(A443,'JULY-TB'!A:G,7,0)</f>
        <v>13500</v>
      </c>
    </row>
    <row r="444" spans="1:10">
      <c r="A444" s="211" t="s">
        <v>1155</v>
      </c>
      <c r="B444" s="211">
        <v>0</v>
      </c>
      <c r="C444" s="211">
        <v>820856.76</v>
      </c>
      <c r="D444" s="211">
        <v>0</v>
      </c>
      <c r="E444" s="211">
        <v>820856.76</v>
      </c>
      <c r="G444" s="211">
        <f t="shared" si="6"/>
        <v>820856.76</v>
      </c>
      <c r="H444" s="211" t="s">
        <v>71</v>
      </c>
      <c r="J444" s="211">
        <f>VLOOKUP(A444,'JULY-TB'!A:G,7,0)</f>
        <v>1466479.76</v>
      </c>
    </row>
    <row r="445" spans="1:10">
      <c r="A445" s="211" t="s">
        <v>705</v>
      </c>
      <c r="B445" s="211">
        <v>0</v>
      </c>
      <c r="C445" s="211">
        <v>19285.36</v>
      </c>
      <c r="D445" s="211">
        <v>0</v>
      </c>
      <c r="E445" s="211">
        <v>19285.36</v>
      </c>
      <c r="G445" s="211">
        <f t="shared" si="6"/>
        <v>19285.36</v>
      </c>
      <c r="H445" s="211" t="s">
        <v>71</v>
      </c>
      <c r="J445" s="211">
        <f>VLOOKUP(A445,'JULY-TB'!A:G,7,0)</f>
        <v>19285.36</v>
      </c>
    </row>
    <row r="446" spans="1:10">
      <c r="A446" s="211" t="s">
        <v>311</v>
      </c>
      <c r="B446" s="211">
        <v>0</v>
      </c>
      <c r="C446" s="211">
        <v>337657.56</v>
      </c>
      <c r="D446" s="211">
        <v>0</v>
      </c>
      <c r="E446" s="211">
        <v>337657.56</v>
      </c>
      <c r="G446" s="211">
        <f t="shared" si="6"/>
        <v>337657.56</v>
      </c>
      <c r="H446" s="211" t="s">
        <v>71</v>
      </c>
      <c r="J446" s="211">
        <f>VLOOKUP(A446,'JULY-TB'!A:G,7,0)</f>
        <v>282312.96000000002</v>
      </c>
    </row>
    <row r="447" spans="1:10">
      <c r="A447" s="211" t="s">
        <v>312</v>
      </c>
      <c r="B447" s="211">
        <v>0</v>
      </c>
      <c r="C447" s="211">
        <v>50</v>
      </c>
      <c r="D447" s="211">
        <v>0</v>
      </c>
      <c r="E447" s="211">
        <v>50</v>
      </c>
      <c r="G447" s="211">
        <f t="shared" si="6"/>
        <v>50</v>
      </c>
      <c r="H447" s="211" t="s">
        <v>71</v>
      </c>
      <c r="J447" s="211">
        <f>VLOOKUP(A447,'JULY-TB'!A:G,7,0)</f>
        <v>50</v>
      </c>
    </row>
    <row r="448" spans="1:10">
      <c r="A448" s="211" t="s">
        <v>313</v>
      </c>
      <c r="B448" s="211">
        <v>0</v>
      </c>
      <c r="C448" s="211">
        <v>82102.8</v>
      </c>
      <c r="D448" s="211">
        <v>2110</v>
      </c>
      <c r="E448" s="211">
        <v>79992.800000000003</v>
      </c>
      <c r="G448" s="211">
        <f t="shared" si="6"/>
        <v>79992.800000000003</v>
      </c>
      <c r="H448" s="211" t="s">
        <v>71</v>
      </c>
      <c r="J448" s="211">
        <f>VLOOKUP(A448,'JULY-TB'!A:G,7,0)</f>
        <v>72308.100000000006</v>
      </c>
    </row>
    <row r="449" spans="1:11">
      <c r="A449" s="211" t="s">
        <v>1156</v>
      </c>
      <c r="B449" s="211">
        <v>0</v>
      </c>
      <c r="C449" s="211">
        <v>300375</v>
      </c>
      <c r="D449" s="211">
        <v>0</v>
      </c>
      <c r="E449" s="211">
        <v>300375</v>
      </c>
      <c r="F449" s="227">
        <f>37000+38500</f>
        <v>75500</v>
      </c>
      <c r="G449" s="211">
        <f t="shared" si="6"/>
        <v>375875</v>
      </c>
      <c r="H449" s="211" t="s">
        <v>66</v>
      </c>
      <c r="J449" s="211">
        <f>VLOOKUP(A449,'JULY-TB'!A:G,7,0)</f>
        <v>296600</v>
      </c>
    </row>
    <row r="450" spans="1:11">
      <c r="A450" s="211" t="s">
        <v>1157</v>
      </c>
      <c r="B450" s="211">
        <v>0</v>
      </c>
      <c r="C450" s="211">
        <v>640000</v>
      </c>
      <c r="D450" s="211">
        <v>0</v>
      </c>
      <c r="E450" s="211">
        <v>640000</v>
      </c>
      <c r="F450" s="227">
        <v>160000</v>
      </c>
      <c r="G450" s="211">
        <f t="shared" si="6"/>
        <v>800000</v>
      </c>
      <c r="H450" s="211" t="s">
        <v>66</v>
      </c>
      <c r="J450" s="211">
        <f>VLOOKUP(A450,'JULY-TB'!A:G,7,0)</f>
        <v>640000</v>
      </c>
    </row>
    <row r="451" spans="1:11">
      <c r="A451" s="211" t="s">
        <v>1437</v>
      </c>
      <c r="B451" s="211">
        <v>0</v>
      </c>
      <c r="C451" s="211">
        <v>12627025.210000001</v>
      </c>
      <c r="D451" s="211">
        <v>0</v>
      </c>
      <c r="E451" s="211">
        <v>12627025.210000001</v>
      </c>
      <c r="G451" s="211">
        <f t="shared" si="6"/>
        <v>12627025.210000001</v>
      </c>
      <c r="H451" s="211" t="s">
        <v>1053</v>
      </c>
      <c r="J451" s="211">
        <f>VLOOKUP(A451,'JULY-TB'!A:G,7,0)</f>
        <v>12627025.210000001</v>
      </c>
    </row>
    <row r="452" spans="1:11">
      <c r="A452" s="211" t="s">
        <v>1438</v>
      </c>
      <c r="B452" s="211">
        <v>0</v>
      </c>
      <c r="C452" s="211">
        <v>60245</v>
      </c>
      <c r="D452" s="211">
        <v>0</v>
      </c>
      <c r="E452" s="211">
        <v>60245</v>
      </c>
      <c r="G452" s="211">
        <f t="shared" ref="G452:G514" si="7">E452+F452</f>
        <v>60245</v>
      </c>
      <c r="H452" s="211" t="s">
        <v>54</v>
      </c>
      <c r="J452" s="211">
        <f>VLOOKUP(A452,'JULY-TB'!A:G,7,0)</f>
        <v>60245</v>
      </c>
    </row>
    <row r="453" spans="1:11">
      <c r="A453" s="211" t="s">
        <v>329</v>
      </c>
      <c r="B453" s="211">
        <v>0</v>
      </c>
      <c r="C453" s="211">
        <v>145380</v>
      </c>
      <c r="D453" s="211">
        <v>51474</v>
      </c>
      <c r="E453" s="211">
        <v>93906</v>
      </c>
      <c r="F453" s="211">
        <v>30689</v>
      </c>
      <c r="G453" s="211">
        <f t="shared" si="7"/>
        <v>124595</v>
      </c>
      <c r="H453" s="211" t="s">
        <v>52</v>
      </c>
      <c r="J453" s="211">
        <f>VLOOKUP(A453,'JULY-TB'!A:G,7,0)</f>
        <v>98228</v>
      </c>
    </row>
    <row r="454" spans="1:11">
      <c r="A454" s="211" t="s">
        <v>330</v>
      </c>
      <c r="B454" s="211">
        <v>0</v>
      </c>
      <c r="C454" s="211">
        <v>3631248</v>
      </c>
      <c r="D454" s="211">
        <v>1285422</v>
      </c>
      <c r="E454" s="211">
        <v>2345826</v>
      </c>
      <c r="F454" s="211">
        <v>766732</v>
      </c>
      <c r="G454" s="211">
        <f t="shared" si="7"/>
        <v>3112558</v>
      </c>
      <c r="H454" s="211" t="s">
        <v>52</v>
      </c>
      <c r="J454" s="211">
        <f>VLOOKUP(A454,'JULY-TB'!A:G,7,0)</f>
        <v>2345826</v>
      </c>
    </row>
    <row r="455" spans="1:11">
      <c r="A455" s="211" t="s">
        <v>364</v>
      </c>
      <c r="B455" s="211">
        <v>0</v>
      </c>
      <c r="C455" s="211">
        <v>247587</v>
      </c>
      <c r="D455" s="211">
        <v>0</v>
      </c>
      <c r="E455" s="211">
        <v>247587</v>
      </c>
      <c r="G455" s="211">
        <f t="shared" si="7"/>
        <v>247587</v>
      </c>
      <c r="H455" s="211" t="s">
        <v>51</v>
      </c>
      <c r="J455" s="211">
        <f>VLOOKUP(A455,'JULY-TB'!A:G,7,0)</f>
        <v>187196</v>
      </c>
      <c r="K455" s="211">
        <f>G455-J455</f>
        <v>60391</v>
      </c>
    </row>
    <row r="456" spans="1:11">
      <c r="A456" s="211" t="s">
        <v>365</v>
      </c>
      <c r="B456" s="211">
        <v>0</v>
      </c>
      <c r="C456" s="211">
        <v>6891345.4800000004</v>
      </c>
      <c r="D456" s="211">
        <v>734663</v>
      </c>
      <c r="E456" s="211">
        <v>6156682.4800000004</v>
      </c>
      <c r="G456" s="211">
        <f t="shared" si="7"/>
        <v>6156682.4800000004</v>
      </c>
      <c r="H456" s="211" t="s">
        <v>51</v>
      </c>
      <c r="J456" s="211">
        <f>VLOOKUP(A456,'JULY-TB'!A:G,7,0)</f>
        <v>4783467.7300000004</v>
      </c>
      <c r="K456" s="211">
        <f t="shared" ref="K456:K476" si="8">G456-J456</f>
        <v>1373214.75</v>
      </c>
    </row>
    <row r="457" spans="1:11">
      <c r="A457" s="211" t="s">
        <v>366</v>
      </c>
      <c r="B457" s="211">
        <v>0</v>
      </c>
      <c r="C457" s="211">
        <v>15951</v>
      </c>
      <c r="D457" s="211">
        <v>0</v>
      </c>
      <c r="E457" s="211">
        <v>15951</v>
      </c>
      <c r="G457" s="211">
        <f t="shared" si="7"/>
        <v>15951</v>
      </c>
      <c r="H457" s="211" t="s">
        <v>51</v>
      </c>
      <c r="J457" s="211">
        <f>VLOOKUP(A457,'JULY-TB'!A:G,7,0)</f>
        <v>12457</v>
      </c>
      <c r="K457" s="211">
        <f t="shared" si="8"/>
        <v>3494</v>
      </c>
    </row>
    <row r="458" spans="1:11">
      <c r="A458" s="211" t="s">
        <v>706</v>
      </c>
      <c r="B458" s="211">
        <v>0</v>
      </c>
      <c r="C458" s="211">
        <v>800</v>
      </c>
      <c r="D458" s="211">
        <v>0</v>
      </c>
      <c r="E458" s="211">
        <v>800</v>
      </c>
      <c r="G458" s="211">
        <f t="shared" si="7"/>
        <v>800</v>
      </c>
      <c r="H458" s="211" t="s">
        <v>51</v>
      </c>
      <c r="J458" s="211">
        <f>VLOOKUP(A458,'JULY-TB'!A:G,7,0)</f>
        <v>600</v>
      </c>
      <c r="K458" s="211">
        <f t="shared" si="8"/>
        <v>200</v>
      </c>
    </row>
    <row r="459" spans="1:11">
      <c r="A459" s="211" t="s">
        <v>367</v>
      </c>
      <c r="B459" s="211">
        <v>0</v>
      </c>
      <c r="C459" s="211">
        <v>14099033</v>
      </c>
      <c r="D459" s="211">
        <v>0</v>
      </c>
      <c r="E459" s="211">
        <v>14099033</v>
      </c>
      <c r="G459" s="211">
        <f t="shared" si="7"/>
        <v>14099033</v>
      </c>
      <c r="H459" s="211" t="s">
        <v>51</v>
      </c>
      <c r="J459" s="211">
        <f>VLOOKUP(A459,'JULY-TB'!A:G,7,0)</f>
        <v>9980884</v>
      </c>
      <c r="K459" s="211">
        <f t="shared" si="8"/>
        <v>4118149</v>
      </c>
    </row>
    <row r="460" spans="1:11">
      <c r="A460" s="211" t="s">
        <v>368</v>
      </c>
      <c r="B460" s="211">
        <v>0</v>
      </c>
      <c r="C460" s="211">
        <v>1167233</v>
      </c>
      <c r="D460" s="211">
        <v>0</v>
      </c>
      <c r="E460" s="211">
        <v>1167233</v>
      </c>
      <c r="G460" s="211">
        <f t="shared" si="7"/>
        <v>1167233</v>
      </c>
      <c r="H460" s="211" t="s">
        <v>51</v>
      </c>
      <c r="J460" s="211">
        <f>VLOOKUP(A460,'JULY-TB'!A:G,7,0)</f>
        <v>884620</v>
      </c>
      <c r="K460" s="211">
        <f t="shared" si="8"/>
        <v>282613</v>
      </c>
    </row>
    <row r="461" spans="1:11">
      <c r="A461" s="211" t="s">
        <v>369</v>
      </c>
      <c r="B461" s="211">
        <v>0</v>
      </c>
      <c r="C461" s="211">
        <v>536581</v>
      </c>
      <c r="D461" s="211">
        <v>0</v>
      </c>
      <c r="E461" s="211">
        <v>536581</v>
      </c>
      <c r="G461" s="211">
        <f t="shared" si="7"/>
        <v>536581</v>
      </c>
      <c r="H461" s="211" t="s">
        <v>51</v>
      </c>
      <c r="J461" s="211">
        <f>VLOOKUP(A461,'JULY-TB'!A:G,7,0)</f>
        <v>410765</v>
      </c>
      <c r="K461" s="211">
        <f t="shared" si="8"/>
        <v>125816</v>
      </c>
    </row>
    <row r="462" spans="1:11">
      <c r="A462" s="211" t="s">
        <v>370</v>
      </c>
      <c r="B462" s="211">
        <v>0</v>
      </c>
      <c r="C462" s="211">
        <v>609240</v>
      </c>
      <c r="D462" s="211">
        <v>0</v>
      </c>
      <c r="E462" s="211">
        <v>609240</v>
      </c>
      <c r="G462" s="211">
        <f t="shared" si="7"/>
        <v>609240</v>
      </c>
      <c r="H462" s="211" t="s">
        <v>51</v>
      </c>
      <c r="J462" s="211">
        <f>VLOOKUP(A462,'JULY-TB'!A:G,7,0)</f>
        <v>470369</v>
      </c>
      <c r="K462" s="211">
        <f t="shared" si="8"/>
        <v>138871</v>
      </c>
    </row>
    <row r="463" spans="1:11">
      <c r="A463" s="211" t="s">
        <v>371</v>
      </c>
      <c r="B463" s="211">
        <v>0</v>
      </c>
      <c r="C463" s="211">
        <v>1889282</v>
      </c>
      <c r="D463" s="211">
        <v>0</v>
      </c>
      <c r="E463" s="211">
        <v>1889282</v>
      </c>
      <c r="G463" s="211">
        <f t="shared" si="7"/>
        <v>1889282</v>
      </c>
      <c r="H463" s="211" t="s">
        <v>51</v>
      </c>
      <c r="J463" s="211">
        <f>VLOOKUP(A463,'JULY-TB'!A:G,7,0)</f>
        <v>880440</v>
      </c>
      <c r="K463" s="211">
        <f t="shared" si="8"/>
        <v>1008842</v>
      </c>
    </row>
    <row r="464" spans="1:11">
      <c r="A464" s="211" t="s">
        <v>372</v>
      </c>
      <c r="B464" s="211">
        <v>0</v>
      </c>
      <c r="C464" s="211">
        <v>400142</v>
      </c>
      <c r="D464" s="211">
        <v>0</v>
      </c>
      <c r="E464" s="211">
        <v>400142</v>
      </c>
      <c r="G464" s="211">
        <f t="shared" si="7"/>
        <v>400142</v>
      </c>
      <c r="H464" s="211" t="s">
        <v>51</v>
      </c>
      <c r="J464" s="211">
        <f>VLOOKUP(A464,'JULY-TB'!A:G,7,0)</f>
        <v>299240</v>
      </c>
      <c r="K464" s="211">
        <f t="shared" si="8"/>
        <v>100902</v>
      </c>
    </row>
    <row r="465" spans="1:11">
      <c r="A465" s="211" t="s">
        <v>373</v>
      </c>
      <c r="B465" s="211">
        <v>0</v>
      </c>
      <c r="C465" s="211">
        <v>1212792</v>
      </c>
      <c r="D465" s="211">
        <v>0</v>
      </c>
      <c r="E465" s="211">
        <v>1212792</v>
      </c>
      <c r="G465" s="211">
        <f t="shared" si="7"/>
        <v>1212792</v>
      </c>
      <c r="H465" s="211" t="s">
        <v>51</v>
      </c>
      <c r="J465" s="211">
        <f>VLOOKUP(A465,'JULY-TB'!A:G,7,0)</f>
        <v>924371</v>
      </c>
      <c r="K465" s="211">
        <f t="shared" si="8"/>
        <v>288421</v>
      </c>
    </row>
    <row r="466" spans="1:11">
      <c r="A466" s="211" t="s">
        <v>1158</v>
      </c>
      <c r="B466" s="211">
        <v>0</v>
      </c>
      <c r="C466" s="211">
        <v>20384</v>
      </c>
      <c r="D466" s="211">
        <v>0</v>
      </c>
      <c r="E466" s="211">
        <v>20384</v>
      </c>
      <c r="G466" s="211">
        <f t="shared" si="7"/>
        <v>20384</v>
      </c>
      <c r="H466" s="211" t="s">
        <v>51</v>
      </c>
      <c r="J466" s="211">
        <f>VLOOKUP(A466,'JULY-TB'!A:G,7,0)</f>
        <v>20384</v>
      </c>
      <c r="K466" s="211">
        <f t="shared" si="8"/>
        <v>0</v>
      </c>
    </row>
    <row r="467" spans="1:11">
      <c r="A467" s="211" t="s">
        <v>374</v>
      </c>
      <c r="B467" s="211">
        <v>0</v>
      </c>
      <c r="C467" s="211">
        <v>4978601.07</v>
      </c>
      <c r="D467" s="211">
        <v>0</v>
      </c>
      <c r="E467" s="211">
        <v>4978601.07</v>
      </c>
      <c r="G467" s="211">
        <f t="shared" si="7"/>
        <v>4978601.07</v>
      </c>
      <c r="H467" s="211" t="s">
        <v>51</v>
      </c>
      <c r="J467" s="211">
        <f>VLOOKUP(A467,'JULY-TB'!A:G,7,0)</f>
        <v>3491391.57</v>
      </c>
      <c r="K467" s="211">
        <f t="shared" si="8"/>
        <v>1487209.5000000005</v>
      </c>
    </row>
    <row r="468" spans="1:11">
      <c r="A468" s="211" t="s">
        <v>363</v>
      </c>
      <c r="B468" s="211">
        <v>0</v>
      </c>
      <c r="C468" s="211">
        <v>408750</v>
      </c>
      <c r="D468" s="211">
        <v>0</v>
      </c>
      <c r="E468" s="211">
        <v>408750</v>
      </c>
      <c r="G468" s="211">
        <f t="shared" si="7"/>
        <v>408750</v>
      </c>
      <c r="H468" s="211" t="s">
        <v>51</v>
      </c>
      <c r="J468" s="211">
        <f>VLOOKUP(A468,'JULY-TB'!A:G,7,0)</f>
        <v>297150</v>
      </c>
      <c r="K468" s="211">
        <f t="shared" si="8"/>
        <v>111600</v>
      </c>
    </row>
    <row r="469" spans="1:11">
      <c r="A469" s="211" t="s">
        <v>707</v>
      </c>
      <c r="B469" s="211">
        <v>0</v>
      </c>
      <c r="C469" s="211">
        <v>1743588</v>
      </c>
      <c r="D469" s="211">
        <v>610974</v>
      </c>
      <c r="E469" s="211">
        <v>1132614</v>
      </c>
      <c r="G469" s="211">
        <f t="shared" si="7"/>
        <v>1132614</v>
      </c>
      <c r="H469" s="211" t="s">
        <v>51</v>
      </c>
      <c r="J469" s="211">
        <f>VLOOKUP(A469,'JULY-TB'!A:G,7,0)</f>
        <v>1132614</v>
      </c>
      <c r="K469" s="211">
        <f t="shared" si="8"/>
        <v>0</v>
      </c>
    </row>
    <row r="470" spans="1:11">
      <c r="A470" s="211" t="s">
        <v>1542</v>
      </c>
      <c r="B470" s="211">
        <v>0</v>
      </c>
      <c r="C470" s="211">
        <v>923585</v>
      </c>
      <c r="D470" s="211">
        <v>0</v>
      </c>
      <c r="E470" s="211">
        <v>923585</v>
      </c>
      <c r="G470" s="211">
        <f t="shared" si="7"/>
        <v>923585</v>
      </c>
      <c r="H470" s="211" t="s">
        <v>51</v>
      </c>
      <c r="J470" s="211">
        <f>VLOOKUP(A470,'JULY-TB'!A:G,7,0)</f>
        <v>923585</v>
      </c>
      <c r="K470" s="211">
        <f t="shared" si="8"/>
        <v>0</v>
      </c>
    </row>
    <row r="471" spans="1:11">
      <c r="A471" s="211" t="s">
        <v>708</v>
      </c>
      <c r="B471" s="211">
        <v>0</v>
      </c>
      <c r="C471" s="211">
        <v>2213851</v>
      </c>
      <c r="D471" s="211">
        <v>0</v>
      </c>
      <c r="E471" s="211">
        <v>2213851</v>
      </c>
      <c r="G471" s="211">
        <f t="shared" si="7"/>
        <v>2213851</v>
      </c>
      <c r="H471" s="211" t="s">
        <v>51</v>
      </c>
      <c r="J471" s="211">
        <f>VLOOKUP(A471,'JULY-TB'!A:G,7,0)</f>
        <v>1735919</v>
      </c>
      <c r="K471" s="211">
        <f t="shared" si="8"/>
        <v>477932</v>
      </c>
    </row>
    <row r="472" spans="1:11">
      <c r="A472" s="211" t="s">
        <v>352</v>
      </c>
      <c r="B472" s="211">
        <v>0</v>
      </c>
      <c r="C472" s="211">
        <v>6101111</v>
      </c>
      <c r="D472" s="211">
        <v>0</v>
      </c>
      <c r="E472" s="211">
        <v>6101111</v>
      </c>
      <c r="G472" s="211">
        <f t="shared" si="7"/>
        <v>6101111</v>
      </c>
      <c r="H472" s="231" t="s">
        <v>51</v>
      </c>
      <c r="J472" s="211">
        <f>VLOOKUP(A472,'JULY-TB'!A:G,7,0)</f>
        <v>5039456</v>
      </c>
      <c r="K472" s="211">
        <f t="shared" si="8"/>
        <v>1061655</v>
      </c>
    </row>
    <row r="473" spans="1:11">
      <c r="A473" s="211" t="s">
        <v>327</v>
      </c>
      <c r="B473" s="211">
        <v>0</v>
      </c>
      <c r="C473" s="211">
        <v>0</v>
      </c>
      <c r="D473" s="211">
        <v>247853</v>
      </c>
      <c r="E473" s="211">
        <v>-247853</v>
      </c>
      <c r="G473" s="211">
        <f t="shared" si="7"/>
        <v>-247853</v>
      </c>
      <c r="H473" s="211" t="s">
        <v>51</v>
      </c>
      <c r="J473" s="211">
        <f>VLOOKUP(A473,'JULY-TB'!A:G,7,0)</f>
        <v>-102409</v>
      </c>
      <c r="K473" s="211">
        <f t="shared" si="8"/>
        <v>-145444</v>
      </c>
    </row>
    <row r="474" spans="1:11">
      <c r="A474" s="231" t="s">
        <v>309</v>
      </c>
      <c r="B474" s="211">
        <v>0</v>
      </c>
      <c r="C474" s="211">
        <v>21699113.75</v>
      </c>
      <c r="D474" s="211">
        <v>0</v>
      </c>
      <c r="E474" s="211">
        <v>21699113.75</v>
      </c>
      <c r="F474" s="211">
        <v>18707589</v>
      </c>
      <c r="G474" s="211">
        <f t="shared" si="7"/>
        <v>40406702.75</v>
      </c>
      <c r="H474" s="211" t="s">
        <v>51</v>
      </c>
      <c r="J474" s="211">
        <f>VLOOKUP(A474,'JULY-TB'!A:G,7,0)</f>
        <v>30483393</v>
      </c>
      <c r="K474" s="211">
        <f t="shared" si="8"/>
        <v>9923309.75</v>
      </c>
    </row>
    <row r="475" spans="1:11">
      <c r="A475" s="211" t="s">
        <v>709</v>
      </c>
      <c r="B475" s="211">
        <v>0</v>
      </c>
      <c r="C475" s="211">
        <v>373641</v>
      </c>
      <c r="D475" s="211">
        <v>0</v>
      </c>
      <c r="E475" s="211">
        <v>373641</v>
      </c>
      <c r="G475" s="211">
        <f t="shared" si="7"/>
        <v>373641</v>
      </c>
      <c r="H475" s="211" t="s">
        <v>51</v>
      </c>
      <c r="J475" s="211">
        <f>VLOOKUP(A475,'JULY-TB'!A:G,7,0)</f>
        <v>341631</v>
      </c>
      <c r="K475" s="211">
        <f t="shared" si="8"/>
        <v>32010</v>
      </c>
    </row>
    <row r="476" spans="1:11">
      <c r="A476" s="211" t="s">
        <v>710</v>
      </c>
      <c r="B476" s="211">
        <v>0</v>
      </c>
      <c r="C476" s="211">
        <v>1345862.5</v>
      </c>
      <c r="D476" s="211">
        <v>0</v>
      </c>
      <c r="E476" s="211">
        <v>1345862.5</v>
      </c>
      <c r="G476" s="211">
        <f t="shared" si="7"/>
        <v>1345862.5</v>
      </c>
      <c r="H476" s="211" t="s">
        <v>51</v>
      </c>
      <c r="J476" s="211">
        <f>VLOOKUP(A476,'JULY-TB'!A:G,7,0)</f>
        <v>1238551.5</v>
      </c>
      <c r="K476" s="211">
        <f t="shared" si="8"/>
        <v>107311</v>
      </c>
    </row>
    <row r="477" spans="1:11">
      <c r="A477" s="211" t="s">
        <v>1403</v>
      </c>
      <c r="B477" s="211">
        <v>0</v>
      </c>
      <c r="C477" s="211">
        <v>61230</v>
      </c>
      <c r="D477" s="211">
        <v>0</v>
      </c>
      <c r="E477" s="211">
        <v>61230</v>
      </c>
      <c r="G477" s="211">
        <f t="shared" si="7"/>
        <v>61230</v>
      </c>
      <c r="H477" s="211" t="s">
        <v>80</v>
      </c>
      <c r="J477" s="211">
        <f>VLOOKUP(A477,'JULY-TB'!A:G,7,0)</f>
        <v>27000</v>
      </c>
    </row>
    <row r="478" spans="1:11">
      <c r="A478" s="211" t="s">
        <v>353</v>
      </c>
      <c r="B478" s="211">
        <v>0</v>
      </c>
      <c r="C478" s="211">
        <v>1801768.98</v>
      </c>
      <c r="D478" s="211">
        <v>570152</v>
      </c>
      <c r="E478" s="211">
        <v>1231616.98</v>
      </c>
      <c r="F478" s="211">
        <v>376290</v>
      </c>
      <c r="G478" s="211">
        <f t="shared" si="7"/>
        <v>1607906.98</v>
      </c>
      <c r="H478" s="211" t="s">
        <v>54</v>
      </c>
      <c r="J478" s="211">
        <f>VLOOKUP(A478,'JULY-TB'!A:G,7,0)</f>
        <v>870532.24</v>
      </c>
    </row>
    <row r="479" spans="1:11">
      <c r="A479" s="211" t="s">
        <v>1439</v>
      </c>
      <c r="B479" s="211">
        <v>0</v>
      </c>
      <c r="C479" s="211">
        <v>480</v>
      </c>
      <c r="D479" s="211">
        <v>0</v>
      </c>
      <c r="E479" s="211">
        <v>480</v>
      </c>
      <c r="G479" s="211">
        <f t="shared" si="7"/>
        <v>480</v>
      </c>
      <c r="H479" s="211" t="s">
        <v>54</v>
      </c>
      <c r="J479" s="211">
        <f>VLOOKUP(A479,'JULY-TB'!A:G,7,0)</f>
        <v>480</v>
      </c>
    </row>
    <row r="480" spans="1:11">
      <c r="A480" s="211" t="s">
        <v>344</v>
      </c>
      <c r="B480" s="211">
        <v>0</v>
      </c>
      <c r="C480" s="211">
        <v>176812</v>
      </c>
      <c r="D480" s="211">
        <v>0</v>
      </c>
      <c r="E480" s="211">
        <v>176812</v>
      </c>
      <c r="F480" s="227">
        <v>34992</v>
      </c>
      <c r="G480" s="211">
        <f t="shared" si="7"/>
        <v>211804</v>
      </c>
      <c r="H480" s="211" t="s">
        <v>54</v>
      </c>
      <c r="J480" s="211">
        <f>VLOOKUP(A480,'JULY-TB'!A:G,7,0)</f>
        <v>327414</v>
      </c>
    </row>
    <row r="481" spans="1:10">
      <c r="A481" s="211" t="s">
        <v>359</v>
      </c>
      <c r="B481" s="211">
        <v>0</v>
      </c>
      <c r="C481" s="211">
        <v>1082021.53</v>
      </c>
      <c r="D481" s="211">
        <v>1669.95</v>
      </c>
      <c r="E481" s="211">
        <v>1080351.58</v>
      </c>
      <c r="G481" s="211">
        <f t="shared" si="7"/>
        <v>1080351.58</v>
      </c>
      <c r="H481" s="211" t="s">
        <v>1054</v>
      </c>
      <c r="J481" s="211">
        <f>VLOOKUP(A481,'JULY-TB'!A:G,7,0)</f>
        <v>998460.18</v>
      </c>
    </row>
    <row r="482" spans="1:10">
      <c r="A482" s="211" t="s">
        <v>1043</v>
      </c>
      <c r="B482" s="211">
        <v>0</v>
      </c>
      <c r="C482" s="211">
        <v>41300</v>
      </c>
      <c r="D482" s="211">
        <v>0</v>
      </c>
      <c r="E482" s="211">
        <v>41300</v>
      </c>
      <c r="G482" s="211">
        <f t="shared" si="7"/>
        <v>41300</v>
      </c>
      <c r="H482" s="211" t="s">
        <v>1054</v>
      </c>
      <c r="J482" s="211">
        <f>VLOOKUP(A482,'JULY-TB'!A:G,7,0)</f>
        <v>41300</v>
      </c>
    </row>
    <row r="483" spans="1:10">
      <c r="A483" s="211" t="s">
        <v>711</v>
      </c>
      <c r="B483" s="211">
        <v>0</v>
      </c>
      <c r="C483" s="211">
        <v>11254.8</v>
      </c>
      <c r="D483" s="211">
        <v>0</v>
      </c>
      <c r="E483" s="211">
        <v>11254.8</v>
      </c>
      <c r="G483" s="211">
        <f t="shared" si="7"/>
        <v>11254.8</v>
      </c>
      <c r="H483" s="211" t="s">
        <v>1054</v>
      </c>
      <c r="J483" s="211">
        <f>VLOOKUP(A483,'JULY-TB'!A:G,7,0)</f>
        <v>11254.8</v>
      </c>
    </row>
    <row r="484" spans="1:10">
      <c r="A484" s="211" t="s">
        <v>712</v>
      </c>
      <c r="B484" s="211">
        <v>0</v>
      </c>
      <c r="C484" s="211">
        <v>2360</v>
      </c>
      <c r="D484" s="211">
        <v>0</v>
      </c>
      <c r="E484" s="211">
        <v>2360</v>
      </c>
      <c r="G484" s="211">
        <f t="shared" si="7"/>
        <v>2360</v>
      </c>
      <c r="H484" s="211" t="s">
        <v>1054</v>
      </c>
      <c r="J484" s="211">
        <f>VLOOKUP(A484,'JULY-TB'!A:G,7,0)</f>
        <v>2360</v>
      </c>
    </row>
    <row r="485" spans="1:10">
      <c r="A485" s="211" t="s">
        <v>360</v>
      </c>
      <c r="B485" s="211">
        <v>0</v>
      </c>
      <c r="C485" s="211">
        <v>89319.2</v>
      </c>
      <c r="D485" s="211">
        <v>0</v>
      </c>
      <c r="E485" s="211">
        <v>89319.2</v>
      </c>
      <c r="G485" s="211">
        <f t="shared" si="7"/>
        <v>89319.2</v>
      </c>
      <c r="H485" s="211" t="s">
        <v>1054</v>
      </c>
      <c r="J485" s="211">
        <f>VLOOKUP(A485,'JULY-TB'!A:G,7,0)</f>
        <v>87952.76</v>
      </c>
    </row>
    <row r="486" spans="1:10">
      <c r="A486" s="211" t="s">
        <v>414</v>
      </c>
      <c r="B486" s="211">
        <v>0</v>
      </c>
      <c r="C486" s="211">
        <v>2920</v>
      </c>
      <c r="D486" s="211">
        <v>0</v>
      </c>
      <c r="E486" s="211">
        <v>2920</v>
      </c>
      <c r="G486" s="211">
        <f t="shared" si="7"/>
        <v>2920</v>
      </c>
      <c r="H486" s="211" t="s">
        <v>1054</v>
      </c>
      <c r="J486" s="211">
        <f>VLOOKUP(A486,'JULY-TB'!A:G,7,0)</f>
        <v>2920</v>
      </c>
    </row>
    <row r="487" spans="1:10">
      <c r="A487" s="211" t="s">
        <v>361</v>
      </c>
      <c r="B487" s="211">
        <v>0</v>
      </c>
      <c r="C487" s="211">
        <v>9500</v>
      </c>
      <c r="D487" s="211">
        <v>0</v>
      </c>
      <c r="E487" s="211">
        <v>9500</v>
      </c>
      <c r="G487" s="211">
        <f t="shared" si="7"/>
        <v>9500</v>
      </c>
      <c r="H487" s="211" t="s">
        <v>1054</v>
      </c>
      <c r="J487" s="211">
        <f>VLOOKUP(A487,'JULY-TB'!A:G,7,0)</f>
        <v>8500</v>
      </c>
    </row>
    <row r="488" spans="1:10">
      <c r="A488" s="211" t="s">
        <v>713</v>
      </c>
      <c r="B488" s="211">
        <v>0</v>
      </c>
      <c r="C488" s="211">
        <v>276710</v>
      </c>
      <c r="D488" s="211">
        <v>0</v>
      </c>
      <c r="E488" s="211">
        <v>276710</v>
      </c>
      <c r="G488" s="211">
        <f t="shared" si="7"/>
        <v>276710</v>
      </c>
      <c r="H488" s="211" t="s">
        <v>1054</v>
      </c>
      <c r="J488" s="211">
        <f>VLOOKUP(A488,'JULY-TB'!A:G,7,0)</f>
        <v>276710</v>
      </c>
    </row>
    <row r="489" spans="1:10">
      <c r="A489" s="211" t="s">
        <v>362</v>
      </c>
      <c r="B489" s="211">
        <v>0</v>
      </c>
      <c r="C489" s="211">
        <v>3579461.21</v>
      </c>
      <c r="D489" s="211">
        <v>3493110.66</v>
      </c>
      <c r="E489" s="211">
        <v>86350.55</v>
      </c>
      <c r="G489" s="211">
        <f t="shared" si="7"/>
        <v>86350.55</v>
      </c>
      <c r="H489" s="211" t="s">
        <v>1054</v>
      </c>
      <c r="J489" s="211">
        <f>VLOOKUP(A489,'JULY-TB'!A:G,7,0)</f>
        <v>73895.5</v>
      </c>
    </row>
    <row r="490" spans="1:10">
      <c r="A490" s="211" t="s">
        <v>357</v>
      </c>
      <c r="B490" s="211">
        <v>0</v>
      </c>
      <c r="C490" s="211">
        <v>25388182.329999998</v>
      </c>
      <c r="D490" s="211">
        <v>31687128.370000001</v>
      </c>
      <c r="E490" s="211">
        <v>-6298946.04</v>
      </c>
      <c r="F490" s="108">
        <v>-25161872</v>
      </c>
      <c r="G490" s="211">
        <f t="shared" si="7"/>
        <v>-31460818.039999999</v>
      </c>
      <c r="H490" s="211" t="s">
        <v>73</v>
      </c>
      <c r="J490" s="211">
        <f>VLOOKUP(A490,'JULY-TB'!A:G,7,0)</f>
        <v>-29618688.969999999</v>
      </c>
    </row>
    <row r="491" spans="1:10">
      <c r="A491" s="211" t="s">
        <v>714</v>
      </c>
      <c r="B491" s="211">
        <v>0</v>
      </c>
      <c r="C491" s="211">
        <v>314172.03999999998</v>
      </c>
      <c r="D491" s="211">
        <v>1928685.71</v>
      </c>
      <c r="E491" s="211">
        <v>-1614513.67</v>
      </c>
      <c r="G491" s="211">
        <f t="shared" si="7"/>
        <v>-1614513.67</v>
      </c>
      <c r="H491" s="211" t="s">
        <v>73</v>
      </c>
      <c r="J491" s="211">
        <f>VLOOKUP(A491,'JULY-TB'!A:G,7,0)</f>
        <v>-1580624.18</v>
      </c>
    </row>
    <row r="492" spans="1:10">
      <c r="A492" s="211" t="s">
        <v>1044</v>
      </c>
      <c r="B492" s="211">
        <v>0</v>
      </c>
      <c r="C492" s="211">
        <v>8599620</v>
      </c>
      <c r="D492" s="211">
        <v>0</v>
      </c>
      <c r="E492" s="211">
        <v>8599620</v>
      </c>
      <c r="G492" s="211">
        <f t="shared" si="7"/>
        <v>8599620</v>
      </c>
      <c r="H492" s="211" t="s">
        <v>1055</v>
      </c>
      <c r="J492" s="211">
        <f>VLOOKUP(A492,'JULY-TB'!A:G,7,0)</f>
        <v>7388238</v>
      </c>
    </row>
    <row r="493" spans="1:10">
      <c r="A493" s="211" t="s">
        <v>346</v>
      </c>
      <c r="B493" s="211">
        <v>0</v>
      </c>
      <c r="C493" s="211">
        <v>789574.84</v>
      </c>
      <c r="D493" s="211">
        <v>0</v>
      </c>
      <c r="E493" s="211">
        <v>789574.84</v>
      </c>
      <c r="G493" s="211">
        <f t="shared" si="7"/>
        <v>789574.84</v>
      </c>
      <c r="H493" s="211" t="s">
        <v>1054</v>
      </c>
      <c r="J493" s="211">
        <f>VLOOKUP(A493,'JULY-TB'!A:G,7,0)</f>
        <v>704724.15</v>
      </c>
    </row>
    <row r="494" spans="1:10">
      <c r="A494" s="211" t="s">
        <v>715</v>
      </c>
      <c r="B494" s="211">
        <v>0</v>
      </c>
      <c r="C494" s="211">
        <v>11649643.460000001</v>
      </c>
      <c r="D494" s="211">
        <v>847727.4</v>
      </c>
      <c r="E494" s="211">
        <v>10801916.060000001</v>
      </c>
      <c r="G494" s="211">
        <f t="shared" si="7"/>
        <v>10801916.060000001</v>
      </c>
      <c r="H494" s="211" t="s">
        <v>339</v>
      </c>
      <c r="J494" s="211">
        <f>VLOOKUP(A494,'JULY-TB'!A:G,7,0)</f>
        <v>8973718.6300000008</v>
      </c>
    </row>
    <row r="495" spans="1:10">
      <c r="A495" s="211" t="s">
        <v>338</v>
      </c>
      <c r="B495" s="211">
        <v>0</v>
      </c>
      <c r="C495" s="211">
        <v>2500989.77</v>
      </c>
      <c r="D495" s="211">
        <v>1685379.94</v>
      </c>
      <c r="E495" s="211">
        <v>815609.83</v>
      </c>
      <c r="G495" s="211">
        <f t="shared" si="7"/>
        <v>815609.83</v>
      </c>
      <c r="H495" s="211" t="s">
        <v>339</v>
      </c>
      <c r="J495" s="211">
        <f>VLOOKUP(A495,'JULY-TB'!A:G,7,0)</f>
        <v>815971.29</v>
      </c>
    </row>
    <row r="496" spans="1:10">
      <c r="A496" s="211" t="s">
        <v>1440</v>
      </c>
      <c r="B496" s="211">
        <v>0</v>
      </c>
      <c r="C496" s="211">
        <v>35791</v>
      </c>
      <c r="D496" s="211">
        <v>0</v>
      </c>
      <c r="E496" s="211">
        <v>35791</v>
      </c>
      <c r="G496" s="211">
        <f t="shared" si="7"/>
        <v>35791</v>
      </c>
      <c r="H496" s="211" t="s">
        <v>339</v>
      </c>
      <c r="J496" s="211">
        <f>VLOOKUP(A496,'JULY-TB'!A:G,7,0)</f>
        <v>31469</v>
      </c>
    </row>
    <row r="497" spans="1:11">
      <c r="A497" s="211" t="s">
        <v>716</v>
      </c>
      <c r="B497" s="211">
        <v>0</v>
      </c>
      <c r="C497" s="211">
        <v>5188306.66</v>
      </c>
      <c r="D497" s="211">
        <v>0</v>
      </c>
      <c r="E497" s="211">
        <v>5188306.66</v>
      </c>
      <c r="G497" s="211">
        <f t="shared" si="7"/>
        <v>5188306.66</v>
      </c>
      <c r="H497" s="211" t="s">
        <v>339</v>
      </c>
      <c r="J497" s="211">
        <f>VLOOKUP(A497,'JULY-TB'!A:G,7,0)</f>
        <v>4150658.75</v>
      </c>
    </row>
    <row r="498" spans="1:11">
      <c r="A498" s="211" t="s">
        <v>717</v>
      </c>
      <c r="B498" s="211">
        <v>0</v>
      </c>
      <c r="C498" s="211">
        <v>5290576.7</v>
      </c>
      <c r="D498" s="211">
        <v>61737.58</v>
      </c>
      <c r="E498" s="211">
        <v>5228839.12</v>
      </c>
      <c r="G498" s="211">
        <f t="shared" si="7"/>
        <v>5228839.12</v>
      </c>
      <c r="H498" s="211" t="s">
        <v>1056</v>
      </c>
      <c r="J498" s="211">
        <f>VLOOKUP(A498,'JULY-TB'!A:G,7,0)</f>
        <v>4140289.81</v>
      </c>
    </row>
    <row r="499" spans="1:11">
      <c r="A499" s="211" t="s">
        <v>339</v>
      </c>
      <c r="B499" s="211">
        <v>0</v>
      </c>
      <c r="C499" s="211">
        <v>645410.75</v>
      </c>
      <c r="D499" s="211">
        <v>56823</v>
      </c>
      <c r="E499" s="211">
        <v>588587.75</v>
      </c>
      <c r="G499" s="211">
        <f t="shared" si="7"/>
        <v>588587.75</v>
      </c>
      <c r="H499" s="211" t="s">
        <v>339</v>
      </c>
      <c r="J499" s="211">
        <f>VLOOKUP(A499,'JULY-TB'!A:G,7,0)</f>
        <v>539443.32999999996</v>
      </c>
    </row>
    <row r="500" spans="1:11">
      <c r="A500" s="211" t="s">
        <v>1441</v>
      </c>
      <c r="B500" s="211">
        <v>0</v>
      </c>
      <c r="C500" s="211">
        <v>625000</v>
      </c>
      <c r="D500" s="211">
        <v>500000</v>
      </c>
      <c r="E500" s="211">
        <v>125000</v>
      </c>
      <c r="G500" s="211">
        <f t="shared" si="7"/>
        <v>125000</v>
      </c>
      <c r="H500" s="211" t="s">
        <v>71</v>
      </c>
      <c r="J500" s="211">
        <f>VLOOKUP(A500,'JULY-TB'!A:G,7,0)</f>
        <v>125000</v>
      </c>
    </row>
    <row r="501" spans="1:11">
      <c r="A501" s="211" t="s">
        <v>1404</v>
      </c>
      <c r="B501" s="211">
        <v>0</v>
      </c>
      <c r="C501" s="211">
        <v>600</v>
      </c>
      <c r="D501" s="211">
        <v>0</v>
      </c>
      <c r="E501" s="211">
        <v>600</v>
      </c>
      <c r="G501" s="211">
        <f t="shared" si="7"/>
        <v>600</v>
      </c>
      <c r="H501" s="211" t="s">
        <v>80</v>
      </c>
      <c r="J501" s="211">
        <f>VLOOKUP(A501,'JULY-TB'!A:G,7,0)</f>
        <v>600</v>
      </c>
    </row>
    <row r="502" spans="1:11">
      <c r="A502" s="211" t="s">
        <v>1159</v>
      </c>
      <c r="B502" s="211">
        <v>0</v>
      </c>
      <c r="C502" s="211">
        <v>271.67</v>
      </c>
      <c r="D502" s="211">
        <v>0</v>
      </c>
      <c r="E502" s="211">
        <v>271.67</v>
      </c>
      <c r="G502" s="211">
        <f t="shared" si="7"/>
        <v>271.67</v>
      </c>
      <c r="H502" s="211" t="s">
        <v>80</v>
      </c>
      <c r="J502" s="211">
        <f>VLOOKUP(A502,'JULY-TB'!A:G,7,0)</f>
        <v>271.67</v>
      </c>
    </row>
    <row r="503" spans="1:11">
      <c r="A503" s="211" t="s">
        <v>1442</v>
      </c>
      <c r="B503" s="211">
        <v>0</v>
      </c>
      <c r="C503" s="211">
        <v>370</v>
      </c>
      <c r="D503" s="211">
        <v>0</v>
      </c>
      <c r="E503" s="211">
        <v>370</v>
      </c>
      <c r="G503" s="211">
        <f t="shared" si="7"/>
        <v>370</v>
      </c>
      <c r="H503" s="211" t="s">
        <v>80</v>
      </c>
      <c r="J503" s="211">
        <f>VLOOKUP(A503,'JULY-TB'!A:G,7,0)</f>
        <v>370</v>
      </c>
    </row>
    <row r="504" spans="1:11">
      <c r="A504" s="211" t="s">
        <v>1160</v>
      </c>
      <c r="B504" s="211">
        <v>0</v>
      </c>
      <c r="C504" s="211">
        <v>4941</v>
      </c>
      <c r="D504" s="211">
        <v>0</v>
      </c>
      <c r="E504" s="211">
        <v>4941</v>
      </c>
      <c r="G504" s="211">
        <f t="shared" si="7"/>
        <v>4941</v>
      </c>
      <c r="H504" s="211" t="s">
        <v>80</v>
      </c>
      <c r="J504" s="211">
        <f>VLOOKUP(A504,'JULY-TB'!A:G,7,0)</f>
        <v>4941</v>
      </c>
    </row>
    <row r="505" spans="1:11">
      <c r="A505" s="211" t="s">
        <v>334</v>
      </c>
      <c r="B505" s="211">
        <v>0</v>
      </c>
      <c r="C505" s="211">
        <v>2686295</v>
      </c>
      <c r="D505" s="211">
        <v>0</v>
      </c>
      <c r="E505" s="211">
        <v>2686295</v>
      </c>
      <c r="G505" s="211">
        <f t="shared" si="7"/>
        <v>2686295</v>
      </c>
      <c r="H505" s="211" t="s">
        <v>71</v>
      </c>
      <c r="J505" s="211">
        <f>VLOOKUP(A505,'JULY-TB'!A:G,7,0)</f>
        <v>2324615</v>
      </c>
    </row>
    <row r="506" spans="1:11">
      <c r="A506" s="211" t="s">
        <v>337</v>
      </c>
      <c r="B506" s="211">
        <v>0</v>
      </c>
      <c r="C506" s="211">
        <v>557124.80000000005</v>
      </c>
      <c r="D506" s="211">
        <v>0</v>
      </c>
      <c r="E506" s="211">
        <v>557124.80000000005</v>
      </c>
      <c r="G506" s="211">
        <f t="shared" si="7"/>
        <v>557124.80000000005</v>
      </c>
      <c r="H506" s="211" t="s">
        <v>70</v>
      </c>
      <c r="J506" s="211">
        <f>VLOOKUP(A506,'JULY-TB'!A:G,7,0)</f>
        <v>557124.80000000005</v>
      </c>
    </row>
    <row r="507" spans="1:11">
      <c r="A507" s="211" t="s">
        <v>1443</v>
      </c>
      <c r="B507" s="211">
        <v>0</v>
      </c>
      <c r="C507" s="211">
        <v>4000</v>
      </c>
      <c r="D507" s="211">
        <v>0</v>
      </c>
      <c r="E507" s="211">
        <v>4000</v>
      </c>
      <c r="G507" s="211">
        <f t="shared" si="7"/>
        <v>4000</v>
      </c>
      <c r="H507" s="211" t="s">
        <v>71</v>
      </c>
      <c r="J507" s="211">
        <f>VLOOKUP(A507,'JULY-TB'!A:G,7,0)</f>
        <v>4000</v>
      </c>
    </row>
    <row r="508" spans="1:11">
      <c r="A508" s="211" t="s">
        <v>342</v>
      </c>
      <c r="B508" s="211">
        <v>0</v>
      </c>
      <c r="C508" s="211">
        <v>39340</v>
      </c>
      <c r="D508" s="211">
        <v>0</v>
      </c>
      <c r="E508" s="211">
        <v>39340</v>
      </c>
      <c r="G508" s="211">
        <f t="shared" si="7"/>
        <v>39340</v>
      </c>
      <c r="H508" s="211" t="s">
        <v>71</v>
      </c>
      <c r="J508" s="211">
        <f>VLOOKUP(A508,'JULY-TB'!A:G,7,0)</f>
        <v>7920</v>
      </c>
    </row>
    <row r="509" spans="1:11">
      <c r="A509" s="211" t="s">
        <v>324</v>
      </c>
      <c r="B509" s="211">
        <v>0</v>
      </c>
      <c r="C509" s="211">
        <v>2666820.17</v>
      </c>
      <c r="D509" s="211">
        <v>443750</v>
      </c>
      <c r="E509" s="211">
        <v>2223070.17</v>
      </c>
      <c r="F509" s="211">
        <v>310000</v>
      </c>
      <c r="G509" s="211">
        <f t="shared" si="7"/>
        <v>2533070.17</v>
      </c>
      <c r="H509" s="211" t="s">
        <v>71</v>
      </c>
      <c r="J509" s="211">
        <f>VLOOKUP(A509,'JULY-TB'!A:G,7,0)</f>
        <v>2392246.9699999997</v>
      </c>
    </row>
    <row r="510" spans="1:11">
      <c r="A510" s="211" t="s">
        <v>1444</v>
      </c>
      <c r="B510" s="211">
        <v>0</v>
      </c>
      <c r="C510" s="211">
        <v>0.85</v>
      </c>
      <c r="D510" s="211">
        <v>10.89</v>
      </c>
      <c r="E510" s="211">
        <v>-10.039999999999999</v>
      </c>
      <c r="G510" s="211">
        <f t="shared" si="7"/>
        <v>-10.039999999999999</v>
      </c>
      <c r="H510" s="211" t="s">
        <v>71</v>
      </c>
      <c r="J510" s="211">
        <f>VLOOKUP(A510,'JULY-TB'!A:G,7,0)</f>
        <v>-10.039999999999999</v>
      </c>
    </row>
    <row r="511" spans="1:11">
      <c r="A511" s="211" t="s">
        <v>354</v>
      </c>
      <c r="B511" s="211">
        <v>0</v>
      </c>
      <c r="C511" s="211">
        <v>8504101.6300000008</v>
      </c>
      <c r="D511" s="211">
        <v>93178.62</v>
      </c>
      <c r="E511" s="211">
        <v>8410923.0099999998</v>
      </c>
      <c r="F511" s="229">
        <v>419308</v>
      </c>
      <c r="G511" s="211">
        <f t="shared" si="7"/>
        <v>8830231.0099999998</v>
      </c>
      <c r="H511" s="211" t="s">
        <v>67</v>
      </c>
      <c r="J511" s="211">
        <f>VLOOKUP(A511,'JULY-TB'!A:G,7,0)</f>
        <v>8139122.5099999998</v>
      </c>
    </row>
    <row r="512" spans="1:11">
      <c r="A512" s="211" t="s">
        <v>1161</v>
      </c>
      <c r="B512" s="211">
        <v>0</v>
      </c>
      <c r="C512" s="211">
        <v>280426.74</v>
      </c>
      <c r="D512" s="211">
        <v>1.25</v>
      </c>
      <c r="E512" s="211">
        <v>280425.49</v>
      </c>
      <c r="G512" s="211">
        <f t="shared" si="7"/>
        <v>280425.49</v>
      </c>
      <c r="H512" s="211" t="s">
        <v>303</v>
      </c>
      <c r="I512" s="231" t="s">
        <v>1664</v>
      </c>
      <c r="J512" s="211">
        <f>VLOOKUP(A512,'JULY-TB'!A:G,7,0)</f>
        <v>185662.48</v>
      </c>
      <c r="K512" s="211">
        <f>G512-J512</f>
        <v>94763.00999999998</v>
      </c>
    </row>
    <row r="513" spans="1:12">
      <c r="A513" s="211" t="s">
        <v>718</v>
      </c>
      <c r="B513" s="211">
        <v>0</v>
      </c>
      <c r="C513" s="211">
        <v>83067.039999999994</v>
      </c>
      <c r="D513" s="211">
        <v>0</v>
      </c>
      <c r="E513" s="211">
        <v>83067.039999999994</v>
      </c>
      <c r="G513" s="211">
        <f t="shared" si="7"/>
        <v>83067.039999999994</v>
      </c>
      <c r="H513" s="211" t="s">
        <v>67</v>
      </c>
      <c r="J513" s="211">
        <f>VLOOKUP(A513,'JULY-TB'!A:G,7,0)</f>
        <v>16073.88</v>
      </c>
    </row>
    <row r="514" spans="1:12">
      <c r="A514" s="211" t="s">
        <v>398</v>
      </c>
      <c r="B514" s="211">
        <v>0</v>
      </c>
      <c r="C514" s="211">
        <v>8916.2199999999993</v>
      </c>
      <c r="D514" s="211">
        <v>2832</v>
      </c>
      <c r="E514" s="211">
        <v>6084.22</v>
      </c>
      <c r="G514" s="211">
        <f t="shared" si="7"/>
        <v>6084.22</v>
      </c>
      <c r="H514" s="211" t="s">
        <v>71</v>
      </c>
      <c r="J514" s="211">
        <f>VLOOKUP(A514,'JULY-TB'!A:G,7,0)</f>
        <v>5365.6</v>
      </c>
    </row>
    <row r="515" spans="1:12">
      <c r="A515" s="211" t="s">
        <v>349</v>
      </c>
      <c r="B515" s="211">
        <v>0</v>
      </c>
      <c r="C515" s="211">
        <v>1475610</v>
      </c>
      <c r="D515" s="211">
        <v>19277473.93</v>
      </c>
      <c r="E515" s="211">
        <v>-17801863.93</v>
      </c>
      <c r="F515" s="174">
        <v>-10733989</v>
      </c>
      <c r="G515" s="211">
        <f>E515-F515</f>
        <v>-7067874.9299999997</v>
      </c>
      <c r="H515" s="211" t="s">
        <v>67</v>
      </c>
      <c r="J515" s="211">
        <f>VLOOKUP(A515,'JULY-TB'!A:G,7,0)</f>
        <v>-4169214.51</v>
      </c>
    </row>
    <row r="516" spans="1:12">
      <c r="A516" s="211" t="s">
        <v>350</v>
      </c>
      <c r="B516" s="211">
        <v>0</v>
      </c>
      <c r="C516" s="211">
        <v>2357050</v>
      </c>
      <c r="D516" s="211">
        <v>0</v>
      </c>
      <c r="E516" s="211">
        <v>2357050</v>
      </c>
      <c r="F516" s="227">
        <v>500000</v>
      </c>
      <c r="G516" s="211">
        <f t="shared" ref="G516:G579" si="9">E516+F516</f>
        <v>2857050</v>
      </c>
      <c r="H516" s="211" t="s">
        <v>67</v>
      </c>
      <c r="J516" s="211">
        <f>VLOOKUP(A516,'JULY-TB'!A:G,7,0)</f>
        <v>2185050</v>
      </c>
    </row>
    <row r="517" spans="1:12">
      <c r="A517" s="211" t="s">
        <v>351</v>
      </c>
      <c r="B517" s="211">
        <v>0</v>
      </c>
      <c r="C517" s="211">
        <v>6766784.79</v>
      </c>
      <c r="D517" s="211">
        <v>37500</v>
      </c>
      <c r="E517" s="211">
        <v>6729284.79</v>
      </c>
      <c r="F517" s="211">
        <v>3236167</v>
      </c>
      <c r="G517" s="211">
        <f t="shared" si="9"/>
        <v>9965451.7899999991</v>
      </c>
      <c r="H517" s="211" t="s">
        <v>67</v>
      </c>
      <c r="J517" s="211">
        <f>VLOOKUP(A517,'JULY-TB'!A:G,7,0)</f>
        <v>6705284.79</v>
      </c>
    </row>
    <row r="518" spans="1:12">
      <c r="A518" s="211" t="s">
        <v>1162</v>
      </c>
      <c r="B518" s="211">
        <v>0</v>
      </c>
      <c r="C518" s="211">
        <v>203863</v>
      </c>
      <c r="D518" s="211">
        <v>0</v>
      </c>
      <c r="E518" s="211">
        <v>203863</v>
      </c>
      <c r="G518" s="211">
        <f t="shared" si="9"/>
        <v>203863</v>
      </c>
      <c r="H518" s="211" t="s">
        <v>67</v>
      </c>
      <c r="J518" s="211">
        <f>VLOOKUP(A518,'JULY-TB'!A:G,7,0)</f>
        <v>152663</v>
      </c>
    </row>
    <row r="519" spans="1:12">
      <c r="A519" s="211" t="s">
        <v>1163</v>
      </c>
      <c r="B519" s="211">
        <v>0</v>
      </c>
      <c r="C519" s="211">
        <v>128295.7</v>
      </c>
      <c r="D519" s="211">
        <v>0</v>
      </c>
      <c r="E519" s="211">
        <v>128295.7</v>
      </c>
      <c r="G519" s="211">
        <f t="shared" si="9"/>
        <v>128295.7</v>
      </c>
      <c r="H519" s="211" t="s">
        <v>67</v>
      </c>
      <c r="J519" s="211">
        <f>VLOOKUP(A519,'JULY-TB'!A:G,7,0)</f>
        <v>122506.3</v>
      </c>
    </row>
    <row r="520" spans="1:12">
      <c r="A520" s="211" t="s">
        <v>719</v>
      </c>
      <c r="B520" s="211">
        <v>0</v>
      </c>
      <c r="C520" s="211">
        <v>3273903.99</v>
      </c>
      <c r="D520" s="211">
        <v>391879.23</v>
      </c>
      <c r="E520" s="211">
        <v>2882024.76</v>
      </c>
      <c r="G520" s="211">
        <f t="shared" si="9"/>
        <v>2882024.76</v>
      </c>
      <c r="H520" s="211" t="s">
        <v>67</v>
      </c>
      <c r="J520" s="211">
        <f>VLOOKUP(A520,'JULY-TB'!A:G,7,0)</f>
        <v>2495918.61</v>
      </c>
    </row>
    <row r="521" spans="1:12">
      <c r="A521" s="211" t="s">
        <v>336</v>
      </c>
      <c r="B521" s="211">
        <v>0</v>
      </c>
      <c r="C521" s="211">
        <v>0</v>
      </c>
      <c r="D521" s="211">
        <v>67888.81</v>
      </c>
      <c r="E521" s="211">
        <v>-67888.81</v>
      </c>
      <c r="G521" s="211">
        <f t="shared" si="9"/>
        <v>-67888.81</v>
      </c>
      <c r="H521" s="211" t="s">
        <v>67</v>
      </c>
      <c r="J521" s="211">
        <f>VLOOKUP(A521,'JULY-TB'!A:G,7,0)</f>
        <v>-55909.96</v>
      </c>
    </row>
    <row r="522" spans="1:12">
      <c r="A522" s="211" t="s">
        <v>1623</v>
      </c>
      <c r="B522" s="211">
        <v>0</v>
      </c>
      <c r="C522" s="211">
        <v>1.25</v>
      </c>
      <c r="D522" s="211">
        <v>0.53</v>
      </c>
      <c r="E522" s="211">
        <v>0.72</v>
      </c>
      <c r="G522" s="211">
        <f t="shared" si="9"/>
        <v>0.72</v>
      </c>
      <c r="H522" s="211" t="s">
        <v>80</v>
      </c>
      <c r="J522" s="211" t="e">
        <f>VLOOKUP(A522,'JULY-TB'!A:G,7,0)</f>
        <v>#N/A</v>
      </c>
    </row>
    <row r="523" spans="1:12">
      <c r="A523" s="211" t="s">
        <v>1565</v>
      </c>
      <c r="B523" s="211">
        <v>0</v>
      </c>
      <c r="C523" s="211">
        <v>18000</v>
      </c>
      <c r="D523" s="211">
        <v>0</v>
      </c>
      <c r="E523" s="211">
        <v>18000</v>
      </c>
      <c r="G523" s="211">
        <f t="shared" si="9"/>
        <v>18000</v>
      </c>
      <c r="H523" s="211" t="s">
        <v>63</v>
      </c>
      <c r="J523" s="211">
        <f>VLOOKUP(A523,'JULY-TB'!A:G,7,0)</f>
        <v>18000</v>
      </c>
    </row>
    <row r="524" spans="1:12">
      <c r="A524" s="231" t="s">
        <v>1624</v>
      </c>
      <c r="B524" s="211">
        <v>0</v>
      </c>
      <c r="C524" s="211">
        <v>0</v>
      </c>
      <c r="D524" s="211">
        <v>1258335.42</v>
      </c>
      <c r="E524" s="211">
        <v>-1258335.42</v>
      </c>
      <c r="G524" s="211">
        <f t="shared" si="9"/>
        <v>-1258335.42</v>
      </c>
      <c r="H524" s="211" t="s">
        <v>303</v>
      </c>
      <c r="I524" s="231" t="s">
        <v>1664</v>
      </c>
      <c r="J524" s="211">
        <v>0</v>
      </c>
      <c r="K524" s="211">
        <f t="shared" ref="K524:K526" si="10">G524-J524</f>
        <v>-1258335.42</v>
      </c>
      <c r="L524" s="231" t="s">
        <v>1667</v>
      </c>
    </row>
    <row r="525" spans="1:12">
      <c r="A525" s="211" t="s">
        <v>305</v>
      </c>
      <c r="B525" s="211">
        <v>0</v>
      </c>
      <c r="C525" s="211">
        <v>0</v>
      </c>
      <c r="D525" s="211">
        <v>19579997.399999999</v>
      </c>
      <c r="E525" s="211">
        <v>-19579997.399999999</v>
      </c>
      <c r="G525" s="211">
        <f t="shared" si="9"/>
        <v>-19579997.399999999</v>
      </c>
      <c r="H525" s="211" t="s">
        <v>303</v>
      </c>
      <c r="J525" s="211">
        <f>VLOOKUP(A525,'JULY-TB'!A:G,7,0)</f>
        <v>-12652009</v>
      </c>
      <c r="K525" s="211">
        <f t="shared" si="10"/>
        <v>-6927988.3999999985</v>
      </c>
      <c r="L525" s="231" t="s">
        <v>1667</v>
      </c>
    </row>
    <row r="526" spans="1:12">
      <c r="A526" s="211" t="s">
        <v>307</v>
      </c>
      <c r="B526" s="211">
        <v>0</v>
      </c>
      <c r="C526" s="211">
        <v>481200.42</v>
      </c>
      <c r="D526" s="211">
        <v>423713158.62</v>
      </c>
      <c r="E526" s="211">
        <v>-423231958.19999999</v>
      </c>
      <c r="G526" s="211">
        <f t="shared" si="9"/>
        <v>-423231958.19999999</v>
      </c>
      <c r="H526" s="211" t="s">
        <v>303</v>
      </c>
      <c r="J526" s="211">
        <f>VLOOKUP(A526,'JULY-TB'!A:G,7,0)</f>
        <v>-329687031.91000003</v>
      </c>
      <c r="K526" s="211">
        <f t="shared" si="10"/>
        <v>-93544926.289999962</v>
      </c>
    </row>
    <row r="527" spans="1:12">
      <c r="A527" s="211" t="s">
        <v>1435</v>
      </c>
      <c r="B527" s="211">
        <v>0</v>
      </c>
      <c r="C527" s="211">
        <v>0.57999999999999996</v>
      </c>
      <c r="D527" s="211">
        <v>1.1100000000000001</v>
      </c>
      <c r="E527" s="211">
        <v>-0.53</v>
      </c>
      <c r="G527" s="211">
        <f t="shared" si="9"/>
        <v>-0.53</v>
      </c>
      <c r="H527" s="211" t="s">
        <v>80</v>
      </c>
      <c r="J527" s="211">
        <f>VLOOKUP(A527,'JULY-TB'!A:G,7,0)</f>
        <v>-0.53</v>
      </c>
    </row>
    <row r="528" spans="1:12">
      <c r="A528" s="231" t="s">
        <v>304</v>
      </c>
      <c r="B528" s="211">
        <v>0</v>
      </c>
      <c r="C528" s="211">
        <v>0</v>
      </c>
      <c r="D528" s="211">
        <v>349264268.55000001</v>
      </c>
      <c r="E528" s="211">
        <v>-349264268.55000001</v>
      </c>
      <c r="G528" s="211">
        <f t="shared" si="9"/>
        <v>-349264268.55000001</v>
      </c>
      <c r="H528" s="211" t="s">
        <v>303</v>
      </c>
      <c r="J528" s="211">
        <f>VLOOKUP(A528,'JULY-TB'!A:G,7,0)</f>
        <v>-273732635.11000001</v>
      </c>
      <c r="K528" s="211">
        <f t="shared" ref="K528:K531" si="11">G528-J528</f>
        <v>-75531633.439999998</v>
      </c>
    </row>
    <row r="529" spans="1:12">
      <c r="A529" s="211" t="s">
        <v>405</v>
      </c>
      <c r="B529" s="211">
        <v>0</v>
      </c>
      <c r="C529" s="211">
        <v>0</v>
      </c>
      <c r="D529" s="211">
        <v>255172114.50999999</v>
      </c>
      <c r="E529" s="211">
        <v>-255172114.50999999</v>
      </c>
      <c r="G529" s="211">
        <f t="shared" si="9"/>
        <v>-255172114.50999999</v>
      </c>
      <c r="H529" s="211" t="s">
        <v>303</v>
      </c>
      <c r="J529" s="211">
        <f>VLOOKUP(A529,'JULY-TB'!A:G,7,0)</f>
        <v>-174791423.61000001</v>
      </c>
      <c r="K529" s="211">
        <f t="shared" si="11"/>
        <v>-80380690.899999976</v>
      </c>
      <c r="L529" s="231" t="s">
        <v>1667</v>
      </c>
    </row>
    <row r="530" spans="1:12">
      <c r="A530" s="231" t="s">
        <v>1164</v>
      </c>
      <c r="B530" s="211">
        <v>0</v>
      </c>
      <c r="C530" s="211">
        <v>0</v>
      </c>
      <c r="D530" s="211">
        <v>71211684.439999998</v>
      </c>
      <c r="E530" s="211">
        <v>-71211684.439999998</v>
      </c>
      <c r="G530" s="211">
        <f t="shared" si="9"/>
        <v>-71211684.439999998</v>
      </c>
      <c r="H530" s="231" t="s">
        <v>10</v>
      </c>
      <c r="J530" s="211">
        <f>VLOOKUP(A530,'JULY-TB'!A:G,7,0)</f>
        <v>-36299338.950000003</v>
      </c>
      <c r="K530" s="211">
        <f>G530-J530</f>
        <v>-34912345.489999995</v>
      </c>
    </row>
    <row r="531" spans="1:12">
      <c r="A531" s="211" t="s">
        <v>29</v>
      </c>
      <c r="B531" s="211">
        <v>0</v>
      </c>
      <c r="C531" s="211">
        <v>200000</v>
      </c>
      <c r="D531" s="211">
        <v>0</v>
      </c>
      <c r="E531" s="211">
        <v>200000</v>
      </c>
      <c r="G531" s="211">
        <f t="shared" si="9"/>
        <v>200000</v>
      </c>
      <c r="H531" s="211" t="s">
        <v>29</v>
      </c>
      <c r="J531" s="211">
        <f>VLOOKUP(A531,'JULY-TB'!A:G,7,0)</f>
        <v>200000</v>
      </c>
      <c r="K531" s="211">
        <f t="shared" si="11"/>
        <v>0</v>
      </c>
    </row>
    <row r="532" spans="1:12">
      <c r="A532" s="211" t="s">
        <v>441</v>
      </c>
      <c r="B532" s="211">
        <v>0</v>
      </c>
      <c r="C532" s="211">
        <v>0</v>
      </c>
      <c r="D532" s="211">
        <v>182200</v>
      </c>
      <c r="E532" s="211">
        <v>-182200</v>
      </c>
      <c r="G532" s="211">
        <f t="shared" si="9"/>
        <v>-182200</v>
      </c>
      <c r="H532" s="211" t="s">
        <v>6</v>
      </c>
      <c r="J532" s="211">
        <f>VLOOKUP(A532,'JULY-TB'!A:G,7,0)</f>
        <v>-179700</v>
      </c>
      <c r="K532" s="211">
        <f>G532-J532</f>
        <v>-2500</v>
      </c>
      <c r="L532" s="231" t="s">
        <v>1667</v>
      </c>
    </row>
    <row r="533" spans="1:12">
      <c r="A533" s="231" t="s">
        <v>1625</v>
      </c>
      <c r="B533" s="211">
        <v>0</v>
      </c>
      <c r="C533" s="211">
        <v>0</v>
      </c>
      <c r="D533" s="211">
        <v>377844.07</v>
      </c>
      <c r="E533" s="211">
        <v>-377844.07</v>
      </c>
      <c r="G533" s="211">
        <f t="shared" si="9"/>
        <v>-377844.07</v>
      </c>
      <c r="H533" s="211" t="s">
        <v>6</v>
      </c>
      <c r="J533" s="211">
        <v>0</v>
      </c>
      <c r="K533" s="211">
        <f t="shared" ref="K533:K540" si="12">G533-J533</f>
        <v>-377844.07</v>
      </c>
      <c r="L533" s="231" t="s">
        <v>1667</v>
      </c>
    </row>
    <row r="534" spans="1:12">
      <c r="A534" s="231" t="s">
        <v>1445</v>
      </c>
      <c r="B534" s="211">
        <v>0</v>
      </c>
      <c r="C534" s="211">
        <v>0</v>
      </c>
      <c r="D534" s="211">
        <v>70944</v>
      </c>
      <c r="E534" s="211">
        <v>-70944</v>
      </c>
      <c r="G534" s="211">
        <f t="shared" si="9"/>
        <v>-70944</v>
      </c>
      <c r="H534" s="211" t="s">
        <v>306</v>
      </c>
      <c r="J534" s="211">
        <f>VLOOKUP(A534,'JULY-TB'!A:G,7,0)</f>
        <v>-70944</v>
      </c>
      <c r="K534" s="211">
        <f t="shared" si="12"/>
        <v>0</v>
      </c>
      <c r="L534" s="231" t="s">
        <v>1667</v>
      </c>
    </row>
    <row r="535" spans="1:12">
      <c r="A535" s="231" t="s">
        <v>308</v>
      </c>
      <c r="B535" s="211">
        <v>0</v>
      </c>
      <c r="C535" s="211">
        <v>0</v>
      </c>
      <c r="D535" s="211">
        <v>8882020.5299999993</v>
      </c>
      <c r="E535" s="211">
        <v>-8882020.5299999993</v>
      </c>
      <c r="G535" s="211">
        <f t="shared" si="9"/>
        <v>-8882020.5299999993</v>
      </c>
      <c r="H535" s="211" t="s">
        <v>306</v>
      </c>
      <c r="J535" s="211">
        <f>VLOOKUP(A535,'JULY-TB'!A:G,7,0)</f>
        <v>-5911890.5300000003</v>
      </c>
      <c r="K535" s="211">
        <f t="shared" si="12"/>
        <v>-2970129.9999999991</v>
      </c>
    </row>
    <row r="536" spans="1:12">
      <c r="A536" s="211" t="s">
        <v>20</v>
      </c>
      <c r="B536" s="211">
        <v>0</v>
      </c>
      <c r="C536" s="211">
        <v>0</v>
      </c>
      <c r="D536" s="211">
        <v>3470336.7</v>
      </c>
      <c r="E536" s="211">
        <v>-3470336.7</v>
      </c>
      <c r="G536" s="211">
        <f t="shared" si="9"/>
        <v>-3470336.7</v>
      </c>
      <c r="H536" s="211" t="s">
        <v>20</v>
      </c>
      <c r="J536" s="211">
        <f>VLOOKUP(A536,'JULY-TB'!A:G,7,0)</f>
        <v>-3196191.7</v>
      </c>
      <c r="K536" s="211">
        <f t="shared" si="12"/>
        <v>-274145</v>
      </c>
      <c r="L536" s="231" t="s">
        <v>1667</v>
      </c>
    </row>
    <row r="537" spans="1:12">
      <c r="A537" s="211" t="s">
        <v>720</v>
      </c>
      <c r="B537" s="211">
        <v>0</v>
      </c>
      <c r="C537" s="211">
        <v>8.6300000000000008</v>
      </c>
      <c r="D537" s="211">
        <v>7000</v>
      </c>
      <c r="E537" s="211">
        <v>-6991.37</v>
      </c>
      <c r="G537" s="211">
        <f t="shared" si="9"/>
        <v>-6991.37</v>
      </c>
      <c r="H537" s="211" t="s">
        <v>80</v>
      </c>
      <c r="J537" s="211">
        <f>VLOOKUP(A537,'JULY-TB'!A:G,7,0)</f>
        <v>8.6300000000000008</v>
      </c>
    </row>
    <row r="538" spans="1:12">
      <c r="A538" s="231" t="s">
        <v>1446</v>
      </c>
      <c r="B538" s="211">
        <v>0</v>
      </c>
      <c r="C538" s="211">
        <v>483101</v>
      </c>
      <c r="D538" s="211">
        <v>556716.59</v>
      </c>
      <c r="E538" s="211">
        <v>-73615.59</v>
      </c>
      <c r="G538" s="211">
        <f t="shared" si="9"/>
        <v>-73615.59</v>
      </c>
      <c r="H538" s="211" t="s">
        <v>33</v>
      </c>
      <c r="J538" s="211">
        <f>VLOOKUP(A538,'JULY-TB'!A:G,7,0)</f>
        <v>-73615.59</v>
      </c>
      <c r="K538" s="211">
        <f t="shared" si="12"/>
        <v>0</v>
      </c>
    </row>
    <row r="539" spans="1:12">
      <c r="A539" s="211" t="s">
        <v>1626</v>
      </c>
      <c r="B539" s="211">
        <v>0</v>
      </c>
      <c r="C539" s="211">
        <v>0</v>
      </c>
      <c r="D539" s="211">
        <v>539311</v>
      </c>
      <c r="E539" s="211">
        <v>-539311</v>
      </c>
      <c r="G539" s="211">
        <f t="shared" si="9"/>
        <v>-539311</v>
      </c>
      <c r="H539" s="211" t="s">
        <v>80</v>
      </c>
      <c r="J539" s="211" t="e">
        <f>VLOOKUP(A539,'JULY-TB'!A:G,7,0)</f>
        <v>#N/A</v>
      </c>
    </row>
    <row r="540" spans="1:12">
      <c r="A540" s="211" t="s">
        <v>1447</v>
      </c>
      <c r="B540" s="211">
        <v>0</v>
      </c>
      <c r="C540" s="211">
        <v>0</v>
      </c>
      <c r="D540" s="211">
        <v>554332.07999999996</v>
      </c>
      <c r="E540" s="211">
        <v>-554332.07999999996</v>
      </c>
      <c r="G540" s="211">
        <f t="shared" si="9"/>
        <v>-554332.07999999996</v>
      </c>
      <c r="H540" s="211" t="s">
        <v>36</v>
      </c>
      <c r="J540" s="211">
        <f>VLOOKUP(A540,'JULY-TB'!A:G,7,0)</f>
        <v>-554332.07999999996</v>
      </c>
      <c r="K540" s="211">
        <f t="shared" si="12"/>
        <v>0</v>
      </c>
    </row>
    <row r="541" spans="1:12">
      <c r="A541" s="211" t="s">
        <v>721</v>
      </c>
      <c r="B541" s="211">
        <v>-12205204.52</v>
      </c>
      <c r="C541" s="211">
        <v>0</v>
      </c>
      <c r="D541" s="211">
        <v>0</v>
      </c>
      <c r="E541" s="211">
        <v>-12205204.52</v>
      </c>
      <c r="G541" s="211">
        <f t="shared" si="9"/>
        <v>-12205204.52</v>
      </c>
      <c r="H541" s="211" t="s">
        <v>80</v>
      </c>
      <c r="J541" s="211">
        <f>VLOOKUP(A541,'JULY-TB'!A:G,7,0)</f>
        <v>-12205204.52</v>
      </c>
    </row>
    <row r="542" spans="1:12">
      <c r="A542" s="211" t="s">
        <v>722</v>
      </c>
      <c r="B542" s="211">
        <v>-444856832.20999998</v>
      </c>
      <c r="C542" s="211">
        <v>0</v>
      </c>
      <c r="D542" s="211">
        <v>0</v>
      </c>
      <c r="E542" s="211">
        <v>-444856832.20999998</v>
      </c>
      <c r="G542" s="211">
        <f t="shared" si="9"/>
        <v>-444856832.20999998</v>
      </c>
      <c r="H542" s="211" t="s">
        <v>80</v>
      </c>
      <c r="J542" s="211">
        <f>VLOOKUP(A542,'JULY-TB'!A:G,7,0)</f>
        <v>-444856832.20999998</v>
      </c>
    </row>
    <row r="543" spans="1:12">
      <c r="A543" s="211" t="s">
        <v>723</v>
      </c>
      <c r="B543" s="211">
        <v>-1497794</v>
      </c>
      <c r="C543" s="211">
        <v>0</v>
      </c>
      <c r="D543" s="211">
        <v>60245</v>
      </c>
      <c r="E543" s="211">
        <v>-1558039</v>
      </c>
      <c r="G543" s="211">
        <f t="shared" si="9"/>
        <v>-1558039</v>
      </c>
      <c r="H543" s="211" t="s">
        <v>80</v>
      </c>
      <c r="J543" s="211">
        <f>VLOOKUP(A543,'JULY-TB'!A:G,7,0)</f>
        <v>-1558039</v>
      </c>
    </row>
    <row r="544" spans="1:12">
      <c r="A544" s="211" t="s">
        <v>724</v>
      </c>
      <c r="B544" s="211">
        <v>-88032460</v>
      </c>
      <c r="C544" s="211">
        <v>0</v>
      </c>
      <c r="D544" s="211">
        <v>0</v>
      </c>
      <c r="E544" s="211">
        <v>-88032460</v>
      </c>
      <c r="G544" s="211">
        <f t="shared" si="9"/>
        <v>-88032460</v>
      </c>
      <c r="H544" s="211" t="s">
        <v>80</v>
      </c>
      <c r="J544" s="211">
        <f>VLOOKUP(A544,'JULY-TB'!A:G,7,0)</f>
        <v>-88032460</v>
      </c>
    </row>
    <row r="545" spans="1:10">
      <c r="A545" s="211" t="s">
        <v>725</v>
      </c>
      <c r="B545" s="211">
        <v>-3559700</v>
      </c>
      <c r="C545" s="211">
        <v>0</v>
      </c>
      <c r="D545" s="211">
        <v>0</v>
      </c>
      <c r="E545" s="211">
        <v>-3559700</v>
      </c>
      <c r="G545" s="211">
        <f t="shared" si="9"/>
        <v>-3559700</v>
      </c>
      <c r="H545" s="211" t="s">
        <v>80</v>
      </c>
      <c r="J545" s="211">
        <f>VLOOKUP(A545,'JULY-TB'!A:G,7,0)</f>
        <v>-3559700</v>
      </c>
    </row>
    <row r="546" spans="1:10">
      <c r="A546" s="211" t="s">
        <v>272</v>
      </c>
      <c r="B546" s="211">
        <v>0</v>
      </c>
      <c r="C546" s="211">
        <v>32516025.25</v>
      </c>
      <c r="D546" s="211">
        <v>43764252.659999996</v>
      </c>
      <c r="E546" s="211">
        <v>-11248227.41</v>
      </c>
      <c r="G546" s="211">
        <f t="shared" si="9"/>
        <v>-11248227.41</v>
      </c>
      <c r="H546" s="211" t="s">
        <v>80</v>
      </c>
      <c r="J546" s="211">
        <f>VLOOKUP(A546,'JULY-TB'!A:G,7,0)</f>
        <v>-10234641.75</v>
      </c>
    </row>
    <row r="547" spans="1:10">
      <c r="A547" s="211" t="s">
        <v>726</v>
      </c>
      <c r="B547" s="211">
        <v>-27624138.809999999</v>
      </c>
      <c r="C547" s="211">
        <v>126283064</v>
      </c>
      <c r="D547" s="211">
        <v>98658925.189999998</v>
      </c>
      <c r="E547" s="211">
        <v>0</v>
      </c>
      <c r="G547" s="211">
        <f t="shared" si="9"/>
        <v>0</v>
      </c>
      <c r="H547" s="211" t="s">
        <v>80</v>
      </c>
      <c r="J547" s="211">
        <f>VLOOKUP(A547,'JULY-TB'!A:G,7,0)</f>
        <v>5.43</v>
      </c>
    </row>
    <row r="548" spans="1:10">
      <c r="A548" s="211" t="s">
        <v>727</v>
      </c>
      <c r="B548" s="211">
        <v>-1788030.1</v>
      </c>
      <c r="C548" s="211">
        <v>2618150.1</v>
      </c>
      <c r="D548" s="211">
        <v>830122.22</v>
      </c>
      <c r="E548" s="211">
        <v>-2.2200000000000002</v>
      </c>
      <c r="G548" s="211">
        <f t="shared" si="9"/>
        <v>-2.2200000000000002</v>
      </c>
      <c r="H548" s="211" t="s">
        <v>80</v>
      </c>
      <c r="J548" s="211">
        <f>VLOOKUP(A548,'JULY-TB'!A:G,7,0)</f>
        <v>0</v>
      </c>
    </row>
    <row r="549" spans="1:10">
      <c r="A549" s="211" t="s">
        <v>243</v>
      </c>
      <c r="B549" s="211">
        <v>0</v>
      </c>
      <c r="C549" s="211">
        <v>33746719.759999998</v>
      </c>
      <c r="D549" s="211">
        <v>49432377.490000002</v>
      </c>
      <c r="E549" s="211">
        <v>-15685657.73</v>
      </c>
      <c r="G549" s="211">
        <f t="shared" si="9"/>
        <v>-15685657.73</v>
      </c>
      <c r="H549" s="211" t="s">
        <v>80</v>
      </c>
      <c r="J549" s="211">
        <f>VLOOKUP(A549,'JULY-TB'!A:G,7,0)</f>
        <v>-8416645.1400000006</v>
      </c>
    </row>
    <row r="550" spans="1:10">
      <c r="A550" s="211" t="s">
        <v>180</v>
      </c>
      <c r="B550" s="211">
        <v>0</v>
      </c>
      <c r="C550" s="211">
        <v>32516025.25</v>
      </c>
      <c r="D550" s="211">
        <v>43764252.659999996</v>
      </c>
      <c r="E550" s="211">
        <v>-11248227.41</v>
      </c>
      <c r="G550" s="211">
        <f t="shared" si="9"/>
        <v>-11248227.41</v>
      </c>
      <c r="H550" s="211" t="s">
        <v>80</v>
      </c>
      <c r="J550" s="211">
        <f>VLOOKUP(A550,'JULY-TB'!A:G,7,0)</f>
        <v>-10234641.75</v>
      </c>
    </row>
    <row r="551" spans="1:10">
      <c r="A551" s="211" t="s">
        <v>202</v>
      </c>
      <c r="B551" s="211">
        <v>-128600</v>
      </c>
      <c r="C551" s="211">
        <v>570400</v>
      </c>
      <c r="D551" s="211">
        <v>438200</v>
      </c>
      <c r="E551" s="211">
        <v>3600</v>
      </c>
      <c r="G551" s="211">
        <f t="shared" si="9"/>
        <v>3600</v>
      </c>
      <c r="H551" s="211" t="s">
        <v>80</v>
      </c>
      <c r="J551" s="211">
        <f>VLOOKUP(A551,'JULY-TB'!A:G,7,0)</f>
        <v>2200</v>
      </c>
    </row>
    <row r="552" spans="1:10">
      <c r="A552" s="211" t="s">
        <v>1165</v>
      </c>
      <c r="B552" s="211">
        <v>0</v>
      </c>
      <c r="C552" s="211">
        <v>0</v>
      </c>
      <c r="D552" s="211">
        <v>0</v>
      </c>
      <c r="E552" s="211">
        <v>0</v>
      </c>
      <c r="G552" s="211">
        <f t="shared" si="9"/>
        <v>0</v>
      </c>
      <c r="H552" s="211" t="s">
        <v>80</v>
      </c>
      <c r="J552" s="211">
        <f>VLOOKUP(A552,'JULY-TB'!A:G,7,0)</f>
        <v>0</v>
      </c>
    </row>
    <row r="553" spans="1:10">
      <c r="A553" s="211" t="s">
        <v>1166</v>
      </c>
      <c r="B553" s="211">
        <v>0</v>
      </c>
      <c r="C553" s="211">
        <v>0</v>
      </c>
      <c r="D553" s="211">
        <v>0</v>
      </c>
      <c r="E553" s="211">
        <v>0</v>
      </c>
      <c r="G553" s="211">
        <f t="shared" si="9"/>
        <v>0</v>
      </c>
      <c r="H553" s="211" t="s">
        <v>80</v>
      </c>
      <c r="J553" s="211">
        <f>VLOOKUP(A553,'JULY-TB'!A:G,7,0)</f>
        <v>0</v>
      </c>
    </row>
    <row r="554" spans="1:10">
      <c r="A554" s="211" t="s">
        <v>1167</v>
      </c>
      <c r="B554" s="211">
        <v>0</v>
      </c>
      <c r="C554" s="211">
        <v>0</v>
      </c>
      <c r="D554" s="211">
        <v>0</v>
      </c>
      <c r="E554" s="211">
        <v>0</v>
      </c>
      <c r="G554" s="211">
        <f t="shared" si="9"/>
        <v>0</v>
      </c>
      <c r="H554" s="211" t="s">
        <v>80</v>
      </c>
      <c r="J554" s="211">
        <f>VLOOKUP(A554,'JULY-TB'!A:G,7,0)</f>
        <v>0</v>
      </c>
    </row>
    <row r="555" spans="1:10">
      <c r="A555" s="211" t="s">
        <v>1168</v>
      </c>
      <c r="B555" s="211">
        <v>0</v>
      </c>
      <c r="C555" s="211">
        <v>0</v>
      </c>
      <c r="D555" s="211">
        <v>0</v>
      </c>
      <c r="E555" s="211">
        <v>0</v>
      </c>
      <c r="G555" s="211">
        <f t="shared" si="9"/>
        <v>0</v>
      </c>
      <c r="H555" s="211" t="s">
        <v>80</v>
      </c>
      <c r="J555" s="211">
        <f>VLOOKUP(A555,'JULY-TB'!A:G,7,0)</f>
        <v>0</v>
      </c>
    </row>
    <row r="556" spans="1:10">
      <c r="A556" s="211" t="s">
        <v>476</v>
      </c>
      <c r="B556" s="211">
        <v>0.09</v>
      </c>
      <c r="C556" s="211">
        <v>0</v>
      </c>
      <c r="D556" s="211">
        <v>0</v>
      </c>
      <c r="E556" s="211">
        <v>0.09</v>
      </c>
      <c r="G556" s="211">
        <f t="shared" si="9"/>
        <v>0.09</v>
      </c>
      <c r="H556" s="211" t="s">
        <v>80</v>
      </c>
      <c r="J556" s="211">
        <f>VLOOKUP(A556,'JULY-TB'!A:G,7,0)</f>
        <v>0.09</v>
      </c>
    </row>
    <row r="557" spans="1:10">
      <c r="A557" s="211" t="s">
        <v>432</v>
      </c>
      <c r="B557" s="211">
        <v>-1541.53</v>
      </c>
      <c r="C557" s="211">
        <v>1542</v>
      </c>
      <c r="D557" s="211">
        <v>0</v>
      </c>
      <c r="E557" s="211">
        <v>0.47</v>
      </c>
      <c r="G557" s="211">
        <f t="shared" si="9"/>
        <v>0.47</v>
      </c>
      <c r="H557" s="211" t="s">
        <v>80</v>
      </c>
      <c r="J557" s="211">
        <f>VLOOKUP(A557,'JULY-TB'!A:G,7,0)</f>
        <v>0.47</v>
      </c>
    </row>
    <row r="558" spans="1:10">
      <c r="A558" s="211" t="s">
        <v>506</v>
      </c>
      <c r="B558" s="211">
        <v>0</v>
      </c>
      <c r="C558" s="211">
        <v>74562</v>
      </c>
      <c r="D558" s="211">
        <v>80486.27</v>
      </c>
      <c r="E558" s="211">
        <v>-5924.27</v>
      </c>
      <c r="G558" s="211">
        <f t="shared" si="9"/>
        <v>-5924.27</v>
      </c>
      <c r="H558" s="211" t="s">
        <v>80</v>
      </c>
      <c r="J558" s="211">
        <f>VLOOKUP(A558,'JULY-TB'!A:G,7,0)</f>
        <v>-18850.03</v>
      </c>
    </row>
    <row r="559" spans="1:10">
      <c r="A559" s="211" t="s">
        <v>161</v>
      </c>
      <c r="B559" s="211">
        <v>-40000</v>
      </c>
      <c r="C559" s="211">
        <v>80000</v>
      </c>
      <c r="D559" s="211">
        <v>60000</v>
      </c>
      <c r="E559" s="211">
        <v>-20000</v>
      </c>
      <c r="G559" s="211">
        <f t="shared" si="9"/>
        <v>-20000</v>
      </c>
      <c r="H559" s="211" t="s">
        <v>80</v>
      </c>
      <c r="J559" s="211">
        <f>VLOOKUP(A559,'JULY-TB'!A:G,7,0)</f>
        <v>0</v>
      </c>
    </row>
    <row r="560" spans="1:10">
      <c r="A560" s="211" t="s">
        <v>162</v>
      </c>
      <c r="B560" s="211">
        <v>-24187</v>
      </c>
      <c r="C560" s="211">
        <v>1580428</v>
      </c>
      <c r="D560" s="211">
        <v>2302893.5</v>
      </c>
      <c r="E560" s="211">
        <v>-746652.5</v>
      </c>
      <c r="G560" s="211">
        <f t="shared" si="9"/>
        <v>-746652.5</v>
      </c>
      <c r="H560" s="211" t="s">
        <v>80</v>
      </c>
      <c r="J560" s="211">
        <f>VLOOKUP(A560,'JULY-TB'!A:G,7,0)</f>
        <v>-581335</v>
      </c>
    </row>
    <row r="561" spans="1:10">
      <c r="A561" s="211" t="s">
        <v>1169</v>
      </c>
      <c r="B561" s="211">
        <v>0</v>
      </c>
      <c r="C561" s="211">
        <v>0</v>
      </c>
      <c r="D561" s="211">
        <v>0</v>
      </c>
      <c r="E561" s="211">
        <v>0</v>
      </c>
      <c r="G561" s="211">
        <f t="shared" si="9"/>
        <v>0</v>
      </c>
      <c r="H561" s="211" t="s">
        <v>80</v>
      </c>
      <c r="J561" s="211">
        <f>VLOOKUP(A561,'JULY-TB'!A:G,7,0)</f>
        <v>0</v>
      </c>
    </row>
    <row r="562" spans="1:10">
      <c r="A562" s="211" t="s">
        <v>412</v>
      </c>
      <c r="B562" s="211">
        <v>-4000</v>
      </c>
      <c r="C562" s="211">
        <v>266000</v>
      </c>
      <c r="D562" s="211">
        <v>498680</v>
      </c>
      <c r="E562" s="211">
        <v>-236680</v>
      </c>
      <c r="G562" s="211">
        <f t="shared" si="9"/>
        <v>-236680</v>
      </c>
      <c r="H562" s="211" t="s">
        <v>80</v>
      </c>
      <c r="J562" s="211">
        <f>VLOOKUP(A562,'JULY-TB'!A:G,7,0)</f>
        <v>-108150</v>
      </c>
    </row>
    <row r="563" spans="1:10">
      <c r="A563" s="211" t="s">
        <v>163</v>
      </c>
      <c r="B563" s="211">
        <v>-6160.01</v>
      </c>
      <c r="C563" s="211">
        <v>176106</v>
      </c>
      <c r="D563" s="211">
        <v>281216</v>
      </c>
      <c r="E563" s="211">
        <v>-111270.01</v>
      </c>
      <c r="G563" s="211">
        <f t="shared" si="9"/>
        <v>-111270.01</v>
      </c>
      <c r="H563" s="211" t="s">
        <v>80</v>
      </c>
      <c r="J563" s="211">
        <f>VLOOKUP(A563,'JULY-TB'!A:G,7,0)</f>
        <v>-68398.009999999995</v>
      </c>
    </row>
    <row r="564" spans="1:10">
      <c r="A564" s="211" t="s">
        <v>164</v>
      </c>
      <c r="B564" s="211">
        <v>-0.01</v>
      </c>
      <c r="C564" s="211">
        <v>258717.09</v>
      </c>
      <c r="D564" s="211">
        <v>625547.22</v>
      </c>
      <c r="E564" s="211">
        <v>-366830.14</v>
      </c>
      <c r="G564" s="211">
        <f t="shared" si="9"/>
        <v>-366830.14</v>
      </c>
      <c r="H564" s="211" t="s">
        <v>80</v>
      </c>
      <c r="J564" s="211">
        <f>VLOOKUP(A564,'JULY-TB'!A:G,7,0)</f>
        <v>-139406.91</v>
      </c>
    </row>
    <row r="565" spans="1:10">
      <c r="A565" s="211" t="s">
        <v>728</v>
      </c>
      <c r="B565" s="211">
        <v>-2290689.1800000002</v>
      </c>
      <c r="C565" s="211">
        <v>8149165</v>
      </c>
      <c r="D565" s="211">
        <v>4167317.68</v>
      </c>
      <c r="E565" s="211">
        <v>1691158.14</v>
      </c>
      <c r="G565" s="211">
        <f t="shared" si="9"/>
        <v>1691158.14</v>
      </c>
      <c r="H565" s="211" t="s">
        <v>80</v>
      </c>
      <c r="J565" s="211">
        <f>VLOOKUP(A565,'JULY-TB'!A:G,7,0)</f>
        <v>317198.14</v>
      </c>
    </row>
    <row r="566" spans="1:10">
      <c r="A566" s="211" t="s">
        <v>277</v>
      </c>
      <c r="B566" s="211">
        <v>-870981</v>
      </c>
      <c r="C566" s="211">
        <v>0</v>
      </c>
      <c r="D566" s="211">
        <v>0</v>
      </c>
      <c r="E566" s="211">
        <v>-870981</v>
      </c>
      <c r="G566" s="211">
        <f t="shared" si="9"/>
        <v>-870981</v>
      </c>
      <c r="H566" s="211" t="s">
        <v>80</v>
      </c>
      <c r="J566" s="211">
        <f>VLOOKUP(A566,'JULY-TB'!A:G,7,0)</f>
        <v>-870981</v>
      </c>
    </row>
    <row r="567" spans="1:10">
      <c r="A567" s="211" t="s">
        <v>729</v>
      </c>
      <c r="B567" s="211">
        <v>-43685.8</v>
      </c>
      <c r="C567" s="211">
        <v>404250</v>
      </c>
      <c r="D567" s="211">
        <v>328263</v>
      </c>
      <c r="E567" s="211">
        <v>32301.200000000001</v>
      </c>
      <c r="G567" s="211">
        <f t="shared" si="9"/>
        <v>32301.200000000001</v>
      </c>
      <c r="H567" s="211" t="s">
        <v>80</v>
      </c>
      <c r="J567" s="211">
        <f>VLOOKUP(A567,'JULY-TB'!A:G,7,0)</f>
        <v>31930.2</v>
      </c>
    </row>
    <row r="568" spans="1:10">
      <c r="A568" s="211" t="s">
        <v>264</v>
      </c>
      <c r="B568" s="211">
        <v>-1279831.54</v>
      </c>
      <c r="C568" s="211">
        <v>3489154</v>
      </c>
      <c r="D568" s="211">
        <v>2845039</v>
      </c>
      <c r="E568" s="211">
        <v>-635716.54</v>
      </c>
      <c r="G568" s="211">
        <f t="shared" si="9"/>
        <v>-635716.54</v>
      </c>
      <c r="H568" s="211" t="s">
        <v>80</v>
      </c>
      <c r="J568" s="211">
        <f>VLOOKUP(A568,'JULY-TB'!A:G,7,0)</f>
        <v>-636087.54</v>
      </c>
    </row>
    <row r="569" spans="1:10">
      <c r="A569" s="211" t="s">
        <v>258</v>
      </c>
      <c r="B569" s="211">
        <v>0</v>
      </c>
      <c r="C569" s="211">
        <v>202951.31</v>
      </c>
      <c r="D569" s="211">
        <v>12490</v>
      </c>
      <c r="E569" s="211">
        <v>190461.31</v>
      </c>
      <c r="G569" s="211">
        <f t="shared" si="9"/>
        <v>190461.31</v>
      </c>
      <c r="H569" s="211" t="s">
        <v>80</v>
      </c>
      <c r="J569" s="211">
        <f>VLOOKUP(A569,'JULY-TB'!A:G,7,0)</f>
        <v>175759.31</v>
      </c>
    </row>
    <row r="570" spans="1:10">
      <c r="A570" s="211" t="s">
        <v>730</v>
      </c>
      <c r="B570" s="211">
        <v>-9060315</v>
      </c>
      <c r="C570" s="211">
        <v>0</v>
      </c>
      <c r="D570" s="211">
        <v>923585</v>
      </c>
      <c r="E570" s="211">
        <v>-9983900</v>
      </c>
      <c r="G570" s="211">
        <f t="shared" si="9"/>
        <v>-9983900</v>
      </c>
      <c r="H570" s="211" t="s">
        <v>80</v>
      </c>
      <c r="J570" s="211">
        <f>VLOOKUP(A570,'JULY-TB'!A:G,7,0)</f>
        <v>-9983900</v>
      </c>
    </row>
    <row r="571" spans="1:10">
      <c r="A571" s="231" t="s">
        <v>192</v>
      </c>
      <c r="B571" s="211">
        <v>-31239162.649999999</v>
      </c>
      <c r="C571" s="211">
        <v>85708242</v>
      </c>
      <c r="D571" s="211">
        <v>55071675.799999997</v>
      </c>
      <c r="E571" s="211">
        <v>-602596.44999999995</v>
      </c>
      <c r="F571" s="227"/>
      <c r="G571" s="211">
        <f t="shared" si="9"/>
        <v>-602596.44999999995</v>
      </c>
      <c r="H571" s="231" t="s">
        <v>80</v>
      </c>
      <c r="J571" s="211">
        <f>VLOOKUP(A571,'JULY-TB'!A:G,7,0)</f>
        <v>-1728086.45</v>
      </c>
    </row>
    <row r="572" spans="1:10">
      <c r="A572" s="211" t="s">
        <v>731</v>
      </c>
      <c r="B572" s="211">
        <v>0</v>
      </c>
      <c r="C572" s="211">
        <v>2899722</v>
      </c>
      <c r="D572" s="211">
        <v>2899032</v>
      </c>
      <c r="E572" s="211">
        <v>690</v>
      </c>
      <c r="G572" s="211">
        <f t="shared" si="9"/>
        <v>690</v>
      </c>
      <c r="H572" s="211" t="s">
        <v>80</v>
      </c>
      <c r="J572" s="211">
        <f>VLOOKUP(A572,'JULY-TB'!A:G,7,0)</f>
        <v>-2270</v>
      </c>
    </row>
    <row r="573" spans="1:10">
      <c r="A573" s="211" t="s">
        <v>732</v>
      </c>
      <c r="B573" s="211">
        <v>-56823</v>
      </c>
      <c r="C573" s="211">
        <v>56823</v>
      </c>
      <c r="D573" s="211">
        <v>225302</v>
      </c>
      <c r="E573" s="211">
        <v>-225302</v>
      </c>
      <c r="G573" s="211">
        <f t="shared" si="9"/>
        <v>-225302</v>
      </c>
      <c r="H573" s="211" t="s">
        <v>339</v>
      </c>
      <c r="J573" s="211">
        <f>VLOOKUP(A573,'JULY-TB'!A:G,7,0)</f>
        <v>-225302</v>
      </c>
    </row>
    <row r="574" spans="1:10">
      <c r="A574" s="211" t="s">
        <v>733</v>
      </c>
      <c r="B574" s="211">
        <v>1</v>
      </c>
      <c r="C574" s="211">
        <v>328387</v>
      </c>
      <c r="D574" s="211">
        <v>18880</v>
      </c>
      <c r="E574" s="211">
        <v>309508</v>
      </c>
      <c r="G574" s="211">
        <f t="shared" si="9"/>
        <v>309508</v>
      </c>
      <c r="H574" s="211" t="s">
        <v>80</v>
      </c>
      <c r="J574" s="211">
        <f>VLOOKUP(A574,'JULY-TB'!A:G,7,0)</f>
        <v>-32212239.760000002</v>
      </c>
    </row>
    <row r="575" spans="1:10">
      <c r="A575" s="211" t="s">
        <v>734</v>
      </c>
      <c r="B575" s="211">
        <v>-11132423</v>
      </c>
      <c r="C575" s="211">
        <v>11132423</v>
      </c>
      <c r="D575" s="211">
        <v>0</v>
      </c>
      <c r="E575" s="211">
        <v>0</v>
      </c>
      <c r="G575" s="211">
        <f t="shared" si="9"/>
        <v>0</v>
      </c>
      <c r="H575" s="211" t="s">
        <v>80</v>
      </c>
      <c r="J575" s="211">
        <f>VLOOKUP(A575,'JULY-TB'!A:G,7,0)</f>
        <v>0</v>
      </c>
    </row>
    <row r="576" spans="1:10">
      <c r="A576" s="211" t="s">
        <v>1448</v>
      </c>
      <c r="B576" s="211">
        <v>0</v>
      </c>
      <c r="C576" s="211">
        <v>151040</v>
      </c>
      <c r="D576" s="211">
        <v>151040</v>
      </c>
      <c r="E576" s="211">
        <v>0</v>
      </c>
      <c r="G576" s="211">
        <f t="shared" si="9"/>
        <v>0</v>
      </c>
      <c r="H576" s="211" t="s">
        <v>80</v>
      </c>
      <c r="J576" s="211">
        <f>VLOOKUP(A576,'JULY-TB'!A:G,7,0)</f>
        <v>0</v>
      </c>
    </row>
    <row r="577" spans="1:10">
      <c r="A577" s="211" t="s">
        <v>1170</v>
      </c>
      <c r="B577" s="211">
        <v>0</v>
      </c>
      <c r="C577" s="211">
        <v>0</v>
      </c>
      <c r="D577" s="211">
        <v>0</v>
      </c>
      <c r="E577" s="211">
        <v>0</v>
      </c>
      <c r="G577" s="211">
        <f t="shared" si="9"/>
        <v>0</v>
      </c>
      <c r="H577" s="211" t="s">
        <v>80</v>
      </c>
      <c r="J577" s="211">
        <f>VLOOKUP(A577,'JULY-TB'!A:G,7,0)</f>
        <v>0</v>
      </c>
    </row>
    <row r="578" spans="1:10">
      <c r="A578" s="211" t="s">
        <v>1171</v>
      </c>
      <c r="B578" s="211">
        <v>0</v>
      </c>
      <c r="C578" s="211">
        <v>0</v>
      </c>
      <c r="D578" s="211">
        <v>8078.11</v>
      </c>
      <c r="E578" s="211">
        <v>-8078.11</v>
      </c>
      <c r="G578" s="211">
        <f t="shared" si="9"/>
        <v>-8078.11</v>
      </c>
      <c r="H578" s="211" t="s">
        <v>80</v>
      </c>
      <c r="J578" s="211">
        <f>VLOOKUP(A578,'JULY-TB'!A:G,7,0)</f>
        <v>-8078.11</v>
      </c>
    </row>
    <row r="579" spans="1:10">
      <c r="A579" s="211" t="s">
        <v>1627</v>
      </c>
      <c r="B579" s="211">
        <v>0</v>
      </c>
      <c r="C579" s="211">
        <v>0</v>
      </c>
      <c r="D579" s="211">
        <v>60979</v>
      </c>
      <c r="E579" s="211">
        <v>-60979</v>
      </c>
      <c r="G579" s="211">
        <f t="shared" si="9"/>
        <v>-60979</v>
      </c>
      <c r="H579" s="211" t="s">
        <v>80</v>
      </c>
      <c r="J579" s="211" t="e">
        <f>VLOOKUP(A579,'JULY-TB'!A:G,7,0)</f>
        <v>#N/A</v>
      </c>
    </row>
    <row r="580" spans="1:10">
      <c r="A580" s="211" t="s">
        <v>1172</v>
      </c>
      <c r="B580" s="211">
        <v>0</v>
      </c>
      <c r="C580" s="211">
        <v>40179</v>
      </c>
      <c r="D580" s="211">
        <v>40179</v>
      </c>
      <c r="E580" s="211">
        <v>0</v>
      </c>
      <c r="G580" s="211">
        <f t="shared" ref="G580:G643" si="13">E580+F580</f>
        <v>0</v>
      </c>
      <c r="H580" s="211" t="s">
        <v>80</v>
      </c>
      <c r="J580" s="211">
        <f>VLOOKUP(A580,'JULY-TB'!A:G,7,0)</f>
        <v>0</v>
      </c>
    </row>
    <row r="581" spans="1:10">
      <c r="A581" s="211" t="s">
        <v>1628</v>
      </c>
      <c r="B581" s="211">
        <v>0</v>
      </c>
      <c r="C581" s="211">
        <v>467280</v>
      </c>
      <c r="D581" s="211">
        <v>519200</v>
      </c>
      <c r="E581" s="211">
        <v>-51920</v>
      </c>
      <c r="G581" s="211">
        <f t="shared" si="13"/>
        <v>-51920</v>
      </c>
      <c r="H581" s="211" t="s">
        <v>80</v>
      </c>
      <c r="J581" s="211" t="e">
        <f>VLOOKUP(A581,'JULY-TB'!A:G,7,0)</f>
        <v>#N/A</v>
      </c>
    </row>
    <row r="582" spans="1:10">
      <c r="A582" s="211" t="s">
        <v>735</v>
      </c>
      <c r="B582" s="211">
        <v>-6336</v>
      </c>
      <c r="C582" s="211">
        <v>36355</v>
      </c>
      <c r="D582" s="211">
        <v>55035</v>
      </c>
      <c r="E582" s="211">
        <v>-25016</v>
      </c>
      <c r="G582" s="211">
        <f t="shared" si="13"/>
        <v>-25016</v>
      </c>
      <c r="H582" s="211" t="s">
        <v>80</v>
      </c>
      <c r="J582" s="211">
        <f>VLOOKUP(A582,'JULY-TB'!A:G,7,0)</f>
        <v>-30019</v>
      </c>
    </row>
    <row r="583" spans="1:10">
      <c r="A583" s="211" t="s">
        <v>483</v>
      </c>
      <c r="B583" s="211">
        <v>0</v>
      </c>
      <c r="C583" s="211">
        <v>10535</v>
      </c>
      <c r="D583" s="211">
        <v>10535</v>
      </c>
      <c r="E583" s="211">
        <v>0</v>
      </c>
      <c r="G583" s="211">
        <f t="shared" si="13"/>
        <v>0</v>
      </c>
      <c r="H583" s="211" t="s">
        <v>80</v>
      </c>
      <c r="J583" s="211">
        <f>VLOOKUP(A583,'JULY-TB'!A:G,7,0)</f>
        <v>0</v>
      </c>
    </row>
    <row r="584" spans="1:10">
      <c r="A584" s="211" t="s">
        <v>267</v>
      </c>
      <c r="B584" s="211">
        <v>-0.2</v>
      </c>
      <c r="C584" s="211">
        <v>2773</v>
      </c>
      <c r="D584" s="211">
        <v>2773</v>
      </c>
      <c r="E584" s="211">
        <v>-0.2</v>
      </c>
      <c r="G584" s="211">
        <f t="shared" si="13"/>
        <v>-0.2</v>
      </c>
      <c r="H584" s="211" t="s">
        <v>80</v>
      </c>
      <c r="J584" s="211">
        <f>VLOOKUP(A584,'JULY-TB'!A:G,7,0)</f>
        <v>-0.2</v>
      </c>
    </row>
    <row r="585" spans="1:10">
      <c r="A585" s="211" t="s">
        <v>227</v>
      </c>
      <c r="B585" s="211">
        <v>-15147</v>
      </c>
      <c r="C585" s="211">
        <v>139939</v>
      </c>
      <c r="D585" s="211">
        <v>124792</v>
      </c>
      <c r="E585" s="211">
        <v>0</v>
      </c>
      <c r="G585" s="211">
        <f t="shared" si="13"/>
        <v>0</v>
      </c>
      <c r="H585" s="211" t="s">
        <v>80</v>
      </c>
      <c r="J585" s="211">
        <f>VLOOKUP(A585,'JULY-TB'!A:G,7,0)</f>
        <v>0</v>
      </c>
    </row>
    <row r="586" spans="1:10">
      <c r="A586" s="211" t="s">
        <v>736</v>
      </c>
      <c r="B586" s="211">
        <v>-135575</v>
      </c>
      <c r="C586" s="211">
        <v>271150</v>
      </c>
      <c r="D586" s="211">
        <v>135575</v>
      </c>
      <c r="E586" s="211">
        <v>0</v>
      </c>
      <c r="G586" s="211">
        <f t="shared" si="13"/>
        <v>0</v>
      </c>
      <c r="H586" s="211" t="s">
        <v>80</v>
      </c>
      <c r="J586" s="211">
        <f>VLOOKUP(A586,'JULY-TB'!A:G,7,0)</f>
        <v>0</v>
      </c>
    </row>
    <row r="587" spans="1:10">
      <c r="A587" s="211" t="s">
        <v>1173</v>
      </c>
      <c r="B587" s="211">
        <v>0</v>
      </c>
      <c r="C587" s="211">
        <v>0</v>
      </c>
      <c r="D587" s="211">
        <v>0</v>
      </c>
      <c r="E587" s="211">
        <v>0</v>
      </c>
      <c r="G587" s="211">
        <f t="shared" si="13"/>
        <v>0</v>
      </c>
      <c r="H587" s="211" t="s">
        <v>80</v>
      </c>
      <c r="J587" s="211">
        <f>VLOOKUP(A587,'JULY-TB'!A:G,7,0)</f>
        <v>0</v>
      </c>
    </row>
    <row r="588" spans="1:10">
      <c r="A588" s="211" t="s">
        <v>1174</v>
      </c>
      <c r="B588" s="211">
        <v>0</v>
      </c>
      <c r="C588" s="211">
        <v>0</v>
      </c>
      <c r="D588" s="211">
        <v>0</v>
      </c>
      <c r="E588" s="211">
        <v>0</v>
      </c>
      <c r="G588" s="211">
        <f t="shared" si="13"/>
        <v>0</v>
      </c>
      <c r="H588" s="211" t="s">
        <v>80</v>
      </c>
      <c r="J588" s="211">
        <f>VLOOKUP(A588,'JULY-TB'!A:G,7,0)</f>
        <v>0</v>
      </c>
    </row>
    <row r="589" spans="1:10">
      <c r="A589" s="211" t="s">
        <v>200</v>
      </c>
      <c r="B589" s="211">
        <v>-92736</v>
      </c>
      <c r="C589" s="211">
        <v>92736</v>
      </c>
      <c r="D589" s="211">
        <v>0</v>
      </c>
      <c r="E589" s="211">
        <v>0</v>
      </c>
      <c r="G589" s="211">
        <f t="shared" si="13"/>
        <v>0</v>
      </c>
      <c r="H589" s="211" t="s">
        <v>80</v>
      </c>
      <c r="J589" s="211">
        <f>VLOOKUP(A589,'JULY-TB'!A:G,7,0)</f>
        <v>0</v>
      </c>
    </row>
    <row r="590" spans="1:10">
      <c r="A590" s="211" t="s">
        <v>1449</v>
      </c>
      <c r="B590" s="211">
        <v>0</v>
      </c>
      <c r="C590" s="211">
        <v>255012</v>
      </c>
      <c r="D590" s="211">
        <v>255012</v>
      </c>
      <c r="E590" s="211">
        <v>0</v>
      </c>
      <c r="G590" s="211">
        <f t="shared" si="13"/>
        <v>0</v>
      </c>
      <c r="H590" s="211" t="s">
        <v>80</v>
      </c>
      <c r="J590" s="211">
        <f>VLOOKUP(A590,'JULY-TB'!A:G,7,0)</f>
        <v>-134271</v>
      </c>
    </row>
    <row r="591" spans="1:10">
      <c r="A591" s="211" t="s">
        <v>1175</v>
      </c>
      <c r="B591" s="211">
        <v>0</v>
      </c>
      <c r="C591" s="211">
        <v>0</v>
      </c>
      <c r="D591" s="211">
        <v>0</v>
      </c>
      <c r="E591" s="211">
        <v>0</v>
      </c>
      <c r="G591" s="211">
        <f t="shared" si="13"/>
        <v>0</v>
      </c>
      <c r="H591" s="211" t="s">
        <v>80</v>
      </c>
      <c r="J591" s="211">
        <f>VLOOKUP(A591,'JULY-TB'!A:G,7,0)</f>
        <v>0</v>
      </c>
    </row>
    <row r="592" spans="1:10">
      <c r="A592" s="211" t="s">
        <v>177</v>
      </c>
      <c r="B592" s="211">
        <v>-633655.30000000005</v>
      </c>
      <c r="C592" s="211">
        <v>776469</v>
      </c>
      <c r="D592" s="211">
        <v>336247</v>
      </c>
      <c r="E592" s="211">
        <v>-193433.3</v>
      </c>
      <c r="G592" s="211">
        <f t="shared" si="13"/>
        <v>-193433.3</v>
      </c>
      <c r="H592" s="211" t="s">
        <v>80</v>
      </c>
      <c r="J592" s="211">
        <f>VLOOKUP(A592,'JULY-TB'!A:G,7,0)</f>
        <v>-336247.3</v>
      </c>
    </row>
    <row r="593" spans="1:10">
      <c r="A593" s="211" t="s">
        <v>172</v>
      </c>
      <c r="B593" s="211">
        <v>-72395.7</v>
      </c>
      <c r="C593" s="211">
        <v>86909.36</v>
      </c>
      <c r="D593" s="211">
        <v>14514</v>
      </c>
      <c r="E593" s="211">
        <v>-0.34</v>
      </c>
      <c r="G593" s="211">
        <f t="shared" si="13"/>
        <v>-0.34</v>
      </c>
      <c r="H593" s="211" t="s">
        <v>80</v>
      </c>
      <c r="J593" s="211">
        <f>VLOOKUP(A593,'JULY-TB'!A:G,7,0)</f>
        <v>-0.34</v>
      </c>
    </row>
    <row r="594" spans="1:10">
      <c r="A594" s="211" t="s">
        <v>171</v>
      </c>
      <c r="B594" s="211">
        <v>-65926.83</v>
      </c>
      <c r="C594" s="211">
        <v>0</v>
      </c>
      <c r="D594" s="211">
        <v>0</v>
      </c>
      <c r="E594" s="211">
        <v>-65926.83</v>
      </c>
      <c r="G594" s="211">
        <f t="shared" si="13"/>
        <v>-65926.83</v>
      </c>
      <c r="H594" s="211" t="s">
        <v>80</v>
      </c>
      <c r="J594" s="211">
        <f>VLOOKUP(A594,'JULY-TB'!A:G,7,0)</f>
        <v>-65926.83</v>
      </c>
    </row>
    <row r="595" spans="1:10">
      <c r="A595" s="211" t="s">
        <v>157</v>
      </c>
      <c r="B595" s="211">
        <v>-479073.48</v>
      </c>
      <c r="C595" s="211">
        <v>479073.48</v>
      </c>
      <c r="D595" s="211">
        <v>176246</v>
      </c>
      <c r="E595" s="211">
        <v>-176246</v>
      </c>
      <c r="G595" s="211">
        <f t="shared" si="13"/>
        <v>-176246</v>
      </c>
      <c r="H595" s="211" t="s">
        <v>80</v>
      </c>
      <c r="J595" s="211">
        <f>VLOOKUP(A595,'JULY-TB'!A:G,7,0)</f>
        <v>0</v>
      </c>
    </row>
    <row r="596" spans="1:10">
      <c r="A596" s="211" t="s">
        <v>1450</v>
      </c>
      <c r="B596" s="211">
        <v>0</v>
      </c>
      <c r="C596" s="211">
        <v>21420</v>
      </c>
      <c r="D596" s="211">
        <v>21420</v>
      </c>
      <c r="E596" s="211">
        <v>0</v>
      </c>
      <c r="G596" s="211">
        <f t="shared" si="13"/>
        <v>0</v>
      </c>
      <c r="H596" s="211" t="s">
        <v>80</v>
      </c>
      <c r="J596" s="211">
        <f>VLOOKUP(A596,'JULY-TB'!A:G,7,0)</f>
        <v>0</v>
      </c>
    </row>
    <row r="597" spans="1:10">
      <c r="A597" s="211" t="s">
        <v>1451</v>
      </c>
      <c r="B597" s="211">
        <v>0</v>
      </c>
      <c r="C597" s="211">
        <v>17228</v>
      </c>
      <c r="D597" s="211">
        <v>17228</v>
      </c>
      <c r="E597" s="211">
        <v>0</v>
      </c>
      <c r="G597" s="211">
        <f t="shared" si="13"/>
        <v>0</v>
      </c>
      <c r="H597" s="211" t="s">
        <v>80</v>
      </c>
      <c r="J597" s="211">
        <f>VLOOKUP(A597,'JULY-TB'!A:G,7,0)</f>
        <v>-17228</v>
      </c>
    </row>
    <row r="598" spans="1:10">
      <c r="A598" s="211" t="s">
        <v>737</v>
      </c>
      <c r="B598" s="211">
        <v>-2985</v>
      </c>
      <c r="C598" s="211">
        <v>0</v>
      </c>
      <c r="D598" s="211">
        <v>0</v>
      </c>
      <c r="E598" s="211">
        <v>-2985</v>
      </c>
      <c r="G598" s="211">
        <f t="shared" si="13"/>
        <v>-2985</v>
      </c>
      <c r="H598" s="211" t="s">
        <v>80</v>
      </c>
      <c r="J598" s="211">
        <f>VLOOKUP(A598,'JULY-TB'!A:G,7,0)</f>
        <v>-2985</v>
      </c>
    </row>
    <row r="599" spans="1:10">
      <c r="A599" s="211" t="s">
        <v>738</v>
      </c>
      <c r="B599" s="211">
        <v>-36573.800000000003</v>
      </c>
      <c r="C599" s="211">
        <v>27281.599999999999</v>
      </c>
      <c r="D599" s="211">
        <v>66080</v>
      </c>
      <c r="E599" s="211">
        <v>-75372.2</v>
      </c>
      <c r="G599" s="211">
        <f t="shared" si="13"/>
        <v>-75372.2</v>
      </c>
      <c r="H599" s="211" t="s">
        <v>80</v>
      </c>
      <c r="J599" s="211">
        <f>VLOOKUP(A599,'JULY-TB'!A:G,7,0)</f>
        <v>-45872.2</v>
      </c>
    </row>
    <row r="600" spans="1:10">
      <c r="A600" s="211" t="s">
        <v>1176</v>
      </c>
      <c r="B600" s="211">
        <v>0</v>
      </c>
      <c r="C600" s="211">
        <v>0</v>
      </c>
      <c r="D600" s="211">
        <v>0</v>
      </c>
      <c r="E600" s="211">
        <v>0</v>
      </c>
      <c r="G600" s="211">
        <f t="shared" si="13"/>
        <v>0</v>
      </c>
      <c r="H600" s="211" t="s">
        <v>80</v>
      </c>
      <c r="J600" s="211">
        <f>VLOOKUP(A600,'JULY-TB'!A:G,7,0)</f>
        <v>0</v>
      </c>
    </row>
    <row r="601" spans="1:10">
      <c r="A601" s="211" t="s">
        <v>739</v>
      </c>
      <c r="B601" s="211">
        <v>47790</v>
      </c>
      <c r="C601" s="211">
        <v>0</v>
      </c>
      <c r="D601" s="211">
        <v>47790</v>
      </c>
      <c r="E601" s="211">
        <v>0</v>
      </c>
      <c r="G601" s="211">
        <f t="shared" si="13"/>
        <v>0</v>
      </c>
      <c r="H601" s="211" t="s">
        <v>80</v>
      </c>
      <c r="J601" s="211">
        <f>VLOOKUP(A601,'JULY-TB'!A:G,7,0)</f>
        <v>0</v>
      </c>
    </row>
    <row r="602" spans="1:10">
      <c r="A602" s="211" t="s">
        <v>301</v>
      </c>
      <c r="B602" s="211">
        <v>-133056</v>
      </c>
      <c r="C602" s="211">
        <v>133056</v>
      </c>
      <c r="D602" s="211">
        <v>0</v>
      </c>
      <c r="E602" s="211">
        <v>0</v>
      </c>
      <c r="G602" s="211">
        <f t="shared" si="13"/>
        <v>0</v>
      </c>
      <c r="H602" s="211" t="s">
        <v>80</v>
      </c>
      <c r="J602" s="211">
        <f>VLOOKUP(A602,'JULY-TB'!A:G,7,0)</f>
        <v>0</v>
      </c>
    </row>
    <row r="603" spans="1:10">
      <c r="A603" s="211" t="s">
        <v>302</v>
      </c>
      <c r="B603" s="211">
        <v>-31860</v>
      </c>
      <c r="C603" s="211">
        <v>87084</v>
      </c>
      <c r="D603" s="211">
        <v>55224</v>
      </c>
      <c r="E603" s="211">
        <v>0</v>
      </c>
      <c r="G603" s="211">
        <f t="shared" si="13"/>
        <v>0</v>
      </c>
      <c r="H603" s="211" t="s">
        <v>80</v>
      </c>
      <c r="J603" s="211">
        <f>VLOOKUP(A603,'JULY-TB'!A:G,7,0)</f>
        <v>0</v>
      </c>
    </row>
    <row r="604" spans="1:10">
      <c r="A604" s="211" t="s">
        <v>1177</v>
      </c>
      <c r="B604" s="211">
        <v>0</v>
      </c>
      <c r="C604" s="211">
        <v>0</v>
      </c>
      <c r="D604" s="211">
        <v>0</v>
      </c>
      <c r="E604" s="211">
        <v>0</v>
      </c>
      <c r="G604" s="211">
        <f t="shared" si="13"/>
        <v>0</v>
      </c>
      <c r="H604" s="211" t="s">
        <v>80</v>
      </c>
      <c r="J604" s="211">
        <f>VLOOKUP(A604,'JULY-TB'!A:G,7,0)</f>
        <v>0</v>
      </c>
    </row>
    <row r="605" spans="1:10">
      <c r="A605" s="211" t="s">
        <v>1178</v>
      </c>
      <c r="B605" s="211">
        <v>0</v>
      </c>
      <c r="C605" s="211">
        <v>0</v>
      </c>
      <c r="D605" s="211">
        <v>0</v>
      </c>
      <c r="E605" s="211">
        <v>0</v>
      </c>
      <c r="G605" s="211">
        <f t="shared" si="13"/>
        <v>0</v>
      </c>
      <c r="H605" s="211" t="s">
        <v>80</v>
      </c>
      <c r="J605" s="211">
        <f>VLOOKUP(A605,'JULY-TB'!A:G,7,0)</f>
        <v>0</v>
      </c>
    </row>
    <row r="606" spans="1:10">
      <c r="A606" s="211" t="s">
        <v>279</v>
      </c>
      <c r="B606" s="211">
        <v>0</v>
      </c>
      <c r="C606" s="211">
        <v>82397</v>
      </c>
      <c r="D606" s="211">
        <v>82397</v>
      </c>
      <c r="E606" s="211">
        <v>0</v>
      </c>
      <c r="G606" s="211">
        <f t="shared" si="13"/>
        <v>0</v>
      </c>
      <c r="H606" s="211" t="s">
        <v>80</v>
      </c>
      <c r="J606" s="211">
        <f>VLOOKUP(A606,'JULY-TB'!A:G,7,0)</f>
        <v>0</v>
      </c>
    </row>
    <row r="607" spans="1:10">
      <c r="A607" s="211" t="s">
        <v>298</v>
      </c>
      <c r="B607" s="211">
        <v>-45937</v>
      </c>
      <c r="C607" s="211">
        <v>64312</v>
      </c>
      <c r="D607" s="211">
        <v>74130</v>
      </c>
      <c r="E607" s="211">
        <v>-55755</v>
      </c>
      <c r="G607" s="211">
        <f t="shared" si="13"/>
        <v>-55755</v>
      </c>
      <c r="H607" s="211" t="s">
        <v>80</v>
      </c>
      <c r="J607" s="211">
        <f>VLOOKUP(A607,'JULY-TB'!A:G,7,0)</f>
        <v>-37170</v>
      </c>
    </row>
    <row r="608" spans="1:10">
      <c r="A608" s="211" t="s">
        <v>507</v>
      </c>
      <c r="B608" s="211">
        <v>0</v>
      </c>
      <c r="C608" s="211">
        <v>44569</v>
      </c>
      <c r="D608" s="211">
        <v>44569</v>
      </c>
      <c r="E608" s="211">
        <v>0</v>
      </c>
      <c r="G608" s="211">
        <f t="shared" si="13"/>
        <v>0</v>
      </c>
      <c r="H608" s="211" t="s">
        <v>80</v>
      </c>
      <c r="J608" s="211">
        <f>VLOOKUP(A608,'JULY-TB'!A:G,7,0)</f>
        <v>0</v>
      </c>
    </row>
    <row r="609" spans="1:10">
      <c r="A609" s="211" t="s">
        <v>740</v>
      </c>
      <c r="B609" s="211">
        <v>5168.22</v>
      </c>
      <c r="C609" s="211">
        <v>139388.45000000001</v>
      </c>
      <c r="D609" s="211">
        <v>144558</v>
      </c>
      <c r="E609" s="211">
        <v>-1.33</v>
      </c>
      <c r="G609" s="211">
        <f t="shared" si="13"/>
        <v>-1.33</v>
      </c>
      <c r="H609" s="211" t="s">
        <v>80</v>
      </c>
      <c r="J609" s="211">
        <f>VLOOKUP(A609,'JULY-TB'!A:G,7,0)</f>
        <v>7717.67</v>
      </c>
    </row>
    <row r="610" spans="1:10">
      <c r="A610" s="211" t="s">
        <v>1566</v>
      </c>
      <c r="B610" s="211">
        <v>0</v>
      </c>
      <c r="C610" s="211">
        <v>472</v>
      </c>
      <c r="D610" s="211">
        <v>472</v>
      </c>
      <c r="E610" s="211">
        <v>0</v>
      </c>
      <c r="G610" s="211">
        <f t="shared" si="13"/>
        <v>0</v>
      </c>
      <c r="H610" s="211" t="s">
        <v>80</v>
      </c>
      <c r="J610" s="211">
        <f>VLOOKUP(A610,'JULY-TB'!A:G,7,0)</f>
        <v>0</v>
      </c>
    </row>
    <row r="611" spans="1:10">
      <c r="A611" s="211" t="s">
        <v>1180</v>
      </c>
      <c r="B611" s="211">
        <v>0</v>
      </c>
      <c r="C611" s="211">
        <v>18874</v>
      </c>
      <c r="D611" s="211">
        <v>18874</v>
      </c>
      <c r="E611" s="211">
        <v>0</v>
      </c>
      <c r="G611" s="211">
        <f t="shared" si="13"/>
        <v>0</v>
      </c>
      <c r="H611" s="211" t="s">
        <v>80</v>
      </c>
      <c r="J611" s="211">
        <f>VLOOKUP(A611,'JULY-TB'!A:G,7,0)</f>
        <v>0</v>
      </c>
    </row>
    <row r="612" spans="1:10">
      <c r="A612" s="211" t="s">
        <v>478</v>
      </c>
      <c r="B612" s="211">
        <v>-1378</v>
      </c>
      <c r="C612" s="211">
        <v>0</v>
      </c>
      <c r="D612" s="211">
        <v>0</v>
      </c>
      <c r="E612" s="211">
        <v>-1378</v>
      </c>
      <c r="G612" s="211">
        <f t="shared" si="13"/>
        <v>-1378</v>
      </c>
      <c r="H612" s="211" t="s">
        <v>80</v>
      </c>
      <c r="J612" s="211">
        <f>VLOOKUP(A612,'JULY-TB'!A:G,7,0)</f>
        <v>-1378</v>
      </c>
    </row>
    <row r="613" spans="1:10">
      <c r="A613" s="211" t="s">
        <v>1407</v>
      </c>
      <c r="B613" s="211">
        <v>0</v>
      </c>
      <c r="C613" s="211">
        <v>0</v>
      </c>
      <c r="D613" s="211">
        <v>0</v>
      </c>
      <c r="E613" s="211">
        <v>0</v>
      </c>
      <c r="G613" s="211">
        <f t="shared" si="13"/>
        <v>0</v>
      </c>
      <c r="H613" s="211" t="s">
        <v>80</v>
      </c>
      <c r="J613" s="211">
        <f>VLOOKUP(A613,'JULY-TB'!A:G,7,0)</f>
        <v>0</v>
      </c>
    </row>
    <row r="614" spans="1:10">
      <c r="A614" s="211" t="s">
        <v>294</v>
      </c>
      <c r="B614" s="211">
        <v>-6785</v>
      </c>
      <c r="C614" s="211">
        <v>9782</v>
      </c>
      <c r="D614" s="211">
        <v>7009</v>
      </c>
      <c r="E614" s="211">
        <v>-4012</v>
      </c>
      <c r="G614" s="211">
        <f t="shared" si="13"/>
        <v>-4012</v>
      </c>
      <c r="H614" s="211" t="s">
        <v>80</v>
      </c>
      <c r="J614" s="211">
        <f>VLOOKUP(A614,'JULY-TB'!A:G,7,0)</f>
        <v>0</v>
      </c>
    </row>
    <row r="615" spans="1:10">
      <c r="A615" s="211" t="s">
        <v>1181</v>
      </c>
      <c r="B615" s="211">
        <v>0</v>
      </c>
      <c r="C615" s="211">
        <v>0</v>
      </c>
      <c r="D615" s="211">
        <v>0</v>
      </c>
      <c r="E615" s="211">
        <v>0</v>
      </c>
      <c r="G615" s="211">
        <f t="shared" si="13"/>
        <v>0</v>
      </c>
      <c r="H615" s="211" t="s">
        <v>80</v>
      </c>
      <c r="J615" s="211">
        <f>VLOOKUP(A615,'JULY-TB'!A:G,7,0)</f>
        <v>0</v>
      </c>
    </row>
    <row r="616" spans="1:10">
      <c r="A616" s="211" t="s">
        <v>741</v>
      </c>
      <c r="B616" s="211">
        <v>-0.5</v>
      </c>
      <c r="C616" s="211">
        <v>0</v>
      </c>
      <c r="D616" s="211">
        <v>0</v>
      </c>
      <c r="E616" s="211">
        <v>-0.5</v>
      </c>
      <c r="G616" s="211">
        <f t="shared" si="13"/>
        <v>-0.5</v>
      </c>
      <c r="H616" s="211" t="s">
        <v>80</v>
      </c>
      <c r="J616" s="211">
        <f>VLOOKUP(A616,'JULY-TB'!A:G,7,0)</f>
        <v>-0.5</v>
      </c>
    </row>
    <row r="617" spans="1:10">
      <c r="A617" s="211" t="s">
        <v>1182</v>
      </c>
      <c r="B617" s="211">
        <v>0</v>
      </c>
      <c r="C617" s="211">
        <v>0</v>
      </c>
      <c r="D617" s="211">
        <v>0</v>
      </c>
      <c r="E617" s="211">
        <v>0</v>
      </c>
      <c r="G617" s="211">
        <f t="shared" si="13"/>
        <v>0</v>
      </c>
      <c r="H617" s="211" t="s">
        <v>80</v>
      </c>
      <c r="J617" s="211">
        <f>VLOOKUP(A617,'JULY-TB'!A:G,7,0)</f>
        <v>0</v>
      </c>
    </row>
    <row r="618" spans="1:10">
      <c r="A618" s="211" t="s">
        <v>295</v>
      </c>
      <c r="B618" s="211">
        <v>-6440</v>
      </c>
      <c r="C618" s="211">
        <v>6440</v>
      </c>
      <c r="D618" s="211">
        <v>0</v>
      </c>
      <c r="E618" s="211">
        <v>0</v>
      </c>
      <c r="G618" s="211">
        <f t="shared" si="13"/>
        <v>0</v>
      </c>
      <c r="H618" s="211" t="s">
        <v>80</v>
      </c>
      <c r="J618" s="211">
        <f>VLOOKUP(A618,'JULY-TB'!A:G,7,0)</f>
        <v>0</v>
      </c>
    </row>
    <row r="619" spans="1:10">
      <c r="A619" s="211" t="s">
        <v>1183</v>
      </c>
      <c r="B619" s="211">
        <v>0</v>
      </c>
      <c r="C619" s="211">
        <v>0</v>
      </c>
      <c r="D619" s="211">
        <v>0</v>
      </c>
      <c r="E619" s="211">
        <v>0</v>
      </c>
      <c r="G619" s="211">
        <f t="shared" si="13"/>
        <v>0</v>
      </c>
      <c r="H619" s="211" t="s">
        <v>80</v>
      </c>
      <c r="J619" s="211">
        <f>VLOOKUP(A619,'JULY-TB'!A:G,7,0)</f>
        <v>0</v>
      </c>
    </row>
    <row r="620" spans="1:10">
      <c r="A620" s="211" t="s">
        <v>742</v>
      </c>
      <c r="B620" s="211">
        <v>-11769</v>
      </c>
      <c r="C620" s="211">
        <v>11769</v>
      </c>
      <c r="D620" s="211">
        <v>0</v>
      </c>
      <c r="E620" s="211">
        <v>0</v>
      </c>
      <c r="G620" s="211">
        <f t="shared" si="13"/>
        <v>0</v>
      </c>
      <c r="H620" s="211" t="s">
        <v>80</v>
      </c>
      <c r="J620" s="211">
        <f>VLOOKUP(A620,'JULY-TB'!A:G,7,0)</f>
        <v>-11769</v>
      </c>
    </row>
    <row r="621" spans="1:10">
      <c r="A621" s="211" t="s">
        <v>446</v>
      </c>
      <c r="B621" s="211">
        <v>29531.9</v>
      </c>
      <c r="C621" s="211">
        <v>0</v>
      </c>
      <c r="D621" s="211">
        <v>0</v>
      </c>
      <c r="E621" s="211">
        <v>29531.9</v>
      </c>
      <c r="G621" s="211">
        <f t="shared" si="13"/>
        <v>29531.9</v>
      </c>
      <c r="H621" s="211" t="s">
        <v>80</v>
      </c>
      <c r="J621" s="211">
        <f>VLOOKUP(A621,'JULY-TB'!A:G,7,0)</f>
        <v>29531.9</v>
      </c>
    </row>
    <row r="622" spans="1:10">
      <c r="A622" s="211" t="s">
        <v>743</v>
      </c>
      <c r="B622" s="211">
        <v>-95975.8</v>
      </c>
      <c r="C622" s="211">
        <v>210040</v>
      </c>
      <c r="D622" s="211">
        <v>348102</v>
      </c>
      <c r="E622" s="211">
        <v>-234037.8</v>
      </c>
      <c r="G622" s="211">
        <f t="shared" si="13"/>
        <v>-234037.8</v>
      </c>
      <c r="H622" s="211" t="s">
        <v>80</v>
      </c>
      <c r="J622" s="211">
        <f>VLOOKUP(A622,'JULY-TB'!A:G,7,0)</f>
        <v>-188412.79999999999</v>
      </c>
    </row>
    <row r="623" spans="1:10">
      <c r="A623" s="211" t="s">
        <v>293</v>
      </c>
      <c r="B623" s="211">
        <v>-97297.53</v>
      </c>
      <c r="C623" s="211">
        <v>1691322</v>
      </c>
      <c r="D623" s="211">
        <v>1777165.95</v>
      </c>
      <c r="E623" s="211">
        <v>-183141.48</v>
      </c>
      <c r="G623" s="211">
        <f t="shared" si="13"/>
        <v>-183141.48</v>
      </c>
      <c r="H623" s="211" t="s">
        <v>80</v>
      </c>
      <c r="J623" s="211">
        <f>VLOOKUP(A623,'JULY-TB'!A:G,7,0)</f>
        <v>-154299.48000000001</v>
      </c>
    </row>
    <row r="624" spans="1:10">
      <c r="A624" s="211" t="s">
        <v>1184</v>
      </c>
      <c r="B624" s="211">
        <v>0</v>
      </c>
      <c r="C624" s="211">
        <v>0</v>
      </c>
      <c r="D624" s="211">
        <v>0</v>
      </c>
      <c r="E624" s="211">
        <v>0</v>
      </c>
      <c r="G624" s="211">
        <f t="shared" si="13"/>
        <v>0</v>
      </c>
      <c r="H624" s="211" t="s">
        <v>80</v>
      </c>
      <c r="J624" s="211">
        <f>VLOOKUP(A624,'JULY-TB'!A:G,7,0)</f>
        <v>0</v>
      </c>
    </row>
    <row r="625" spans="1:10">
      <c r="A625" s="211" t="s">
        <v>286</v>
      </c>
      <c r="B625" s="211">
        <v>0</v>
      </c>
      <c r="C625" s="211">
        <v>44280</v>
      </c>
      <c r="D625" s="211">
        <v>45780</v>
      </c>
      <c r="E625" s="211">
        <v>-1500</v>
      </c>
      <c r="G625" s="211">
        <f t="shared" si="13"/>
        <v>-1500</v>
      </c>
      <c r="H625" s="211" t="s">
        <v>80</v>
      </c>
      <c r="J625" s="211">
        <f>VLOOKUP(A625,'JULY-TB'!A:G,7,0)</f>
        <v>-1500</v>
      </c>
    </row>
    <row r="626" spans="1:10">
      <c r="A626" s="211" t="s">
        <v>744</v>
      </c>
      <c r="B626" s="211">
        <v>-0.05</v>
      </c>
      <c r="C626" s="211">
        <v>0</v>
      </c>
      <c r="D626" s="211">
        <v>0</v>
      </c>
      <c r="E626" s="211">
        <v>-0.05</v>
      </c>
      <c r="G626" s="211">
        <f t="shared" si="13"/>
        <v>-0.05</v>
      </c>
      <c r="H626" s="211" t="s">
        <v>80</v>
      </c>
      <c r="J626" s="211">
        <f>VLOOKUP(A626,'JULY-TB'!A:G,7,0)</f>
        <v>-0.05</v>
      </c>
    </row>
    <row r="627" spans="1:10">
      <c r="A627" s="211" t="s">
        <v>1452</v>
      </c>
      <c r="B627" s="211">
        <v>0</v>
      </c>
      <c r="C627" s="211">
        <v>9924</v>
      </c>
      <c r="D627" s="211">
        <v>9924</v>
      </c>
      <c r="E627" s="211">
        <v>0</v>
      </c>
      <c r="G627" s="211">
        <f t="shared" si="13"/>
        <v>0</v>
      </c>
      <c r="H627" s="211" t="s">
        <v>80</v>
      </c>
      <c r="J627" s="211">
        <f>VLOOKUP(A627,'JULY-TB'!A:G,7,0)</f>
        <v>-9924</v>
      </c>
    </row>
    <row r="628" spans="1:10">
      <c r="A628" s="211" t="s">
        <v>1185</v>
      </c>
      <c r="B628" s="211">
        <v>0</v>
      </c>
      <c r="C628" s="211">
        <v>0</v>
      </c>
      <c r="D628" s="211">
        <v>0</v>
      </c>
      <c r="E628" s="211">
        <v>0</v>
      </c>
      <c r="G628" s="211">
        <f t="shared" si="13"/>
        <v>0</v>
      </c>
      <c r="H628" s="211" t="s">
        <v>80</v>
      </c>
      <c r="J628" s="211">
        <f>VLOOKUP(A628,'JULY-TB'!A:G,7,0)</f>
        <v>0</v>
      </c>
    </row>
    <row r="629" spans="1:10">
      <c r="A629" s="211" t="s">
        <v>1186</v>
      </c>
      <c r="B629" s="211">
        <v>0</v>
      </c>
      <c r="C629" s="211">
        <v>0</v>
      </c>
      <c r="D629" s="211">
        <v>10544</v>
      </c>
      <c r="E629" s="211">
        <v>-10544</v>
      </c>
      <c r="G629" s="211">
        <f t="shared" si="13"/>
        <v>-10544</v>
      </c>
      <c r="H629" s="211" t="s">
        <v>80</v>
      </c>
      <c r="J629" s="211">
        <f>VLOOKUP(A629,'JULY-TB'!A:G,7,0)</f>
        <v>-10544</v>
      </c>
    </row>
    <row r="630" spans="1:10">
      <c r="A630" s="211" t="s">
        <v>1187</v>
      </c>
      <c r="B630" s="211">
        <v>0</v>
      </c>
      <c r="C630" s="211">
        <v>1048815</v>
      </c>
      <c r="D630" s="211">
        <v>1095779</v>
      </c>
      <c r="E630" s="211">
        <v>-46964</v>
      </c>
      <c r="G630" s="211">
        <f t="shared" si="13"/>
        <v>-46964</v>
      </c>
      <c r="H630" s="211" t="s">
        <v>80</v>
      </c>
      <c r="J630" s="211">
        <f>VLOOKUP(A630,'JULY-TB'!A:G,7,0)</f>
        <v>-248358</v>
      </c>
    </row>
    <row r="631" spans="1:10">
      <c r="A631" s="211" t="s">
        <v>287</v>
      </c>
      <c r="B631" s="211">
        <v>0.36</v>
      </c>
      <c r="C631" s="211">
        <v>0</v>
      </c>
      <c r="D631" s="211">
        <v>0</v>
      </c>
      <c r="E631" s="211">
        <v>0.36</v>
      </c>
      <c r="G631" s="211">
        <f t="shared" si="13"/>
        <v>0.36</v>
      </c>
      <c r="H631" s="211" t="s">
        <v>80</v>
      </c>
      <c r="J631" s="211">
        <f>VLOOKUP(A631,'JULY-TB'!A:G,7,0)</f>
        <v>0.36</v>
      </c>
    </row>
    <row r="632" spans="1:10">
      <c r="A632" s="211" t="s">
        <v>288</v>
      </c>
      <c r="B632" s="211">
        <v>-55980.07</v>
      </c>
      <c r="C632" s="211">
        <v>162152.51</v>
      </c>
      <c r="D632" s="211">
        <v>172724</v>
      </c>
      <c r="E632" s="211">
        <v>-66551.56</v>
      </c>
      <c r="G632" s="211">
        <f t="shared" si="13"/>
        <v>-66551.56</v>
      </c>
      <c r="H632" s="211" t="s">
        <v>80</v>
      </c>
      <c r="J632" s="211">
        <f>VLOOKUP(A632,'JULY-TB'!A:G,7,0)</f>
        <v>-7142.56</v>
      </c>
    </row>
    <row r="633" spans="1:10">
      <c r="A633" s="211" t="s">
        <v>1188</v>
      </c>
      <c r="B633" s="211">
        <v>0</v>
      </c>
      <c r="C633" s="211">
        <v>0</v>
      </c>
      <c r="D633" s="211">
        <v>0</v>
      </c>
      <c r="E633" s="211">
        <v>0</v>
      </c>
      <c r="G633" s="211">
        <f t="shared" si="13"/>
        <v>0</v>
      </c>
      <c r="H633" s="211" t="s">
        <v>80</v>
      </c>
      <c r="J633" s="211">
        <f>VLOOKUP(A633,'JULY-TB'!A:G,7,0)</f>
        <v>0</v>
      </c>
    </row>
    <row r="634" spans="1:10">
      <c r="A634" s="211" t="s">
        <v>290</v>
      </c>
      <c r="B634" s="211">
        <v>-67376.240000000005</v>
      </c>
      <c r="C634" s="211">
        <v>67376.240000000005</v>
      </c>
      <c r="D634" s="211">
        <v>0</v>
      </c>
      <c r="E634" s="211">
        <v>0</v>
      </c>
      <c r="G634" s="211">
        <f t="shared" si="13"/>
        <v>0</v>
      </c>
      <c r="H634" s="211" t="s">
        <v>80</v>
      </c>
      <c r="J634" s="211">
        <f>VLOOKUP(A634,'JULY-TB'!A:G,7,0)</f>
        <v>0</v>
      </c>
    </row>
    <row r="635" spans="1:10">
      <c r="A635" s="211" t="s">
        <v>284</v>
      </c>
      <c r="B635" s="211">
        <v>0.2</v>
      </c>
      <c r="C635" s="211">
        <v>0</v>
      </c>
      <c r="D635" s="211">
        <v>0</v>
      </c>
      <c r="E635" s="211">
        <v>0.2</v>
      </c>
      <c r="G635" s="211">
        <f t="shared" si="13"/>
        <v>0.2</v>
      </c>
      <c r="H635" s="211" t="s">
        <v>80</v>
      </c>
      <c r="J635" s="211">
        <f>VLOOKUP(A635,'JULY-TB'!A:G,7,0)</f>
        <v>0.2</v>
      </c>
    </row>
    <row r="636" spans="1:10">
      <c r="A636" s="211" t="s">
        <v>745</v>
      </c>
      <c r="B636" s="211">
        <v>-16520</v>
      </c>
      <c r="C636" s="211">
        <v>0</v>
      </c>
      <c r="D636" s="211">
        <v>0</v>
      </c>
      <c r="E636" s="211">
        <v>-16520</v>
      </c>
      <c r="G636" s="211">
        <f t="shared" si="13"/>
        <v>-16520</v>
      </c>
      <c r="H636" s="211" t="s">
        <v>80</v>
      </c>
      <c r="J636" s="211">
        <f>VLOOKUP(A636,'JULY-TB'!A:G,7,0)</f>
        <v>-16520</v>
      </c>
    </row>
    <row r="637" spans="1:10">
      <c r="A637" s="211" t="s">
        <v>1189</v>
      </c>
      <c r="B637" s="211">
        <v>0</v>
      </c>
      <c r="C637" s="211">
        <v>10997.6</v>
      </c>
      <c r="D637" s="211">
        <v>10997</v>
      </c>
      <c r="E637" s="211">
        <v>0.6</v>
      </c>
      <c r="G637" s="211">
        <f t="shared" si="13"/>
        <v>0.6</v>
      </c>
      <c r="H637" s="211" t="s">
        <v>80</v>
      </c>
      <c r="J637" s="211">
        <f>VLOOKUP(A637,'JULY-TB'!A:G,7,0)</f>
        <v>0.6</v>
      </c>
    </row>
    <row r="638" spans="1:10">
      <c r="A638" s="211" t="s">
        <v>1567</v>
      </c>
      <c r="B638" s="211">
        <v>0</v>
      </c>
      <c r="C638" s="211">
        <v>0</v>
      </c>
      <c r="D638" s="211">
        <v>84541</v>
      </c>
      <c r="E638" s="211">
        <v>-84541</v>
      </c>
      <c r="G638" s="211">
        <f t="shared" si="13"/>
        <v>-84541</v>
      </c>
      <c r="H638" s="211" t="s">
        <v>80</v>
      </c>
      <c r="J638" s="211">
        <f>VLOOKUP(A638,'JULY-TB'!A:G,7,0)</f>
        <v>-84541</v>
      </c>
    </row>
    <row r="639" spans="1:10">
      <c r="A639" s="211" t="s">
        <v>746</v>
      </c>
      <c r="B639" s="211">
        <v>-97707</v>
      </c>
      <c r="C639" s="211">
        <v>152101</v>
      </c>
      <c r="D639" s="211">
        <v>61196</v>
      </c>
      <c r="E639" s="211">
        <v>-6802</v>
      </c>
      <c r="G639" s="211">
        <f t="shared" si="13"/>
        <v>-6802</v>
      </c>
      <c r="H639" s="211" t="s">
        <v>80</v>
      </c>
      <c r="J639" s="211">
        <f>VLOOKUP(A639,'JULY-TB'!A:G,7,0)</f>
        <v>-14327</v>
      </c>
    </row>
    <row r="640" spans="1:10">
      <c r="A640" s="211" t="s">
        <v>281</v>
      </c>
      <c r="B640" s="211">
        <v>-63981.1</v>
      </c>
      <c r="C640" s="211">
        <v>213552</v>
      </c>
      <c r="D640" s="211">
        <v>178425</v>
      </c>
      <c r="E640" s="211">
        <v>-28854.1</v>
      </c>
      <c r="G640" s="211">
        <f t="shared" si="13"/>
        <v>-28854.1</v>
      </c>
      <c r="H640" s="211" t="s">
        <v>80</v>
      </c>
      <c r="J640" s="211">
        <f>VLOOKUP(A640,'JULY-TB'!A:G,7,0)</f>
        <v>-0.1</v>
      </c>
    </row>
    <row r="641" spans="1:10">
      <c r="A641" s="211" t="s">
        <v>278</v>
      </c>
      <c r="B641" s="211">
        <v>-427455</v>
      </c>
      <c r="C641" s="211">
        <v>514504</v>
      </c>
      <c r="D641" s="211">
        <v>87049</v>
      </c>
      <c r="E641" s="211">
        <v>0</v>
      </c>
      <c r="G641" s="211">
        <f t="shared" si="13"/>
        <v>0</v>
      </c>
      <c r="H641" s="211" t="s">
        <v>80</v>
      </c>
      <c r="J641" s="211">
        <f>VLOOKUP(A641,'JULY-TB'!A:G,7,0)</f>
        <v>0</v>
      </c>
    </row>
    <row r="642" spans="1:10">
      <c r="A642" s="211" t="s">
        <v>274</v>
      </c>
      <c r="B642" s="211">
        <v>-99775.5</v>
      </c>
      <c r="C642" s="211">
        <v>107802.5</v>
      </c>
      <c r="D642" s="211">
        <v>38154</v>
      </c>
      <c r="E642" s="211">
        <v>-30127</v>
      </c>
      <c r="G642" s="211">
        <f t="shared" si="13"/>
        <v>-30127</v>
      </c>
      <c r="H642" s="211" t="s">
        <v>80</v>
      </c>
      <c r="J642" s="211">
        <f>VLOOKUP(A642,'JULY-TB'!A:G,7,0)</f>
        <v>-35042</v>
      </c>
    </row>
    <row r="643" spans="1:10">
      <c r="A643" s="211" t="s">
        <v>280</v>
      </c>
      <c r="B643" s="211">
        <v>-6136</v>
      </c>
      <c r="C643" s="211">
        <v>30302</v>
      </c>
      <c r="D643" s="211">
        <v>46951</v>
      </c>
      <c r="E643" s="211">
        <v>-22785</v>
      </c>
      <c r="G643" s="211">
        <f t="shared" si="13"/>
        <v>-22785</v>
      </c>
      <c r="H643" s="211" t="s">
        <v>80</v>
      </c>
      <c r="J643" s="211">
        <f>VLOOKUP(A643,'JULY-TB'!A:G,7,0)</f>
        <v>-41606</v>
      </c>
    </row>
    <row r="644" spans="1:10">
      <c r="A644" s="211" t="s">
        <v>1453</v>
      </c>
      <c r="B644" s="211">
        <v>0</v>
      </c>
      <c r="C644" s="211">
        <v>5791</v>
      </c>
      <c r="D644" s="211">
        <v>8132</v>
      </c>
      <c r="E644" s="211">
        <v>-2341</v>
      </c>
      <c r="G644" s="211">
        <f t="shared" ref="G644:G707" si="14">E644+F644</f>
        <v>-2341</v>
      </c>
      <c r="H644" s="211" t="s">
        <v>80</v>
      </c>
      <c r="J644" s="211">
        <f>VLOOKUP(A644,'JULY-TB'!A:G,7,0)</f>
        <v>0</v>
      </c>
    </row>
    <row r="645" spans="1:10">
      <c r="A645" s="211" t="s">
        <v>1568</v>
      </c>
      <c r="B645" s="211">
        <v>0</v>
      </c>
      <c r="C645" s="211">
        <v>0</v>
      </c>
      <c r="D645" s="211">
        <v>28320</v>
      </c>
      <c r="E645" s="211">
        <v>-28320</v>
      </c>
      <c r="G645" s="211">
        <f t="shared" si="14"/>
        <v>-28320</v>
      </c>
      <c r="H645" s="211" t="s">
        <v>80</v>
      </c>
      <c r="J645" s="211">
        <f>VLOOKUP(A645,'JULY-TB'!A:G,7,0)</f>
        <v>-28320</v>
      </c>
    </row>
    <row r="646" spans="1:10">
      <c r="A646" s="211" t="s">
        <v>454</v>
      </c>
      <c r="B646" s="211">
        <v>257505.5</v>
      </c>
      <c r="C646" s="211">
        <v>0</v>
      </c>
      <c r="D646" s="211">
        <v>335120</v>
      </c>
      <c r="E646" s="211">
        <v>-77614.5</v>
      </c>
      <c r="G646" s="211">
        <f t="shared" si="14"/>
        <v>-77614.5</v>
      </c>
      <c r="H646" s="211" t="s">
        <v>80</v>
      </c>
      <c r="J646" s="211">
        <f>VLOOKUP(A646,'JULY-TB'!A:G,7,0)</f>
        <v>-77614.5</v>
      </c>
    </row>
    <row r="647" spans="1:10">
      <c r="A647" s="211" t="s">
        <v>271</v>
      </c>
      <c r="B647" s="211">
        <v>-29832.6</v>
      </c>
      <c r="C647" s="211">
        <v>1416</v>
      </c>
      <c r="D647" s="211">
        <v>1416</v>
      </c>
      <c r="E647" s="211">
        <v>-29832.6</v>
      </c>
      <c r="G647" s="211">
        <f t="shared" si="14"/>
        <v>-29832.6</v>
      </c>
      <c r="H647" s="211" t="s">
        <v>80</v>
      </c>
      <c r="J647" s="211">
        <f>VLOOKUP(A647,'JULY-TB'!A:G,7,0)</f>
        <v>-29832.6</v>
      </c>
    </row>
    <row r="648" spans="1:10">
      <c r="A648" s="211" t="s">
        <v>1191</v>
      </c>
      <c r="B648" s="211">
        <v>0</v>
      </c>
      <c r="C648" s="211">
        <v>0</v>
      </c>
      <c r="D648" s="211">
        <v>0</v>
      </c>
      <c r="E648" s="211">
        <v>0</v>
      </c>
      <c r="G648" s="211">
        <f t="shared" si="14"/>
        <v>0</v>
      </c>
      <c r="H648" s="211" t="s">
        <v>80</v>
      </c>
      <c r="J648" s="211">
        <f>VLOOKUP(A648,'JULY-TB'!A:G,7,0)</f>
        <v>0</v>
      </c>
    </row>
    <row r="649" spans="1:10">
      <c r="A649" s="211" t="s">
        <v>747</v>
      </c>
      <c r="B649" s="211">
        <v>-449535.74</v>
      </c>
      <c r="C649" s="211">
        <v>2059706</v>
      </c>
      <c r="D649" s="211">
        <v>2761645.63</v>
      </c>
      <c r="E649" s="211">
        <v>-1151475.3700000001</v>
      </c>
      <c r="G649" s="211">
        <f t="shared" si="14"/>
        <v>-1151475.3700000001</v>
      </c>
      <c r="H649" s="211" t="s">
        <v>80</v>
      </c>
      <c r="J649" s="211">
        <f>VLOOKUP(A649,'JULY-TB'!A:G,7,0)</f>
        <v>-495865.74</v>
      </c>
    </row>
    <row r="650" spans="1:10">
      <c r="A650" s="211" t="s">
        <v>748</v>
      </c>
      <c r="B650" s="211">
        <v>-20650.5</v>
      </c>
      <c r="C650" s="211">
        <v>41300</v>
      </c>
      <c r="D650" s="211">
        <v>37170</v>
      </c>
      <c r="E650" s="211">
        <v>-16520.5</v>
      </c>
      <c r="G650" s="211">
        <f t="shared" si="14"/>
        <v>-16520.5</v>
      </c>
      <c r="H650" s="211" t="s">
        <v>80</v>
      </c>
      <c r="J650" s="211">
        <f>VLOOKUP(A650,'JULY-TB'!A:G,7,0)</f>
        <v>-0.5</v>
      </c>
    </row>
    <row r="651" spans="1:10">
      <c r="A651" s="211" t="s">
        <v>1454</v>
      </c>
      <c r="B651" s="211">
        <v>0</v>
      </c>
      <c r="C651" s="211">
        <v>14496</v>
      </c>
      <c r="D651" s="211">
        <v>0</v>
      </c>
      <c r="E651" s="211">
        <v>14496</v>
      </c>
      <c r="G651" s="211">
        <f t="shared" si="14"/>
        <v>14496</v>
      </c>
      <c r="H651" s="211" t="s">
        <v>80</v>
      </c>
      <c r="J651" s="211">
        <f>VLOOKUP(A651,'JULY-TB'!A:G,7,0)</f>
        <v>14496</v>
      </c>
    </row>
    <row r="652" spans="1:10">
      <c r="A652" s="211" t="s">
        <v>1629</v>
      </c>
      <c r="B652" s="211">
        <v>0</v>
      </c>
      <c r="C652" s="211">
        <v>8260</v>
      </c>
      <c r="D652" s="211">
        <v>0</v>
      </c>
      <c r="E652" s="211">
        <v>8260</v>
      </c>
      <c r="G652" s="211">
        <f t="shared" si="14"/>
        <v>8260</v>
      </c>
      <c r="H652" s="211" t="s">
        <v>80</v>
      </c>
      <c r="J652" s="211" t="e">
        <f>VLOOKUP(A652,'JULY-TB'!A:G,7,0)</f>
        <v>#N/A</v>
      </c>
    </row>
    <row r="653" spans="1:10">
      <c r="A653" s="211" t="s">
        <v>749</v>
      </c>
      <c r="B653" s="211">
        <v>-23187</v>
      </c>
      <c r="C653" s="211">
        <v>23187</v>
      </c>
      <c r="D653" s="211">
        <v>6726</v>
      </c>
      <c r="E653" s="211">
        <v>-6726</v>
      </c>
      <c r="G653" s="211">
        <f t="shared" si="14"/>
        <v>-6726</v>
      </c>
      <c r="H653" s="211" t="s">
        <v>80</v>
      </c>
      <c r="J653" s="211">
        <f>VLOOKUP(A653,'JULY-TB'!A:G,7,0)</f>
        <v>0</v>
      </c>
    </row>
    <row r="654" spans="1:10">
      <c r="A654" s="211" t="s">
        <v>1455</v>
      </c>
      <c r="B654" s="211">
        <v>0</v>
      </c>
      <c r="C654" s="211">
        <v>17700</v>
      </c>
      <c r="D654" s="211">
        <v>17700</v>
      </c>
      <c r="E654" s="211">
        <v>0</v>
      </c>
      <c r="G654" s="211">
        <f t="shared" si="14"/>
        <v>0</v>
      </c>
      <c r="H654" s="211" t="s">
        <v>80</v>
      </c>
      <c r="J654" s="211">
        <f>VLOOKUP(A654,'JULY-TB'!A:G,7,0)</f>
        <v>0</v>
      </c>
    </row>
    <row r="655" spans="1:10">
      <c r="A655" s="211" t="s">
        <v>750</v>
      </c>
      <c r="B655" s="211">
        <v>-851</v>
      </c>
      <c r="C655" s="211">
        <v>0</v>
      </c>
      <c r="D655" s="211">
        <v>0</v>
      </c>
      <c r="E655" s="211">
        <v>-851</v>
      </c>
      <c r="G655" s="211">
        <f t="shared" si="14"/>
        <v>-851</v>
      </c>
      <c r="H655" s="211" t="s">
        <v>80</v>
      </c>
      <c r="J655" s="211">
        <f>VLOOKUP(A655,'JULY-TB'!A:G,7,0)</f>
        <v>-851</v>
      </c>
    </row>
    <row r="656" spans="1:10">
      <c r="A656" s="211" t="s">
        <v>751</v>
      </c>
      <c r="B656" s="211">
        <v>-46728</v>
      </c>
      <c r="C656" s="211">
        <v>206895</v>
      </c>
      <c r="D656" s="211">
        <v>312788</v>
      </c>
      <c r="E656" s="211">
        <v>-152621</v>
      </c>
      <c r="G656" s="211">
        <f t="shared" si="14"/>
        <v>-152621</v>
      </c>
      <c r="H656" s="211" t="s">
        <v>80</v>
      </c>
      <c r="J656" s="211">
        <f>VLOOKUP(A656,'JULY-TB'!A:G,7,0)</f>
        <v>-100123</v>
      </c>
    </row>
    <row r="657" spans="1:10">
      <c r="A657" s="211" t="s">
        <v>752</v>
      </c>
      <c r="B657" s="211">
        <v>-12095</v>
      </c>
      <c r="C657" s="211">
        <v>0</v>
      </c>
      <c r="D657" s="211">
        <v>0</v>
      </c>
      <c r="E657" s="211">
        <v>-12095</v>
      </c>
      <c r="G657" s="211">
        <f t="shared" si="14"/>
        <v>-12095</v>
      </c>
      <c r="H657" s="211" t="s">
        <v>80</v>
      </c>
      <c r="J657" s="211">
        <f>VLOOKUP(A657,'JULY-TB'!A:G,7,0)</f>
        <v>-12095</v>
      </c>
    </row>
    <row r="658" spans="1:10">
      <c r="A658" s="211" t="s">
        <v>753</v>
      </c>
      <c r="B658" s="211">
        <v>-1872</v>
      </c>
      <c r="C658" s="211">
        <v>10207</v>
      </c>
      <c r="D658" s="211">
        <v>10207</v>
      </c>
      <c r="E658" s="211">
        <v>-1872</v>
      </c>
      <c r="G658" s="211">
        <f t="shared" si="14"/>
        <v>-1872</v>
      </c>
      <c r="H658" s="211" t="s">
        <v>80</v>
      </c>
      <c r="J658" s="211">
        <f>VLOOKUP(A658,'JULY-TB'!A:G,7,0)</f>
        <v>-1872</v>
      </c>
    </row>
    <row r="659" spans="1:10">
      <c r="A659" s="211" t="s">
        <v>1456</v>
      </c>
      <c r="B659" s="211">
        <v>0</v>
      </c>
      <c r="C659" s="211">
        <v>113757</v>
      </c>
      <c r="D659" s="211">
        <v>113757</v>
      </c>
      <c r="E659" s="211">
        <v>0</v>
      </c>
      <c r="G659" s="211">
        <f t="shared" si="14"/>
        <v>0</v>
      </c>
      <c r="H659" s="211" t="s">
        <v>80</v>
      </c>
      <c r="J659" s="211">
        <f>VLOOKUP(A659,'JULY-TB'!A:G,7,0)</f>
        <v>0</v>
      </c>
    </row>
    <row r="660" spans="1:10">
      <c r="A660" s="211" t="s">
        <v>1630</v>
      </c>
      <c r="B660" s="211">
        <v>0</v>
      </c>
      <c r="C660" s="211">
        <v>113280</v>
      </c>
      <c r="D660" s="211">
        <v>0</v>
      </c>
      <c r="E660" s="211">
        <v>113280</v>
      </c>
      <c r="G660" s="211">
        <f t="shared" si="14"/>
        <v>113280</v>
      </c>
      <c r="H660" s="211" t="s">
        <v>80</v>
      </c>
      <c r="J660" s="211" t="e">
        <f>VLOOKUP(A660,'JULY-TB'!A:G,7,0)</f>
        <v>#N/A</v>
      </c>
    </row>
    <row r="661" spans="1:10">
      <c r="A661" s="211" t="s">
        <v>455</v>
      </c>
      <c r="B661" s="211">
        <v>0</v>
      </c>
      <c r="C661" s="211">
        <v>28586</v>
      </c>
      <c r="D661" s="211">
        <v>54222</v>
      </c>
      <c r="E661" s="211">
        <v>-25636</v>
      </c>
      <c r="G661" s="211">
        <f t="shared" si="14"/>
        <v>-25636</v>
      </c>
      <c r="H661" s="211" t="s">
        <v>80</v>
      </c>
      <c r="J661" s="211">
        <f>VLOOKUP(A661,'JULY-TB'!A:G,7,0)</f>
        <v>0</v>
      </c>
    </row>
    <row r="662" spans="1:10">
      <c r="A662" s="211" t="s">
        <v>265</v>
      </c>
      <c r="B662" s="211">
        <v>0</v>
      </c>
      <c r="C662" s="211">
        <v>1412138.37</v>
      </c>
      <c r="D662" s="211">
        <v>1412138.37</v>
      </c>
      <c r="E662" s="211">
        <v>0</v>
      </c>
      <c r="G662" s="211">
        <f t="shared" si="14"/>
        <v>0</v>
      </c>
      <c r="H662" s="211" t="s">
        <v>80</v>
      </c>
      <c r="J662" s="211">
        <f>VLOOKUP(A662,'JULY-TB'!A:G,7,0)</f>
        <v>-4189.5</v>
      </c>
    </row>
    <row r="663" spans="1:10">
      <c r="A663" s="211" t="s">
        <v>1569</v>
      </c>
      <c r="B663" s="211">
        <v>0</v>
      </c>
      <c r="C663" s="211">
        <v>43247</v>
      </c>
      <c r="D663" s="211">
        <v>43247</v>
      </c>
      <c r="E663" s="211">
        <v>0</v>
      </c>
      <c r="G663" s="211">
        <f t="shared" si="14"/>
        <v>0</v>
      </c>
      <c r="H663" s="211" t="s">
        <v>80</v>
      </c>
      <c r="J663" s="211">
        <f>VLOOKUP(A663,'JULY-TB'!A:G,7,0)</f>
        <v>0</v>
      </c>
    </row>
    <row r="664" spans="1:10">
      <c r="A664" s="211" t="s">
        <v>754</v>
      </c>
      <c r="B664" s="211">
        <v>-2006</v>
      </c>
      <c r="C664" s="211">
        <v>2006</v>
      </c>
      <c r="D664" s="211">
        <v>0</v>
      </c>
      <c r="E664" s="211">
        <v>0</v>
      </c>
      <c r="G664" s="211">
        <f t="shared" si="14"/>
        <v>0</v>
      </c>
      <c r="H664" s="211" t="s">
        <v>80</v>
      </c>
      <c r="J664" s="211">
        <f>VLOOKUP(A664,'JULY-TB'!A:G,7,0)</f>
        <v>0</v>
      </c>
    </row>
    <row r="665" spans="1:10">
      <c r="A665" s="211" t="s">
        <v>527</v>
      </c>
      <c r="B665" s="211">
        <v>-55322.5</v>
      </c>
      <c r="C665" s="211">
        <v>96416.5</v>
      </c>
      <c r="D665" s="211">
        <v>71774</v>
      </c>
      <c r="E665" s="211">
        <v>-30680</v>
      </c>
      <c r="G665" s="211">
        <f t="shared" si="14"/>
        <v>-30680</v>
      </c>
      <c r="H665" s="211" t="s">
        <v>80</v>
      </c>
      <c r="J665" s="211">
        <f>VLOOKUP(A665,'JULY-TB'!A:G,7,0)</f>
        <v>-41094</v>
      </c>
    </row>
    <row r="666" spans="1:10">
      <c r="A666" s="211" t="s">
        <v>1631</v>
      </c>
      <c r="B666" s="211">
        <v>0</v>
      </c>
      <c r="C666" s="211">
        <v>44840</v>
      </c>
      <c r="D666" s="211">
        <v>44840</v>
      </c>
      <c r="E666" s="211">
        <v>0</v>
      </c>
      <c r="G666" s="211">
        <f t="shared" si="14"/>
        <v>0</v>
      </c>
      <c r="H666" s="211" t="s">
        <v>80</v>
      </c>
      <c r="J666" s="211" t="e">
        <f>VLOOKUP(A666,'JULY-TB'!A:G,7,0)</f>
        <v>#N/A</v>
      </c>
    </row>
    <row r="667" spans="1:10">
      <c r="A667" s="211" t="s">
        <v>1192</v>
      </c>
      <c r="B667" s="211">
        <v>0</v>
      </c>
      <c r="C667" s="211">
        <v>0</v>
      </c>
      <c r="D667" s="211">
        <v>0</v>
      </c>
      <c r="E667" s="211">
        <v>0</v>
      </c>
      <c r="G667" s="211">
        <f t="shared" si="14"/>
        <v>0</v>
      </c>
      <c r="H667" s="211" t="s">
        <v>80</v>
      </c>
      <c r="J667" s="211">
        <f>VLOOKUP(A667,'JULY-TB'!A:G,7,0)</f>
        <v>0</v>
      </c>
    </row>
    <row r="668" spans="1:10">
      <c r="A668" s="211" t="s">
        <v>388</v>
      </c>
      <c r="B668" s="211">
        <v>-122909</v>
      </c>
      <c r="C668" s="211">
        <v>122909</v>
      </c>
      <c r="D668" s="211">
        <v>68039</v>
      </c>
      <c r="E668" s="211">
        <v>-68039</v>
      </c>
      <c r="G668" s="211">
        <f t="shared" si="14"/>
        <v>-68039</v>
      </c>
      <c r="H668" s="211" t="s">
        <v>80</v>
      </c>
      <c r="J668" s="211">
        <f>VLOOKUP(A668,'JULY-TB'!A:G,7,0)</f>
        <v>0</v>
      </c>
    </row>
    <row r="669" spans="1:10">
      <c r="A669" s="211" t="s">
        <v>263</v>
      </c>
      <c r="B669" s="211">
        <v>-33816</v>
      </c>
      <c r="C669" s="211">
        <v>30335</v>
      </c>
      <c r="D669" s="211">
        <v>51532</v>
      </c>
      <c r="E669" s="211">
        <v>-55013</v>
      </c>
      <c r="G669" s="211">
        <f t="shared" si="14"/>
        <v>-55013</v>
      </c>
      <c r="H669" s="211" t="s">
        <v>80</v>
      </c>
      <c r="J669" s="211">
        <f>VLOOKUP(A669,'JULY-TB'!A:G,7,0)</f>
        <v>-55013</v>
      </c>
    </row>
    <row r="670" spans="1:10">
      <c r="A670" s="211" t="s">
        <v>403</v>
      </c>
      <c r="B670" s="211">
        <v>-11800</v>
      </c>
      <c r="C670" s="211">
        <v>11800</v>
      </c>
      <c r="D670" s="211">
        <v>0</v>
      </c>
      <c r="E670" s="211">
        <v>0</v>
      </c>
      <c r="G670" s="211">
        <f t="shared" si="14"/>
        <v>0</v>
      </c>
      <c r="H670" s="211" t="s">
        <v>80</v>
      </c>
      <c r="J670" s="211">
        <f>VLOOKUP(A670,'JULY-TB'!A:G,7,0)</f>
        <v>0</v>
      </c>
    </row>
    <row r="671" spans="1:10">
      <c r="A671" s="211" t="s">
        <v>1193</v>
      </c>
      <c r="B671" s="211">
        <v>0</v>
      </c>
      <c r="C671" s="211">
        <v>0</v>
      </c>
      <c r="D671" s="211">
        <v>0</v>
      </c>
      <c r="E671" s="211">
        <v>0</v>
      </c>
      <c r="G671" s="211">
        <f t="shared" si="14"/>
        <v>0</v>
      </c>
      <c r="H671" s="211" t="s">
        <v>80</v>
      </c>
      <c r="J671" s="211">
        <f>VLOOKUP(A671,'JULY-TB'!A:G,7,0)</f>
        <v>0</v>
      </c>
    </row>
    <row r="672" spans="1:10">
      <c r="A672" s="211" t="s">
        <v>1194</v>
      </c>
      <c r="B672" s="211">
        <v>0</v>
      </c>
      <c r="C672" s="211">
        <v>0</v>
      </c>
      <c r="D672" s="211">
        <v>0</v>
      </c>
      <c r="E672" s="211">
        <v>0</v>
      </c>
      <c r="G672" s="211">
        <f t="shared" si="14"/>
        <v>0</v>
      </c>
      <c r="H672" s="211" t="s">
        <v>80</v>
      </c>
      <c r="J672" s="211">
        <f>VLOOKUP(A672,'JULY-TB'!A:G,7,0)</f>
        <v>0</v>
      </c>
    </row>
    <row r="673" spans="1:10">
      <c r="A673" s="211" t="s">
        <v>262</v>
      </c>
      <c r="B673" s="211">
        <v>-16862</v>
      </c>
      <c r="C673" s="211">
        <v>21181</v>
      </c>
      <c r="D673" s="211">
        <v>47702</v>
      </c>
      <c r="E673" s="211">
        <v>-43383</v>
      </c>
      <c r="G673" s="211">
        <f t="shared" si="14"/>
        <v>-43383</v>
      </c>
      <c r="H673" s="211" t="s">
        <v>80</v>
      </c>
      <c r="J673" s="211">
        <f>VLOOKUP(A673,'JULY-TB'!A:G,7,0)</f>
        <v>-21936</v>
      </c>
    </row>
    <row r="674" spans="1:10">
      <c r="A674" s="211" t="s">
        <v>1570</v>
      </c>
      <c r="B674" s="211">
        <v>0</v>
      </c>
      <c r="C674" s="211">
        <v>37524</v>
      </c>
      <c r="D674" s="211">
        <v>37524</v>
      </c>
      <c r="E674" s="211">
        <v>0</v>
      </c>
      <c r="G674" s="211">
        <f t="shared" si="14"/>
        <v>0</v>
      </c>
      <c r="H674" s="211" t="s">
        <v>80</v>
      </c>
      <c r="J674" s="211">
        <f>VLOOKUP(A674,'JULY-TB'!A:G,7,0)</f>
        <v>0</v>
      </c>
    </row>
    <row r="675" spans="1:10">
      <c r="A675" s="211" t="s">
        <v>452</v>
      </c>
      <c r="B675" s="211">
        <v>10968.82</v>
      </c>
      <c r="C675" s="211">
        <v>0</v>
      </c>
      <c r="D675" s="211">
        <v>11292.26</v>
      </c>
      <c r="E675" s="211">
        <v>-323.44</v>
      </c>
      <c r="G675" s="211">
        <f t="shared" si="14"/>
        <v>-323.44</v>
      </c>
      <c r="H675" s="211" t="s">
        <v>80</v>
      </c>
      <c r="J675" s="211">
        <f>VLOOKUP(A675,'JULY-TB'!A:G,7,0)</f>
        <v>-323.44</v>
      </c>
    </row>
    <row r="676" spans="1:10">
      <c r="A676" s="211" t="s">
        <v>259</v>
      </c>
      <c r="B676" s="211">
        <v>-1180</v>
      </c>
      <c r="C676" s="211">
        <v>59767</v>
      </c>
      <c r="D676" s="211">
        <v>61891</v>
      </c>
      <c r="E676" s="211">
        <v>-3304</v>
      </c>
      <c r="G676" s="211">
        <f t="shared" si="14"/>
        <v>-3304</v>
      </c>
      <c r="H676" s="211" t="s">
        <v>80</v>
      </c>
      <c r="J676" s="211">
        <f>VLOOKUP(A676,'JULY-TB'!A:G,7,0)</f>
        <v>-30503</v>
      </c>
    </row>
    <row r="677" spans="1:10">
      <c r="A677" s="211" t="s">
        <v>755</v>
      </c>
      <c r="B677" s="211">
        <v>-50551</v>
      </c>
      <c r="C677" s="211">
        <v>50551</v>
      </c>
      <c r="D677" s="211">
        <v>0</v>
      </c>
      <c r="E677" s="211">
        <v>0</v>
      </c>
      <c r="G677" s="211">
        <f t="shared" si="14"/>
        <v>0</v>
      </c>
      <c r="H677" s="211" t="s">
        <v>80</v>
      </c>
      <c r="J677" s="211">
        <f>VLOOKUP(A677,'JULY-TB'!A:G,7,0)</f>
        <v>0</v>
      </c>
    </row>
    <row r="678" spans="1:10">
      <c r="A678" s="211" t="s">
        <v>756</v>
      </c>
      <c r="B678" s="211">
        <v>0</v>
      </c>
      <c r="C678" s="211">
        <v>146697</v>
      </c>
      <c r="D678" s="211">
        <v>223019</v>
      </c>
      <c r="E678" s="211">
        <v>-76322</v>
      </c>
      <c r="G678" s="211">
        <f t="shared" si="14"/>
        <v>-76322</v>
      </c>
      <c r="H678" s="211" t="s">
        <v>80</v>
      </c>
      <c r="J678" s="211">
        <f>VLOOKUP(A678,'JULY-TB'!A:G,7,0)</f>
        <v>0</v>
      </c>
    </row>
    <row r="679" spans="1:10">
      <c r="A679" s="211" t="s">
        <v>466</v>
      </c>
      <c r="B679" s="211">
        <v>-13803</v>
      </c>
      <c r="C679" s="211">
        <v>0</v>
      </c>
      <c r="D679" s="211">
        <v>5963</v>
      </c>
      <c r="E679" s="211">
        <v>-19766</v>
      </c>
      <c r="G679" s="211">
        <f t="shared" si="14"/>
        <v>-19766</v>
      </c>
      <c r="H679" s="211" t="s">
        <v>80</v>
      </c>
      <c r="J679" s="211">
        <f>VLOOKUP(A679,'JULY-TB'!A:G,7,0)</f>
        <v>-19766</v>
      </c>
    </row>
    <row r="680" spans="1:10">
      <c r="A680" s="211" t="s">
        <v>1632</v>
      </c>
      <c r="B680" s="211">
        <v>0</v>
      </c>
      <c r="C680" s="211">
        <v>13259</v>
      </c>
      <c r="D680" s="211">
        <v>0</v>
      </c>
      <c r="E680" s="211">
        <v>13259</v>
      </c>
      <c r="G680" s="211">
        <f t="shared" si="14"/>
        <v>13259</v>
      </c>
      <c r="H680" s="211" t="s">
        <v>80</v>
      </c>
      <c r="J680" s="211" t="e">
        <f>VLOOKUP(A680,'JULY-TB'!A:G,7,0)</f>
        <v>#N/A</v>
      </c>
    </row>
    <row r="681" spans="1:10">
      <c r="A681" s="211" t="s">
        <v>257</v>
      </c>
      <c r="B681" s="211">
        <v>-1523</v>
      </c>
      <c r="C681" s="211">
        <v>48091</v>
      </c>
      <c r="D681" s="211">
        <v>46568</v>
      </c>
      <c r="E681" s="211">
        <v>0</v>
      </c>
      <c r="G681" s="211">
        <f t="shared" si="14"/>
        <v>0</v>
      </c>
      <c r="H681" s="211" t="s">
        <v>80</v>
      </c>
      <c r="J681" s="211">
        <f>VLOOKUP(A681,'JULY-TB'!A:G,7,0)</f>
        <v>0</v>
      </c>
    </row>
    <row r="682" spans="1:10">
      <c r="A682" s="211" t="s">
        <v>385</v>
      </c>
      <c r="B682" s="211">
        <v>-17220</v>
      </c>
      <c r="C682" s="211">
        <v>15930</v>
      </c>
      <c r="D682" s="211">
        <v>0</v>
      </c>
      <c r="E682" s="211">
        <v>-1290</v>
      </c>
      <c r="G682" s="211">
        <f t="shared" si="14"/>
        <v>-1290</v>
      </c>
      <c r="H682" s="211" t="s">
        <v>80</v>
      </c>
      <c r="J682" s="211">
        <f>VLOOKUP(A682,'JULY-TB'!A:G,7,0)</f>
        <v>-1290</v>
      </c>
    </row>
    <row r="683" spans="1:10">
      <c r="A683" s="211" t="s">
        <v>256</v>
      </c>
      <c r="B683" s="211">
        <v>-49192.44</v>
      </c>
      <c r="C683" s="211">
        <v>115101.66</v>
      </c>
      <c r="D683" s="211">
        <v>93287.66</v>
      </c>
      <c r="E683" s="211">
        <v>-27378.44</v>
      </c>
      <c r="G683" s="211">
        <f t="shared" si="14"/>
        <v>-27378.44</v>
      </c>
      <c r="H683" s="211" t="s">
        <v>80</v>
      </c>
      <c r="J683" s="211">
        <f>VLOOKUP(A683,'JULY-TB'!A:G,7,0)</f>
        <v>-27640.18</v>
      </c>
    </row>
    <row r="684" spans="1:10">
      <c r="A684" s="211" t="s">
        <v>255</v>
      </c>
      <c r="B684" s="211">
        <v>-9803.18</v>
      </c>
      <c r="C684" s="211">
        <v>78268.399999999994</v>
      </c>
      <c r="D684" s="211">
        <v>77252.429999999993</v>
      </c>
      <c r="E684" s="211">
        <v>-8787.2099999999991</v>
      </c>
      <c r="G684" s="211">
        <f t="shared" si="14"/>
        <v>-8787.2099999999991</v>
      </c>
      <c r="H684" s="211" t="s">
        <v>80</v>
      </c>
      <c r="J684" s="211">
        <f>VLOOKUP(A684,'JULY-TB'!A:G,7,0)</f>
        <v>-8787.2099999999991</v>
      </c>
    </row>
    <row r="685" spans="1:10">
      <c r="A685" s="211" t="s">
        <v>253</v>
      </c>
      <c r="B685" s="211">
        <v>-269120.09999999998</v>
      </c>
      <c r="C685" s="211">
        <v>388543</v>
      </c>
      <c r="D685" s="211">
        <v>146742</v>
      </c>
      <c r="E685" s="211">
        <v>-27319.1</v>
      </c>
      <c r="G685" s="211">
        <f t="shared" si="14"/>
        <v>-27319.1</v>
      </c>
      <c r="H685" s="211" t="s">
        <v>80</v>
      </c>
      <c r="J685" s="211">
        <f>VLOOKUP(A685,'JULY-TB'!A:G,7,0)</f>
        <v>-6068.1</v>
      </c>
    </row>
    <row r="686" spans="1:10">
      <c r="A686" s="211" t="s">
        <v>1571</v>
      </c>
      <c r="B686" s="211">
        <v>0</v>
      </c>
      <c r="C686" s="211">
        <v>0</v>
      </c>
      <c r="D686" s="211">
        <v>0</v>
      </c>
      <c r="E686" s="211">
        <v>0</v>
      </c>
      <c r="G686" s="211">
        <f t="shared" si="14"/>
        <v>0</v>
      </c>
      <c r="H686" s="211" t="s">
        <v>80</v>
      </c>
      <c r="J686" s="211">
        <f>VLOOKUP(A686,'JULY-TB'!A:G,7,0)</f>
        <v>0</v>
      </c>
    </row>
    <row r="687" spans="1:10">
      <c r="A687" s="211" t="s">
        <v>252</v>
      </c>
      <c r="B687" s="211">
        <v>-920</v>
      </c>
      <c r="C687" s="211">
        <v>920</v>
      </c>
      <c r="D687" s="211">
        <v>0</v>
      </c>
      <c r="E687" s="211">
        <v>0</v>
      </c>
      <c r="G687" s="211">
        <f t="shared" si="14"/>
        <v>0</v>
      </c>
      <c r="H687" s="211" t="s">
        <v>80</v>
      </c>
      <c r="J687" s="211">
        <f>VLOOKUP(A687,'JULY-TB'!A:G,7,0)</f>
        <v>0</v>
      </c>
    </row>
    <row r="688" spans="1:10">
      <c r="A688" s="211" t="s">
        <v>757</v>
      </c>
      <c r="B688" s="211">
        <v>5133</v>
      </c>
      <c r="C688" s="211">
        <v>0</v>
      </c>
      <c r="D688" s="211">
        <v>0</v>
      </c>
      <c r="E688" s="211">
        <v>5133</v>
      </c>
      <c r="G688" s="211">
        <f t="shared" si="14"/>
        <v>5133</v>
      </c>
      <c r="H688" s="211" t="s">
        <v>80</v>
      </c>
      <c r="J688" s="211">
        <f>VLOOKUP(A688,'JULY-TB'!A:G,7,0)</f>
        <v>5133</v>
      </c>
    </row>
    <row r="689" spans="1:10">
      <c r="A689" s="211" t="s">
        <v>1572</v>
      </c>
      <c r="B689" s="211">
        <v>0</v>
      </c>
      <c r="C689" s="211">
        <v>50000</v>
      </c>
      <c r="D689" s="211">
        <v>50000</v>
      </c>
      <c r="E689" s="211">
        <v>0</v>
      </c>
      <c r="G689" s="211">
        <f t="shared" si="14"/>
        <v>0</v>
      </c>
      <c r="H689" s="211" t="s">
        <v>80</v>
      </c>
      <c r="J689" s="211">
        <f>VLOOKUP(A689,'JULY-TB'!A:G,7,0)</f>
        <v>0</v>
      </c>
    </row>
    <row r="690" spans="1:10">
      <c r="A690" s="211" t="s">
        <v>250</v>
      </c>
      <c r="B690" s="211">
        <v>-108360</v>
      </c>
      <c r="C690" s="211">
        <v>0</v>
      </c>
      <c r="D690" s="211">
        <v>155848</v>
      </c>
      <c r="E690" s="211">
        <v>-264208</v>
      </c>
      <c r="G690" s="211">
        <f t="shared" si="14"/>
        <v>-264208</v>
      </c>
      <c r="H690" s="211" t="s">
        <v>80</v>
      </c>
      <c r="J690" s="211">
        <f>VLOOKUP(A690,'JULY-TB'!A:G,7,0)</f>
        <v>-253116</v>
      </c>
    </row>
    <row r="691" spans="1:10">
      <c r="A691" s="211" t="s">
        <v>1573</v>
      </c>
      <c r="B691" s="211">
        <v>0</v>
      </c>
      <c r="C691" s="211">
        <v>134359.35</v>
      </c>
      <c r="D691" s="211">
        <v>0</v>
      </c>
      <c r="E691" s="211">
        <v>134359.35</v>
      </c>
      <c r="G691" s="211">
        <f t="shared" si="14"/>
        <v>134359.35</v>
      </c>
      <c r="H691" s="211" t="s">
        <v>80</v>
      </c>
      <c r="J691" s="211">
        <f>VLOOKUP(A691,'JULY-TB'!A:G,7,0)</f>
        <v>80846.350000000006</v>
      </c>
    </row>
    <row r="692" spans="1:10">
      <c r="A692" s="211" t="s">
        <v>1195</v>
      </c>
      <c r="B692" s="211">
        <v>0</v>
      </c>
      <c r="C692" s="211">
        <v>40427.980000000003</v>
      </c>
      <c r="D692" s="211">
        <v>33030</v>
      </c>
      <c r="E692" s="211">
        <v>7397.98</v>
      </c>
      <c r="G692" s="211">
        <f t="shared" si="14"/>
        <v>7397.98</v>
      </c>
      <c r="H692" s="211" t="s">
        <v>80</v>
      </c>
      <c r="J692" s="211">
        <f>VLOOKUP(A692,'JULY-TB'!A:G,7,0)</f>
        <v>0.56000000000000005</v>
      </c>
    </row>
    <row r="693" spans="1:10">
      <c r="A693" s="211" t="s">
        <v>462</v>
      </c>
      <c r="B693" s="211">
        <v>-30990</v>
      </c>
      <c r="C693" s="211">
        <v>86114</v>
      </c>
      <c r="D693" s="211">
        <v>118476</v>
      </c>
      <c r="E693" s="211">
        <v>-63352</v>
      </c>
      <c r="G693" s="211">
        <f t="shared" si="14"/>
        <v>-63352</v>
      </c>
      <c r="H693" s="211" t="s">
        <v>80</v>
      </c>
      <c r="J693" s="211">
        <f>VLOOKUP(A693,'JULY-TB'!A:G,7,0)</f>
        <v>-31980</v>
      </c>
    </row>
    <row r="694" spans="1:10">
      <c r="A694" s="211" t="s">
        <v>1196</v>
      </c>
      <c r="B694" s="211">
        <v>0</v>
      </c>
      <c r="C694" s="211">
        <v>0</v>
      </c>
      <c r="D694" s="211">
        <v>0</v>
      </c>
      <c r="E694" s="211">
        <v>0</v>
      </c>
      <c r="G694" s="211">
        <f t="shared" si="14"/>
        <v>0</v>
      </c>
      <c r="H694" s="211" t="s">
        <v>80</v>
      </c>
      <c r="J694" s="211">
        <f>VLOOKUP(A694,'JULY-TB'!A:G,7,0)</f>
        <v>0</v>
      </c>
    </row>
    <row r="695" spans="1:10">
      <c r="A695" s="211" t="s">
        <v>758</v>
      </c>
      <c r="B695" s="211">
        <v>0.2</v>
      </c>
      <c r="C695" s="211">
        <v>0</v>
      </c>
      <c r="D695" s="211">
        <v>0</v>
      </c>
      <c r="E695" s="211">
        <v>0.2</v>
      </c>
      <c r="G695" s="211">
        <f t="shared" si="14"/>
        <v>0.2</v>
      </c>
      <c r="H695" s="211" t="s">
        <v>80</v>
      </c>
      <c r="J695" s="211">
        <f>VLOOKUP(A695,'JULY-TB'!A:G,7,0)</f>
        <v>0.2</v>
      </c>
    </row>
    <row r="696" spans="1:10">
      <c r="A696" s="211" t="s">
        <v>246</v>
      </c>
      <c r="B696" s="211">
        <v>-0.5</v>
      </c>
      <c r="C696" s="211">
        <v>46537</v>
      </c>
      <c r="D696" s="211">
        <v>44965</v>
      </c>
      <c r="E696" s="211">
        <v>1571.5</v>
      </c>
      <c r="G696" s="211">
        <f t="shared" si="14"/>
        <v>1571.5</v>
      </c>
      <c r="H696" s="211" t="s">
        <v>80</v>
      </c>
      <c r="J696" s="211">
        <f>VLOOKUP(A696,'JULY-TB'!A:G,7,0)</f>
        <v>3754.5</v>
      </c>
    </row>
    <row r="697" spans="1:10">
      <c r="A697" s="211" t="s">
        <v>528</v>
      </c>
      <c r="B697" s="211">
        <v>-10684</v>
      </c>
      <c r="C697" s="211">
        <v>10684</v>
      </c>
      <c r="D697" s="211">
        <v>0</v>
      </c>
      <c r="E697" s="211">
        <v>0</v>
      </c>
      <c r="G697" s="211">
        <f t="shared" si="14"/>
        <v>0</v>
      </c>
      <c r="H697" s="211" t="s">
        <v>80</v>
      </c>
      <c r="J697" s="211">
        <f>VLOOKUP(A697,'JULY-TB'!A:G,7,0)</f>
        <v>0</v>
      </c>
    </row>
    <row r="698" spans="1:10">
      <c r="A698" s="211" t="s">
        <v>242</v>
      </c>
      <c r="B698" s="211">
        <v>-11800</v>
      </c>
      <c r="C698" s="211">
        <v>11800</v>
      </c>
      <c r="D698" s="211">
        <v>0</v>
      </c>
      <c r="E698" s="211">
        <v>0</v>
      </c>
      <c r="G698" s="211">
        <f t="shared" si="14"/>
        <v>0</v>
      </c>
      <c r="H698" s="211" t="s">
        <v>80</v>
      </c>
      <c r="J698" s="211">
        <f>VLOOKUP(A698,'JULY-TB'!A:G,7,0)</f>
        <v>0</v>
      </c>
    </row>
    <row r="699" spans="1:10">
      <c r="A699" s="211" t="s">
        <v>1197</v>
      </c>
      <c r="B699" s="211">
        <v>0</v>
      </c>
      <c r="C699" s="211">
        <v>0</v>
      </c>
      <c r="D699" s="211">
        <v>0</v>
      </c>
      <c r="E699" s="211">
        <v>0</v>
      </c>
      <c r="G699" s="211">
        <f t="shared" si="14"/>
        <v>0</v>
      </c>
      <c r="H699" s="211" t="s">
        <v>80</v>
      </c>
      <c r="J699" s="211">
        <f>VLOOKUP(A699,'JULY-TB'!A:G,7,0)</f>
        <v>0</v>
      </c>
    </row>
    <row r="700" spans="1:10">
      <c r="A700" s="211" t="s">
        <v>467</v>
      </c>
      <c r="B700" s="211">
        <v>-15882.8</v>
      </c>
      <c r="C700" s="211">
        <v>15882.8</v>
      </c>
      <c r="D700" s="211">
        <v>0</v>
      </c>
      <c r="E700" s="211">
        <v>0</v>
      </c>
      <c r="G700" s="211">
        <f t="shared" si="14"/>
        <v>0</v>
      </c>
      <c r="H700" s="211" t="s">
        <v>80</v>
      </c>
      <c r="J700" s="211">
        <f>VLOOKUP(A700,'JULY-TB'!A:G,7,0)</f>
        <v>0</v>
      </c>
    </row>
    <row r="701" spans="1:10">
      <c r="A701" s="211" t="s">
        <v>759</v>
      </c>
      <c r="B701" s="211">
        <v>-53100</v>
      </c>
      <c r="C701" s="211">
        <v>194464</v>
      </c>
      <c r="D701" s="211">
        <v>210866</v>
      </c>
      <c r="E701" s="211">
        <v>-69502</v>
      </c>
      <c r="G701" s="211">
        <f t="shared" si="14"/>
        <v>-69502</v>
      </c>
      <c r="H701" s="211" t="s">
        <v>80</v>
      </c>
      <c r="J701" s="211">
        <f>VLOOKUP(A701,'JULY-TB'!A:G,7,0)</f>
        <v>-25252</v>
      </c>
    </row>
    <row r="702" spans="1:10">
      <c r="A702" s="211" t="s">
        <v>760</v>
      </c>
      <c r="B702" s="211">
        <v>-8942.01</v>
      </c>
      <c r="C702" s="211">
        <v>8942.01</v>
      </c>
      <c r="D702" s="211">
        <v>0</v>
      </c>
      <c r="E702" s="211">
        <v>0</v>
      </c>
      <c r="G702" s="211">
        <f t="shared" si="14"/>
        <v>0</v>
      </c>
      <c r="H702" s="211" t="s">
        <v>80</v>
      </c>
      <c r="J702" s="211">
        <f>VLOOKUP(A702,'JULY-TB'!A:G,7,0)</f>
        <v>0</v>
      </c>
    </row>
    <row r="703" spans="1:10">
      <c r="A703" s="211" t="s">
        <v>236</v>
      </c>
      <c r="B703" s="211">
        <v>3337</v>
      </c>
      <c r="C703" s="211">
        <v>0</v>
      </c>
      <c r="D703" s="211">
        <v>0</v>
      </c>
      <c r="E703" s="211">
        <v>3337</v>
      </c>
      <c r="G703" s="211">
        <f t="shared" si="14"/>
        <v>3337</v>
      </c>
      <c r="H703" s="211" t="s">
        <v>80</v>
      </c>
      <c r="J703" s="211">
        <f>VLOOKUP(A703,'JULY-TB'!A:G,7,0)</f>
        <v>3337</v>
      </c>
    </row>
    <row r="704" spans="1:10">
      <c r="A704" s="211" t="s">
        <v>434</v>
      </c>
      <c r="B704" s="211">
        <v>0</v>
      </c>
      <c r="C704" s="211">
        <v>24373</v>
      </c>
      <c r="D704" s="211">
        <v>32665</v>
      </c>
      <c r="E704" s="211">
        <v>-8292</v>
      </c>
      <c r="G704" s="211">
        <f t="shared" si="14"/>
        <v>-8292</v>
      </c>
      <c r="H704" s="211" t="s">
        <v>80</v>
      </c>
      <c r="J704" s="211">
        <f>VLOOKUP(A704,'JULY-TB'!A:G,7,0)</f>
        <v>-4292</v>
      </c>
    </row>
    <row r="705" spans="1:10">
      <c r="A705" s="211" t="s">
        <v>238</v>
      </c>
      <c r="B705" s="211">
        <v>-4528.3999999999996</v>
      </c>
      <c r="C705" s="211">
        <v>2507</v>
      </c>
      <c r="D705" s="211">
        <v>0</v>
      </c>
      <c r="E705" s="211">
        <v>-2021.4</v>
      </c>
      <c r="G705" s="211">
        <f t="shared" si="14"/>
        <v>-2021.4</v>
      </c>
      <c r="H705" s="211" t="s">
        <v>80</v>
      </c>
      <c r="J705" s="211">
        <f>VLOOKUP(A705,'JULY-TB'!A:G,7,0)</f>
        <v>-2021.4</v>
      </c>
    </row>
    <row r="706" spans="1:10">
      <c r="A706" s="211" t="s">
        <v>457</v>
      </c>
      <c r="B706" s="211">
        <v>-500</v>
      </c>
      <c r="C706" s="211">
        <v>18880</v>
      </c>
      <c r="D706" s="211">
        <v>18880</v>
      </c>
      <c r="E706" s="211">
        <v>-500</v>
      </c>
      <c r="G706" s="211">
        <f t="shared" si="14"/>
        <v>-500</v>
      </c>
      <c r="H706" s="211" t="s">
        <v>80</v>
      </c>
      <c r="J706" s="211">
        <f>VLOOKUP(A706,'JULY-TB'!A:G,7,0)</f>
        <v>18380</v>
      </c>
    </row>
    <row r="707" spans="1:10">
      <c r="A707" s="211" t="s">
        <v>1633</v>
      </c>
      <c r="B707" s="211">
        <v>0</v>
      </c>
      <c r="C707" s="211">
        <v>0</v>
      </c>
      <c r="D707" s="211">
        <v>23018</v>
      </c>
      <c r="E707" s="211">
        <v>-23018</v>
      </c>
      <c r="G707" s="211">
        <f t="shared" si="14"/>
        <v>-23018</v>
      </c>
      <c r="H707" s="211" t="s">
        <v>80</v>
      </c>
      <c r="J707" s="211" t="e">
        <f>VLOOKUP(A707,'JULY-TB'!A:G,7,0)</f>
        <v>#N/A</v>
      </c>
    </row>
    <row r="708" spans="1:10">
      <c r="A708" s="211" t="s">
        <v>761</v>
      </c>
      <c r="B708" s="211">
        <v>0</v>
      </c>
      <c r="C708" s="211">
        <v>4602</v>
      </c>
      <c r="D708" s="211">
        <v>4602</v>
      </c>
      <c r="E708" s="211">
        <v>0</v>
      </c>
      <c r="G708" s="211">
        <f t="shared" ref="G708:G771" si="15">E708+F708</f>
        <v>0</v>
      </c>
      <c r="H708" s="211" t="s">
        <v>80</v>
      </c>
      <c r="J708" s="211">
        <f>VLOOKUP(A708,'JULY-TB'!A:G,7,0)</f>
        <v>-3068</v>
      </c>
    </row>
    <row r="709" spans="1:10">
      <c r="A709" s="211" t="s">
        <v>1574</v>
      </c>
      <c r="B709" s="211">
        <v>0</v>
      </c>
      <c r="C709" s="211">
        <v>0</v>
      </c>
      <c r="D709" s="211">
        <v>853</v>
      </c>
      <c r="E709" s="211">
        <v>-853</v>
      </c>
      <c r="G709" s="211">
        <f t="shared" si="15"/>
        <v>-853</v>
      </c>
      <c r="H709" s="211" t="s">
        <v>80</v>
      </c>
      <c r="J709" s="211">
        <f>VLOOKUP(A709,'JULY-TB'!A:G,7,0)</f>
        <v>-853</v>
      </c>
    </row>
    <row r="710" spans="1:10">
      <c r="A710" s="211" t="s">
        <v>1198</v>
      </c>
      <c r="B710" s="211">
        <v>0</v>
      </c>
      <c r="C710" s="211">
        <v>0</v>
      </c>
      <c r="D710" s="211">
        <v>0</v>
      </c>
      <c r="E710" s="211">
        <v>0</v>
      </c>
      <c r="G710" s="211">
        <f t="shared" si="15"/>
        <v>0</v>
      </c>
      <c r="H710" s="211" t="s">
        <v>80</v>
      </c>
      <c r="J710" s="211">
        <f>VLOOKUP(A710,'JULY-TB'!A:G,7,0)</f>
        <v>0</v>
      </c>
    </row>
    <row r="711" spans="1:10">
      <c r="A711" s="211" t="s">
        <v>233</v>
      </c>
      <c r="B711" s="211">
        <v>-130013</v>
      </c>
      <c r="C711" s="211">
        <v>168481</v>
      </c>
      <c r="D711" s="211">
        <v>265146</v>
      </c>
      <c r="E711" s="211">
        <v>-226678</v>
      </c>
      <c r="G711" s="211">
        <f t="shared" si="15"/>
        <v>-226678</v>
      </c>
      <c r="H711" s="211" t="s">
        <v>80</v>
      </c>
      <c r="J711" s="211">
        <f>VLOOKUP(A711,'JULY-TB'!A:G,7,0)</f>
        <v>-145766</v>
      </c>
    </row>
    <row r="712" spans="1:10">
      <c r="A712" s="211" t="s">
        <v>1634</v>
      </c>
      <c r="B712" s="211">
        <v>0</v>
      </c>
      <c r="C712" s="211">
        <v>0</v>
      </c>
      <c r="D712" s="211">
        <v>4248</v>
      </c>
      <c r="E712" s="211">
        <v>-4248</v>
      </c>
      <c r="G712" s="211">
        <f t="shared" si="15"/>
        <v>-4248</v>
      </c>
      <c r="H712" s="211" t="s">
        <v>80</v>
      </c>
      <c r="J712" s="211" t="e">
        <f>VLOOKUP(A712,'JULY-TB'!A:G,7,0)</f>
        <v>#N/A</v>
      </c>
    </row>
    <row r="713" spans="1:10">
      <c r="A713" s="211" t="s">
        <v>229</v>
      </c>
      <c r="B713" s="211">
        <v>-7646.4</v>
      </c>
      <c r="C713" s="211">
        <v>1947</v>
      </c>
      <c r="D713" s="211">
        <v>1947</v>
      </c>
      <c r="E713" s="211">
        <v>-7646.4</v>
      </c>
      <c r="G713" s="211">
        <f t="shared" si="15"/>
        <v>-7646.4</v>
      </c>
      <c r="H713" s="211" t="s">
        <v>80</v>
      </c>
      <c r="J713" s="211">
        <f>VLOOKUP(A713,'JULY-TB'!A:G,7,0)</f>
        <v>-7646.4</v>
      </c>
    </row>
    <row r="714" spans="1:10">
      <c r="A714" s="211" t="s">
        <v>230</v>
      </c>
      <c r="B714" s="211">
        <v>-29064</v>
      </c>
      <c r="C714" s="211">
        <v>31990</v>
      </c>
      <c r="D714" s="211">
        <v>40686</v>
      </c>
      <c r="E714" s="211">
        <v>-37760</v>
      </c>
      <c r="G714" s="211">
        <f t="shared" si="15"/>
        <v>-37760</v>
      </c>
      <c r="H714" s="211" t="s">
        <v>80</v>
      </c>
      <c r="J714" s="211">
        <f>VLOOKUP(A714,'JULY-TB'!A:G,7,0)</f>
        <v>-40828</v>
      </c>
    </row>
    <row r="715" spans="1:10">
      <c r="A715" s="211" t="s">
        <v>1199</v>
      </c>
      <c r="B715" s="211">
        <v>0</v>
      </c>
      <c r="C715" s="211">
        <v>0</v>
      </c>
      <c r="D715" s="211">
        <v>0</v>
      </c>
      <c r="E715" s="211">
        <v>0</v>
      </c>
      <c r="G715" s="211">
        <f t="shared" si="15"/>
        <v>0</v>
      </c>
      <c r="H715" s="211" t="s">
        <v>80</v>
      </c>
      <c r="J715" s="211">
        <f>VLOOKUP(A715,'JULY-TB'!A:G,7,0)</f>
        <v>0</v>
      </c>
    </row>
    <row r="716" spans="1:10">
      <c r="A716" s="211" t="s">
        <v>1200</v>
      </c>
      <c r="B716" s="211">
        <v>0</v>
      </c>
      <c r="C716" s="211">
        <v>3492.8</v>
      </c>
      <c r="D716" s="211">
        <v>3492.8</v>
      </c>
      <c r="E716" s="211">
        <v>0</v>
      </c>
      <c r="G716" s="211">
        <f t="shared" si="15"/>
        <v>0</v>
      </c>
      <c r="H716" s="211" t="s">
        <v>80</v>
      </c>
      <c r="J716" s="211">
        <f>VLOOKUP(A716,'JULY-TB'!A:G,7,0)</f>
        <v>0</v>
      </c>
    </row>
    <row r="717" spans="1:10">
      <c r="A717" s="211" t="s">
        <v>232</v>
      </c>
      <c r="B717" s="211">
        <v>-42959</v>
      </c>
      <c r="C717" s="211">
        <v>93865</v>
      </c>
      <c r="D717" s="211">
        <v>50906</v>
      </c>
      <c r="E717" s="211">
        <v>0</v>
      </c>
      <c r="G717" s="211">
        <f t="shared" si="15"/>
        <v>0</v>
      </c>
      <c r="H717" s="211" t="s">
        <v>80</v>
      </c>
      <c r="J717" s="211">
        <f>VLOOKUP(A717,'JULY-TB'!A:G,7,0)</f>
        <v>0</v>
      </c>
    </row>
    <row r="718" spans="1:10">
      <c r="A718" s="211" t="s">
        <v>1201</v>
      </c>
      <c r="B718" s="211">
        <v>0</v>
      </c>
      <c r="C718" s="211">
        <v>0</v>
      </c>
      <c r="D718" s="211">
        <v>0</v>
      </c>
      <c r="E718" s="211">
        <v>0</v>
      </c>
      <c r="G718" s="211">
        <f t="shared" si="15"/>
        <v>0</v>
      </c>
      <c r="H718" s="211" t="s">
        <v>80</v>
      </c>
      <c r="J718" s="211">
        <f>VLOOKUP(A718,'JULY-TB'!A:G,7,0)</f>
        <v>0</v>
      </c>
    </row>
    <row r="719" spans="1:10">
      <c r="A719" s="211" t="s">
        <v>469</v>
      </c>
      <c r="B719" s="211">
        <v>-3894</v>
      </c>
      <c r="C719" s="211">
        <v>41316.6</v>
      </c>
      <c r="D719" s="211">
        <v>45942.6</v>
      </c>
      <c r="E719" s="211">
        <v>-8520</v>
      </c>
      <c r="G719" s="211">
        <f t="shared" si="15"/>
        <v>-8520</v>
      </c>
      <c r="H719" s="211" t="s">
        <v>80</v>
      </c>
      <c r="J719" s="211">
        <f>VLOOKUP(A719,'JULY-TB'!A:G,7,0)</f>
        <v>-35475.599999999999</v>
      </c>
    </row>
    <row r="720" spans="1:10">
      <c r="A720" s="211" t="s">
        <v>508</v>
      </c>
      <c r="B720" s="211">
        <v>-1357</v>
      </c>
      <c r="C720" s="211">
        <v>5841</v>
      </c>
      <c r="D720" s="211">
        <v>2242</v>
      </c>
      <c r="E720" s="211">
        <v>2242</v>
      </c>
      <c r="G720" s="211">
        <f t="shared" si="15"/>
        <v>2242</v>
      </c>
      <c r="H720" s="211" t="s">
        <v>80</v>
      </c>
      <c r="J720" s="211">
        <f>VLOOKUP(A720,'JULY-TB'!A:G,7,0)</f>
        <v>2242</v>
      </c>
    </row>
    <row r="721" spans="1:10">
      <c r="A721" s="211" t="s">
        <v>1202</v>
      </c>
      <c r="B721" s="211">
        <v>0</v>
      </c>
      <c r="C721" s="211">
        <v>0</v>
      </c>
      <c r="D721" s="211">
        <v>0</v>
      </c>
      <c r="E721" s="211">
        <v>0</v>
      </c>
      <c r="G721" s="211">
        <f t="shared" si="15"/>
        <v>0</v>
      </c>
      <c r="H721" s="211" t="s">
        <v>80</v>
      </c>
      <c r="J721" s="211">
        <f>VLOOKUP(A721,'JULY-TB'!A:G,7,0)</f>
        <v>0</v>
      </c>
    </row>
    <row r="722" spans="1:10">
      <c r="A722" s="211" t="s">
        <v>1457</v>
      </c>
      <c r="B722" s="211">
        <v>0</v>
      </c>
      <c r="C722" s="211">
        <v>7434</v>
      </c>
      <c r="D722" s="211">
        <v>11387</v>
      </c>
      <c r="E722" s="211">
        <v>-3953</v>
      </c>
      <c r="G722" s="211">
        <f t="shared" si="15"/>
        <v>-3953</v>
      </c>
      <c r="H722" s="211" t="s">
        <v>80</v>
      </c>
      <c r="J722" s="211">
        <f>VLOOKUP(A722,'JULY-TB'!A:G,7,0)</f>
        <v>0</v>
      </c>
    </row>
    <row r="723" spans="1:10">
      <c r="A723" s="211" t="s">
        <v>226</v>
      </c>
      <c r="B723" s="211">
        <v>-8574</v>
      </c>
      <c r="C723" s="211">
        <v>23109</v>
      </c>
      <c r="D723" s="211">
        <v>14535</v>
      </c>
      <c r="E723" s="211">
        <v>0</v>
      </c>
      <c r="G723" s="211">
        <f t="shared" si="15"/>
        <v>0</v>
      </c>
      <c r="H723" s="211" t="s">
        <v>80</v>
      </c>
      <c r="J723" s="211">
        <f>VLOOKUP(A723,'JULY-TB'!A:G,7,0)</f>
        <v>0</v>
      </c>
    </row>
    <row r="724" spans="1:10">
      <c r="A724" s="211" t="s">
        <v>1203</v>
      </c>
      <c r="B724" s="211">
        <v>0</v>
      </c>
      <c r="C724" s="211">
        <v>0</v>
      </c>
      <c r="D724" s="211">
        <v>0</v>
      </c>
      <c r="E724" s="211">
        <v>0</v>
      </c>
      <c r="G724" s="211">
        <f t="shared" si="15"/>
        <v>0</v>
      </c>
      <c r="H724" s="211" t="s">
        <v>80</v>
      </c>
      <c r="J724" s="211">
        <f>VLOOKUP(A724,'JULY-TB'!A:G,7,0)</f>
        <v>0</v>
      </c>
    </row>
    <row r="725" spans="1:10">
      <c r="A725" s="211" t="s">
        <v>1204</v>
      </c>
      <c r="B725" s="211">
        <v>0</v>
      </c>
      <c r="C725" s="211">
        <v>16107</v>
      </c>
      <c r="D725" s="211">
        <v>16107</v>
      </c>
      <c r="E725" s="211">
        <v>0</v>
      </c>
      <c r="G725" s="211">
        <f t="shared" si="15"/>
        <v>0</v>
      </c>
      <c r="H725" s="211" t="s">
        <v>80</v>
      </c>
      <c r="J725" s="211">
        <f>VLOOKUP(A725,'JULY-TB'!A:G,7,0)</f>
        <v>0</v>
      </c>
    </row>
    <row r="726" spans="1:10">
      <c r="A726" s="211" t="s">
        <v>228</v>
      </c>
      <c r="B726" s="211">
        <v>-11611.8</v>
      </c>
      <c r="C726" s="211">
        <v>15446</v>
      </c>
      <c r="D726" s="211">
        <v>3835</v>
      </c>
      <c r="E726" s="211">
        <v>-0.8</v>
      </c>
      <c r="G726" s="211">
        <f t="shared" si="15"/>
        <v>-0.8</v>
      </c>
      <c r="H726" s="211" t="s">
        <v>80</v>
      </c>
      <c r="J726" s="211">
        <f>VLOOKUP(A726,'JULY-TB'!A:G,7,0)</f>
        <v>-0.8</v>
      </c>
    </row>
    <row r="727" spans="1:10">
      <c r="A727" s="211" t="s">
        <v>401</v>
      </c>
      <c r="B727" s="211">
        <v>-438567.49</v>
      </c>
      <c r="C727" s="211">
        <v>497213.51</v>
      </c>
      <c r="D727" s="211">
        <v>58646.02</v>
      </c>
      <c r="E727" s="211">
        <v>0</v>
      </c>
      <c r="G727" s="211">
        <f t="shared" si="15"/>
        <v>0</v>
      </c>
      <c r="H727" s="211" t="s">
        <v>80</v>
      </c>
      <c r="J727" s="211">
        <f>VLOOKUP(A727,'JULY-TB'!A:G,7,0)</f>
        <v>-28311.119999999999</v>
      </c>
    </row>
    <row r="728" spans="1:10">
      <c r="A728" s="211" t="s">
        <v>402</v>
      </c>
      <c r="B728" s="211">
        <v>212861.49</v>
      </c>
      <c r="C728" s="211">
        <v>196093.98</v>
      </c>
      <c r="D728" s="211">
        <v>202778.9</v>
      </c>
      <c r="E728" s="211">
        <v>206176.57</v>
      </c>
      <c r="G728" s="211">
        <f t="shared" si="15"/>
        <v>206176.57</v>
      </c>
      <c r="H728" s="211" t="s">
        <v>80</v>
      </c>
      <c r="J728" s="211">
        <f>VLOOKUP(A728,'JULY-TB'!A:G,7,0)</f>
        <v>293372.90999999997</v>
      </c>
    </row>
    <row r="729" spans="1:10">
      <c r="A729" s="211" t="s">
        <v>1205</v>
      </c>
      <c r="B729" s="211">
        <v>0</v>
      </c>
      <c r="C729" s="211">
        <v>0</v>
      </c>
      <c r="D729" s="211">
        <v>0</v>
      </c>
      <c r="E729" s="211">
        <v>0</v>
      </c>
      <c r="G729" s="211">
        <f t="shared" si="15"/>
        <v>0</v>
      </c>
      <c r="H729" s="211" t="s">
        <v>80</v>
      </c>
      <c r="J729" s="211">
        <f>VLOOKUP(A729,'JULY-TB'!A:G,7,0)</f>
        <v>0</v>
      </c>
    </row>
    <row r="730" spans="1:10">
      <c r="A730" s="211" t="s">
        <v>1206</v>
      </c>
      <c r="B730" s="211">
        <v>0</v>
      </c>
      <c r="C730" s="211">
        <v>0</v>
      </c>
      <c r="D730" s="211">
        <v>0</v>
      </c>
      <c r="E730" s="211">
        <v>0</v>
      </c>
      <c r="G730" s="211">
        <f t="shared" si="15"/>
        <v>0</v>
      </c>
      <c r="H730" s="211" t="s">
        <v>80</v>
      </c>
      <c r="J730" s="211">
        <f>VLOOKUP(A730,'JULY-TB'!A:G,7,0)</f>
        <v>0</v>
      </c>
    </row>
    <row r="731" spans="1:10">
      <c r="A731" s="211" t="s">
        <v>225</v>
      </c>
      <c r="B731" s="211">
        <v>-0.05</v>
      </c>
      <c r="C731" s="211">
        <v>0</v>
      </c>
      <c r="D731" s="211">
        <v>0</v>
      </c>
      <c r="E731" s="211">
        <v>-0.05</v>
      </c>
      <c r="G731" s="211">
        <f t="shared" si="15"/>
        <v>-0.05</v>
      </c>
      <c r="H731" s="211" t="s">
        <v>80</v>
      </c>
      <c r="J731" s="211">
        <f>VLOOKUP(A731,'JULY-TB'!A:G,7,0)</f>
        <v>-0.05</v>
      </c>
    </row>
    <row r="732" spans="1:10">
      <c r="A732" s="211" t="s">
        <v>1575</v>
      </c>
      <c r="B732" s="211">
        <v>0</v>
      </c>
      <c r="C732" s="211">
        <v>4584</v>
      </c>
      <c r="D732" s="211">
        <v>4584</v>
      </c>
      <c r="E732" s="211">
        <v>0</v>
      </c>
      <c r="G732" s="211">
        <f t="shared" si="15"/>
        <v>0</v>
      </c>
      <c r="H732" s="211" t="s">
        <v>80</v>
      </c>
      <c r="J732" s="211">
        <f>VLOOKUP(A732,'JULY-TB'!A:G,7,0)</f>
        <v>-4584</v>
      </c>
    </row>
    <row r="733" spans="1:10">
      <c r="A733" s="211" t="s">
        <v>1458</v>
      </c>
      <c r="B733" s="211">
        <v>0</v>
      </c>
      <c r="C733" s="211">
        <v>19475</v>
      </c>
      <c r="D733" s="211">
        <v>19475</v>
      </c>
      <c r="E733" s="211">
        <v>0</v>
      </c>
      <c r="G733" s="211">
        <f t="shared" si="15"/>
        <v>0</v>
      </c>
      <c r="H733" s="211" t="s">
        <v>80</v>
      </c>
      <c r="J733" s="211">
        <f>VLOOKUP(A733,'JULY-TB'!A:G,7,0)</f>
        <v>-19475</v>
      </c>
    </row>
    <row r="734" spans="1:10">
      <c r="A734" s="211" t="s">
        <v>521</v>
      </c>
      <c r="B734" s="211">
        <v>0</v>
      </c>
      <c r="C734" s="211">
        <v>23010</v>
      </c>
      <c r="D734" s="211">
        <v>23010</v>
      </c>
      <c r="E734" s="211">
        <v>0</v>
      </c>
      <c r="G734" s="211">
        <f t="shared" si="15"/>
        <v>0</v>
      </c>
      <c r="H734" s="211" t="s">
        <v>80</v>
      </c>
      <c r="J734" s="211">
        <f>VLOOKUP(A734,'JULY-TB'!A:G,7,0)</f>
        <v>0</v>
      </c>
    </row>
    <row r="735" spans="1:10">
      <c r="A735" s="211" t="s">
        <v>762</v>
      </c>
      <c r="B735" s="211">
        <v>-0.24</v>
      </c>
      <c r="C735" s="211">
        <v>0</v>
      </c>
      <c r="D735" s="211">
        <v>0</v>
      </c>
      <c r="E735" s="211">
        <v>-0.24</v>
      </c>
      <c r="G735" s="211">
        <f t="shared" si="15"/>
        <v>-0.24</v>
      </c>
      <c r="H735" s="211" t="s">
        <v>80</v>
      </c>
      <c r="J735" s="211">
        <f>VLOOKUP(A735,'JULY-TB'!A:G,7,0)</f>
        <v>-0.24</v>
      </c>
    </row>
    <row r="736" spans="1:10">
      <c r="A736" s="211" t="s">
        <v>763</v>
      </c>
      <c r="B736" s="211">
        <v>-8083</v>
      </c>
      <c r="C736" s="211">
        <v>10738</v>
      </c>
      <c r="D736" s="211">
        <v>2655</v>
      </c>
      <c r="E736" s="211">
        <v>0</v>
      </c>
      <c r="G736" s="211">
        <f t="shared" si="15"/>
        <v>0</v>
      </c>
      <c r="H736" s="211" t="s">
        <v>80</v>
      </c>
      <c r="J736" s="211">
        <f>VLOOKUP(A736,'JULY-TB'!A:G,7,0)</f>
        <v>0</v>
      </c>
    </row>
    <row r="737" spans="1:10">
      <c r="A737" s="211" t="s">
        <v>223</v>
      </c>
      <c r="B737" s="211">
        <v>0.23</v>
      </c>
      <c r="C737" s="211">
        <v>0</v>
      </c>
      <c r="D737" s="211">
        <v>0</v>
      </c>
      <c r="E737" s="211">
        <v>0.23</v>
      </c>
      <c r="G737" s="211">
        <f t="shared" si="15"/>
        <v>0.23</v>
      </c>
      <c r="H737" s="211" t="s">
        <v>80</v>
      </c>
      <c r="J737" s="211">
        <f>VLOOKUP(A737,'JULY-TB'!A:G,7,0)</f>
        <v>0.23</v>
      </c>
    </row>
    <row r="738" spans="1:10">
      <c r="A738" s="211" t="s">
        <v>764</v>
      </c>
      <c r="B738" s="211">
        <v>-1449</v>
      </c>
      <c r="C738" s="211">
        <v>313880</v>
      </c>
      <c r="D738" s="211">
        <v>523722</v>
      </c>
      <c r="E738" s="211">
        <v>-211291</v>
      </c>
      <c r="G738" s="211">
        <f t="shared" si="15"/>
        <v>-211291</v>
      </c>
      <c r="H738" s="211" t="s">
        <v>80</v>
      </c>
      <c r="J738" s="211">
        <f>VLOOKUP(A738,'JULY-TB'!A:G,7,0)</f>
        <v>-51587</v>
      </c>
    </row>
    <row r="739" spans="1:10">
      <c r="A739" s="211" t="s">
        <v>1459</v>
      </c>
      <c r="B739" s="211">
        <v>0</v>
      </c>
      <c r="C739" s="211">
        <v>0</v>
      </c>
      <c r="D739" s="211">
        <v>472</v>
      </c>
      <c r="E739" s="211">
        <v>-472</v>
      </c>
      <c r="G739" s="211">
        <f t="shared" si="15"/>
        <v>-472</v>
      </c>
      <c r="H739" s="211" t="s">
        <v>80</v>
      </c>
      <c r="J739" s="211">
        <f>VLOOKUP(A739,'JULY-TB'!A:G,7,0)</f>
        <v>-472</v>
      </c>
    </row>
    <row r="740" spans="1:10">
      <c r="A740" s="211" t="s">
        <v>765</v>
      </c>
      <c r="B740" s="211">
        <v>0</v>
      </c>
      <c r="C740" s="211">
        <v>191546</v>
      </c>
      <c r="D740" s="211">
        <v>191546</v>
      </c>
      <c r="E740" s="211">
        <v>0</v>
      </c>
      <c r="G740" s="211">
        <f t="shared" si="15"/>
        <v>0</v>
      </c>
      <c r="H740" s="211" t="s">
        <v>80</v>
      </c>
      <c r="J740" s="211">
        <f>VLOOKUP(A740,'JULY-TB'!A:G,7,0)</f>
        <v>0</v>
      </c>
    </row>
    <row r="741" spans="1:10">
      <c r="A741" s="211" t="s">
        <v>766</v>
      </c>
      <c r="B741" s="211">
        <v>5550</v>
      </c>
      <c r="C741" s="211">
        <v>0</v>
      </c>
      <c r="D741" s="211">
        <v>0</v>
      </c>
      <c r="E741" s="211">
        <v>5550</v>
      </c>
      <c r="G741" s="211">
        <f t="shared" si="15"/>
        <v>5550</v>
      </c>
      <c r="H741" s="211" t="s">
        <v>80</v>
      </c>
      <c r="J741" s="211">
        <f>VLOOKUP(A741,'JULY-TB'!A:G,7,0)</f>
        <v>5550</v>
      </c>
    </row>
    <row r="742" spans="1:10">
      <c r="A742" s="211" t="s">
        <v>1576</v>
      </c>
      <c r="B742" s="211">
        <v>0</v>
      </c>
      <c r="C742" s="211">
        <v>7552</v>
      </c>
      <c r="D742" s="211">
        <v>7552</v>
      </c>
      <c r="E742" s="211">
        <v>0</v>
      </c>
      <c r="G742" s="211">
        <f t="shared" si="15"/>
        <v>0</v>
      </c>
      <c r="H742" s="211" t="s">
        <v>80</v>
      </c>
      <c r="J742" s="211">
        <f>VLOOKUP(A742,'JULY-TB'!A:G,7,0)</f>
        <v>7552</v>
      </c>
    </row>
    <row r="743" spans="1:10">
      <c r="A743" s="211" t="s">
        <v>1577</v>
      </c>
      <c r="B743" s="211">
        <v>0</v>
      </c>
      <c r="C743" s="211">
        <v>67024</v>
      </c>
      <c r="D743" s="211">
        <v>67024</v>
      </c>
      <c r="E743" s="211">
        <v>0</v>
      </c>
      <c r="G743" s="211">
        <f t="shared" si="15"/>
        <v>0</v>
      </c>
      <c r="H743" s="211" t="s">
        <v>80</v>
      </c>
      <c r="J743" s="211">
        <f>VLOOKUP(A743,'JULY-TB'!A:G,7,0)</f>
        <v>-21712</v>
      </c>
    </row>
    <row r="744" spans="1:10">
      <c r="A744" s="211" t="s">
        <v>458</v>
      </c>
      <c r="B744" s="211">
        <v>-632</v>
      </c>
      <c r="C744" s="211">
        <v>16420</v>
      </c>
      <c r="D744" s="211">
        <v>15788</v>
      </c>
      <c r="E744" s="211">
        <v>0</v>
      </c>
      <c r="G744" s="211">
        <f t="shared" si="15"/>
        <v>0</v>
      </c>
      <c r="H744" s="211" t="s">
        <v>80</v>
      </c>
      <c r="J744" s="211">
        <f>VLOOKUP(A744,'JULY-TB'!A:G,7,0)</f>
        <v>-1770</v>
      </c>
    </row>
    <row r="745" spans="1:10">
      <c r="A745" s="211" t="s">
        <v>220</v>
      </c>
      <c r="B745" s="211">
        <v>-94425</v>
      </c>
      <c r="C745" s="211">
        <v>662481</v>
      </c>
      <c r="D745" s="211">
        <v>568056</v>
      </c>
      <c r="E745" s="211">
        <v>0</v>
      </c>
      <c r="G745" s="211">
        <f t="shared" si="15"/>
        <v>0</v>
      </c>
      <c r="H745" s="211" t="s">
        <v>80</v>
      </c>
      <c r="J745" s="211">
        <f>VLOOKUP(A745,'JULY-TB'!A:G,7,0)</f>
        <v>0</v>
      </c>
    </row>
    <row r="746" spans="1:10">
      <c r="A746" s="211" t="s">
        <v>445</v>
      </c>
      <c r="B746" s="211">
        <v>-66080</v>
      </c>
      <c r="C746" s="211">
        <v>95816</v>
      </c>
      <c r="D746" s="211">
        <v>29736</v>
      </c>
      <c r="E746" s="211">
        <v>0</v>
      </c>
      <c r="G746" s="211">
        <f t="shared" si="15"/>
        <v>0</v>
      </c>
      <c r="H746" s="211" t="s">
        <v>80</v>
      </c>
      <c r="J746" s="211">
        <f>VLOOKUP(A746,'JULY-TB'!A:G,7,0)</f>
        <v>0</v>
      </c>
    </row>
    <row r="747" spans="1:10">
      <c r="A747" s="211" t="s">
        <v>219</v>
      </c>
      <c r="B747" s="211">
        <v>0</v>
      </c>
      <c r="C747" s="211">
        <v>60920</v>
      </c>
      <c r="D747" s="211">
        <v>60920</v>
      </c>
      <c r="E747" s="211">
        <v>0</v>
      </c>
      <c r="G747" s="211">
        <f t="shared" si="15"/>
        <v>0</v>
      </c>
      <c r="H747" s="211" t="s">
        <v>80</v>
      </c>
      <c r="J747" s="211">
        <f>VLOOKUP(A747,'JULY-TB'!A:G,7,0)</f>
        <v>0</v>
      </c>
    </row>
    <row r="748" spans="1:10">
      <c r="A748" s="211" t="s">
        <v>422</v>
      </c>
      <c r="B748" s="211">
        <v>-37760</v>
      </c>
      <c r="C748" s="211">
        <v>96170</v>
      </c>
      <c r="D748" s="211">
        <v>58410</v>
      </c>
      <c r="E748" s="211">
        <v>0</v>
      </c>
      <c r="G748" s="211">
        <f t="shared" si="15"/>
        <v>0</v>
      </c>
      <c r="H748" s="211" t="s">
        <v>80</v>
      </c>
      <c r="J748" s="211">
        <f>VLOOKUP(A748,'JULY-TB'!A:G,7,0)</f>
        <v>-11682</v>
      </c>
    </row>
    <row r="749" spans="1:10">
      <c r="A749" s="211" t="s">
        <v>1635</v>
      </c>
      <c r="B749" s="211">
        <v>0</v>
      </c>
      <c r="C749" s="211">
        <v>98235</v>
      </c>
      <c r="D749" s="211">
        <v>98235</v>
      </c>
      <c r="E749" s="211">
        <v>0</v>
      </c>
      <c r="G749" s="211">
        <f t="shared" si="15"/>
        <v>0</v>
      </c>
      <c r="H749" s="211" t="s">
        <v>80</v>
      </c>
      <c r="J749" s="211" t="e">
        <f>VLOOKUP(A749,'JULY-TB'!A:G,7,0)</f>
        <v>#N/A</v>
      </c>
    </row>
    <row r="750" spans="1:10">
      <c r="A750" s="211" t="s">
        <v>1460</v>
      </c>
      <c r="B750" s="211">
        <v>0</v>
      </c>
      <c r="C750" s="211">
        <v>11508</v>
      </c>
      <c r="D750" s="211">
        <v>11508</v>
      </c>
      <c r="E750" s="211">
        <v>0</v>
      </c>
      <c r="G750" s="211">
        <f t="shared" si="15"/>
        <v>0</v>
      </c>
      <c r="H750" s="211" t="s">
        <v>80</v>
      </c>
      <c r="J750" s="211">
        <f>VLOOKUP(A750,'JULY-TB'!A:G,7,0)</f>
        <v>0</v>
      </c>
    </row>
    <row r="751" spans="1:10">
      <c r="A751" s="211" t="s">
        <v>479</v>
      </c>
      <c r="B751" s="211">
        <v>-19540</v>
      </c>
      <c r="C751" s="211">
        <v>0</v>
      </c>
      <c r="D751" s="211">
        <v>57566</v>
      </c>
      <c r="E751" s="211">
        <v>-77106</v>
      </c>
      <c r="G751" s="211">
        <f t="shared" si="15"/>
        <v>-77106</v>
      </c>
      <c r="H751" s="211" t="s">
        <v>80</v>
      </c>
      <c r="J751" s="211">
        <f>VLOOKUP(A751,'JULY-TB'!A:G,7,0)</f>
        <v>-34240</v>
      </c>
    </row>
    <row r="752" spans="1:10">
      <c r="A752" s="211" t="s">
        <v>1461</v>
      </c>
      <c r="B752" s="211">
        <v>0</v>
      </c>
      <c r="C752" s="211">
        <v>17900.599999999999</v>
      </c>
      <c r="D752" s="211">
        <v>133682</v>
      </c>
      <c r="E752" s="211">
        <v>-115781.4</v>
      </c>
      <c r="G752" s="211">
        <f t="shared" si="15"/>
        <v>-115781.4</v>
      </c>
      <c r="H752" s="211" t="s">
        <v>80</v>
      </c>
      <c r="J752" s="211">
        <f>VLOOKUP(A752,'JULY-TB'!A:G,7,0)</f>
        <v>-81927.399999999994</v>
      </c>
    </row>
    <row r="753" spans="1:10">
      <c r="A753" s="211" t="s">
        <v>1462</v>
      </c>
      <c r="B753" s="211">
        <v>0</v>
      </c>
      <c r="C753" s="211">
        <v>835</v>
      </c>
      <c r="D753" s="211">
        <v>835</v>
      </c>
      <c r="E753" s="211">
        <v>0</v>
      </c>
      <c r="G753" s="211">
        <f t="shared" si="15"/>
        <v>0</v>
      </c>
      <c r="H753" s="211" t="s">
        <v>80</v>
      </c>
      <c r="J753" s="211">
        <f>VLOOKUP(A753,'JULY-TB'!A:G,7,0)</f>
        <v>0</v>
      </c>
    </row>
    <row r="754" spans="1:10">
      <c r="A754" s="211" t="s">
        <v>468</v>
      </c>
      <c r="B754" s="211">
        <v>-18526</v>
      </c>
      <c r="C754" s="211">
        <v>18526</v>
      </c>
      <c r="D754" s="211">
        <v>0</v>
      </c>
      <c r="E754" s="211">
        <v>0</v>
      </c>
      <c r="G754" s="211">
        <f t="shared" si="15"/>
        <v>0</v>
      </c>
      <c r="H754" s="211" t="s">
        <v>80</v>
      </c>
      <c r="J754" s="211">
        <f>VLOOKUP(A754,'JULY-TB'!A:G,7,0)</f>
        <v>0</v>
      </c>
    </row>
    <row r="755" spans="1:10">
      <c r="A755" s="211" t="s">
        <v>767</v>
      </c>
      <c r="B755" s="211">
        <v>-25960</v>
      </c>
      <c r="C755" s="211">
        <v>0</v>
      </c>
      <c r="D755" s="211">
        <v>21830</v>
      </c>
      <c r="E755" s="211">
        <v>-47790</v>
      </c>
      <c r="G755" s="211">
        <f t="shared" si="15"/>
        <v>-47790</v>
      </c>
      <c r="H755" s="211" t="s">
        <v>80</v>
      </c>
      <c r="J755" s="211">
        <f>VLOOKUP(A755,'JULY-TB'!A:G,7,0)</f>
        <v>-25960</v>
      </c>
    </row>
    <row r="756" spans="1:10">
      <c r="A756" s="211" t="s">
        <v>768</v>
      </c>
      <c r="B756" s="211">
        <v>-52156</v>
      </c>
      <c r="C756" s="211">
        <v>356832</v>
      </c>
      <c r="D756" s="211">
        <v>304676</v>
      </c>
      <c r="E756" s="211">
        <v>0</v>
      </c>
      <c r="G756" s="211">
        <f t="shared" si="15"/>
        <v>0</v>
      </c>
      <c r="H756" s="211" t="s">
        <v>80</v>
      </c>
      <c r="J756" s="211">
        <f>VLOOKUP(A756,'JULY-TB'!A:G,7,0)</f>
        <v>0</v>
      </c>
    </row>
    <row r="757" spans="1:10">
      <c r="A757" s="211" t="s">
        <v>217</v>
      </c>
      <c r="B757" s="211">
        <v>-59714</v>
      </c>
      <c r="C757" s="211">
        <v>109904</v>
      </c>
      <c r="D757" s="211">
        <v>100380</v>
      </c>
      <c r="E757" s="211">
        <v>-50190</v>
      </c>
      <c r="G757" s="211">
        <f t="shared" si="15"/>
        <v>-50190</v>
      </c>
      <c r="H757" s="211" t="s">
        <v>80</v>
      </c>
      <c r="J757" s="211">
        <f>VLOOKUP(A757,'JULY-TB'!A:G,7,0)</f>
        <v>0</v>
      </c>
    </row>
    <row r="758" spans="1:10">
      <c r="A758" s="211" t="s">
        <v>769</v>
      </c>
      <c r="B758" s="211">
        <v>-367395</v>
      </c>
      <c r="C758" s="211">
        <v>712572</v>
      </c>
      <c r="D758" s="211">
        <v>430164</v>
      </c>
      <c r="E758" s="211">
        <v>-84987</v>
      </c>
      <c r="G758" s="211">
        <f t="shared" si="15"/>
        <v>-84987</v>
      </c>
      <c r="H758" s="211" t="s">
        <v>80</v>
      </c>
      <c r="J758" s="211">
        <f>VLOOKUP(A758,'JULY-TB'!A:G,7,0)</f>
        <v>-84987</v>
      </c>
    </row>
    <row r="759" spans="1:10">
      <c r="A759" s="211" t="s">
        <v>770</v>
      </c>
      <c r="B759" s="211">
        <v>-0.36</v>
      </c>
      <c r="C759" s="211">
        <v>4779</v>
      </c>
      <c r="D759" s="211">
        <v>4779</v>
      </c>
      <c r="E759" s="211">
        <v>-0.36</v>
      </c>
      <c r="G759" s="211">
        <f t="shared" si="15"/>
        <v>-0.36</v>
      </c>
      <c r="H759" s="211" t="s">
        <v>80</v>
      </c>
      <c r="J759" s="211">
        <f>VLOOKUP(A759,'JULY-TB'!A:G,7,0)</f>
        <v>-0.36</v>
      </c>
    </row>
    <row r="760" spans="1:10">
      <c r="A760" s="211" t="s">
        <v>771</v>
      </c>
      <c r="B760" s="211">
        <v>-12596</v>
      </c>
      <c r="C760" s="211">
        <v>58584</v>
      </c>
      <c r="D760" s="211">
        <v>45988</v>
      </c>
      <c r="E760" s="211">
        <v>0</v>
      </c>
      <c r="G760" s="211">
        <f t="shared" si="15"/>
        <v>0</v>
      </c>
      <c r="H760" s="211" t="s">
        <v>80</v>
      </c>
      <c r="J760" s="211">
        <f>VLOOKUP(A760,'JULY-TB'!A:G,7,0)</f>
        <v>0</v>
      </c>
    </row>
    <row r="761" spans="1:10">
      <c r="A761" s="211" t="s">
        <v>216</v>
      </c>
      <c r="B761" s="211">
        <v>-40380</v>
      </c>
      <c r="C761" s="211">
        <v>81892</v>
      </c>
      <c r="D761" s="211">
        <v>127829</v>
      </c>
      <c r="E761" s="211">
        <v>-86317</v>
      </c>
      <c r="G761" s="211">
        <f t="shared" si="15"/>
        <v>-86317</v>
      </c>
      <c r="H761" s="211" t="s">
        <v>80</v>
      </c>
      <c r="J761" s="211">
        <f>VLOOKUP(A761,'JULY-TB'!A:G,7,0)</f>
        <v>-90388</v>
      </c>
    </row>
    <row r="762" spans="1:10">
      <c r="A762" s="211" t="s">
        <v>1207</v>
      </c>
      <c r="B762" s="211">
        <v>0</v>
      </c>
      <c r="C762" s="211">
        <v>18148</v>
      </c>
      <c r="D762" s="211">
        <v>20071</v>
      </c>
      <c r="E762" s="211">
        <v>-1923</v>
      </c>
      <c r="G762" s="211">
        <f t="shared" si="15"/>
        <v>-1923</v>
      </c>
      <c r="H762" s="211" t="s">
        <v>80</v>
      </c>
      <c r="J762" s="211">
        <f>VLOOKUP(A762,'JULY-TB'!A:G,7,0)</f>
        <v>0</v>
      </c>
    </row>
    <row r="763" spans="1:10">
      <c r="A763" s="211" t="s">
        <v>1578</v>
      </c>
      <c r="B763" s="211">
        <v>0</v>
      </c>
      <c r="C763" s="211">
        <v>0</v>
      </c>
      <c r="D763" s="211">
        <v>10768</v>
      </c>
      <c r="E763" s="211">
        <v>-10768</v>
      </c>
      <c r="G763" s="211">
        <f t="shared" si="15"/>
        <v>-10768</v>
      </c>
      <c r="H763" s="211" t="s">
        <v>80</v>
      </c>
      <c r="J763" s="211">
        <f>VLOOKUP(A763,'JULY-TB'!A:G,7,0)</f>
        <v>-10768</v>
      </c>
    </row>
    <row r="764" spans="1:10">
      <c r="A764" s="211" t="s">
        <v>215</v>
      </c>
      <c r="B764" s="211">
        <v>-11328</v>
      </c>
      <c r="C764" s="211">
        <v>11328</v>
      </c>
      <c r="D764" s="211">
        <v>0</v>
      </c>
      <c r="E764" s="211">
        <v>0</v>
      </c>
      <c r="G764" s="211">
        <f t="shared" si="15"/>
        <v>0</v>
      </c>
      <c r="H764" s="211" t="s">
        <v>80</v>
      </c>
      <c r="J764" s="211">
        <f>VLOOKUP(A764,'JULY-TB'!A:G,7,0)</f>
        <v>0</v>
      </c>
    </row>
    <row r="765" spans="1:10">
      <c r="A765" s="211" t="s">
        <v>421</v>
      </c>
      <c r="B765" s="211">
        <v>-0.2</v>
      </c>
      <c r="C765" s="211">
        <v>15576</v>
      </c>
      <c r="D765" s="211">
        <v>15576</v>
      </c>
      <c r="E765" s="211">
        <v>-0.2</v>
      </c>
      <c r="G765" s="211">
        <f t="shared" si="15"/>
        <v>-0.2</v>
      </c>
      <c r="H765" s="211" t="s">
        <v>80</v>
      </c>
      <c r="J765" s="211">
        <f>VLOOKUP(A765,'JULY-TB'!A:G,7,0)</f>
        <v>-0.2</v>
      </c>
    </row>
    <row r="766" spans="1:10">
      <c r="A766" s="211" t="s">
        <v>772</v>
      </c>
      <c r="B766" s="211">
        <v>-9865</v>
      </c>
      <c r="C766" s="211">
        <v>14797.4</v>
      </c>
      <c r="D766" s="211">
        <v>19728.8</v>
      </c>
      <c r="E766" s="211">
        <v>-14796.4</v>
      </c>
      <c r="G766" s="211">
        <f t="shared" si="15"/>
        <v>-14796.4</v>
      </c>
      <c r="H766" s="211" t="s">
        <v>80</v>
      </c>
      <c r="J766" s="211">
        <f>VLOOKUP(A766,'JULY-TB'!A:G,7,0)</f>
        <v>0</v>
      </c>
    </row>
    <row r="767" spans="1:10">
      <c r="A767" s="211" t="s">
        <v>1208</v>
      </c>
      <c r="B767" s="211">
        <v>0</v>
      </c>
      <c r="C767" s="211">
        <v>38409</v>
      </c>
      <c r="D767" s="211">
        <v>43129</v>
      </c>
      <c r="E767" s="211">
        <v>-4720</v>
      </c>
      <c r="G767" s="211">
        <f t="shared" si="15"/>
        <v>-4720</v>
      </c>
      <c r="H767" s="211" t="s">
        <v>80</v>
      </c>
      <c r="J767" s="211">
        <f>VLOOKUP(A767,'JULY-TB'!A:G,7,0)</f>
        <v>-4720</v>
      </c>
    </row>
    <row r="768" spans="1:10">
      <c r="A768" s="211" t="s">
        <v>1209</v>
      </c>
      <c r="B768" s="211">
        <v>0</v>
      </c>
      <c r="C768" s="211">
        <v>0</v>
      </c>
      <c r="D768" s="211">
        <v>0</v>
      </c>
      <c r="E768" s="211">
        <v>0</v>
      </c>
      <c r="G768" s="211">
        <f t="shared" si="15"/>
        <v>0</v>
      </c>
      <c r="H768" s="211" t="s">
        <v>80</v>
      </c>
      <c r="J768" s="211">
        <f>VLOOKUP(A768,'JULY-TB'!A:G,7,0)</f>
        <v>0</v>
      </c>
    </row>
    <row r="769" spans="1:10">
      <c r="A769" s="211" t="s">
        <v>377</v>
      </c>
      <c r="B769" s="211">
        <v>-68342</v>
      </c>
      <c r="C769" s="211">
        <v>198453</v>
      </c>
      <c r="D769" s="211">
        <v>138390.01</v>
      </c>
      <c r="E769" s="211">
        <v>-8279.01</v>
      </c>
      <c r="G769" s="211">
        <f t="shared" si="15"/>
        <v>-8279.01</v>
      </c>
      <c r="H769" s="211" t="s">
        <v>80</v>
      </c>
      <c r="J769" s="211">
        <f>VLOOKUP(A769,'JULY-TB'!A:G,7,0)</f>
        <v>-17409.009999999998</v>
      </c>
    </row>
    <row r="770" spans="1:10">
      <c r="A770" s="211" t="s">
        <v>773</v>
      </c>
      <c r="B770" s="211">
        <v>-1510</v>
      </c>
      <c r="C770" s="211">
        <v>0</v>
      </c>
      <c r="D770" s="211">
        <v>0</v>
      </c>
      <c r="E770" s="211">
        <v>-1510</v>
      </c>
      <c r="G770" s="211">
        <f t="shared" si="15"/>
        <v>-1510</v>
      </c>
      <c r="H770" s="211" t="s">
        <v>80</v>
      </c>
      <c r="J770" s="211">
        <f>VLOOKUP(A770,'JULY-TB'!A:G,7,0)</f>
        <v>-1510</v>
      </c>
    </row>
    <row r="771" spans="1:10">
      <c r="A771" s="211" t="s">
        <v>774</v>
      </c>
      <c r="B771" s="211">
        <v>-20387</v>
      </c>
      <c r="C771" s="211">
        <v>26336</v>
      </c>
      <c r="D771" s="211">
        <v>27519</v>
      </c>
      <c r="E771" s="211">
        <v>-21570</v>
      </c>
      <c r="G771" s="211">
        <f t="shared" si="15"/>
        <v>-21570</v>
      </c>
      <c r="H771" s="211" t="s">
        <v>80</v>
      </c>
      <c r="J771" s="211">
        <f>VLOOKUP(A771,'JULY-TB'!A:G,7,0)</f>
        <v>-41900</v>
      </c>
    </row>
    <row r="772" spans="1:10">
      <c r="A772" s="211" t="s">
        <v>443</v>
      </c>
      <c r="B772" s="211">
        <v>-6263.98</v>
      </c>
      <c r="C772" s="211">
        <v>66522</v>
      </c>
      <c r="D772" s="211">
        <v>84219</v>
      </c>
      <c r="E772" s="211">
        <v>-23960.98</v>
      </c>
      <c r="G772" s="211">
        <f t="shared" ref="G772:G835" si="16">E772+F772</f>
        <v>-23960.98</v>
      </c>
      <c r="H772" s="211" t="s">
        <v>80</v>
      </c>
      <c r="J772" s="211">
        <f>VLOOKUP(A772,'JULY-TB'!A:G,7,0)</f>
        <v>-43750.98</v>
      </c>
    </row>
    <row r="773" spans="1:10">
      <c r="A773" s="211" t="s">
        <v>775</v>
      </c>
      <c r="B773" s="211">
        <v>0</v>
      </c>
      <c r="C773" s="211">
        <v>16638</v>
      </c>
      <c r="D773" s="211">
        <v>16638</v>
      </c>
      <c r="E773" s="211">
        <v>0</v>
      </c>
      <c r="G773" s="211">
        <f t="shared" si="16"/>
        <v>0</v>
      </c>
      <c r="H773" s="211" t="s">
        <v>80</v>
      </c>
      <c r="J773" s="211">
        <f>VLOOKUP(A773,'JULY-TB'!A:G,7,0)</f>
        <v>0</v>
      </c>
    </row>
    <row r="774" spans="1:10">
      <c r="A774" s="211" t="s">
        <v>1579</v>
      </c>
      <c r="B774" s="211">
        <v>0</v>
      </c>
      <c r="C774" s="211">
        <v>35400</v>
      </c>
      <c r="D774" s="211">
        <v>35400</v>
      </c>
      <c r="E774" s="211">
        <v>0</v>
      </c>
      <c r="G774" s="211">
        <f t="shared" si="16"/>
        <v>0</v>
      </c>
      <c r="H774" s="211" t="s">
        <v>80</v>
      </c>
      <c r="J774" s="211">
        <f>VLOOKUP(A774,'JULY-TB'!A:G,7,0)</f>
        <v>0</v>
      </c>
    </row>
    <row r="775" spans="1:10">
      <c r="A775" s="211" t="s">
        <v>206</v>
      </c>
      <c r="B775" s="211">
        <v>0</v>
      </c>
      <c r="C775" s="211">
        <v>38943</v>
      </c>
      <c r="D775" s="211">
        <v>38943</v>
      </c>
      <c r="E775" s="211">
        <v>0</v>
      </c>
      <c r="G775" s="211">
        <f t="shared" si="16"/>
        <v>0</v>
      </c>
      <c r="H775" s="211" t="s">
        <v>80</v>
      </c>
      <c r="J775" s="211">
        <f>VLOOKUP(A775,'JULY-TB'!A:G,7,0)</f>
        <v>0</v>
      </c>
    </row>
    <row r="776" spans="1:10">
      <c r="A776" s="211" t="s">
        <v>384</v>
      </c>
      <c r="B776" s="211">
        <v>-24824</v>
      </c>
      <c r="C776" s="211">
        <v>64109</v>
      </c>
      <c r="D776" s="211">
        <v>85644</v>
      </c>
      <c r="E776" s="211">
        <v>-46359</v>
      </c>
      <c r="G776" s="211">
        <f t="shared" si="16"/>
        <v>-46359</v>
      </c>
      <c r="H776" s="211" t="s">
        <v>80</v>
      </c>
      <c r="J776" s="211">
        <f>VLOOKUP(A776,'JULY-TB'!A:G,7,0)</f>
        <v>-24824</v>
      </c>
    </row>
    <row r="777" spans="1:10">
      <c r="A777" s="211" t="s">
        <v>1210</v>
      </c>
      <c r="B777" s="211">
        <v>0</v>
      </c>
      <c r="C777" s="211">
        <v>0</v>
      </c>
      <c r="D777" s="211">
        <v>0</v>
      </c>
      <c r="E777" s="211">
        <v>0</v>
      </c>
      <c r="G777" s="211">
        <f t="shared" si="16"/>
        <v>0</v>
      </c>
      <c r="H777" s="211" t="s">
        <v>80</v>
      </c>
      <c r="J777" s="211">
        <f>VLOOKUP(A777,'JULY-TB'!A:G,7,0)</f>
        <v>0</v>
      </c>
    </row>
    <row r="778" spans="1:10">
      <c r="A778" s="211" t="s">
        <v>1636</v>
      </c>
      <c r="B778" s="211">
        <v>0</v>
      </c>
      <c r="C778" s="211">
        <v>2596</v>
      </c>
      <c r="D778" s="211">
        <v>0</v>
      </c>
      <c r="E778" s="211">
        <v>2596</v>
      </c>
      <c r="G778" s="211">
        <f t="shared" si="16"/>
        <v>2596</v>
      </c>
      <c r="H778" s="211" t="s">
        <v>80</v>
      </c>
      <c r="J778" s="211" t="e">
        <f>VLOOKUP(A778,'JULY-TB'!A:G,7,0)</f>
        <v>#N/A</v>
      </c>
    </row>
    <row r="779" spans="1:10">
      <c r="A779" s="211" t="s">
        <v>776</v>
      </c>
      <c r="B779" s="211">
        <v>-216819</v>
      </c>
      <c r="C779" s="211">
        <v>216819</v>
      </c>
      <c r="D779" s="211">
        <v>0</v>
      </c>
      <c r="E779" s="211">
        <v>0</v>
      </c>
      <c r="G779" s="211">
        <f t="shared" si="16"/>
        <v>0</v>
      </c>
      <c r="H779" s="211" t="s">
        <v>80</v>
      </c>
      <c r="J779" s="211">
        <f>VLOOKUP(A779,'JULY-TB'!A:G,7,0)</f>
        <v>0</v>
      </c>
    </row>
    <row r="780" spans="1:10">
      <c r="A780" s="211" t="s">
        <v>1211</v>
      </c>
      <c r="B780" s="211">
        <v>0</v>
      </c>
      <c r="C780" s="211">
        <v>0</v>
      </c>
      <c r="D780" s="211">
        <v>0</v>
      </c>
      <c r="E780" s="211">
        <v>0</v>
      </c>
      <c r="G780" s="211">
        <f t="shared" si="16"/>
        <v>0</v>
      </c>
      <c r="H780" s="211" t="s">
        <v>80</v>
      </c>
      <c r="J780" s="211">
        <f>VLOOKUP(A780,'JULY-TB'!A:G,7,0)</f>
        <v>0</v>
      </c>
    </row>
    <row r="781" spans="1:10">
      <c r="A781" s="211" t="s">
        <v>201</v>
      </c>
      <c r="B781" s="211">
        <v>-9973.26</v>
      </c>
      <c r="C781" s="211">
        <v>38092.26</v>
      </c>
      <c r="D781" s="211">
        <v>28119</v>
      </c>
      <c r="E781" s="211">
        <v>0</v>
      </c>
      <c r="G781" s="211">
        <f t="shared" si="16"/>
        <v>0</v>
      </c>
      <c r="H781" s="211" t="s">
        <v>80</v>
      </c>
      <c r="J781" s="211">
        <f>VLOOKUP(A781,'JULY-TB'!A:G,7,0)</f>
        <v>0</v>
      </c>
    </row>
    <row r="782" spans="1:10">
      <c r="A782" s="211" t="s">
        <v>417</v>
      </c>
      <c r="B782" s="211">
        <v>-26609</v>
      </c>
      <c r="C782" s="211">
        <v>26609</v>
      </c>
      <c r="D782" s="211">
        <v>0</v>
      </c>
      <c r="E782" s="211">
        <v>0</v>
      </c>
      <c r="G782" s="211">
        <f t="shared" si="16"/>
        <v>0</v>
      </c>
      <c r="H782" s="211" t="s">
        <v>80</v>
      </c>
      <c r="J782" s="211">
        <f>VLOOKUP(A782,'JULY-TB'!A:G,7,0)</f>
        <v>0</v>
      </c>
    </row>
    <row r="783" spans="1:10">
      <c r="A783" s="211" t="s">
        <v>777</v>
      </c>
      <c r="B783" s="211">
        <v>-36650</v>
      </c>
      <c r="C783" s="211">
        <v>65784</v>
      </c>
      <c r="D783" s="211">
        <v>58786</v>
      </c>
      <c r="E783" s="211">
        <v>-29652</v>
      </c>
      <c r="G783" s="211">
        <f t="shared" si="16"/>
        <v>-29652</v>
      </c>
      <c r="H783" s="211" t="s">
        <v>80</v>
      </c>
      <c r="J783" s="211">
        <f>VLOOKUP(A783,'JULY-TB'!A:G,7,0)</f>
        <v>-14962</v>
      </c>
    </row>
    <row r="784" spans="1:10">
      <c r="A784" s="211" t="s">
        <v>199</v>
      </c>
      <c r="B784" s="211">
        <v>1162.8</v>
      </c>
      <c r="C784" s="211">
        <v>991.2</v>
      </c>
      <c r="D784" s="211">
        <v>0</v>
      </c>
      <c r="E784" s="211">
        <v>2154</v>
      </c>
      <c r="G784" s="211">
        <f t="shared" si="16"/>
        <v>2154</v>
      </c>
      <c r="H784" s="211" t="s">
        <v>80</v>
      </c>
      <c r="J784" s="211">
        <f>VLOOKUP(A784,'JULY-TB'!A:G,7,0)</f>
        <v>2154</v>
      </c>
    </row>
    <row r="785" spans="1:10">
      <c r="A785" s="211" t="s">
        <v>1637</v>
      </c>
      <c r="B785" s="211">
        <v>0</v>
      </c>
      <c r="C785" s="211">
        <v>0</v>
      </c>
      <c r="D785" s="211">
        <v>14868</v>
      </c>
      <c r="E785" s="211">
        <v>-14868</v>
      </c>
      <c r="G785" s="211">
        <f t="shared" si="16"/>
        <v>-14868</v>
      </c>
      <c r="H785" s="211" t="s">
        <v>80</v>
      </c>
      <c r="J785" s="211" t="e">
        <f>VLOOKUP(A785,'JULY-TB'!A:G,7,0)</f>
        <v>#N/A</v>
      </c>
    </row>
    <row r="786" spans="1:10">
      <c r="A786" s="211" t="s">
        <v>778</v>
      </c>
      <c r="B786" s="211">
        <v>-0.54</v>
      </c>
      <c r="C786" s="211">
        <v>12887.7</v>
      </c>
      <c r="D786" s="211">
        <v>12887</v>
      </c>
      <c r="E786" s="211">
        <v>0.16</v>
      </c>
      <c r="G786" s="211">
        <f t="shared" si="16"/>
        <v>0.16</v>
      </c>
      <c r="H786" s="211" t="s">
        <v>80</v>
      </c>
      <c r="J786" s="211">
        <f>VLOOKUP(A786,'JULY-TB'!A:G,7,0)</f>
        <v>0.16</v>
      </c>
    </row>
    <row r="787" spans="1:10">
      <c r="A787" s="211" t="s">
        <v>1212</v>
      </c>
      <c r="B787" s="211">
        <v>0</v>
      </c>
      <c r="C787" s="211">
        <v>80855.7</v>
      </c>
      <c r="D787" s="211">
        <v>80856</v>
      </c>
      <c r="E787" s="211">
        <v>-0.3</v>
      </c>
      <c r="G787" s="211">
        <f t="shared" si="16"/>
        <v>-0.3</v>
      </c>
      <c r="H787" s="211" t="s">
        <v>80</v>
      </c>
      <c r="J787" s="211">
        <f>VLOOKUP(A787,'JULY-TB'!A:G,7,0)</f>
        <v>-0.3</v>
      </c>
    </row>
    <row r="788" spans="1:10">
      <c r="A788" s="211" t="s">
        <v>379</v>
      </c>
      <c r="B788" s="211">
        <v>-38527</v>
      </c>
      <c r="C788" s="211">
        <v>112743</v>
      </c>
      <c r="D788" s="211">
        <v>76989</v>
      </c>
      <c r="E788" s="211">
        <v>-2773</v>
      </c>
      <c r="G788" s="211">
        <f t="shared" si="16"/>
        <v>-2773</v>
      </c>
      <c r="H788" s="211" t="s">
        <v>80</v>
      </c>
      <c r="J788" s="211">
        <f>VLOOKUP(A788,'JULY-TB'!A:G,7,0)</f>
        <v>-2773</v>
      </c>
    </row>
    <row r="789" spans="1:10">
      <c r="A789" s="211" t="s">
        <v>387</v>
      </c>
      <c r="B789" s="211">
        <v>408.6</v>
      </c>
      <c r="C789" s="211">
        <v>0</v>
      </c>
      <c r="D789" s="211">
        <v>0</v>
      </c>
      <c r="E789" s="211">
        <v>408.6</v>
      </c>
      <c r="G789" s="211">
        <f t="shared" si="16"/>
        <v>408.6</v>
      </c>
      <c r="H789" s="211" t="s">
        <v>80</v>
      </c>
      <c r="J789" s="211">
        <f>VLOOKUP(A789,'JULY-TB'!A:G,7,0)</f>
        <v>408.6</v>
      </c>
    </row>
    <row r="790" spans="1:10">
      <c r="A790" s="211" t="s">
        <v>463</v>
      </c>
      <c r="B790" s="211">
        <v>-44075</v>
      </c>
      <c r="C790" s="211">
        <v>305381</v>
      </c>
      <c r="D790" s="211">
        <v>322440</v>
      </c>
      <c r="E790" s="211">
        <v>-61134</v>
      </c>
      <c r="G790" s="211">
        <f t="shared" si="16"/>
        <v>-61134</v>
      </c>
      <c r="H790" s="211" t="s">
        <v>80</v>
      </c>
      <c r="J790" s="211">
        <f>VLOOKUP(A790,'JULY-TB'!A:G,7,0)</f>
        <v>-61134</v>
      </c>
    </row>
    <row r="791" spans="1:10">
      <c r="A791" s="211" t="s">
        <v>1213</v>
      </c>
      <c r="B791" s="211">
        <v>0</v>
      </c>
      <c r="C791" s="211">
        <v>0</v>
      </c>
      <c r="D791" s="211">
        <v>0</v>
      </c>
      <c r="E791" s="211">
        <v>0</v>
      </c>
      <c r="G791" s="211">
        <f t="shared" si="16"/>
        <v>0</v>
      </c>
      <c r="H791" s="211" t="s">
        <v>80</v>
      </c>
      <c r="J791" s="211">
        <f>VLOOKUP(A791,'JULY-TB'!A:G,7,0)</f>
        <v>0</v>
      </c>
    </row>
    <row r="792" spans="1:10">
      <c r="A792" s="211" t="s">
        <v>779</v>
      </c>
      <c r="B792" s="211">
        <v>0</v>
      </c>
      <c r="C792" s="211">
        <v>12637.8</v>
      </c>
      <c r="D792" s="211">
        <v>37240.800000000003</v>
      </c>
      <c r="E792" s="211">
        <v>-24603</v>
      </c>
      <c r="G792" s="211">
        <f t="shared" si="16"/>
        <v>-24603</v>
      </c>
      <c r="H792" s="211" t="s">
        <v>80</v>
      </c>
      <c r="J792" s="211">
        <f>VLOOKUP(A792,'JULY-TB'!A:G,7,0)</f>
        <v>0</v>
      </c>
    </row>
    <row r="793" spans="1:10">
      <c r="A793" s="211" t="s">
        <v>1214</v>
      </c>
      <c r="B793" s="211">
        <v>0</v>
      </c>
      <c r="C793" s="211">
        <v>0</v>
      </c>
      <c r="D793" s="211">
        <v>0</v>
      </c>
      <c r="E793" s="211">
        <v>0</v>
      </c>
      <c r="G793" s="211">
        <f t="shared" si="16"/>
        <v>0</v>
      </c>
      <c r="H793" s="211" t="s">
        <v>80</v>
      </c>
      <c r="J793" s="211">
        <f>VLOOKUP(A793,'JULY-TB'!A:G,7,0)</f>
        <v>0</v>
      </c>
    </row>
    <row r="794" spans="1:10">
      <c r="A794" s="211" t="s">
        <v>1215</v>
      </c>
      <c r="B794" s="211">
        <v>0</v>
      </c>
      <c r="C794" s="211">
        <v>167084.29999999999</v>
      </c>
      <c r="D794" s="211">
        <v>167084.29999999999</v>
      </c>
      <c r="E794" s="211">
        <v>0</v>
      </c>
      <c r="G794" s="211">
        <f t="shared" si="16"/>
        <v>0</v>
      </c>
      <c r="H794" s="211" t="s">
        <v>80</v>
      </c>
      <c r="J794" s="211">
        <f>VLOOKUP(A794,'JULY-TB'!A:G,7,0)</f>
        <v>0</v>
      </c>
    </row>
    <row r="795" spans="1:10">
      <c r="A795" s="211" t="s">
        <v>1463</v>
      </c>
      <c r="B795" s="211">
        <v>0</v>
      </c>
      <c r="C795" s="211">
        <v>32500</v>
      </c>
      <c r="D795" s="211">
        <v>13324</v>
      </c>
      <c r="E795" s="211">
        <v>19176</v>
      </c>
      <c r="G795" s="211">
        <f t="shared" si="16"/>
        <v>19176</v>
      </c>
      <c r="H795" s="211" t="s">
        <v>80</v>
      </c>
      <c r="J795" s="211">
        <f>VLOOKUP(A795,'JULY-TB'!A:G,7,0)</f>
        <v>-324</v>
      </c>
    </row>
    <row r="796" spans="1:10">
      <c r="A796" s="211" t="s">
        <v>194</v>
      </c>
      <c r="B796" s="211">
        <v>-17750</v>
      </c>
      <c r="C796" s="211">
        <v>0</v>
      </c>
      <c r="D796" s="211">
        <v>0</v>
      </c>
      <c r="E796" s="211">
        <v>-17750</v>
      </c>
      <c r="G796" s="211">
        <f t="shared" si="16"/>
        <v>-17750</v>
      </c>
      <c r="H796" s="211" t="s">
        <v>80</v>
      </c>
      <c r="J796" s="211">
        <f>VLOOKUP(A796,'JULY-TB'!A:G,7,0)</f>
        <v>-17750</v>
      </c>
    </row>
    <row r="797" spans="1:10">
      <c r="A797" s="211" t="s">
        <v>1216</v>
      </c>
      <c r="B797" s="211">
        <v>0</v>
      </c>
      <c r="C797" s="211">
        <v>61360</v>
      </c>
      <c r="D797" s="211">
        <v>197650</v>
      </c>
      <c r="E797" s="211">
        <v>-136290</v>
      </c>
      <c r="G797" s="211">
        <f t="shared" si="16"/>
        <v>-136290</v>
      </c>
      <c r="H797" s="211" t="s">
        <v>80</v>
      </c>
      <c r="J797" s="211">
        <f>VLOOKUP(A797,'JULY-TB'!A:G,7,0)</f>
        <v>0</v>
      </c>
    </row>
    <row r="798" spans="1:10">
      <c r="A798" s="211" t="s">
        <v>509</v>
      </c>
      <c r="B798" s="211">
        <v>-4790</v>
      </c>
      <c r="C798" s="211">
        <v>0</v>
      </c>
      <c r="D798" s="211">
        <v>0</v>
      </c>
      <c r="E798" s="211">
        <v>-4790</v>
      </c>
      <c r="G798" s="211">
        <f t="shared" si="16"/>
        <v>-4790</v>
      </c>
      <c r="H798" s="211" t="s">
        <v>80</v>
      </c>
      <c r="J798" s="211">
        <f>VLOOKUP(A798,'JULY-TB'!A:G,7,0)</f>
        <v>-4790</v>
      </c>
    </row>
    <row r="799" spans="1:10">
      <c r="A799" s="211" t="s">
        <v>1217</v>
      </c>
      <c r="B799" s="211">
        <v>0</v>
      </c>
      <c r="C799" s="211">
        <v>0</v>
      </c>
      <c r="D799" s="211">
        <v>0</v>
      </c>
      <c r="E799" s="211">
        <v>0</v>
      </c>
      <c r="G799" s="211">
        <f t="shared" si="16"/>
        <v>0</v>
      </c>
      <c r="H799" s="211" t="s">
        <v>80</v>
      </c>
      <c r="J799" s="211">
        <f>VLOOKUP(A799,'JULY-TB'!A:G,7,0)</f>
        <v>0</v>
      </c>
    </row>
    <row r="800" spans="1:10">
      <c r="A800" s="211" t="s">
        <v>1219</v>
      </c>
      <c r="B800" s="211">
        <v>0</v>
      </c>
      <c r="C800" s="211">
        <v>0</v>
      </c>
      <c r="D800" s="211">
        <v>0</v>
      </c>
      <c r="E800" s="211">
        <v>0</v>
      </c>
      <c r="G800" s="211">
        <f t="shared" si="16"/>
        <v>0</v>
      </c>
      <c r="H800" s="211" t="s">
        <v>80</v>
      </c>
      <c r="J800" s="211">
        <f>VLOOKUP(A800,'JULY-TB'!A:G,7,0)</f>
        <v>0</v>
      </c>
    </row>
    <row r="801" spans="1:10">
      <c r="A801" s="211" t="s">
        <v>1580</v>
      </c>
      <c r="B801" s="211">
        <v>0</v>
      </c>
      <c r="C801" s="211">
        <v>13771</v>
      </c>
      <c r="D801" s="211">
        <v>13771</v>
      </c>
      <c r="E801" s="211">
        <v>0</v>
      </c>
      <c r="G801" s="211">
        <f t="shared" si="16"/>
        <v>0</v>
      </c>
      <c r="H801" s="211" t="s">
        <v>80</v>
      </c>
      <c r="J801" s="211">
        <f>VLOOKUP(A801,'JULY-TB'!A:G,7,0)</f>
        <v>0</v>
      </c>
    </row>
    <row r="802" spans="1:10">
      <c r="A802" s="211" t="s">
        <v>1220</v>
      </c>
      <c r="B802" s="211">
        <v>0</v>
      </c>
      <c r="C802" s="211">
        <v>0</v>
      </c>
      <c r="D802" s="211">
        <v>0</v>
      </c>
      <c r="E802" s="211">
        <v>0</v>
      </c>
      <c r="G802" s="211">
        <f t="shared" si="16"/>
        <v>0</v>
      </c>
      <c r="H802" s="211" t="s">
        <v>80</v>
      </c>
      <c r="J802" s="211">
        <f>VLOOKUP(A802,'JULY-TB'!A:G,7,0)</f>
        <v>0</v>
      </c>
    </row>
    <row r="803" spans="1:10">
      <c r="A803" s="211" t="s">
        <v>191</v>
      </c>
      <c r="B803" s="211">
        <v>-242458</v>
      </c>
      <c r="C803" s="211">
        <v>565402.75</v>
      </c>
      <c r="D803" s="211">
        <v>538029.75</v>
      </c>
      <c r="E803" s="211">
        <v>-215085</v>
      </c>
      <c r="G803" s="211">
        <f t="shared" si="16"/>
        <v>-215085</v>
      </c>
      <c r="H803" s="211" t="s">
        <v>80</v>
      </c>
      <c r="J803" s="211">
        <f>VLOOKUP(A803,'JULY-TB'!A:G,7,0)</f>
        <v>-62020</v>
      </c>
    </row>
    <row r="804" spans="1:10">
      <c r="A804" s="211" t="s">
        <v>780</v>
      </c>
      <c r="B804" s="211">
        <v>-270397</v>
      </c>
      <c r="C804" s="211">
        <v>295767</v>
      </c>
      <c r="D804" s="211">
        <v>122130</v>
      </c>
      <c r="E804" s="211">
        <v>-96760</v>
      </c>
      <c r="G804" s="211">
        <f t="shared" si="16"/>
        <v>-96760</v>
      </c>
      <c r="H804" s="211" t="s">
        <v>80</v>
      </c>
      <c r="J804" s="211">
        <f>VLOOKUP(A804,'JULY-TB'!A:G,7,0)</f>
        <v>-158002</v>
      </c>
    </row>
    <row r="805" spans="1:10">
      <c r="A805" s="211" t="s">
        <v>1221</v>
      </c>
      <c r="B805" s="211">
        <v>0</v>
      </c>
      <c r="C805" s="211">
        <v>0</v>
      </c>
      <c r="D805" s="211">
        <v>0</v>
      </c>
      <c r="E805" s="211">
        <v>0</v>
      </c>
      <c r="G805" s="211">
        <f t="shared" si="16"/>
        <v>0</v>
      </c>
      <c r="H805" s="211" t="s">
        <v>80</v>
      </c>
      <c r="J805" s="211">
        <f>VLOOKUP(A805,'JULY-TB'!A:G,7,0)</f>
        <v>0</v>
      </c>
    </row>
    <row r="806" spans="1:10">
      <c r="A806" s="211" t="s">
        <v>781</v>
      </c>
      <c r="B806" s="211">
        <v>-21308.5</v>
      </c>
      <c r="C806" s="211">
        <v>23777</v>
      </c>
      <c r="D806" s="211">
        <v>24709</v>
      </c>
      <c r="E806" s="211">
        <v>-22240.5</v>
      </c>
      <c r="G806" s="211">
        <f t="shared" si="16"/>
        <v>-22240.5</v>
      </c>
      <c r="H806" s="211" t="s">
        <v>80</v>
      </c>
      <c r="J806" s="211">
        <f>VLOOKUP(A806,'JULY-TB'!A:G,7,0)</f>
        <v>-10499.5</v>
      </c>
    </row>
    <row r="807" spans="1:10">
      <c r="A807" s="211" t="s">
        <v>782</v>
      </c>
      <c r="B807" s="211">
        <v>-1888.5</v>
      </c>
      <c r="C807" s="211">
        <v>26521</v>
      </c>
      <c r="D807" s="211">
        <v>108265</v>
      </c>
      <c r="E807" s="211">
        <v>-83632.5</v>
      </c>
      <c r="G807" s="211">
        <f t="shared" si="16"/>
        <v>-83632.5</v>
      </c>
      <c r="H807" s="211" t="s">
        <v>80</v>
      </c>
      <c r="J807" s="211">
        <f>VLOOKUP(A807,'JULY-TB'!A:G,7,0)</f>
        <v>-67761.5</v>
      </c>
    </row>
    <row r="808" spans="1:10">
      <c r="A808" s="211" t="s">
        <v>187</v>
      </c>
      <c r="B808" s="211">
        <v>-344330</v>
      </c>
      <c r="C808" s="211">
        <v>563006</v>
      </c>
      <c r="D808" s="211">
        <v>433851</v>
      </c>
      <c r="E808" s="211">
        <v>-215175</v>
      </c>
      <c r="G808" s="211">
        <f t="shared" si="16"/>
        <v>-215175</v>
      </c>
      <c r="H808" s="211" t="s">
        <v>80</v>
      </c>
      <c r="J808" s="211">
        <f>VLOOKUP(A808,'JULY-TB'!A:G,7,0)</f>
        <v>-50904</v>
      </c>
    </row>
    <row r="809" spans="1:10">
      <c r="A809" s="211" t="s">
        <v>1222</v>
      </c>
      <c r="B809" s="211">
        <v>0</v>
      </c>
      <c r="C809" s="211">
        <v>0</v>
      </c>
      <c r="D809" s="211">
        <v>0</v>
      </c>
      <c r="E809" s="211">
        <v>0</v>
      </c>
      <c r="G809" s="211">
        <f t="shared" si="16"/>
        <v>0</v>
      </c>
      <c r="H809" s="211" t="s">
        <v>80</v>
      </c>
      <c r="J809" s="211">
        <f>VLOOKUP(A809,'JULY-TB'!A:G,7,0)</f>
        <v>0</v>
      </c>
    </row>
    <row r="810" spans="1:10">
      <c r="A810" s="211" t="s">
        <v>188</v>
      </c>
      <c r="B810" s="211">
        <v>0</v>
      </c>
      <c r="C810" s="211">
        <v>24249</v>
      </c>
      <c r="D810" s="211">
        <v>24249</v>
      </c>
      <c r="E810" s="211">
        <v>0</v>
      </c>
      <c r="G810" s="211">
        <f t="shared" si="16"/>
        <v>0</v>
      </c>
      <c r="H810" s="211" t="s">
        <v>80</v>
      </c>
      <c r="J810" s="211">
        <f>VLOOKUP(A810,'JULY-TB'!A:G,7,0)</f>
        <v>0</v>
      </c>
    </row>
    <row r="811" spans="1:10">
      <c r="A811" s="211" t="s">
        <v>189</v>
      </c>
      <c r="B811" s="211">
        <v>-74340</v>
      </c>
      <c r="C811" s="211">
        <v>715847</v>
      </c>
      <c r="D811" s="211">
        <v>708708</v>
      </c>
      <c r="E811" s="211">
        <v>-67201</v>
      </c>
      <c r="G811" s="211">
        <f t="shared" si="16"/>
        <v>-67201</v>
      </c>
      <c r="H811" s="211" t="s">
        <v>80</v>
      </c>
      <c r="J811" s="211">
        <f>VLOOKUP(A811,'JULY-TB'!A:G,7,0)</f>
        <v>-56994</v>
      </c>
    </row>
    <row r="812" spans="1:10">
      <c r="A812" s="211" t="s">
        <v>1223</v>
      </c>
      <c r="B812" s="211">
        <v>0</v>
      </c>
      <c r="C812" s="211">
        <v>44250</v>
      </c>
      <c r="D812" s="211">
        <v>33344</v>
      </c>
      <c r="E812" s="211">
        <v>10906</v>
      </c>
      <c r="G812" s="211">
        <f t="shared" si="16"/>
        <v>10906</v>
      </c>
      <c r="H812" s="211" t="s">
        <v>80</v>
      </c>
      <c r="J812" s="211">
        <f>VLOOKUP(A812,'JULY-TB'!A:G,7,0)</f>
        <v>10906</v>
      </c>
    </row>
    <row r="813" spans="1:10">
      <c r="A813" s="211" t="s">
        <v>190</v>
      </c>
      <c r="B813" s="211">
        <v>0.86</v>
      </c>
      <c r="C813" s="211">
        <v>8122.8</v>
      </c>
      <c r="D813" s="211">
        <v>8122.8</v>
      </c>
      <c r="E813" s="211">
        <v>0.86</v>
      </c>
      <c r="G813" s="211">
        <f t="shared" si="16"/>
        <v>0.86</v>
      </c>
      <c r="H813" s="211" t="s">
        <v>80</v>
      </c>
      <c r="J813" s="211">
        <f>VLOOKUP(A813,'JULY-TB'!A:G,7,0)</f>
        <v>0.86</v>
      </c>
    </row>
    <row r="814" spans="1:10">
      <c r="A814" s="211" t="s">
        <v>181</v>
      </c>
      <c r="B814" s="211">
        <v>-3000</v>
      </c>
      <c r="C814" s="211">
        <v>0</v>
      </c>
      <c r="D814" s="211">
        <v>0</v>
      </c>
      <c r="E814" s="211">
        <v>-3000</v>
      </c>
      <c r="G814" s="211">
        <f t="shared" si="16"/>
        <v>-3000</v>
      </c>
      <c r="H814" s="211" t="s">
        <v>80</v>
      </c>
      <c r="J814" s="211">
        <f>VLOOKUP(A814,'JULY-TB'!A:G,7,0)</f>
        <v>-3000</v>
      </c>
    </row>
    <row r="815" spans="1:10">
      <c r="A815" s="211" t="s">
        <v>783</v>
      </c>
      <c r="B815" s="211">
        <v>-7446</v>
      </c>
      <c r="C815" s="211">
        <v>7446</v>
      </c>
      <c r="D815" s="211">
        <v>13064</v>
      </c>
      <c r="E815" s="211">
        <v>-13064</v>
      </c>
      <c r="G815" s="211">
        <f t="shared" si="16"/>
        <v>-13064</v>
      </c>
      <c r="H815" s="211" t="s">
        <v>80</v>
      </c>
      <c r="J815" s="211">
        <f>VLOOKUP(A815,'JULY-TB'!A:G,7,0)</f>
        <v>0</v>
      </c>
    </row>
    <row r="816" spans="1:10">
      <c r="A816" s="211" t="s">
        <v>182</v>
      </c>
      <c r="B816" s="211">
        <v>-13539.4</v>
      </c>
      <c r="C816" s="211">
        <v>0</v>
      </c>
      <c r="D816" s="211">
        <v>0</v>
      </c>
      <c r="E816" s="211">
        <v>-13539.4</v>
      </c>
      <c r="G816" s="211">
        <f t="shared" si="16"/>
        <v>-13539.4</v>
      </c>
      <c r="H816" s="211" t="s">
        <v>80</v>
      </c>
      <c r="J816" s="211">
        <f>VLOOKUP(A816,'JULY-TB'!A:G,7,0)</f>
        <v>-13539.4</v>
      </c>
    </row>
    <row r="817" spans="1:10">
      <c r="A817" s="211" t="s">
        <v>1224</v>
      </c>
      <c r="B817" s="211">
        <v>0</v>
      </c>
      <c r="C817" s="211">
        <v>0</v>
      </c>
      <c r="D817" s="211">
        <v>0</v>
      </c>
      <c r="E817" s="211">
        <v>0</v>
      </c>
      <c r="G817" s="211">
        <f t="shared" si="16"/>
        <v>0</v>
      </c>
      <c r="H817" s="211" t="s">
        <v>80</v>
      </c>
      <c r="J817" s="211">
        <f>VLOOKUP(A817,'JULY-TB'!A:G,7,0)</f>
        <v>0</v>
      </c>
    </row>
    <row r="818" spans="1:10">
      <c r="A818" s="211" t="s">
        <v>480</v>
      </c>
      <c r="B818" s="211">
        <v>-31860</v>
      </c>
      <c r="C818" s="211">
        <v>78293</v>
      </c>
      <c r="D818" s="211">
        <v>64310</v>
      </c>
      <c r="E818" s="211">
        <v>-17877</v>
      </c>
      <c r="G818" s="211">
        <f t="shared" si="16"/>
        <v>-17877</v>
      </c>
      <c r="H818" s="211" t="s">
        <v>80</v>
      </c>
      <c r="J818" s="211">
        <f>VLOOKUP(A818,'JULY-TB'!A:G,7,0)</f>
        <v>-43778</v>
      </c>
    </row>
    <row r="819" spans="1:10">
      <c r="A819" s="211" t="s">
        <v>1225</v>
      </c>
      <c r="B819" s="211">
        <v>0</v>
      </c>
      <c r="C819" s="211">
        <v>5369</v>
      </c>
      <c r="D819" s="211">
        <v>5369</v>
      </c>
      <c r="E819" s="211">
        <v>0</v>
      </c>
      <c r="G819" s="211">
        <f t="shared" si="16"/>
        <v>0</v>
      </c>
      <c r="H819" s="211" t="s">
        <v>80</v>
      </c>
      <c r="J819" s="211">
        <f>VLOOKUP(A819,'JULY-TB'!A:G,7,0)</f>
        <v>0</v>
      </c>
    </row>
    <row r="820" spans="1:10">
      <c r="A820" s="211" t="s">
        <v>178</v>
      </c>
      <c r="B820" s="211">
        <v>-0.08</v>
      </c>
      <c r="C820" s="211">
        <v>0</v>
      </c>
      <c r="D820" s="211">
        <v>0</v>
      </c>
      <c r="E820" s="211">
        <v>-0.08</v>
      </c>
      <c r="G820" s="211">
        <f t="shared" si="16"/>
        <v>-0.08</v>
      </c>
      <c r="H820" s="211" t="s">
        <v>80</v>
      </c>
      <c r="J820" s="211">
        <f>VLOOKUP(A820,'JULY-TB'!A:G,7,0)</f>
        <v>-0.08</v>
      </c>
    </row>
    <row r="821" spans="1:10">
      <c r="A821" s="211" t="s">
        <v>1226</v>
      </c>
      <c r="B821" s="211">
        <v>0</v>
      </c>
      <c r="C821" s="211">
        <v>0</v>
      </c>
      <c r="D821" s="211">
        <v>0</v>
      </c>
      <c r="E821" s="211">
        <v>0</v>
      </c>
      <c r="G821" s="211">
        <f t="shared" si="16"/>
        <v>0</v>
      </c>
      <c r="H821" s="211" t="s">
        <v>80</v>
      </c>
      <c r="J821" s="211">
        <f>VLOOKUP(A821,'JULY-TB'!A:G,7,0)</f>
        <v>0</v>
      </c>
    </row>
    <row r="822" spans="1:10">
      <c r="A822" s="211" t="s">
        <v>179</v>
      </c>
      <c r="B822" s="211">
        <v>3628.6</v>
      </c>
      <c r="C822" s="211">
        <v>0</v>
      </c>
      <c r="D822" s="211">
        <v>0</v>
      </c>
      <c r="E822" s="211">
        <v>3628.6</v>
      </c>
      <c r="G822" s="211">
        <f t="shared" si="16"/>
        <v>3628.6</v>
      </c>
      <c r="H822" s="211" t="s">
        <v>80</v>
      </c>
      <c r="J822" s="211">
        <f>VLOOKUP(A822,'JULY-TB'!A:G,7,0)</f>
        <v>3628.6</v>
      </c>
    </row>
    <row r="823" spans="1:10">
      <c r="A823" s="211" t="s">
        <v>176</v>
      </c>
      <c r="B823" s="211">
        <v>-122795</v>
      </c>
      <c r="C823" s="211">
        <v>181010</v>
      </c>
      <c r="D823" s="211">
        <v>136793</v>
      </c>
      <c r="E823" s="211">
        <v>-78578</v>
      </c>
      <c r="G823" s="211">
        <f t="shared" si="16"/>
        <v>-78578</v>
      </c>
      <c r="H823" s="211" t="s">
        <v>80</v>
      </c>
      <c r="J823" s="211">
        <f>VLOOKUP(A823,'JULY-TB'!A:G,7,0)</f>
        <v>-70118</v>
      </c>
    </row>
    <row r="824" spans="1:10">
      <c r="A824" s="211" t="s">
        <v>481</v>
      </c>
      <c r="B824" s="211">
        <v>-229003</v>
      </c>
      <c r="C824" s="211">
        <v>229003</v>
      </c>
      <c r="D824" s="211">
        <v>0</v>
      </c>
      <c r="E824" s="211">
        <v>0</v>
      </c>
      <c r="G824" s="211">
        <f t="shared" si="16"/>
        <v>0</v>
      </c>
      <c r="H824" s="211" t="s">
        <v>80</v>
      </c>
      <c r="J824" s="211">
        <f>VLOOKUP(A824,'JULY-TB'!A:G,7,0)</f>
        <v>-19009</v>
      </c>
    </row>
    <row r="825" spans="1:10">
      <c r="A825" s="211" t="s">
        <v>1227</v>
      </c>
      <c r="B825" s="211">
        <v>0</v>
      </c>
      <c r="C825" s="211">
        <v>0</v>
      </c>
      <c r="D825" s="211">
        <v>0</v>
      </c>
      <c r="E825" s="211">
        <v>0</v>
      </c>
      <c r="G825" s="211">
        <f t="shared" si="16"/>
        <v>0</v>
      </c>
      <c r="H825" s="211" t="s">
        <v>80</v>
      </c>
      <c r="J825" s="211">
        <f>VLOOKUP(A825,'JULY-TB'!A:G,7,0)</f>
        <v>0</v>
      </c>
    </row>
    <row r="826" spans="1:10">
      <c r="A826" s="211" t="s">
        <v>174</v>
      </c>
      <c r="B826" s="211">
        <v>-4956</v>
      </c>
      <c r="C826" s="211">
        <v>4956</v>
      </c>
      <c r="D826" s="211">
        <v>0</v>
      </c>
      <c r="E826" s="211">
        <v>0</v>
      </c>
      <c r="G826" s="211">
        <f t="shared" si="16"/>
        <v>0</v>
      </c>
      <c r="H826" s="211" t="s">
        <v>80</v>
      </c>
      <c r="J826" s="211">
        <f>VLOOKUP(A826,'JULY-TB'!A:G,7,0)</f>
        <v>0</v>
      </c>
    </row>
    <row r="827" spans="1:10">
      <c r="A827" s="211" t="s">
        <v>1464</v>
      </c>
      <c r="B827" s="211">
        <v>0</v>
      </c>
      <c r="C827" s="211">
        <v>1180</v>
      </c>
      <c r="D827" s="211">
        <v>2360</v>
      </c>
      <c r="E827" s="211">
        <v>-1180</v>
      </c>
      <c r="G827" s="211">
        <f t="shared" si="16"/>
        <v>-1180</v>
      </c>
      <c r="H827" s="211" t="s">
        <v>80</v>
      </c>
      <c r="J827" s="211">
        <f>VLOOKUP(A827,'JULY-TB'!A:G,7,0)</f>
        <v>-2360</v>
      </c>
    </row>
    <row r="828" spans="1:10">
      <c r="A828" s="211" t="s">
        <v>175</v>
      </c>
      <c r="B828" s="211">
        <v>-108335</v>
      </c>
      <c r="C828" s="211">
        <v>11434</v>
      </c>
      <c r="D828" s="211">
        <v>86470</v>
      </c>
      <c r="E828" s="211">
        <v>-183371</v>
      </c>
      <c r="G828" s="211">
        <f t="shared" si="16"/>
        <v>-183371</v>
      </c>
      <c r="H828" s="211" t="s">
        <v>80</v>
      </c>
      <c r="J828" s="211">
        <f>VLOOKUP(A828,'JULY-TB'!A:G,7,0)</f>
        <v>-121846</v>
      </c>
    </row>
    <row r="829" spans="1:10">
      <c r="A829" s="211" t="s">
        <v>1228</v>
      </c>
      <c r="B829" s="211">
        <v>0</v>
      </c>
      <c r="C829" s="211">
        <v>98087</v>
      </c>
      <c r="D829" s="211">
        <v>98088</v>
      </c>
      <c r="E829" s="211">
        <v>-1</v>
      </c>
      <c r="G829" s="211">
        <f t="shared" si="16"/>
        <v>-1</v>
      </c>
      <c r="H829" s="211" t="s">
        <v>80</v>
      </c>
      <c r="J829" s="211">
        <f>VLOOKUP(A829,'JULY-TB'!A:G,7,0)</f>
        <v>-1</v>
      </c>
    </row>
    <row r="830" spans="1:10">
      <c r="A830" s="211" t="s">
        <v>784</v>
      </c>
      <c r="B830" s="211">
        <v>-6903.78</v>
      </c>
      <c r="C830" s="211">
        <v>41512</v>
      </c>
      <c r="D830" s="211">
        <v>40155</v>
      </c>
      <c r="E830" s="211">
        <v>-5546.78</v>
      </c>
      <c r="G830" s="211">
        <f t="shared" si="16"/>
        <v>-5546.78</v>
      </c>
      <c r="H830" s="211" t="s">
        <v>80</v>
      </c>
      <c r="J830" s="211">
        <f>VLOOKUP(A830,'JULY-TB'!A:G,7,0)</f>
        <v>-15257.78</v>
      </c>
    </row>
    <row r="831" spans="1:10">
      <c r="A831" s="211" t="s">
        <v>420</v>
      </c>
      <c r="B831" s="211">
        <v>-1305516.8500000001</v>
      </c>
      <c r="C831" s="211">
        <v>4028070.7</v>
      </c>
      <c r="D831" s="211">
        <v>3482881.94</v>
      </c>
      <c r="E831" s="211">
        <v>-760328.09</v>
      </c>
      <c r="G831" s="211">
        <f t="shared" si="16"/>
        <v>-760328.09</v>
      </c>
      <c r="H831" s="211" t="s">
        <v>80</v>
      </c>
      <c r="J831" s="211">
        <f>VLOOKUP(A831,'JULY-TB'!A:G,7,0)</f>
        <v>-666823.68999999994</v>
      </c>
    </row>
    <row r="832" spans="1:10">
      <c r="A832" s="211" t="s">
        <v>407</v>
      </c>
      <c r="B832" s="211">
        <v>-19765</v>
      </c>
      <c r="C832" s="211">
        <v>19765</v>
      </c>
      <c r="D832" s="211">
        <v>30090</v>
      </c>
      <c r="E832" s="211">
        <v>-30090</v>
      </c>
      <c r="G832" s="211">
        <f t="shared" si="16"/>
        <v>-30090</v>
      </c>
      <c r="H832" s="211" t="s">
        <v>80</v>
      </c>
      <c r="J832" s="211">
        <f>VLOOKUP(A832,'JULY-TB'!A:G,7,0)</f>
        <v>0</v>
      </c>
    </row>
    <row r="833" spans="1:10">
      <c r="A833" s="211" t="s">
        <v>785</v>
      </c>
      <c r="B833" s="211">
        <v>-8200</v>
      </c>
      <c r="C833" s="211">
        <v>0</v>
      </c>
      <c r="D833" s="211">
        <v>0</v>
      </c>
      <c r="E833" s="211">
        <v>-8200</v>
      </c>
      <c r="G833" s="211">
        <f t="shared" si="16"/>
        <v>-8200</v>
      </c>
      <c r="H833" s="211" t="s">
        <v>80</v>
      </c>
      <c r="J833" s="211">
        <f>VLOOKUP(A833,'JULY-TB'!A:G,7,0)</f>
        <v>-8200</v>
      </c>
    </row>
    <row r="834" spans="1:10">
      <c r="A834" s="211" t="s">
        <v>1638</v>
      </c>
      <c r="B834" s="211">
        <v>0</v>
      </c>
      <c r="C834" s="211">
        <v>50740</v>
      </c>
      <c r="D834" s="211">
        <v>50740</v>
      </c>
      <c r="E834" s="211">
        <v>0</v>
      </c>
      <c r="G834" s="211">
        <f t="shared" si="16"/>
        <v>0</v>
      </c>
      <c r="H834" s="211" t="s">
        <v>80</v>
      </c>
      <c r="J834" s="211" t="e">
        <f>VLOOKUP(A834,'JULY-TB'!A:G,7,0)</f>
        <v>#N/A</v>
      </c>
    </row>
    <row r="835" spans="1:10">
      <c r="A835" s="211" t="s">
        <v>442</v>
      </c>
      <c r="B835" s="211">
        <v>-300009.86</v>
      </c>
      <c r="C835" s="211">
        <v>466458</v>
      </c>
      <c r="D835" s="211">
        <v>496395.01</v>
      </c>
      <c r="E835" s="211">
        <v>-329946.87</v>
      </c>
      <c r="G835" s="211">
        <f t="shared" si="16"/>
        <v>-329946.87</v>
      </c>
      <c r="H835" s="211" t="s">
        <v>80</v>
      </c>
      <c r="J835" s="211">
        <f>VLOOKUP(A835,'JULY-TB'!A:G,7,0)</f>
        <v>-251647.87</v>
      </c>
    </row>
    <row r="836" spans="1:10">
      <c r="A836" s="211" t="s">
        <v>170</v>
      </c>
      <c r="B836" s="211">
        <v>-3014.89</v>
      </c>
      <c r="C836" s="211">
        <v>10089</v>
      </c>
      <c r="D836" s="211">
        <v>25960</v>
      </c>
      <c r="E836" s="211">
        <v>-18885.89</v>
      </c>
      <c r="G836" s="211">
        <f t="shared" ref="G836:G899" si="17">E836+F836</f>
        <v>-18885.89</v>
      </c>
      <c r="H836" s="211" t="s">
        <v>80</v>
      </c>
      <c r="J836" s="211">
        <f>VLOOKUP(A836,'JULY-TB'!A:G,7,0)</f>
        <v>-18885.89</v>
      </c>
    </row>
    <row r="837" spans="1:10">
      <c r="A837" s="211" t="s">
        <v>1581</v>
      </c>
      <c r="B837" s="211">
        <v>0</v>
      </c>
      <c r="C837" s="211">
        <v>161375</v>
      </c>
      <c r="D837" s="211">
        <v>227746</v>
      </c>
      <c r="E837" s="211">
        <v>-66371</v>
      </c>
      <c r="G837" s="211">
        <f t="shared" si="17"/>
        <v>-66371</v>
      </c>
      <c r="H837" s="211" t="s">
        <v>80</v>
      </c>
      <c r="J837" s="211">
        <f>VLOOKUP(A837,'JULY-TB'!A:G,7,0)</f>
        <v>-227746</v>
      </c>
    </row>
    <row r="838" spans="1:10">
      <c r="A838" s="211" t="s">
        <v>786</v>
      </c>
      <c r="B838" s="211">
        <v>-14650</v>
      </c>
      <c r="C838" s="211">
        <v>0</v>
      </c>
      <c r="D838" s="211">
        <v>0</v>
      </c>
      <c r="E838" s="211">
        <v>-14650</v>
      </c>
      <c r="G838" s="211">
        <f t="shared" si="17"/>
        <v>-14650</v>
      </c>
      <c r="H838" s="211" t="s">
        <v>80</v>
      </c>
      <c r="J838" s="211">
        <f>VLOOKUP(A838,'JULY-TB'!A:G,7,0)</f>
        <v>-14650</v>
      </c>
    </row>
    <row r="839" spans="1:10">
      <c r="A839" s="211" t="s">
        <v>522</v>
      </c>
      <c r="B839" s="211">
        <v>-5310</v>
      </c>
      <c r="C839" s="211">
        <v>24632</v>
      </c>
      <c r="D839" s="211">
        <v>19322</v>
      </c>
      <c r="E839" s="211">
        <v>0</v>
      </c>
      <c r="G839" s="211">
        <f t="shared" si="17"/>
        <v>0</v>
      </c>
      <c r="H839" s="211" t="s">
        <v>80</v>
      </c>
      <c r="J839" s="211">
        <f>VLOOKUP(A839,'JULY-TB'!A:G,7,0)</f>
        <v>0</v>
      </c>
    </row>
    <row r="840" spans="1:10">
      <c r="A840" s="211" t="s">
        <v>1230</v>
      </c>
      <c r="B840" s="211">
        <v>0</v>
      </c>
      <c r="C840" s="211">
        <v>0</v>
      </c>
      <c r="D840" s="211">
        <v>0</v>
      </c>
      <c r="E840" s="211">
        <v>0</v>
      </c>
      <c r="G840" s="211">
        <f t="shared" si="17"/>
        <v>0</v>
      </c>
      <c r="H840" s="211" t="s">
        <v>80</v>
      </c>
      <c r="J840" s="211">
        <f>VLOOKUP(A840,'JULY-TB'!A:G,7,0)</f>
        <v>0</v>
      </c>
    </row>
    <row r="841" spans="1:10">
      <c r="A841" s="211" t="s">
        <v>787</v>
      </c>
      <c r="B841" s="211">
        <v>173483.6</v>
      </c>
      <c r="C841" s="211">
        <v>0</v>
      </c>
      <c r="D841" s="211">
        <v>173484</v>
      </c>
      <c r="E841" s="211">
        <v>-0.4</v>
      </c>
      <c r="G841" s="211">
        <f t="shared" si="17"/>
        <v>-0.4</v>
      </c>
      <c r="H841" s="211" t="s">
        <v>80</v>
      </c>
      <c r="J841" s="211">
        <f>VLOOKUP(A841,'JULY-TB'!A:G,7,0)</f>
        <v>-0.4</v>
      </c>
    </row>
    <row r="842" spans="1:10">
      <c r="A842" s="211" t="s">
        <v>788</v>
      </c>
      <c r="B842" s="211">
        <v>12744</v>
      </c>
      <c r="C842" s="211">
        <v>0</v>
      </c>
      <c r="D842" s="211">
        <v>12744</v>
      </c>
      <c r="E842" s="211">
        <v>0</v>
      </c>
      <c r="G842" s="211">
        <f t="shared" si="17"/>
        <v>0</v>
      </c>
      <c r="H842" s="211" t="s">
        <v>80</v>
      </c>
      <c r="J842" s="211">
        <f>VLOOKUP(A842,'JULY-TB'!A:G,7,0)</f>
        <v>0</v>
      </c>
    </row>
    <row r="843" spans="1:10">
      <c r="A843" s="211" t="s">
        <v>168</v>
      </c>
      <c r="B843" s="211">
        <v>-11706</v>
      </c>
      <c r="C843" s="211">
        <v>89377</v>
      </c>
      <c r="D843" s="211">
        <v>77671</v>
      </c>
      <c r="E843" s="211">
        <v>0</v>
      </c>
      <c r="G843" s="211">
        <f t="shared" si="17"/>
        <v>0</v>
      </c>
      <c r="H843" s="211" t="s">
        <v>80</v>
      </c>
      <c r="J843" s="211">
        <f>VLOOKUP(A843,'JULY-TB'!A:G,7,0)</f>
        <v>0</v>
      </c>
    </row>
    <row r="844" spans="1:10">
      <c r="A844" s="211" t="s">
        <v>789</v>
      </c>
      <c r="B844" s="211">
        <v>-151278</v>
      </c>
      <c r="C844" s="211">
        <v>173419</v>
      </c>
      <c r="D844" s="211">
        <v>97232</v>
      </c>
      <c r="E844" s="211">
        <v>-75091</v>
      </c>
      <c r="G844" s="211">
        <f t="shared" si="17"/>
        <v>-75091</v>
      </c>
      <c r="H844" s="211" t="s">
        <v>80</v>
      </c>
      <c r="J844" s="211">
        <f>VLOOKUP(A844,'JULY-TB'!A:G,7,0)</f>
        <v>-75091</v>
      </c>
    </row>
    <row r="845" spans="1:10">
      <c r="A845" s="211" t="s">
        <v>167</v>
      </c>
      <c r="B845" s="211">
        <v>-48734</v>
      </c>
      <c r="C845" s="211">
        <v>112454</v>
      </c>
      <c r="D845" s="211">
        <v>274704</v>
      </c>
      <c r="E845" s="211">
        <v>-210984</v>
      </c>
      <c r="G845" s="211">
        <f t="shared" si="17"/>
        <v>-210984</v>
      </c>
      <c r="H845" s="211" t="s">
        <v>80</v>
      </c>
      <c r="J845" s="211">
        <f>VLOOKUP(A845,'JULY-TB'!A:G,7,0)</f>
        <v>-63720</v>
      </c>
    </row>
    <row r="846" spans="1:10">
      <c r="A846" s="211" t="s">
        <v>1231</v>
      </c>
      <c r="B846" s="211">
        <v>0</v>
      </c>
      <c r="C846" s="211">
        <v>0</v>
      </c>
      <c r="D846" s="211">
        <v>0</v>
      </c>
      <c r="E846" s="211">
        <v>0</v>
      </c>
      <c r="G846" s="211">
        <f t="shared" si="17"/>
        <v>0</v>
      </c>
      <c r="H846" s="211" t="s">
        <v>80</v>
      </c>
      <c r="J846" s="211">
        <f>VLOOKUP(A846,'JULY-TB'!A:G,7,0)</f>
        <v>0</v>
      </c>
    </row>
    <row r="847" spans="1:10">
      <c r="A847" s="211" t="s">
        <v>1465</v>
      </c>
      <c r="B847" s="211">
        <v>0</v>
      </c>
      <c r="C847" s="211">
        <v>8106.6</v>
      </c>
      <c r="D847" s="211">
        <v>0</v>
      </c>
      <c r="E847" s="211">
        <v>8106.6</v>
      </c>
      <c r="G847" s="211">
        <f t="shared" si="17"/>
        <v>8106.6</v>
      </c>
      <c r="H847" s="211" t="s">
        <v>80</v>
      </c>
      <c r="J847" s="211">
        <f>VLOOKUP(A847,'JULY-TB'!A:G,7,0)</f>
        <v>8106.6</v>
      </c>
    </row>
    <row r="848" spans="1:10">
      <c r="A848" s="211" t="s">
        <v>790</v>
      </c>
      <c r="B848" s="211">
        <v>-38781.4</v>
      </c>
      <c r="C848" s="211">
        <v>43371</v>
      </c>
      <c r="D848" s="211">
        <v>8024</v>
      </c>
      <c r="E848" s="211">
        <v>-3434.4</v>
      </c>
      <c r="G848" s="211">
        <f t="shared" si="17"/>
        <v>-3434.4</v>
      </c>
      <c r="H848" s="211" t="s">
        <v>80</v>
      </c>
      <c r="J848" s="211">
        <f>VLOOKUP(A848,'JULY-TB'!A:G,7,0)</f>
        <v>-3434.4</v>
      </c>
    </row>
    <row r="849" spans="1:10">
      <c r="A849" s="211" t="s">
        <v>1538</v>
      </c>
      <c r="B849" s="211">
        <v>0</v>
      </c>
      <c r="C849" s="211">
        <v>791647</v>
      </c>
      <c r="D849" s="211">
        <v>791647</v>
      </c>
      <c r="E849" s="211">
        <v>0</v>
      </c>
      <c r="G849" s="211">
        <f t="shared" si="17"/>
        <v>0</v>
      </c>
      <c r="H849" s="211" t="s">
        <v>80</v>
      </c>
      <c r="J849" s="211">
        <f>VLOOKUP(A849,'JULY-TB'!A:G,7,0)</f>
        <v>0</v>
      </c>
    </row>
    <row r="850" spans="1:10">
      <c r="A850" s="211" t="s">
        <v>1639</v>
      </c>
      <c r="B850" s="211">
        <v>0</v>
      </c>
      <c r="C850" s="211">
        <v>2006</v>
      </c>
      <c r="D850" s="211">
        <v>2006</v>
      </c>
      <c r="E850" s="211">
        <v>0</v>
      </c>
      <c r="G850" s="211">
        <f t="shared" si="17"/>
        <v>0</v>
      </c>
      <c r="H850" s="211" t="s">
        <v>80</v>
      </c>
      <c r="J850" s="211" t="e">
        <f>VLOOKUP(A850,'JULY-TB'!A:G,7,0)</f>
        <v>#N/A</v>
      </c>
    </row>
    <row r="851" spans="1:10">
      <c r="A851" s="211" t="s">
        <v>166</v>
      </c>
      <c r="B851" s="211">
        <v>-38242</v>
      </c>
      <c r="C851" s="211">
        <v>179065</v>
      </c>
      <c r="D851" s="211">
        <v>145202</v>
      </c>
      <c r="E851" s="211">
        <v>-4379</v>
      </c>
      <c r="G851" s="211">
        <f t="shared" si="17"/>
        <v>-4379</v>
      </c>
      <c r="H851" s="211" t="s">
        <v>80</v>
      </c>
      <c r="J851" s="211">
        <f>VLOOKUP(A851,'JULY-TB'!A:G,7,0)</f>
        <v>-70311</v>
      </c>
    </row>
    <row r="852" spans="1:10">
      <c r="A852" s="211" t="s">
        <v>791</v>
      </c>
      <c r="B852" s="211">
        <v>4152.88</v>
      </c>
      <c r="C852" s="211">
        <v>591017.4</v>
      </c>
      <c r="D852" s="211">
        <v>456084</v>
      </c>
      <c r="E852" s="211">
        <v>139086.28</v>
      </c>
      <c r="G852" s="211">
        <f t="shared" si="17"/>
        <v>139086.28</v>
      </c>
      <c r="H852" s="211" t="s">
        <v>80</v>
      </c>
      <c r="J852" s="211">
        <f>VLOOKUP(A852,'JULY-TB'!A:G,7,0)</f>
        <v>172521.88</v>
      </c>
    </row>
    <row r="853" spans="1:10">
      <c r="A853" s="211" t="s">
        <v>792</v>
      </c>
      <c r="B853" s="211">
        <v>0</v>
      </c>
      <c r="C853" s="211">
        <v>16354.8</v>
      </c>
      <c r="D853" s="211">
        <v>16354</v>
      </c>
      <c r="E853" s="211">
        <v>0.8</v>
      </c>
      <c r="G853" s="211">
        <f t="shared" si="17"/>
        <v>0.8</v>
      </c>
      <c r="H853" s="211" t="s">
        <v>80</v>
      </c>
      <c r="J853" s="211">
        <f>VLOOKUP(A853,'JULY-TB'!A:G,7,0)</f>
        <v>0.8</v>
      </c>
    </row>
    <row r="854" spans="1:10">
      <c r="A854" s="211" t="s">
        <v>386</v>
      </c>
      <c r="B854" s="211">
        <v>-14331</v>
      </c>
      <c r="C854" s="211">
        <v>14331</v>
      </c>
      <c r="D854" s="211">
        <v>0</v>
      </c>
      <c r="E854" s="211">
        <v>0</v>
      </c>
      <c r="G854" s="211">
        <f t="shared" si="17"/>
        <v>0</v>
      </c>
      <c r="H854" s="211" t="s">
        <v>80</v>
      </c>
      <c r="J854" s="211">
        <f>VLOOKUP(A854,'JULY-TB'!A:G,7,0)</f>
        <v>-14331</v>
      </c>
    </row>
    <row r="855" spans="1:10">
      <c r="A855" s="211" t="s">
        <v>1466</v>
      </c>
      <c r="B855" s="211">
        <v>0</v>
      </c>
      <c r="C855" s="211">
        <v>12482</v>
      </c>
      <c r="D855" s="211">
        <v>53599</v>
      </c>
      <c r="E855" s="211">
        <v>-41117</v>
      </c>
      <c r="G855" s="211">
        <f t="shared" si="17"/>
        <v>-41117</v>
      </c>
      <c r="H855" s="211" t="s">
        <v>80</v>
      </c>
      <c r="J855" s="211">
        <f>VLOOKUP(A855,'JULY-TB'!A:G,7,0)</f>
        <v>-17266</v>
      </c>
    </row>
    <row r="856" spans="1:10">
      <c r="A856" s="211" t="s">
        <v>165</v>
      </c>
      <c r="B856" s="211">
        <v>-243959</v>
      </c>
      <c r="C856" s="211">
        <v>727169</v>
      </c>
      <c r="D856" s="211">
        <v>1058106</v>
      </c>
      <c r="E856" s="211">
        <v>-574896</v>
      </c>
      <c r="G856" s="211">
        <f t="shared" si="17"/>
        <v>-574896</v>
      </c>
      <c r="H856" s="211" t="s">
        <v>80</v>
      </c>
      <c r="J856" s="211">
        <f>VLOOKUP(A856,'JULY-TB'!A:G,7,0)</f>
        <v>-282492</v>
      </c>
    </row>
    <row r="857" spans="1:10">
      <c r="A857" s="211" t="s">
        <v>793</v>
      </c>
      <c r="B857" s="211">
        <v>-17818</v>
      </c>
      <c r="C857" s="211">
        <v>17818</v>
      </c>
      <c r="D857" s="211">
        <v>33807</v>
      </c>
      <c r="E857" s="211">
        <v>-33807</v>
      </c>
      <c r="G857" s="211">
        <f t="shared" si="17"/>
        <v>-33807</v>
      </c>
      <c r="H857" s="211" t="s">
        <v>80</v>
      </c>
      <c r="J857" s="211">
        <f>VLOOKUP(A857,'JULY-TB'!A:G,7,0)</f>
        <v>0</v>
      </c>
    </row>
    <row r="858" spans="1:10">
      <c r="A858" s="211" t="s">
        <v>1232</v>
      </c>
      <c r="B858" s="211">
        <v>0</v>
      </c>
      <c r="C858" s="211">
        <v>7788</v>
      </c>
      <c r="D858" s="211">
        <v>7788</v>
      </c>
      <c r="E858" s="211">
        <v>0</v>
      </c>
      <c r="G858" s="211">
        <f t="shared" si="17"/>
        <v>0</v>
      </c>
      <c r="H858" s="211" t="s">
        <v>80</v>
      </c>
      <c r="J858" s="211">
        <f>VLOOKUP(A858,'JULY-TB'!A:G,7,0)</f>
        <v>0</v>
      </c>
    </row>
    <row r="859" spans="1:10">
      <c r="A859" s="211" t="s">
        <v>1233</v>
      </c>
      <c r="B859" s="211">
        <v>0</v>
      </c>
      <c r="C859" s="211">
        <v>0</v>
      </c>
      <c r="D859" s="211">
        <v>0</v>
      </c>
      <c r="E859" s="211">
        <v>0</v>
      </c>
      <c r="G859" s="211">
        <f t="shared" si="17"/>
        <v>0</v>
      </c>
      <c r="H859" s="211" t="s">
        <v>80</v>
      </c>
      <c r="J859" s="211">
        <f>VLOOKUP(A859,'JULY-TB'!A:G,7,0)</f>
        <v>0</v>
      </c>
    </row>
    <row r="860" spans="1:10">
      <c r="A860" s="211" t="s">
        <v>1045</v>
      </c>
      <c r="B860" s="211">
        <v>-110802</v>
      </c>
      <c r="C860" s="211">
        <v>110802</v>
      </c>
      <c r="D860" s="211">
        <v>0</v>
      </c>
      <c r="E860" s="211">
        <v>0</v>
      </c>
      <c r="G860" s="211">
        <f t="shared" si="17"/>
        <v>0</v>
      </c>
      <c r="H860" s="211" t="s">
        <v>80</v>
      </c>
      <c r="J860" s="211">
        <f>VLOOKUP(A860,'JULY-TB'!A:G,7,0)</f>
        <v>0</v>
      </c>
    </row>
    <row r="861" spans="1:10">
      <c r="A861" s="211" t="s">
        <v>510</v>
      </c>
      <c r="B861" s="211">
        <v>-7.0000000000000007E-2</v>
      </c>
      <c r="C861" s="211">
        <v>0</v>
      </c>
      <c r="D861" s="211">
        <v>0</v>
      </c>
      <c r="E861" s="211">
        <v>-7.0000000000000007E-2</v>
      </c>
      <c r="G861" s="211">
        <f t="shared" si="17"/>
        <v>-7.0000000000000007E-2</v>
      </c>
      <c r="H861" s="211" t="s">
        <v>80</v>
      </c>
      <c r="J861" s="211">
        <f>VLOOKUP(A861,'JULY-TB'!A:G,7,0)</f>
        <v>-7.0000000000000007E-2</v>
      </c>
    </row>
    <row r="862" spans="1:10">
      <c r="A862" s="211" t="s">
        <v>159</v>
      </c>
      <c r="B862" s="211">
        <v>-163695</v>
      </c>
      <c r="C862" s="211">
        <v>163695</v>
      </c>
      <c r="D862" s="211">
        <v>833</v>
      </c>
      <c r="E862" s="211">
        <v>-833</v>
      </c>
      <c r="G862" s="211">
        <f t="shared" si="17"/>
        <v>-833</v>
      </c>
      <c r="H862" s="211" t="s">
        <v>80</v>
      </c>
      <c r="J862" s="211">
        <f>VLOOKUP(A862,'JULY-TB'!A:G,7,0)</f>
        <v>-833</v>
      </c>
    </row>
    <row r="863" spans="1:10">
      <c r="A863" s="211" t="s">
        <v>794</v>
      </c>
      <c r="B863" s="211">
        <v>-200.6</v>
      </c>
      <c r="C863" s="211">
        <v>0</v>
      </c>
      <c r="D863" s="211">
        <v>0</v>
      </c>
      <c r="E863" s="211">
        <v>-200.6</v>
      </c>
      <c r="G863" s="211">
        <f t="shared" si="17"/>
        <v>-200.6</v>
      </c>
      <c r="H863" s="211" t="s">
        <v>80</v>
      </c>
      <c r="J863" s="211">
        <f>VLOOKUP(A863,'JULY-TB'!A:G,7,0)</f>
        <v>-200.6</v>
      </c>
    </row>
    <row r="864" spans="1:10">
      <c r="A864" s="211" t="s">
        <v>795</v>
      </c>
      <c r="B864" s="211">
        <v>23954</v>
      </c>
      <c r="C864" s="211">
        <v>92607</v>
      </c>
      <c r="D864" s="211">
        <v>116561</v>
      </c>
      <c r="E864" s="211">
        <v>0</v>
      </c>
      <c r="G864" s="211">
        <f t="shared" si="17"/>
        <v>0</v>
      </c>
      <c r="H864" s="211" t="s">
        <v>80</v>
      </c>
      <c r="J864" s="211">
        <f>VLOOKUP(A864,'JULY-TB'!A:G,7,0)</f>
        <v>0</v>
      </c>
    </row>
    <row r="865" spans="1:10">
      <c r="A865" s="211" t="s">
        <v>796</v>
      </c>
      <c r="B865" s="211">
        <v>-219303</v>
      </c>
      <c r="C865" s="211">
        <v>379134</v>
      </c>
      <c r="D865" s="211">
        <v>281253</v>
      </c>
      <c r="E865" s="211">
        <v>-121422</v>
      </c>
      <c r="G865" s="211">
        <f t="shared" si="17"/>
        <v>-121422</v>
      </c>
      <c r="H865" s="211" t="s">
        <v>80</v>
      </c>
      <c r="J865" s="211">
        <f>VLOOKUP(A865,'JULY-TB'!A:G,7,0)</f>
        <v>-121422</v>
      </c>
    </row>
    <row r="866" spans="1:10">
      <c r="A866" s="211" t="s">
        <v>797</v>
      </c>
      <c r="B866" s="211">
        <v>-236085.4</v>
      </c>
      <c r="C866" s="211">
        <v>506157</v>
      </c>
      <c r="D866" s="211">
        <v>630710</v>
      </c>
      <c r="E866" s="211">
        <v>-360638.4</v>
      </c>
      <c r="G866" s="211">
        <f t="shared" si="17"/>
        <v>-360638.4</v>
      </c>
      <c r="H866" s="211" t="s">
        <v>80</v>
      </c>
      <c r="J866" s="211">
        <f>VLOOKUP(A866,'JULY-TB'!A:G,7,0)</f>
        <v>-229286.39999999999</v>
      </c>
    </row>
    <row r="867" spans="1:10">
      <c r="A867" s="211" t="s">
        <v>158</v>
      </c>
      <c r="B867" s="211">
        <v>-49320.34</v>
      </c>
      <c r="C867" s="211">
        <v>49320</v>
      </c>
      <c r="D867" s="211">
        <v>0</v>
      </c>
      <c r="E867" s="211">
        <v>-0.34</v>
      </c>
      <c r="G867" s="211">
        <f t="shared" si="17"/>
        <v>-0.34</v>
      </c>
      <c r="H867" s="211" t="s">
        <v>80</v>
      </c>
      <c r="J867" s="211">
        <f>VLOOKUP(A867,'JULY-TB'!A:G,7,0)</f>
        <v>-0.34</v>
      </c>
    </row>
    <row r="868" spans="1:10">
      <c r="A868" s="211" t="s">
        <v>1467</v>
      </c>
      <c r="B868" s="211">
        <v>0</v>
      </c>
      <c r="C868" s="211">
        <v>9204</v>
      </c>
      <c r="D868" s="211">
        <v>9204</v>
      </c>
      <c r="E868" s="211">
        <v>0</v>
      </c>
      <c r="G868" s="211">
        <f t="shared" si="17"/>
        <v>0</v>
      </c>
      <c r="H868" s="211" t="s">
        <v>80</v>
      </c>
      <c r="J868" s="211">
        <f>VLOOKUP(A868,'JULY-TB'!A:G,7,0)</f>
        <v>0</v>
      </c>
    </row>
    <row r="869" spans="1:10">
      <c r="A869" s="211" t="s">
        <v>1640</v>
      </c>
      <c r="B869" s="211">
        <v>0</v>
      </c>
      <c r="C869" s="211">
        <v>0</v>
      </c>
      <c r="D869" s="211">
        <v>749</v>
      </c>
      <c r="E869" s="211">
        <v>-749</v>
      </c>
      <c r="G869" s="211">
        <f t="shared" si="17"/>
        <v>-749</v>
      </c>
      <c r="H869" s="211" t="s">
        <v>80</v>
      </c>
      <c r="J869" s="211" t="e">
        <f>VLOOKUP(A869,'JULY-TB'!A:G,7,0)</f>
        <v>#N/A</v>
      </c>
    </row>
    <row r="870" spans="1:10">
      <c r="A870" s="211" t="s">
        <v>1641</v>
      </c>
      <c r="B870" s="211">
        <v>0</v>
      </c>
      <c r="C870" s="211">
        <v>0</v>
      </c>
      <c r="D870" s="211">
        <v>5698</v>
      </c>
      <c r="E870" s="211">
        <v>-5698</v>
      </c>
      <c r="G870" s="211">
        <f t="shared" si="17"/>
        <v>-5698</v>
      </c>
      <c r="H870" s="211" t="s">
        <v>80</v>
      </c>
      <c r="J870" s="211" t="e">
        <f>VLOOKUP(A870,'JULY-TB'!A:G,7,0)</f>
        <v>#N/A</v>
      </c>
    </row>
    <row r="871" spans="1:10">
      <c r="A871" s="211" t="s">
        <v>1234</v>
      </c>
      <c r="B871" s="211">
        <v>0</v>
      </c>
      <c r="C871" s="211">
        <v>0</v>
      </c>
      <c r="D871" s="211">
        <v>0</v>
      </c>
      <c r="E871" s="211">
        <v>0</v>
      </c>
      <c r="G871" s="211">
        <f t="shared" si="17"/>
        <v>0</v>
      </c>
      <c r="H871" s="211" t="s">
        <v>80</v>
      </c>
      <c r="J871" s="211">
        <f>VLOOKUP(A871,'JULY-TB'!A:G,7,0)</f>
        <v>0</v>
      </c>
    </row>
    <row r="872" spans="1:10">
      <c r="A872" s="211" t="s">
        <v>156</v>
      </c>
      <c r="B872" s="211">
        <v>-0.01</v>
      </c>
      <c r="C872" s="211">
        <v>0</v>
      </c>
      <c r="D872" s="211">
        <v>0</v>
      </c>
      <c r="E872" s="211">
        <v>-0.01</v>
      </c>
      <c r="G872" s="211">
        <f t="shared" si="17"/>
        <v>-0.01</v>
      </c>
      <c r="H872" s="211" t="s">
        <v>80</v>
      </c>
      <c r="J872" s="211">
        <f>VLOOKUP(A872,'JULY-TB'!A:G,7,0)</f>
        <v>-0.01</v>
      </c>
    </row>
    <row r="873" spans="1:10">
      <c r="A873" s="211" t="s">
        <v>1235</v>
      </c>
      <c r="B873" s="211">
        <v>0</v>
      </c>
      <c r="C873" s="211">
        <v>68502</v>
      </c>
      <c r="D873" s="211">
        <v>68502</v>
      </c>
      <c r="E873" s="211">
        <v>0</v>
      </c>
      <c r="G873" s="211">
        <f t="shared" si="17"/>
        <v>0</v>
      </c>
      <c r="H873" s="211" t="s">
        <v>80</v>
      </c>
      <c r="J873" s="211">
        <f>VLOOKUP(A873,'JULY-TB'!A:G,7,0)</f>
        <v>0</v>
      </c>
    </row>
    <row r="874" spans="1:10">
      <c r="A874" s="211" t="s">
        <v>425</v>
      </c>
      <c r="B874" s="211">
        <v>-0.01</v>
      </c>
      <c r="C874" s="211">
        <v>50598</v>
      </c>
      <c r="D874" s="211">
        <v>50598</v>
      </c>
      <c r="E874" s="211">
        <v>-0.01</v>
      </c>
      <c r="G874" s="211">
        <f t="shared" si="17"/>
        <v>-0.01</v>
      </c>
      <c r="H874" s="211" t="s">
        <v>80</v>
      </c>
      <c r="J874" s="211">
        <f>VLOOKUP(A874,'JULY-TB'!A:G,7,0)</f>
        <v>-0.01</v>
      </c>
    </row>
    <row r="875" spans="1:10">
      <c r="A875" s="211" t="s">
        <v>798</v>
      </c>
      <c r="B875" s="211">
        <v>780</v>
      </c>
      <c r="C875" s="211">
        <v>0</v>
      </c>
      <c r="D875" s="211">
        <v>0</v>
      </c>
      <c r="E875" s="211">
        <v>780</v>
      </c>
      <c r="G875" s="211">
        <f t="shared" si="17"/>
        <v>780</v>
      </c>
      <c r="H875" s="211" t="s">
        <v>80</v>
      </c>
      <c r="J875" s="211">
        <f>VLOOKUP(A875,'JULY-TB'!A:G,7,0)</f>
        <v>780</v>
      </c>
    </row>
    <row r="876" spans="1:10">
      <c r="A876" s="211" t="s">
        <v>1642</v>
      </c>
      <c r="B876" s="211">
        <v>0</v>
      </c>
      <c r="C876" s="211">
        <v>0</v>
      </c>
      <c r="D876" s="211">
        <v>8250.99</v>
      </c>
      <c r="E876" s="211">
        <v>-8250.99</v>
      </c>
      <c r="G876" s="211">
        <f t="shared" si="17"/>
        <v>-8250.99</v>
      </c>
      <c r="H876" s="211" t="s">
        <v>80</v>
      </c>
      <c r="J876" s="211" t="e">
        <f>VLOOKUP(A876,'JULY-TB'!A:G,7,0)</f>
        <v>#N/A</v>
      </c>
    </row>
    <row r="877" spans="1:10">
      <c r="A877" s="211" t="s">
        <v>1469</v>
      </c>
      <c r="B877" s="211">
        <v>0</v>
      </c>
      <c r="C877" s="211">
        <v>15340</v>
      </c>
      <c r="D877" s="211">
        <v>15340</v>
      </c>
      <c r="E877" s="211">
        <v>0</v>
      </c>
      <c r="G877" s="211">
        <f t="shared" si="17"/>
        <v>0</v>
      </c>
      <c r="H877" s="211" t="s">
        <v>80</v>
      </c>
      <c r="J877" s="211">
        <f>VLOOKUP(A877,'JULY-TB'!A:G,7,0)</f>
        <v>0</v>
      </c>
    </row>
    <row r="878" spans="1:10">
      <c r="A878" s="211" t="s">
        <v>1643</v>
      </c>
      <c r="B878" s="211">
        <v>0</v>
      </c>
      <c r="C878" s="211">
        <v>700</v>
      </c>
      <c r="D878" s="211">
        <v>700</v>
      </c>
      <c r="E878" s="211">
        <v>0</v>
      </c>
      <c r="G878" s="211">
        <f t="shared" si="17"/>
        <v>0</v>
      </c>
      <c r="H878" s="211" t="s">
        <v>80</v>
      </c>
      <c r="J878" s="211" t="e">
        <f>VLOOKUP(A878,'JULY-TB'!A:G,7,0)</f>
        <v>#N/A</v>
      </c>
    </row>
    <row r="879" spans="1:10">
      <c r="A879" s="211" t="s">
        <v>799</v>
      </c>
      <c r="B879" s="211">
        <v>-5283</v>
      </c>
      <c r="C879" s="211">
        <v>0</v>
      </c>
      <c r="D879" s="211">
        <v>14432</v>
      </c>
      <c r="E879" s="211">
        <v>-19715</v>
      </c>
      <c r="G879" s="211">
        <f t="shared" si="17"/>
        <v>-19715</v>
      </c>
      <c r="H879" s="211" t="s">
        <v>80</v>
      </c>
      <c r="J879" s="211">
        <f>VLOOKUP(A879,'JULY-TB'!A:G,7,0)</f>
        <v>-11939</v>
      </c>
    </row>
    <row r="880" spans="1:10">
      <c r="A880" s="211" t="s">
        <v>800</v>
      </c>
      <c r="B880" s="211">
        <v>0.03</v>
      </c>
      <c r="C880" s="211">
        <v>0</v>
      </c>
      <c r="D880" s="211">
        <v>0</v>
      </c>
      <c r="E880" s="211">
        <v>0.03</v>
      </c>
      <c r="G880" s="211">
        <f t="shared" si="17"/>
        <v>0.03</v>
      </c>
      <c r="H880" s="211" t="s">
        <v>80</v>
      </c>
      <c r="J880" s="211">
        <f>VLOOKUP(A880,'JULY-TB'!A:G,7,0)</f>
        <v>0.03</v>
      </c>
    </row>
    <row r="881" spans="1:10">
      <c r="A881" s="211" t="s">
        <v>1582</v>
      </c>
      <c r="B881" s="211">
        <v>0</v>
      </c>
      <c r="C881" s="211">
        <v>29028</v>
      </c>
      <c r="D881" s="211">
        <v>62681</v>
      </c>
      <c r="E881" s="211">
        <v>-33653</v>
      </c>
      <c r="G881" s="211">
        <f t="shared" si="17"/>
        <v>-33653</v>
      </c>
      <c r="H881" s="211" t="s">
        <v>80</v>
      </c>
      <c r="J881" s="211">
        <f>VLOOKUP(A881,'JULY-TB'!A:G,7,0)</f>
        <v>-29028</v>
      </c>
    </row>
    <row r="882" spans="1:10">
      <c r="A882" s="211" t="s">
        <v>1236</v>
      </c>
      <c r="B882" s="211">
        <v>0</v>
      </c>
      <c r="C882" s="211">
        <v>0</v>
      </c>
      <c r="D882" s="211">
        <v>0</v>
      </c>
      <c r="E882" s="211">
        <v>0</v>
      </c>
      <c r="G882" s="211">
        <f t="shared" si="17"/>
        <v>0</v>
      </c>
      <c r="H882" s="211" t="s">
        <v>80</v>
      </c>
      <c r="J882" s="211">
        <f>VLOOKUP(A882,'JULY-TB'!A:G,7,0)</f>
        <v>0</v>
      </c>
    </row>
    <row r="883" spans="1:10">
      <c r="A883" s="211" t="s">
        <v>153</v>
      </c>
      <c r="B883" s="211">
        <v>-33075.040000000001</v>
      </c>
      <c r="C883" s="211">
        <v>232883</v>
      </c>
      <c r="D883" s="211">
        <v>199808</v>
      </c>
      <c r="E883" s="211">
        <v>-0.04</v>
      </c>
      <c r="G883" s="211">
        <f t="shared" si="17"/>
        <v>-0.04</v>
      </c>
      <c r="H883" s="211" t="s">
        <v>80</v>
      </c>
      <c r="J883" s="211">
        <f>VLOOKUP(A883,'JULY-TB'!A:G,7,0)</f>
        <v>-12012.04</v>
      </c>
    </row>
    <row r="884" spans="1:10">
      <c r="A884" s="211" t="s">
        <v>152</v>
      </c>
      <c r="B884" s="211">
        <v>-1156</v>
      </c>
      <c r="C884" s="211">
        <v>16543</v>
      </c>
      <c r="D884" s="211">
        <v>32881</v>
      </c>
      <c r="E884" s="211">
        <v>-17494</v>
      </c>
      <c r="G884" s="211">
        <f t="shared" si="17"/>
        <v>-17494</v>
      </c>
      <c r="H884" s="211" t="s">
        <v>80</v>
      </c>
      <c r="J884" s="211">
        <f>VLOOKUP(A884,'JULY-TB'!A:G,7,0)</f>
        <v>-15387</v>
      </c>
    </row>
    <row r="885" spans="1:10">
      <c r="A885" s="211" t="s">
        <v>474</v>
      </c>
      <c r="B885" s="211">
        <v>-1510</v>
      </c>
      <c r="C885" s="211">
        <v>1510</v>
      </c>
      <c r="D885" s="211">
        <v>3575</v>
      </c>
      <c r="E885" s="211">
        <v>-3575</v>
      </c>
      <c r="G885" s="211">
        <f t="shared" si="17"/>
        <v>-3575</v>
      </c>
      <c r="H885" s="211" t="s">
        <v>80</v>
      </c>
      <c r="J885" s="211">
        <f>VLOOKUP(A885,'JULY-TB'!A:G,7,0)</f>
        <v>-3575</v>
      </c>
    </row>
    <row r="886" spans="1:10">
      <c r="A886" s="211" t="s">
        <v>1237</v>
      </c>
      <c r="B886" s="211">
        <v>0</v>
      </c>
      <c r="C886" s="211">
        <v>0</v>
      </c>
      <c r="D886" s="211">
        <v>0</v>
      </c>
      <c r="E886" s="211">
        <v>0</v>
      </c>
      <c r="G886" s="211">
        <f t="shared" si="17"/>
        <v>0</v>
      </c>
      <c r="H886" s="211" t="s">
        <v>80</v>
      </c>
      <c r="J886" s="211">
        <f>VLOOKUP(A886,'JULY-TB'!A:G,7,0)</f>
        <v>0</v>
      </c>
    </row>
    <row r="887" spans="1:10">
      <c r="A887" s="211" t="s">
        <v>511</v>
      </c>
      <c r="B887" s="211">
        <v>-84830</v>
      </c>
      <c r="C887" s="211">
        <v>240945</v>
      </c>
      <c r="D887" s="211">
        <v>177883</v>
      </c>
      <c r="E887" s="211">
        <v>-21768</v>
      </c>
      <c r="G887" s="211">
        <f t="shared" si="17"/>
        <v>-21768</v>
      </c>
      <c r="H887" s="211" t="s">
        <v>80</v>
      </c>
      <c r="J887" s="211">
        <f>VLOOKUP(A887,'JULY-TB'!A:G,7,0)</f>
        <v>-36344</v>
      </c>
    </row>
    <row r="888" spans="1:10">
      <c r="A888" s="211" t="s">
        <v>1238</v>
      </c>
      <c r="B888" s="211">
        <v>0</v>
      </c>
      <c r="C888" s="211">
        <v>47200</v>
      </c>
      <c r="D888" s="211">
        <v>47200</v>
      </c>
      <c r="E888" s="211">
        <v>0</v>
      </c>
      <c r="G888" s="211">
        <f t="shared" si="17"/>
        <v>0</v>
      </c>
      <c r="H888" s="211" t="s">
        <v>80</v>
      </c>
      <c r="J888" s="211">
        <f>VLOOKUP(A888,'JULY-TB'!A:G,7,0)</f>
        <v>0</v>
      </c>
    </row>
    <row r="889" spans="1:10">
      <c r="A889" s="211" t="s">
        <v>1239</v>
      </c>
      <c r="B889" s="211">
        <v>0</v>
      </c>
      <c r="C889" s="211">
        <v>27848</v>
      </c>
      <c r="D889" s="211">
        <v>27848</v>
      </c>
      <c r="E889" s="211">
        <v>0</v>
      </c>
      <c r="G889" s="211">
        <f t="shared" si="17"/>
        <v>0</v>
      </c>
      <c r="H889" s="211" t="s">
        <v>80</v>
      </c>
      <c r="J889" s="211">
        <f>VLOOKUP(A889,'JULY-TB'!A:G,7,0)</f>
        <v>0</v>
      </c>
    </row>
    <row r="890" spans="1:10">
      <c r="A890" s="211" t="s">
        <v>801</v>
      </c>
      <c r="B890" s="211">
        <v>0.08</v>
      </c>
      <c r="C890" s="211">
        <v>0</v>
      </c>
      <c r="D890" s="211">
        <v>0</v>
      </c>
      <c r="E890" s="211">
        <v>0.08</v>
      </c>
      <c r="G890" s="211">
        <f t="shared" si="17"/>
        <v>0.08</v>
      </c>
      <c r="H890" s="211" t="s">
        <v>80</v>
      </c>
      <c r="J890" s="211">
        <f>VLOOKUP(A890,'JULY-TB'!A:G,7,0)</f>
        <v>0.08</v>
      </c>
    </row>
    <row r="891" spans="1:10">
      <c r="A891" s="211" t="s">
        <v>1240</v>
      </c>
      <c r="B891" s="211">
        <v>0</v>
      </c>
      <c r="C891" s="211">
        <v>0</v>
      </c>
      <c r="D891" s="211">
        <v>0</v>
      </c>
      <c r="E891" s="211">
        <v>0</v>
      </c>
      <c r="G891" s="211">
        <f t="shared" si="17"/>
        <v>0</v>
      </c>
      <c r="H891" s="211" t="s">
        <v>80</v>
      </c>
      <c r="J891" s="211">
        <f>VLOOKUP(A891,'JULY-TB'!A:G,7,0)</f>
        <v>0</v>
      </c>
    </row>
    <row r="892" spans="1:10">
      <c r="A892" s="211" t="s">
        <v>802</v>
      </c>
      <c r="B892" s="211">
        <v>-45900</v>
      </c>
      <c r="C892" s="211">
        <v>0</v>
      </c>
      <c r="D892" s="211">
        <v>0</v>
      </c>
      <c r="E892" s="211">
        <v>-45900</v>
      </c>
      <c r="G892" s="211">
        <f t="shared" si="17"/>
        <v>-45900</v>
      </c>
      <c r="H892" s="211" t="s">
        <v>80</v>
      </c>
      <c r="J892" s="211">
        <f>VLOOKUP(A892,'JULY-TB'!A:G,7,0)</f>
        <v>-45900</v>
      </c>
    </row>
    <row r="893" spans="1:10">
      <c r="A893" s="211" t="s">
        <v>803</v>
      </c>
      <c r="B893" s="211">
        <v>0</v>
      </c>
      <c r="C893" s="211">
        <v>8850</v>
      </c>
      <c r="D893" s="211">
        <v>0</v>
      </c>
      <c r="E893" s="211">
        <v>8850</v>
      </c>
      <c r="G893" s="211">
        <f t="shared" si="17"/>
        <v>8850</v>
      </c>
      <c r="H893" s="211" t="s">
        <v>80</v>
      </c>
      <c r="J893" s="211">
        <f>VLOOKUP(A893,'JULY-TB'!A:G,7,0)</f>
        <v>8850</v>
      </c>
    </row>
    <row r="894" spans="1:10">
      <c r="A894" s="211" t="s">
        <v>1241</v>
      </c>
      <c r="B894" s="211">
        <v>0</v>
      </c>
      <c r="C894" s="211">
        <v>0</v>
      </c>
      <c r="D894" s="211">
        <v>0</v>
      </c>
      <c r="E894" s="211">
        <v>0</v>
      </c>
      <c r="G894" s="211">
        <f t="shared" si="17"/>
        <v>0</v>
      </c>
      <c r="H894" s="211" t="s">
        <v>80</v>
      </c>
      <c r="J894" s="211">
        <f>VLOOKUP(A894,'JULY-TB'!A:G,7,0)</f>
        <v>0</v>
      </c>
    </row>
    <row r="895" spans="1:10">
      <c r="A895" s="211" t="s">
        <v>804</v>
      </c>
      <c r="B895" s="211">
        <v>0</v>
      </c>
      <c r="C895" s="211">
        <v>66104</v>
      </c>
      <c r="D895" s="211">
        <v>45548</v>
      </c>
      <c r="E895" s="211">
        <v>20556</v>
      </c>
      <c r="G895" s="211">
        <f t="shared" si="17"/>
        <v>20556</v>
      </c>
      <c r="H895" s="211" t="s">
        <v>80</v>
      </c>
      <c r="J895" s="211">
        <f>VLOOKUP(A895,'JULY-TB'!A:G,7,0)</f>
        <v>21500</v>
      </c>
    </row>
    <row r="896" spans="1:10">
      <c r="A896" s="211" t="s">
        <v>805</v>
      </c>
      <c r="B896" s="211">
        <v>-1374524.97</v>
      </c>
      <c r="C896" s="211">
        <v>7512727</v>
      </c>
      <c r="D896" s="211">
        <v>5966398.9400000004</v>
      </c>
      <c r="E896" s="211">
        <v>171803.09</v>
      </c>
      <c r="G896" s="211">
        <f t="shared" si="17"/>
        <v>171803.09</v>
      </c>
      <c r="H896" s="211" t="s">
        <v>80</v>
      </c>
      <c r="J896" s="211">
        <f>VLOOKUP(A896,'JULY-TB'!A:G,7,0)</f>
        <v>193789.09</v>
      </c>
    </row>
    <row r="897" spans="1:10">
      <c r="A897" s="211" t="s">
        <v>1470</v>
      </c>
      <c r="B897" s="211">
        <v>0</v>
      </c>
      <c r="C897" s="211">
        <v>69892</v>
      </c>
      <c r="D897" s="211">
        <v>90690</v>
      </c>
      <c r="E897" s="211">
        <v>-20798</v>
      </c>
      <c r="G897" s="211">
        <f t="shared" si="17"/>
        <v>-20798</v>
      </c>
      <c r="H897" s="211" t="s">
        <v>80</v>
      </c>
      <c r="J897" s="211">
        <f>VLOOKUP(A897,'JULY-TB'!A:G,7,0)</f>
        <v>0</v>
      </c>
    </row>
    <row r="898" spans="1:10">
      <c r="A898" s="211" t="s">
        <v>806</v>
      </c>
      <c r="B898" s="211">
        <v>-39407.160000000003</v>
      </c>
      <c r="C898" s="211">
        <v>129465</v>
      </c>
      <c r="D898" s="211">
        <v>92182</v>
      </c>
      <c r="E898" s="211">
        <v>-2124.16</v>
      </c>
      <c r="G898" s="211">
        <f t="shared" si="17"/>
        <v>-2124.16</v>
      </c>
      <c r="H898" s="211" t="s">
        <v>80</v>
      </c>
      <c r="J898" s="211">
        <f>VLOOKUP(A898,'JULY-TB'!A:G,7,0)</f>
        <v>-34731.160000000003</v>
      </c>
    </row>
    <row r="899" spans="1:10">
      <c r="A899" s="211" t="s">
        <v>484</v>
      </c>
      <c r="B899" s="211">
        <v>6931.32</v>
      </c>
      <c r="C899" s="211">
        <v>0</v>
      </c>
      <c r="D899" s="211">
        <v>6931</v>
      </c>
      <c r="E899" s="211">
        <v>0.32</v>
      </c>
      <c r="G899" s="211">
        <f t="shared" si="17"/>
        <v>0.32</v>
      </c>
      <c r="H899" s="211" t="s">
        <v>80</v>
      </c>
      <c r="J899" s="211">
        <f>VLOOKUP(A899,'JULY-TB'!A:G,7,0)</f>
        <v>0.32</v>
      </c>
    </row>
    <row r="900" spans="1:10">
      <c r="A900" s="211" t="s">
        <v>807</v>
      </c>
      <c r="B900" s="211">
        <v>0</v>
      </c>
      <c r="C900" s="211">
        <v>238882.08</v>
      </c>
      <c r="D900" s="211">
        <v>9875241</v>
      </c>
      <c r="E900" s="211">
        <v>-9636358.9199999999</v>
      </c>
      <c r="G900" s="211">
        <f t="shared" ref="G900:G963" si="18">E900+F900</f>
        <v>-9636358.9199999999</v>
      </c>
      <c r="H900" s="211" t="s">
        <v>80</v>
      </c>
      <c r="J900" s="211">
        <f>VLOOKUP(A900,'JULY-TB'!A:G,7,0)</f>
        <v>-9636358.9199999999</v>
      </c>
    </row>
    <row r="901" spans="1:10">
      <c r="A901" s="211" t="s">
        <v>1242</v>
      </c>
      <c r="B901" s="211">
        <v>0</v>
      </c>
      <c r="C901" s="211">
        <v>0</v>
      </c>
      <c r="D901" s="211">
        <v>0</v>
      </c>
      <c r="E901" s="211">
        <v>0</v>
      </c>
      <c r="G901" s="211">
        <f t="shared" si="18"/>
        <v>0</v>
      </c>
      <c r="H901" s="211" t="s">
        <v>80</v>
      </c>
      <c r="J901" s="211">
        <f>VLOOKUP(A901,'JULY-TB'!A:G,7,0)</f>
        <v>0</v>
      </c>
    </row>
    <row r="902" spans="1:10">
      <c r="A902" s="211" t="s">
        <v>1471</v>
      </c>
      <c r="B902" s="211">
        <v>0</v>
      </c>
      <c r="C902" s="211">
        <v>35100</v>
      </c>
      <c r="D902" s="211">
        <v>0</v>
      </c>
      <c r="E902" s="211">
        <v>35100</v>
      </c>
      <c r="G902" s="211">
        <f t="shared" si="18"/>
        <v>35100</v>
      </c>
      <c r="H902" s="211" t="s">
        <v>80</v>
      </c>
      <c r="J902" s="211">
        <f>VLOOKUP(A902,'JULY-TB'!A:G,7,0)</f>
        <v>35100</v>
      </c>
    </row>
    <row r="903" spans="1:10">
      <c r="A903" s="211" t="s">
        <v>291</v>
      </c>
      <c r="B903" s="211">
        <v>3064.5</v>
      </c>
      <c r="C903" s="211">
        <v>0</v>
      </c>
      <c r="D903" s="211">
        <v>5044</v>
      </c>
      <c r="E903" s="211">
        <v>-1979.5</v>
      </c>
      <c r="G903" s="211">
        <f t="shared" si="18"/>
        <v>-1979.5</v>
      </c>
      <c r="H903" s="211" t="s">
        <v>80</v>
      </c>
      <c r="J903" s="211">
        <f>VLOOKUP(A903,'JULY-TB'!A:G,7,0)</f>
        <v>-1979.5</v>
      </c>
    </row>
    <row r="904" spans="1:10">
      <c r="A904" s="211" t="s">
        <v>808</v>
      </c>
      <c r="B904" s="211">
        <v>108708</v>
      </c>
      <c r="C904" s="211">
        <v>330676.8</v>
      </c>
      <c r="D904" s="211">
        <v>439385</v>
      </c>
      <c r="E904" s="211">
        <v>-0.2</v>
      </c>
      <c r="G904" s="211">
        <f t="shared" si="18"/>
        <v>-0.2</v>
      </c>
      <c r="H904" s="211" t="s">
        <v>80</v>
      </c>
      <c r="J904" s="211">
        <f>VLOOKUP(A904,'JULY-TB'!A:G,7,0)</f>
        <v>-0.2</v>
      </c>
    </row>
    <row r="905" spans="1:10">
      <c r="A905" s="211" t="s">
        <v>809</v>
      </c>
      <c r="B905" s="211">
        <v>5098</v>
      </c>
      <c r="C905" s="211">
        <v>983023</v>
      </c>
      <c r="D905" s="211">
        <v>988081</v>
      </c>
      <c r="E905" s="211">
        <v>40</v>
      </c>
      <c r="G905" s="211">
        <f t="shared" si="18"/>
        <v>40</v>
      </c>
      <c r="H905" s="211" t="s">
        <v>80</v>
      </c>
      <c r="J905" s="211">
        <f>VLOOKUP(A905,'JULY-TB'!A:G,7,0)</f>
        <v>40</v>
      </c>
    </row>
    <row r="906" spans="1:10">
      <c r="A906" s="211" t="s">
        <v>440</v>
      </c>
      <c r="B906" s="211">
        <v>-341383</v>
      </c>
      <c r="C906" s="211">
        <v>19739305.93</v>
      </c>
      <c r="D906" s="211">
        <v>10841284.08</v>
      </c>
      <c r="E906" s="211">
        <v>8556638.8499999996</v>
      </c>
      <c r="G906" s="211">
        <f t="shared" si="18"/>
        <v>8556638.8499999996</v>
      </c>
      <c r="H906" s="211" t="s">
        <v>80</v>
      </c>
      <c r="J906" s="211">
        <f>VLOOKUP(A906,'JULY-TB'!A:G,7,0)</f>
        <v>4287891.8499999996</v>
      </c>
    </row>
    <row r="907" spans="1:10">
      <c r="A907" s="211" t="s">
        <v>1243</v>
      </c>
      <c r="B907" s="211">
        <v>0</v>
      </c>
      <c r="C907" s="211">
        <v>42200</v>
      </c>
      <c r="D907" s="211">
        <v>47200</v>
      </c>
      <c r="E907" s="211">
        <v>-5000</v>
      </c>
      <c r="G907" s="211">
        <f t="shared" si="18"/>
        <v>-5000</v>
      </c>
      <c r="H907" s="211" t="s">
        <v>80</v>
      </c>
      <c r="J907" s="211">
        <f>VLOOKUP(A907,'JULY-TB'!A:G,7,0)</f>
        <v>-5000</v>
      </c>
    </row>
    <row r="908" spans="1:10">
      <c r="A908" s="211" t="s">
        <v>810</v>
      </c>
      <c r="B908" s="211">
        <v>-53909</v>
      </c>
      <c r="C908" s="211">
        <v>73453</v>
      </c>
      <c r="D908" s="211">
        <v>29276</v>
      </c>
      <c r="E908" s="211">
        <v>-9732</v>
      </c>
      <c r="G908" s="211">
        <f t="shared" si="18"/>
        <v>-9732</v>
      </c>
      <c r="H908" s="211" t="s">
        <v>80</v>
      </c>
      <c r="J908" s="211">
        <f>VLOOKUP(A908,'JULY-TB'!A:G,7,0)</f>
        <v>-7052</v>
      </c>
    </row>
    <row r="909" spans="1:10">
      <c r="A909" s="211" t="s">
        <v>1472</v>
      </c>
      <c r="B909" s="211">
        <v>0</v>
      </c>
      <c r="C909" s="211">
        <v>0</v>
      </c>
      <c r="D909" s="211">
        <v>3835</v>
      </c>
      <c r="E909" s="211">
        <v>-3835</v>
      </c>
      <c r="G909" s="211">
        <f t="shared" si="18"/>
        <v>-3835</v>
      </c>
      <c r="H909" s="211" t="s">
        <v>80</v>
      </c>
      <c r="J909" s="211">
        <f>VLOOKUP(A909,'JULY-TB'!A:G,7,0)</f>
        <v>-3835</v>
      </c>
    </row>
    <row r="910" spans="1:10">
      <c r="A910" s="211" t="s">
        <v>1473</v>
      </c>
      <c r="B910" s="211">
        <v>0</v>
      </c>
      <c r="C910" s="211">
        <v>35872</v>
      </c>
      <c r="D910" s="211">
        <v>35872</v>
      </c>
      <c r="E910" s="211">
        <v>0</v>
      </c>
      <c r="G910" s="211">
        <f t="shared" si="18"/>
        <v>0</v>
      </c>
      <c r="H910" s="211" t="s">
        <v>80</v>
      </c>
      <c r="J910" s="211">
        <f>VLOOKUP(A910,'JULY-TB'!A:G,7,0)</f>
        <v>0</v>
      </c>
    </row>
    <row r="911" spans="1:10">
      <c r="A911" s="211" t="s">
        <v>1583</v>
      </c>
      <c r="B911" s="211">
        <v>0</v>
      </c>
      <c r="C911" s="211">
        <v>0</v>
      </c>
      <c r="D911" s="211">
        <v>340200</v>
      </c>
      <c r="E911" s="211">
        <v>-340200</v>
      </c>
      <c r="G911" s="211">
        <f t="shared" si="18"/>
        <v>-340200</v>
      </c>
      <c r="H911" s="211" t="s">
        <v>80</v>
      </c>
      <c r="J911" s="211">
        <f>VLOOKUP(A911,'JULY-TB'!A:G,7,0)</f>
        <v>-340200</v>
      </c>
    </row>
    <row r="912" spans="1:10">
      <c r="A912" s="211" t="s">
        <v>1474</v>
      </c>
      <c r="B912" s="211">
        <v>0</v>
      </c>
      <c r="C912" s="211">
        <v>44412.5</v>
      </c>
      <c r="D912" s="211">
        <v>8031375</v>
      </c>
      <c r="E912" s="211">
        <v>-7986962.5</v>
      </c>
      <c r="G912" s="211">
        <f t="shared" si="18"/>
        <v>-7986962.5</v>
      </c>
      <c r="H912" s="211" t="s">
        <v>80</v>
      </c>
      <c r="J912" s="211">
        <f>VLOOKUP(A912,'JULY-TB'!A:G,7,0)</f>
        <v>-7986962.5</v>
      </c>
    </row>
    <row r="913" spans="1:10">
      <c r="A913" s="211" t="s">
        <v>1475</v>
      </c>
      <c r="B913" s="211">
        <v>0</v>
      </c>
      <c r="C913" s="211">
        <v>223200</v>
      </c>
      <c r="D913" s="211">
        <v>142308</v>
      </c>
      <c r="E913" s="211">
        <v>80892</v>
      </c>
      <c r="G913" s="211">
        <f t="shared" si="18"/>
        <v>80892</v>
      </c>
      <c r="H913" s="211" t="s">
        <v>80</v>
      </c>
      <c r="J913" s="211">
        <f>VLOOKUP(A913,'JULY-TB'!A:G,7,0)</f>
        <v>223200</v>
      </c>
    </row>
    <row r="914" spans="1:10">
      <c r="A914" s="211" t="s">
        <v>811</v>
      </c>
      <c r="B914" s="211">
        <v>0</v>
      </c>
      <c r="C914" s="211">
        <v>575461</v>
      </c>
      <c r="D914" s="211">
        <v>575461</v>
      </c>
      <c r="E914" s="211">
        <v>0</v>
      </c>
      <c r="G914" s="211">
        <f t="shared" si="18"/>
        <v>0</v>
      </c>
      <c r="H914" s="211" t="s">
        <v>80</v>
      </c>
      <c r="J914" s="211">
        <f>VLOOKUP(A914,'JULY-TB'!A:G,7,0)</f>
        <v>0</v>
      </c>
    </row>
    <row r="915" spans="1:10">
      <c r="A915" s="211" t="s">
        <v>812</v>
      </c>
      <c r="B915" s="211">
        <v>-4661</v>
      </c>
      <c r="C915" s="211">
        <v>11210</v>
      </c>
      <c r="D915" s="211">
        <v>10325</v>
      </c>
      <c r="E915" s="211">
        <v>-3776</v>
      </c>
      <c r="G915" s="211">
        <f t="shared" si="18"/>
        <v>-3776</v>
      </c>
      <c r="H915" s="211" t="s">
        <v>80</v>
      </c>
      <c r="J915" s="211">
        <f>VLOOKUP(A915,'JULY-TB'!A:G,7,0)</f>
        <v>-3776</v>
      </c>
    </row>
    <row r="916" spans="1:10">
      <c r="A916" s="211" t="s">
        <v>404</v>
      </c>
      <c r="B916" s="211">
        <v>-6072774.5499999998</v>
      </c>
      <c r="C916" s="211">
        <v>11535113.23</v>
      </c>
      <c r="D916" s="211">
        <v>8898145.6099999994</v>
      </c>
      <c r="E916" s="211">
        <v>-3435806.93</v>
      </c>
      <c r="G916" s="211">
        <f t="shared" si="18"/>
        <v>-3435806.93</v>
      </c>
      <c r="H916" s="211" t="s">
        <v>80</v>
      </c>
      <c r="J916" s="211">
        <f>VLOOKUP(A916,'JULY-TB'!A:G,7,0)</f>
        <v>0</v>
      </c>
    </row>
    <row r="917" spans="1:10">
      <c r="A917" s="211" t="s">
        <v>390</v>
      </c>
      <c r="B917" s="211">
        <v>-1270766</v>
      </c>
      <c r="C917" s="211">
        <v>5999485.5499999998</v>
      </c>
      <c r="D917" s="211">
        <v>5430331.5499999998</v>
      </c>
      <c r="E917" s="211">
        <v>-701612</v>
      </c>
      <c r="G917" s="211">
        <f t="shared" si="18"/>
        <v>-701612</v>
      </c>
      <c r="H917" s="211" t="s">
        <v>80</v>
      </c>
      <c r="J917" s="211">
        <f>VLOOKUP(A917,'JULY-TB'!A:G,7,0)</f>
        <v>-4086719.55</v>
      </c>
    </row>
    <row r="918" spans="1:10">
      <c r="A918" s="211" t="s">
        <v>1245</v>
      </c>
      <c r="B918" s="211">
        <v>0</v>
      </c>
      <c r="C918" s="211">
        <v>4720</v>
      </c>
      <c r="D918" s="211">
        <v>4720</v>
      </c>
      <c r="E918" s="211">
        <v>0</v>
      </c>
      <c r="G918" s="211">
        <f t="shared" si="18"/>
        <v>0</v>
      </c>
      <c r="H918" s="211" t="s">
        <v>80</v>
      </c>
      <c r="J918" s="211">
        <f>VLOOKUP(A918,'JULY-TB'!A:G,7,0)</f>
        <v>-4720</v>
      </c>
    </row>
    <row r="919" spans="1:10">
      <c r="A919" s="211" t="s">
        <v>269</v>
      </c>
      <c r="B919" s="211">
        <v>-74490.36</v>
      </c>
      <c r="C919" s="211">
        <v>1112</v>
      </c>
      <c r="D919" s="211">
        <v>64579</v>
      </c>
      <c r="E919" s="211">
        <v>-137957.35999999999</v>
      </c>
      <c r="G919" s="211">
        <f t="shared" si="18"/>
        <v>-137957.35999999999</v>
      </c>
      <c r="H919" s="211" t="s">
        <v>80</v>
      </c>
      <c r="J919" s="211">
        <f>VLOOKUP(A919,'JULY-TB'!A:G,7,0)</f>
        <v>-137957.35999999999</v>
      </c>
    </row>
    <row r="920" spans="1:10">
      <c r="A920" s="211" t="s">
        <v>813</v>
      </c>
      <c r="B920" s="211">
        <v>0</v>
      </c>
      <c r="C920" s="211">
        <v>10244</v>
      </c>
      <c r="D920" s="211">
        <v>10244</v>
      </c>
      <c r="E920" s="211">
        <v>0</v>
      </c>
      <c r="G920" s="211">
        <f t="shared" si="18"/>
        <v>0</v>
      </c>
      <c r="H920" s="211" t="s">
        <v>80</v>
      </c>
      <c r="J920" s="211">
        <f>VLOOKUP(A920,'JULY-TB'!A:G,7,0)</f>
        <v>0</v>
      </c>
    </row>
    <row r="921" spans="1:10">
      <c r="A921" s="211" t="s">
        <v>1246</v>
      </c>
      <c r="B921" s="211">
        <v>0</v>
      </c>
      <c r="C921" s="211">
        <v>0</v>
      </c>
      <c r="D921" s="211">
        <v>5607</v>
      </c>
      <c r="E921" s="211">
        <v>-5607</v>
      </c>
      <c r="G921" s="211">
        <f t="shared" si="18"/>
        <v>-5607</v>
      </c>
      <c r="H921" s="211" t="s">
        <v>80</v>
      </c>
      <c r="J921" s="211">
        <f>VLOOKUP(A921,'JULY-TB'!A:G,7,0)</f>
        <v>-5607</v>
      </c>
    </row>
    <row r="922" spans="1:10">
      <c r="A922" s="211" t="s">
        <v>1247</v>
      </c>
      <c r="B922" s="211">
        <v>0</v>
      </c>
      <c r="C922" s="211">
        <v>29500</v>
      </c>
      <c r="D922" s="211">
        <v>29500</v>
      </c>
      <c r="E922" s="211">
        <v>0</v>
      </c>
      <c r="G922" s="211">
        <f t="shared" si="18"/>
        <v>0</v>
      </c>
      <c r="H922" s="211" t="s">
        <v>80</v>
      </c>
      <c r="J922" s="211">
        <f>VLOOKUP(A922,'JULY-TB'!A:G,7,0)</f>
        <v>0</v>
      </c>
    </row>
    <row r="923" spans="1:10">
      <c r="A923" s="211" t="s">
        <v>814</v>
      </c>
      <c r="B923" s="211">
        <v>-258278</v>
      </c>
      <c r="C923" s="211">
        <v>258278</v>
      </c>
      <c r="D923" s="211">
        <v>0</v>
      </c>
      <c r="E923" s="211">
        <v>0</v>
      </c>
      <c r="G923" s="211">
        <f t="shared" si="18"/>
        <v>0</v>
      </c>
      <c r="H923" s="211" t="s">
        <v>80</v>
      </c>
      <c r="J923" s="211">
        <f>VLOOKUP(A923,'JULY-TB'!A:G,7,0)</f>
        <v>0</v>
      </c>
    </row>
    <row r="924" spans="1:10">
      <c r="A924" s="211" t="s">
        <v>815</v>
      </c>
      <c r="B924" s="211">
        <v>579</v>
      </c>
      <c r="C924" s="211">
        <v>178033</v>
      </c>
      <c r="D924" s="211">
        <v>178612</v>
      </c>
      <c r="E924" s="211">
        <v>0</v>
      </c>
      <c r="G924" s="211">
        <f t="shared" si="18"/>
        <v>0</v>
      </c>
      <c r="H924" s="211" t="s">
        <v>80</v>
      </c>
      <c r="J924" s="211">
        <f>VLOOKUP(A924,'JULY-TB'!A:G,7,0)</f>
        <v>0</v>
      </c>
    </row>
    <row r="925" spans="1:10">
      <c r="A925" s="211" t="s">
        <v>1584</v>
      </c>
      <c r="B925" s="211">
        <v>0</v>
      </c>
      <c r="C925" s="211">
        <v>0</v>
      </c>
      <c r="D925" s="211">
        <v>0</v>
      </c>
      <c r="E925" s="211">
        <v>0</v>
      </c>
      <c r="G925" s="211">
        <f t="shared" si="18"/>
        <v>0</v>
      </c>
      <c r="H925" s="211" t="s">
        <v>80</v>
      </c>
      <c r="J925" s="211">
        <f>VLOOKUP(A925,'JULY-TB'!A:G,7,0)</f>
        <v>0</v>
      </c>
    </row>
    <row r="926" spans="1:10">
      <c r="A926" s="211" t="s">
        <v>1046</v>
      </c>
      <c r="B926" s="211">
        <v>0</v>
      </c>
      <c r="C926" s="211">
        <v>96522</v>
      </c>
      <c r="D926" s="211">
        <v>96522</v>
      </c>
      <c r="E926" s="211">
        <v>0</v>
      </c>
      <c r="G926" s="211">
        <f t="shared" si="18"/>
        <v>0</v>
      </c>
      <c r="H926" s="211" t="s">
        <v>80</v>
      </c>
      <c r="J926" s="211">
        <f>VLOOKUP(A926,'JULY-TB'!A:G,7,0)</f>
        <v>0</v>
      </c>
    </row>
    <row r="927" spans="1:10">
      <c r="A927" s="211" t="s">
        <v>1248</v>
      </c>
      <c r="B927" s="211">
        <v>0</v>
      </c>
      <c r="C927" s="211">
        <v>0</v>
      </c>
      <c r="D927" s="211">
        <v>0</v>
      </c>
      <c r="E927" s="211">
        <v>0</v>
      </c>
      <c r="G927" s="211">
        <f t="shared" si="18"/>
        <v>0</v>
      </c>
      <c r="H927" s="211" t="s">
        <v>80</v>
      </c>
      <c r="J927" s="211">
        <f>VLOOKUP(A927,'JULY-TB'!A:G,7,0)</f>
        <v>0</v>
      </c>
    </row>
    <row r="928" spans="1:10">
      <c r="A928" s="211" t="s">
        <v>816</v>
      </c>
      <c r="B928" s="211">
        <v>-283452</v>
      </c>
      <c r="C928" s="211">
        <v>1538874</v>
      </c>
      <c r="D928" s="211">
        <v>1255422</v>
      </c>
      <c r="E928" s="211">
        <v>0</v>
      </c>
      <c r="G928" s="211">
        <f t="shared" si="18"/>
        <v>0</v>
      </c>
      <c r="H928" s="211" t="s">
        <v>80</v>
      </c>
      <c r="J928" s="211">
        <f>VLOOKUP(A928,'JULY-TB'!A:G,7,0)</f>
        <v>0</v>
      </c>
    </row>
    <row r="929" spans="1:10">
      <c r="A929" s="211" t="s">
        <v>817</v>
      </c>
      <c r="B929" s="211">
        <v>2601937</v>
      </c>
      <c r="C929" s="211">
        <v>0</v>
      </c>
      <c r="D929" s="211">
        <v>0</v>
      </c>
      <c r="E929" s="211">
        <v>2601937</v>
      </c>
      <c r="G929" s="211">
        <f t="shared" si="18"/>
        <v>2601937</v>
      </c>
      <c r="H929" s="211" t="s">
        <v>80</v>
      </c>
      <c r="J929" s="211">
        <f>VLOOKUP(A929,'JULY-TB'!A:G,7,0)</f>
        <v>2601937</v>
      </c>
    </row>
    <row r="930" spans="1:10">
      <c r="A930" s="211" t="s">
        <v>1249</v>
      </c>
      <c r="B930" s="211">
        <v>0</v>
      </c>
      <c r="C930" s="211">
        <v>0</v>
      </c>
      <c r="D930" s="211">
        <v>0</v>
      </c>
      <c r="E930" s="211">
        <v>0</v>
      </c>
      <c r="G930" s="211">
        <f t="shared" si="18"/>
        <v>0</v>
      </c>
      <c r="H930" s="211" t="s">
        <v>80</v>
      </c>
      <c r="J930" s="211">
        <f>VLOOKUP(A930,'JULY-TB'!A:G,7,0)</f>
        <v>0</v>
      </c>
    </row>
    <row r="931" spans="1:10">
      <c r="A931" s="211" t="s">
        <v>1250</v>
      </c>
      <c r="B931" s="211">
        <v>0</v>
      </c>
      <c r="C931" s="211">
        <v>146000.22</v>
      </c>
      <c r="D931" s="211">
        <v>146000</v>
      </c>
      <c r="E931" s="211">
        <v>0.22</v>
      </c>
      <c r="G931" s="211">
        <f t="shared" si="18"/>
        <v>0.22</v>
      </c>
      <c r="H931" s="211" t="s">
        <v>80</v>
      </c>
      <c r="J931" s="211">
        <f>VLOOKUP(A931,'JULY-TB'!A:G,7,0)</f>
        <v>0.22</v>
      </c>
    </row>
    <row r="932" spans="1:10">
      <c r="A932" s="211" t="s">
        <v>818</v>
      </c>
      <c r="B932" s="211">
        <v>5500</v>
      </c>
      <c r="C932" s="211">
        <v>0</v>
      </c>
      <c r="D932" s="211">
        <v>0</v>
      </c>
      <c r="E932" s="211">
        <v>5500</v>
      </c>
      <c r="G932" s="211">
        <f t="shared" si="18"/>
        <v>5500</v>
      </c>
      <c r="H932" s="211" t="s">
        <v>80</v>
      </c>
      <c r="J932" s="211">
        <f>VLOOKUP(A932,'JULY-TB'!A:G,7,0)</f>
        <v>5500</v>
      </c>
    </row>
    <row r="933" spans="1:10">
      <c r="A933" s="211" t="s">
        <v>1476</v>
      </c>
      <c r="B933" s="211">
        <v>0</v>
      </c>
      <c r="C933" s="211">
        <v>0</v>
      </c>
      <c r="D933" s="211">
        <v>0</v>
      </c>
      <c r="E933" s="211">
        <v>0</v>
      </c>
      <c r="G933" s="211">
        <f t="shared" si="18"/>
        <v>0</v>
      </c>
      <c r="H933" s="211" t="s">
        <v>80</v>
      </c>
      <c r="J933" s="211">
        <f>VLOOKUP(A933,'JULY-TB'!A:G,7,0)</f>
        <v>0</v>
      </c>
    </row>
    <row r="934" spans="1:10">
      <c r="A934" s="211" t="s">
        <v>819</v>
      </c>
      <c r="B934" s="211">
        <v>1768</v>
      </c>
      <c r="C934" s="211">
        <v>17204</v>
      </c>
      <c r="D934" s="211">
        <v>0</v>
      </c>
      <c r="E934" s="211">
        <v>18972</v>
      </c>
      <c r="G934" s="211">
        <f t="shared" si="18"/>
        <v>18972</v>
      </c>
      <c r="H934" s="211" t="s">
        <v>80</v>
      </c>
      <c r="J934" s="211">
        <f>VLOOKUP(A934,'JULY-TB'!A:G,7,0)</f>
        <v>5905</v>
      </c>
    </row>
    <row r="935" spans="1:10">
      <c r="A935" s="211" t="s">
        <v>820</v>
      </c>
      <c r="B935" s="211">
        <v>-40657.5</v>
      </c>
      <c r="C935" s="211">
        <v>40657.5</v>
      </c>
      <c r="D935" s="211">
        <v>0</v>
      </c>
      <c r="E935" s="211">
        <v>0</v>
      </c>
      <c r="G935" s="211">
        <f t="shared" si="18"/>
        <v>0</v>
      </c>
      <c r="H935" s="211" t="s">
        <v>80</v>
      </c>
      <c r="J935" s="211">
        <f>VLOOKUP(A935,'JULY-TB'!A:G,7,0)</f>
        <v>0</v>
      </c>
    </row>
    <row r="936" spans="1:10">
      <c r="A936" s="211" t="s">
        <v>435</v>
      </c>
      <c r="B936" s="211">
        <v>0</v>
      </c>
      <c r="C936" s="211">
        <v>14278</v>
      </c>
      <c r="D936" s="211">
        <v>14278</v>
      </c>
      <c r="E936" s="211">
        <v>0</v>
      </c>
      <c r="G936" s="211">
        <f t="shared" si="18"/>
        <v>0</v>
      </c>
      <c r="H936" s="211" t="s">
        <v>80</v>
      </c>
      <c r="J936" s="211">
        <f>VLOOKUP(A936,'JULY-TB'!A:G,7,0)</f>
        <v>0</v>
      </c>
    </row>
    <row r="937" spans="1:10">
      <c r="A937" s="211" t="s">
        <v>821</v>
      </c>
      <c r="B937" s="211">
        <v>0</v>
      </c>
      <c r="C937" s="211">
        <v>916092</v>
      </c>
      <c r="D937" s="211">
        <v>1664162</v>
      </c>
      <c r="E937" s="211">
        <v>-748070</v>
      </c>
      <c r="G937" s="211">
        <f t="shared" si="18"/>
        <v>-748070</v>
      </c>
      <c r="H937" s="211" t="s">
        <v>80</v>
      </c>
      <c r="J937" s="211">
        <f>VLOOKUP(A937,'JULY-TB'!A:G,7,0)</f>
        <v>-748070</v>
      </c>
    </row>
    <row r="938" spans="1:10">
      <c r="A938" s="211" t="s">
        <v>1251</v>
      </c>
      <c r="B938" s="211">
        <v>0</v>
      </c>
      <c r="C938" s="211">
        <v>40352</v>
      </c>
      <c r="D938" s="211">
        <v>40352</v>
      </c>
      <c r="E938" s="211">
        <v>0</v>
      </c>
      <c r="G938" s="211">
        <f t="shared" si="18"/>
        <v>0</v>
      </c>
      <c r="H938" s="211" t="s">
        <v>80</v>
      </c>
      <c r="J938" s="211">
        <f>VLOOKUP(A938,'JULY-TB'!A:G,7,0)</f>
        <v>0</v>
      </c>
    </row>
    <row r="939" spans="1:10">
      <c r="A939" s="211" t="s">
        <v>260</v>
      </c>
      <c r="B939" s="211">
        <v>-62205</v>
      </c>
      <c r="C939" s="211">
        <v>15222</v>
      </c>
      <c r="D939" s="211">
        <v>40314</v>
      </c>
      <c r="E939" s="211">
        <v>-87297</v>
      </c>
      <c r="G939" s="211">
        <f t="shared" si="18"/>
        <v>-87297</v>
      </c>
      <c r="H939" s="211" t="s">
        <v>80</v>
      </c>
      <c r="J939" s="211">
        <f>VLOOKUP(A939,'JULY-TB'!A:G,7,0)</f>
        <v>-84188</v>
      </c>
    </row>
    <row r="940" spans="1:10">
      <c r="A940" s="211" t="s">
        <v>1252</v>
      </c>
      <c r="B940" s="211">
        <v>0</v>
      </c>
      <c r="C940" s="211">
        <v>0</v>
      </c>
      <c r="D940" s="211">
        <v>0</v>
      </c>
      <c r="E940" s="211">
        <v>0</v>
      </c>
      <c r="G940" s="211">
        <f t="shared" si="18"/>
        <v>0</v>
      </c>
      <c r="H940" s="211" t="s">
        <v>80</v>
      </c>
      <c r="J940" s="211">
        <f>VLOOKUP(A940,'JULY-TB'!A:G,7,0)</f>
        <v>0</v>
      </c>
    </row>
    <row r="941" spans="1:10">
      <c r="A941" s="211" t="s">
        <v>822</v>
      </c>
      <c r="B941" s="211">
        <v>5900</v>
      </c>
      <c r="C941" s="211">
        <v>0</v>
      </c>
      <c r="D941" s="211">
        <v>0</v>
      </c>
      <c r="E941" s="211">
        <v>5900</v>
      </c>
      <c r="G941" s="211">
        <f t="shared" si="18"/>
        <v>5900</v>
      </c>
      <c r="H941" s="211" t="s">
        <v>80</v>
      </c>
      <c r="J941" s="211">
        <f>VLOOKUP(A941,'JULY-TB'!A:G,7,0)</f>
        <v>5900</v>
      </c>
    </row>
    <row r="942" spans="1:10">
      <c r="A942" s="211" t="s">
        <v>1477</v>
      </c>
      <c r="B942" s="211">
        <v>0</v>
      </c>
      <c r="C942" s="211">
        <v>0</v>
      </c>
      <c r="D942" s="211">
        <v>3742</v>
      </c>
      <c r="E942" s="211">
        <v>-3742</v>
      </c>
      <c r="G942" s="211">
        <f t="shared" si="18"/>
        <v>-3742</v>
      </c>
      <c r="H942" s="211" t="s">
        <v>80</v>
      </c>
      <c r="J942" s="211">
        <f>VLOOKUP(A942,'JULY-TB'!A:G,7,0)</f>
        <v>-3742</v>
      </c>
    </row>
    <row r="943" spans="1:10">
      <c r="A943" s="211" t="s">
        <v>1253</v>
      </c>
      <c r="B943" s="211">
        <v>0</v>
      </c>
      <c r="C943" s="211">
        <v>0</v>
      </c>
      <c r="D943" s="211">
        <v>0</v>
      </c>
      <c r="E943" s="211">
        <v>0</v>
      </c>
      <c r="G943" s="211">
        <f t="shared" si="18"/>
        <v>0</v>
      </c>
      <c r="H943" s="211" t="s">
        <v>80</v>
      </c>
      <c r="J943" s="211">
        <f>VLOOKUP(A943,'JULY-TB'!A:G,7,0)</f>
        <v>0</v>
      </c>
    </row>
    <row r="944" spans="1:10">
      <c r="A944" s="211" t="s">
        <v>823</v>
      </c>
      <c r="B944" s="211">
        <v>9238234</v>
      </c>
      <c r="C944" s="211">
        <v>47412866</v>
      </c>
      <c r="D944" s="211">
        <v>68607000</v>
      </c>
      <c r="E944" s="211">
        <v>-11955900</v>
      </c>
      <c r="G944" s="211">
        <f t="shared" si="18"/>
        <v>-11955900</v>
      </c>
      <c r="H944" s="211" t="s">
        <v>80</v>
      </c>
      <c r="J944" s="211">
        <f>VLOOKUP(A944,'JULY-TB'!A:G,7,0)</f>
        <v>-11955900</v>
      </c>
    </row>
    <row r="945" spans="1:10">
      <c r="A945" s="211" t="s">
        <v>824</v>
      </c>
      <c r="B945" s="211">
        <v>-0.2</v>
      </c>
      <c r="C945" s="211">
        <v>16620</v>
      </c>
      <c r="D945" s="211">
        <v>16620</v>
      </c>
      <c r="E945" s="211">
        <v>-0.2</v>
      </c>
      <c r="G945" s="211">
        <f t="shared" si="18"/>
        <v>-0.2</v>
      </c>
      <c r="H945" s="211" t="s">
        <v>80</v>
      </c>
      <c r="J945" s="211">
        <f>VLOOKUP(A945,'JULY-TB'!A:G,7,0)</f>
        <v>-0.2</v>
      </c>
    </row>
    <row r="946" spans="1:10">
      <c r="A946" s="211" t="s">
        <v>825</v>
      </c>
      <c r="B946" s="211">
        <v>0</v>
      </c>
      <c r="C946" s="211">
        <v>119416</v>
      </c>
      <c r="D946" s="211">
        <v>119416</v>
      </c>
      <c r="E946" s="211">
        <v>0</v>
      </c>
      <c r="G946" s="211">
        <f t="shared" si="18"/>
        <v>0</v>
      </c>
      <c r="H946" s="211" t="s">
        <v>80</v>
      </c>
      <c r="J946" s="211">
        <f>VLOOKUP(A946,'JULY-TB'!A:G,7,0)</f>
        <v>0</v>
      </c>
    </row>
    <row r="947" spans="1:10">
      <c r="A947" s="211" t="s">
        <v>1254</v>
      </c>
      <c r="B947" s="211">
        <v>0</v>
      </c>
      <c r="C947" s="211">
        <v>137398</v>
      </c>
      <c r="D947" s="211">
        <v>137398</v>
      </c>
      <c r="E947" s="211">
        <v>0</v>
      </c>
      <c r="G947" s="211">
        <f t="shared" si="18"/>
        <v>0</v>
      </c>
      <c r="H947" s="211" t="s">
        <v>80</v>
      </c>
      <c r="J947" s="211">
        <f>VLOOKUP(A947,'JULY-TB'!A:G,7,0)</f>
        <v>0</v>
      </c>
    </row>
    <row r="948" spans="1:10">
      <c r="A948" s="211" t="s">
        <v>1478</v>
      </c>
      <c r="B948" s="211">
        <v>0</v>
      </c>
      <c r="C948" s="211">
        <v>6490</v>
      </c>
      <c r="D948" s="211">
        <v>6490</v>
      </c>
      <c r="E948" s="211">
        <v>0</v>
      </c>
      <c r="G948" s="211">
        <f t="shared" si="18"/>
        <v>0</v>
      </c>
      <c r="H948" s="211" t="s">
        <v>80</v>
      </c>
      <c r="J948" s="211">
        <f>VLOOKUP(A948,'JULY-TB'!A:G,7,0)</f>
        <v>0</v>
      </c>
    </row>
    <row r="949" spans="1:10">
      <c r="A949" s="211" t="s">
        <v>826</v>
      </c>
      <c r="B949" s="211">
        <v>-64110</v>
      </c>
      <c r="C949" s="211">
        <v>278551</v>
      </c>
      <c r="D949" s="211">
        <v>240425</v>
      </c>
      <c r="E949" s="211">
        <v>-25984</v>
      </c>
      <c r="G949" s="211">
        <f t="shared" si="18"/>
        <v>-25984</v>
      </c>
      <c r="H949" s="211" t="s">
        <v>80</v>
      </c>
      <c r="J949" s="211">
        <f>VLOOKUP(A949,'JULY-TB'!A:G,7,0)</f>
        <v>-25984</v>
      </c>
    </row>
    <row r="950" spans="1:10">
      <c r="A950" s="211" t="s">
        <v>249</v>
      </c>
      <c r="B950" s="211">
        <v>42147955.299999997</v>
      </c>
      <c r="C950" s="211">
        <v>0</v>
      </c>
      <c r="D950" s="211">
        <v>85683401.099999994</v>
      </c>
      <c r="E950" s="211">
        <v>-43535445.799999997</v>
      </c>
      <c r="G950" s="211">
        <f t="shared" si="18"/>
        <v>-43535445.799999997</v>
      </c>
      <c r="H950" s="211" t="s">
        <v>80</v>
      </c>
      <c r="J950" s="211">
        <f>VLOOKUP(A950,'JULY-TB'!A:G,7,0)</f>
        <v>5450519.2000000002</v>
      </c>
    </row>
    <row r="951" spans="1:10">
      <c r="A951" s="211" t="s">
        <v>248</v>
      </c>
      <c r="B951" s="211">
        <v>1092151.3400000001</v>
      </c>
      <c r="C951" s="211">
        <v>388240.8</v>
      </c>
      <c r="D951" s="211">
        <v>89196757.420000002</v>
      </c>
      <c r="E951" s="211">
        <v>-87716365.280000001</v>
      </c>
      <c r="G951" s="211">
        <f t="shared" si="18"/>
        <v>-87716365.280000001</v>
      </c>
      <c r="H951" s="211" t="s">
        <v>80</v>
      </c>
      <c r="J951" s="211">
        <f>VLOOKUP(A951,'JULY-TB'!A:G,7,0)</f>
        <v>-65554437.700000003</v>
      </c>
    </row>
    <row r="952" spans="1:10">
      <c r="A952" s="211" t="s">
        <v>439</v>
      </c>
      <c r="B952" s="211">
        <v>-4548</v>
      </c>
      <c r="C952" s="211">
        <v>162984</v>
      </c>
      <c r="D952" s="211">
        <v>162985</v>
      </c>
      <c r="E952" s="211">
        <v>-4549</v>
      </c>
      <c r="G952" s="211">
        <f t="shared" si="18"/>
        <v>-4549</v>
      </c>
      <c r="H952" s="211" t="s">
        <v>80</v>
      </c>
      <c r="J952" s="211">
        <f>VLOOKUP(A952,'JULY-TB'!A:G,7,0)</f>
        <v>-4549</v>
      </c>
    </row>
    <row r="953" spans="1:10">
      <c r="A953" s="211" t="s">
        <v>1585</v>
      </c>
      <c r="B953" s="211">
        <v>0</v>
      </c>
      <c r="C953" s="211">
        <v>0</v>
      </c>
      <c r="D953" s="211">
        <v>0</v>
      </c>
      <c r="E953" s="211">
        <v>0</v>
      </c>
      <c r="G953" s="211">
        <f t="shared" si="18"/>
        <v>0</v>
      </c>
      <c r="H953" s="211" t="s">
        <v>80</v>
      </c>
      <c r="J953" s="211">
        <f>VLOOKUP(A953,'JULY-TB'!A:G,7,0)</f>
        <v>0</v>
      </c>
    </row>
    <row r="954" spans="1:10">
      <c r="A954" s="211" t="s">
        <v>1255</v>
      </c>
      <c r="B954" s="211">
        <v>0</v>
      </c>
      <c r="C954" s="211">
        <v>3957932</v>
      </c>
      <c r="D954" s="211">
        <v>4139440</v>
      </c>
      <c r="E954" s="211">
        <v>-181508</v>
      </c>
      <c r="G954" s="211">
        <f t="shared" si="18"/>
        <v>-181508</v>
      </c>
      <c r="H954" s="211" t="s">
        <v>80</v>
      </c>
      <c r="J954" s="211">
        <f>VLOOKUP(A954,'JULY-TB'!A:G,7,0)</f>
        <v>-181508</v>
      </c>
    </row>
    <row r="955" spans="1:10">
      <c r="A955" s="211" t="s">
        <v>1417</v>
      </c>
      <c r="B955" s="211">
        <v>0</v>
      </c>
      <c r="C955" s="211">
        <v>0</v>
      </c>
      <c r="D955" s="211">
        <v>0</v>
      </c>
      <c r="E955" s="211">
        <v>0</v>
      </c>
      <c r="G955" s="211">
        <f t="shared" si="18"/>
        <v>0</v>
      </c>
      <c r="H955" s="211" t="s">
        <v>80</v>
      </c>
      <c r="J955" s="211">
        <f>VLOOKUP(A955,'JULY-TB'!A:G,7,0)</f>
        <v>0</v>
      </c>
    </row>
    <row r="956" spans="1:10">
      <c r="A956" s="211" t="s">
        <v>1256</v>
      </c>
      <c r="B956" s="211">
        <v>0</v>
      </c>
      <c r="C956" s="211">
        <v>0</v>
      </c>
      <c r="D956" s="211">
        <v>0</v>
      </c>
      <c r="E956" s="211">
        <v>0</v>
      </c>
      <c r="G956" s="211">
        <f t="shared" si="18"/>
        <v>0</v>
      </c>
      <c r="H956" s="211" t="s">
        <v>80</v>
      </c>
      <c r="J956" s="211">
        <f>VLOOKUP(A956,'JULY-TB'!A:G,7,0)</f>
        <v>0</v>
      </c>
    </row>
    <row r="957" spans="1:10">
      <c r="A957" s="211" t="s">
        <v>244</v>
      </c>
      <c r="B957" s="211">
        <v>11258</v>
      </c>
      <c r="C957" s="211">
        <v>184597</v>
      </c>
      <c r="D957" s="211">
        <v>193841</v>
      </c>
      <c r="E957" s="211">
        <v>2014</v>
      </c>
      <c r="G957" s="211">
        <f t="shared" si="18"/>
        <v>2014</v>
      </c>
      <c r="H957" s="211" t="s">
        <v>80</v>
      </c>
      <c r="J957" s="211">
        <f>VLOOKUP(A957,'JULY-TB'!A:G,7,0)</f>
        <v>87391</v>
      </c>
    </row>
    <row r="958" spans="1:10">
      <c r="A958" s="211" t="s">
        <v>245</v>
      </c>
      <c r="B958" s="211">
        <v>-203061.43</v>
      </c>
      <c r="C958" s="211">
        <v>1095334</v>
      </c>
      <c r="D958" s="211">
        <v>1263681</v>
      </c>
      <c r="E958" s="211">
        <v>-371408.43</v>
      </c>
      <c r="G958" s="211">
        <f t="shared" si="18"/>
        <v>-371408.43</v>
      </c>
      <c r="H958" s="211" t="s">
        <v>80</v>
      </c>
      <c r="J958" s="211">
        <f>VLOOKUP(A958,'JULY-TB'!A:G,7,0)</f>
        <v>-355568.43</v>
      </c>
    </row>
    <row r="959" spans="1:10">
      <c r="A959" s="211" t="s">
        <v>456</v>
      </c>
      <c r="B959" s="211">
        <v>-0.4</v>
      </c>
      <c r="C959" s="211">
        <v>0</v>
      </c>
      <c r="D959" s="211">
        <v>0</v>
      </c>
      <c r="E959" s="211">
        <v>-0.4</v>
      </c>
      <c r="G959" s="211">
        <f t="shared" si="18"/>
        <v>-0.4</v>
      </c>
      <c r="H959" s="211" t="s">
        <v>80</v>
      </c>
      <c r="J959" s="211">
        <f>VLOOKUP(A959,'JULY-TB'!A:G,7,0)</f>
        <v>-0.4</v>
      </c>
    </row>
    <row r="960" spans="1:10">
      <c r="A960" s="211" t="s">
        <v>408</v>
      </c>
      <c r="B960" s="211">
        <v>-46545.14</v>
      </c>
      <c r="C960" s="211">
        <v>90677</v>
      </c>
      <c r="D960" s="211">
        <v>44132</v>
      </c>
      <c r="E960" s="211">
        <v>-0.14000000000000001</v>
      </c>
      <c r="G960" s="211">
        <f t="shared" si="18"/>
        <v>-0.14000000000000001</v>
      </c>
      <c r="H960" s="211" t="s">
        <v>80</v>
      </c>
      <c r="J960" s="211">
        <f>VLOOKUP(A960,'JULY-TB'!A:G,7,0)</f>
        <v>-43384.14</v>
      </c>
    </row>
    <row r="961" spans="1:10">
      <c r="A961" s="211" t="s">
        <v>827</v>
      </c>
      <c r="B961" s="211">
        <v>548427.9</v>
      </c>
      <c r="C961" s="211">
        <v>0</v>
      </c>
      <c r="D961" s="211">
        <v>0</v>
      </c>
      <c r="E961" s="211">
        <v>548427.9</v>
      </c>
      <c r="G961" s="211">
        <f t="shared" si="18"/>
        <v>548427.9</v>
      </c>
      <c r="H961" s="211" t="s">
        <v>80</v>
      </c>
      <c r="J961" s="211">
        <f>VLOOKUP(A961,'JULY-TB'!A:G,7,0)</f>
        <v>548427.9</v>
      </c>
    </row>
    <row r="962" spans="1:10">
      <c r="A962" s="211" t="s">
        <v>1586</v>
      </c>
      <c r="B962" s="211">
        <v>0</v>
      </c>
      <c r="C962" s="211">
        <v>322785</v>
      </c>
      <c r="D962" s="211">
        <v>322785</v>
      </c>
      <c r="E962" s="211">
        <v>0</v>
      </c>
      <c r="G962" s="211">
        <f t="shared" si="18"/>
        <v>0</v>
      </c>
      <c r="H962" s="211" t="s">
        <v>80</v>
      </c>
      <c r="J962" s="211">
        <f>VLOOKUP(A962,'JULY-TB'!A:G,7,0)</f>
        <v>0</v>
      </c>
    </row>
    <row r="963" spans="1:10">
      <c r="A963" s="211" t="s">
        <v>1479</v>
      </c>
      <c r="B963" s="211">
        <v>0</v>
      </c>
      <c r="C963" s="211">
        <v>9440</v>
      </c>
      <c r="D963" s="211">
        <v>0</v>
      </c>
      <c r="E963" s="211">
        <v>9440</v>
      </c>
      <c r="G963" s="211">
        <f t="shared" si="18"/>
        <v>9440</v>
      </c>
      <c r="H963" s="211" t="s">
        <v>80</v>
      </c>
      <c r="J963" s="211">
        <f>VLOOKUP(A963,'JULY-TB'!A:G,7,0)</f>
        <v>9440</v>
      </c>
    </row>
    <row r="964" spans="1:10">
      <c r="A964" s="211" t="s">
        <v>1515</v>
      </c>
      <c r="B964" s="211">
        <v>0</v>
      </c>
      <c r="C964" s="211">
        <v>0</v>
      </c>
      <c r="D964" s="211">
        <v>0</v>
      </c>
      <c r="E964" s="211">
        <v>0</v>
      </c>
      <c r="G964" s="211">
        <f t="shared" ref="G964:G1027" si="19">E964+F964</f>
        <v>0</v>
      </c>
      <c r="H964" s="211" t="s">
        <v>80</v>
      </c>
      <c r="J964" s="211">
        <f>VLOOKUP(A964,'JULY-TB'!A:G,7,0)</f>
        <v>0</v>
      </c>
    </row>
    <row r="965" spans="1:10">
      <c r="A965" s="211" t="s">
        <v>473</v>
      </c>
      <c r="B965" s="211">
        <v>-3500</v>
      </c>
      <c r="C965" s="211">
        <v>86246</v>
      </c>
      <c r="D965" s="211">
        <v>92596</v>
      </c>
      <c r="E965" s="211">
        <v>-9850</v>
      </c>
      <c r="G965" s="211">
        <f t="shared" si="19"/>
        <v>-9850</v>
      </c>
      <c r="H965" s="211" t="s">
        <v>80</v>
      </c>
      <c r="J965" s="211">
        <f>VLOOKUP(A965,'JULY-TB'!A:G,7,0)</f>
        <v>-9850</v>
      </c>
    </row>
    <row r="966" spans="1:10">
      <c r="A966" s="211" t="s">
        <v>1480</v>
      </c>
      <c r="B966" s="211">
        <v>0</v>
      </c>
      <c r="C966" s="211">
        <v>33630</v>
      </c>
      <c r="D966" s="211">
        <v>33630</v>
      </c>
      <c r="E966" s="211">
        <v>0</v>
      </c>
      <c r="G966" s="211">
        <f t="shared" si="19"/>
        <v>0</v>
      </c>
      <c r="H966" s="211" t="s">
        <v>80</v>
      </c>
      <c r="J966" s="211">
        <f>VLOOKUP(A966,'JULY-TB'!A:G,7,0)</f>
        <v>14250</v>
      </c>
    </row>
    <row r="967" spans="1:10">
      <c r="A967" s="211" t="s">
        <v>1257</v>
      </c>
      <c r="B967" s="211">
        <v>0</v>
      </c>
      <c r="C967" s="211">
        <v>0</v>
      </c>
      <c r="D967" s="211">
        <v>0</v>
      </c>
      <c r="E967" s="211">
        <v>0</v>
      </c>
      <c r="G967" s="211">
        <f t="shared" si="19"/>
        <v>0</v>
      </c>
      <c r="H967" s="211" t="s">
        <v>80</v>
      </c>
      <c r="J967" s="211">
        <f>VLOOKUP(A967,'JULY-TB'!A:G,7,0)</f>
        <v>0</v>
      </c>
    </row>
    <row r="968" spans="1:10">
      <c r="A968" s="211" t="s">
        <v>241</v>
      </c>
      <c r="B968" s="211">
        <v>-311880</v>
      </c>
      <c r="C968" s="211">
        <v>0</v>
      </c>
      <c r="D968" s="211">
        <v>0</v>
      </c>
      <c r="E968" s="211">
        <v>-311880</v>
      </c>
      <c r="G968" s="211">
        <f t="shared" si="19"/>
        <v>-311880</v>
      </c>
      <c r="H968" s="211" t="s">
        <v>80</v>
      </c>
      <c r="J968" s="211">
        <f>VLOOKUP(A968,'JULY-TB'!A:G,7,0)</f>
        <v>-311880</v>
      </c>
    </row>
    <row r="969" spans="1:10">
      <c r="A969" s="211" t="s">
        <v>828</v>
      </c>
      <c r="B969" s="211">
        <v>44975</v>
      </c>
      <c r="C969" s="211">
        <v>0</v>
      </c>
      <c r="D969" s="211">
        <v>0</v>
      </c>
      <c r="E969" s="211">
        <v>44975</v>
      </c>
      <c r="G969" s="211">
        <f t="shared" si="19"/>
        <v>44975</v>
      </c>
      <c r="H969" s="211" t="s">
        <v>80</v>
      </c>
      <c r="J969" s="211">
        <f>VLOOKUP(A969,'JULY-TB'!A:G,7,0)</f>
        <v>44975</v>
      </c>
    </row>
    <row r="970" spans="1:10">
      <c r="A970" s="211" t="s">
        <v>1258</v>
      </c>
      <c r="B970" s="211">
        <v>0</v>
      </c>
      <c r="C970" s="211">
        <v>4130</v>
      </c>
      <c r="D970" s="211">
        <v>4130</v>
      </c>
      <c r="E970" s="211">
        <v>0</v>
      </c>
      <c r="G970" s="211">
        <f t="shared" si="19"/>
        <v>0</v>
      </c>
      <c r="H970" s="211" t="s">
        <v>80</v>
      </c>
      <c r="J970" s="211">
        <f>VLOOKUP(A970,'JULY-TB'!A:G,7,0)</f>
        <v>0</v>
      </c>
    </row>
    <row r="971" spans="1:10">
      <c r="A971" s="211" t="s">
        <v>1259</v>
      </c>
      <c r="B971" s="211">
        <v>0</v>
      </c>
      <c r="C971" s="211">
        <v>0</v>
      </c>
      <c r="D971" s="211">
        <v>0</v>
      </c>
      <c r="E971" s="211">
        <v>0</v>
      </c>
      <c r="G971" s="211">
        <f t="shared" si="19"/>
        <v>0</v>
      </c>
      <c r="H971" s="211" t="s">
        <v>80</v>
      </c>
      <c r="J971" s="211">
        <f>VLOOKUP(A971,'JULY-TB'!A:G,7,0)</f>
        <v>0</v>
      </c>
    </row>
    <row r="972" spans="1:10">
      <c r="A972" s="211" t="s">
        <v>829</v>
      </c>
      <c r="B972" s="211">
        <v>32398</v>
      </c>
      <c r="C972" s="211">
        <v>0</v>
      </c>
      <c r="D972" s="211">
        <v>0</v>
      </c>
      <c r="E972" s="211">
        <v>32398</v>
      </c>
      <c r="G972" s="211">
        <f t="shared" si="19"/>
        <v>32398</v>
      </c>
      <c r="H972" s="211" t="s">
        <v>80</v>
      </c>
      <c r="J972" s="211">
        <f>VLOOKUP(A972,'JULY-TB'!A:G,7,0)</f>
        <v>32398</v>
      </c>
    </row>
    <row r="973" spans="1:10">
      <c r="A973" s="211" t="s">
        <v>830</v>
      </c>
      <c r="B973" s="211">
        <v>-1442</v>
      </c>
      <c r="C973" s="211">
        <v>0</v>
      </c>
      <c r="D973" s="211">
        <v>0</v>
      </c>
      <c r="E973" s="211">
        <v>-1442</v>
      </c>
      <c r="G973" s="211">
        <f t="shared" si="19"/>
        <v>-1442</v>
      </c>
      <c r="H973" s="211" t="s">
        <v>80</v>
      </c>
      <c r="J973" s="211">
        <f>VLOOKUP(A973,'JULY-TB'!A:G,7,0)</f>
        <v>-1442</v>
      </c>
    </row>
    <row r="974" spans="1:10">
      <c r="A974" s="211" t="s">
        <v>1260</v>
      </c>
      <c r="B974" s="211">
        <v>0</v>
      </c>
      <c r="C974" s="211">
        <v>72942</v>
      </c>
      <c r="D974" s="211">
        <v>72942</v>
      </c>
      <c r="E974" s="211">
        <v>0</v>
      </c>
      <c r="G974" s="211">
        <f t="shared" si="19"/>
        <v>0</v>
      </c>
      <c r="H974" s="211" t="s">
        <v>80</v>
      </c>
      <c r="J974" s="211">
        <f>VLOOKUP(A974,'JULY-TB'!A:G,7,0)</f>
        <v>0</v>
      </c>
    </row>
    <row r="975" spans="1:10">
      <c r="A975" s="211" t="s">
        <v>1481</v>
      </c>
      <c r="B975" s="211">
        <v>0</v>
      </c>
      <c r="C975" s="211">
        <v>18900</v>
      </c>
      <c r="D975" s="211">
        <v>18900</v>
      </c>
      <c r="E975" s="211">
        <v>0</v>
      </c>
      <c r="G975" s="211">
        <f t="shared" si="19"/>
        <v>0</v>
      </c>
      <c r="H975" s="211" t="s">
        <v>80</v>
      </c>
      <c r="J975" s="211">
        <f>VLOOKUP(A975,'JULY-TB'!A:G,7,0)</f>
        <v>0</v>
      </c>
    </row>
    <row r="976" spans="1:10">
      <c r="A976" s="211" t="s">
        <v>831</v>
      </c>
      <c r="B976" s="211">
        <v>-16520</v>
      </c>
      <c r="C976" s="211">
        <v>0</v>
      </c>
      <c r="D976" s="211">
        <v>0</v>
      </c>
      <c r="E976" s="211">
        <v>-16520</v>
      </c>
      <c r="G976" s="211">
        <f t="shared" si="19"/>
        <v>-16520</v>
      </c>
      <c r="H976" s="211" t="s">
        <v>80</v>
      </c>
      <c r="J976" s="211">
        <f>VLOOKUP(A976,'JULY-TB'!A:G,7,0)</f>
        <v>-16520</v>
      </c>
    </row>
    <row r="977" spans="1:10">
      <c r="A977" s="211" t="s">
        <v>832</v>
      </c>
      <c r="B977" s="211">
        <v>16834618.210000001</v>
      </c>
      <c r="C977" s="211">
        <v>0</v>
      </c>
      <c r="D977" s="211">
        <v>0</v>
      </c>
      <c r="E977" s="211">
        <v>16834618.210000001</v>
      </c>
      <c r="G977" s="211">
        <f t="shared" si="19"/>
        <v>16834618.210000001</v>
      </c>
      <c r="H977" s="211" t="s">
        <v>80</v>
      </c>
      <c r="J977" s="211">
        <f>VLOOKUP(A977,'JULY-TB'!A:G,7,0)</f>
        <v>16834618.210000001</v>
      </c>
    </row>
    <row r="978" spans="1:10">
      <c r="A978" s="211" t="s">
        <v>235</v>
      </c>
      <c r="B978" s="211">
        <v>-17148820.5</v>
      </c>
      <c r="C978" s="211">
        <v>0</v>
      </c>
      <c r="D978" s="211">
        <v>0</v>
      </c>
      <c r="E978" s="211">
        <v>-17148820.5</v>
      </c>
      <c r="G978" s="211">
        <f t="shared" si="19"/>
        <v>-17148820.5</v>
      </c>
      <c r="H978" s="211" t="s">
        <v>80</v>
      </c>
      <c r="J978" s="211">
        <f>VLOOKUP(A978,'JULY-TB'!A:G,7,0)</f>
        <v>-17148820.5</v>
      </c>
    </row>
    <row r="979" spans="1:10">
      <c r="A979" s="211" t="s">
        <v>234</v>
      </c>
      <c r="B979" s="211">
        <v>137982122.58000001</v>
      </c>
      <c r="C979" s="211">
        <v>6819061.1699999999</v>
      </c>
      <c r="D979" s="211">
        <v>0</v>
      </c>
      <c r="E979" s="211">
        <v>144801183.75</v>
      </c>
      <c r="G979" s="211">
        <f t="shared" si="19"/>
        <v>144801183.75</v>
      </c>
      <c r="H979" s="211" t="s">
        <v>80</v>
      </c>
      <c r="J979" s="211">
        <f>VLOOKUP(A979,'JULY-TB'!A:G,7,0)</f>
        <v>139896146.86000001</v>
      </c>
    </row>
    <row r="980" spans="1:10">
      <c r="A980" s="211" t="s">
        <v>833</v>
      </c>
      <c r="B980" s="211">
        <v>-34650</v>
      </c>
      <c r="C980" s="211">
        <v>180650</v>
      </c>
      <c r="D980" s="211">
        <v>146000</v>
      </c>
      <c r="E980" s="211">
        <v>0</v>
      </c>
      <c r="G980" s="211">
        <f t="shared" si="19"/>
        <v>0</v>
      </c>
      <c r="H980" s="211" t="s">
        <v>80</v>
      </c>
      <c r="J980" s="211">
        <f>VLOOKUP(A980,'JULY-TB'!A:G,7,0)</f>
        <v>0</v>
      </c>
    </row>
    <row r="981" spans="1:10">
      <c r="A981" s="211" t="s">
        <v>834</v>
      </c>
      <c r="B981" s="211">
        <v>-43641</v>
      </c>
      <c r="C981" s="211">
        <v>868754.66</v>
      </c>
      <c r="D981" s="211">
        <v>986367</v>
      </c>
      <c r="E981" s="211">
        <v>-161253.34</v>
      </c>
      <c r="G981" s="211">
        <f t="shared" si="19"/>
        <v>-161253.34</v>
      </c>
      <c r="H981" s="211" t="s">
        <v>80</v>
      </c>
      <c r="J981" s="211">
        <f>VLOOKUP(A981,'JULY-TB'!A:G,7,0)</f>
        <v>-40620.339999999997</v>
      </c>
    </row>
    <row r="982" spans="1:10">
      <c r="A982" s="211" t="s">
        <v>835</v>
      </c>
      <c r="B982" s="211">
        <v>-1782</v>
      </c>
      <c r="C982" s="211">
        <v>1782</v>
      </c>
      <c r="D982" s="211">
        <v>0</v>
      </c>
      <c r="E982" s="211">
        <v>0</v>
      </c>
      <c r="G982" s="211">
        <f t="shared" si="19"/>
        <v>0</v>
      </c>
      <c r="H982" s="211" t="s">
        <v>80</v>
      </c>
      <c r="J982" s="211">
        <f>VLOOKUP(A982,'JULY-TB'!A:G,7,0)</f>
        <v>0</v>
      </c>
    </row>
    <row r="983" spans="1:10">
      <c r="A983" s="211" t="s">
        <v>836</v>
      </c>
      <c r="B983" s="211">
        <v>0.44</v>
      </c>
      <c r="C983" s="211">
        <v>96422</v>
      </c>
      <c r="D983" s="211">
        <v>120441</v>
      </c>
      <c r="E983" s="211">
        <v>-24018.560000000001</v>
      </c>
      <c r="G983" s="211">
        <f t="shared" si="19"/>
        <v>-24018.560000000001</v>
      </c>
      <c r="H983" s="211" t="s">
        <v>80</v>
      </c>
      <c r="J983" s="211">
        <f>VLOOKUP(A983,'JULY-TB'!A:G,7,0)</f>
        <v>-24018.560000000001</v>
      </c>
    </row>
    <row r="984" spans="1:10">
      <c r="A984" s="211" t="s">
        <v>1644</v>
      </c>
      <c r="B984" s="211">
        <v>0</v>
      </c>
      <c r="C984" s="211">
        <v>0</v>
      </c>
      <c r="D984" s="211">
        <v>53100</v>
      </c>
      <c r="E984" s="211">
        <v>-53100</v>
      </c>
      <c r="G984" s="211">
        <f t="shared" si="19"/>
        <v>-53100</v>
      </c>
      <c r="H984" s="211" t="s">
        <v>80</v>
      </c>
      <c r="J984" s="211" t="e">
        <f>VLOOKUP(A984,'JULY-TB'!A:G,7,0)</f>
        <v>#N/A</v>
      </c>
    </row>
    <row r="985" spans="1:10">
      <c r="A985" s="211" t="s">
        <v>1261</v>
      </c>
      <c r="B985" s="211">
        <v>0</v>
      </c>
      <c r="C985" s="211">
        <v>0</v>
      </c>
      <c r="D985" s="211">
        <v>0</v>
      </c>
      <c r="E985" s="211">
        <v>0</v>
      </c>
      <c r="G985" s="211">
        <f t="shared" si="19"/>
        <v>0</v>
      </c>
      <c r="H985" s="211" t="s">
        <v>80</v>
      </c>
      <c r="J985" s="211">
        <f>VLOOKUP(A985,'JULY-TB'!A:G,7,0)</f>
        <v>0</v>
      </c>
    </row>
    <row r="986" spans="1:10">
      <c r="A986" s="211" t="s">
        <v>837</v>
      </c>
      <c r="B986" s="211">
        <v>3846</v>
      </c>
      <c r="C986" s="211">
        <v>459664</v>
      </c>
      <c r="D986" s="211">
        <v>463510</v>
      </c>
      <c r="E986" s="211">
        <v>0</v>
      </c>
      <c r="G986" s="211">
        <f t="shared" si="19"/>
        <v>0</v>
      </c>
      <c r="H986" s="211" t="s">
        <v>80</v>
      </c>
      <c r="J986" s="211">
        <f>VLOOKUP(A986,'JULY-TB'!A:G,7,0)</f>
        <v>0</v>
      </c>
    </row>
    <row r="987" spans="1:10">
      <c r="A987" s="211" t="s">
        <v>838</v>
      </c>
      <c r="B987" s="211">
        <v>-0.28000000000000003</v>
      </c>
      <c r="C987" s="211">
        <v>0</v>
      </c>
      <c r="D987" s="211">
        <v>0</v>
      </c>
      <c r="E987" s="211">
        <v>-0.28000000000000003</v>
      </c>
      <c r="G987" s="211">
        <f t="shared" si="19"/>
        <v>-0.28000000000000003</v>
      </c>
      <c r="H987" s="211" t="s">
        <v>80</v>
      </c>
      <c r="J987" s="211">
        <f>VLOOKUP(A987,'JULY-TB'!A:G,7,0)</f>
        <v>-0.28000000000000003</v>
      </c>
    </row>
    <row r="988" spans="1:10">
      <c r="A988" s="211" t="s">
        <v>1482</v>
      </c>
      <c r="B988" s="211">
        <v>0</v>
      </c>
      <c r="C988" s="211">
        <v>87000</v>
      </c>
      <c r="D988" s="211">
        <v>87000</v>
      </c>
      <c r="E988" s="211">
        <v>0</v>
      </c>
      <c r="G988" s="211">
        <f t="shared" si="19"/>
        <v>0</v>
      </c>
      <c r="H988" s="211" t="s">
        <v>80</v>
      </c>
      <c r="J988" s="211">
        <f>VLOOKUP(A988,'JULY-TB'!A:G,7,0)</f>
        <v>0</v>
      </c>
    </row>
    <row r="989" spans="1:10">
      <c r="A989" s="211" t="s">
        <v>1587</v>
      </c>
      <c r="B989" s="211">
        <v>0</v>
      </c>
      <c r="C989" s="211">
        <v>2000.02</v>
      </c>
      <c r="D989" s="211">
        <v>2000</v>
      </c>
      <c r="E989" s="211">
        <v>0.02</v>
      </c>
      <c r="G989" s="211">
        <f t="shared" si="19"/>
        <v>0.02</v>
      </c>
      <c r="H989" s="211" t="s">
        <v>80</v>
      </c>
      <c r="J989" s="211">
        <f>VLOOKUP(A989,'JULY-TB'!A:G,7,0)</f>
        <v>0.02</v>
      </c>
    </row>
    <row r="990" spans="1:10">
      <c r="A990" s="211" t="s">
        <v>1262</v>
      </c>
      <c r="B990" s="211">
        <v>0</v>
      </c>
      <c r="C990" s="211">
        <v>0</v>
      </c>
      <c r="D990" s="211">
        <v>0</v>
      </c>
      <c r="E990" s="211">
        <v>0</v>
      </c>
      <c r="G990" s="211">
        <f t="shared" si="19"/>
        <v>0</v>
      </c>
      <c r="H990" s="211" t="s">
        <v>80</v>
      </c>
      <c r="J990" s="211">
        <f>VLOOKUP(A990,'JULY-TB'!A:G,7,0)</f>
        <v>0</v>
      </c>
    </row>
    <row r="991" spans="1:10">
      <c r="A991" s="211" t="s">
        <v>839</v>
      </c>
      <c r="B991" s="211">
        <v>-136.63</v>
      </c>
      <c r="C991" s="211">
        <v>0</v>
      </c>
      <c r="D991" s="211">
        <v>0</v>
      </c>
      <c r="E991" s="211">
        <v>-136.63</v>
      </c>
      <c r="G991" s="211">
        <f t="shared" si="19"/>
        <v>-136.63</v>
      </c>
      <c r="H991" s="211" t="s">
        <v>80</v>
      </c>
      <c r="J991" s="211">
        <f>VLOOKUP(A991,'JULY-TB'!A:G,7,0)</f>
        <v>-136.63</v>
      </c>
    </row>
    <row r="992" spans="1:10">
      <c r="A992" s="211" t="s">
        <v>1483</v>
      </c>
      <c r="B992" s="211">
        <v>0</v>
      </c>
      <c r="C992" s="211">
        <v>0</v>
      </c>
      <c r="D992" s="211">
        <v>0</v>
      </c>
      <c r="E992" s="211">
        <v>0</v>
      </c>
      <c r="G992" s="211">
        <f t="shared" si="19"/>
        <v>0</v>
      </c>
      <c r="H992" s="211" t="s">
        <v>80</v>
      </c>
      <c r="J992" s="211">
        <f>VLOOKUP(A992,'JULY-TB'!A:G,7,0)</f>
        <v>0</v>
      </c>
    </row>
    <row r="993" spans="1:10">
      <c r="A993" s="211" t="s">
        <v>224</v>
      </c>
      <c r="B993" s="211">
        <v>-21780</v>
      </c>
      <c r="C993" s="211">
        <v>0</v>
      </c>
      <c r="D993" s="211">
        <v>0</v>
      </c>
      <c r="E993" s="211">
        <v>-21780</v>
      </c>
      <c r="G993" s="211">
        <f t="shared" si="19"/>
        <v>-21780</v>
      </c>
      <c r="H993" s="211" t="s">
        <v>80</v>
      </c>
      <c r="J993" s="211">
        <f>VLOOKUP(A993,'JULY-TB'!A:G,7,0)</f>
        <v>-21780</v>
      </c>
    </row>
    <row r="994" spans="1:10">
      <c r="A994" s="211" t="s">
        <v>1263</v>
      </c>
      <c r="B994" s="211">
        <v>0</v>
      </c>
      <c r="C994" s="211">
        <v>0</v>
      </c>
      <c r="D994" s="211">
        <v>0</v>
      </c>
      <c r="E994" s="211">
        <v>0</v>
      </c>
      <c r="G994" s="211">
        <f t="shared" si="19"/>
        <v>0</v>
      </c>
      <c r="H994" s="211" t="s">
        <v>80</v>
      </c>
      <c r="J994" s="211">
        <f>VLOOKUP(A994,'JULY-TB'!A:G,7,0)</f>
        <v>0</v>
      </c>
    </row>
    <row r="995" spans="1:10">
      <c r="A995" s="211" t="s">
        <v>840</v>
      </c>
      <c r="B995" s="211">
        <v>1620</v>
      </c>
      <c r="C995" s="211">
        <v>0</v>
      </c>
      <c r="D995" s="211">
        <v>0</v>
      </c>
      <c r="E995" s="211">
        <v>1620</v>
      </c>
      <c r="G995" s="211">
        <f t="shared" si="19"/>
        <v>1620</v>
      </c>
      <c r="H995" s="211" t="s">
        <v>80</v>
      </c>
      <c r="J995" s="211">
        <f>VLOOKUP(A995,'JULY-TB'!A:G,7,0)</f>
        <v>1620</v>
      </c>
    </row>
    <row r="996" spans="1:10">
      <c r="A996" s="211" t="s">
        <v>841</v>
      </c>
      <c r="B996" s="211">
        <v>0</v>
      </c>
      <c r="C996" s="211">
        <v>119000</v>
      </c>
      <c r="D996" s="211">
        <v>118000</v>
      </c>
      <c r="E996" s="211">
        <v>1000</v>
      </c>
      <c r="G996" s="211">
        <f t="shared" si="19"/>
        <v>1000</v>
      </c>
      <c r="H996" s="211" t="s">
        <v>80</v>
      </c>
      <c r="J996" s="211">
        <f>VLOOKUP(A996,'JULY-TB'!A:G,7,0)</f>
        <v>1000</v>
      </c>
    </row>
    <row r="997" spans="1:10">
      <c r="A997" s="211" t="s">
        <v>222</v>
      </c>
      <c r="B997" s="211">
        <v>-517434.81</v>
      </c>
      <c r="C997" s="211">
        <v>1246480.6000000001</v>
      </c>
      <c r="D997" s="211">
        <v>1243692.6000000001</v>
      </c>
      <c r="E997" s="211">
        <v>-514646.81</v>
      </c>
      <c r="G997" s="211">
        <f t="shared" si="19"/>
        <v>-514646.81</v>
      </c>
      <c r="H997" s="211" t="s">
        <v>80</v>
      </c>
      <c r="J997" s="211">
        <f>VLOOKUP(A997,'JULY-TB'!A:G,7,0)</f>
        <v>-514646.81</v>
      </c>
    </row>
    <row r="998" spans="1:10">
      <c r="A998" s="211" t="s">
        <v>1264</v>
      </c>
      <c r="B998" s="211">
        <v>0</v>
      </c>
      <c r="C998" s="211">
        <v>111065</v>
      </c>
      <c r="D998" s="211">
        <v>111065</v>
      </c>
      <c r="E998" s="211">
        <v>0</v>
      </c>
      <c r="G998" s="211">
        <f t="shared" si="19"/>
        <v>0</v>
      </c>
      <c r="H998" s="211" t="s">
        <v>80</v>
      </c>
      <c r="J998" s="211">
        <f>VLOOKUP(A998,'JULY-TB'!A:G,7,0)</f>
        <v>0</v>
      </c>
    </row>
    <row r="999" spans="1:10">
      <c r="A999" s="211" t="s">
        <v>842</v>
      </c>
      <c r="B999" s="211">
        <v>1491</v>
      </c>
      <c r="C999" s="211">
        <v>529210</v>
      </c>
      <c r="D999" s="211">
        <v>560027</v>
      </c>
      <c r="E999" s="211">
        <v>-29326</v>
      </c>
      <c r="G999" s="211">
        <f t="shared" si="19"/>
        <v>-29326</v>
      </c>
      <c r="H999" s="211" t="s">
        <v>80</v>
      </c>
      <c r="J999" s="211">
        <f>VLOOKUP(A999,'JULY-TB'!A:G,7,0)</f>
        <v>0</v>
      </c>
    </row>
    <row r="1000" spans="1:10">
      <c r="A1000" s="211" t="s">
        <v>843</v>
      </c>
      <c r="B1000" s="211">
        <v>0</v>
      </c>
      <c r="C1000" s="211">
        <v>44722</v>
      </c>
      <c r="D1000" s="211">
        <v>44722</v>
      </c>
      <c r="E1000" s="211">
        <v>0</v>
      </c>
      <c r="G1000" s="211">
        <f t="shared" si="19"/>
        <v>0</v>
      </c>
      <c r="H1000" s="211" t="s">
        <v>80</v>
      </c>
      <c r="J1000" s="211">
        <f>VLOOKUP(A1000,'JULY-TB'!A:G,7,0)</f>
        <v>0</v>
      </c>
    </row>
    <row r="1001" spans="1:10">
      <c r="A1001" s="211" t="s">
        <v>844</v>
      </c>
      <c r="B1001" s="211">
        <v>-0.86</v>
      </c>
      <c r="C1001" s="211">
        <v>0</v>
      </c>
      <c r="D1001" s="211">
        <v>0</v>
      </c>
      <c r="E1001" s="211">
        <v>-0.86</v>
      </c>
      <c r="G1001" s="211">
        <f t="shared" si="19"/>
        <v>-0.86</v>
      </c>
      <c r="H1001" s="211" t="s">
        <v>80</v>
      </c>
      <c r="J1001" s="211">
        <f>VLOOKUP(A1001,'JULY-TB'!A:G,7,0)</f>
        <v>-0.86</v>
      </c>
    </row>
    <row r="1002" spans="1:10">
      <c r="A1002" s="211" t="s">
        <v>845</v>
      </c>
      <c r="B1002" s="211">
        <v>-400</v>
      </c>
      <c r="C1002" s="211">
        <v>0</v>
      </c>
      <c r="D1002" s="211">
        <v>0</v>
      </c>
      <c r="E1002" s="211">
        <v>-400</v>
      </c>
      <c r="G1002" s="211">
        <f t="shared" si="19"/>
        <v>-400</v>
      </c>
      <c r="H1002" s="211" t="s">
        <v>80</v>
      </c>
      <c r="J1002" s="211">
        <f>VLOOKUP(A1002,'JULY-TB'!A:G,7,0)</f>
        <v>-400</v>
      </c>
    </row>
    <row r="1003" spans="1:10">
      <c r="A1003" s="211" t="s">
        <v>485</v>
      </c>
      <c r="B1003" s="211">
        <v>-31784</v>
      </c>
      <c r="C1003" s="211">
        <v>14750</v>
      </c>
      <c r="D1003" s="211">
        <v>17700</v>
      </c>
      <c r="E1003" s="211">
        <v>-34734</v>
      </c>
      <c r="G1003" s="211">
        <f t="shared" si="19"/>
        <v>-34734</v>
      </c>
      <c r="H1003" s="211" t="s">
        <v>80</v>
      </c>
      <c r="J1003" s="211">
        <f>VLOOKUP(A1003,'JULY-TB'!A:G,7,0)</f>
        <v>-34734</v>
      </c>
    </row>
    <row r="1004" spans="1:10">
      <c r="A1004" s="211" t="s">
        <v>846</v>
      </c>
      <c r="B1004" s="211">
        <v>13933</v>
      </c>
      <c r="C1004" s="211">
        <v>0</v>
      </c>
      <c r="D1004" s="211">
        <v>0</v>
      </c>
      <c r="E1004" s="211">
        <v>13933</v>
      </c>
      <c r="G1004" s="211">
        <f t="shared" si="19"/>
        <v>13933</v>
      </c>
      <c r="H1004" s="211" t="s">
        <v>80</v>
      </c>
      <c r="J1004" s="211">
        <f>VLOOKUP(A1004,'JULY-TB'!A:G,7,0)</f>
        <v>13933</v>
      </c>
    </row>
    <row r="1005" spans="1:10">
      <c r="A1005" s="211" t="s">
        <v>1266</v>
      </c>
      <c r="B1005" s="211">
        <v>0</v>
      </c>
      <c r="C1005" s="211">
        <v>0</v>
      </c>
      <c r="D1005" s="211">
        <v>0</v>
      </c>
      <c r="E1005" s="211">
        <v>0</v>
      </c>
      <c r="G1005" s="211">
        <f t="shared" si="19"/>
        <v>0</v>
      </c>
      <c r="H1005" s="211" t="s">
        <v>80</v>
      </c>
      <c r="J1005" s="211">
        <f>VLOOKUP(A1005,'JULY-TB'!A:G,7,0)</f>
        <v>0</v>
      </c>
    </row>
    <row r="1006" spans="1:10">
      <c r="A1006" s="211" t="s">
        <v>1268</v>
      </c>
      <c r="B1006" s="211">
        <v>0</v>
      </c>
      <c r="C1006" s="211">
        <v>17700</v>
      </c>
      <c r="D1006" s="211">
        <v>17700</v>
      </c>
      <c r="E1006" s="211">
        <v>0</v>
      </c>
      <c r="G1006" s="211">
        <f t="shared" si="19"/>
        <v>0</v>
      </c>
      <c r="H1006" s="211" t="s">
        <v>80</v>
      </c>
      <c r="J1006" s="211">
        <f>VLOOKUP(A1006,'JULY-TB'!A:G,7,0)</f>
        <v>0</v>
      </c>
    </row>
    <row r="1007" spans="1:10">
      <c r="A1007" s="211" t="s">
        <v>1269</v>
      </c>
      <c r="B1007" s="211">
        <v>0</v>
      </c>
      <c r="C1007" s="211">
        <v>0</v>
      </c>
      <c r="D1007" s="211">
        <v>0</v>
      </c>
      <c r="E1007" s="211">
        <v>0</v>
      </c>
      <c r="G1007" s="211">
        <f t="shared" si="19"/>
        <v>0</v>
      </c>
      <c r="H1007" s="211" t="s">
        <v>80</v>
      </c>
      <c r="J1007" s="211">
        <f>VLOOKUP(A1007,'JULY-TB'!A:G,7,0)</f>
        <v>0</v>
      </c>
    </row>
    <row r="1008" spans="1:10">
      <c r="A1008" s="211" t="s">
        <v>847</v>
      </c>
      <c r="B1008" s="211">
        <v>345500</v>
      </c>
      <c r="C1008" s="211">
        <v>71289</v>
      </c>
      <c r="D1008" s="211">
        <v>0</v>
      </c>
      <c r="E1008" s="211">
        <v>416789</v>
      </c>
      <c r="G1008" s="211">
        <f t="shared" si="19"/>
        <v>416789</v>
      </c>
      <c r="H1008" s="211" t="s">
        <v>80</v>
      </c>
      <c r="J1008" s="211">
        <f>VLOOKUP(A1008,'JULY-TB'!A:G,7,0)</f>
        <v>345500</v>
      </c>
    </row>
    <row r="1009" spans="1:10">
      <c r="A1009" s="211" t="s">
        <v>848</v>
      </c>
      <c r="B1009" s="211">
        <v>-2.2599999999999998</v>
      </c>
      <c r="C1009" s="211">
        <v>0</v>
      </c>
      <c r="D1009" s="211">
        <v>0</v>
      </c>
      <c r="E1009" s="211">
        <v>-2.2599999999999998</v>
      </c>
      <c r="G1009" s="211">
        <f t="shared" si="19"/>
        <v>-2.2599999999999998</v>
      </c>
      <c r="H1009" s="211" t="s">
        <v>80</v>
      </c>
      <c r="J1009" s="211">
        <f>VLOOKUP(A1009,'JULY-TB'!A:G,7,0)</f>
        <v>-2.2599999999999998</v>
      </c>
    </row>
    <row r="1010" spans="1:10">
      <c r="A1010" s="211" t="s">
        <v>1270</v>
      </c>
      <c r="B1010" s="211">
        <v>0</v>
      </c>
      <c r="C1010" s="211">
        <v>0</v>
      </c>
      <c r="D1010" s="211">
        <v>0</v>
      </c>
      <c r="E1010" s="211">
        <v>0</v>
      </c>
      <c r="G1010" s="211">
        <f t="shared" si="19"/>
        <v>0</v>
      </c>
      <c r="H1010" s="211" t="s">
        <v>80</v>
      </c>
      <c r="J1010" s="211">
        <f>VLOOKUP(A1010,'JULY-TB'!A:G,7,0)</f>
        <v>0</v>
      </c>
    </row>
    <row r="1011" spans="1:10">
      <c r="A1011" s="211" t="s">
        <v>849</v>
      </c>
      <c r="B1011" s="211">
        <v>-236204</v>
      </c>
      <c r="C1011" s="211">
        <v>236204</v>
      </c>
      <c r="D1011" s="211">
        <v>0</v>
      </c>
      <c r="E1011" s="211">
        <v>0</v>
      </c>
      <c r="G1011" s="211">
        <f t="shared" si="19"/>
        <v>0</v>
      </c>
      <c r="H1011" s="211" t="s">
        <v>80</v>
      </c>
      <c r="J1011" s="211">
        <f>VLOOKUP(A1011,'JULY-TB'!A:G,7,0)</f>
        <v>0</v>
      </c>
    </row>
    <row r="1012" spans="1:10">
      <c r="A1012" s="211" t="s">
        <v>1271</v>
      </c>
      <c r="B1012" s="211">
        <v>0</v>
      </c>
      <c r="C1012" s="211">
        <v>0</v>
      </c>
      <c r="D1012" s="211">
        <v>0</v>
      </c>
      <c r="E1012" s="211">
        <v>0</v>
      </c>
      <c r="G1012" s="211">
        <f t="shared" si="19"/>
        <v>0</v>
      </c>
      <c r="H1012" s="211" t="s">
        <v>80</v>
      </c>
      <c r="J1012" s="211">
        <f>VLOOKUP(A1012,'JULY-TB'!A:G,7,0)</f>
        <v>0</v>
      </c>
    </row>
    <row r="1013" spans="1:10">
      <c r="A1013" s="211" t="s">
        <v>1588</v>
      </c>
      <c r="B1013" s="211">
        <v>0</v>
      </c>
      <c r="C1013" s="211">
        <v>16520</v>
      </c>
      <c r="D1013" s="211">
        <v>16520</v>
      </c>
      <c r="E1013" s="211">
        <v>0</v>
      </c>
      <c r="G1013" s="211">
        <f t="shared" si="19"/>
        <v>0</v>
      </c>
      <c r="H1013" s="211" t="s">
        <v>80</v>
      </c>
      <c r="J1013" s="211">
        <f>VLOOKUP(A1013,'JULY-TB'!A:G,7,0)</f>
        <v>0</v>
      </c>
    </row>
    <row r="1014" spans="1:10">
      <c r="A1014" s="211" t="s">
        <v>433</v>
      </c>
      <c r="B1014" s="211">
        <v>-7128</v>
      </c>
      <c r="C1014" s="211">
        <v>0</v>
      </c>
      <c r="D1014" s="211">
        <v>0</v>
      </c>
      <c r="E1014" s="211">
        <v>-7128</v>
      </c>
      <c r="G1014" s="211">
        <f t="shared" si="19"/>
        <v>-7128</v>
      </c>
      <c r="H1014" s="211" t="s">
        <v>80</v>
      </c>
      <c r="J1014" s="211">
        <f>VLOOKUP(A1014,'JULY-TB'!A:G,7,0)</f>
        <v>-7128</v>
      </c>
    </row>
    <row r="1015" spans="1:10">
      <c r="A1015" s="211" t="s">
        <v>1645</v>
      </c>
      <c r="B1015" s="211">
        <v>0</v>
      </c>
      <c r="C1015" s="211">
        <v>0</v>
      </c>
      <c r="D1015" s="211">
        <v>29524</v>
      </c>
      <c r="E1015" s="211">
        <v>-29524</v>
      </c>
      <c r="G1015" s="211">
        <f t="shared" si="19"/>
        <v>-29524</v>
      </c>
      <c r="H1015" s="211" t="s">
        <v>80</v>
      </c>
      <c r="J1015" s="211" t="e">
        <f>VLOOKUP(A1015,'JULY-TB'!A:G,7,0)</f>
        <v>#N/A</v>
      </c>
    </row>
    <row r="1016" spans="1:10">
      <c r="A1016" s="211" t="s">
        <v>850</v>
      </c>
      <c r="B1016" s="211">
        <v>-970</v>
      </c>
      <c r="C1016" s="211">
        <v>970</v>
      </c>
      <c r="D1016" s="211">
        <v>0</v>
      </c>
      <c r="E1016" s="211">
        <v>0</v>
      </c>
      <c r="G1016" s="211">
        <f t="shared" si="19"/>
        <v>0</v>
      </c>
      <c r="H1016" s="211" t="s">
        <v>80</v>
      </c>
      <c r="J1016" s="211">
        <f>VLOOKUP(A1016,'JULY-TB'!A:G,7,0)</f>
        <v>0</v>
      </c>
    </row>
    <row r="1017" spans="1:10">
      <c r="A1017" s="211" t="s">
        <v>851</v>
      </c>
      <c r="B1017" s="211">
        <v>384450</v>
      </c>
      <c r="C1017" s="211">
        <v>0</v>
      </c>
      <c r="D1017" s="211">
        <v>384450</v>
      </c>
      <c r="E1017" s="211">
        <v>0</v>
      </c>
      <c r="G1017" s="211">
        <f t="shared" si="19"/>
        <v>0</v>
      </c>
      <c r="H1017" s="211" t="s">
        <v>80</v>
      </c>
      <c r="J1017" s="211">
        <f>VLOOKUP(A1017,'JULY-TB'!A:G,7,0)</f>
        <v>0</v>
      </c>
    </row>
    <row r="1018" spans="1:10">
      <c r="A1018" s="211" t="s">
        <v>852</v>
      </c>
      <c r="B1018" s="211">
        <v>-56901.93</v>
      </c>
      <c r="C1018" s="211">
        <v>72704</v>
      </c>
      <c r="D1018" s="211">
        <v>138890</v>
      </c>
      <c r="E1018" s="211">
        <v>-123087.93</v>
      </c>
      <c r="G1018" s="211">
        <f t="shared" si="19"/>
        <v>-123087.93</v>
      </c>
      <c r="H1018" s="211" t="s">
        <v>80</v>
      </c>
      <c r="J1018" s="211">
        <f>VLOOKUP(A1018,'JULY-TB'!A:G,7,0)</f>
        <v>-90242.93</v>
      </c>
    </row>
    <row r="1019" spans="1:10">
      <c r="A1019" s="211" t="s">
        <v>394</v>
      </c>
      <c r="B1019" s="211">
        <v>0</v>
      </c>
      <c r="C1019" s="211">
        <v>18585</v>
      </c>
      <c r="D1019" s="211">
        <v>19234</v>
      </c>
      <c r="E1019" s="211">
        <v>-649</v>
      </c>
      <c r="G1019" s="211">
        <f t="shared" si="19"/>
        <v>-649</v>
      </c>
      <c r="H1019" s="211" t="s">
        <v>80</v>
      </c>
      <c r="J1019" s="211">
        <f>VLOOKUP(A1019,'JULY-TB'!A:G,7,0)</f>
        <v>-649</v>
      </c>
    </row>
    <row r="1020" spans="1:10">
      <c r="A1020" s="211" t="s">
        <v>213</v>
      </c>
      <c r="B1020" s="211">
        <v>1443.13</v>
      </c>
      <c r="C1020" s="211">
        <v>0</v>
      </c>
      <c r="D1020" s="211">
        <v>0</v>
      </c>
      <c r="E1020" s="211">
        <v>1443.13</v>
      </c>
      <c r="G1020" s="211">
        <f t="shared" si="19"/>
        <v>1443.13</v>
      </c>
      <c r="H1020" s="211" t="s">
        <v>80</v>
      </c>
      <c r="J1020" s="211">
        <f>VLOOKUP(A1020,'JULY-TB'!A:G,7,0)</f>
        <v>1443.13</v>
      </c>
    </row>
    <row r="1021" spans="1:10">
      <c r="A1021" s="211" t="s">
        <v>212</v>
      </c>
      <c r="B1021" s="211">
        <v>-10701996.76</v>
      </c>
      <c r="C1021" s="211">
        <v>1428000</v>
      </c>
      <c r="D1021" s="211">
        <v>708000</v>
      </c>
      <c r="E1021" s="211">
        <v>-9981996.7599999998</v>
      </c>
      <c r="G1021" s="211">
        <f t="shared" si="19"/>
        <v>-9981996.7599999998</v>
      </c>
      <c r="H1021" s="211" t="s">
        <v>80</v>
      </c>
      <c r="J1021" s="211">
        <f>VLOOKUP(A1021,'JULY-TB'!A:G,7,0)</f>
        <v>-9981996.7599999998</v>
      </c>
    </row>
    <row r="1022" spans="1:10">
      <c r="A1022" s="211" t="s">
        <v>210</v>
      </c>
      <c r="B1022" s="211">
        <v>-15232000</v>
      </c>
      <c r="C1022" s="211">
        <v>795254049</v>
      </c>
      <c r="D1022" s="211">
        <v>552991695.36000001</v>
      </c>
      <c r="E1022" s="211">
        <v>227030353.63999999</v>
      </c>
      <c r="G1022" s="211">
        <f t="shared" si="19"/>
        <v>227030353.63999999</v>
      </c>
      <c r="H1022" s="211" t="s">
        <v>80</v>
      </c>
      <c r="J1022" s="211">
        <f>VLOOKUP(A1022,'JULY-TB'!A:G,7,0)</f>
        <v>130942339.94</v>
      </c>
    </row>
    <row r="1023" spans="1:10">
      <c r="A1023" s="211" t="s">
        <v>853</v>
      </c>
      <c r="B1023" s="211">
        <v>65324336.740000002</v>
      </c>
      <c r="C1023" s="211">
        <v>86565828.439999998</v>
      </c>
      <c r="D1023" s="211">
        <v>172735862.06</v>
      </c>
      <c r="E1023" s="211">
        <v>-20845696.879999999</v>
      </c>
      <c r="G1023" s="211">
        <f t="shared" si="19"/>
        <v>-20845696.879999999</v>
      </c>
      <c r="H1023" s="211" t="s">
        <v>80</v>
      </c>
      <c r="J1023" s="211">
        <f>VLOOKUP(A1023,'JULY-TB'!A:G,7,0)</f>
        <v>-61993701.950000003</v>
      </c>
    </row>
    <row r="1024" spans="1:10">
      <c r="A1024" s="211" t="s">
        <v>209</v>
      </c>
      <c r="B1024" s="211">
        <v>-800893.59</v>
      </c>
      <c r="C1024" s="211">
        <v>0</v>
      </c>
      <c r="D1024" s="211">
        <v>0</v>
      </c>
      <c r="E1024" s="211">
        <v>-800893.59</v>
      </c>
      <c r="G1024" s="211">
        <f t="shared" si="19"/>
        <v>-800893.59</v>
      </c>
      <c r="H1024" s="211" t="s">
        <v>80</v>
      </c>
      <c r="J1024" s="211">
        <f>VLOOKUP(A1024,'JULY-TB'!A:G,7,0)</f>
        <v>-800893.59</v>
      </c>
    </row>
    <row r="1025" spans="1:10">
      <c r="A1025" s="211" t="s">
        <v>1272</v>
      </c>
      <c r="B1025" s="211">
        <v>0</v>
      </c>
      <c r="C1025" s="211">
        <v>0</v>
      </c>
      <c r="D1025" s="211">
        <v>0</v>
      </c>
      <c r="E1025" s="211">
        <v>0</v>
      </c>
      <c r="G1025" s="211">
        <f t="shared" si="19"/>
        <v>0</v>
      </c>
      <c r="H1025" s="211" t="s">
        <v>80</v>
      </c>
      <c r="J1025" s="211">
        <f>VLOOKUP(A1025,'JULY-TB'!A:G,7,0)</f>
        <v>0</v>
      </c>
    </row>
    <row r="1026" spans="1:10">
      <c r="A1026" s="211" t="s">
        <v>208</v>
      </c>
      <c r="B1026" s="211">
        <v>50181786.509999998</v>
      </c>
      <c r="C1026" s="211">
        <v>534315</v>
      </c>
      <c r="D1026" s="211">
        <v>92707408.459999993</v>
      </c>
      <c r="E1026" s="211">
        <v>-41991306.950000003</v>
      </c>
      <c r="G1026" s="211">
        <f t="shared" si="19"/>
        <v>-41991306.950000003</v>
      </c>
      <c r="H1026" s="211" t="s">
        <v>80</v>
      </c>
      <c r="J1026" s="211">
        <f>VLOOKUP(A1026,'JULY-TB'!A:G,7,0)</f>
        <v>-13082339.65</v>
      </c>
    </row>
    <row r="1027" spans="1:10">
      <c r="A1027" s="211" t="s">
        <v>1273</v>
      </c>
      <c r="B1027" s="211">
        <v>0</v>
      </c>
      <c r="C1027" s="211">
        <v>0</v>
      </c>
      <c r="D1027" s="211">
        <v>0</v>
      </c>
      <c r="E1027" s="211">
        <v>0</v>
      </c>
      <c r="G1027" s="211">
        <f t="shared" si="19"/>
        <v>0</v>
      </c>
      <c r="H1027" s="211" t="s">
        <v>80</v>
      </c>
      <c r="J1027" s="211">
        <f>VLOOKUP(A1027,'JULY-TB'!A:G,7,0)</f>
        <v>0</v>
      </c>
    </row>
    <row r="1028" spans="1:10">
      <c r="A1028" s="211" t="s">
        <v>854</v>
      </c>
      <c r="B1028" s="211">
        <v>44417.64</v>
      </c>
      <c r="C1028" s="211">
        <v>0</v>
      </c>
      <c r="D1028" s="211">
        <v>4862</v>
      </c>
      <c r="E1028" s="211">
        <v>39555.64</v>
      </c>
      <c r="G1028" s="211">
        <f t="shared" ref="G1028:G1091" si="20">E1028+F1028</f>
        <v>39555.64</v>
      </c>
      <c r="H1028" s="211" t="s">
        <v>80</v>
      </c>
      <c r="J1028" s="211">
        <f>VLOOKUP(A1028,'JULY-TB'!A:G,7,0)</f>
        <v>39555.64</v>
      </c>
    </row>
    <row r="1029" spans="1:10">
      <c r="A1029" s="211" t="s">
        <v>1274</v>
      </c>
      <c r="B1029" s="211">
        <v>0</v>
      </c>
      <c r="C1029" s="211">
        <v>0</v>
      </c>
      <c r="D1029" s="211">
        <v>0</v>
      </c>
      <c r="E1029" s="211">
        <v>0</v>
      </c>
      <c r="G1029" s="211">
        <f t="shared" si="20"/>
        <v>0</v>
      </c>
      <c r="H1029" s="211" t="s">
        <v>80</v>
      </c>
      <c r="J1029" s="211">
        <f>VLOOKUP(A1029,'JULY-TB'!A:G,7,0)</f>
        <v>0</v>
      </c>
    </row>
    <row r="1030" spans="1:10">
      <c r="A1030" s="211" t="s">
        <v>855</v>
      </c>
      <c r="B1030" s="211">
        <v>-1415.11</v>
      </c>
      <c r="C1030" s="211">
        <v>1415.11</v>
      </c>
      <c r="D1030" s="211">
        <v>0</v>
      </c>
      <c r="E1030" s="211">
        <v>0</v>
      </c>
      <c r="G1030" s="211">
        <f t="shared" si="20"/>
        <v>0</v>
      </c>
      <c r="H1030" s="211" t="s">
        <v>80</v>
      </c>
      <c r="J1030" s="211">
        <f>VLOOKUP(A1030,'JULY-TB'!A:G,7,0)</f>
        <v>0</v>
      </c>
    </row>
    <row r="1031" spans="1:10">
      <c r="A1031" s="211" t="s">
        <v>1275</v>
      </c>
      <c r="B1031" s="211">
        <v>0</v>
      </c>
      <c r="C1031" s="211">
        <v>0</v>
      </c>
      <c r="D1031" s="211">
        <v>0</v>
      </c>
      <c r="E1031" s="211">
        <v>0</v>
      </c>
      <c r="G1031" s="211">
        <f t="shared" si="20"/>
        <v>0</v>
      </c>
      <c r="H1031" s="211" t="s">
        <v>80</v>
      </c>
      <c r="J1031" s="211">
        <f>VLOOKUP(A1031,'JULY-TB'!A:G,7,0)</f>
        <v>0</v>
      </c>
    </row>
    <row r="1032" spans="1:10">
      <c r="A1032" s="211" t="s">
        <v>486</v>
      </c>
      <c r="B1032" s="211">
        <v>25960</v>
      </c>
      <c r="C1032" s="211">
        <v>0</v>
      </c>
      <c r="D1032" s="211">
        <v>25960</v>
      </c>
      <c r="E1032" s="211">
        <v>0</v>
      </c>
      <c r="G1032" s="211">
        <f t="shared" si="20"/>
        <v>0</v>
      </c>
      <c r="H1032" s="211" t="s">
        <v>80</v>
      </c>
      <c r="J1032" s="211">
        <f>VLOOKUP(A1032,'JULY-TB'!A:G,7,0)</f>
        <v>0</v>
      </c>
    </row>
    <row r="1033" spans="1:10">
      <c r="A1033" s="211" t="s">
        <v>1484</v>
      </c>
      <c r="B1033" s="211">
        <v>0</v>
      </c>
      <c r="C1033" s="211">
        <v>791</v>
      </c>
      <c r="D1033" s="211">
        <v>791</v>
      </c>
      <c r="E1033" s="211">
        <v>0</v>
      </c>
      <c r="G1033" s="211">
        <f t="shared" si="20"/>
        <v>0</v>
      </c>
      <c r="H1033" s="211" t="s">
        <v>80</v>
      </c>
      <c r="J1033" s="211">
        <f>VLOOKUP(A1033,'JULY-TB'!A:G,7,0)</f>
        <v>0</v>
      </c>
    </row>
    <row r="1034" spans="1:10">
      <c r="A1034" s="211" t="s">
        <v>1276</v>
      </c>
      <c r="B1034" s="211">
        <v>0</v>
      </c>
      <c r="C1034" s="211">
        <v>0</v>
      </c>
      <c r="D1034" s="211">
        <v>0</v>
      </c>
      <c r="E1034" s="211">
        <v>0</v>
      </c>
      <c r="G1034" s="211">
        <f t="shared" si="20"/>
        <v>0</v>
      </c>
      <c r="H1034" s="211" t="s">
        <v>80</v>
      </c>
      <c r="J1034" s="211">
        <f>VLOOKUP(A1034,'JULY-TB'!A:G,7,0)</f>
        <v>0</v>
      </c>
    </row>
    <row r="1035" spans="1:10">
      <c r="A1035" s="211" t="s">
        <v>197</v>
      </c>
      <c r="B1035" s="211">
        <v>-43913.23</v>
      </c>
      <c r="C1035" s="211">
        <v>43913</v>
      </c>
      <c r="D1035" s="211">
        <v>0</v>
      </c>
      <c r="E1035" s="211">
        <v>-0.23</v>
      </c>
      <c r="G1035" s="211">
        <f t="shared" si="20"/>
        <v>-0.23</v>
      </c>
      <c r="H1035" s="211" t="s">
        <v>80</v>
      </c>
      <c r="J1035" s="211">
        <f>VLOOKUP(A1035,'JULY-TB'!A:G,7,0)</f>
        <v>-0.23</v>
      </c>
    </row>
    <row r="1036" spans="1:10">
      <c r="A1036" s="211" t="s">
        <v>1423</v>
      </c>
      <c r="B1036" s="211">
        <v>0</v>
      </c>
      <c r="C1036" s="211">
        <v>401956</v>
      </c>
      <c r="D1036" s="211">
        <v>351956</v>
      </c>
      <c r="E1036" s="211">
        <v>50000</v>
      </c>
      <c r="G1036" s="211">
        <f t="shared" si="20"/>
        <v>50000</v>
      </c>
      <c r="H1036" s="211" t="s">
        <v>80</v>
      </c>
      <c r="J1036" s="211">
        <f>VLOOKUP(A1036,'JULY-TB'!A:G,7,0)</f>
        <v>50000</v>
      </c>
    </row>
    <row r="1037" spans="1:10">
      <c r="A1037" s="211" t="s">
        <v>856</v>
      </c>
      <c r="B1037" s="211">
        <v>2400</v>
      </c>
      <c r="C1037" s="211">
        <v>0</v>
      </c>
      <c r="D1037" s="211">
        <v>0</v>
      </c>
      <c r="E1037" s="211">
        <v>2400</v>
      </c>
      <c r="G1037" s="211">
        <f t="shared" si="20"/>
        <v>2400</v>
      </c>
      <c r="H1037" s="211" t="s">
        <v>80</v>
      </c>
      <c r="J1037" s="211">
        <f>VLOOKUP(A1037,'JULY-TB'!A:G,7,0)</f>
        <v>2400</v>
      </c>
    </row>
    <row r="1038" spans="1:10">
      <c r="A1038" s="211" t="s">
        <v>857</v>
      </c>
      <c r="B1038" s="211">
        <v>0</v>
      </c>
      <c r="C1038" s="211">
        <v>41899</v>
      </c>
      <c r="D1038" s="211">
        <v>41899</v>
      </c>
      <c r="E1038" s="211">
        <v>0</v>
      </c>
      <c r="G1038" s="211">
        <f t="shared" si="20"/>
        <v>0</v>
      </c>
      <c r="H1038" s="211" t="s">
        <v>80</v>
      </c>
      <c r="J1038" s="211">
        <f>VLOOKUP(A1038,'JULY-TB'!A:G,7,0)</f>
        <v>0</v>
      </c>
    </row>
    <row r="1039" spans="1:10">
      <c r="A1039" s="211" t="s">
        <v>193</v>
      </c>
      <c r="B1039" s="211">
        <v>-0.34</v>
      </c>
      <c r="C1039" s="211">
        <v>0</v>
      </c>
      <c r="D1039" s="211">
        <v>0</v>
      </c>
      <c r="E1039" s="211">
        <v>-0.34</v>
      </c>
      <c r="G1039" s="211">
        <f t="shared" si="20"/>
        <v>-0.34</v>
      </c>
      <c r="H1039" s="211" t="s">
        <v>80</v>
      </c>
      <c r="J1039" s="211">
        <f>VLOOKUP(A1039,'JULY-TB'!A:G,7,0)</f>
        <v>-0.34</v>
      </c>
    </row>
    <row r="1040" spans="1:10">
      <c r="A1040" s="211" t="s">
        <v>1485</v>
      </c>
      <c r="B1040" s="211">
        <v>0</v>
      </c>
      <c r="C1040" s="211">
        <v>47291.32</v>
      </c>
      <c r="D1040" s="211">
        <v>47525</v>
      </c>
      <c r="E1040" s="211">
        <v>-233.68</v>
      </c>
      <c r="G1040" s="211">
        <f t="shared" si="20"/>
        <v>-233.68</v>
      </c>
      <c r="H1040" s="211" t="s">
        <v>80</v>
      </c>
      <c r="J1040" s="211">
        <f>VLOOKUP(A1040,'JULY-TB'!A:G,7,0)</f>
        <v>-233.68</v>
      </c>
    </row>
    <row r="1041" spans="1:10">
      <c r="A1041" s="211" t="s">
        <v>1277</v>
      </c>
      <c r="B1041" s="211">
        <v>0</v>
      </c>
      <c r="C1041" s="211">
        <v>463803</v>
      </c>
      <c r="D1041" s="211">
        <v>510312</v>
      </c>
      <c r="E1041" s="211">
        <v>-46509</v>
      </c>
      <c r="G1041" s="211">
        <f t="shared" si="20"/>
        <v>-46509</v>
      </c>
      <c r="H1041" s="211" t="s">
        <v>80</v>
      </c>
      <c r="J1041" s="211">
        <f>VLOOKUP(A1041,'JULY-TB'!A:G,7,0)</f>
        <v>-215323</v>
      </c>
    </row>
    <row r="1042" spans="1:10">
      <c r="A1042" s="211" t="s">
        <v>1278</v>
      </c>
      <c r="B1042" s="211">
        <v>0</v>
      </c>
      <c r="C1042" s="211">
        <v>100000</v>
      </c>
      <c r="D1042" s="211">
        <v>0</v>
      </c>
      <c r="E1042" s="211">
        <v>100000</v>
      </c>
      <c r="G1042" s="211">
        <f t="shared" si="20"/>
        <v>100000</v>
      </c>
      <c r="H1042" s="211" t="s">
        <v>80</v>
      </c>
      <c r="J1042" s="211">
        <f>VLOOKUP(A1042,'JULY-TB'!A:G,7,0)</f>
        <v>100000</v>
      </c>
    </row>
    <row r="1043" spans="1:10">
      <c r="A1043" s="211" t="s">
        <v>1486</v>
      </c>
      <c r="B1043" s="211">
        <v>0</v>
      </c>
      <c r="C1043" s="211">
        <v>30798</v>
      </c>
      <c r="D1043" s="211">
        <v>30798</v>
      </c>
      <c r="E1043" s="211">
        <v>0</v>
      </c>
      <c r="G1043" s="211">
        <f t="shared" si="20"/>
        <v>0</v>
      </c>
      <c r="H1043" s="211" t="s">
        <v>80</v>
      </c>
      <c r="J1043" s="211">
        <f>VLOOKUP(A1043,'JULY-TB'!A:G,7,0)</f>
        <v>0</v>
      </c>
    </row>
    <row r="1044" spans="1:10">
      <c r="A1044" s="211" t="s">
        <v>858</v>
      </c>
      <c r="B1044" s="211">
        <v>-12949</v>
      </c>
      <c r="C1044" s="211">
        <v>72415</v>
      </c>
      <c r="D1044" s="211">
        <v>59466</v>
      </c>
      <c r="E1044" s="211">
        <v>0</v>
      </c>
      <c r="G1044" s="211">
        <f t="shared" si="20"/>
        <v>0</v>
      </c>
      <c r="H1044" s="211" t="s">
        <v>80</v>
      </c>
      <c r="J1044" s="211">
        <f>VLOOKUP(A1044,'JULY-TB'!A:G,7,0)</f>
        <v>0</v>
      </c>
    </row>
    <row r="1045" spans="1:10">
      <c r="A1045" s="211" t="s">
        <v>859</v>
      </c>
      <c r="B1045" s="211">
        <v>0</v>
      </c>
      <c r="C1045" s="211">
        <v>9086</v>
      </c>
      <c r="D1045" s="211">
        <v>9086</v>
      </c>
      <c r="E1045" s="211">
        <v>0</v>
      </c>
      <c r="G1045" s="211">
        <f t="shared" si="20"/>
        <v>0</v>
      </c>
      <c r="H1045" s="211" t="s">
        <v>80</v>
      </c>
      <c r="J1045" s="211">
        <f>VLOOKUP(A1045,'JULY-TB'!A:G,7,0)</f>
        <v>0</v>
      </c>
    </row>
    <row r="1046" spans="1:10">
      <c r="A1046" s="211" t="s">
        <v>1279</v>
      </c>
      <c r="B1046" s="211">
        <v>0</v>
      </c>
      <c r="C1046" s="211">
        <v>0</v>
      </c>
      <c r="D1046" s="211">
        <v>0</v>
      </c>
      <c r="E1046" s="211">
        <v>0</v>
      </c>
      <c r="G1046" s="211">
        <f t="shared" si="20"/>
        <v>0</v>
      </c>
      <c r="H1046" s="211" t="s">
        <v>80</v>
      </c>
      <c r="J1046" s="211">
        <f>VLOOKUP(A1046,'JULY-TB'!A:G,7,0)</f>
        <v>0</v>
      </c>
    </row>
    <row r="1047" spans="1:10">
      <c r="A1047" s="211" t="s">
        <v>438</v>
      </c>
      <c r="B1047" s="211">
        <v>-4725</v>
      </c>
      <c r="C1047" s="211">
        <v>0</v>
      </c>
      <c r="D1047" s="211">
        <v>0</v>
      </c>
      <c r="E1047" s="211">
        <v>-4725</v>
      </c>
      <c r="G1047" s="211">
        <f t="shared" si="20"/>
        <v>-4725</v>
      </c>
      <c r="H1047" s="211" t="s">
        <v>80</v>
      </c>
      <c r="J1047" s="211">
        <f>VLOOKUP(A1047,'JULY-TB'!A:G,7,0)</f>
        <v>-4725</v>
      </c>
    </row>
    <row r="1048" spans="1:10">
      <c r="A1048" s="211" t="s">
        <v>860</v>
      </c>
      <c r="B1048" s="211">
        <v>-2771100.1</v>
      </c>
      <c r="C1048" s="211">
        <v>12252938</v>
      </c>
      <c r="D1048" s="211">
        <v>9618443.3100000005</v>
      </c>
      <c r="E1048" s="211">
        <v>-136605.41</v>
      </c>
      <c r="G1048" s="211">
        <f t="shared" si="20"/>
        <v>-136605.41</v>
      </c>
      <c r="H1048" s="211" t="s">
        <v>80</v>
      </c>
      <c r="J1048" s="211">
        <f>VLOOKUP(A1048,'JULY-TB'!A:G,7,0)</f>
        <v>-38969.410000000003</v>
      </c>
    </row>
    <row r="1049" spans="1:10">
      <c r="A1049" s="211" t="s">
        <v>1280</v>
      </c>
      <c r="B1049" s="211">
        <v>0</v>
      </c>
      <c r="C1049" s="211">
        <v>48380</v>
      </c>
      <c r="D1049" s="211">
        <v>48380</v>
      </c>
      <c r="E1049" s="211">
        <v>0</v>
      </c>
      <c r="G1049" s="211">
        <f t="shared" si="20"/>
        <v>0</v>
      </c>
      <c r="H1049" s="211" t="s">
        <v>80</v>
      </c>
      <c r="J1049" s="211">
        <f>VLOOKUP(A1049,'JULY-TB'!A:G,7,0)</f>
        <v>0</v>
      </c>
    </row>
    <row r="1050" spans="1:10">
      <c r="A1050" s="211" t="s">
        <v>861</v>
      </c>
      <c r="B1050" s="211">
        <v>-34000</v>
      </c>
      <c r="C1050" s="211">
        <v>170000</v>
      </c>
      <c r="D1050" s="211">
        <v>136000</v>
      </c>
      <c r="E1050" s="211">
        <v>0</v>
      </c>
      <c r="G1050" s="211">
        <f t="shared" si="20"/>
        <v>0</v>
      </c>
      <c r="H1050" s="211" t="s">
        <v>80</v>
      </c>
      <c r="J1050" s="211">
        <f>VLOOKUP(A1050,'JULY-TB'!A:G,7,0)</f>
        <v>0</v>
      </c>
    </row>
    <row r="1051" spans="1:10">
      <c r="A1051" s="211" t="s">
        <v>1487</v>
      </c>
      <c r="B1051" s="211">
        <v>0</v>
      </c>
      <c r="C1051" s="211">
        <v>68041</v>
      </c>
      <c r="D1051" s="211">
        <v>104045</v>
      </c>
      <c r="E1051" s="211">
        <v>-36004</v>
      </c>
      <c r="G1051" s="211">
        <f t="shared" si="20"/>
        <v>-36004</v>
      </c>
      <c r="H1051" s="211" t="s">
        <v>80</v>
      </c>
      <c r="J1051" s="211">
        <f>VLOOKUP(A1051,'JULY-TB'!A:G,7,0)</f>
        <v>30000</v>
      </c>
    </row>
    <row r="1052" spans="1:10">
      <c r="A1052" s="211" t="s">
        <v>862</v>
      </c>
      <c r="B1052" s="211">
        <v>0</v>
      </c>
      <c r="C1052" s="211">
        <v>32061</v>
      </c>
      <c r="D1052" s="211">
        <v>32061</v>
      </c>
      <c r="E1052" s="211">
        <v>0</v>
      </c>
      <c r="G1052" s="211">
        <f t="shared" si="20"/>
        <v>0</v>
      </c>
      <c r="H1052" s="211" t="s">
        <v>80</v>
      </c>
      <c r="J1052" s="211">
        <f>VLOOKUP(A1052,'JULY-TB'!A:G,7,0)</f>
        <v>0</v>
      </c>
    </row>
    <row r="1053" spans="1:10">
      <c r="A1053" s="211" t="s">
        <v>863</v>
      </c>
      <c r="B1053" s="211">
        <v>-24544</v>
      </c>
      <c r="C1053" s="211">
        <v>115229</v>
      </c>
      <c r="D1053" s="211">
        <v>104609.36</v>
      </c>
      <c r="E1053" s="211">
        <v>-13924.36</v>
      </c>
      <c r="G1053" s="211">
        <f t="shared" si="20"/>
        <v>-13924.36</v>
      </c>
      <c r="H1053" s="211" t="s">
        <v>80</v>
      </c>
      <c r="J1053" s="211">
        <f>VLOOKUP(A1053,'JULY-TB'!A:G,7,0)</f>
        <v>-0.36</v>
      </c>
    </row>
    <row r="1054" spans="1:10">
      <c r="A1054" s="211" t="s">
        <v>864</v>
      </c>
      <c r="B1054" s="211">
        <v>-0.34</v>
      </c>
      <c r="C1054" s="211">
        <v>0</v>
      </c>
      <c r="D1054" s="211">
        <v>0</v>
      </c>
      <c r="E1054" s="211">
        <v>-0.34</v>
      </c>
      <c r="G1054" s="211">
        <f t="shared" si="20"/>
        <v>-0.34</v>
      </c>
      <c r="H1054" s="211" t="s">
        <v>80</v>
      </c>
      <c r="J1054" s="211">
        <f>VLOOKUP(A1054,'JULY-TB'!A:G,7,0)</f>
        <v>-0.34</v>
      </c>
    </row>
    <row r="1055" spans="1:10">
      <c r="A1055" s="211" t="s">
        <v>865</v>
      </c>
      <c r="B1055" s="211">
        <v>0</v>
      </c>
      <c r="C1055" s="211">
        <v>93220</v>
      </c>
      <c r="D1055" s="211">
        <v>93220</v>
      </c>
      <c r="E1055" s="211">
        <v>0</v>
      </c>
      <c r="G1055" s="211">
        <f t="shared" si="20"/>
        <v>0</v>
      </c>
      <c r="H1055" s="211" t="s">
        <v>80</v>
      </c>
      <c r="J1055" s="211">
        <f>VLOOKUP(A1055,'JULY-TB'!A:G,7,0)</f>
        <v>-30562</v>
      </c>
    </row>
    <row r="1056" spans="1:10">
      <c r="A1056" s="211" t="s">
        <v>1488</v>
      </c>
      <c r="B1056" s="211">
        <v>0</v>
      </c>
      <c r="C1056" s="211">
        <v>3677</v>
      </c>
      <c r="D1056" s="211">
        <v>3677</v>
      </c>
      <c r="E1056" s="211">
        <v>0</v>
      </c>
      <c r="G1056" s="211">
        <f t="shared" si="20"/>
        <v>0</v>
      </c>
      <c r="H1056" s="211" t="s">
        <v>80</v>
      </c>
      <c r="J1056" s="211">
        <f>VLOOKUP(A1056,'JULY-TB'!A:G,7,0)</f>
        <v>0</v>
      </c>
    </row>
    <row r="1057" spans="1:10">
      <c r="A1057" s="211" t="s">
        <v>169</v>
      </c>
      <c r="B1057" s="211">
        <v>-77102</v>
      </c>
      <c r="C1057" s="211">
        <v>80372</v>
      </c>
      <c r="D1057" s="211">
        <v>183844</v>
      </c>
      <c r="E1057" s="211">
        <v>-180574</v>
      </c>
      <c r="G1057" s="211">
        <f t="shared" si="20"/>
        <v>-180574</v>
      </c>
      <c r="H1057" s="211" t="s">
        <v>80</v>
      </c>
      <c r="J1057" s="211">
        <f>VLOOKUP(A1057,'JULY-TB'!A:G,7,0)</f>
        <v>-121182</v>
      </c>
    </row>
    <row r="1058" spans="1:10">
      <c r="A1058" s="211" t="s">
        <v>866</v>
      </c>
      <c r="B1058" s="211">
        <v>-76080</v>
      </c>
      <c r="C1058" s="211">
        <v>83780</v>
      </c>
      <c r="D1058" s="211">
        <v>0</v>
      </c>
      <c r="E1058" s="211">
        <v>7700</v>
      </c>
      <c r="G1058" s="211">
        <f t="shared" si="20"/>
        <v>7700</v>
      </c>
      <c r="H1058" s="211" t="s">
        <v>80</v>
      </c>
      <c r="J1058" s="211">
        <f>VLOOKUP(A1058,'JULY-TB'!A:G,7,0)</f>
        <v>7700</v>
      </c>
    </row>
    <row r="1059" spans="1:10">
      <c r="A1059" s="211" t="s">
        <v>867</v>
      </c>
      <c r="B1059" s="211">
        <v>-5841.8</v>
      </c>
      <c r="C1059" s="211">
        <v>29040</v>
      </c>
      <c r="D1059" s="211">
        <v>23480</v>
      </c>
      <c r="E1059" s="211">
        <v>-281.8</v>
      </c>
      <c r="G1059" s="211">
        <f t="shared" si="20"/>
        <v>-281.8</v>
      </c>
      <c r="H1059" s="211" t="s">
        <v>80</v>
      </c>
      <c r="J1059" s="211">
        <f>VLOOKUP(A1059,'JULY-TB'!A:G,7,0)</f>
        <v>-281.8</v>
      </c>
    </row>
    <row r="1060" spans="1:10">
      <c r="A1060" s="211" t="s">
        <v>1282</v>
      </c>
      <c r="B1060" s="211">
        <v>0</v>
      </c>
      <c r="C1060" s="211">
        <v>103840</v>
      </c>
      <c r="D1060" s="211">
        <v>103840</v>
      </c>
      <c r="E1060" s="211">
        <v>0</v>
      </c>
      <c r="G1060" s="211">
        <f t="shared" si="20"/>
        <v>0</v>
      </c>
      <c r="H1060" s="211" t="s">
        <v>80</v>
      </c>
      <c r="J1060" s="211">
        <f>VLOOKUP(A1060,'JULY-TB'!A:G,7,0)</f>
        <v>0</v>
      </c>
    </row>
    <row r="1061" spans="1:10">
      <c r="A1061" s="211" t="s">
        <v>868</v>
      </c>
      <c r="B1061" s="211">
        <v>-0.46</v>
      </c>
      <c r="C1061" s="211">
        <v>0</v>
      </c>
      <c r="D1061" s="211">
        <v>0</v>
      </c>
      <c r="E1061" s="211">
        <v>-0.46</v>
      </c>
      <c r="G1061" s="211">
        <f t="shared" si="20"/>
        <v>-0.46</v>
      </c>
      <c r="H1061" s="211" t="s">
        <v>80</v>
      </c>
      <c r="J1061" s="211">
        <f>VLOOKUP(A1061,'JULY-TB'!A:G,7,0)</f>
        <v>-0.46</v>
      </c>
    </row>
    <row r="1062" spans="1:10">
      <c r="A1062" s="211" t="s">
        <v>470</v>
      </c>
      <c r="B1062" s="211">
        <v>-444860</v>
      </c>
      <c r="C1062" s="211">
        <v>623040</v>
      </c>
      <c r="D1062" s="211">
        <v>178180</v>
      </c>
      <c r="E1062" s="211">
        <v>0</v>
      </c>
      <c r="G1062" s="211">
        <f t="shared" si="20"/>
        <v>0</v>
      </c>
      <c r="H1062" s="211" t="s">
        <v>80</v>
      </c>
      <c r="J1062" s="211">
        <f>VLOOKUP(A1062,'JULY-TB'!A:G,7,0)</f>
        <v>0</v>
      </c>
    </row>
    <row r="1063" spans="1:10">
      <c r="A1063" s="211" t="s">
        <v>869</v>
      </c>
      <c r="B1063" s="211">
        <v>-41849.269999999997</v>
      </c>
      <c r="C1063" s="211">
        <v>223080</v>
      </c>
      <c r="D1063" s="211">
        <v>223640</v>
      </c>
      <c r="E1063" s="211">
        <v>-42409.27</v>
      </c>
      <c r="G1063" s="211">
        <f t="shared" si="20"/>
        <v>-42409.27</v>
      </c>
      <c r="H1063" s="211" t="s">
        <v>80</v>
      </c>
      <c r="J1063" s="211">
        <f>VLOOKUP(A1063,'JULY-TB'!A:G,7,0)</f>
        <v>-40566.269999999997</v>
      </c>
    </row>
    <row r="1064" spans="1:10">
      <c r="A1064" s="211" t="s">
        <v>870</v>
      </c>
      <c r="B1064" s="211">
        <v>0</v>
      </c>
      <c r="C1064" s="211">
        <v>32686</v>
      </c>
      <c r="D1064" s="211">
        <v>32686</v>
      </c>
      <c r="E1064" s="211">
        <v>0</v>
      </c>
      <c r="G1064" s="211">
        <f t="shared" si="20"/>
        <v>0</v>
      </c>
      <c r="H1064" s="211" t="s">
        <v>80</v>
      </c>
      <c r="J1064" s="211">
        <f>VLOOKUP(A1064,'JULY-TB'!A:G,7,0)</f>
        <v>0</v>
      </c>
    </row>
    <row r="1065" spans="1:10">
      <c r="A1065" s="211" t="s">
        <v>871</v>
      </c>
      <c r="B1065" s="211">
        <v>2520</v>
      </c>
      <c r="C1065" s="211">
        <v>0</v>
      </c>
      <c r="D1065" s="211">
        <v>0</v>
      </c>
      <c r="E1065" s="211">
        <v>2520</v>
      </c>
      <c r="G1065" s="211">
        <f t="shared" si="20"/>
        <v>2520</v>
      </c>
      <c r="H1065" s="211" t="s">
        <v>80</v>
      </c>
      <c r="J1065" s="211">
        <f>VLOOKUP(A1065,'JULY-TB'!A:G,7,0)</f>
        <v>2520</v>
      </c>
    </row>
    <row r="1066" spans="1:10">
      <c r="A1066" s="211" t="s">
        <v>872</v>
      </c>
      <c r="B1066" s="211">
        <v>-3885</v>
      </c>
      <c r="C1066" s="211">
        <v>83759</v>
      </c>
      <c r="D1066" s="211">
        <v>83760</v>
      </c>
      <c r="E1066" s="211">
        <v>-3886</v>
      </c>
      <c r="G1066" s="211">
        <f t="shared" si="20"/>
        <v>-3886</v>
      </c>
      <c r="H1066" s="211" t="s">
        <v>80</v>
      </c>
      <c r="J1066" s="211">
        <f>VLOOKUP(A1066,'JULY-TB'!A:G,7,0)</f>
        <v>-3886</v>
      </c>
    </row>
    <row r="1067" spans="1:10">
      <c r="A1067" s="211" t="s">
        <v>1283</v>
      </c>
      <c r="B1067" s="211">
        <v>0</v>
      </c>
      <c r="C1067" s="211">
        <v>36386</v>
      </c>
      <c r="D1067" s="211">
        <v>165714</v>
      </c>
      <c r="E1067" s="211">
        <v>-129328</v>
      </c>
      <c r="G1067" s="211">
        <f t="shared" si="20"/>
        <v>-129328</v>
      </c>
      <c r="H1067" s="211" t="s">
        <v>80</v>
      </c>
      <c r="J1067" s="211">
        <f>VLOOKUP(A1067,'JULY-TB'!A:G,7,0)</f>
        <v>-129328</v>
      </c>
    </row>
    <row r="1068" spans="1:10">
      <c r="A1068" s="211" t="s">
        <v>1284</v>
      </c>
      <c r="B1068" s="211">
        <v>0</v>
      </c>
      <c r="C1068" s="211">
        <v>0</v>
      </c>
      <c r="D1068" s="211">
        <v>0</v>
      </c>
      <c r="E1068" s="211">
        <v>0</v>
      </c>
      <c r="G1068" s="211">
        <f t="shared" si="20"/>
        <v>0</v>
      </c>
      <c r="H1068" s="211" t="s">
        <v>80</v>
      </c>
      <c r="J1068" s="211">
        <f>VLOOKUP(A1068,'JULY-TB'!A:G,7,0)</f>
        <v>0</v>
      </c>
    </row>
    <row r="1069" spans="1:10">
      <c r="A1069" s="211" t="s">
        <v>1489</v>
      </c>
      <c r="B1069" s="211">
        <v>0</v>
      </c>
      <c r="C1069" s="211">
        <v>0</v>
      </c>
      <c r="D1069" s="211">
        <v>0</v>
      </c>
      <c r="E1069" s="211">
        <v>0</v>
      </c>
      <c r="G1069" s="211">
        <f t="shared" si="20"/>
        <v>0</v>
      </c>
      <c r="H1069" s="211" t="s">
        <v>80</v>
      </c>
      <c r="J1069" s="211">
        <f>VLOOKUP(A1069,'JULY-TB'!A:G,7,0)</f>
        <v>0</v>
      </c>
    </row>
    <row r="1070" spans="1:10">
      <c r="A1070" s="211" t="s">
        <v>873</v>
      </c>
      <c r="B1070" s="211">
        <v>-8191.48</v>
      </c>
      <c r="C1070" s="211">
        <v>22200</v>
      </c>
      <c r="D1070" s="211">
        <v>22200</v>
      </c>
      <c r="E1070" s="211">
        <v>-8191.48</v>
      </c>
      <c r="G1070" s="211">
        <f t="shared" si="20"/>
        <v>-8191.48</v>
      </c>
      <c r="H1070" s="211" t="s">
        <v>80</v>
      </c>
      <c r="J1070" s="211">
        <f>VLOOKUP(A1070,'JULY-TB'!A:G,7,0)</f>
        <v>-8191.48</v>
      </c>
    </row>
    <row r="1071" spans="1:10">
      <c r="A1071" s="211" t="s">
        <v>874</v>
      </c>
      <c r="B1071" s="211">
        <v>-49400</v>
      </c>
      <c r="C1071" s="211">
        <v>49400</v>
      </c>
      <c r="D1071" s="211">
        <v>0</v>
      </c>
      <c r="E1071" s="211">
        <v>0</v>
      </c>
      <c r="G1071" s="211">
        <f t="shared" si="20"/>
        <v>0</v>
      </c>
      <c r="H1071" s="211" t="s">
        <v>80</v>
      </c>
      <c r="J1071" s="211">
        <f>VLOOKUP(A1071,'JULY-TB'!A:G,7,0)</f>
        <v>0</v>
      </c>
    </row>
    <row r="1072" spans="1:10">
      <c r="A1072" s="211" t="s">
        <v>875</v>
      </c>
      <c r="B1072" s="211">
        <v>0</v>
      </c>
      <c r="C1072" s="211">
        <v>14650</v>
      </c>
      <c r="D1072" s="211">
        <v>14650</v>
      </c>
      <c r="E1072" s="211">
        <v>0</v>
      </c>
      <c r="G1072" s="211">
        <f t="shared" si="20"/>
        <v>0</v>
      </c>
      <c r="H1072" s="211" t="s">
        <v>80</v>
      </c>
      <c r="J1072" s="211">
        <f>VLOOKUP(A1072,'JULY-TB'!A:G,7,0)</f>
        <v>0</v>
      </c>
    </row>
    <row r="1073" spans="1:10">
      <c r="A1073" s="211" t="s">
        <v>1285</v>
      </c>
      <c r="B1073" s="211">
        <v>0</v>
      </c>
      <c r="C1073" s="211">
        <v>28438</v>
      </c>
      <c r="D1073" s="211">
        <v>28438</v>
      </c>
      <c r="E1073" s="211">
        <v>0</v>
      </c>
      <c r="G1073" s="211">
        <f t="shared" si="20"/>
        <v>0</v>
      </c>
      <c r="H1073" s="211" t="s">
        <v>80</v>
      </c>
      <c r="J1073" s="211">
        <f>VLOOKUP(A1073,'JULY-TB'!A:G,7,0)</f>
        <v>-7198</v>
      </c>
    </row>
    <row r="1074" spans="1:10">
      <c r="A1074" s="211" t="s">
        <v>1490</v>
      </c>
      <c r="B1074" s="211">
        <v>0</v>
      </c>
      <c r="C1074" s="211">
        <v>18880</v>
      </c>
      <c r="D1074" s="211">
        <v>20650</v>
      </c>
      <c r="E1074" s="211">
        <v>-1770</v>
      </c>
      <c r="G1074" s="211">
        <f t="shared" si="20"/>
        <v>-1770</v>
      </c>
      <c r="H1074" s="211" t="s">
        <v>80</v>
      </c>
      <c r="J1074" s="211">
        <f>VLOOKUP(A1074,'JULY-TB'!A:G,7,0)</f>
        <v>0</v>
      </c>
    </row>
    <row r="1075" spans="1:10">
      <c r="A1075" s="211" t="s">
        <v>876</v>
      </c>
      <c r="B1075" s="211">
        <v>-1386</v>
      </c>
      <c r="C1075" s="211">
        <v>2670</v>
      </c>
      <c r="D1075" s="211">
        <v>5620</v>
      </c>
      <c r="E1075" s="211">
        <v>-4336</v>
      </c>
      <c r="G1075" s="211">
        <f t="shared" si="20"/>
        <v>-4336</v>
      </c>
      <c r="H1075" s="211" t="s">
        <v>80</v>
      </c>
      <c r="J1075" s="211">
        <f>VLOOKUP(A1075,'JULY-TB'!A:G,7,0)</f>
        <v>-4336</v>
      </c>
    </row>
    <row r="1076" spans="1:10">
      <c r="A1076" s="211" t="s">
        <v>1491</v>
      </c>
      <c r="B1076" s="211">
        <v>0</v>
      </c>
      <c r="C1076" s="211">
        <v>0</v>
      </c>
      <c r="D1076" s="211">
        <v>51212</v>
      </c>
      <c r="E1076" s="211">
        <v>-51212</v>
      </c>
      <c r="G1076" s="211">
        <f t="shared" si="20"/>
        <v>-51212</v>
      </c>
      <c r="H1076" s="211" t="s">
        <v>80</v>
      </c>
      <c r="J1076" s="211">
        <f>VLOOKUP(A1076,'JULY-TB'!A:G,7,0)</f>
        <v>-51212</v>
      </c>
    </row>
    <row r="1077" spans="1:10">
      <c r="A1077" s="211" t="s">
        <v>877</v>
      </c>
      <c r="B1077" s="211">
        <v>790350</v>
      </c>
      <c r="C1077" s="211">
        <v>0</v>
      </c>
      <c r="D1077" s="211">
        <v>0</v>
      </c>
      <c r="E1077" s="211">
        <v>790350</v>
      </c>
      <c r="G1077" s="211">
        <f t="shared" si="20"/>
        <v>790350</v>
      </c>
      <c r="H1077" s="211" t="s">
        <v>80</v>
      </c>
      <c r="J1077" s="211">
        <f>VLOOKUP(A1077,'JULY-TB'!A:G,7,0)</f>
        <v>790350</v>
      </c>
    </row>
    <row r="1078" spans="1:10">
      <c r="A1078" s="211" t="s">
        <v>878</v>
      </c>
      <c r="B1078" s="211">
        <v>-18682.599999999999</v>
      </c>
      <c r="C1078" s="211">
        <v>0</v>
      </c>
      <c r="D1078" s="211">
        <v>0</v>
      </c>
      <c r="E1078" s="211">
        <v>-18682.599999999999</v>
      </c>
      <c r="G1078" s="211">
        <f t="shared" si="20"/>
        <v>-18682.599999999999</v>
      </c>
      <c r="H1078" s="211" t="s">
        <v>80</v>
      </c>
      <c r="J1078" s="211">
        <f>VLOOKUP(A1078,'JULY-TB'!A:G,7,0)</f>
        <v>-18682.599999999999</v>
      </c>
    </row>
    <row r="1079" spans="1:10">
      <c r="A1079" s="211" t="s">
        <v>1646</v>
      </c>
      <c r="B1079" s="211">
        <v>0</v>
      </c>
      <c r="C1079" s="211">
        <v>0</v>
      </c>
      <c r="D1079" s="211">
        <v>34645</v>
      </c>
      <c r="E1079" s="211">
        <v>-34645</v>
      </c>
      <c r="G1079" s="211">
        <f t="shared" si="20"/>
        <v>-34645</v>
      </c>
      <c r="H1079" s="211" t="s">
        <v>80</v>
      </c>
      <c r="J1079" s="211" t="e">
        <f>VLOOKUP(A1079,'JULY-TB'!A:G,7,0)</f>
        <v>#N/A</v>
      </c>
    </row>
    <row r="1080" spans="1:10">
      <c r="A1080" s="211" t="s">
        <v>487</v>
      </c>
      <c r="B1080" s="211">
        <v>-141412</v>
      </c>
      <c r="C1080" s="211">
        <v>324702</v>
      </c>
      <c r="D1080" s="211">
        <v>184290</v>
      </c>
      <c r="E1080" s="211">
        <v>-1000</v>
      </c>
      <c r="G1080" s="211">
        <f t="shared" si="20"/>
        <v>-1000</v>
      </c>
      <c r="H1080" s="211" t="s">
        <v>80</v>
      </c>
      <c r="J1080" s="211">
        <f>VLOOKUP(A1080,'JULY-TB'!A:G,7,0)</f>
        <v>-1774</v>
      </c>
    </row>
    <row r="1081" spans="1:10">
      <c r="A1081" s="211" t="s">
        <v>488</v>
      </c>
      <c r="B1081" s="211">
        <v>0</v>
      </c>
      <c r="C1081" s="211">
        <v>7875</v>
      </c>
      <c r="D1081" s="211">
        <v>7875</v>
      </c>
      <c r="E1081" s="211">
        <v>0</v>
      </c>
      <c r="G1081" s="211">
        <f t="shared" si="20"/>
        <v>0</v>
      </c>
      <c r="H1081" s="211" t="s">
        <v>80</v>
      </c>
      <c r="J1081" s="211">
        <f>VLOOKUP(A1081,'JULY-TB'!A:G,7,0)</f>
        <v>0</v>
      </c>
    </row>
    <row r="1082" spans="1:10">
      <c r="A1082" s="211" t="s">
        <v>400</v>
      </c>
      <c r="B1082" s="211">
        <v>-392656</v>
      </c>
      <c r="C1082" s="211">
        <v>850945</v>
      </c>
      <c r="D1082" s="211">
        <v>458289</v>
      </c>
      <c r="E1082" s="211">
        <v>0</v>
      </c>
      <c r="G1082" s="211">
        <f t="shared" si="20"/>
        <v>0</v>
      </c>
      <c r="H1082" s="211" t="s">
        <v>80</v>
      </c>
      <c r="J1082" s="211">
        <f>VLOOKUP(A1082,'JULY-TB'!A:G,7,0)</f>
        <v>0</v>
      </c>
    </row>
    <row r="1083" spans="1:10">
      <c r="A1083" s="211" t="s">
        <v>879</v>
      </c>
      <c r="B1083" s="211">
        <v>0</v>
      </c>
      <c r="C1083" s="211">
        <v>41158</v>
      </c>
      <c r="D1083" s="211">
        <v>63065</v>
      </c>
      <c r="E1083" s="211">
        <v>-21907</v>
      </c>
      <c r="G1083" s="211">
        <f t="shared" si="20"/>
        <v>-21907</v>
      </c>
      <c r="H1083" s="211" t="s">
        <v>80</v>
      </c>
      <c r="J1083" s="211">
        <f>VLOOKUP(A1083,'JULY-TB'!A:G,7,0)</f>
        <v>0</v>
      </c>
    </row>
    <row r="1084" spans="1:10">
      <c r="A1084" s="211" t="s">
        <v>1589</v>
      </c>
      <c r="B1084" s="211">
        <v>0</v>
      </c>
      <c r="C1084" s="211">
        <v>22420</v>
      </c>
      <c r="D1084" s="211">
        <v>0</v>
      </c>
      <c r="E1084" s="211">
        <v>22420</v>
      </c>
      <c r="G1084" s="211">
        <f t="shared" si="20"/>
        <v>22420</v>
      </c>
      <c r="H1084" s="211" t="s">
        <v>80</v>
      </c>
      <c r="J1084" s="211">
        <f>VLOOKUP(A1084,'JULY-TB'!A:G,7,0)</f>
        <v>22420</v>
      </c>
    </row>
    <row r="1085" spans="1:10">
      <c r="A1085" s="211" t="s">
        <v>427</v>
      </c>
      <c r="B1085" s="211">
        <v>9031787.25</v>
      </c>
      <c r="C1085" s="211">
        <v>500110</v>
      </c>
      <c r="D1085" s="211">
        <v>594120</v>
      </c>
      <c r="E1085" s="211">
        <v>8937777.25</v>
      </c>
      <c r="G1085" s="211">
        <f t="shared" si="20"/>
        <v>8937777.25</v>
      </c>
      <c r="H1085" s="211" t="s">
        <v>80</v>
      </c>
      <c r="J1085" s="211">
        <f>VLOOKUP(A1085,'JULY-TB'!A:G,7,0)</f>
        <v>8937777.25</v>
      </c>
    </row>
    <row r="1086" spans="1:10">
      <c r="A1086" s="211" t="s">
        <v>1647</v>
      </c>
      <c r="B1086" s="211">
        <v>0</v>
      </c>
      <c r="C1086" s="211">
        <v>70599.399999999994</v>
      </c>
      <c r="D1086" s="211">
        <v>0</v>
      </c>
      <c r="E1086" s="211">
        <v>70599.399999999994</v>
      </c>
      <c r="G1086" s="211">
        <f t="shared" si="20"/>
        <v>70599.399999999994</v>
      </c>
      <c r="H1086" s="211" t="s">
        <v>80</v>
      </c>
      <c r="J1086" s="211" t="e">
        <f>VLOOKUP(A1086,'JULY-TB'!A:G,7,0)</f>
        <v>#N/A</v>
      </c>
    </row>
    <row r="1087" spans="1:10">
      <c r="A1087" s="211" t="s">
        <v>449</v>
      </c>
      <c r="B1087" s="211">
        <v>0</v>
      </c>
      <c r="C1087" s="211">
        <v>226023</v>
      </c>
      <c r="D1087" s="211">
        <v>226023</v>
      </c>
      <c r="E1087" s="211">
        <v>0</v>
      </c>
      <c r="G1087" s="211">
        <f t="shared" si="20"/>
        <v>0</v>
      </c>
      <c r="H1087" s="211" t="s">
        <v>80</v>
      </c>
      <c r="J1087" s="211">
        <f>VLOOKUP(A1087,'JULY-TB'!A:G,7,0)</f>
        <v>0</v>
      </c>
    </row>
    <row r="1088" spans="1:10">
      <c r="A1088" s="211" t="s">
        <v>880</v>
      </c>
      <c r="B1088" s="211">
        <v>-57819</v>
      </c>
      <c r="C1088" s="211">
        <v>114533</v>
      </c>
      <c r="D1088" s="211">
        <v>56714</v>
      </c>
      <c r="E1088" s="211">
        <v>0</v>
      </c>
      <c r="G1088" s="211">
        <f t="shared" si="20"/>
        <v>0</v>
      </c>
      <c r="H1088" s="211" t="s">
        <v>80</v>
      </c>
      <c r="J1088" s="211">
        <f>VLOOKUP(A1088,'JULY-TB'!A:G,7,0)</f>
        <v>0</v>
      </c>
    </row>
    <row r="1089" spans="1:10">
      <c r="A1089" s="211" t="s">
        <v>1286</v>
      </c>
      <c r="B1089" s="211">
        <v>0</v>
      </c>
      <c r="C1089" s="211">
        <v>289922</v>
      </c>
      <c r="D1089" s="211">
        <v>289922</v>
      </c>
      <c r="E1089" s="211">
        <v>0</v>
      </c>
      <c r="G1089" s="211">
        <f t="shared" si="20"/>
        <v>0</v>
      </c>
      <c r="H1089" s="211" t="s">
        <v>80</v>
      </c>
      <c r="J1089" s="211">
        <f>VLOOKUP(A1089,'JULY-TB'!A:G,7,0)</f>
        <v>0</v>
      </c>
    </row>
    <row r="1090" spans="1:10">
      <c r="A1090" s="211" t="s">
        <v>1047</v>
      </c>
      <c r="B1090" s="211">
        <v>7118.1</v>
      </c>
      <c r="C1090" s="211">
        <v>11458.93</v>
      </c>
      <c r="D1090" s="211">
        <v>11458.93</v>
      </c>
      <c r="E1090" s="211">
        <v>7118.1</v>
      </c>
      <c r="G1090" s="211">
        <f t="shared" si="20"/>
        <v>7118.1</v>
      </c>
      <c r="H1090" s="211" t="s">
        <v>80</v>
      </c>
      <c r="J1090" s="211">
        <f>VLOOKUP(A1090,'JULY-TB'!A:G,7,0)</f>
        <v>7118.1</v>
      </c>
    </row>
    <row r="1091" spans="1:10">
      <c r="A1091" s="211" t="s">
        <v>1287</v>
      </c>
      <c r="B1091" s="211">
        <v>0</v>
      </c>
      <c r="C1091" s="211">
        <v>11591.58</v>
      </c>
      <c r="D1091" s="211">
        <v>11591.58</v>
      </c>
      <c r="E1091" s="211">
        <v>0</v>
      </c>
      <c r="G1091" s="211">
        <f t="shared" si="20"/>
        <v>0</v>
      </c>
      <c r="H1091" s="211" t="s">
        <v>80</v>
      </c>
      <c r="J1091" s="211">
        <f>VLOOKUP(A1091,'JULY-TB'!A:G,7,0)</f>
        <v>0</v>
      </c>
    </row>
    <row r="1092" spans="1:10">
      <c r="A1092" s="211" t="s">
        <v>881</v>
      </c>
      <c r="B1092" s="211">
        <v>6162</v>
      </c>
      <c r="C1092" s="211">
        <v>1057307</v>
      </c>
      <c r="D1092" s="211">
        <v>57307</v>
      </c>
      <c r="E1092" s="211">
        <v>1006162</v>
      </c>
      <c r="G1092" s="211">
        <f t="shared" ref="G1092:G1155" si="21">E1092+F1092</f>
        <v>1006162</v>
      </c>
      <c r="H1092" s="211" t="s">
        <v>80</v>
      </c>
      <c r="J1092" s="211">
        <f>VLOOKUP(A1092,'JULY-TB'!A:G,7,0)</f>
        <v>1006162</v>
      </c>
    </row>
    <row r="1093" spans="1:10">
      <c r="A1093" s="211" t="s">
        <v>882</v>
      </c>
      <c r="B1093" s="211">
        <v>-6200</v>
      </c>
      <c r="C1093" s="211">
        <v>31000</v>
      </c>
      <c r="D1093" s="211">
        <v>31000</v>
      </c>
      <c r="E1093" s="211">
        <v>-6200</v>
      </c>
      <c r="G1093" s="211">
        <f t="shared" si="21"/>
        <v>-6200</v>
      </c>
      <c r="H1093" s="211" t="s">
        <v>80</v>
      </c>
      <c r="J1093" s="211">
        <f>VLOOKUP(A1093,'JULY-TB'!A:G,7,0)</f>
        <v>-6200</v>
      </c>
    </row>
    <row r="1094" spans="1:10">
      <c r="A1094" s="211" t="s">
        <v>883</v>
      </c>
      <c r="B1094" s="211">
        <v>-17244</v>
      </c>
      <c r="C1094" s="211">
        <v>17244</v>
      </c>
      <c r="D1094" s="211">
        <v>0</v>
      </c>
      <c r="E1094" s="211">
        <v>0</v>
      </c>
      <c r="G1094" s="211">
        <f t="shared" si="21"/>
        <v>0</v>
      </c>
      <c r="H1094" s="211" t="s">
        <v>80</v>
      </c>
      <c r="J1094" s="211">
        <f>VLOOKUP(A1094,'JULY-TB'!A:G,7,0)</f>
        <v>0</v>
      </c>
    </row>
    <row r="1095" spans="1:10">
      <c r="A1095" s="211" t="s">
        <v>154</v>
      </c>
      <c r="B1095" s="211">
        <v>-188280.18</v>
      </c>
      <c r="C1095" s="211">
        <v>942400</v>
      </c>
      <c r="D1095" s="211">
        <v>755200</v>
      </c>
      <c r="E1095" s="211">
        <v>-1080.18</v>
      </c>
      <c r="G1095" s="211">
        <f t="shared" si="21"/>
        <v>-1080.18</v>
      </c>
      <c r="H1095" s="211" t="s">
        <v>80</v>
      </c>
      <c r="J1095" s="211">
        <f>VLOOKUP(A1095,'JULY-TB'!A:G,7,0)</f>
        <v>-1080.18</v>
      </c>
    </row>
    <row r="1096" spans="1:10">
      <c r="A1096" s="211" t="s">
        <v>884</v>
      </c>
      <c r="B1096" s="211">
        <v>8785.2000000000007</v>
      </c>
      <c r="C1096" s="211">
        <v>0</v>
      </c>
      <c r="D1096" s="211">
        <v>0</v>
      </c>
      <c r="E1096" s="211">
        <v>8785.2000000000007</v>
      </c>
      <c r="G1096" s="211">
        <f t="shared" si="21"/>
        <v>8785.2000000000007</v>
      </c>
      <c r="H1096" s="211" t="s">
        <v>80</v>
      </c>
      <c r="J1096" s="211">
        <f>VLOOKUP(A1096,'JULY-TB'!A:G,7,0)</f>
        <v>8785.2000000000007</v>
      </c>
    </row>
    <row r="1097" spans="1:10">
      <c r="A1097" s="211" t="s">
        <v>1288</v>
      </c>
      <c r="B1097" s="211">
        <v>0</v>
      </c>
      <c r="C1097" s="211">
        <v>100890</v>
      </c>
      <c r="D1097" s="211">
        <v>100890</v>
      </c>
      <c r="E1097" s="211">
        <v>0</v>
      </c>
      <c r="G1097" s="211">
        <f t="shared" si="21"/>
        <v>0</v>
      </c>
      <c r="H1097" s="211" t="s">
        <v>80</v>
      </c>
      <c r="J1097" s="211">
        <f>VLOOKUP(A1097,'JULY-TB'!A:G,7,0)</f>
        <v>0</v>
      </c>
    </row>
    <row r="1098" spans="1:10">
      <c r="A1098" s="211" t="s">
        <v>512</v>
      </c>
      <c r="B1098" s="211">
        <v>-146216</v>
      </c>
      <c r="C1098" s="211">
        <v>557306</v>
      </c>
      <c r="D1098" s="211">
        <v>433132</v>
      </c>
      <c r="E1098" s="211">
        <v>-22042</v>
      </c>
      <c r="G1098" s="211">
        <f t="shared" si="21"/>
        <v>-22042</v>
      </c>
      <c r="H1098" s="211" t="s">
        <v>80</v>
      </c>
      <c r="J1098" s="211">
        <f>VLOOKUP(A1098,'JULY-TB'!A:G,7,0)</f>
        <v>-22042</v>
      </c>
    </row>
    <row r="1099" spans="1:10">
      <c r="A1099" s="211" t="s">
        <v>885</v>
      </c>
      <c r="B1099" s="211">
        <v>65785</v>
      </c>
      <c r="C1099" s="211">
        <v>0</v>
      </c>
      <c r="D1099" s="211">
        <v>0</v>
      </c>
      <c r="E1099" s="211">
        <v>65785</v>
      </c>
      <c r="G1099" s="211">
        <f t="shared" si="21"/>
        <v>65785</v>
      </c>
      <c r="H1099" s="211" t="s">
        <v>80</v>
      </c>
      <c r="J1099" s="211">
        <f>VLOOKUP(A1099,'JULY-TB'!A:G,7,0)</f>
        <v>65785</v>
      </c>
    </row>
    <row r="1100" spans="1:10">
      <c r="A1100" s="211" t="s">
        <v>886</v>
      </c>
      <c r="B1100" s="211">
        <v>-6720</v>
      </c>
      <c r="C1100" s="211">
        <v>0</v>
      </c>
      <c r="D1100" s="211">
        <v>0</v>
      </c>
      <c r="E1100" s="211">
        <v>-6720</v>
      </c>
      <c r="G1100" s="211">
        <f t="shared" si="21"/>
        <v>-6720</v>
      </c>
      <c r="H1100" s="211" t="s">
        <v>80</v>
      </c>
      <c r="J1100" s="211">
        <f>VLOOKUP(A1100,'JULY-TB'!A:G,7,0)</f>
        <v>-6720</v>
      </c>
    </row>
    <row r="1101" spans="1:10">
      <c r="A1101" s="211" t="s">
        <v>1289</v>
      </c>
      <c r="B1101" s="211">
        <v>0</v>
      </c>
      <c r="C1101" s="211">
        <v>14750</v>
      </c>
      <c r="D1101" s="211">
        <v>14750</v>
      </c>
      <c r="E1101" s="211">
        <v>0</v>
      </c>
      <c r="G1101" s="211">
        <f t="shared" si="21"/>
        <v>0</v>
      </c>
      <c r="H1101" s="211" t="s">
        <v>80</v>
      </c>
      <c r="J1101" s="211">
        <f>VLOOKUP(A1101,'JULY-TB'!A:G,7,0)</f>
        <v>14750</v>
      </c>
    </row>
    <row r="1102" spans="1:10">
      <c r="A1102" s="211" t="s">
        <v>1290</v>
      </c>
      <c r="B1102" s="211">
        <v>0</v>
      </c>
      <c r="C1102" s="211">
        <v>0</v>
      </c>
      <c r="D1102" s="211">
        <v>0</v>
      </c>
      <c r="E1102" s="211">
        <v>0</v>
      </c>
      <c r="G1102" s="211">
        <f t="shared" si="21"/>
        <v>0</v>
      </c>
      <c r="H1102" s="211" t="s">
        <v>80</v>
      </c>
      <c r="J1102" s="211">
        <f>VLOOKUP(A1102,'JULY-TB'!A:G,7,0)</f>
        <v>0</v>
      </c>
    </row>
    <row r="1103" spans="1:10">
      <c r="A1103" s="211" t="s">
        <v>887</v>
      </c>
      <c r="B1103" s="211">
        <v>0</v>
      </c>
      <c r="C1103" s="211">
        <v>474709</v>
      </c>
      <c r="D1103" s="211">
        <v>474708</v>
      </c>
      <c r="E1103" s="211">
        <v>1</v>
      </c>
      <c r="G1103" s="211">
        <f t="shared" si="21"/>
        <v>1</v>
      </c>
      <c r="H1103" s="211" t="s">
        <v>80</v>
      </c>
      <c r="J1103" s="211">
        <f>VLOOKUP(A1103,'JULY-TB'!A:G,7,0)</f>
        <v>1</v>
      </c>
    </row>
    <row r="1104" spans="1:10">
      <c r="A1104" s="211" t="s">
        <v>1590</v>
      </c>
      <c r="B1104" s="211">
        <v>0</v>
      </c>
      <c r="C1104" s="211">
        <v>364057</v>
      </c>
      <c r="D1104" s="211">
        <v>427336</v>
      </c>
      <c r="E1104" s="211">
        <v>-63279</v>
      </c>
      <c r="G1104" s="211">
        <f t="shared" si="21"/>
        <v>-63279</v>
      </c>
      <c r="H1104" s="211" t="s">
        <v>80</v>
      </c>
      <c r="J1104" s="211">
        <f>VLOOKUP(A1104,'JULY-TB'!A:G,7,0)</f>
        <v>-358106</v>
      </c>
    </row>
    <row r="1105" spans="1:10">
      <c r="A1105" s="211" t="s">
        <v>1291</v>
      </c>
      <c r="B1105" s="211">
        <v>0</v>
      </c>
      <c r="C1105" s="211">
        <v>0</v>
      </c>
      <c r="D1105" s="211">
        <v>0</v>
      </c>
      <c r="E1105" s="211">
        <v>0</v>
      </c>
      <c r="G1105" s="211">
        <f t="shared" si="21"/>
        <v>0</v>
      </c>
      <c r="H1105" s="211" t="s">
        <v>80</v>
      </c>
      <c r="J1105" s="211">
        <f>VLOOKUP(A1105,'JULY-TB'!A:G,7,0)</f>
        <v>0</v>
      </c>
    </row>
    <row r="1106" spans="1:10">
      <c r="A1106" s="211" t="s">
        <v>300</v>
      </c>
      <c r="B1106" s="211">
        <v>497669</v>
      </c>
      <c r="C1106" s="211">
        <v>3336</v>
      </c>
      <c r="D1106" s="211">
        <v>195024</v>
      </c>
      <c r="E1106" s="211">
        <v>305981</v>
      </c>
      <c r="G1106" s="211">
        <f t="shared" si="21"/>
        <v>305981</v>
      </c>
      <c r="H1106" s="211" t="s">
        <v>80</v>
      </c>
      <c r="J1106" s="211">
        <f>VLOOKUP(A1106,'JULY-TB'!A:G,7,0)</f>
        <v>305981</v>
      </c>
    </row>
    <row r="1107" spans="1:10">
      <c r="A1107" s="211" t="s">
        <v>453</v>
      </c>
      <c r="B1107" s="211">
        <v>-1539.42</v>
      </c>
      <c r="C1107" s="211">
        <v>15078</v>
      </c>
      <c r="D1107" s="211">
        <v>15078</v>
      </c>
      <c r="E1107" s="211">
        <v>-1539.42</v>
      </c>
      <c r="G1107" s="211">
        <f t="shared" si="21"/>
        <v>-1539.42</v>
      </c>
      <c r="H1107" s="211" t="s">
        <v>80</v>
      </c>
      <c r="J1107" s="211">
        <f>VLOOKUP(A1107,'JULY-TB'!A:G,7,0)</f>
        <v>-1539.42</v>
      </c>
    </row>
    <row r="1108" spans="1:10">
      <c r="A1108" s="211" t="s">
        <v>888</v>
      </c>
      <c r="B1108" s="211">
        <v>-40</v>
      </c>
      <c r="C1108" s="211">
        <v>0</v>
      </c>
      <c r="D1108" s="211">
        <v>0</v>
      </c>
      <c r="E1108" s="211">
        <v>-40</v>
      </c>
      <c r="G1108" s="211">
        <f t="shared" si="21"/>
        <v>-40</v>
      </c>
      <c r="H1108" s="211" t="s">
        <v>80</v>
      </c>
      <c r="J1108" s="211">
        <f>VLOOKUP(A1108,'JULY-TB'!A:G,7,0)</f>
        <v>-40</v>
      </c>
    </row>
    <row r="1109" spans="1:10">
      <c r="A1109" s="211" t="s">
        <v>1591</v>
      </c>
      <c r="B1109" s="211">
        <v>0</v>
      </c>
      <c r="C1109" s="211">
        <v>37145</v>
      </c>
      <c r="D1109" s="211">
        <v>37145</v>
      </c>
      <c r="E1109" s="211">
        <v>0</v>
      </c>
      <c r="G1109" s="211">
        <f t="shared" si="21"/>
        <v>0</v>
      </c>
      <c r="H1109" s="211" t="s">
        <v>80</v>
      </c>
      <c r="J1109" s="211">
        <f>VLOOKUP(A1109,'JULY-TB'!A:G,7,0)</f>
        <v>0</v>
      </c>
    </row>
    <row r="1110" spans="1:10">
      <c r="A1110" s="211" t="s">
        <v>1648</v>
      </c>
      <c r="B1110" s="211">
        <v>0</v>
      </c>
      <c r="C1110" s="211">
        <v>8556</v>
      </c>
      <c r="D1110" s="211">
        <v>460778</v>
      </c>
      <c r="E1110" s="211">
        <v>-452222</v>
      </c>
      <c r="G1110" s="211">
        <f t="shared" si="21"/>
        <v>-452222</v>
      </c>
      <c r="H1110" s="211" t="s">
        <v>80</v>
      </c>
      <c r="J1110" s="211" t="e">
        <f>VLOOKUP(A1110,'JULY-TB'!A:G,7,0)</f>
        <v>#N/A</v>
      </c>
    </row>
    <row r="1111" spans="1:10">
      <c r="A1111" s="211" t="s">
        <v>292</v>
      </c>
      <c r="B1111" s="211">
        <v>-2000</v>
      </c>
      <c r="C1111" s="211">
        <v>0</v>
      </c>
      <c r="D1111" s="211">
        <v>0</v>
      </c>
      <c r="E1111" s="211">
        <v>-2000</v>
      </c>
      <c r="G1111" s="211">
        <f t="shared" si="21"/>
        <v>-2000</v>
      </c>
      <c r="H1111" s="211" t="s">
        <v>80</v>
      </c>
      <c r="J1111" s="211">
        <f>VLOOKUP(A1111,'JULY-TB'!A:G,7,0)</f>
        <v>-2000</v>
      </c>
    </row>
    <row r="1112" spans="1:10">
      <c r="A1112" s="211" t="s">
        <v>1424</v>
      </c>
      <c r="B1112" s="211">
        <v>0</v>
      </c>
      <c r="C1112" s="211">
        <v>0</v>
      </c>
      <c r="D1112" s="211">
        <v>0</v>
      </c>
      <c r="E1112" s="211">
        <v>0</v>
      </c>
      <c r="G1112" s="211">
        <f t="shared" si="21"/>
        <v>0</v>
      </c>
      <c r="H1112" s="211" t="s">
        <v>80</v>
      </c>
      <c r="J1112" s="211">
        <f>VLOOKUP(A1112,'JULY-TB'!A:G,7,0)</f>
        <v>0</v>
      </c>
    </row>
    <row r="1113" spans="1:10">
      <c r="A1113" s="211" t="s">
        <v>889</v>
      </c>
      <c r="B1113" s="211">
        <v>-8280</v>
      </c>
      <c r="C1113" s="211">
        <v>8280</v>
      </c>
      <c r="D1113" s="211">
        <v>0</v>
      </c>
      <c r="E1113" s="211">
        <v>0</v>
      </c>
      <c r="G1113" s="211">
        <f t="shared" si="21"/>
        <v>0</v>
      </c>
      <c r="H1113" s="211" t="s">
        <v>80</v>
      </c>
      <c r="J1113" s="211">
        <f>VLOOKUP(A1113,'JULY-TB'!A:G,7,0)</f>
        <v>0</v>
      </c>
    </row>
    <row r="1114" spans="1:10">
      <c r="A1114" s="211" t="s">
        <v>285</v>
      </c>
      <c r="B1114" s="211">
        <v>-610</v>
      </c>
      <c r="C1114" s="211">
        <v>610</v>
      </c>
      <c r="D1114" s="211">
        <v>0</v>
      </c>
      <c r="E1114" s="211">
        <v>0</v>
      </c>
      <c r="G1114" s="211">
        <f t="shared" si="21"/>
        <v>0</v>
      </c>
      <c r="H1114" s="211" t="s">
        <v>80</v>
      </c>
      <c r="J1114" s="211">
        <f>VLOOKUP(A1114,'JULY-TB'!A:G,7,0)</f>
        <v>0</v>
      </c>
    </row>
    <row r="1115" spans="1:10">
      <c r="A1115" s="211" t="s">
        <v>1649</v>
      </c>
      <c r="B1115" s="211">
        <v>0</v>
      </c>
      <c r="C1115" s="211">
        <v>0</v>
      </c>
      <c r="D1115" s="211">
        <v>3500</v>
      </c>
      <c r="E1115" s="211">
        <v>-3500</v>
      </c>
      <c r="G1115" s="211">
        <f t="shared" si="21"/>
        <v>-3500</v>
      </c>
      <c r="H1115" s="211" t="s">
        <v>80</v>
      </c>
      <c r="J1115" s="211" t="e">
        <f>VLOOKUP(A1115,'JULY-TB'!A:G,7,0)</f>
        <v>#N/A</v>
      </c>
    </row>
    <row r="1116" spans="1:10">
      <c r="A1116" s="211" t="s">
        <v>289</v>
      </c>
      <c r="B1116" s="211">
        <v>-59895</v>
      </c>
      <c r="C1116" s="211">
        <v>260395</v>
      </c>
      <c r="D1116" s="211">
        <v>200500</v>
      </c>
      <c r="E1116" s="211">
        <v>0</v>
      </c>
      <c r="G1116" s="211">
        <f t="shared" si="21"/>
        <v>0</v>
      </c>
      <c r="H1116" s="211" t="s">
        <v>80</v>
      </c>
      <c r="J1116" s="211">
        <f>VLOOKUP(A1116,'JULY-TB'!A:G,7,0)</f>
        <v>0</v>
      </c>
    </row>
    <row r="1117" spans="1:10">
      <c r="A1117" s="211" t="s">
        <v>1292</v>
      </c>
      <c r="B1117" s="211">
        <v>0</v>
      </c>
      <c r="C1117" s="211">
        <v>0</v>
      </c>
      <c r="D1117" s="211">
        <v>0</v>
      </c>
      <c r="E1117" s="211">
        <v>0</v>
      </c>
      <c r="G1117" s="211">
        <f t="shared" si="21"/>
        <v>0</v>
      </c>
      <c r="H1117" s="211" t="s">
        <v>80</v>
      </c>
      <c r="J1117" s="211">
        <f>VLOOKUP(A1117,'JULY-TB'!A:G,7,0)</f>
        <v>0</v>
      </c>
    </row>
    <row r="1118" spans="1:10">
      <c r="A1118" s="211" t="s">
        <v>489</v>
      </c>
      <c r="B1118" s="211">
        <v>102</v>
      </c>
      <c r="C1118" s="211">
        <v>1076653</v>
      </c>
      <c r="D1118" s="211">
        <v>1076755</v>
      </c>
      <c r="E1118" s="211">
        <v>0</v>
      </c>
      <c r="G1118" s="211">
        <f t="shared" si="21"/>
        <v>0</v>
      </c>
      <c r="H1118" s="211" t="s">
        <v>80</v>
      </c>
      <c r="J1118" s="211">
        <f>VLOOKUP(A1118,'JULY-TB'!A:G,7,0)</f>
        <v>-31896</v>
      </c>
    </row>
    <row r="1119" spans="1:10">
      <c r="A1119" s="211" t="s">
        <v>282</v>
      </c>
      <c r="B1119" s="211">
        <v>445</v>
      </c>
      <c r="C1119" s="211">
        <v>279847</v>
      </c>
      <c r="D1119" s="211">
        <v>280292</v>
      </c>
      <c r="E1119" s="211">
        <v>0</v>
      </c>
      <c r="G1119" s="211">
        <f t="shared" si="21"/>
        <v>0</v>
      </c>
      <c r="H1119" s="211" t="s">
        <v>80</v>
      </c>
      <c r="J1119" s="211">
        <f>VLOOKUP(A1119,'JULY-TB'!A:G,7,0)</f>
        <v>0</v>
      </c>
    </row>
    <row r="1120" spans="1:10">
      <c r="A1120" s="211" t="s">
        <v>523</v>
      </c>
      <c r="B1120" s="211">
        <v>-281496</v>
      </c>
      <c r="C1120" s="211">
        <v>2483169</v>
      </c>
      <c r="D1120" s="211">
        <v>2229895</v>
      </c>
      <c r="E1120" s="211">
        <v>-28222</v>
      </c>
      <c r="G1120" s="211">
        <f t="shared" si="21"/>
        <v>-28222</v>
      </c>
      <c r="H1120" s="211" t="s">
        <v>80</v>
      </c>
      <c r="J1120" s="211">
        <f>VLOOKUP(A1120,'JULY-TB'!A:G,7,0)</f>
        <v>-28222</v>
      </c>
    </row>
    <row r="1121" spans="1:10">
      <c r="A1121" s="211" t="s">
        <v>273</v>
      </c>
      <c r="B1121" s="211">
        <v>-80916</v>
      </c>
      <c r="C1121" s="211">
        <v>861519</v>
      </c>
      <c r="D1121" s="211">
        <v>780603</v>
      </c>
      <c r="E1121" s="211">
        <v>0</v>
      </c>
      <c r="G1121" s="211">
        <f t="shared" si="21"/>
        <v>0</v>
      </c>
      <c r="H1121" s="211" t="s">
        <v>80</v>
      </c>
      <c r="J1121" s="211">
        <f>VLOOKUP(A1121,'JULY-TB'!A:G,7,0)</f>
        <v>0</v>
      </c>
    </row>
    <row r="1122" spans="1:10">
      <c r="A1122" s="211" t="s">
        <v>1293</v>
      </c>
      <c r="B1122" s="211">
        <v>0</v>
      </c>
      <c r="C1122" s="211">
        <v>592486</v>
      </c>
      <c r="D1122" s="211">
        <v>708138</v>
      </c>
      <c r="E1122" s="211">
        <v>-115652</v>
      </c>
      <c r="G1122" s="211">
        <f t="shared" si="21"/>
        <v>-115652</v>
      </c>
      <c r="H1122" s="211" t="s">
        <v>80</v>
      </c>
      <c r="J1122" s="211">
        <f>VLOOKUP(A1122,'JULY-TB'!A:G,7,0)</f>
        <v>-115652</v>
      </c>
    </row>
    <row r="1123" spans="1:10">
      <c r="A1123" s="211" t="s">
        <v>1650</v>
      </c>
      <c r="B1123" s="211">
        <v>0</v>
      </c>
      <c r="C1123" s="211">
        <v>34545</v>
      </c>
      <c r="D1123" s="211">
        <v>34545</v>
      </c>
      <c r="E1123" s="211">
        <v>0</v>
      </c>
      <c r="G1123" s="211">
        <f t="shared" si="21"/>
        <v>0</v>
      </c>
      <c r="H1123" s="211" t="s">
        <v>80</v>
      </c>
      <c r="J1123" s="211" t="e">
        <f>VLOOKUP(A1123,'JULY-TB'!A:G,7,0)</f>
        <v>#N/A</v>
      </c>
    </row>
    <row r="1124" spans="1:10">
      <c r="A1124" s="211" t="s">
        <v>270</v>
      </c>
      <c r="B1124" s="211">
        <v>-38357.480000000003</v>
      </c>
      <c r="C1124" s="211">
        <v>0</v>
      </c>
      <c r="D1124" s="211">
        <v>0</v>
      </c>
      <c r="E1124" s="211">
        <v>-38357.480000000003</v>
      </c>
      <c r="G1124" s="211">
        <f t="shared" si="21"/>
        <v>-38357.480000000003</v>
      </c>
      <c r="H1124" s="211" t="s">
        <v>80</v>
      </c>
      <c r="J1124" s="211">
        <f>VLOOKUP(A1124,'JULY-TB'!A:G,7,0)</f>
        <v>-38357.480000000003</v>
      </c>
    </row>
    <row r="1125" spans="1:10">
      <c r="A1125" s="211" t="s">
        <v>890</v>
      </c>
      <c r="B1125" s="211">
        <v>-4230</v>
      </c>
      <c r="C1125" s="211">
        <v>0</v>
      </c>
      <c r="D1125" s="211">
        <v>0</v>
      </c>
      <c r="E1125" s="211">
        <v>-4230</v>
      </c>
      <c r="G1125" s="211">
        <f t="shared" si="21"/>
        <v>-4230</v>
      </c>
      <c r="H1125" s="211" t="s">
        <v>80</v>
      </c>
      <c r="J1125" s="211">
        <f>VLOOKUP(A1125,'JULY-TB'!A:G,7,0)</f>
        <v>-4230</v>
      </c>
    </row>
    <row r="1126" spans="1:10">
      <c r="A1126" s="211" t="s">
        <v>1592</v>
      </c>
      <c r="B1126" s="211">
        <v>0</v>
      </c>
      <c r="C1126" s="211">
        <v>36276</v>
      </c>
      <c r="D1126" s="211">
        <v>36276</v>
      </c>
      <c r="E1126" s="211">
        <v>0</v>
      </c>
      <c r="G1126" s="211">
        <f t="shared" si="21"/>
        <v>0</v>
      </c>
      <c r="H1126" s="211" t="s">
        <v>80</v>
      </c>
      <c r="J1126" s="211">
        <f>VLOOKUP(A1126,'JULY-TB'!A:G,7,0)</f>
        <v>-3886</v>
      </c>
    </row>
    <row r="1127" spans="1:10">
      <c r="A1127" s="211" t="s">
        <v>268</v>
      </c>
      <c r="B1127" s="211">
        <v>6313</v>
      </c>
      <c r="C1127" s="211">
        <v>7788</v>
      </c>
      <c r="D1127" s="211">
        <v>7788</v>
      </c>
      <c r="E1127" s="211">
        <v>6313</v>
      </c>
      <c r="G1127" s="211">
        <f t="shared" si="21"/>
        <v>6313</v>
      </c>
      <c r="H1127" s="211" t="s">
        <v>80</v>
      </c>
      <c r="J1127" s="211">
        <f>VLOOKUP(A1127,'JULY-TB'!A:G,7,0)</f>
        <v>6313</v>
      </c>
    </row>
    <row r="1128" spans="1:10">
      <c r="A1128" s="211" t="s">
        <v>1651</v>
      </c>
      <c r="B1128" s="211">
        <v>0</v>
      </c>
      <c r="C1128" s="211">
        <v>398</v>
      </c>
      <c r="D1128" s="211">
        <v>23482</v>
      </c>
      <c r="E1128" s="211">
        <v>-23084</v>
      </c>
      <c r="G1128" s="211">
        <f t="shared" si="21"/>
        <v>-23084</v>
      </c>
      <c r="H1128" s="211" t="s">
        <v>80</v>
      </c>
      <c r="J1128" s="211" t="e">
        <f>VLOOKUP(A1128,'JULY-TB'!A:G,7,0)</f>
        <v>#N/A</v>
      </c>
    </row>
    <row r="1129" spans="1:10">
      <c r="A1129" s="211" t="s">
        <v>266</v>
      </c>
      <c r="B1129" s="211">
        <v>-174560</v>
      </c>
      <c r="C1129" s="211">
        <v>877852.01</v>
      </c>
      <c r="D1129" s="211">
        <v>658321.01</v>
      </c>
      <c r="E1129" s="211">
        <v>44971</v>
      </c>
      <c r="G1129" s="211">
        <f t="shared" si="21"/>
        <v>44971</v>
      </c>
      <c r="H1129" s="211" t="s">
        <v>80</v>
      </c>
      <c r="J1129" s="211">
        <f>VLOOKUP(A1129,'JULY-TB'!A:G,7,0)</f>
        <v>43201</v>
      </c>
    </row>
    <row r="1130" spans="1:10">
      <c r="A1130" s="211" t="s">
        <v>490</v>
      </c>
      <c r="B1130" s="211">
        <v>0</v>
      </c>
      <c r="C1130" s="211">
        <v>852000</v>
      </c>
      <c r="D1130" s="211">
        <v>852000</v>
      </c>
      <c r="E1130" s="211">
        <v>0</v>
      </c>
      <c r="G1130" s="211">
        <f t="shared" si="21"/>
        <v>0</v>
      </c>
      <c r="H1130" s="211" t="s">
        <v>80</v>
      </c>
      <c r="J1130" s="211">
        <f>VLOOKUP(A1130,'JULY-TB'!A:G,7,0)</f>
        <v>0</v>
      </c>
    </row>
    <row r="1131" spans="1:10">
      <c r="A1131" s="211" t="s">
        <v>1294</v>
      </c>
      <c r="B1131" s="211">
        <v>0</v>
      </c>
      <c r="C1131" s="211">
        <v>521237.96</v>
      </c>
      <c r="D1131" s="211">
        <v>258428.98</v>
      </c>
      <c r="E1131" s="211">
        <v>262808.98</v>
      </c>
      <c r="G1131" s="211">
        <f t="shared" si="21"/>
        <v>262808.98</v>
      </c>
      <c r="H1131" s="211" t="s">
        <v>80</v>
      </c>
      <c r="J1131" s="211">
        <f>VLOOKUP(A1131,'JULY-TB'!A:G,7,0)</f>
        <v>262808.98</v>
      </c>
    </row>
    <row r="1132" spans="1:10">
      <c r="A1132" s="211" t="s">
        <v>891</v>
      </c>
      <c r="B1132" s="211">
        <v>1161</v>
      </c>
      <c r="C1132" s="211">
        <v>67367</v>
      </c>
      <c r="D1132" s="211">
        <v>68528</v>
      </c>
      <c r="E1132" s="211">
        <v>0</v>
      </c>
      <c r="G1132" s="211">
        <f t="shared" si="21"/>
        <v>0</v>
      </c>
      <c r="H1132" s="211" t="s">
        <v>80</v>
      </c>
      <c r="J1132" s="211">
        <f>VLOOKUP(A1132,'JULY-TB'!A:G,7,0)</f>
        <v>0</v>
      </c>
    </row>
    <row r="1133" spans="1:10">
      <c r="A1133" s="211" t="s">
        <v>1295</v>
      </c>
      <c r="B1133" s="211">
        <v>0</v>
      </c>
      <c r="C1133" s="211">
        <v>0</v>
      </c>
      <c r="D1133" s="211">
        <v>0</v>
      </c>
      <c r="E1133" s="211">
        <v>0</v>
      </c>
      <c r="G1133" s="211">
        <f t="shared" si="21"/>
        <v>0</v>
      </c>
      <c r="H1133" s="211" t="s">
        <v>80</v>
      </c>
      <c r="J1133" s="211">
        <f>VLOOKUP(A1133,'JULY-TB'!A:G,7,0)</f>
        <v>0</v>
      </c>
    </row>
    <row r="1134" spans="1:10">
      <c r="A1134" s="211" t="s">
        <v>261</v>
      </c>
      <c r="B1134" s="211">
        <v>-58000</v>
      </c>
      <c r="C1134" s="211">
        <v>93018</v>
      </c>
      <c r="D1134" s="211">
        <v>34220</v>
      </c>
      <c r="E1134" s="211">
        <v>798</v>
      </c>
      <c r="G1134" s="211">
        <f t="shared" si="21"/>
        <v>798</v>
      </c>
      <c r="H1134" s="211" t="s">
        <v>80</v>
      </c>
      <c r="J1134" s="211">
        <f>VLOOKUP(A1134,'JULY-TB'!A:G,7,0)</f>
        <v>798</v>
      </c>
    </row>
    <row r="1135" spans="1:10">
      <c r="A1135" s="211" t="s">
        <v>1296</v>
      </c>
      <c r="B1135" s="211">
        <v>0</v>
      </c>
      <c r="C1135" s="211">
        <v>0</v>
      </c>
      <c r="D1135" s="211">
        <v>0</v>
      </c>
      <c r="E1135" s="211">
        <v>0</v>
      </c>
      <c r="G1135" s="211">
        <f t="shared" si="21"/>
        <v>0</v>
      </c>
      <c r="H1135" s="211" t="s">
        <v>80</v>
      </c>
      <c r="J1135" s="211">
        <f>VLOOKUP(A1135,'JULY-TB'!A:G,7,0)</f>
        <v>0</v>
      </c>
    </row>
    <row r="1136" spans="1:10">
      <c r="A1136" s="211" t="s">
        <v>1652</v>
      </c>
      <c r="B1136" s="211">
        <v>0</v>
      </c>
      <c r="C1136" s="211">
        <v>55073</v>
      </c>
      <c r="D1136" s="211">
        <v>55073</v>
      </c>
      <c r="E1136" s="211">
        <v>0</v>
      </c>
      <c r="G1136" s="211">
        <f t="shared" si="21"/>
        <v>0</v>
      </c>
      <c r="H1136" s="211" t="s">
        <v>80</v>
      </c>
      <c r="J1136" s="211" t="e">
        <f>VLOOKUP(A1136,'JULY-TB'!A:G,7,0)</f>
        <v>#N/A</v>
      </c>
    </row>
    <row r="1137" spans="1:10">
      <c r="A1137" s="211" t="s">
        <v>892</v>
      </c>
      <c r="B1137" s="211">
        <v>-0.46</v>
      </c>
      <c r="C1137" s="211">
        <v>0</v>
      </c>
      <c r="D1137" s="211">
        <v>0</v>
      </c>
      <c r="E1137" s="211">
        <v>-0.46</v>
      </c>
      <c r="G1137" s="211">
        <f t="shared" si="21"/>
        <v>-0.46</v>
      </c>
      <c r="H1137" s="211" t="s">
        <v>80</v>
      </c>
      <c r="J1137" s="211">
        <f>VLOOKUP(A1137,'JULY-TB'!A:G,7,0)</f>
        <v>-0.46</v>
      </c>
    </row>
    <row r="1138" spans="1:10">
      <c r="A1138" s="211" t="s">
        <v>893</v>
      </c>
      <c r="B1138" s="211">
        <v>1263</v>
      </c>
      <c r="C1138" s="211">
        <v>0</v>
      </c>
      <c r="D1138" s="211">
        <v>0</v>
      </c>
      <c r="E1138" s="211">
        <v>1263</v>
      </c>
      <c r="G1138" s="211">
        <f t="shared" si="21"/>
        <v>1263</v>
      </c>
      <c r="H1138" s="211" t="s">
        <v>80</v>
      </c>
      <c r="J1138" s="211">
        <f>VLOOKUP(A1138,'JULY-TB'!A:G,7,0)</f>
        <v>1263</v>
      </c>
    </row>
    <row r="1139" spans="1:10">
      <c r="A1139" s="211" t="s">
        <v>254</v>
      </c>
      <c r="B1139" s="211">
        <v>-190218</v>
      </c>
      <c r="C1139" s="211">
        <v>190218</v>
      </c>
      <c r="D1139" s="211">
        <v>0</v>
      </c>
      <c r="E1139" s="211">
        <v>0</v>
      </c>
      <c r="G1139" s="211">
        <f t="shared" si="21"/>
        <v>0</v>
      </c>
      <c r="H1139" s="211" t="s">
        <v>80</v>
      </c>
      <c r="J1139" s="211">
        <f>VLOOKUP(A1139,'JULY-TB'!A:G,7,0)</f>
        <v>0</v>
      </c>
    </row>
    <row r="1140" spans="1:10">
      <c r="A1140" s="211" t="s">
        <v>894</v>
      </c>
      <c r="B1140" s="211">
        <v>-105883</v>
      </c>
      <c r="C1140" s="211">
        <v>336139</v>
      </c>
      <c r="D1140" s="211">
        <v>230256</v>
      </c>
      <c r="E1140" s="211">
        <v>0</v>
      </c>
      <c r="G1140" s="211">
        <f t="shared" si="21"/>
        <v>0</v>
      </c>
      <c r="H1140" s="211" t="s">
        <v>80</v>
      </c>
      <c r="J1140" s="211">
        <f>VLOOKUP(A1140,'JULY-TB'!A:G,7,0)</f>
        <v>0</v>
      </c>
    </row>
    <row r="1141" spans="1:10">
      <c r="A1141" s="211" t="s">
        <v>251</v>
      </c>
      <c r="B1141" s="211">
        <v>7280</v>
      </c>
      <c r="C1141" s="211">
        <v>29330</v>
      </c>
      <c r="D1141" s="211">
        <v>36750</v>
      </c>
      <c r="E1141" s="211">
        <v>-140</v>
      </c>
      <c r="G1141" s="211">
        <f t="shared" si="21"/>
        <v>-140</v>
      </c>
      <c r="H1141" s="211" t="s">
        <v>80</v>
      </c>
      <c r="J1141" s="211">
        <f>VLOOKUP(A1141,'JULY-TB'!A:G,7,0)</f>
        <v>-140</v>
      </c>
    </row>
    <row r="1142" spans="1:10">
      <c r="A1142" s="211" t="s">
        <v>247</v>
      </c>
      <c r="B1142" s="211">
        <v>548</v>
      </c>
      <c r="C1142" s="211">
        <v>72674</v>
      </c>
      <c r="D1142" s="211">
        <v>73222</v>
      </c>
      <c r="E1142" s="211">
        <v>0</v>
      </c>
      <c r="G1142" s="211">
        <f t="shared" si="21"/>
        <v>0</v>
      </c>
      <c r="H1142" s="211" t="s">
        <v>80</v>
      </c>
      <c r="J1142" s="211">
        <f>VLOOKUP(A1142,'JULY-TB'!A:G,7,0)</f>
        <v>0</v>
      </c>
    </row>
    <row r="1143" spans="1:10">
      <c r="A1143" s="211" t="s">
        <v>1297</v>
      </c>
      <c r="B1143" s="211">
        <v>0</v>
      </c>
      <c r="C1143" s="211">
        <v>0</v>
      </c>
      <c r="D1143" s="211">
        <v>0</v>
      </c>
      <c r="E1143" s="211">
        <v>0</v>
      </c>
      <c r="G1143" s="211">
        <f t="shared" si="21"/>
        <v>0</v>
      </c>
      <c r="H1143" s="211" t="s">
        <v>80</v>
      </c>
      <c r="J1143" s="211">
        <f>VLOOKUP(A1143,'JULY-TB'!A:G,7,0)</f>
        <v>0</v>
      </c>
    </row>
    <row r="1144" spans="1:10">
      <c r="A1144" s="211" t="s">
        <v>895</v>
      </c>
      <c r="B1144" s="211">
        <v>-44936.54</v>
      </c>
      <c r="C1144" s="211">
        <v>44936.54</v>
      </c>
      <c r="D1144" s="211">
        <v>0</v>
      </c>
      <c r="E1144" s="211">
        <v>0</v>
      </c>
      <c r="G1144" s="211">
        <f t="shared" si="21"/>
        <v>0</v>
      </c>
      <c r="H1144" s="211" t="s">
        <v>80</v>
      </c>
      <c r="J1144" s="211">
        <f>VLOOKUP(A1144,'JULY-TB'!A:G,7,0)</f>
        <v>0</v>
      </c>
    </row>
    <row r="1145" spans="1:10">
      <c r="A1145" s="211" t="s">
        <v>1653</v>
      </c>
      <c r="B1145" s="211">
        <v>0</v>
      </c>
      <c r="C1145" s="211">
        <v>139481</v>
      </c>
      <c r="D1145" s="211">
        <v>139481</v>
      </c>
      <c r="E1145" s="211">
        <v>0</v>
      </c>
      <c r="G1145" s="211">
        <f t="shared" si="21"/>
        <v>0</v>
      </c>
      <c r="H1145" s="211" t="s">
        <v>80</v>
      </c>
      <c r="J1145" s="211" t="e">
        <f>VLOOKUP(A1145,'JULY-TB'!A:G,7,0)</f>
        <v>#N/A</v>
      </c>
    </row>
    <row r="1146" spans="1:10">
      <c r="A1146" s="211" t="s">
        <v>237</v>
      </c>
      <c r="B1146" s="211">
        <v>-6000</v>
      </c>
      <c r="C1146" s="211">
        <v>6000</v>
      </c>
      <c r="D1146" s="211">
        <v>0</v>
      </c>
      <c r="E1146" s="211">
        <v>0</v>
      </c>
      <c r="G1146" s="211">
        <f t="shared" si="21"/>
        <v>0</v>
      </c>
      <c r="H1146" s="211" t="s">
        <v>80</v>
      </c>
      <c r="J1146" s="211">
        <f>VLOOKUP(A1146,'JULY-TB'!A:G,7,0)</f>
        <v>0</v>
      </c>
    </row>
    <row r="1147" spans="1:10">
      <c r="A1147" s="211" t="s">
        <v>1492</v>
      </c>
      <c r="B1147" s="211">
        <v>0</v>
      </c>
      <c r="C1147" s="211">
        <v>19500</v>
      </c>
      <c r="D1147" s="211">
        <v>19500</v>
      </c>
      <c r="E1147" s="211">
        <v>0</v>
      </c>
      <c r="G1147" s="211">
        <f t="shared" si="21"/>
        <v>0</v>
      </c>
      <c r="H1147" s="211" t="s">
        <v>80</v>
      </c>
      <c r="J1147" s="211">
        <f>VLOOKUP(A1147,'JULY-TB'!A:G,7,0)</f>
        <v>0</v>
      </c>
    </row>
    <row r="1148" spans="1:10">
      <c r="A1148" s="211" t="s">
        <v>1298</v>
      </c>
      <c r="B1148" s="211">
        <v>0</v>
      </c>
      <c r="C1148" s="211">
        <v>17000</v>
      </c>
      <c r="D1148" s="211">
        <v>17000</v>
      </c>
      <c r="E1148" s="211">
        <v>0</v>
      </c>
      <c r="G1148" s="211">
        <f t="shared" si="21"/>
        <v>0</v>
      </c>
      <c r="H1148" s="211" t="s">
        <v>80</v>
      </c>
      <c r="J1148" s="211">
        <f>VLOOKUP(A1148,'JULY-TB'!A:G,7,0)</f>
        <v>0</v>
      </c>
    </row>
    <row r="1149" spans="1:10">
      <c r="A1149" s="211" t="s">
        <v>450</v>
      </c>
      <c r="B1149" s="211">
        <v>-10000</v>
      </c>
      <c r="C1149" s="211">
        <v>21500</v>
      </c>
      <c r="D1149" s="211">
        <v>27500</v>
      </c>
      <c r="E1149" s="211">
        <v>-16000</v>
      </c>
      <c r="G1149" s="211">
        <f t="shared" si="21"/>
        <v>-16000</v>
      </c>
      <c r="H1149" s="211" t="s">
        <v>80</v>
      </c>
      <c r="J1149" s="211">
        <f>VLOOKUP(A1149,'JULY-TB'!A:G,7,0)</f>
        <v>-10000</v>
      </c>
    </row>
    <row r="1150" spans="1:10">
      <c r="A1150" s="211" t="s">
        <v>1493</v>
      </c>
      <c r="B1150" s="211">
        <v>0</v>
      </c>
      <c r="C1150" s="211">
        <v>32278</v>
      </c>
      <c r="D1150" s="211">
        <v>32278</v>
      </c>
      <c r="E1150" s="211">
        <v>0</v>
      </c>
      <c r="G1150" s="211">
        <f t="shared" si="21"/>
        <v>0</v>
      </c>
      <c r="H1150" s="211" t="s">
        <v>80</v>
      </c>
      <c r="J1150" s="211">
        <f>VLOOKUP(A1150,'JULY-TB'!A:G,7,0)</f>
        <v>0</v>
      </c>
    </row>
    <row r="1151" spans="1:10">
      <c r="A1151" s="211" t="s">
        <v>218</v>
      </c>
      <c r="B1151" s="211">
        <v>-17248</v>
      </c>
      <c r="C1151" s="211">
        <v>1774796.2</v>
      </c>
      <c r="D1151" s="211">
        <v>1631104.2</v>
      </c>
      <c r="E1151" s="211">
        <v>126444</v>
      </c>
      <c r="G1151" s="211">
        <f t="shared" si="21"/>
        <v>126444</v>
      </c>
      <c r="H1151" s="211" t="s">
        <v>80</v>
      </c>
      <c r="J1151" s="211">
        <f>VLOOKUP(A1151,'JULY-TB'!A:G,7,0)</f>
        <v>126444</v>
      </c>
    </row>
    <row r="1152" spans="1:10">
      <c r="A1152" s="211" t="s">
        <v>395</v>
      </c>
      <c r="B1152" s="211">
        <v>29840.84</v>
      </c>
      <c r="C1152" s="211">
        <v>0</v>
      </c>
      <c r="D1152" s="211">
        <v>0</v>
      </c>
      <c r="E1152" s="211">
        <v>29840.84</v>
      </c>
      <c r="G1152" s="211">
        <f t="shared" si="21"/>
        <v>29840.84</v>
      </c>
      <c r="H1152" s="211" t="s">
        <v>80</v>
      </c>
      <c r="J1152" s="211">
        <f>VLOOKUP(A1152,'JULY-TB'!A:G,7,0)</f>
        <v>29840.84</v>
      </c>
    </row>
    <row r="1153" spans="1:10">
      <c r="A1153" s="211" t="s">
        <v>896</v>
      </c>
      <c r="B1153" s="211">
        <v>-47500</v>
      </c>
      <c r="C1153" s="211">
        <v>0</v>
      </c>
      <c r="D1153" s="211">
        <v>0</v>
      </c>
      <c r="E1153" s="211">
        <v>-47500</v>
      </c>
      <c r="G1153" s="211">
        <f t="shared" si="21"/>
        <v>-47500</v>
      </c>
      <c r="H1153" s="211" t="s">
        <v>80</v>
      </c>
      <c r="J1153" s="211">
        <f>VLOOKUP(A1153,'JULY-TB'!A:G,7,0)</f>
        <v>-47500</v>
      </c>
    </row>
    <row r="1154" spans="1:10">
      <c r="A1154" s="211" t="s">
        <v>444</v>
      </c>
      <c r="B1154" s="211">
        <v>502</v>
      </c>
      <c r="C1154" s="211">
        <v>128289</v>
      </c>
      <c r="D1154" s="211">
        <v>128791</v>
      </c>
      <c r="E1154" s="211">
        <v>0</v>
      </c>
      <c r="G1154" s="211">
        <f t="shared" si="21"/>
        <v>0</v>
      </c>
      <c r="H1154" s="211" t="s">
        <v>80</v>
      </c>
      <c r="J1154" s="211">
        <f>VLOOKUP(A1154,'JULY-TB'!A:G,7,0)</f>
        <v>0</v>
      </c>
    </row>
    <row r="1155" spans="1:10">
      <c r="A1155" s="211" t="s">
        <v>1593</v>
      </c>
      <c r="B1155" s="211">
        <v>0</v>
      </c>
      <c r="C1155" s="211">
        <v>29500</v>
      </c>
      <c r="D1155" s="211">
        <v>29500</v>
      </c>
      <c r="E1155" s="211">
        <v>0</v>
      </c>
      <c r="G1155" s="211">
        <f t="shared" si="21"/>
        <v>0</v>
      </c>
      <c r="H1155" s="211" t="s">
        <v>80</v>
      </c>
      <c r="J1155" s="211">
        <f>VLOOKUP(A1155,'JULY-TB'!A:G,7,0)</f>
        <v>-29000</v>
      </c>
    </row>
    <row r="1156" spans="1:10">
      <c r="A1156" s="211" t="s">
        <v>1494</v>
      </c>
      <c r="B1156" s="211">
        <v>0</v>
      </c>
      <c r="C1156" s="211">
        <v>1024627</v>
      </c>
      <c r="D1156" s="211">
        <v>1073105</v>
      </c>
      <c r="E1156" s="211">
        <v>-48478</v>
      </c>
      <c r="G1156" s="211">
        <f t="shared" ref="G1156:G1219" si="22">E1156+F1156</f>
        <v>-48478</v>
      </c>
      <c r="H1156" s="211" t="s">
        <v>80</v>
      </c>
      <c r="J1156" s="211">
        <f>VLOOKUP(A1156,'JULY-TB'!A:G,7,0)</f>
        <v>-66457</v>
      </c>
    </row>
    <row r="1157" spans="1:10">
      <c r="A1157" s="211" t="s">
        <v>198</v>
      </c>
      <c r="B1157" s="211">
        <v>106866.67</v>
      </c>
      <c r="C1157" s="211">
        <v>106161.42</v>
      </c>
      <c r="D1157" s="211">
        <v>94768.24</v>
      </c>
      <c r="E1157" s="211">
        <v>118259.85</v>
      </c>
      <c r="G1157" s="211">
        <f t="shared" si="22"/>
        <v>118259.85</v>
      </c>
      <c r="H1157" s="211" t="s">
        <v>80</v>
      </c>
      <c r="J1157" s="211">
        <f>VLOOKUP(A1157,'JULY-TB'!A:G,7,0)</f>
        <v>154086.85</v>
      </c>
    </row>
    <row r="1158" spans="1:10">
      <c r="A1158" s="211" t="s">
        <v>897</v>
      </c>
      <c r="B1158" s="211">
        <v>-14457</v>
      </c>
      <c r="C1158" s="211">
        <v>14457</v>
      </c>
      <c r="D1158" s="211">
        <v>0</v>
      </c>
      <c r="E1158" s="211">
        <v>0</v>
      </c>
      <c r="G1158" s="211">
        <f t="shared" si="22"/>
        <v>0</v>
      </c>
      <c r="H1158" s="211" t="s">
        <v>80</v>
      </c>
      <c r="J1158" s="211">
        <f>VLOOKUP(A1158,'JULY-TB'!A:G,7,0)</f>
        <v>0</v>
      </c>
    </row>
    <row r="1159" spans="1:10">
      <c r="A1159" s="211" t="s">
        <v>898</v>
      </c>
      <c r="B1159" s="211">
        <v>4172</v>
      </c>
      <c r="C1159" s="211">
        <v>0</v>
      </c>
      <c r="D1159" s="211">
        <v>0</v>
      </c>
      <c r="E1159" s="211">
        <v>4172</v>
      </c>
      <c r="G1159" s="211">
        <f t="shared" si="22"/>
        <v>4172</v>
      </c>
      <c r="H1159" s="211" t="s">
        <v>80</v>
      </c>
      <c r="J1159" s="211">
        <f>VLOOKUP(A1159,'JULY-TB'!A:G,7,0)</f>
        <v>4172</v>
      </c>
    </row>
    <row r="1160" spans="1:10">
      <c r="A1160" s="211" t="s">
        <v>899</v>
      </c>
      <c r="B1160" s="211">
        <v>-265438</v>
      </c>
      <c r="C1160" s="211">
        <v>265438</v>
      </c>
      <c r="D1160" s="211">
        <v>0</v>
      </c>
      <c r="E1160" s="211">
        <v>0</v>
      </c>
      <c r="G1160" s="211">
        <f t="shared" si="22"/>
        <v>0</v>
      </c>
      <c r="H1160" s="211" t="s">
        <v>80</v>
      </c>
      <c r="J1160" s="211">
        <f>VLOOKUP(A1160,'JULY-TB'!A:G,7,0)</f>
        <v>0</v>
      </c>
    </row>
    <row r="1161" spans="1:10">
      <c r="A1161" s="211" t="s">
        <v>459</v>
      </c>
      <c r="B1161" s="211">
        <v>0</v>
      </c>
      <c r="C1161" s="211">
        <v>643034</v>
      </c>
      <c r="D1161" s="211">
        <v>643034</v>
      </c>
      <c r="E1161" s="211">
        <v>0</v>
      </c>
      <c r="G1161" s="211">
        <f t="shared" si="22"/>
        <v>0</v>
      </c>
      <c r="H1161" s="211" t="s">
        <v>80</v>
      </c>
      <c r="J1161" s="211">
        <f>VLOOKUP(A1161,'JULY-TB'!A:G,7,0)</f>
        <v>0</v>
      </c>
    </row>
    <row r="1162" spans="1:10">
      <c r="A1162" s="211" t="s">
        <v>513</v>
      </c>
      <c r="B1162" s="211">
        <v>-50</v>
      </c>
      <c r="C1162" s="211">
        <v>50</v>
      </c>
      <c r="D1162" s="211">
        <v>0</v>
      </c>
      <c r="E1162" s="211">
        <v>0</v>
      </c>
      <c r="G1162" s="211">
        <f t="shared" si="22"/>
        <v>0</v>
      </c>
      <c r="H1162" s="211" t="s">
        <v>80</v>
      </c>
      <c r="J1162" s="211">
        <f>VLOOKUP(A1162,'JULY-TB'!A:G,7,0)</f>
        <v>0</v>
      </c>
    </row>
    <row r="1163" spans="1:10">
      <c r="A1163" s="211" t="s">
        <v>184</v>
      </c>
      <c r="B1163" s="211">
        <v>-322</v>
      </c>
      <c r="C1163" s="211">
        <v>251166</v>
      </c>
      <c r="D1163" s="211">
        <v>338881</v>
      </c>
      <c r="E1163" s="211">
        <v>-88037</v>
      </c>
      <c r="G1163" s="211">
        <f t="shared" si="22"/>
        <v>-88037</v>
      </c>
      <c r="H1163" s="211" t="s">
        <v>80</v>
      </c>
      <c r="J1163" s="211">
        <f>VLOOKUP(A1163,'JULY-TB'!A:G,7,0)</f>
        <v>-402</v>
      </c>
    </row>
    <row r="1164" spans="1:10">
      <c r="A1164" s="211" t="s">
        <v>183</v>
      </c>
      <c r="B1164" s="211">
        <v>-9074.7199999999993</v>
      </c>
      <c r="C1164" s="211">
        <v>170259</v>
      </c>
      <c r="D1164" s="211">
        <v>196956</v>
      </c>
      <c r="E1164" s="211">
        <v>-35771.72</v>
      </c>
      <c r="G1164" s="211">
        <f t="shared" si="22"/>
        <v>-35771.72</v>
      </c>
      <c r="H1164" s="211" t="s">
        <v>80</v>
      </c>
      <c r="J1164" s="211">
        <f>VLOOKUP(A1164,'JULY-TB'!A:G,7,0)</f>
        <v>-202279.72</v>
      </c>
    </row>
    <row r="1165" spans="1:10">
      <c r="A1165" s="211" t="s">
        <v>900</v>
      </c>
      <c r="B1165" s="211">
        <v>0</v>
      </c>
      <c r="C1165" s="211">
        <v>23500</v>
      </c>
      <c r="D1165" s="211">
        <v>23500</v>
      </c>
      <c r="E1165" s="211">
        <v>0</v>
      </c>
      <c r="G1165" s="211">
        <f t="shared" si="22"/>
        <v>0</v>
      </c>
      <c r="H1165" s="211" t="s">
        <v>80</v>
      </c>
      <c r="J1165" s="211">
        <f>VLOOKUP(A1165,'JULY-TB'!A:G,7,0)</f>
        <v>0</v>
      </c>
    </row>
    <row r="1166" spans="1:10">
      <c r="A1166" s="211" t="s">
        <v>173</v>
      </c>
      <c r="B1166" s="211">
        <v>-98500</v>
      </c>
      <c r="C1166" s="211">
        <v>713000</v>
      </c>
      <c r="D1166" s="211">
        <v>614500</v>
      </c>
      <c r="E1166" s="211">
        <v>0</v>
      </c>
      <c r="G1166" s="211">
        <f t="shared" si="22"/>
        <v>0</v>
      </c>
      <c r="H1166" s="211" t="s">
        <v>80</v>
      </c>
      <c r="J1166" s="211">
        <f>VLOOKUP(A1166,'JULY-TB'!A:G,7,0)</f>
        <v>0</v>
      </c>
    </row>
    <row r="1167" spans="1:10">
      <c r="A1167" s="211" t="s">
        <v>901</v>
      </c>
      <c r="B1167" s="211">
        <v>-21200</v>
      </c>
      <c r="C1167" s="211">
        <v>21200</v>
      </c>
      <c r="D1167" s="211">
        <v>0</v>
      </c>
      <c r="E1167" s="211">
        <v>0</v>
      </c>
      <c r="G1167" s="211">
        <f t="shared" si="22"/>
        <v>0</v>
      </c>
      <c r="H1167" s="211" t="s">
        <v>80</v>
      </c>
      <c r="J1167" s="211">
        <f>VLOOKUP(A1167,'JULY-TB'!A:G,7,0)</f>
        <v>0</v>
      </c>
    </row>
    <row r="1168" spans="1:10">
      <c r="A1168" s="211" t="s">
        <v>1299</v>
      </c>
      <c r="B1168" s="211">
        <v>0</v>
      </c>
      <c r="C1168" s="211">
        <v>1089719</v>
      </c>
      <c r="D1168" s="211">
        <v>1089719</v>
      </c>
      <c r="E1168" s="211">
        <v>0</v>
      </c>
      <c r="G1168" s="211">
        <f t="shared" si="22"/>
        <v>0</v>
      </c>
      <c r="H1168" s="211" t="s">
        <v>80</v>
      </c>
      <c r="J1168" s="211">
        <f>VLOOKUP(A1168,'JULY-TB'!A:G,7,0)</f>
        <v>0</v>
      </c>
    </row>
    <row r="1169" spans="1:10">
      <c r="A1169" s="211" t="s">
        <v>464</v>
      </c>
      <c r="B1169" s="211">
        <v>0</v>
      </c>
      <c r="C1169" s="211">
        <v>522000</v>
      </c>
      <c r="D1169" s="211">
        <v>522000</v>
      </c>
      <c r="E1169" s="211">
        <v>0</v>
      </c>
      <c r="G1169" s="211">
        <f t="shared" si="22"/>
        <v>0</v>
      </c>
      <c r="H1169" s="211" t="s">
        <v>80</v>
      </c>
      <c r="J1169" s="211">
        <f>VLOOKUP(A1169,'JULY-TB'!A:G,7,0)</f>
        <v>0</v>
      </c>
    </row>
    <row r="1170" spans="1:10">
      <c r="A1170" s="211" t="s">
        <v>381</v>
      </c>
      <c r="B1170" s="211">
        <v>-948403.69</v>
      </c>
      <c r="C1170" s="211">
        <v>1625502</v>
      </c>
      <c r="D1170" s="211">
        <v>835644</v>
      </c>
      <c r="E1170" s="211">
        <v>-158545.69</v>
      </c>
      <c r="G1170" s="211">
        <f t="shared" si="22"/>
        <v>-158545.69</v>
      </c>
      <c r="H1170" s="211" t="s">
        <v>80</v>
      </c>
      <c r="J1170" s="211">
        <f>VLOOKUP(A1170,'JULY-TB'!A:G,7,0)</f>
        <v>-180587.69</v>
      </c>
    </row>
    <row r="1171" spans="1:10">
      <c r="A1171" s="211" t="s">
        <v>902</v>
      </c>
      <c r="B1171" s="211">
        <v>-14800</v>
      </c>
      <c r="C1171" s="211">
        <v>14800</v>
      </c>
      <c r="D1171" s="211">
        <v>0</v>
      </c>
      <c r="E1171" s="211">
        <v>0</v>
      </c>
      <c r="G1171" s="211">
        <f t="shared" si="22"/>
        <v>0</v>
      </c>
      <c r="H1171" s="211" t="s">
        <v>80</v>
      </c>
      <c r="J1171" s="211">
        <f>VLOOKUP(A1171,'JULY-TB'!A:G,7,0)</f>
        <v>0</v>
      </c>
    </row>
    <row r="1172" spans="1:10">
      <c r="A1172" s="211" t="s">
        <v>1495</v>
      </c>
      <c r="B1172" s="211">
        <v>0</v>
      </c>
      <c r="C1172" s="211">
        <v>10000</v>
      </c>
      <c r="D1172" s="211">
        <v>0</v>
      </c>
      <c r="E1172" s="211">
        <v>10000</v>
      </c>
      <c r="G1172" s="211">
        <f t="shared" si="22"/>
        <v>10000</v>
      </c>
      <c r="H1172" s="211" t="s">
        <v>80</v>
      </c>
      <c r="J1172" s="211">
        <f>VLOOKUP(A1172,'JULY-TB'!A:G,7,0)</f>
        <v>10000</v>
      </c>
    </row>
    <row r="1173" spans="1:10">
      <c r="A1173" s="211" t="s">
        <v>903</v>
      </c>
      <c r="B1173" s="211">
        <v>204859</v>
      </c>
      <c r="C1173" s="211">
        <v>0</v>
      </c>
      <c r="D1173" s="211">
        <v>0</v>
      </c>
      <c r="E1173" s="211">
        <v>204859</v>
      </c>
      <c r="G1173" s="211">
        <f t="shared" si="22"/>
        <v>204859</v>
      </c>
      <c r="H1173" s="211" t="s">
        <v>80</v>
      </c>
      <c r="J1173" s="211">
        <f>VLOOKUP(A1173,'JULY-TB'!A:G,7,0)</f>
        <v>204859</v>
      </c>
    </row>
    <row r="1174" spans="1:10">
      <c r="A1174" s="211" t="s">
        <v>1594</v>
      </c>
      <c r="B1174" s="211">
        <v>0</v>
      </c>
      <c r="C1174" s="211">
        <v>607.11</v>
      </c>
      <c r="D1174" s="211">
        <v>607.11</v>
      </c>
      <c r="E1174" s="211">
        <v>0</v>
      </c>
      <c r="G1174" s="211">
        <f t="shared" si="22"/>
        <v>0</v>
      </c>
      <c r="H1174" s="211" t="s">
        <v>80</v>
      </c>
      <c r="J1174" s="211">
        <f>VLOOKUP(A1174,'JULY-TB'!A:G,7,0)</f>
        <v>0</v>
      </c>
    </row>
    <row r="1175" spans="1:10">
      <c r="A1175" s="211" t="s">
        <v>904</v>
      </c>
      <c r="B1175" s="211">
        <v>1421.19</v>
      </c>
      <c r="C1175" s="211">
        <v>1624</v>
      </c>
      <c r="D1175" s="211">
        <v>0</v>
      </c>
      <c r="E1175" s="211">
        <v>3045.19</v>
      </c>
      <c r="G1175" s="211">
        <f t="shared" si="22"/>
        <v>3045.19</v>
      </c>
      <c r="H1175" s="211" t="s">
        <v>80</v>
      </c>
      <c r="J1175" s="211">
        <f>VLOOKUP(A1175,'JULY-TB'!A:G,7,0)</f>
        <v>3045.19</v>
      </c>
    </row>
    <row r="1176" spans="1:10">
      <c r="A1176" s="211" t="s">
        <v>396</v>
      </c>
      <c r="B1176" s="211">
        <v>39937.550000000003</v>
      </c>
      <c r="C1176" s="211">
        <v>9329</v>
      </c>
      <c r="D1176" s="211">
        <v>0</v>
      </c>
      <c r="E1176" s="211">
        <v>49266.55</v>
      </c>
      <c r="G1176" s="211">
        <f t="shared" si="22"/>
        <v>49266.55</v>
      </c>
      <c r="H1176" s="211" t="s">
        <v>80</v>
      </c>
      <c r="J1176" s="211">
        <f>VLOOKUP(A1176,'JULY-TB'!A:G,7,0)</f>
        <v>45448.55</v>
      </c>
    </row>
    <row r="1177" spans="1:10">
      <c r="A1177" s="211" t="s">
        <v>905</v>
      </c>
      <c r="B1177" s="211">
        <v>-2811.03</v>
      </c>
      <c r="C1177" s="211">
        <v>0</v>
      </c>
      <c r="D1177" s="211">
        <v>0</v>
      </c>
      <c r="E1177" s="211">
        <v>-2811.03</v>
      </c>
      <c r="G1177" s="211">
        <f t="shared" si="22"/>
        <v>-2811.03</v>
      </c>
      <c r="H1177" s="211" t="s">
        <v>80</v>
      </c>
      <c r="J1177" s="211">
        <f>VLOOKUP(A1177,'JULY-TB'!A:G,7,0)</f>
        <v>-2811.03</v>
      </c>
    </row>
    <row r="1178" spans="1:10">
      <c r="A1178" s="211" t="s">
        <v>426</v>
      </c>
      <c r="B1178" s="211">
        <v>18348.53</v>
      </c>
      <c r="C1178" s="211">
        <v>16008</v>
      </c>
      <c r="D1178" s="211">
        <v>0</v>
      </c>
      <c r="E1178" s="211">
        <v>34356.53</v>
      </c>
      <c r="G1178" s="211">
        <f t="shared" si="22"/>
        <v>34356.53</v>
      </c>
      <c r="H1178" s="211" t="s">
        <v>80</v>
      </c>
      <c r="J1178" s="211">
        <f>VLOOKUP(A1178,'JULY-TB'!A:G,7,0)</f>
        <v>31433.53</v>
      </c>
    </row>
    <row r="1179" spans="1:10">
      <c r="A1179" s="211" t="s">
        <v>406</v>
      </c>
      <c r="B1179" s="211">
        <v>0</v>
      </c>
      <c r="C1179" s="211">
        <v>607</v>
      </c>
      <c r="D1179" s="211">
        <v>0</v>
      </c>
      <c r="E1179" s="211">
        <v>607</v>
      </c>
      <c r="G1179" s="211">
        <f t="shared" si="22"/>
        <v>607</v>
      </c>
      <c r="H1179" s="211" t="s">
        <v>80</v>
      </c>
      <c r="J1179" s="211">
        <f>VLOOKUP(A1179,'JULY-TB'!A:G,7,0)</f>
        <v>607</v>
      </c>
    </row>
    <row r="1180" spans="1:10">
      <c r="A1180" s="211" t="s">
        <v>1496</v>
      </c>
      <c r="B1180" s="211">
        <v>0</v>
      </c>
      <c r="C1180" s="211">
        <v>157918</v>
      </c>
      <c r="D1180" s="211">
        <v>157918</v>
      </c>
      <c r="E1180" s="211">
        <v>0</v>
      </c>
      <c r="G1180" s="211">
        <f t="shared" si="22"/>
        <v>0</v>
      </c>
      <c r="H1180" s="211" t="s">
        <v>80</v>
      </c>
      <c r="J1180" s="211">
        <f>VLOOKUP(A1180,'JULY-TB'!A:G,7,0)</f>
        <v>0</v>
      </c>
    </row>
    <row r="1181" spans="1:10">
      <c r="A1181" s="211" t="s">
        <v>1497</v>
      </c>
      <c r="B1181" s="211">
        <v>0</v>
      </c>
      <c r="C1181" s="211">
        <v>242813</v>
      </c>
      <c r="D1181" s="211">
        <v>242813</v>
      </c>
      <c r="E1181" s="211">
        <v>0</v>
      </c>
      <c r="G1181" s="211">
        <f t="shared" si="22"/>
        <v>0</v>
      </c>
      <c r="H1181" s="211" t="s">
        <v>80</v>
      </c>
      <c r="J1181" s="211">
        <f>VLOOKUP(A1181,'JULY-TB'!A:G,7,0)</f>
        <v>0</v>
      </c>
    </row>
    <row r="1182" spans="1:10">
      <c r="A1182" s="211" t="s">
        <v>906</v>
      </c>
      <c r="B1182" s="211">
        <v>2480</v>
      </c>
      <c r="C1182" s="211">
        <v>0</v>
      </c>
      <c r="D1182" s="211">
        <v>0</v>
      </c>
      <c r="E1182" s="211">
        <v>2480</v>
      </c>
      <c r="G1182" s="211">
        <f t="shared" si="22"/>
        <v>2480</v>
      </c>
      <c r="H1182" s="211" t="s">
        <v>80</v>
      </c>
      <c r="J1182" s="211">
        <f>VLOOKUP(A1182,'JULY-TB'!A:G,7,0)</f>
        <v>2480</v>
      </c>
    </row>
    <row r="1183" spans="1:10">
      <c r="A1183" s="211" t="s">
        <v>907</v>
      </c>
      <c r="B1183" s="211">
        <v>2290</v>
      </c>
      <c r="C1183" s="211">
        <v>2850</v>
      </c>
      <c r="D1183" s="211">
        <v>0</v>
      </c>
      <c r="E1183" s="211">
        <v>5140</v>
      </c>
      <c r="G1183" s="211">
        <f t="shared" si="22"/>
        <v>5140</v>
      </c>
      <c r="H1183" s="211" t="s">
        <v>80</v>
      </c>
      <c r="J1183" s="211">
        <f>VLOOKUP(A1183,'JULY-TB'!A:G,7,0)</f>
        <v>4770</v>
      </c>
    </row>
    <row r="1184" spans="1:10">
      <c r="A1184" s="211" t="s">
        <v>908</v>
      </c>
      <c r="B1184" s="211">
        <v>379</v>
      </c>
      <c r="C1184" s="211">
        <v>21967</v>
      </c>
      <c r="D1184" s="211">
        <v>22346</v>
      </c>
      <c r="E1184" s="211">
        <v>0</v>
      </c>
      <c r="G1184" s="211">
        <f t="shared" si="22"/>
        <v>0</v>
      </c>
      <c r="H1184" s="211" t="s">
        <v>80</v>
      </c>
      <c r="J1184" s="211">
        <f>VLOOKUP(A1184,'JULY-TB'!A:G,7,0)</f>
        <v>0</v>
      </c>
    </row>
    <row r="1185" spans="1:10">
      <c r="A1185" s="211" t="s">
        <v>909</v>
      </c>
      <c r="B1185" s="211">
        <v>0</v>
      </c>
      <c r="C1185" s="211">
        <v>473742</v>
      </c>
      <c r="D1185" s="211">
        <v>473742</v>
      </c>
      <c r="E1185" s="211">
        <v>0</v>
      </c>
      <c r="G1185" s="211">
        <f t="shared" si="22"/>
        <v>0</v>
      </c>
      <c r="H1185" s="211" t="s">
        <v>80</v>
      </c>
      <c r="J1185" s="211">
        <f>VLOOKUP(A1185,'JULY-TB'!A:G,7,0)</f>
        <v>0</v>
      </c>
    </row>
    <row r="1186" spans="1:10">
      <c r="A1186" s="211" t="s">
        <v>428</v>
      </c>
      <c r="B1186" s="211">
        <v>-98438</v>
      </c>
      <c r="C1186" s="211">
        <v>441391.14</v>
      </c>
      <c r="D1186" s="211">
        <v>340553.66</v>
      </c>
      <c r="E1186" s="211">
        <v>2399.48</v>
      </c>
      <c r="G1186" s="211">
        <f t="shared" si="22"/>
        <v>2399.48</v>
      </c>
      <c r="H1186" s="211" t="s">
        <v>80</v>
      </c>
      <c r="J1186" s="211">
        <f>VLOOKUP(A1186,'JULY-TB'!A:G,7,0)</f>
        <v>-10856.66</v>
      </c>
    </row>
    <row r="1187" spans="1:10">
      <c r="A1187" s="211" t="s">
        <v>389</v>
      </c>
      <c r="B1187" s="211">
        <v>264055.32</v>
      </c>
      <c r="C1187" s="211">
        <v>0</v>
      </c>
      <c r="D1187" s="211">
        <v>0</v>
      </c>
      <c r="E1187" s="211">
        <v>264055.32</v>
      </c>
      <c r="G1187" s="211">
        <f t="shared" si="22"/>
        <v>264055.32</v>
      </c>
      <c r="H1187" s="211" t="s">
        <v>80</v>
      </c>
      <c r="J1187" s="211">
        <f>VLOOKUP(A1187,'JULY-TB'!A:G,7,0)</f>
        <v>264055.32</v>
      </c>
    </row>
    <row r="1188" spans="1:10">
      <c r="A1188" s="211" t="s">
        <v>1301</v>
      </c>
      <c r="B1188" s="211">
        <v>0</v>
      </c>
      <c r="C1188" s="211">
        <v>0</v>
      </c>
      <c r="D1188" s="211">
        <v>0</v>
      </c>
      <c r="E1188" s="211">
        <v>0</v>
      </c>
      <c r="G1188" s="211">
        <f t="shared" si="22"/>
        <v>0</v>
      </c>
      <c r="H1188" s="211" t="s">
        <v>80</v>
      </c>
      <c r="J1188" s="211">
        <f>VLOOKUP(A1188,'JULY-TB'!A:G,7,0)</f>
        <v>0</v>
      </c>
    </row>
    <row r="1189" spans="1:10">
      <c r="A1189" s="211" t="s">
        <v>910</v>
      </c>
      <c r="B1189" s="211">
        <v>0</v>
      </c>
      <c r="C1189" s="211">
        <v>52143</v>
      </c>
      <c r="D1189" s="211">
        <v>52143</v>
      </c>
      <c r="E1189" s="211">
        <v>0</v>
      </c>
      <c r="G1189" s="211">
        <f t="shared" si="22"/>
        <v>0</v>
      </c>
      <c r="H1189" s="211" t="s">
        <v>80</v>
      </c>
      <c r="J1189" s="211">
        <f>VLOOKUP(A1189,'JULY-TB'!A:G,7,0)</f>
        <v>0</v>
      </c>
    </row>
    <row r="1190" spans="1:10">
      <c r="A1190" s="211" t="s">
        <v>911</v>
      </c>
      <c r="B1190" s="211">
        <v>0</v>
      </c>
      <c r="C1190" s="211">
        <v>2357740</v>
      </c>
      <c r="D1190" s="211">
        <v>2357740</v>
      </c>
      <c r="E1190" s="211">
        <v>0</v>
      </c>
      <c r="G1190" s="211">
        <f t="shared" si="22"/>
        <v>0</v>
      </c>
      <c r="H1190" s="211" t="s">
        <v>80</v>
      </c>
      <c r="J1190" s="211">
        <f>VLOOKUP(A1190,'JULY-TB'!A:G,7,0)</f>
        <v>0</v>
      </c>
    </row>
    <row r="1191" spans="1:10">
      <c r="A1191" s="211" t="s">
        <v>1654</v>
      </c>
      <c r="B1191" s="211">
        <v>0</v>
      </c>
      <c r="C1191" s="211">
        <v>0</v>
      </c>
      <c r="D1191" s="211">
        <v>57322.92</v>
      </c>
      <c r="E1191" s="211">
        <v>-57322.92</v>
      </c>
      <c r="G1191" s="211">
        <f t="shared" si="22"/>
        <v>-57322.92</v>
      </c>
      <c r="H1191" s="211" t="s">
        <v>80</v>
      </c>
      <c r="J1191" s="211" t="e">
        <f>VLOOKUP(A1191,'JULY-TB'!A:G,7,0)</f>
        <v>#N/A</v>
      </c>
    </row>
    <row r="1192" spans="1:10">
      <c r="A1192" s="211" t="s">
        <v>912</v>
      </c>
      <c r="B1192" s="211">
        <v>0</v>
      </c>
      <c r="C1192" s="211">
        <v>529671</v>
      </c>
      <c r="D1192" s="211">
        <v>529671</v>
      </c>
      <c r="E1192" s="211">
        <v>0</v>
      </c>
      <c r="G1192" s="211">
        <f t="shared" si="22"/>
        <v>0</v>
      </c>
      <c r="H1192" s="211" t="s">
        <v>80</v>
      </c>
      <c r="J1192" s="211">
        <f>VLOOKUP(A1192,'JULY-TB'!A:G,7,0)</f>
        <v>0</v>
      </c>
    </row>
    <row r="1193" spans="1:10">
      <c r="A1193" s="211" t="s">
        <v>913</v>
      </c>
      <c r="B1193" s="211">
        <v>5637.6</v>
      </c>
      <c r="C1193" s="211">
        <v>0</v>
      </c>
      <c r="D1193" s="211">
        <v>0</v>
      </c>
      <c r="E1193" s="211">
        <v>5637.6</v>
      </c>
      <c r="G1193" s="211">
        <f t="shared" si="22"/>
        <v>5637.6</v>
      </c>
      <c r="H1193" s="211" t="s">
        <v>80</v>
      </c>
      <c r="J1193" s="211">
        <f>VLOOKUP(A1193,'JULY-TB'!A:G,7,0)</f>
        <v>5637.6</v>
      </c>
    </row>
    <row r="1194" spans="1:10">
      <c r="A1194" s="211" t="s">
        <v>1302</v>
      </c>
      <c r="B1194" s="211">
        <v>0</v>
      </c>
      <c r="C1194" s="211">
        <v>0</v>
      </c>
      <c r="D1194" s="211">
        <v>0</v>
      </c>
      <c r="E1194" s="211">
        <v>0</v>
      </c>
      <c r="G1194" s="211">
        <f t="shared" si="22"/>
        <v>0</v>
      </c>
      <c r="H1194" s="211" t="s">
        <v>80</v>
      </c>
      <c r="J1194" s="211">
        <f>VLOOKUP(A1194,'JULY-TB'!A:G,7,0)</f>
        <v>0</v>
      </c>
    </row>
    <row r="1195" spans="1:10">
      <c r="A1195" s="211" t="s">
        <v>914</v>
      </c>
      <c r="B1195" s="211">
        <v>-36738.54</v>
      </c>
      <c r="C1195" s="211">
        <v>0</v>
      </c>
      <c r="D1195" s="211">
        <v>0</v>
      </c>
      <c r="E1195" s="211">
        <v>-36738.54</v>
      </c>
      <c r="G1195" s="211">
        <f t="shared" si="22"/>
        <v>-36738.54</v>
      </c>
      <c r="H1195" s="211" t="s">
        <v>80</v>
      </c>
      <c r="J1195" s="211">
        <f>VLOOKUP(A1195,'JULY-TB'!A:G,7,0)</f>
        <v>-36738.54</v>
      </c>
    </row>
    <row r="1196" spans="1:10">
      <c r="A1196" s="211" t="s">
        <v>1303</v>
      </c>
      <c r="B1196" s="211">
        <v>0</v>
      </c>
      <c r="C1196" s="211">
        <v>0</v>
      </c>
      <c r="D1196" s="211">
        <v>0</v>
      </c>
      <c r="E1196" s="211">
        <v>0</v>
      </c>
      <c r="G1196" s="211">
        <f t="shared" si="22"/>
        <v>0</v>
      </c>
      <c r="H1196" s="211" t="s">
        <v>80</v>
      </c>
      <c r="J1196" s="211">
        <f>VLOOKUP(A1196,'JULY-TB'!A:G,7,0)</f>
        <v>0</v>
      </c>
    </row>
    <row r="1197" spans="1:10">
      <c r="A1197" s="211" t="s">
        <v>1595</v>
      </c>
      <c r="B1197" s="211">
        <v>0</v>
      </c>
      <c r="C1197" s="211">
        <v>347483</v>
      </c>
      <c r="D1197" s="211">
        <v>0</v>
      </c>
      <c r="E1197" s="211">
        <v>347483</v>
      </c>
      <c r="G1197" s="211">
        <f t="shared" si="22"/>
        <v>347483</v>
      </c>
      <c r="H1197" s="211" t="s">
        <v>80</v>
      </c>
      <c r="J1197" s="211">
        <f>VLOOKUP(A1197,'JULY-TB'!A:G,7,0)</f>
        <v>347483</v>
      </c>
    </row>
    <row r="1198" spans="1:10">
      <c r="A1198" s="211" t="s">
        <v>915</v>
      </c>
      <c r="B1198" s="211">
        <v>-20029488</v>
      </c>
      <c r="C1198" s="211">
        <v>0</v>
      </c>
      <c r="D1198" s="211">
        <v>0</v>
      </c>
      <c r="E1198" s="211">
        <v>-20029488</v>
      </c>
      <c r="G1198" s="211">
        <f t="shared" si="22"/>
        <v>-20029488</v>
      </c>
      <c r="H1198" s="211" t="s">
        <v>80</v>
      </c>
      <c r="J1198" s="211">
        <f>VLOOKUP(A1198,'JULY-TB'!A:G,7,0)</f>
        <v>-20029488</v>
      </c>
    </row>
    <row r="1199" spans="1:10">
      <c r="A1199" s="211" t="s">
        <v>1304</v>
      </c>
      <c r="B1199" s="211">
        <v>0</v>
      </c>
      <c r="C1199" s="211">
        <v>0</v>
      </c>
      <c r="D1199" s="211">
        <v>0</v>
      </c>
      <c r="E1199" s="211">
        <v>0</v>
      </c>
      <c r="G1199" s="211">
        <f t="shared" si="22"/>
        <v>0</v>
      </c>
      <c r="H1199" s="211" t="s">
        <v>80</v>
      </c>
      <c r="J1199" s="211">
        <f>VLOOKUP(A1199,'JULY-TB'!A:G,7,0)</f>
        <v>0</v>
      </c>
    </row>
    <row r="1200" spans="1:10">
      <c r="A1200" s="211" t="s">
        <v>1305</v>
      </c>
      <c r="B1200" s="211">
        <v>0</v>
      </c>
      <c r="C1200" s="211">
        <v>0</v>
      </c>
      <c r="D1200" s="211">
        <v>0</v>
      </c>
      <c r="E1200" s="211">
        <v>0</v>
      </c>
      <c r="G1200" s="211">
        <f t="shared" si="22"/>
        <v>0</v>
      </c>
      <c r="H1200" s="211" t="s">
        <v>80</v>
      </c>
      <c r="J1200" s="211">
        <f>VLOOKUP(A1200,'JULY-TB'!A:G,7,0)</f>
        <v>0</v>
      </c>
    </row>
    <row r="1201" spans="1:10">
      <c r="A1201" s="211" t="s">
        <v>1306</v>
      </c>
      <c r="B1201" s="211">
        <v>0</v>
      </c>
      <c r="C1201" s="211">
        <v>333844</v>
      </c>
      <c r="D1201" s="211">
        <v>0</v>
      </c>
      <c r="E1201" s="211">
        <v>333844</v>
      </c>
      <c r="G1201" s="211">
        <f t="shared" si="22"/>
        <v>333844</v>
      </c>
      <c r="H1201" s="211" t="s">
        <v>80</v>
      </c>
      <c r="J1201" s="211">
        <f>VLOOKUP(A1201,'JULY-TB'!A:G,7,0)</f>
        <v>0</v>
      </c>
    </row>
    <row r="1202" spans="1:10">
      <c r="A1202" s="211" t="s">
        <v>916</v>
      </c>
      <c r="B1202" s="211">
        <v>0.01</v>
      </c>
      <c r="C1202" s="211">
        <v>536743</v>
      </c>
      <c r="D1202" s="211">
        <v>103609.18</v>
      </c>
      <c r="E1202" s="211">
        <v>433133.83</v>
      </c>
      <c r="G1202" s="211">
        <f t="shared" si="22"/>
        <v>433133.83</v>
      </c>
      <c r="H1202" s="211" t="s">
        <v>80</v>
      </c>
      <c r="J1202" s="211">
        <f>VLOOKUP(A1202,'JULY-TB'!A:G,7,0)</f>
        <v>536743.01</v>
      </c>
    </row>
    <row r="1203" spans="1:10">
      <c r="A1203" s="211" t="s">
        <v>1307</v>
      </c>
      <c r="B1203" s="211">
        <v>0</v>
      </c>
      <c r="C1203" s="211">
        <v>0</v>
      </c>
      <c r="D1203" s="211">
        <v>0</v>
      </c>
      <c r="E1203" s="211">
        <v>0</v>
      </c>
      <c r="G1203" s="211">
        <f t="shared" si="22"/>
        <v>0</v>
      </c>
      <c r="H1203" s="211" t="s">
        <v>80</v>
      </c>
      <c r="J1203" s="211">
        <f>VLOOKUP(A1203,'JULY-TB'!A:G,7,0)</f>
        <v>0</v>
      </c>
    </row>
    <row r="1204" spans="1:10">
      <c r="A1204" s="211" t="s">
        <v>1655</v>
      </c>
      <c r="B1204" s="211">
        <v>0</v>
      </c>
      <c r="C1204" s="211">
        <v>577624</v>
      </c>
      <c r="D1204" s="211">
        <v>0</v>
      </c>
      <c r="E1204" s="211">
        <v>577624</v>
      </c>
      <c r="G1204" s="211">
        <f t="shared" si="22"/>
        <v>577624</v>
      </c>
      <c r="H1204" s="211" t="s">
        <v>80</v>
      </c>
      <c r="J1204" s="211" t="e">
        <f>VLOOKUP(A1204,'JULY-TB'!A:G,7,0)</f>
        <v>#N/A</v>
      </c>
    </row>
    <row r="1205" spans="1:10">
      <c r="A1205" s="211" t="s">
        <v>917</v>
      </c>
      <c r="B1205" s="211">
        <v>-7206296.8700000001</v>
      </c>
      <c r="C1205" s="211">
        <v>7227000</v>
      </c>
      <c r="D1205" s="211">
        <v>0</v>
      </c>
      <c r="E1205" s="211">
        <v>20703.13</v>
      </c>
      <c r="G1205" s="211">
        <f t="shared" si="22"/>
        <v>20703.13</v>
      </c>
      <c r="H1205" s="211" t="s">
        <v>80</v>
      </c>
      <c r="J1205" s="211">
        <f>VLOOKUP(A1205,'JULY-TB'!A:G,7,0)</f>
        <v>20703.13</v>
      </c>
    </row>
    <row r="1206" spans="1:10">
      <c r="A1206" s="211" t="s">
        <v>297</v>
      </c>
      <c r="B1206" s="211">
        <v>-390771.28</v>
      </c>
      <c r="C1206" s="211">
        <v>3418624.88</v>
      </c>
      <c r="D1206" s="211">
        <v>4255093.6399999997</v>
      </c>
      <c r="E1206" s="211">
        <v>-1227240.04</v>
      </c>
      <c r="G1206" s="211">
        <f t="shared" si="22"/>
        <v>-1227240.04</v>
      </c>
      <c r="H1206" s="211" t="s">
        <v>80</v>
      </c>
      <c r="J1206" s="211">
        <f>VLOOKUP(A1206,'JULY-TB'!A:G,7,0)</f>
        <v>-749779</v>
      </c>
    </row>
    <row r="1207" spans="1:10">
      <c r="A1207" s="211" t="s">
        <v>1308</v>
      </c>
      <c r="B1207" s="211">
        <v>0</v>
      </c>
      <c r="C1207" s="211">
        <v>0</v>
      </c>
      <c r="D1207" s="211">
        <v>192340</v>
      </c>
      <c r="E1207" s="211">
        <v>-192340</v>
      </c>
      <c r="G1207" s="211">
        <f t="shared" si="22"/>
        <v>-192340</v>
      </c>
      <c r="H1207" s="211" t="s">
        <v>80</v>
      </c>
      <c r="J1207" s="211">
        <f>VLOOKUP(A1207,'JULY-TB'!A:G,7,0)</f>
        <v>-192340</v>
      </c>
    </row>
    <row r="1208" spans="1:10">
      <c r="A1208" s="211" t="s">
        <v>296</v>
      </c>
      <c r="B1208" s="211">
        <v>-3203522</v>
      </c>
      <c r="C1208" s="211">
        <v>3203522</v>
      </c>
      <c r="D1208" s="211">
        <v>0</v>
      </c>
      <c r="E1208" s="211">
        <v>0</v>
      </c>
      <c r="G1208" s="211">
        <f t="shared" si="22"/>
        <v>0</v>
      </c>
      <c r="H1208" s="211" t="s">
        <v>80</v>
      </c>
      <c r="J1208" s="211">
        <f>VLOOKUP(A1208,'JULY-TB'!A:G,7,0)</f>
        <v>0</v>
      </c>
    </row>
    <row r="1209" spans="1:10">
      <c r="A1209" s="211" t="s">
        <v>1309</v>
      </c>
      <c r="B1209" s="211">
        <v>0</v>
      </c>
      <c r="C1209" s="211">
        <v>0</v>
      </c>
      <c r="D1209" s="211">
        <v>0</v>
      </c>
      <c r="E1209" s="211">
        <v>0</v>
      </c>
      <c r="G1209" s="211">
        <f t="shared" si="22"/>
        <v>0</v>
      </c>
      <c r="H1209" s="211" t="s">
        <v>80</v>
      </c>
      <c r="J1209" s="211">
        <f>VLOOKUP(A1209,'JULY-TB'!A:G,7,0)</f>
        <v>0</v>
      </c>
    </row>
    <row r="1210" spans="1:10">
      <c r="A1210" s="211" t="s">
        <v>1310</v>
      </c>
      <c r="B1210" s="211">
        <v>0</v>
      </c>
      <c r="C1210" s="211">
        <v>0</v>
      </c>
      <c r="D1210" s="211">
        <v>0</v>
      </c>
      <c r="E1210" s="211">
        <v>0</v>
      </c>
      <c r="G1210" s="211">
        <f t="shared" si="22"/>
        <v>0</v>
      </c>
      <c r="H1210" s="211" t="s">
        <v>80</v>
      </c>
      <c r="J1210" s="211">
        <f>VLOOKUP(A1210,'JULY-TB'!A:G,7,0)</f>
        <v>0</v>
      </c>
    </row>
    <row r="1211" spans="1:10">
      <c r="A1211" s="211" t="s">
        <v>918</v>
      </c>
      <c r="B1211" s="211">
        <v>-3007.5</v>
      </c>
      <c r="C1211" s="211">
        <v>3007.5</v>
      </c>
      <c r="D1211" s="211">
        <v>0</v>
      </c>
      <c r="E1211" s="211">
        <v>0</v>
      </c>
      <c r="G1211" s="211">
        <f t="shared" si="22"/>
        <v>0</v>
      </c>
      <c r="H1211" s="211" t="s">
        <v>80</v>
      </c>
      <c r="J1211" s="211">
        <f>VLOOKUP(A1211,'JULY-TB'!A:G,7,0)</f>
        <v>0</v>
      </c>
    </row>
    <row r="1212" spans="1:10">
      <c r="A1212" s="211" t="s">
        <v>919</v>
      </c>
      <c r="B1212" s="211">
        <v>-362124.3</v>
      </c>
      <c r="C1212" s="211">
        <v>515052.3</v>
      </c>
      <c r="D1212" s="211">
        <v>152928</v>
      </c>
      <c r="E1212" s="211">
        <v>0</v>
      </c>
      <c r="G1212" s="211">
        <f t="shared" si="22"/>
        <v>0</v>
      </c>
      <c r="H1212" s="211" t="s">
        <v>80</v>
      </c>
      <c r="J1212" s="211">
        <f>VLOOKUP(A1212,'JULY-TB'!A:G,7,0)</f>
        <v>-152928</v>
      </c>
    </row>
    <row r="1213" spans="1:10">
      <c r="A1213" s="211" t="s">
        <v>1311</v>
      </c>
      <c r="B1213" s="211">
        <v>0</v>
      </c>
      <c r="C1213" s="211">
        <v>0</v>
      </c>
      <c r="D1213" s="211">
        <v>0</v>
      </c>
      <c r="E1213" s="211">
        <v>0</v>
      </c>
      <c r="G1213" s="211">
        <f t="shared" si="22"/>
        <v>0</v>
      </c>
      <c r="H1213" s="211" t="s">
        <v>80</v>
      </c>
      <c r="J1213" s="211">
        <f>VLOOKUP(A1213,'JULY-TB'!A:G,7,0)</f>
        <v>0</v>
      </c>
    </row>
    <row r="1214" spans="1:10">
      <c r="A1214" s="211" t="s">
        <v>275</v>
      </c>
      <c r="B1214" s="211">
        <v>-407361.01</v>
      </c>
      <c r="C1214" s="211">
        <v>738025</v>
      </c>
      <c r="D1214" s="211">
        <v>574415</v>
      </c>
      <c r="E1214" s="211">
        <v>-243751.01</v>
      </c>
      <c r="G1214" s="211">
        <f t="shared" si="22"/>
        <v>-243751.01</v>
      </c>
      <c r="H1214" s="211" t="s">
        <v>80</v>
      </c>
      <c r="J1214" s="211">
        <f>VLOOKUP(A1214,'JULY-TB'!A:G,7,0)</f>
        <v>-152871.01</v>
      </c>
    </row>
    <row r="1215" spans="1:10">
      <c r="A1215" s="211" t="s">
        <v>276</v>
      </c>
      <c r="B1215" s="211">
        <v>-1775316.58</v>
      </c>
      <c r="C1215" s="211">
        <v>1391794.97</v>
      </c>
      <c r="D1215" s="211">
        <v>113728</v>
      </c>
      <c r="E1215" s="211">
        <v>-497249.61</v>
      </c>
      <c r="G1215" s="211">
        <f t="shared" si="22"/>
        <v>-497249.61</v>
      </c>
      <c r="H1215" s="211" t="s">
        <v>80</v>
      </c>
      <c r="J1215" s="211">
        <f>VLOOKUP(A1215,'JULY-TB'!A:G,7,0)</f>
        <v>-507916.61</v>
      </c>
    </row>
    <row r="1216" spans="1:10">
      <c r="A1216" s="211" t="s">
        <v>460</v>
      </c>
      <c r="B1216" s="211">
        <v>0</v>
      </c>
      <c r="C1216" s="211">
        <v>1339302</v>
      </c>
      <c r="D1216" s="211">
        <v>1339302</v>
      </c>
      <c r="E1216" s="211">
        <v>0</v>
      </c>
      <c r="G1216" s="211">
        <f t="shared" si="22"/>
        <v>0</v>
      </c>
      <c r="H1216" s="211" t="s">
        <v>80</v>
      </c>
      <c r="J1216" s="211">
        <f>VLOOKUP(A1216,'JULY-TB'!A:G,7,0)</f>
        <v>0</v>
      </c>
    </row>
    <row r="1217" spans="1:10">
      <c r="A1217" s="211" t="s">
        <v>920</v>
      </c>
      <c r="B1217" s="211">
        <v>-390679</v>
      </c>
      <c r="C1217" s="211">
        <v>642465</v>
      </c>
      <c r="D1217" s="211">
        <v>251786</v>
      </c>
      <c r="E1217" s="211">
        <v>0</v>
      </c>
      <c r="G1217" s="211">
        <f t="shared" si="22"/>
        <v>0</v>
      </c>
      <c r="H1217" s="211" t="s">
        <v>80</v>
      </c>
      <c r="J1217" s="211">
        <f>VLOOKUP(A1217,'JULY-TB'!A:G,7,0)</f>
        <v>-251786</v>
      </c>
    </row>
    <row r="1218" spans="1:10">
      <c r="A1218" s="211" t="s">
        <v>1312</v>
      </c>
      <c r="B1218" s="211">
        <v>0</v>
      </c>
      <c r="C1218" s="211">
        <v>0</v>
      </c>
      <c r="D1218" s="211">
        <v>0</v>
      </c>
      <c r="E1218" s="211">
        <v>0</v>
      </c>
      <c r="G1218" s="211">
        <f t="shared" si="22"/>
        <v>0</v>
      </c>
      <c r="H1218" s="211" t="s">
        <v>80</v>
      </c>
      <c r="J1218" s="211">
        <f>VLOOKUP(A1218,'JULY-TB'!A:G,7,0)</f>
        <v>0</v>
      </c>
    </row>
    <row r="1219" spans="1:10">
      <c r="A1219" s="211" t="s">
        <v>1313</v>
      </c>
      <c r="B1219" s="211">
        <v>0</v>
      </c>
      <c r="C1219" s="211">
        <v>0</v>
      </c>
      <c r="D1219" s="211">
        <v>0</v>
      </c>
      <c r="E1219" s="211">
        <v>0</v>
      </c>
      <c r="G1219" s="211">
        <f t="shared" si="22"/>
        <v>0</v>
      </c>
      <c r="H1219" s="211" t="s">
        <v>80</v>
      </c>
      <c r="J1219" s="211">
        <f>VLOOKUP(A1219,'JULY-TB'!A:G,7,0)</f>
        <v>0</v>
      </c>
    </row>
    <row r="1220" spans="1:10">
      <c r="A1220" s="211" t="s">
        <v>1498</v>
      </c>
      <c r="B1220" s="211">
        <v>0</v>
      </c>
      <c r="C1220" s="211">
        <v>3970283</v>
      </c>
      <c r="D1220" s="211">
        <v>3973650</v>
      </c>
      <c r="E1220" s="211">
        <v>-3367</v>
      </c>
      <c r="G1220" s="211">
        <f t="shared" ref="G1220:G1283" si="23">E1220+F1220</f>
        <v>-3367</v>
      </c>
      <c r="H1220" s="211" t="s">
        <v>80</v>
      </c>
      <c r="J1220" s="211">
        <f>VLOOKUP(A1220,'JULY-TB'!A:G,7,0)</f>
        <v>-3367</v>
      </c>
    </row>
    <row r="1221" spans="1:10">
      <c r="A1221" s="211" t="s">
        <v>1314</v>
      </c>
      <c r="B1221" s="211">
        <v>0</v>
      </c>
      <c r="C1221" s="211">
        <v>0</v>
      </c>
      <c r="D1221" s="211">
        <v>0</v>
      </c>
      <c r="E1221" s="211">
        <v>0</v>
      </c>
      <c r="G1221" s="211">
        <f t="shared" si="23"/>
        <v>0</v>
      </c>
      <c r="H1221" s="211" t="s">
        <v>80</v>
      </c>
      <c r="J1221" s="211">
        <f>VLOOKUP(A1221,'JULY-TB'!A:G,7,0)</f>
        <v>0</v>
      </c>
    </row>
    <row r="1222" spans="1:10">
      <c r="A1222" s="211" t="s">
        <v>451</v>
      </c>
      <c r="B1222" s="211">
        <v>-113701170.09</v>
      </c>
      <c r="C1222" s="211">
        <v>14600000</v>
      </c>
      <c r="D1222" s="211">
        <v>71638143.560000002</v>
      </c>
      <c r="E1222" s="211">
        <v>-170739313.65000001</v>
      </c>
      <c r="G1222" s="211">
        <f t="shared" si="23"/>
        <v>-170739313.65000001</v>
      </c>
      <c r="H1222" s="211" t="s">
        <v>80</v>
      </c>
      <c r="J1222" s="211">
        <f>VLOOKUP(A1222,'JULY-TB'!A:G,7,0)</f>
        <v>-138702157.94</v>
      </c>
    </row>
    <row r="1223" spans="1:10">
      <c r="A1223" s="211" t="s">
        <v>1596</v>
      </c>
      <c r="B1223" s="211">
        <v>0</v>
      </c>
      <c r="C1223" s="211">
        <v>0</v>
      </c>
      <c r="D1223" s="211">
        <v>6286288.9800000004</v>
      </c>
      <c r="E1223" s="211">
        <v>-6286288.9800000004</v>
      </c>
      <c r="G1223" s="211">
        <f t="shared" si="23"/>
        <v>-6286288.9800000004</v>
      </c>
      <c r="H1223" s="211" t="s">
        <v>80</v>
      </c>
      <c r="J1223" s="211">
        <f>VLOOKUP(A1223,'JULY-TB'!A:G,7,0)</f>
        <v>-283600.67</v>
      </c>
    </row>
    <row r="1224" spans="1:10">
      <c r="A1224" s="211" t="s">
        <v>1315</v>
      </c>
      <c r="B1224" s="211">
        <v>0</v>
      </c>
      <c r="C1224" s="211">
        <v>0</v>
      </c>
      <c r="D1224" s="211">
        <v>0</v>
      </c>
      <c r="E1224" s="211">
        <v>0</v>
      </c>
      <c r="G1224" s="211">
        <f t="shared" si="23"/>
        <v>0</v>
      </c>
      <c r="H1224" s="211" t="s">
        <v>80</v>
      </c>
      <c r="J1224" s="211">
        <f>VLOOKUP(A1224,'JULY-TB'!A:G,7,0)</f>
        <v>0</v>
      </c>
    </row>
    <row r="1225" spans="1:10">
      <c r="A1225" s="211" t="s">
        <v>239</v>
      </c>
      <c r="B1225" s="211">
        <v>0</v>
      </c>
      <c r="C1225" s="211">
        <v>5741730.5</v>
      </c>
      <c r="D1225" s="211">
        <v>5745242.5</v>
      </c>
      <c r="E1225" s="211">
        <v>-3512</v>
      </c>
      <c r="G1225" s="211">
        <f t="shared" si="23"/>
        <v>-3512</v>
      </c>
      <c r="H1225" s="211" t="s">
        <v>80</v>
      </c>
      <c r="J1225" s="211">
        <f>VLOOKUP(A1225,'JULY-TB'!A:G,7,0)</f>
        <v>-3512</v>
      </c>
    </row>
    <row r="1226" spans="1:10">
      <c r="A1226" s="211" t="s">
        <v>1316</v>
      </c>
      <c r="B1226" s="211">
        <v>0</v>
      </c>
      <c r="C1226" s="211">
        <v>52356115</v>
      </c>
      <c r="D1226" s="211">
        <v>38210535</v>
      </c>
      <c r="E1226" s="211">
        <v>14145580</v>
      </c>
      <c r="G1226" s="211">
        <f t="shared" si="23"/>
        <v>14145580</v>
      </c>
      <c r="H1226" s="211" t="s">
        <v>80</v>
      </c>
      <c r="J1226" s="211">
        <f>VLOOKUP(A1226,'JULY-TB'!A:G,7,0)</f>
        <v>14145580</v>
      </c>
    </row>
    <row r="1227" spans="1:10">
      <c r="A1227" s="211" t="s">
        <v>240</v>
      </c>
      <c r="B1227" s="211">
        <v>-1516300</v>
      </c>
      <c r="C1227" s="211">
        <v>1523823</v>
      </c>
      <c r="D1227" s="211">
        <v>327834</v>
      </c>
      <c r="E1227" s="211">
        <v>-320311</v>
      </c>
      <c r="G1227" s="211">
        <f t="shared" si="23"/>
        <v>-320311</v>
      </c>
      <c r="H1227" s="211" t="s">
        <v>80</v>
      </c>
      <c r="J1227" s="211">
        <f>VLOOKUP(A1227,'JULY-TB'!A:G,7,0)</f>
        <v>-105020</v>
      </c>
    </row>
    <row r="1228" spans="1:10">
      <c r="A1228" s="211" t="s">
        <v>231</v>
      </c>
      <c r="B1228" s="211">
        <v>-365814.01</v>
      </c>
      <c r="C1228" s="211">
        <v>1968598</v>
      </c>
      <c r="D1228" s="211">
        <v>2478174</v>
      </c>
      <c r="E1228" s="211">
        <v>-875390.01</v>
      </c>
      <c r="G1228" s="211">
        <f t="shared" si="23"/>
        <v>-875390.01</v>
      </c>
      <c r="H1228" s="211" t="s">
        <v>80</v>
      </c>
      <c r="J1228" s="211">
        <f>VLOOKUP(A1228,'JULY-TB'!A:G,7,0)</f>
        <v>-488916.01</v>
      </c>
    </row>
    <row r="1229" spans="1:10">
      <c r="A1229" s="211" t="s">
        <v>1317</v>
      </c>
      <c r="B1229" s="211">
        <v>0</v>
      </c>
      <c r="C1229" s="211">
        <v>0</v>
      </c>
      <c r="D1229" s="211">
        <v>0</v>
      </c>
      <c r="E1229" s="211">
        <v>0</v>
      </c>
      <c r="G1229" s="211">
        <f t="shared" si="23"/>
        <v>0</v>
      </c>
      <c r="H1229" s="211" t="s">
        <v>80</v>
      </c>
      <c r="J1229" s="211">
        <f>VLOOKUP(A1229,'JULY-TB'!A:G,7,0)</f>
        <v>0</v>
      </c>
    </row>
    <row r="1230" spans="1:10">
      <c r="A1230" s="211" t="s">
        <v>1319</v>
      </c>
      <c r="B1230" s="211">
        <v>0</v>
      </c>
      <c r="C1230" s="211">
        <v>0</v>
      </c>
      <c r="D1230" s="211">
        <v>0</v>
      </c>
      <c r="E1230" s="211">
        <v>0</v>
      </c>
      <c r="G1230" s="211">
        <f t="shared" si="23"/>
        <v>0</v>
      </c>
      <c r="H1230" s="211" t="s">
        <v>80</v>
      </c>
      <c r="J1230" s="211">
        <f>VLOOKUP(A1230,'JULY-TB'!A:G,7,0)</f>
        <v>0</v>
      </c>
    </row>
    <row r="1231" spans="1:10">
      <c r="A1231" s="211" t="s">
        <v>1320</v>
      </c>
      <c r="B1231" s="211">
        <v>0</v>
      </c>
      <c r="C1231" s="211">
        <v>0</v>
      </c>
      <c r="D1231" s="211">
        <v>0</v>
      </c>
      <c r="E1231" s="211">
        <v>0</v>
      </c>
      <c r="G1231" s="211">
        <f t="shared" si="23"/>
        <v>0</v>
      </c>
      <c r="H1231" s="211" t="s">
        <v>80</v>
      </c>
      <c r="J1231" s="211">
        <f>VLOOKUP(A1231,'JULY-TB'!A:G,7,0)</f>
        <v>0</v>
      </c>
    </row>
    <row r="1232" spans="1:10">
      <c r="A1232" s="211" t="s">
        <v>1420</v>
      </c>
      <c r="B1232" s="211">
        <v>0</v>
      </c>
      <c r="C1232" s="211">
        <v>0</v>
      </c>
      <c r="D1232" s="211">
        <v>0</v>
      </c>
      <c r="E1232" s="211">
        <v>0</v>
      </c>
      <c r="G1232" s="211">
        <f t="shared" si="23"/>
        <v>0</v>
      </c>
      <c r="H1232" s="211" t="s">
        <v>80</v>
      </c>
      <c r="J1232" s="211">
        <f>VLOOKUP(A1232,'JULY-TB'!A:G,7,0)</f>
        <v>0</v>
      </c>
    </row>
    <row r="1233" spans="1:10">
      <c r="A1233" s="211" t="s">
        <v>1321</v>
      </c>
      <c r="B1233" s="211">
        <v>0</v>
      </c>
      <c r="C1233" s="211">
        <v>0</v>
      </c>
      <c r="D1233" s="211">
        <v>0</v>
      </c>
      <c r="E1233" s="211">
        <v>0</v>
      </c>
      <c r="G1233" s="211">
        <f t="shared" si="23"/>
        <v>0</v>
      </c>
      <c r="H1233" s="211" t="s">
        <v>80</v>
      </c>
      <c r="J1233" s="211">
        <f>VLOOKUP(A1233,'JULY-TB'!A:G,7,0)</f>
        <v>0</v>
      </c>
    </row>
    <row r="1234" spans="1:10">
      <c r="A1234" s="211" t="s">
        <v>921</v>
      </c>
      <c r="B1234" s="211">
        <v>2177.2800000000002</v>
      </c>
      <c r="C1234" s="211">
        <v>0</v>
      </c>
      <c r="D1234" s="211">
        <v>0</v>
      </c>
      <c r="E1234" s="211">
        <v>2177.2800000000002</v>
      </c>
      <c r="G1234" s="211">
        <f t="shared" si="23"/>
        <v>2177.2800000000002</v>
      </c>
      <c r="H1234" s="211" t="s">
        <v>80</v>
      </c>
      <c r="J1234" s="211">
        <f>VLOOKUP(A1234,'JULY-TB'!A:G,7,0)</f>
        <v>2177.2800000000002</v>
      </c>
    </row>
    <row r="1235" spans="1:10">
      <c r="A1235" s="211" t="s">
        <v>524</v>
      </c>
      <c r="B1235" s="211">
        <v>-1349976.14</v>
      </c>
      <c r="C1235" s="211">
        <v>5914593.9400000004</v>
      </c>
      <c r="D1235" s="211">
        <v>7257992.9000000004</v>
      </c>
      <c r="E1235" s="211">
        <v>-2693375.1</v>
      </c>
      <c r="G1235" s="211">
        <f t="shared" si="23"/>
        <v>-2693375.1</v>
      </c>
      <c r="H1235" s="211" t="s">
        <v>80</v>
      </c>
      <c r="J1235" s="211">
        <f>VLOOKUP(A1235,'JULY-TB'!A:G,7,0)</f>
        <v>-3212278.14</v>
      </c>
    </row>
    <row r="1236" spans="1:10">
      <c r="A1236" s="211" t="s">
        <v>1322</v>
      </c>
      <c r="B1236" s="211">
        <v>0</v>
      </c>
      <c r="C1236" s="211">
        <v>0</v>
      </c>
      <c r="D1236" s="211">
        <v>0</v>
      </c>
      <c r="E1236" s="211">
        <v>0</v>
      </c>
      <c r="G1236" s="211">
        <f t="shared" si="23"/>
        <v>0</v>
      </c>
      <c r="H1236" s="211" t="s">
        <v>80</v>
      </c>
      <c r="J1236" s="211">
        <f>VLOOKUP(A1236,'JULY-TB'!A:G,7,0)</f>
        <v>0</v>
      </c>
    </row>
    <row r="1237" spans="1:10">
      <c r="A1237" s="211" t="s">
        <v>514</v>
      </c>
      <c r="B1237" s="211">
        <v>-6093</v>
      </c>
      <c r="C1237" s="211">
        <v>0</v>
      </c>
      <c r="D1237" s="211">
        <v>0</v>
      </c>
      <c r="E1237" s="211">
        <v>-6093</v>
      </c>
      <c r="G1237" s="211">
        <f t="shared" si="23"/>
        <v>-6093</v>
      </c>
      <c r="H1237" s="211" t="s">
        <v>80</v>
      </c>
      <c r="J1237" s="211">
        <f>VLOOKUP(A1237,'JULY-TB'!A:G,7,0)</f>
        <v>-6093</v>
      </c>
    </row>
    <row r="1238" spans="1:10">
      <c r="A1238" s="211" t="s">
        <v>922</v>
      </c>
      <c r="B1238" s="211">
        <v>-2815223.04</v>
      </c>
      <c r="C1238" s="211">
        <v>0</v>
      </c>
      <c r="D1238" s="211">
        <v>0</v>
      </c>
      <c r="E1238" s="211">
        <v>-2815223.04</v>
      </c>
      <c r="G1238" s="211">
        <f t="shared" si="23"/>
        <v>-2815223.04</v>
      </c>
      <c r="H1238" s="211" t="s">
        <v>80</v>
      </c>
      <c r="J1238" s="211">
        <f>VLOOKUP(A1238,'JULY-TB'!A:G,7,0)</f>
        <v>-2815223.04</v>
      </c>
    </row>
    <row r="1239" spans="1:10">
      <c r="A1239" s="211" t="s">
        <v>515</v>
      </c>
      <c r="B1239" s="211">
        <v>-60939205.399999999</v>
      </c>
      <c r="C1239" s="211">
        <v>25711863</v>
      </c>
      <c r="D1239" s="211">
        <v>25716152</v>
      </c>
      <c r="E1239" s="211">
        <v>-60943494.399999999</v>
      </c>
      <c r="G1239" s="211">
        <f t="shared" si="23"/>
        <v>-60943494.399999999</v>
      </c>
      <c r="H1239" s="211" t="s">
        <v>80</v>
      </c>
      <c r="J1239" s="211">
        <f>VLOOKUP(A1239,'JULY-TB'!A:G,7,0)</f>
        <v>-60943494.399999999</v>
      </c>
    </row>
    <row r="1240" spans="1:10">
      <c r="A1240" s="211" t="s">
        <v>516</v>
      </c>
      <c r="B1240" s="211">
        <v>121956043.03</v>
      </c>
      <c r="C1240" s="211">
        <v>97354</v>
      </c>
      <c r="D1240" s="211">
        <v>114367859.02</v>
      </c>
      <c r="E1240" s="211">
        <v>7685538.0099999998</v>
      </c>
      <c r="G1240" s="211">
        <f t="shared" si="23"/>
        <v>7685538.0099999998</v>
      </c>
      <c r="H1240" s="211" t="s">
        <v>80</v>
      </c>
      <c r="J1240" s="211">
        <f>VLOOKUP(A1240,'JULY-TB'!A:G,7,0)</f>
        <v>7685538.0099999998</v>
      </c>
    </row>
    <row r="1241" spans="1:10">
      <c r="A1241" s="211" t="s">
        <v>214</v>
      </c>
      <c r="B1241" s="211">
        <v>-178274.77</v>
      </c>
      <c r="C1241" s="211">
        <v>1148409.1399999999</v>
      </c>
      <c r="D1241" s="211">
        <v>970134.77</v>
      </c>
      <c r="E1241" s="211">
        <v>-0.4</v>
      </c>
      <c r="G1241" s="211">
        <f t="shared" si="23"/>
        <v>-0.4</v>
      </c>
      <c r="H1241" s="211" t="s">
        <v>80</v>
      </c>
      <c r="J1241" s="211">
        <f>VLOOKUP(A1241,'JULY-TB'!A:G,7,0)</f>
        <v>-398749</v>
      </c>
    </row>
    <row r="1242" spans="1:10">
      <c r="A1242" s="211" t="s">
        <v>207</v>
      </c>
      <c r="B1242" s="211">
        <v>-0.16</v>
      </c>
      <c r="C1242" s="211">
        <v>0</v>
      </c>
      <c r="D1242" s="211">
        <v>0</v>
      </c>
      <c r="E1242" s="211">
        <v>-0.16</v>
      </c>
      <c r="G1242" s="211">
        <f t="shared" si="23"/>
        <v>-0.16</v>
      </c>
      <c r="H1242" s="211" t="s">
        <v>80</v>
      </c>
      <c r="J1242" s="211">
        <f>VLOOKUP(A1242,'JULY-TB'!A:G,7,0)</f>
        <v>-0.16</v>
      </c>
    </row>
    <row r="1243" spans="1:10">
      <c r="A1243" s="211" t="s">
        <v>923</v>
      </c>
      <c r="B1243" s="211">
        <v>-288057.3</v>
      </c>
      <c r="C1243" s="211">
        <v>27479518.260000002</v>
      </c>
      <c r="D1243" s="211">
        <v>27922268.98</v>
      </c>
      <c r="E1243" s="211">
        <v>-730808.02</v>
      </c>
      <c r="G1243" s="211">
        <f t="shared" si="23"/>
        <v>-730808.02</v>
      </c>
      <c r="H1243" s="211" t="s">
        <v>80</v>
      </c>
      <c r="J1243" s="211">
        <f>VLOOKUP(A1243,'JULY-TB'!A:G,7,0)</f>
        <v>-730808.02</v>
      </c>
    </row>
    <row r="1244" spans="1:10">
      <c r="A1244" s="211" t="s">
        <v>195</v>
      </c>
      <c r="B1244" s="211">
        <v>-3347574.91</v>
      </c>
      <c r="C1244" s="211">
        <v>0</v>
      </c>
      <c r="D1244" s="211">
        <v>0</v>
      </c>
      <c r="E1244" s="211">
        <v>-3347574.91</v>
      </c>
      <c r="G1244" s="211">
        <f t="shared" si="23"/>
        <v>-3347574.91</v>
      </c>
      <c r="H1244" s="211" t="s">
        <v>80</v>
      </c>
      <c r="J1244" s="211">
        <f>VLOOKUP(A1244,'JULY-TB'!A:G,7,0)</f>
        <v>-3347574.91</v>
      </c>
    </row>
    <row r="1245" spans="1:10">
      <c r="A1245" s="211" t="s">
        <v>196</v>
      </c>
      <c r="B1245" s="211">
        <v>-4968583.95</v>
      </c>
      <c r="C1245" s="211">
        <v>10446400.6</v>
      </c>
      <c r="D1245" s="211">
        <v>5814700.6699999999</v>
      </c>
      <c r="E1245" s="211">
        <v>-336884.02</v>
      </c>
      <c r="G1245" s="211">
        <f t="shared" si="23"/>
        <v>-336884.02</v>
      </c>
      <c r="H1245" s="211" t="s">
        <v>80</v>
      </c>
      <c r="J1245" s="211">
        <f>VLOOKUP(A1245,'JULY-TB'!A:G,7,0)</f>
        <v>-332333.81</v>
      </c>
    </row>
    <row r="1246" spans="1:10">
      <c r="A1246" s="211" t="s">
        <v>924</v>
      </c>
      <c r="B1246" s="211">
        <v>0</v>
      </c>
      <c r="C1246" s="211">
        <v>3241696</v>
      </c>
      <c r="D1246" s="211">
        <v>3241696</v>
      </c>
      <c r="E1246" s="211">
        <v>0</v>
      </c>
      <c r="G1246" s="211">
        <f t="shared" si="23"/>
        <v>0</v>
      </c>
      <c r="H1246" s="211" t="s">
        <v>80</v>
      </c>
      <c r="J1246" s="211">
        <f>VLOOKUP(A1246,'JULY-TB'!A:G,7,0)</f>
        <v>0</v>
      </c>
    </row>
    <row r="1247" spans="1:10">
      <c r="A1247" s="211" t="s">
        <v>1323</v>
      </c>
      <c r="B1247" s="211">
        <v>0</v>
      </c>
      <c r="C1247" s="211">
        <v>0</v>
      </c>
      <c r="D1247" s="211">
        <v>0</v>
      </c>
      <c r="E1247" s="211">
        <v>0</v>
      </c>
      <c r="G1247" s="211">
        <f t="shared" si="23"/>
        <v>0</v>
      </c>
      <c r="H1247" s="211" t="s">
        <v>80</v>
      </c>
      <c r="J1247" s="211">
        <f>VLOOKUP(A1247,'JULY-TB'!A:G,7,0)</f>
        <v>0</v>
      </c>
    </row>
    <row r="1248" spans="1:10">
      <c r="A1248" s="211" t="s">
        <v>925</v>
      </c>
      <c r="B1248" s="211">
        <v>397122</v>
      </c>
      <c r="C1248" s="211">
        <v>0</v>
      </c>
      <c r="D1248" s="211">
        <v>0</v>
      </c>
      <c r="E1248" s="211">
        <v>397122</v>
      </c>
      <c r="G1248" s="211">
        <f t="shared" si="23"/>
        <v>397122</v>
      </c>
      <c r="H1248" s="211" t="s">
        <v>80</v>
      </c>
      <c r="J1248" s="211">
        <f>VLOOKUP(A1248,'JULY-TB'!A:G,7,0)</f>
        <v>397122</v>
      </c>
    </row>
    <row r="1249" spans="1:10">
      <c r="A1249" s="211" t="s">
        <v>1324</v>
      </c>
      <c r="B1249" s="211">
        <v>0</v>
      </c>
      <c r="C1249" s="211">
        <v>0</v>
      </c>
      <c r="D1249" s="211">
        <v>0</v>
      </c>
      <c r="E1249" s="211">
        <v>0</v>
      </c>
      <c r="G1249" s="211">
        <f t="shared" si="23"/>
        <v>0</v>
      </c>
      <c r="H1249" s="211" t="s">
        <v>80</v>
      </c>
      <c r="J1249" s="211">
        <f>VLOOKUP(A1249,'JULY-TB'!A:G,7,0)</f>
        <v>0</v>
      </c>
    </row>
    <row r="1250" spans="1:10">
      <c r="A1250" s="211" t="s">
        <v>517</v>
      </c>
      <c r="B1250" s="211">
        <v>9070549</v>
      </c>
      <c r="C1250" s="211">
        <v>0</v>
      </c>
      <c r="D1250" s="211">
        <v>0</v>
      </c>
      <c r="E1250" s="211">
        <v>9070549</v>
      </c>
      <c r="G1250" s="211">
        <f t="shared" si="23"/>
        <v>9070549</v>
      </c>
      <c r="H1250" s="211" t="s">
        <v>80</v>
      </c>
      <c r="J1250" s="211">
        <f>VLOOKUP(A1250,'JULY-TB'!A:G,7,0)</f>
        <v>9070549</v>
      </c>
    </row>
    <row r="1251" spans="1:10">
      <c r="A1251" s="211" t="s">
        <v>1326</v>
      </c>
      <c r="B1251" s="211">
        <v>0</v>
      </c>
      <c r="C1251" s="211">
        <v>0</v>
      </c>
      <c r="D1251" s="211">
        <v>0</v>
      </c>
      <c r="E1251" s="211">
        <v>0</v>
      </c>
      <c r="G1251" s="211">
        <f t="shared" si="23"/>
        <v>0</v>
      </c>
      <c r="H1251" s="211" t="s">
        <v>80</v>
      </c>
      <c r="J1251" s="211">
        <f>VLOOKUP(A1251,'JULY-TB'!A:G,7,0)</f>
        <v>0</v>
      </c>
    </row>
    <row r="1252" spans="1:10">
      <c r="A1252" s="211" t="s">
        <v>1327</v>
      </c>
      <c r="B1252" s="211">
        <v>0</v>
      </c>
      <c r="C1252" s="211">
        <v>1344060</v>
      </c>
      <c r="D1252" s="211">
        <v>1345200</v>
      </c>
      <c r="E1252" s="211">
        <v>-1140</v>
      </c>
      <c r="G1252" s="211">
        <f t="shared" si="23"/>
        <v>-1140</v>
      </c>
      <c r="H1252" s="211" t="s">
        <v>80</v>
      </c>
      <c r="J1252" s="211">
        <f>VLOOKUP(A1252,'JULY-TB'!A:G,7,0)</f>
        <v>-1140</v>
      </c>
    </row>
    <row r="1253" spans="1:10">
      <c r="A1253" s="211" t="s">
        <v>437</v>
      </c>
      <c r="B1253" s="211">
        <v>-9289728</v>
      </c>
      <c r="C1253" s="211">
        <v>0</v>
      </c>
      <c r="D1253" s="211">
        <v>0</v>
      </c>
      <c r="E1253" s="211">
        <v>-9289728</v>
      </c>
      <c r="G1253" s="211">
        <f t="shared" si="23"/>
        <v>-9289728</v>
      </c>
      <c r="H1253" s="211" t="s">
        <v>80</v>
      </c>
      <c r="J1253" s="211">
        <f>VLOOKUP(A1253,'JULY-TB'!A:G,7,0)</f>
        <v>-9289728</v>
      </c>
    </row>
    <row r="1254" spans="1:10">
      <c r="A1254" s="211" t="s">
        <v>926</v>
      </c>
      <c r="B1254" s="211">
        <v>15352.4</v>
      </c>
      <c r="C1254" s="211">
        <v>0</v>
      </c>
      <c r="D1254" s="211">
        <v>0</v>
      </c>
      <c r="E1254" s="211">
        <v>15352.4</v>
      </c>
      <c r="G1254" s="211">
        <f t="shared" si="23"/>
        <v>15352.4</v>
      </c>
      <c r="H1254" s="211" t="s">
        <v>80</v>
      </c>
      <c r="J1254" s="211">
        <f>VLOOKUP(A1254,'JULY-TB'!A:G,7,0)</f>
        <v>15352.4</v>
      </c>
    </row>
    <row r="1255" spans="1:10">
      <c r="A1255" s="211" t="s">
        <v>378</v>
      </c>
      <c r="B1255" s="211">
        <v>3704282.43</v>
      </c>
      <c r="C1255" s="211">
        <v>958118.04</v>
      </c>
      <c r="D1255" s="211">
        <v>919735.67</v>
      </c>
      <c r="E1255" s="211">
        <v>3742664.8</v>
      </c>
      <c r="G1255" s="211">
        <f t="shared" si="23"/>
        <v>3742664.8</v>
      </c>
      <c r="H1255" s="211" t="s">
        <v>80</v>
      </c>
      <c r="J1255" s="211">
        <f>VLOOKUP(A1255,'JULY-TB'!A:G,7,0)</f>
        <v>3742664.8</v>
      </c>
    </row>
    <row r="1256" spans="1:10">
      <c r="A1256" s="211" t="s">
        <v>927</v>
      </c>
      <c r="B1256" s="211">
        <v>-1667849.04</v>
      </c>
      <c r="C1256" s="211">
        <v>0</v>
      </c>
      <c r="D1256" s="211">
        <v>0</v>
      </c>
      <c r="E1256" s="211">
        <v>-1667849.04</v>
      </c>
      <c r="G1256" s="211">
        <f t="shared" si="23"/>
        <v>-1667849.04</v>
      </c>
      <c r="H1256" s="211" t="s">
        <v>80</v>
      </c>
      <c r="J1256" s="211">
        <f>VLOOKUP(A1256,'JULY-TB'!A:G,7,0)</f>
        <v>-1667849.04</v>
      </c>
    </row>
    <row r="1257" spans="1:10">
      <c r="A1257" s="211" t="s">
        <v>160</v>
      </c>
      <c r="B1257" s="211">
        <v>-120912.47</v>
      </c>
      <c r="C1257" s="211">
        <v>0</v>
      </c>
      <c r="D1257" s="211">
        <v>0</v>
      </c>
      <c r="E1257" s="211">
        <v>-120912.47</v>
      </c>
      <c r="G1257" s="211">
        <f t="shared" si="23"/>
        <v>-120912.47</v>
      </c>
      <c r="H1257" s="211" t="s">
        <v>80</v>
      </c>
      <c r="J1257" s="211">
        <f>VLOOKUP(A1257,'JULY-TB'!A:G,7,0)</f>
        <v>-120912.47</v>
      </c>
    </row>
    <row r="1258" spans="1:10">
      <c r="A1258" s="211" t="s">
        <v>1328</v>
      </c>
      <c r="B1258" s="211">
        <v>0</v>
      </c>
      <c r="C1258" s="211">
        <v>0</v>
      </c>
      <c r="D1258" s="211">
        <v>0</v>
      </c>
      <c r="E1258" s="211">
        <v>0</v>
      </c>
      <c r="G1258" s="211">
        <f t="shared" si="23"/>
        <v>0</v>
      </c>
      <c r="H1258" s="211" t="s">
        <v>80</v>
      </c>
      <c r="J1258" s="211">
        <f>VLOOKUP(A1258,'JULY-TB'!A:G,7,0)</f>
        <v>0</v>
      </c>
    </row>
    <row r="1259" spans="1:10">
      <c r="A1259" s="211" t="s">
        <v>1468</v>
      </c>
      <c r="B1259" s="211">
        <v>0</v>
      </c>
      <c r="C1259" s="211">
        <v>0</v>
      </c>
      <c r="D1259" s="211">
        <v>4128</v>
      </c>
      <c r="E1259" s="211">
        <v>-4128</v>
      </c>
      <c r="G1259" s="211">
        <f t="shared" si="23"/>
        <v>-4128</v>
      </c>
      <c r="H1259" s="211" t="s">
        <v>80</v>
      </c>
      <c r="J1259" s="211">
        <f>VLOOKUP(A1259,'JULY-TB'!A:G,7,0)</f>
        <v>-4128</v>
      </c>
    </row>
    <row r="1260" spans="1:10">
      <c r="A1260" s="211" t="s">
        <v>491</v>
      </c>
      <c r="B1260" s="211">
        <v>-3.14</v>
      </c>
      <c r="C1260" s="211">
        <v>3758347</v>
      </c>
      <c r="D1260" s="211">
        <v>3758347</v>
      </c>
      <c r="E1260" s="211">
        <v>-3.14</v>
      </c>
      <c r="G1260" s="211">
        <f t="shared" si="23"/>
        <v>-3.14</v>
      </c>
      <c r="H1260" s="211" t="s">
        <v>80</v>
      </c>
      <c r="J1260" s="211">
        <f>VLOOKUP(A1260,'JULY-TB'!A:G,7,0)</f>
        <v>-3758350.14</v>
      </c>
    </row>
    <row r="1261" spans="1:10">
      <c r="A1261" s="211" t="s">
        <v>928</v>
      </c>
      <c r="B1261" s="211">
        <v>6686760.96</v>
      </c>
      <c r="C1261" s="211">
        <v>0</v>
      </c>
      <c r="D1261" s="211">
        <v>0</v>
      </c>
      <c r="E1261" s="211">
        <v>6686760.96</v>
      </c>
      <c r="G1261" s="211">
        <f t="shared" si="23"/>
        <v>6686760.96</v>
      </c>
      <c r="H1261" s="211" t="s">
        <v>80</v>
      </c>
      <c r="J1261" s="211">
        <f>VLOOKUP(A1261,'JULY-TB'!A:G,7,0)</f>
        <v>6686760.96</v>
      </c>
    </row>
    <row r="1262" spans="1:10">
      <c r="A1262" s="211" t="s">
        <v>929</v>
      </c>
      <c r="B1262" s="211">
        <v>-0.01</v>
      </c>
      <c r="C1262" s="211">
        <v>0</v>
      </c>
      <c r="D1262" s="211">
        <v>0</v>
      </c>
      <c r="E1262" s="211">
        <v>-0.01</v>
      </c>
      <c r="G1262" s="211">
        <f t="shared" si="23"/>
        <v>-0.01</v>
      </c>
      <c r="H1262" s="211" t="s">
        <v>80</v>
      </c>
      <c r="J1262" s="211">
        <f>VLOOKUP(A1262,'JULY-TB'!A:G,7,0)</f>
        <v>-0.01</v>
      </c>
    </row>
    <row r="1263" spans="1:10">
      <c r="A1263" s="211" t="s">
        <v>399</v>
      </c>
      <c r="B1263" s="211">
        <v>-1380670.92</v>
      </c>
      <c r="C1263" s="211">
        <v>2114866</v>
      </c>
      <c r="D1263" s="211">
        <v>2359622</v>
      </c>
      <c r="E1263" s="211">
        <v>-1625426.92</v>
      </c>
      <c r="G1263" s="211">
        <f t="shared" si="23"/>
        <v>-1625426.92</v>
      </c>
      <c r="H1263" s="211" t="s">
        <v>80</v>
      </c>
      <c r="J1263" s="211">
        <f>VLOOKUP(A1263,'JULY-TB'!A:G,7,0)</f>
        <v>-872433.92</v>
      </c>
    </row>
    <row r="1264" spans="1:10">
      <c r="A1264" s="211" t="s">
        <v>930</v>
      </c>
      <c r="B1264" s="211">
        <v>-0.63</v>
      </c>
      <c r="C1264" s="211">
        <v>0</v>
      </c>
      <c r="D1264" s="211">
        <v>0</v>
      </c>
      <c r="E1264" s="211">
        <v>-0.63</v>
      </c>
      <c r="G1264" s="211">
        <f t="shared" si="23"/>
        <v>-0.63</v>
      </c>
      <c r="H1264" s="211" t="s">
        <v>80</v>
      </c>
      <c r="J1264" s="211">
        <f>VLOOKUP(A1264,'JULY-TB'!A:G,7,0)</f>
        <v>-0.63</v>
      </c>
    </row>
    <row r="1265" spans="1:10">
      <c r="A1265" s="211" t="s">
        <v>931</v>
      </c>
      <c r="B1265" s="211">
        <v>1800</v>
      </c>
      <c r="C1265" s="211">
        <v>0</v>
      </c>
      <c r="D1265" s="211">
        <v>0</v>
      </c>
      <c r="E1265" s="211">
        <v>1800</v>
      </c>
      <c r="G1265" s="211">
        <f t="shared" si="23"/>
        <v>1800</v>
      </c>
      <c r="H1265" s="211" t="s">
        <v>80</v>
      </c>
      <c r="J1265" s="211">
        <f>VLOOKUP(A1265,'JULY-TB'!A:G,7,0)</f>
        <v>1800</v>
      </c>
    </row>
    <row r="1266" spans="1:10">
      <c r="A1266" s="211" t="s">
        <v>397</v>
      </c>
      <c r="B1266" s="211">
        <v>-44301.5</v>
      </c>
      <c r="C1266" s="211">
        <v>12050</v>
      </c>
      <c r="D1266" s="211">
        <v>12050</v>
      </c>
      <c r="E1266" s="211">
        <v>-44301.5</v>
      </c>
      <c r="G1266" s="211">
        <f t="shared" si="23"/>
        <v>-44301.5</v>
      </c>
      <c r="H1266" s="211" t="s">
        <v>80</v>
      </c>
      <c r="J1266" s="211">
        <f>VLOOKUP(A1266,'JULY-TB'!A:G,7,0)</f>
        <v>-44301.5</v>
      </c>
    </row>
    <row r="1267" spans="1:10">
      <c r="A1267" s="211" t="s">
        <v>1329</v>
      </c>
      <c r="B1267" s="211">
        <v>0</v>
      </c>
      <c r="C1267" s="211">
        <v>0</v>
      </c>
      <c r="D1267" s="211">
        <v>0</v>
      </c>
      <c r="E1267" s="211">
        <v>0</v>
      </c>
      <c r="G1267" s="211">
        <f t="shared" si="23"/>
        <v>0</v>
      </c>
      <c r="H1267" s="211" t="s">
        <v>80</v>
      </c>
      <c r="J1267" s="211">
        <f>VLOOKUP(A1267,'JULY-TB'!A:G,7,0)</f>
        <v>0</v>
      </c>
    </row>
    <row r="1268" spans="1:10">
      <c r="A1268" s="211" t="s">
        <v>932</v>
      </c>
      <c r="B1268" s="211">
        <v>-25323.73</v>
      </c>
      <c r="C1268" s="211">
        <v>1710928</v>
      </c>
      <c r="D1268" s="211">
        <v>1710928</v>
      </c>
      <c r="E1268" s="211">
        <v>-25323.73</v>
      </c>
      <c r="G1268" s="211">
        <f t="shared" si="23"/>
        <v>-25323.73</v>
      </c>
      <c r="H1268" s="211" t="s">
        <v>80</v>
      </c>
      <c r="J1268" s="211">
        <f>VLOOKUP(A1268,'JULY-TB'!A:G,7,0)</f>
        <v>-25323.73</v>
      </c>
    </row>
    <row r="1269" spans="1:10">
      <c r="A1269" s="211" t="s">
        <v>299</v>
      </c>
      <c r="B1269" s="211">
        <v>30429</v>
      </c>
      <c r="C1269" s="211">
        <v>0</v>
      </c>
      <c r="D1269" s="211">
        <v>0</v>
      </c>
      <c r="E1269" s="211">
        <v>30429</v>
      </c>
      <c r="G1269" s="211">
        <f t="shared" si="23"/>
        <v>30429</v>
      </c>
      <c r="H1269" s="211" t="s">
        <v>80</v>
      </c>
      <c r="J1269" s="211">
        <f>VLOOKUP(A1269,'JULY-TB'!A:G,7,0)</f>
        <v>30429</v>
      </c>
    </row>
    <row r="1270" spans="1:10">
      <c r="A1270" s="211" t="s">
        <v>933</v>
      </c>
      <c r="B1270" s="211">
        <v>200000</v>
      </c>
      <c r="C1270" s="211">
        <v>150000</v>
      </c>
      <c r="D1270" s="211">
        <v>0</v>
      </c>
      <c r="E1270" s="211">
        <v>350000</v>
      </c>
      <c r="G1270" s="211">
        <f t="shared" si="23"/>
        <v>350000</v>
      </c>
      <c r="H1270" s="211" t="s">
        <v>80</v>
      </c>
      <c r="J1270" s="211">
        <f>VLOOKUP(A1270,'JULY-TB'!A:G,7,0)</f>
        <v>350000</v>
      </c>
    </row>
    <row r="1271" spans="1:10">
      <c r="A1271" s="211" t="s">
        <v>1330</v>
      </c>
      <c r="B1271" s="211">
        <v>0</v>
      </c>
      <c r="C1271" s="211">
        <v>5000</v>
      </c>
      <c r="D1271" s="211">
        <v>5000</v>
      </c>
      <c r="E1271" s="211">
        <v>0</v>
      </c>
      <c r="G1271" s="211">
        <f t="shared" si="23"/>
        <v>0</v>
      </c>
      <c r="H1271" s="211" t="s">
        <v>80</v>
      </c>
      <c r="J1271" s="211">
        <f>VLOOKUP(A1271,'JULY-TB'!A:G,7,0)</f>
        <v>0</v>
      </c>
    </row>
    <row r="1272" spans="1:10">
      <c r="A1272" s="211" t="s">
        <v>934</v>
      </c>
      <c r="B1272" s="211">
        <v>7668</v>
      </c>
      <c r="C1272" s="211">
        <v>0</v>
      </c>
      <c r="D1272" s="211">
        <v>0</v>
      </c>
      <c r="E1272" s="211">
        <v>7668</v>
      </c>
      <c r="G1272" s="211">
        <f t="shared" si="23"/>
        <v>7668</v>
      </c>
      <c r="H1272" s="211" t="s">
        <v>80</v>
      </c>
      <c r="J1272" s="211">
        <f>VLOOKUP(A1272,'JULY-TB'!A:G,7,0)</f>
        <v>7668</v>
      </c>
    </row>
    <row r="1273" spans="1:10">
      <c r="A1273" s="211" t="s">
        <v>1331</v>
      </c>
      <c r="B1273" s="211">
        <v>0</v>
      </c>
      <c r="C1273" s="211">
        <v>0</v>
      </c>
      <c r="D1273" s="211">
        <v>0</v>
      </c>
      <c r="E1273" s="211">
        <v>0</v>
      </c>
      <c r="G1273" s="211">
        <f t="shared" si="23"/>
        <v>0</v>
      </c>
      <c r="H1273" s="211" t="s">
        <v>80</v>
      </c>
      <c r="J1273" s="211">
        <f>VLOOKUP(A1273,'JULY-TB'!A:G,7,0)</f>
        <v>0</v>
      </c>
    </row>
    <row r="1274" spans="1:10">
      <c r="A1274" s="211" t="s">
        <v>935</v>
      </c>
      <c r="B1274" s="211">
        <v>500</v>
      </c>
      <c r="C1274" s="211">
        <v>116500</v>
      </c>
      <c r="D1274" s="211">
        <v>118000</v>
      </c>
      <c r="E1274" s="211">
        <v>-1000</v>
      </c>
      <c r="G1274" s="211">
        <f t="shared" si="23"/>
        <v>-1000</v>
      </c>
      <c r="H1274" s="211" t="s">
        <v>80</v>
      </c>
      <c r="J1274" s="211">
        <f>VLOOKUP(A1274,'JULY-TB'!A:G,7,0)</f>
        <v>-1000</v>
      </c>
    </row>
    <row r="1275" spans="1:10">
      <c r="A1275" s="211" t="s">
        <v>936</v>
      </c>
      <c r="B1275" s="211">
        <v>-21426</v>
      </c>
      <c r="C1275" s="211">
        <v>19518</v>
      </c>
      <c r="D1275" s="211">
        <v>0</v>
      </c>
      <c r="E1275" s="211">
        <v>-1908</v>
      </c>
      <c r="G1275" s="211">
        <f t="shared" si="23"/>
        <v>-1908</v>
      </c>
      <c r="H1275" s="211" t="s">
        <v>80</v>
      </c>
      <c r="J1275" s="211">
        <f>VLOOKUP(A1275,'JULY-TB'!A:G,7,0)</f>
        <v>-1908</v>
      </c>
    </row>
    <row r="1276" spans="1:10">
      <c r="A1276" s="211" t="s">
        <v>1332</v>
      </c>
      <c r="B1276" s="211">
        <v>0</v>
      </c>
      <c r="C1276" s="211">
        <v>0</v>
      </c>
      <c r="D1276" s="211">
        <v>0</v>
      </c>
      <c r="E1276" s="211">
        <v>0</v>
      </c>
      <c r="G1276" s="211">
        <f t="shared" si="23"/>
        <v>0</v>
      </c>
      <c r="H1276" s="211" t="s">
        <v>80</v>
      </c>
      <c r="J1276" s="211">
        <f>VLOOKUP(A1276,'JULY-TB'!A:G,7,0)</f>
        <v>0</v>
      </c>
    </row>
    <row r="1277" spans="1:10">
      <c r="A1277" s="211" t="s">
        <v>937</v>
      </c>
      <c r="B1277" s="211">
        <v>4000</v>
      </c>
      <c r="C1277" s="211">
        <v>0</v>
      </c>
      <c r="D1277" s="211">
        <v>0</v>
      </c>
      <c r="E1277" s="211">
        <v>4000</v>
      </c>
      <c r="G1277" s="211">
        <f t="shared" si="23"/>
        <v>4000</v>
      </c>
      <c r="H1277" s="211" t="s">
        <v>80</v>
      </c>
      <c r="J1277" s="211">
        <f>VLOOKUP(A1277,'JULY-TB'!A:G,7,0)</f>
        <v>4000</v>
      </c>
    </row>
    <row r="1278" spans="1:10">
      <c r="A1278" s="211" t="s">
        <v>938</v>
      </c>
      <c r="B1278" s="211">
        <v>-180000</v>
      </c>
      <c r="C1278" s="211">
        <v>980000</v>
      </c>
      <c r="D1278" s="211">
        <v>800000</v>
      </c>
      <c r="E1278" s="211">
        <v>0</v>
      </c>
      <c r="G1278" s="211">
        <f t="shared" si="23"/>
        <v>0</v>
      </c>
      <c r="H1278" s="211" t="s">
        <v>80</v>
      </c>
      <c r="J1278" s="211">
        <f>VLOOKUP(A1278,'JULY-TB'!A:G,7,0)</f>
        <v>0</v>
      </c>
    </row>
    <row r="1279" spans="1:10">
      <c r="A1279" s="211" t="s">
        <v>382</v>
      </c>
      <c r="B1279" s="211">
        <v>-40406.5</v>
      </c>
      <c r="C1279" s="211">
        <v>0</v>
      </c>
      <c r="D1279" s="211">
        <v>0</v>
      </c>
      <c r="E1279" s="211">
        <v>-40406.5</v>
      </c>
      <c r="G1279" s="211">
        <f t="shared" si="23"/>
        <v>-40406.5</v>
      </c>
      <c r="H1279" s="211" t="s">
        <v>80</v>
      </c>
      <c r="J1279" s="211">
        <f>VLOOKUP(A1279,'JULY-TB'!A:G,7,0)</f>
        <v>-40406.5</v>
      </c>
    </row>
    <row r="1280" spans="1:10">
      <c r="A1280" s="211" t="s">
        <v>1656</v>
      </c>
      <c r="B1280" s="211">
        <v>0</v>
      </c>
      <c r="C1280" s="211">
        <v>9610155</v>
      </c>
      <c r="D1280" s="211">
        <v>9858605</v>
      </c>
      <c r="E1280" s="211">
        <v>-248450</v>
      </c>
      <c r="G1280" s="211">
        <f t="shared" si="23"/>
        <v>-248450</v>
      </c>
      <c r="H1280" s="211" t="s">
        <v>80</v>
      </c>
      <c r="J1280" s="211" t="e">
        <f>VLOOKUP(A1280,'JULY-TB'!A:G,7,0)</f>
        <v>#N/A</v>
      </c>
    </row>
    <row r="1281" spans="1:10">
      <c r="A1281" s="211" t="s">
        <v>939</v>
      </c>
      <c r="B1281" s="211">
        <v>-0.06</v>
      </c>
      <c r="C1281" s="211">
        <v>2426054.63</v>
      </c>
      <c r="D1281" s="211">
        <v>2426054.63</v>
      </c>
      <c r="E1281" s="211">
        <v>-0.06</v>
      </c>
      <c r="G1281" s="211">
        <f t="shared" si="23"/>
        <v>-0.06</v>
      </c>
      <c r="H1281" s="211" t="s">
        <v>80</v>
      </c>
      <c r="J1281" s="211">
        <f>VLOOKUP(A1281,'JULY-TB'!A:G,7,0)</f>
        <v>-0.06</v>
      </c>
    </row>
    <row r="1282" spans="1:10">
      <c r="A1282" s="211" t="s">
        <v>940</v>
      </c>
      <c r="B1282" s="211">
        <v>-0.45</v>
      </c>
      <c r="C1282" s="211">
        <v>20154.400000000001</v>
      </c>
      <c r="D1282" s="211">
        <v>20154.400000000001</v>
      </c>
      <c r="E1282" s="211">
        <v>-0.45</v>
      </c>
      <c r="G1282" s="211">
        <f t="shared" si="23"/>
        <v>-0.45</v>
      </c>
      <c r="H1282" s="211" t="s">
        <v>80</v>
      </c>
      <c r="J1282" s="211">
        <f>VLOOKUP(A1282,'JULY-TB'!A:G,7,0)</f>
        <v>-0.45</v>
      </c>
    </row>
    <row r="1283" spans="1:10">
      <c r="A1283" s="211" t="s">
        <v>941</v>
      </c>
      <c r="B1283" s="211">
        <v>-54000</v>
      </c>
      <c r="C1283" s="211">
        <v>303000</v>
      </c>
      <c r="D1283" s="211">
        <v>249000</v>
      </c>
      <c r="E1283" s="211">
        <v>0</v>
      </c>
      <c r="G1283" s="211">
        <f t="shared" si="23"/>
        <v>0</v>
      </c>
      <c r="H1283" s="211" t="s">
        <v>80</v>
      </c>
      <c r="J1283" s="211">
        <f>VLOOKUP(A1283,'JULY-TB'!A:G,7,0)</f>
        <v>0</v>
      </c>
    </row>
    <row r="1284" spans="1:10">
      <c r="A1284" s="211" t="s">
        <v>942</v>
      </c>
      <c r="B1284" s="211">
        <v>-113400</v>
      </c>
      <c r="C1284" s="211">
        <v>636300</v>
      </c>
      <c r="D1284" s="211">
        <v>522900</v>
      </c>
      <c r="E1284" s="211">
        <v>0</v>
      </c>
      <c r="G1284" s="211">
        <f t="shared" ref="G1284:G1347" si="24">E1284+F1284</f>
        <v>0</v>
      </c>
      <c r="H1284" s="211" t="s">
        <v>80</v>
      </c>
      <c r="J1284" s="211">
        <f>VLOOKUP(A1284,'JULY-TB'!A:G,7,0)</f>
        <v>0</v>
      </c>
    </row>
    <row r="1285" spans="1:10">
      <c r="A1285" s="211" t="s">
        <v>943</v>
      </c>
      <c r="B1285" s="211">
        <v>-108000</v>
      </c>
      <c r="C1285" s="211">
        <v>606000</v>
      </c>
      <c r="D1285" s="211">
        <v>498000</v>
      </c>
      <c r="E1285" s="211">
        <v>0</v>
      </c>
      <c r="G1285" s="211">
        <f t="shared" si="24"/>
        <v>0</v>
      </c>
      <c r="H1285" s="211" t="s">
        <v>80</v>
      </c>
      <c r="J1285" s="211">
        <f>VLOOKUP(A1285,'JULY-TB'!A:G,7,0)</f>
        <v>0</v>
      </c>
    </row>
    <row r="1286" spans="1:10">
      <c r="A1286" s="211" t="s">
        <v>944</v>
      </c>
      <c r="B1286" s="211">
        <v>-34000</v>
      </c>
      <c r="C1286" s="211">
        <v>170000</v>
      </c>
      <c r="D1286" s="211">
        <v>136000</v>
      </c>
      <c r="E1286" s="211">
        <v>0</v>
      </c>
      <c r="G1286" s="211">
        <f t="shared" si="24"/>
        <v>0</v>
      </c>
      <c r="H1286" s="211" t="s">
        <v>80</v>
      </c>
      <c r="J1286" s="211">
        <f>VLOOKUP(A1286,'JULY-TB'!A:G,7,0)</f>
        <v>0</v>
      </c>
    </row>
    <row r="1287" spans="1:10">
      <c r="A1287" s="211" t="s">
        <v>945</v>
      </c>
      <c r="B1287" s="211">
        <v>4256</v>
      </c>
      <c r="C1287" s="211">
        <v>34200</v>
      </c>
      <c r="D1287" s="211">
        <v>0</v>
      </c>
      <c r="E1287" s="211">
        <v>38456</v>
      </c>
      <c r="G1287" s="211">
        <f t="shared" si="24"/>
        <v>38456</v>
      </c>
      <c r="H1287" s="211" t="s">
        <v>80</v>
      </c>
      <c r="J1287" s="211">
        <f>VLOOKUP(A1287,'JULY-TB'!A:G,7,0)</f>
        <v>29241</v>
      </c>
    </row>
    <row r="1288" spans="1:10">
      <c r="A1288" s="211" t="s">
        <v>946</v>
      </c>
      <c r="B1288" s="211">
        <v>4000</v>
      </c>
      <c r="C1288" s="211">
        <v>0</v>
      </c>
      <c r="D1288" s="211">
        <v>0</v>
      </c>
      <c r="E1288" s="211">
        <v>4000</v>
      </c>
      <c r="G1288" s="211">
        <f t="shared" si="24"/>
        <v>4000</v>
      </c>
      <c r="H1288" s="211" t="s">
        <v>80</v>
      </c>
      <c r="J1288" s="211">
        <f>VLOOKUP(A1288,'JULY-TB'!A:G,7,0)</f>
        <v>4000</v>
      </c>
    </row>
    <row r="1289" spans="1:10">
      <c r="A1289" s="211" t="s">
        <v>283</v>
      </c>
      <c r="B1289" s="211">
        <v>-6600</v>
      </c>
      <c r="C1289" s="211">
        <v>6600</v>
      </c>
      <c r="D1289" s="211">
        <v>0</v>
      </c>
      <c r="E1289" s="211">
        <v>0</v>
      </c>
      <c r="G1289" s="211">
        <f t="shared" si="24"/>
        <v>0</v>
      </c>
      <c r="H1289" s="211" t="s">
        <v>80</v>
      </c>
      <c r="J1289" s="211">
        <f>VLOOKUP(A1289,'JULY-TB'!A:G,7,0)</f>
        <v>0</v>
      </c>
    </row>
    <row r="1290" spans="1:10">
      <c r="A1290" s="211" t="s">
        <v>947</v>
      </c>
      <c r="B1290" s="211">
        <v>-10726</v>
      </c>
      <c r="C1290" s="211">
        <v>121316</v>
      </c>
      <c r="D1290" s="211">
        <v>137357</v>
      </c>
      <c r="E1290" s="211">
        <v>-26767</v>
      </c>
      <c r="G1290" s="211">
        <f t="shared" si="24"/>
        <v>-26767</v>
      </c>
      <c r="H1290" s="211" t="s">
        <v>80</v>
      </c>
      <c r="J1290" s="211">
        <f>VLOOKUP(A1290,'JULY-TB'!A:G,7,0)</f>
        <v>-13381</v>
      </c>
    </row>
    <row r="1291" spans="1:10">
      <c r="A1291" s="211" t="s">
        <v>1657</v>
      </c>
      <c r="B1291" s="211">
        <v>0</v>
      </c>
      <c r="C1291" s="211">
        <v>2455</v>
      </c>
      <c r="D1291" s="211">
        <v>144873</v>
      </c>
      <c r="E1291" s="211">
        <v>-142418</v>
      </c>
      <c r="G1291" s="211">
        <f t="shared" si="24"/>
        <v>-142418</v>
      </c>
      <c r="H1291" s="211" t="s">
        <v>80</v>
      </c>
      <c r="J1291" s="211" t="e">
        <f>VLOOKUP(A1291,'JULY-TB'!A:G,7,0)</f>
        <v>#N/A</v>
      </c>
    </row>
    <row r="1292" spans="1:10">
      <c r="A1292" s="211" t="s">
        <v>529</v>
      </c>
      <c r="B1292" s="211">
        <v>73828</v>
      </c>
      <c r="C1292" s="211">
        <v>0</v>
      </c>
      <c r="D1292" s="211">
        <v>0</v>
      </c>
      <c r="E1292" s="211">
        <v>73828</v>
      </c>
      <c r="G1292" s="211">
        <f t="shared" si="24"/>
        <v>73828</v>
      </c>
      <c r="H1292" s="211" t="s">
        <v>80</v>
      </c>
      <c r="J1292" s="211">
        <f>VLOOKUP(A1292,'JULY-TB'!A:G,7,0)</f>
        <v>73828</v>
      </c>
    </row>
    <row r="1293" spans="1:10">
      <c r="A1293" s="211" t="s">
        <v>1333</v>
      </c>
      <c r="B1293" s="211">
        <v>0</v>
      </c>
      <c r="C1293" s="211">
        <v>0</v>
      </c>
      <c r="D1293" s="211">
        <v>0</v>
      </c>
      <c r="E1293" s="211">
        <v>0</v>
      </c>
      <c r="G1293" s="211">
        <f t="shared" si="24"/>
        <v>0</v>
      </c>
      <c r="H1293" s="211" t="s">
        <v>80</v>
      </c>
      <c r="J1293" s="211">
        <f>VLOOKUP(A1293,'JULY-TB'!A:G,7,0)</f>
        <v>0</v>
      </c>
    </row>
    <row r="1294" spans="1:10">
      <c r="A1294" s="211" t="s">
        <v>411</v>
      </c>
      <c r="B1294" s="211">
        <v>-252702.42</v>
      </c>
      <c r="C1294" s="211">
        <v>17807153.48</v>
      </c>
      <c r="D1294" s="211">
        <v>18632954.850000001</v>
      </c>
      <c r="E1294" s="211">
        <v>-1078503.79</v>
      </c>
      <c r="G1294" s="211">
        <f t="shared" si="24"/>
        <v>-1078503.79</v>
      </c>
      <c r="H1294" s="211" t="s">
        <v>80</v>
      </c>
      <c r="J1294" s="211">
        <f>VLOOKUP(A1294,'JULY-TB'!A:G,7,0)</f>
        <v>328728.77</v>
      </c>
    </row>
    <row r="1295" spans="1:10">
      <c r="A1295" s="211" t="s">
        <v>948</v>
      </c>
      <c r="B1295" s="211">
        <v>-34300</v>
      </c>
      <c r="C1295" s="211">
        <v>216300</v>
      </c>
      <c r="D1295" s="211">
        <v>182000</v>
      </c>
      <c r="E1295" s="211">
        <v>0</v>
      </c>
      <c r="G1295" s="211">
        <f t="shared" si="24"/>
        <v>0</v>
      </c>
      <c r="H1295" s="211" t="s">
        <v>80</v>
      </c>
      <c r="J1295" s="211">
        <f>VLOOKUP(A1295,'JULY-TB'!A:G,7,0)</f>
        <v>0</v>
      </c>
    </row>
    <row r="1296" spans="1:10">
      <c r="A1296" s="211" t="s">
        <v>1334</v>
      </c>
      <c r="B1296" s="211">
        <v>0</v>
      </c>
      <c r="C1296" s="211">
        <v>0</v>
      </c>
      <c r="D1296" s="211">
        <v>0</v>
      </c>
      <c r="E1296" s="211">
        <v>0</v>
      </c>
      <c r="G1296" s="211">
        <f t="shared" si="24"/>
        <v>0</v>
      </c>
      <c r="H1296" s="211" t="s">
        <v>80</v>
      </c>
      <c r="J1296" s="211">
        <f>VLOOKUP(A1296,'JULY-TB'!A:G,7,0)</f>
        <v>0</v>
      </c>
    </row>
    <row r="1297" spans="1:10">
      <c r="A1297" s="211" t="s">
        <v>1335</v>
      </c>
      <c r="B1297" s="211">
        <v>0</v>
      </c>
      <c r="C1297" s="211">
        <v>0</v>
      </c>
      <c r="D1297" s="211">
        <v>0</v>
      </c>
      <c r="E1297" s="211">
        <v>0</v>
      </c>
      <c r="G1297" s="211">
        <f t="shared" si="24"/>
        <v>0</v>
      </c>
      <c r="H1297" s="211" t="s">
        <v>80</v>
      </c>
      <c r="J1297" s="211">
        <f>VLOOKUP(A1297,'JULY-TB'!A:G,7,0)</f>
        <v>0</v>
      </c>
    </row>
    <row r="1298" spans="1:10">
      <c r="A1298" s="211" t="s">
        <v>949</v>
      </c>
      <c r="B1298" s="211">
        <v>-38243</v>
      </c>
      <c r="C1298" s="211">
        <v>38243</v>
      </c>
      <c r="D1298" s="211">
        <v>19022</v>
      </c>
      <c r="E1298" s="211">
        <v>-19022</v>
      </c>
      <c r="G1298" s="211">
        <f t="shared" si="24"/>
        <v>-19022</v>
      </c>
      <c r="H1298" s="211" t="s">
        <v>80</v>
      </c>
      <c r="J1298" s="211">
        <f>VLOOKUP(A1298,'JULY-TB'!A:G,7,0)</f>
        <v>-19022</v>
      </c>
    </row>
    <row r="1299" spans="1:10">
      <c r="A1299" s="211" t="s">
        <v>1499</v>
      </c>
      <c r="B1299" s="211">
        <v>0</v>
      </c>
      <c r="C1299" s="211">
        <v>302400</v>
      </c>
      <c r="D1299" s="211">
        <v>302400</v>
      </c>
      <c r="E1299" s="211">
        <v>0</v>
      </c>
      <c r="G1299" s="211">
        <f t="shared" si="24"/>
        <v>0</v>
      </c>
      <c r="H1299" s="211" t="s">
        <v>80</v>
      </c>
      <c r="J1299" s="211">
        <f>VLOOKUP(A1299,'JULY-TB'!A:G,7,0)</f>
        <v>0</v>
      </c>
    </row>
    <row r="1300" spans="1:10">
      <c r="A1300" s="211" t="s">
        <v>1336</v>
      </c>
      <c r="B1300" s="211">
        <v>0</v>
      </c>
      <c r="C1300" s="211">
        <v>0</v>
      </c>
      <c r="D1300" s="211">
        <v>0</v>
      </c>
      <c r="E1300" s="211">
        <v>0</v>
      </c>
      <c r="G1300" s="211">
        <f t="shared" si="24"/>
        <v>0</v>
      </c>
      <c r="H1300" s="211" t="s">
        <v>80</v>
      </c>
      <c r="J1300" s="211">
        <f>VLOOKUP(A1300,'JULY-TB'!A:G,7,0)</f>
        <v>0</v>
      </c>
    </row>
    <row r="1301" spans="1:10">
      <c r="A1301" s="211" t="s">
        <v>1500</v>
      </c>
      <c r="B1301" s="211">
        <v>0</v>
      </c>
      <c r="C1301" s="211">
        <v>20000</v>
      </c>
      <c r="D1301" s="211">
        <v>20000</v>
      </c>
      <c r="E1301" s="211">
        <v>0</v>
      </c>
      <c r="G1301" s="211">
        <f t="shared" si="24"/>
        <v>0</v>
      </c>
      <c r="H1301" s="211" t="s">
        <v>80</v>
      </c>
      <c r="J1301" s="211">
        <f>VLOOKUP(A1301,'JULY-TB'!A:G,7,0)</f>
        <v>0</v>
      </c>
    </row>
    <row r="1302" spans="1:10">
      <c r="A1302" s="211" t="s">
        <v>1501</v>
      </c>
      <c r="B1302" s="211">
        <v>0</v>
      </c>
      <c r="C1302" s="211">
        <v>0</v>
      </c>
      <c r="D1302" s="211">
        <v>0</v>
      </c>
      <c r="E1302" s="211">
        <v>0</v>
      </c>
      <c r="G1302" s="211">
        <f t="shared" si="24"/>
        <v>0</v>
      </c>
      <c r="H1302" s="211" t="s">
        <v>80</v>
      </c>
      <c r="J1302" s="211">
        <f>VLOOKUP(A1302,'JULY-TB'!A:G,7,0)</f>
        <v>0</v>
      </c>
    </row>
    <row r="1303" spans="1:10">
      <c r="A1303" s="211" t="s">
        <v>1502</v>
      </c>
      <c r="B1303" s="211">
        <v>0</v>
      </c>
      <c r="C1303" s="211">
        <v>2166500</v>
      </c>
      <c r="D1303" s="211">
        <v>1091250</v>
      </c>
      <c r="E1303" s="211">
        <v>1075250</v>
      </c>
      <c r="G1303" s="211">
        <f t="shared" si="24"/>
        <v>1075250</v>
      </c>
      <c r="H1303" s="211" t="s">
        <v>80</v>
      </c>
      <c r="J1303" s="211">
        <f>VLOOKUP(A1303,'JULY-TB'!A:G,7,0)</f>
        <v>0</v>
      </c>
    </row>
    <row r="1304" spans="1:10">
      <c r="A1304" s="211" t="s">
        <v>1597</v>
      </c>
      <c r="B1304" s="211">
        <v>0</v>
      </c>
      <c r="C1304" s="211">
        <v>0</v>
      </c>
      <c r="D1304" s="211">
        <v>708</v>
      </c>
      <c r="E1304" s="211">
        <v>-708</v>
      </c>
      <c r="G1304" s="211">
        <f t="shared" si="24"/>
        <v>-708</v>
      </c>
      <c r="H1304" s="211" t="s">
        <v>80</v>
      </c>
      <c r="J1304" s="211">
        <f>VLOOKUP(A1304,'JULY-TB'!A:G,7,0)</f>
        <v>-708</v>
      </c>
    </row>
    <row r="1305" spans="1:10">
      <c r="A1305" s="211" t="s">
        <v>950</v>
      </c>
      <c r="B1305" s="211">
        <v>63</v>
      </c>
      <c r="C1305" s="211">
        <v>100732</v>
      </c>
      <c r="D1305" s="211">
        <v>100795</v>
      </c>
      <c r="E1305" s="211">
        <v>0</v>
      </c>
      <c r="G1305" s="211">
        <f t="shared" si="24"/>
        <v>0</v>
      </c>
      <c r="H1305" s="211" t="s">
        <v>80</v>
      </c>
      <c r="J1305" s="211">
        <f>VLOOKUP(A1305,'JULY-TB'!A:G,7,0)</f>
        <v>0</v>
      </c>
    </row>
    <row r="1306" spans="1:10">
      <c r="A1306" s="211" t="s">
        <v>951</v>
      </c>
      <c r="B1306" s="211">
        <v>-29686.23</v>
      </c>
      <c r="C1306" s="211">
        <v>29686.23</v>
      </c>
      <c r="D1306" s="211">
        <v>0</v>
      </c>
      <c r="E1306" s="211">
        <v>0</v>
      </c>
      <c r="G1306" s="211">
        <f t="shared" si="24"/>
        <v>0</v>
      </c>
      <c r="H1306" s="211" t="s">
        <v>80</v>
      </c>
      <c r="J1306" s="211">
        <f>VLOOKUP(A1306,'JULY-TB'!A:G,7,0)</f>
        <v>0</v>
      </c>
    </row>
    <row r="1307" spans="1:10">
      <c r="A1307" s="211" t="s">
        <v>1337</v>
      </c>
      <c r="B1307" s="211">
        <v>0</v>
      </c>
      <c r="C1307" s="211">
        <v>3245</v>
      </c>
      <c r="D1307" s="211">
        <v>3245</v>
      </c>
      <c r="E1307" s="211">
        <v>0</v>
      </c>
      <c r="G1307" s="211">
        <f t="shared" si="24"/>
        <v>0</v>
      </c>
      <c r="H1307" s="211" t="s">
        <v>80</v>
      </c>
      <c r="J1307" s="211">
        <f>VLOOKUP(A1307,'JULY-TB'!A:G,7,0)</f>
        <v>0</v>
      </c>
    </row>
    <row r="1308" spans="1:10">
      <c r="A1308" s="211" t="s">
        <v>952</v>
      </c>
      <c r="B1308" s="211">
        <v>0</v>
      </c>
      <c r="C1308" s="211">
        <v>259590</v>
      </c>
      <c r="D1308" s="211">
        <v>260000</v>
      </c>
      <c r="E1308" s="211">
        <v>-410</v>
      </c>
      <c r="G1308" s="211">
        <f t="shared" si="24"/>
        <v>-410</v>
      </c>
      <c r="H1308" s="211" t="s">
        <v>80</v>
      </c>
      <c r="J1308" s="211">
        <f>VLOOKUP(A1308,'JULY-TB'!A:G,7,0)</f>
        <v>-410</v>
      </c>
    </row>
    <row r="1309" spans="1:10">
      <c r="A1309" s="211" t="s">
        <v>953</v>
      </c>
      <c r="B1309" s="211">
        <v>-458</v>
      </c>
      <c r="C1309" s="211">
        <v>0</v>
      </c>
      <c r="D1309" s="211">
        <v>0</v>
      </c>
      <c r="E1309" s="211">
        <v>-458</v>
      </c>
      <c r="G1309" s="211">
        <f t="shared" si="24"/>
        <v>-458</v>
      </c>
      <c r="H1309" s="211" t="s">
        <v>80</v>
      </c>
      <c r="J1309" s="211">
        <f>VLOOKUP(A1309,'JULY-TB'!A:G,7,0)</f>
        <v>-458</v>
      </c>
    </row>
    <row r="1310" spans="1:10">
      <c r="A1310" s="211" t="s">
        <v>954</v>
      </c>
      <c r="B1310" s="211">
        <v>-12744</v>
      </c>
      <c r="C1310" s="211">
        <v>12744</v>
      </c>
      <c r="D1310" s="211">
        <v>0</v>
      </c>
      <c r="E1310" s="211">
        <v>0</v>
      </c>
      <c r="G1310" s="211">
        <f t="shared" si="24"/>
        <v>0</v>
      </c>
      <c r="H1310" s="211" t="s">
        <v>80</v>
      </c>
      <c r="J1310" s="211">
        <f>VLOOKUP(A1310,'JULY-TB'!A:G,7,0)</f>
        <v>0</v>
      </c>
    </row>
    <row r="1311" spans="1:10">
      <c r="A1311" s="211" t="s">
        <v>955</v>
      </c>
      <c r="B1311" s="211">
        <v>-52200</v>
      </c>
      <c r="C1311" s="211">
        <v>270000</v>
      </c>
      <c r="D1311" s="211">
        <v>221400</v>
      </c>
      <c r="E1311" s="211">
        <v>-3600</v>
      </c>
      <c r="G1311" s="211">
        <f t="shared" si="24"/>
        <v>-3600</v>
      </c>
      <c r="H1311" s="211" t="s">
        <v>80</v>
      </c>
      <c r="J1311" s="211">
        <f>VLOOKUP(A1311,'JULY-TB'!A:G,7,0)</f>
        <v>-3600</v>
      </c>
    </row>
    <row r="1312" spans="1:10">
      <c r="A1312" s="211" t="s">
        <v>956</v>
      </c>
      <c r="B1312" s="211">
        <v>31469</v>
      </c>
      <c r="C1312" s="211">
        <v>859368</v>
      </c>
      <c r="D1312" s="211">
        <v>889975</v>
      </c>
      <c r="E1312" s="211">
        <v>862</v>
      </c>
      <c r="G1312" s="211">
        <f t="shared" si="24"/>
        <v>862</v>
      </c>
      <c r="H1312" s="211" t="s">
        <v>71</v>
      </c>
      <c r="J1312" s="211">
        <f>VLOOKUP(A1312,'JULY-TB'!A:G,7,0)</f>
        <v>592</v>
      </c>
    </row>
    <row r="1313" spans="1:10">
      <c r="A1313" s="211" t="s">
        <v>957</v>
      </c>
      <c r="B1313" s="211">
        <v>0</v>
      </c>
      <c r="C1313" s="211">
        <v>50000</v>
      </c>
      <c r="D1313" s="211">
        <v>69738</v>
      </c>
      <c r="E1313" s="211">
        <v>-19738</v>
      </c>
      <c r="G1313" s="211">
        <f t="shared" si="24"/>
        <v>-19738</v>
      </c>
      <c r="H1313" s="211" t="s">
        <v>80</v>
      </c>
      <c r="J1313" s="211">
        <f>VLOOKUP(A1313,'JULY-TB'!A:G,7,0)</f>
        <v>-19738</v>
      </c>
    </row>
    <row r="1314" spans="1:10">
      <c r="A1314" s="211" t="s">
        <v>1338</v>
      </c>
      <c r="B1314" s="211">
        <v>0</v>
      </c>
      <c r="C1314" s="211">
        <v>206548.18</v>
      </c>
      <c r="D1314" s="211">
        <v>206548.38</v>
      </c>
      <c r="E1314" s="211">
        <v>-0.2</v>
      </c>
      <c r="G1314" s="211">
        <f t="shared" si="24"/>
        <v>-0.2</v>
      </c>
      <c r="H1314" s="211" t="s">
        <v>80</v>
      </c>
      <c r="J1314" s="211">
        <f>VLOOKUP(A1314,'JULY-TB'!A:G,7,0)</f>
        <v>-0.2</v>
      </c>
    </row>
    <row r="1315" spans="1:10">
      <c r="A1315" s="211" t="s">
        <v>423</v>
      </c>
      <c r="B1315" s="211">
        <v>19469</v>
      </c>
      <c r="C1315" s="211">
        <v>0</v>
      </c>
      <c r="D1315" s="211">
        <v>0</v>
      </c>
      <c r="E1315" s="211">
        <v>19469</v>
      </c>
      <c r="G1315" s="211">
        <f t="shared" si="24"/>
        <v>19469</v>
      </c>
      <c r="H1315" s="211" t="s">
        <v>80</v>
      </c>
      <c r="J1315" s="211">
        <f>VLOOKUP(A1315,'JULY-TB'!A:G,7,0)</f>
        <v>19469</v>
      </c>
    </row>
    <row r="1316" spans="1:10">
      <c r="A1316" s="211" t="s">
        <v>958</v>
      </c>
      <c r="B1316" s="211">
        <v>-41104.67</v>
      </c>
      <c r="C1316" s="211">
        <v>76697</v>
      </c>
      <c r="D1316" s="211">
        <v>79528.600000000006</v>
      </c>
      <c r="E1316" s="211">
        <v>-43936.27</v>
      </c>
      <c r="G1316" s="211">
        <f t="shared" si="24"/>
        <v>-43936.27</v>
      </c>
      <c r="H1316" s="211" t="s">
        <v>80</v>
      </c>
      <c r="J1316" s="211">
        <f>VLOOKUP(A1316,'JULY-TB'!A:G,7,0)</f>
        <v>-43936.27</v>
      </c>
    </row>
    <row r="1317" spans="1:10">
      <c r="A1317" s="211" t="s">
        <v>1503</v>
      </c>
      <c r="B1317" s="211">
        <v>0</v>
      </c>
      <c r="C1317" s="211">
        <v>53100</v>
      </c>
      <c r="D1317" s="211">
        <v>53100</v>
      </c>
      <c r="E1317" s="211">
        <v>0</v>
      </c>
      <c r="G1317" s="211">
        <f t="shared" si="24"/>
        <v>0</v>
      </c>
      <c r="H1317" s="211" t="s">
        <v>80</v>
      </c>
      <c r="J1317" s="211">
        <f>VLOOKUP(A1317,'JULY-TB'!A:G,7,0)</f>
        <v>0</v>
      </c>
    </row>
    <row r="1318" spans="1:10">
      <c r="A1318" s="211" t="s">
        <v>1339</v>
      </c>
      <c r="B1318" s="211">
        <v>0</v>
      </c>
      <c r="C1318" s="211">
        <v>10450</v>
      </c>
      <c r="D1318" s="211">
        <v>10450</v>
      </c>
      <c r="E1318" s="211">
        <v>0</v>
      </c>
      <c r="G1318" s="211">
        <f t="shared" si="24"/>
        <v>0</v>
      </c>
      <c r="H1318" s="211" t="s">
        <v>80</v>
      </c>
      <c r="J1318" s="211">
        <f>VLOOKUP(A1318,'JULY-TB'!A:G,7,0)</f>
        <v>0</v>
      </c>
    </row>
    <row r="1319" spans="1:10">
      <c r="A1319" s="211" t="s">
        <v>959</v>
      </c>
      <c r="B1319" s="211">
        <v>0</v>
      </c>
      <c r="C1319" s="211">
        <v>64800</v>
      </c>
      <c r="D1319" s="211">
        <v>64800</v>
      </c>
      <c r="E1319" s="211">
        <v>0</v>
      </c>
      <c r="G1319" s="211">
        <f t="shared" si="24"/>
        <v>0</v>
      </c>
      <c r="H1319" s="211" t="s">
        <v>80</v>
      </c>
      <c r="J1319" s="211">
        <f>VLOOKUP(A1319,'JULY-TB'!A:G,7,0)</f>
        <v>0</v>
      </c>
    </row>
    <row r="1320" spans="1:10">
      <c r="A1320" s="211" t="s">
        <v>960</v>
      </c>
      <c r="B1320" s="211">
        <v>-45062</v>
      </c>
      <c r="C1320" s="211">
        <v>244902</v>
      </c>
      <c r="D1320" s="211">
        <v>199920</v>
      </c>
      <c r="E1320" s="211">
        <v>-80</v>
      </c>
      <c r="G1320" s="211">
        <f t="shared" si="24"/>
        <v>-80</v>
      </c>
      <c r="H1320" s="211" t="s">
        <v>80</v>
      </c>
      <c r="J1320" s="211">
        <f>VLOOKUP(A1320,'JULY-TB'!A:G,7,0)</f>
        <v>-80</v>
      </c>
    </row>
    <row r="1321" spans="1:10">
      <c r="A1321" s="211" t="s">
        <v>961</v>
      </c>
      <c r="B1321" s="211">
        <v>-81000</v>
      </c>
      <c r="C1321" s="211">
        <v>454500</v>
      </c>
      <c r="D1321" s="211">
        <v>373500</v>
      </c>
      <c r="E1321" s="211">
        <v>0</v>
      </c>
      <c r="G1321" s="211">
        <f t="shared" si="24"/>
        <v>0</v>
      </c>
      <c r="H1321" s="211" t="s">
        <v>80</v>
      </c>
      <c r="J1321" s="211">
        <f>VLOOKUP(A1321,'JULY-TB'!A:G,7,0)</f>
        <v>0</v>
      </c>
    </row>
    <row r="1322" spans="1:10">
      <c r="A1322" s="211" t="s">
        <v>962</v>
      </c>
      <c r="B1322" s="211">
        <v>-500</v>
      </c>
      <c r="C1322" s="211">
        <v>500</v>
      </c>
      <c r="D1322" s="211">
        <v>0</v>
      </c>
      <c r="E1322" s="211">
        <v>0</v>
      </c>
      <c r="G1322" s="211">
        <f t="shared" si="24"/>
        <v>0</v>
      </c>
      <c r="H1322" s="211" t="s">
        <v>80</v>
      </c>
      <c r="J1322" s="211">
        <f>VLOOKUP(A1322,'JULY-TB'!A:G,7,0)</f>
        <v>0</v>
      </c>
    </row>
    <row r="1323" spans="1:10">
      <c r="A1323" s="211" t="s">
        <v>1504</v>
      </c>
      <c r="B1323" s="211">
        <v>0</v>
      </c>
      <c r="C1323" s="211">
        <v>253200</v>
      </c>
      <c r="D1323" s="211">
        <v>253200</v>
      </c>
      <c r="E1323" s="211">
        <v>0</v>
      </c>
      <c r="G1323" s="211">
        <f t="shared" si="24"/>
        <v>0</v>
      </c>
      <c r="H1323" s="211" t="s">
        <v>80</v>
      </c>
      <c r="J1323" s="211">
        <f>VLOOKUP(A1323,'JULY-TB'!A:G,7,0)</f>
        <v>0</v>
      </c>
    </row>
    <row r="1324" spans="1:10">
      <c r="A1324" s="211" t="s">
        <v>963</v>
      </c>
      <c r="B1324" s="211">
        <v>-129.69999999999999</v>
      </c>
      <c r="C1324" s="211">
        <v>129.69999999999999</v>
      </c>
      <c r="D1324" s="211">
        <v>0</v>
      </c>
      <c r="E1324" s="211">
        <v>0</v>
      </c>
      <c r="G1324" s="211">
        <f t="shared" si="24"/>
        <v>0</v>
      </c>
      <c r="H1324" s="211" t="s">
        <v>80</v>
      </c>
      <c r="J1324" s="211">
        <f>VLOOKUP(A1324,'JULY-TB'!A:G,7,0)</f>
        <v>0</v>
      </c>
    </row>
    <row r="1325" spans="1:10">
      <c r="A1325" s="211" t="s">
        <v>964</v>
      </c>
      <c r="B1325" s="211">
        <v>0</v>
      </c>
      <c r="C1325" s="211">
        <v>500998.22</v>
      </c>
      <c r="D1325" s="211">
        <v>500998.22</v>
      </c>
      <c r="E1325" s="211">
        <v>0</v>
      </c>
      <c r="G1325" s="211">
        <f t="shared" si="24"/>
        <v>0</v>
      </c>
      <c r="H1325" s="211" t="s">
        <v>80</v>
      </c>
      <c r="J1325" s="211">
        <f>VLOOKUP(A1325,'JULY-TB'!A:G,7,0)</f>
        <v>0</v>
      </c>
    </row>
    <row r="1326" spans="1:10">
      <c r="A1326" s="211" t="s">
        <v>471</v>
      </c>
      <c r="B1326" s="211">
        <v>1728</v>
      </c>
      <c r="C1326" s="211">
        <v>0</v>
      </c>
      <c r="D1326" s="211">
        <v>0</v>
      </c>
      <c r="E1326" s="211">
        <v>1728</v>
      </c>
      <c r="G1326" s="211">
        <f t="shared" si="24"/>
        <v>1728</v>
      </c>
      <c r="H1326" s="211" t="s">
        <v>80</v>
      </c>
      <c r="J1326" s="211">
        <f>VLOOKUP(A1326,'JULY-TB'!A:G,7,0)</f>
        <v>1728</v>
      </c>
    </row>
    <row r="1327" spans="1:10">
      <c r="A1327" s="211" t="s">
        <v>965</v>
      </c>
      <c r="B1327" s="211">
        <v>2016</v>
      </c>
      <c r="C1327" s="211">
        <v>0</v>
      </c>
      <c r="D1327" s="211">
        <v>0</v>
      </c>
      <c r="E1327" s="211">
        <v>2016</v>
      </c>
      <c r="G1327" s="211">
        <f t="shared" si="24"/>
        <v>2016</v>
      </c>
      <c r="H1327" s="211" t="s">
        <v>80</v>
      </c>
      <c r="J1327" s="211">
        <f>VLOOKUP(A1327,'JULY-TB'!A:G,7,0)</f>
        <v>2016</v>
      </c>
    </row>
    <row r="1328" spans="1:10">
      <c r="A1328" s="211" t="s">
        <v>1598</v>
      </c>
      <c r="B1328" s="211">
        <v>0</v>
      </c>
      <c r="C1328" s="211">
        <v>0</v>
      </c>
      <c r="D1328" s="211">
        <v>0</v>
      </c>
      <c r="E1328" s="211">
        <v>0</v>
      </c>
      <c r="G1328" s="211">
        <f t="shared" si="24"/>
        <v>0</v>
      </c>
      <c r="H1328" s="211" t="s">
        <v>80</v>
      </c>
      <c r="J1328" s="211">
        <f>VLOOKUP(A1328,'JULY-TB'!A:G,7,0)</f>
        <v>0</v>
      </c>
    </row>
    <row r="1329" spans="1:10">
      <c r="A1329" s="211" t="s">
        <v>1505</v>
      </c>
      <c r="B1329" s="211">
        <v>0</v>
      </c>
      <c r="C1329" s="211">
        <v>34427</v>
      </c>
      <c r="D1329" s="211">
        <v>35105</v>
      </c>
      <c r="E1329" s="211">
        <v>-678</v>
      </c>
      <c r="G1329" s="211">
        <f t="shared" si="24"/>
        <v>-678</v>
      </c>
      <c r="H1329" s="211" t="s">
        <v>80</v>
      </c>
      <c r="J1329" s="211">
        <f>VLOOKUP(A1329,'JULY-TB'!A:G,7,0)</f>
        <v>-678</v>
      </c>
    </row>
    <row r="1330" spans="1:10">
      <c r="A1330" s="211" t="s">
        <v>966</v>
      </c>
      <c r="B1330" s="211">
        <v>9000</v>
      </c>
      <c r="C1330" s="211">
        <v>0</v>
      </c>
      <c r="D1330" s="211">
        <v>0</v>
      </c>
      <c r="E1330" s="211">
        <v>9000</v>
      </c>
      <c r="G1330" s="211">
        <f t="shared" si="24"/>
        <v>9000</v>
      </c>
      <c r="H1330" s="211" t="s">
        <v>80</v>
      </c>
      <c r="J1330" s="211">
        <f>VLOOKUP(A1330,'JULY-TB'!A:G,7,0)</f>
        <v>9000</v>
      </c>
    </row>
    <row r="1331" spans="1:10">
      <c r="A1331" s="211" t="s">
        <v>1340</v>
      </c>
      <c r="B1331" s="211">
        <v>0</v>
      </c>
      <c r="C1331" s="211">
        <v>0</v>
      </c>
      <c r="D1331" s="211">
        <v>0</v>
      </c>
      <c r="E1331" s="211">
        <v>0</v>
      </c>
      <c r="G1331" s="211">
        <f t="shared" si="24"/>
        <v>0</v>
      </c>
      <c r="H1331" s="211" t="s">
        <v>80</v>
      </c>
      <c r="J1331" s="211">
        <f>VLOOKUP(A1331,'JULY-TB'!A:G,7,0)</f>
        <v>0</v>
      </c>
    </row>
    <row r="1332" spans="1:10">
      <c r="A1332" s="211" t="s">
        <v>1599</v>
      </c>
      <c r="B1332" s="211">
        <v>0</v>
      </c>
      <c r="C1332" s="211">
        <v>18000</v>
      </c>
      <c r="D1332" s="211">
        <v>18000</v>
      </c>
      <c r="E1332" s="211">
        <v>0</v>
      </c>
      <c r="G1332" s="211">
        <f t="shared" si="24"/>
        <v>0</v>
      </c>
      <c r="H1332" s="211" t="s">
        <v>80</v>
      </c>
      <c r="J1332" s="211">
        <f>VLOOKUP(A1332,'JULY-TB'!A:G,7,0)</f>
        <v>0</v>
      </c>
    </row>
    <row r="1333" spans="1:10">
      <c r="A1333" s="211" t="s">
        <v>967</v>
      </c>
      <c r="B1333" s="211">
        <v>-48600</v>
      </c>
      <c r="C1333" s="211">
        <v>270000</v>
      </c>
      <c r="D1333" s="211">
        <v>221400</v>
      </c>
      <c r="E1333" s="211">
        <v>0</v>
      </c>
      <c r="G1333" s="211">
        <f t="shared" si="24"/>
        <v>0</v>
      </c>
      <c r="H1333" s="211" t="s">
        <v>80</v>
      </c>
      <c r="J1333" s="211">
        <f>VLOOKUP(A1333,'JULY-TB'!A:G,7,0)</f>
        <v>0</v>
      </c>
    </row>
    <row r="1334" spans="1:10">
      <c r="A1334" s="211" t="s">
        <v>968</v>
      </c>
      <c r="B1334" s="211">
        <v>-6504</v>
      </c>
      <c r="C1334" s="211">
        <v>10738</v>
      </c>
      <c r="D1334" s="211">
        <v>19470</v>
      </c>
      <c r="E1334" s="211">
        <v>-15236</v>
      </c>
      <c r="G1334" s="211">
        <f t="shared" si="24"/>
        <v>-15236</v>
      </c>
      <c r="H1334" s="211" t="s">
        <v>80</v>
      </c>
      <c r="J1334" s="211">
        <f>VLOOKUP(A1334,'JULY-TB'!A:G,7,0)</f>
        <v>-5088</v>
      </c>
    </row>
    <row r="1335" spans="1:10">
      <c r="A1335" s="211" t="s">
        <v>1048</v>
      </c>
      <c r="B1335" s="211">
        <v>-0.4</v>
      </c>
      <c r="C1335" s="211">
        <v>0</v>
      </c>
      <c r="D1335" s="211">
        <v>0</v>
      </c>
      <c r="E1335" s="211">
        <v>-0.4</v>
      </c>
      <c r="G1335" s="211">
        <f t="shared" si="24"/>
        <v>-0.4</v>
      </c>
      <c r="H1335" s="211" t="s">
        <v>80</v>
      </c>
      <c r="J1335" s="211">
        <f>VLOOKUP(A1335,'JULY-TB'!A:G,7,0)</f>
        <v>-0.4</v>
      </c>
    </row>
    <row r="1336" spans="1:10">
      <c r="A1336" s="211" t="s">
        <v>969</v>
      </c>
      <c r="B1336" s="211">
        <v>-64800</v>
      </c>
      <c r="C1336" s="211">
        <v>348000</v>
      </c>
      <c r="D1336" s="211">
        <v>283200</v>
      </c>
      <c r="E1336" s="211">
        <v>0</v>
      </c>
      <c r="G1336" s="211">
        <f t="shared" si="24"/>
        <v>0</v>
      </c>
      <c r="H1336" s="211" t="s">
        <v>80</v>
      </c>
      <c r="J1336" s="211">
        <f>VLOOKUP(A1336,'JULY-TB'!A:G,7,0)</f>
        <v>0</v>
      </c>
    </row>
    <row r="1337" spans="1:10">
      <c r="A1337" s="211" t="s">
        <v>1600</v>
      </c>
      <c r="B1337" s="211">
        <v>0</v>
      </c>
      <c r="C1337" s="211">
        <v>29500</v>
      </c>
      <c r="D1337" s="211">
        <v>29500</v>
      </c>
      <c r="E1337" s="211">
        <v>0</v>
      </c>
      <c r="G1337" s="211">
        <f t="shared" si="24"/>
        <v>0</v>
      </c>
      <c r="H1337" s="211" t="s">
        <v>80</v>
      </c>
      <c r="J1337" s="211">
        <f>VLOOKUP(A1337,'JULY-TB'!A:G,7,0)</f>
        <v>0</v>
      </c>
    </row>
    <row r="1338" spans="1:10">
      <c r="A1338" s="211" t="s">
        <v>970</v>
      </c>
      <c r="B1338" s="211">
        <v>-37141</v>
      </c>
      <c r="C1338" s="211">
        <v>357805</v>
      </c>
      <c r="D1338" s="211">
        <v>322139</v>
      </c>
      <c r="E1338" s="211">
        <v>-1475</v>
      </c>
      <c r="G1338" s="211">
        <f t="shared" si="24"/>
        <v>-1475</v>
      </c>
      <c r="H1338" s="211" t="s">
        <v>80</v>
      </c>
      <c r="J1338" s="211">
        <f>VLOOKUP(A1338,'JULY-TB'!A:G,7,0)</f>
        <v>-1475</v>
      </c>
    </row>
    <row r="1339" spans="1:10">
      <c r="A1339" s="211" t="s">
        <v>1601</v>
      </c>
      <c r="B1339" s="211">
        <v>0</v>
      </c>
      <c r="C1339" s="211">
        <v>0</v>
      </c>
      <c r="D1339" s="211">
        <v>3894</v>
      </c>
      <c r="E1339" s="211">
        <v>-3894</v>
      </c>
      <c r="G1339" s="211">
        <f t="shared" si="24"/>
        <v>-3894</v>
      </c>
      <c r="H1339" s="211" t="s">
        <v>80</v>
      </c>
      <c r="J1339" s="211">
        <f>VLOOKUP(A1339,'JULY-TB'!A:G,7,0)</f>
        <v>-3894</v>
      </c>
    </row>
    <row r="1340" spans="1:10">
      <c r="A1340" s="211" t="s">
        <v>971</v>
      </c>
      <c r="B1340" s="211">
        <v>-147150</v>
      </c>
      <c r="C1340" s="211">
        <v>787800</v>
      </c>
      <c r="D1340" s="211">
        <v>647400</v>
      </c>
      <c r="E1340" s="211">
        <v>-6750</v>
      </c>
      <c r="G1340" s="211">
        <f t="shared" si="24"/>
        <v>-6750</v>
      </c>
      <c r="H1340" s="211" t="s">
        <v>80</v>
      </c>
      <c r="J1340" s="211">
        <f>VLOOKUP(A1340,'JULY-TB'!A:G,7,0)</f>
        <v>-6750</v>
      </c>
    </row>
    <row r="1341" spans="1:10">
      <c r="A1341" s="211" t="s">
        <v>1602</v>
      </c>
      <c r="B1341" s="211">
        <v>0</v>
      </c>
      <c r="C1341" s="211">
        <v>101200</v>
      </c>
      <c r="D1341" s="211">
        <v>110000</v>
      </c>
      <c r="E1341" s="211">
        <v>-8800</v>
      </c>
      <c r="G1341" s="211">
        <f t="shared" si="24"/>
        <v>-8800</v>
      </c>
      <c r="H1341" s="211" t="s">
        <v>80</v>
      </c>
      <c r="J1341" s="211">
        <f>VLOOKUP(A1341,'JULY-TB'!A:G,7,0)</f>
        <v>550</v>
      </c>
    </row>
    <row r="1342" spans="1:10">
      <c r="A1342" s="211" t="s">
        <v>972</v>
      </c>
      <c r="B1342" s="211">
        <v>-0.6</v>
      </c>
      <c r="C1342" s="211">
        <v>223348.7</v>
      </c>
      <c r="D1342" s="211">
        <v>223348.7</v>
      </c>
      <c r="E1342" s="211">
        <v>-0.6</v>
      </c>
      <c r="G1342" s="211">
        <f t="shared" si="24"/>
        <v>-0.6</v>
      </c>
      <c r="H1342" s="211" t="s">
        <v>80</v>
      </c>
      <c r="J1342" s="211">
        <f>VLOOKUP(A1342,'JULY-TB'!A:G,7,0)</f>
        <v>-0.6</v>
      </c>
    </row>
    <row r="1343" spans="1:10">
      <c r="A1343" s="211" t="s">
        <v>973</v>
      </c>
      <c r="B1343" s="211">
        <v>-484417.06</v>
      </c>
      <c r="C1343" s="211">
        <v>2632837</v>
      </c>
      <c r="D1343" s="211">
        <v>2002456.85</v>
      </c>
      <c r="E1343" s="211">
        <v>145963.09</v>
      </c>
      <c r="G1343" s="211">
        <f t="shared" si="24"/>
        <v>145963.09</v>
      </c>
      <c r="H1343" s="211" t="s">
        <v>80</v>
      </c>
      <c r="J1343" s="211">
        <f>VLOOKUP(A1343,'JULY-TB'!A:G,7,0)</f>
        <v>169977.09</v>
      </c>
    </row>
    <row r="1344" spans="1:10">
      <c r="A1344" s="211" t="s">
        <v>974</v>
      </c>
      <c r="B1344" s="211">
        <v>-389</v>
      </c>
      <c r="C1344" s="211">
        <v>0</v>
      </c>
      <c r="D1344" s="211">
        <v>0</v>
      </c>
      <c r="E1344" s="211">
        <v>-389</v>
      </c>
      <c r="G1344" s="211">
        <f t="shared" si="24"/>
        <v>-389</v>
      </c>
      <c r="H1344" s="211" t="s">
        <v>80</v>
      </c>
      <c r="J1344" s="211">
        <f>VLOOKUP(A1344,'JULY-TB'!A:G,7,0)</f>
        <v>-389</v>
      </c>
    </row>
    <row r="1345" spans="1:10">
      <c r="A1345" s="211" t="s">
        <v>975</v>
      </c>
      <c r="B1345" s="211">
        <v>-128520</v>
      </c>
      <c r="C1345" s="211">
        <v>699720</v>
      </c>
      <c r="D1345" s="211">
        <v>571200</v>
      </c>
      <c r="E1345" s="211">
        <v>0</v>
      </c>
      <c r="G1345" s="211">
        <f t="shared" si="24"/>
        <v>0</v>
      </c>
      <c r="H1345" s="211" t="s">
        <v>80</v>
      </c>
      <c r="J1345" s="211">
        <f>VLOOKUP(A1345,'JULY-TB'!A:G,7,0)</f>
        <v>0</v>
      </c>
    </row>
    <row r="1346" spans="1:10">
      <c r="A1346" s="211" t="s">
        <v>380</v>
      </c>
      <c r="B1346" s="211">
        <v>-36315</v>
      </c>
      <c r="C1346" s="211">
        <v>117315</v>
      </c>
      <c r="D1346" s="211">
        <v>81000</v>
      </c>
      <c r="E1346" s="211">
        <v>0</v>
      </c>
      <c r="G1346" s="211">
        <f t="shared" si="24"/>
        <v>0</v>
      </c>
      <c r="H1346" s="211" t="s">
        <v>80</v>
      </c>
      <c r="J1346" s="211">
        <f>VLOOKUP(A1346,'JULY-TB'!A:G,7,0)</f>
        <v>0</v>
      </c>
    </row>
    <row r="1347" spans="1:10">
      <c r="A1347" s="211" t="s">
        <v>1341</v>
      </c>
      <c r="B1347" s="211">
        <v>0</v>
      </c>
      <c r="C1347" s="211">
        <v>10000</v>
      </c>
      <c r="D1347" s="211">
        <v>20000</v>
      </c>
      <c r="E1347" s="211">
        <v>-10000</v>
      </c>
      <c r="G1347" s="211">
        <f t="shared" si="24"/>
        <v>-10000</v>
      </c>
      <c r="H1347" s="211" t="s">
        <v>80</v>
      </c>
      <c r="J1347" s="211">
        <f>VLOOKUP(A1347,'JULY-TB'!A:G,7,0)</f>
        <v>0</v>
      </c>
    </row>
    <row r="1348" spans="1:10">
      <c r="A1348" s="211" t="s">
        <v>976</v>
      </c>
      <c r="B1348" s="211">
        <v>-6431</v>
      </c>
      <c r="C1348" s="211">
        <v>0</v>
      </c>
      <c r="D1348" s="211">
        <v>0</v>
      </c>
      <c r="E1348" s="211">
        <v>-6431</v>
      </c>
      <c r="G1348" s="211">
        <f t="shared" ref="G1348:G1411" si="25">E1348+F1348</f>
        <v>-6431</v>
      </c>
      <c r="H1348" s="211" t="s">
        <v>80</v>
      </c>
      <c r="J1348" s="211">
        <f>VLOOKUP(A1348,'JULY-TB'!A:G,7,0)</f>
        <v>-6431</v>
      </c>
    </row>
    <row r="1349" spans="1:10">
      <c r="A1349" s="211" t="s">
        <v>1603</v>
      </c>
      <c r="B1349" s="211">
        <v>0</v>
      </c>
      <c r="C1349" s="211">
        <v>10624.72</v>
      </c>
      <c r="D1349" s="211">
        <v>10624.72</v>
      </c>
      <c r="E1349" s="211">
        <v>0</v>
      </c>
      <c r="G1349" s="211">
        <f t="shared" si="25"/>
        <v>0</v>
      </c>
      <c r="H1349" s="211" t="s">
        <v>80</v>
      </c>
      <c r="J1349" s="211">
        <f>VLOOKUP(A1349,'JULY-TB'!A:G,7,0)</f>
        <v>0</v>
      </c>
    </row>
    <row r="1350" spans="1:10">
      <c r="A1350" s="211" t="s">
        <v>977</v>
      </c>
      <c r="B1350" s="211">
        <v>150000</v>
      </c>
      <c r="C1350" s="211">
        <v>0</v>
      </c>
      <c r="D1350" s="211">
        <v>0</v>
      </c>
      <c r="E1350" s="211">
        <v>150000</v>
      </c>
      <c r="G1350" s="211">
        <f t="shared" si="25"/>
        <v>150000</v>
      </c>
      <c r="H1350" s="211" t="s">
        <v>80</v>
      </c>
      <c r="J1350" s="211">
        <f>VLOOKUP(A1350,'JULY-TB'!A:G,7,0)</f>
        <v>150000</v>
      </c>
    </row>
    <row r="1351" spans="1:10">
      <c r="A1351" s="211" t="s">
        <v>1658</v>
      </c>
      <c r="B1351" s="211">
        <v>0</v>
      </c>
      <c r="C1351" s="211">
        <v>0</v>
      </c>
      <c r="D1351" s="211">
        <v>29500</v>
      </c>
      <c r="E1351" s="211">
        <v>-29500</v>
      </c>
      <c r="G1351" s="211">
        <f t="shared" si="25"/>
        <v>-29500</v>
      </c>
      <c r="H1351" s="211" t="s">
        <v>80</v>
      </c>
      <c r="J1351" s="211" t="e">
        <f>VLOOKUP(A1351,'JULY-TB'!A:G,7,0)</f>
        <v>#N/A</v>
      </c>
    </row>
    <row r="1352" spans="1:10">
      <c r="A1352" s="211" t="s">
        <v>1342</v>
      </c>
      <c r="B1352" s="211">
        <v>0</v>
      </c>
      <c r="C1352" s="211">
        <v>0</v>
      </c>
      <c r="D1352" s="211">
        <v>0</v>
      </c>
      <c r="E1352" s="211">
        <v>0</v>
      </c>
      <c r="G1352" s="211">
        <f t="shared" si="25"/>
        <v>0</v>
      </c>
      <c r="H1352" s="211" t="s">
        <v>80</v>
      </c>
      <c r="J1352" s="211">
        <f>VLOOKUP(A1352,'JULY-TB'!A:G,7,0)</f>
        <v>0</v>
      </c>
    </row>
    <row r="1353" spans="1:10">
      <c r="A1353" s="211" t="s">
        <v>221</v>
      </c>
      <c r="B1353" s="211">
        <v>-5311.43</v>
      </c>
      <c r="C1353" s="211">
        <v>21240</v>
      </c>
      <c r="D1353" s="211">
        <v>15930</v>
      </c>
      <c r="E1353" s="211">
        <v>-1.43</v>
      </c>
      <c r="G1353" s="211">
        <f t="shared" si="25"/>
        <v>-1.43</v>
      </c>
      <c r="H1353" s="211" t="s">
        <v>80</v>
      </c>
      <c r="J1353" s="211">
        <f>VLOOKUP(A1353,'JULY-TB'!A:G,7,0)</f>
        <v>-1.43</v>
      </c>
    </row>
    <row r="1354" spans="1:10">
      <c r="A1354" s="211" t="s">
        <v>465</v>
      </c>
      <c r="B1354" s="211">
        <v>-39722</v>
      </c>
      <c r="C1354" s="211">
        <v>257396</v>
      </c>
      <c r="D1354" s="211">
        <v>257396</v>
      </c>
      <c r="E1354" s="211">
        <v>-39722</v>
      </c>
      <c r="G1354" s="211">
        <f t="shared" si="25"/>
        <v>-39722</v>
      </c>
      <c r="H1354" s="211" t="s">
        <v>80</v>
      </c>
      <c r="J1354" s="211">
        <f>VLOOKUP(A1354,'JULY-TB'!A:G,7,0)</f>
        <v>-39722</v>
      </c>
    </row>
    <row r="1355" spans="1:10">
      <c r="A1355" s="211" t="s">
        <v>1343</v>
      </c>
      <c r="B1355" s="211">
        <v>0</v>
      </c>
      <c r="C1355" s="211">
        <v>3177</v>
      </c>
      <c r="D1355" s="211">
        <v>187398</v>
      </c>
      <c r="E1355" s="211">
        <v>-184221</v>
      </c>
      <c r="G1355" s="211">
        <f t="shared" si="25"/>
        <v>-184221</v>
      </c>
      <c r="H1355" s="211" t="s">
        <v>80</v>
      </c>
      <c r="J1355" s="211">
        <f>VLOOKUP(A1355,'JULY-TB'!A:G,7,0)</f>
        <v>-59377</v>
      </c>
    </row>
    <row r="1356" spans="1:10">
      <c r="A1356" s="211" t="s">
        <v>424</v>
      </c>
      <c r="B1356" s="211">
        <v>-215570</v>
      </c>
      <c r="C1356" s="211">
        <v>6460</v>
      </c>
      <c r="D1356" s="211">
        <v>381140</v>
      </c>
      <c r="E1356" s="211">
        <v>-590250</v>
      </c>
      <c r="G1356" s="211">
        <f t="shared" si="25"/>
        <v>-590250</v>
      </c>
      <c r="H1356" s="211" t="s">
        <v>80</v>
      </c>
      <c r="J1356" s="211">
        <f>VLOOKUP(A1356,'JULY-TB'!A:G,7,0)</f>
        <v>-361150</v>
      </c>
    </row>
    <row r="1357" spans="1:10">
      <c r="A1357" s="211" t="s">
        <v>978</v>
      </c>
      <c r="B1357" s="211">
        <v>2445855</v>
      </c>
      <c r="C1357" s="211">
        <v>148500</v>
      </c>
      <c r="D1357" s="211">
        <v>0</v>
      </c>
      <c r="E1357" s="211">
        <v>2594355</v>
      </c>
      <c r="G1357" s="211">
        <f t="shared" si="25"/>
        <v>2594355</v>
      </c>
      <c r="H1357" s="211" t="s">
        <v>80</v>
      </c>
      <c r="J1357" s="211">
        <f>VLOOKUP(A1357,'JULY-TB'!A:G,7,0)</f>
        <v>2594355</v>
      </c>
    </row>
    <row r="1358" spans="1:10">
      <c r="A1358" s="211" t="s">
        <v>979</v>
      </c>
      <c r="B1358" s="211">
        <v>-31904</v>
      </c>
      <c r="C1358" s="211">
        <v>50820</v>
      </c>
      <c r="D1358" s="211">
        <v>50820</v>
      </c>
      <c r="E1358" s="211">
        <v>-31904</v>
      </c>
      <c r="G1358" s="211">
        <f t="shared" si="25"/>
        <v>-31904</v>
      </c>
      <c r="H1358" s="211" t="s">
        <v>80</v>
      </c>
      <c r="J1358" s="211">
        <f>VLOOKUP(A1358,'JULY-TB'!A:G,7,0)</f>
        <v>-31904</v>
      </c>
    </row>
    <row r="1359" spans="1:10">
      <c r="A1359" s="211" t="s">
        <v>1506</v>
      </c>
      <c r="B1359" s="211">
        <v>0</v>
      </c>
      <c r="C1359" s="211">
        <v>2419</v>
      </c>
      <c r="D1359" s="211">
        <v>2419</v>
      </c>
      <c r="E1359" s="211">
        <v>0</v>
      </c>
      <c r="G1359" s="211">
        <f t="shared" si="25"/>
        <v>0</v>
      </c>
      <c r="H1359" s="211" t="s">
        <v>80</v>
      </c>
      <c r="J1359" s="211">
        <f>VLOOKUP(A1359,'JULY-TB'!A:G,7,0)</f>
        <v>0</v>
      </c>
    </row>
    <row r="1360" spans="1:10">
      <c r="A1360" s="211" t="s">
        <v>1344</v>
      </c>
      <c r="B1360" s="211">
        <v>0</v>
      </c>
      <c r="C1360" s="211">
        <v>0</v>
      </c>
      <c r="D1360" s="211">
        <v>0</v>
      </c>
      <c r="E1360" s="211">
        <v>0</v>
      </c>
      <c r="G1360" s="211">
        <f t="shared" si="25"/>
        <v>0</v>
      </c>
      <c r="H1360" s="211" t="s">
        <v>80</v>
      </c>
      <c r="J1360" s="211">
        <f>VLOOKUP(A1360,'JULY-TB'!A:G,7,0)</f>
        <v>0</v>
      </c>
    </row>
    <row r="1361" spans="1:10">
      <c r="A1361" s="211" t="s">
        <v>1345</v>
      </c>
      <c r="B1361" s="211">
        <v>0</v>
      </c>
      <c r="C1361" s="211">
        <v>13190</v>
      </c>
      <c r="D1361" s="211">
        <v>0</v>
      </c>
      <c r="E1361" s="211">
        <v>13190</v>
      </c>
      <c r="G1361" s="211">
        <f t="shared" si="25"/>
        <v>13190</v>
      </c>
      <c r="H1361" s="211" t="s">
        <v>80</v>
      </c>
      <c r="J1361" s="211">
        <f>VLOOKUP(A1361,'JULY-TB'!A:G,7,0)</f>
        <v>13190</v>
      </c>
    </row>
    <row r="1362" spans="1:10">
      <c r="A1362" s="211" t="s">
        <v>1604</v>
      </c>
      <c r="B1362" s="211">
        <v>0</v>
      </c>
      <c r="C1362" s="211">
        <v>112796</v>
      </c>
      <c r="D1362" s="211">
        <v>112796</v>
      </c>
      <c r="E1362" s="211">
        <v>0</v>
      </c>
      <c r="G1362" s="211">
        <f t="shared" si="25"/>
        <v>0</v>
      </c>
      <c r="H1362" s="211" t="s">
        <v>80</v>
      </c>
      <c r="J1362" s="211">
        <f>VLOOKUP(A1362,'JULY-TB'!A:G,7,0)</f>
        <v>0</v>
      </c>
    </row>
    <row r="1363" spans="1:10">
      <c r="A1363" s="211" t="s">
        <v>980</v>
      </c>
      <c r="B1363" s="211">
        <v>19410</v>
      </c>
      <c r="C1363" s="211">
        <v>5900</v>
      </c>
      <c r="D1363" s="211">
        <v>11800</v>
      </c>
      <c r="E1363" s="211">
        <v>13510</v>
      </c>
      <c r="G1363" s="211">
        <f t="shared" si="25"/>
        <v>13510</v>
      </c>
      <c r="H1363" s="211" t="s">
        <v>80</v>
      </c>
      <c r="J1363" s="211">
        <f>VLOOKUP(A1363,'JULY-TB'!A:G,7,0)</f>
        <v>13510</v>
      </c>
    </row>
    <row r="1364" spans="1:10">
      <c r="A1364" s="211" t="s">
        <v>981</v>
      </c>
      <c r="B1364" s="211">
        <v>49500</v>
      </c>
      <c r="C1364" s="211">
        <v>176160</v>
      </c>
      <c r="D1364" s="211">
        <v>225660</v>
      </c>
      <c r="E1364" s="211">
        <v>0</v>
      </c>
      <c r="G1364" s="211">
        <f t="shared" si="25"/>
        <v>0</v>
      </c>
      <c r="H1364" s="211" t="s">
        <v>80</v>
      </c>
      <c r="J1364" s="211">
        <f>VLOOKUP(A1364,'JULY-TB'!A:G,7,0)</f>
        <v>148500</v>
      </c>
    </row>
    <row r="1365" spans="1:10">
      <c r="A1365" s="211" t="s">
        <v>982</v>
      </c>
      <c r="B1365" s="211">
        <v>30000</v>
      </c>
      <c r="C1365" s="211">
        <v>0</v>
      </c>
      <c r="D1365" s="211">
        <v>0</v>
      </c>
      <c r="E1365" s="211">
        <v>30000</v>
      </c>
      <c r="G1365" s="211">
        <f t="shared" si="25"/>
        <v>30000</v>
      </c>
      <c r="H1365" s="211" t="s">
        <v>80</v>
      </c>
      <c r="J1365" s="211">
        <f>VLOOKUP(A1365,'JULY-TB'!A:G,7,0)</f>
        <v>30000</v>
      </c>
    </row>
    <row r="1366" spans="1:10">
      <c r="A1366" s="211" t="s">
        <v>983</v>
      </c>
      <c r="B1366" s="211">
        <v>21240</v>
      </c>
      <c r="C1366" s="211">
        <v>0</v>
      </c>
      <c r="D1366" s="211">
        <v>0</v>
      </c>
      <c r="E1366" s="211">
        <v>21240</v>
      </c>
      <c r="G1366" s="211">
        <f t="shared" si="25"/>
        <v>21240</v>
      </c>
      <c r="H1366" s="211" t="s">
        <v>80</v>
      </c>
      <c r="J1366" s="211">
        <f>VLOOKUP(A1366,'JULY-TB'!A:G,7,0)</f>
        <v>21240</v>
      </c>
    </row>
    <row r="1367" spans="1:10">
      <c r="A1367" s="211" t="s">
        <v>984</v>
      </c>
      <c r="B1367" s="211">
        <v>-47200</v>
      </c>
      <c r="C1367" s="211">
        <v>47200</v>
      </c>
      <c r="D1367" s="211">
        <v>0</v>
      </c>
      <c r="E1367" s="211">
        <v>0</v>
      </c>
      <c r="G1367" s="211">
        <f t="shared" si="25"/>
        <v>0</v>
      </c>
      <c r="H1367" s="211" t="s">
        <v>80</v>
      </c>
      <c r="J1367" s="211">
        <f>VLOOKUP(A1367,'JULY-TB'!A:G,7,0)</f>
        <v>0</v>
      </c>
    </row>
    <row r="1368" spans="1:10">
      <c r="A1368" s="211" t="s">
        <v>461</v>
      </c>
      <c r="B1368" s="211">
        <v>-1223853.24</v>
      </c>
      <c r="C1368" s="211">
        <v>5945468</v>
      </c>
      <c r="D1368" s="211">
        <v>4496209.28</v>
      </c>
      <c r="E1368" s="211">
        <v>225405.48</v>
      </c>
      <c r="G1368" s="211">
        <f t="shared" si="25"/>
        <v>225405.48</v>
      </c>
      <c r="H1368" s="211" t="s">
        <v>80</v>
      </c>
      <c r="J1368" s="211">
        <f>VLOOKUP(A1368,'JULY-TB'!A:G,7,0)</f>
        <v>524093.48</v>
      </c>
    </row>
    <row r="1369" spans="1:10">
      <c r="A1369" s="211" t="s">
        <v>985</v>
      </c>
      <c r="B1369" s="211">
        <v>-132120</v>
      </c>
      <c r="C1369" s="211">
        <v>576000</v>
      </c>
      <c r="D1369" s="211">
        <v>446400</v>
      </c>
      <c r="E1369" s="211">
        <v>-2520</v>
      </c>
      <c r="G1369" s="211">
        <f t="shared" si="25"/>
        <v>-2520</v>
      </c>
      <c r="H1369" s="211" t="s">
        <v>80</v>
      </c>
      <c r="J1369" s="211">
        <f>VLOOKUP(A1369,'JULY-TB'!A:G,7,0)</f>
        <v>-2520</v>
      </c>
    </row>
    <row r="1370" spans="1:10">
      <c r="A1370" s="211" t="s">
        <v>1507</v>
      </c>
      <c r="B1370" s="211">
        <v>0</v>
      </c>
      <c r="C1370" s="211">
        <v>590000</v>
      </c>
      <c r="D1370" s="211">
        <v>590000</v>
      </c>
      <c r="E1370" s="211">
        <v>0</v>
      </c>
      <c r="G1370" s="211">
        <f t="shared" si="25"/>
        <v>0</v>
      </c>
      <c r="H1370" s="211" t="s">
        <v>80</v>
      </c>
      <c r="J1370" s="211">
        <f>VLOOKUP(A1370,'JULY-TB'!A:G,7,0)</f>
        <v>0</v>
      </c>
    </row>
    <row r="1371" spans="1:10">
      <c r="A1371" s="211" t="s">
        <v>986</v>
      </c>
      <c r="B1371" s="211">
        <v>48980</v>
      </c>
      <c r="C1371" s="211">
        <v>0</v>
      </c>
      <c r="D1371" s="211">
        <v>0</v>
      </c>
      <c r="E1371" s="211">
        <v>48980</v>
      </c>
      <c r="G1371" s="211">
        <f t="shared" si="25"/>
        <v>48980</v>
      </c>
      <c r="H1371" s="211" t="s">
        <v>80</v>
      </c>
      <c r="J1371" s="211">
        <f>VLOOKUP(A1371,'JULY-TB'!A:G,7,0)</f>
        <v>48980</v>
      </c>
    </row>
    <row r="1372" spans="1:10">
      <c r="A1372" s="211" t="s">
        <v>1346</v>
      </c>
      <c r="B1372" s="211">
        <v>0</v>
      </c>
      <c r="C1372" s="211">
        <v>0</v>
      </c>
      <c r="D1372" s="211">
        <v>0</v>
      </c>
      <c r="E1372" s="211">
        <v>0</v>
      </c>
      <c r="G1372" s="211">
        <f t="shared" si="25"/>
        <v>0</v>
      </c>
      <c r="H1372" s="211" t="s">
        <v>80</v>
      </c>
      <c r="J1372" s="211">
        <f>VLOOKUP(A1372,'JULY-TB'!A:G,7,0)</f>
        <v>0</v>
      </c>
    </row>
    <row r="1373" spans="1:10">
      <c r="A1373" s="211" t="s">
        <v>1659</v>
      </c>
      <c r="B1373" s="211">
        <v>0</v>
      </c>
      <c r="C1373" s="211">
        <v>10968.72</v>
      </c>
      <c r="D1373" s="211">
        <v>9746</v>
      </c>
      <c r="E1373" s="211">
        <v>1222.72</v>
      </c>
      <c r="G1373" s="211">
        <f t="shared" si="25"/>
        <v>1222.72</v>
      </c>
      <c r="H1373" s="211" t="s">
        <v>80</v>
      </c>
      <c r="J1373" s="211" t="e">
        <f>VLOOKUP(A1373,'JULY-TB'!A:G,7,0)</f>
        <v>#N/A</v>
      </c>
    </row>
    <row r="1374" spans="1:10">
      <c r="A1374" s="211" t="s">
        <v>987</v>
      </c>
      <c r="B1374" s="211">
        <v>9874</v>
      </c>
      <c r="C1374" s="211">
        <v>0</v>
      </c>
      <c r="D1374" s="211">
        <v>0</v>
      </c>
      <c r="E1374" s="211">
        <v>9874</v>
      </c>
      <c r="G1374" s="211">
        <f t="shared" si="25"/>
        <v>9874</v>
      </c>
      <c r="H1374" s="211" t="s">
        <v>80</v>
      </c>
      <c r="J1374" s="211">
        <f>VLOOKUP(A1374,'JULY-TB'!A:G,7,0)</f>
        <v>9874</v>
      </c>
    </row>
    <row r="1375" spans="1:10">
      <c r="A1375" s="211" t="s">
        <v>988</v>
      </c>
      <c r="B1375" s="211">
        <v>-132920</v>
      </c>
      <c r="C1375" s="211">
        <v>576000</v>
      </c>
      <c r="D1375" s="211">
        <v>446400</v>
      </c>
      <c r="E1375" s="211">
        <v>-3320</v>
      </c>
      <c r="G1375" s="211">
        <f t="shared" si="25"/>
        <v>-3320</v>
      </c>
      <c r="H1375" s="211" t="s">
        <v>80</v>
      </c>
      <c r="J1375" s="211">
        <f>VLOOKUP(A1375,'JULY-TB'!A:G,7,0)</f>
        <v>-3320</v>
      </c>
    </row>
    <row r="1376" spans="1:10">
      <c r="A1376" s="211" t="s">
        <v>1347</v>
      </c>
      <c r="B1376" s="211">
        <v>0</v>
      </c>
      <c r="C1376" s="211">
        <v>246035</v>
      </c>
      <c r="D1376" s="211">
        <v>0</v>
      </c>
      <c r="E1376" s="211">
        <v>246035</v>
      </c>
      <c r="G1376" s="211">
        <f t="shared" si="25"/>
        <v>246035</v>
      </c>
      <c r="H1376" s="211" t="s">
        <v>80</v>
      </c>
      <c r="J1376" s="211">
        <f>VLOOKUP(A1376,'JULY-TB'!A:G,7,0)</f>
        <v>246035</v>
      </c>
    </row>
    <row r="1377" spans="1:10">
      <c r="A1377" s="211" t="s">
        <v>989</v>
      </c>
      <c r="B1377" s="211">
        <v>50500</v>
      </c>
      <c r="C1377" s="211">
        <v>0</v>
      </c>
      <c r="D1377" s="211">
        <v>0</v>
      </c>
      <c r="E1377" s="211">
        <v>50500</v>
      </c>
      <c r="G1377" s="211">
        <f t="shared" si="25"/>
        <v>50500</v>
      </c>
      <c r="H1377" s="211" t="s">
        <v>80</v>
      </c>
      <c r="J1377" s="211">
        <f>VLOOKUP(A1377,'JULY-TB'!A:G,7,0)</f>
        <v>50500</v>
      </c>
    </row>
    <row r="1378" spans="1:10">
      <c r="A1378" s="211" t="s">
        <v>990</v>
      </c>
      <c r="B1378" s="211">
        <v>410850</v>
      </c>
      <c r="C1378" s="211">
        <v>297000</v>
      </c>
      <c r="D1378" s="211">
        <v>0</v>
      </c>
      <c r="E1378" s="211">
        <v>707850</v>
      </c>
      <c r="G1378" s="211">
        <f t="shared" si="25"/>
        <v>707850</v>
      </c>
      <c r="H1378" s="211" t="s">
        <v>80</v>
      </c>
      <c r="J1378" s="211">
        <f>VLOOKUP(A1378,'JULY-TB'!A:G,7,0)</f>
        <v>707850</v>
      </c>
    </row>
    <row r="1379" spans="1:10">
      <c r="A1379" s="211" t="s">
        <v>991</v>
      </c>
      <c r="B1379" s="211">
        <v>1187000</v>
      </c>
      <c r="C1379" s="211">
        <v>693000</v>
      </c>
      <c r="D1379" s="211">
        <v>0</v>
      </c>
      <c r="E1379" s="211">
        <v>1880000</v>
      </c>
      <c r="G1379" s="211">
        <f t="shared" si="25"/>
        <v>1880000</v>
      </c>
      <c r="H1379" s="211" t="s">
        <v>80</v>
      </c>
      <c r="J1379" s="211">
        <f>VLOOKUP(A1379,'JULY-TB'!A:G,7,0)</f>
        <v>1880000</v>
      </c>
    </row>
    <row r="1380" spans="1:10">
      <c r="A1380" s="211" t="s">
        <v>992</v>
      </c>
      <c r="B1380" s="211">
        <v>-1170</v>
      </c>
      <c r="C1380" s="211">
        <v>0</v>
      </c>
      <c r="D1380" s="211">
        <v>21535</v>
      </c>
      <c r="E1380" s="211">
        <v>-22705</v>
      </c>
      <c r="G1380" s="211">
        <f t="shared" si="25"/>
        <v>-22705</v>
      </c>
      <c r="H1380" s="211" t="s">
        <v>80</v>
      </c>
      <c r="J1380" s="211">
        <f>VLOOKUP(A1380,'JULY-TB'!A:G,7,0)</f>
        <v>-22705</v>
      </c>
    </row>
    <row r="1381" spans="1:10">
      <c r="A1381" s="211" t="s">
        <v>993</v>
      </c>
      <c r="B1381" s="211">
        <v>-168000</v>
      </c>
      <c r="C1381" s="211">
        <v>168000</v>
      </c>
      <c r="D1381" s="211">
        <v>0</v>
      </c>
      <c r="E1381" s="211">
        <v>0</v>
      </c>
      <c r="G1381" s="211">
        <f t="shared" si="25"/>
        <v>0</v>
      </c>
      <c r="H1381" s="211" t="s">
        <v>80</v>
      </c>
      <c r="J1381" s="211">
        <f>VLOOKUP(A1381,'JULY-TB'!A:G,7,0)</f>
        <v>0</v>
      </c>
    </row>
    <row r="1382" spans="1:10">
      <c r="A1382" s="211" t="s">
        <v>994</v>
      </c>
      <c r="B1382" s="211">
        <v>3806.64</v>
      </c>
      <c r="C1382" s="211">
        <v>0</v>
      </c>
      <c r="D1382" s="211">
        <v>0</v>
      </c>
      <c r="E1382" s="211">
        <v>3806.64</v>
      </c>
      <c r="G1382" s="211">
        <f t="shared" si="25"/>
        <v>3806.64</v>
      </c>
      <c r="H1382" s="211" t="s">
        <v>80</v>
      </c>
      <c r="J1382" s="211">
        <f>VLOOKUP(A1382,'JULY-TB'!A:G,7,0)</f>
        <v>3806.64</v>
      </c>
    </row>
    <row r="1383" spans="1:10">
      <c r="A1383" s="211" t="s">
        <v>1348</v>
      </c>
      <c r="B1383" s="211">
        <v>0</v>
      </c>
      <c r="C1383" s="211">
        <v>0</v>
      </c>
      <c r="D1383" s="211">
        <v>0</v>
      </c>
      <c r="E1383" s="211">
        <v>0</v>
      </c>
      <c r="G1383" s="211">
        <f t="shared" si="25"/>
        <v>0</v>
      </c>
      <c r="H1383" s="211" t="s">
        <v>80</v>
      </c>
      <c r="J1383" s="211">
        <f>VLOOKUP(A1383,'JULY-TB'!A:G,7,0)</f>
        <v>0</v>
      </c>
    </row>
    <row r="1384" spans="1:10">
      <c r="A1384" s="211" t="s">
        <v>995</v>
      </c>
      <c r="B1384" s="211">
        <v>-51408</v>
      </c>
      <c r="C1384" s="211">
        <v>279888</v>
      </c>
      <c r="D1384" s="211">
        <v>228480</v>
      </c>
      <c r="E1384" s="211">
        <v>0</v>
      </c>
      <c r="G1384" s="211">
        <f t="shared" si="25"/>
        <v>0</v>
      </c>
      <c r="H1384" s="211" t="s">
        <v>80</v>
      </c>
      <c r="J1384" s="211">
        <f>VLOOKUP(A1384,'JULY-TB'!A:G,7,0)</f>
        <v>0</v>
      </c>
    </row>
    <row r="1385" spans="1:10">
      <c r="A1385" s="211" t="s">
        <v>1349</v>
      </c>
      <c r="B1385" s="211">
        <v>0</v>
      </c>
      <c r="C1385" s="211">
        <v>287626</v>
      </c>
      <c r="D1385" s="211">
        <v>287626</v>
      </c>
      <c r="E1385" s="211">
        <v>0</v>
      </c>
      <c r="G1385" s="211">
        <f t="shared" si="25"/>
        <v>0</v>
      </c>
      <c r="H1385" s="211" t="s">
        <v>80</v>
      </c>
      <c r="J1385" s="211">
        <f>VLOOKUP(A1385,'JULY-TB'!A:G,7,0)</f>
        <v>0</v>
      </c>
    </row>
    <row r="1386" spans="1:10">
      <c r="A1386" s="211" t="s">
        <v>996</v>
      </c>
      <c r="B1386" s="211">
        <v>21121</v>
      </c>
      <c r="C1386" s="211">
        <v>11210</v>
      </c>
      <c r="D1386" s="211">
        <v>11210</v>
      </c>
      <c r="E1386" s="211">
        <v>21121</v>
      </c>
      <c r="G1386" s="211">
        <f t="shared" si="25"/>
        <v>21121</v>
      </c>
      <c r="H1386" s="211" t="s">
        <v>80</v>
      </c>
      <c r="J1386" s="211">
        <f>VLOOKUP(A1386,'JULY-TB'!A:G,7,0)</f>
        <v>21121</v>
      </c>
    </row>
    <row r="1387" spans="1:10">
      <c r="A1387" s="211" t="s">
        <v>997</v>
      </c>
      <c r="B1387" s="211">
        <v>9136</v>
      </c>
      <c r="C1387" s="211">
        <v>0</v>
      </c>
      <c r="D1387" s="211">
        <v>9136</v>
      </c>
      <c r="E1387" s="211">
        <v>0</v>
      </c>
      <c r="G1387" s="211">
        <f t="shared" si="25"/>
        <v>0</v>
      </c>
      <c r="H1387" s="211" t="s">
        <v>80</v>
      </c>
      <c r="J1387" s="211">
        <f>VLOOKUP(A1387,'JULY-TB'!A:G,7,0)</f>
        <v>0</v>
      </c>
    </row>
    <row r="1388" spans="1:10">
      <c r="A1388" s="211" t="s">
        <v>1350</v>
      </c>
      <c r="B1388" s="211">
        <v>0</v>
      </c>
      <c r="C1388" s="211">
        <v>2246355</v>
      </c>
      <c r="D1388" s="211">
        <v>2398822.48</v>
      </c>
      <c r="E1388" s="211">
        <v>-152467.48000000001</v>
      </c>
      <c r="G1388" s="211">
        <f t="shared" si="25"/>
        <v>-152467.48000000001</v>
      </c>
      <c r="H1388" s="211" t="s">
        <v>80</v>
      </c>
      <c r="J1388" s="211">
        <f>VLOOKUP(A1388,'JULY-TB'!A:G,7,0)</f>
        <v>-115943.48</v>
      </c>
    </row>
    <row r="1389" spans="1:10">
      <c r="A1389" s="211" t="s">
        <v>998</v>
      </c>
      <c r="B1389" s="211">
        <v>81969</v>
      </c>
      <c r="C1389" s="211">
        <v>1320</v>
      </c>
      <c r="D1389" s="211">
        <v>80388</v>
      </c>
      <c r="E1389" s="211">
        <v>2901</v>
      </c>
      <c r="G1389" s="211">
        <f t="shared" si="25"/>
        <v>2901</v>
      </c>
      <c r="H1389" s="211" t="s">
        <v>80</v>
      </c>
      <c r="J1389" s="211">
        <f>VLOOKUP(A1389,'JULY-TB'!A:G,7,0)</f>
        <v>2901</v>
      </c>
    </row>
    <row r="1390" spans="1:10">
      <c r="A1390" s="211" t="s">
        <v>1351</v>
      </c>
      <c r="B1390" s="211">
        <v>0</v>
      </c>
      <c r="C1390" s="211">
        <v>7080</v>
      </c>
      <c r="D1390" s="211">
        <v>7080</v>
      </c>
      <c r="E1390" s="211">
        <v>0</v>
      </c>
      <c r="G1390" s="211">
        <f t="shared" si="25"/>
        <v>0</v>
      </c>
      <c r="H1390" s="211" t="s">
        <v>80</v>
      </c>
      <c r="J1390" s="211">
        <f>VLOOKUP(A1390,'JULY-TB'!A:G,7,0)</f>
        <v>0</v>
      </c>
    </row>
    <row r="1391" spans="1:10">
      <c r="A1391" s="211" t="s">
        <v>1352</v>
      </c>
      <c r="B1391" s="211">
        <v>0</v>
      </c>
      <c r="C1391" s="211">
        <v>0</v>
      </c>
      <c r="D1391" s="211">
        <v>0</v>
      </c>
      <c r="E1391" s="211">
        <v>0</v>
      </c>
      <c r="G1391" s="211">
        <f t="shared" si="25"/>
        <v>0</v>
      </c>
      <c r="H1391" s="211" t="s">
        <v>80</v>
      </c>
      <c r="J1391" s="211">
        <f>VLOOKUP(A1391,'JULY-TB'!A:G,7,0)</f>
        <v>0</v>
      </c>
    </row>
    <row r="1392" spans="1:10">
      <c r="A1392" s="211" t="s">
        <v>1508</v>
      </c>
      <c r="B1392" s="211">
        <v>0</v>
      </c>
      <c r="C1392" s="211">
        <v>238597</v>
      </c>
      <c r="D1392" s="211">
        <v>238597</v>
      </c>
      <c r="E1392" s="211">
        <v>0</v>
      </c>
      <c r="G1392" s="211">
        <f t="shared" si="25"/>
        <v>0</v>
      </c>
      <c r="H1392" s="211" t="s">
        <v>80</v>
      </c>
      <c r="J1392" s="211">
        <f>VLOOKUP(A1392,'JULY-TB'!A:G,7,0)</f>
        <v>0</v>
      </c>
    </row>
    <row r="1393" spans="1:10">
      <c r="A1393" s="211" t="s">
        <v>1509</v>
      </c>
      <c r="B1393" s="211">
        <v>0</v>
      </c>
      <c r="C1393" s="211">
        <v>78706</v>
      </c>
      <c r="D1393" s="211">
        <v>72806</v>
      </c>
      <c r="E1393" s="211">
        <v>5900</v>
      </c>
      <c r="G1393" s="211">
        <f t="shared" si="25"/>
        <v>5900</v>
      </c>
      <c r="H1393" s="211" t="s">
        <v>80</v>
      </c>
      <c r="J1393" s="211">
        <f>VLOOKUP(A1393,'JULY-TB'!A:G,7,0)</f>
        <v>5900</v>
      </c>
    </row>
    <row r="1394" spans="1:10">
      <c r="A1394" s="211" t="s">
        <v>999</v>
      </c>
      <c r="B1394" s="211">
        <v>-29700</v>
      </c>
      <c r="C1394" s="211">
        <v>89700</v>
      </c>
      <c r="D1394" s="211">
        <v>60000</v>
      </c>
      <c r="E1394" s="211">
        <v>0</v>
      </c>
      <c r="G1394" s="211">
        <f t="shared" si="25"/>
        <v>0</v>
      </c>
      <c r="H1394" s="211" t="s">
        <v>80</v>
      </c>
      <c r="J1394" s="211">
        <f>VLOOKUP(A1394,'JULY-TB'!A:G,7,0)</f>
        <v>0</v>
      </c>
    </row>
    <row r="1395" spans="1:10">
      <c r="A1395" s="211" t="s">
        <v>1353</v>
      </c>
      <c r="B1395" s="211">
        <v>0</v>
      </c>
      <c r="C1395" s="211">
        <v>90793</v>
      </c>
      <c r="D1395" s="211">
        <v>90793</v>
      </c>
      <c r="E1395" s="211">
        <v>0</v>
      </c>
      <c r="G1395" s="211">
        <f t="shared" si="25"/>
        <v>0</v>
      </c>
      <c r="H1395" s="211" t="s">
        <v>80</v>
      </c>
      <c r="J1395" s="211">
        <f>VLOOKUP(A1395,'JULY-TB'!A:G,7,0)</f>
        <v>0</v>
      </c>
    </row>
    <row r="1396" spans="1:10">
      <c r="A1396" s="211" t="s">
        <v>1000</v>
      </c>
      <c r="B1396" s="211">
        <v>86828</v>
      </c>
      <c r="C1396" s="211">
        <v>470415</v>
      </c>
      <c r="D1396" s="211">
        <v>557244</v>
      </c>
      <c r="E1396" s="211">
        <v>-1</v>
      </c>
      <c r="G1396" s="211">
        <f t="shared" si="25"/>
        <v>-1</v>
      </c>
      <c r="H1396" s="211" t="s">
        <v>80</v>
      </c>
      <c r="J1396" s="211">
        <f>VLOOKUP(A1396,'JULY-TB'!A:G,7,0)</f>
        <v>433328</v>
      </c>
    </row>
    <row r="1397" spans="1:10">
      <c r="A1397" s="211" t="s">
        <v>1001</v>
      </c>
      <c r="B1397" s="211">
        <v>-6863.39</v>
      </c>
      <c r="C1397" s="211">
        <v>4407.45</v>
      </c>
      <c r="D1397" s="211">
        <v>320741.28000000003</v>
      </c>
      <c r="E1397" s="211">
        <v>-323197.21999999997</v>
      </c>
      <c r="G1397" s="211">
        <f t="shared" si="25"/>
        <v>-323197.21999999997</v>
      </c>
      <c r="H1397" s="211" t="s">
        <v>80</v>
      </c>
      <c r="J1397" s="211">
        <f>VLOOKUP(A1397,'JULY-TB'!A:G,7,0)</f>
        <v>-323197.21999999997</v>
      </c>
    </row>
    <row r="1398" spans="1:10">
      <c r="A1398" s="211" t="s">
        <v>1510</v>
      </c>
      <c r="B1398" s="211">
        <v>0</v>
      </c>
      <c r="C1398" s="211">
        <v>31732</v>
      </c>
      <c r="D1398" s="211">
        <v>36632</v>
      </c>
      <c r="E1398" s="211">
        <v>-4900</v>
      </c>
      <c r="G1398" s="211">
        <f t="shared" si="25"/>
        <v>-4900</v>
      </c>
      <c r="H1398" s="211" t="s">
        <v>80</v>
      </c>
      <c r="J1398" s="211">
        <f>VLOOKUP(A1398,'JULY-TB'!A:G,7,0)</f>
        <v>-4900</v>
      </c>
    </row>
    <row r="1399" spans="1:10">
      <c r="A1399" s="211" t="s">
        <v>1511</v>
      </c>
      <c r="B1399" s="211">
        <v>0</v>
      </c>
      <c r="C1399" s="211">
        <v>4000</v>
      </c>
      <c r="D1399" s="211">
        <v>4000</v>
      </c>
      <c r="E1399" s="211">
        <v>0</v>
      </c>
      <c r="G1399" s="211">
        <f t="shared" si="25"/>
        <v>0</v>
      </c>
      <c r="H1399" s="211" t="s">
        <v>80</v>
      </c>
      <c r="J1399" s="211">
        <f>VLOOKUP(A1399,'JULY-TB'!A:G,7,0)</f>
        <v>0</v>
      </c>
    </row>
    <row r="1400" spans="1:10">
      <c r="A1400" s="211" t="s">
        <v>1354</v>
      </c>
      <c r="B1400" s="211">
        <v>0</v>
      </c>
      <c r="C1400" s="211">
        <v>0</v>
      </c>
      <c r="D1400" s="211">
        <v>0</v>
      </c>
      <c r="E1400" s="211">
        <v>0</v>
      </c>
      <c r="G1400" s="211">
        <f t="shared" si="25"/>
        <v>0</v>
      </c>
      <c r="H1400" s="211" t="s">
        <v>80</v>
      </c>
      <c r="J1400" s="211">
        <f>VLOOKUP(A1400,'JULY-TB'!A:G,7,0)</f>
        <v>0</v>
      </c>
    </row>
    <row r="1401" spans="1:10">
      <c r="A1401" s="211" t="s">
        <v>1002</v>
      </c>
      <c r="B1401" s="211">
        <v>125</v>
      </c>
      <c r="C1401" s="211">
        <v>3750</v>
      </c>
      <c r="D1401" s="211">
        <v>6250</v>
      </c>
      <c r="E1401" s="211">
        <v>-2375</v>
      </c>
      <c r="G1401" s="211">
        <f t="shared" si="25"/>
        <v>-2375</v>
      </c>
      <c r="H1401" s="211" t="s">
        <v>80</v>
      </c>
      <c r="J1401" s="211">
        <f>VLOOKUP(A1401,'JULY-TB'!A:G,7,0)</f>
        <v>-2375</v>
      </c>
    </row>
    <row r="1402" spans="1:10">
      <c r="A1402" s="211" t="s">
        <v>1003</v>
      </c>
      <c r="B1402" s="211">
        <v>-35425.25</v>
      </c>
      <c r="C1402" s="211">
        <v>0</v>
      </c>
      <c r="D1402" s="211">
        <v>0</v>
      </c>
      <c r="E1402" s="211">
        <v>-35425.25</v>
      </c>
      <c r="G1402" s="211">
        <f t="shared" si="25"/>
        <v>-35425.25</v>
      </c>
      <c r="H1402" s="211" t="s">
        <v>80</v>
      </c>
      <c r="J1402" s="211">
        <f>VLOOKUP(A1402,'JULY-TB'!A:G,7,0)</f>
        <v>-35425.25</v>
      </c>
    </row>
    <row r="1403" spans="1:10">
      <c r="A1403" s="211" t="s">
        <v>1004</v>
      </c>
      <c r="B1403" s="211">
        <v>-31512.92</v>
      </c>
      <c r="C1403" s="211">
        <v>31513</v>
      </c>
      <c r="D1403" s="211">
        <v>0</v>
      </c>
      <c r="E1403" s="211">
        <v>0.08</v>
      </c>
      <c r="G1403" s="211">
        <f t="shared" si="25"/>
        <v>0.08</v>
      </c>
      <c r="H1403" s="211" t="s">
        <v>80</v>
      </c>
      <c r="J1403" s="211">
        <f>VLOOKUP(A1403,'JULY-TB'!A:G,7,0)</f>
        <v>0.08</v>
      </c>
    </row>
    <row r="1404" spans="1:10">
      <c r="A1404" s="211" t="s">
        <v>1005</v>
      </c>
      <c r="B1404" s="211">
        <v>-11280</v>
      </c>
      <c r="C1404" s="211">
        <v>11280</v>
      </c>
      <c r="D1404" s="211">
        <v>0</v>
      </c>
      <c r="E1404" s="211">
        <v>0</v>
      </c>
      <c r="G1404" s="211">
        <f t="shared" si="25"/>
        <v>0</v>
      </c>
      <c r="H1404" s="211" t="s">
        <v>80</v>
      </c>
      <c r="J1404" s="211">
        <f>VLOOKUP(A1404,'JULY-TB'!A:G,7,0)</f>
        <v>0</v>
      </c>
    </row>
    <row r="1405" spans="1:10">
      <c r="A1405" s="211" t="s">
        <v>1006</v>
      </c>
      <c r="B1405" s="211">
        <v>-153381</v>
      </c>
      <c r="C1405" s="211">
        <v>312800</v>
      </c>
      <c r="D1405" s="211">
        <v>645108</v>
      </c>
      <c r="E1405" s="211">
        <v>-485689</v>
      </c>
      <c r="G1405" s="211">
        <f t="shared" si="25"/>
        <v>-485689</v>
      </c>
      <c r="H1405" s="211" t="s">
        <v>80</v>
      </c>
      <c r="J1405" s="211">
        <f>VLOOKUP(A1405,'JULY-TB'!A:G,7,0)</f>
        <v>-361324</v>
      </c>
    </row>
    <row r="1406" spans="1:10">
      <c r="A1406" s="211" t="s">
        <v>1355</v>
      </c>
      <c r="B1406" s="211">
        <v>0</v>
      </c>
      <c r="C1406" s="211">
        <v>680831</v>
      </c>
      <c r="D1406" s="211">
        <v>680831</v>
      </c>
      <c r="E1406" s="211">
        <v>0</v>
      </c>
      <c r="G1406" s="211">
        <f t="shared" si="25"/>
        <v>0</v>
      </c>
      <c r="H1406" s="211" t="s">
        <v>80</v>
      </c>
      <c r="J1406" s="211">
        <f>VLOOKUP(A1406,'JULY-TB'!A:G,7,0)</f>
        <v>0</v>
      </c>
    </row>
    <row r="1407" spans="1:10">
      <c r="A1407" s="211" t="s">
        <v>1007</v>
      </c>
      <c r="B1407" s="211">
        <v>350000</v>
      </c>
      <c r="C1407" s="211">
        <v>130000</v>
      </c>
      <c r="D1407" s="211">
        <v>480000</v>
      </c>
      <c r="E1407" s="211">
        <v>0</v>
      </c>
      <c r="G1407" s="211">
        <f t="shared" si="25"/>
        <v>0</v>
      </c>
      <c r="H1407" s="211" t="s">
        <v>80</v>
      </c>
      <c r="J1407" s="211">
        <f>VLOOKUP(A1407,'JULY-TB'!A:G,7,0)</f>
        <v>350000</v>
      </c>
    </row>
    <row r="1408" spans="1:10">
      <c r="A1408" s="211" t="s">
        <v>1660</v>
      </c>
      <c r="B1408" s="211">
        <v>0</v>
      </c>
      <c r="C1408" s="211">
        <v>8000</v>
      </c>
      <c r="D1408" s="211">
        <v>8000</v>
      </c>
      <c r="E1408" s="211">
        <v>0</v>
      </c>
      <c r="G1408" s="211">
        <f t="shared" si="25"/>
        <v>0</v>
      </c>
      <c r="H1408" s="211" t="s">
        <v>80</v>
      </c>
      <c r="J1408" s="211" t="e">
        <f>VLOOKUP(A1408,'JULY-TB'!A:G,7,0)</f>
        <v>#N/A</v>
      </c>
    </row>
    <row r="1409" spans="1:10">
      <c r="A1409" s="211" t="s">
        <v>1356</v>
      </c>
      <c r="B1409" s="211">
        <v>0</v>
      </c>
      <c r="C1409" s="211">
        <v>0</v>
      </c>
      <c r="D1409" s="211">
        <v>0</v>
      </c>
      <c r="E1409" s="211">
        <v>0</v>
      </c>
      <c r="G1409" s="211">
        <f t="shared" si="25"/>
        <v>0</v>
      </c>
      <c r="H1409" s="211" t="s">
        <v>80</v>
      </c>
      <c r="J1409" s="211">
        <f>VLOOKUP(A1409,'JULY-TB'!A:G,7,0)</f>
        <v>0</v>
      </c>
    </row>
    <row r="1410" spans="1:10">
      <c r="A1410" s="211" t="s">
        <v>1357</v>
      </c>
      <c r="B1410" s="211">
        <v>0</v>
      </c>
      <c r="C1410" s="211">
        <v>5100</v>
      </c>
      <c r="D1410" s="211">
        <v>0</v>
      </c>
      <c r="E1410" s="211">
        <v>5100</v>
      </c>
      <c r="G1410" s="211">
        <f t="shared" si="25"/>
        <v>5100</v>
      </c>
      <c r="H1410" s="211" t="s">
        <v>80</v>
      </c>
      <c r="J1410" s="211">
        <f>VLOOKUP(A1410,'JULY-TB'!A:G,7,0)</f>
        <v>5100</v>
      </c>
    </row>
    <row r="1411" spans="1:10">
      <c r="A1411" s="211" t="s">
        <v>1358</v>
      </c>
      <c r="B1411" s="211">
        <v>0</v>
      </c>
      <c r="C1411" s="211">
        <v>0</v>
      </c>
      <c r="D1411" s="211">
        <v>0</v>
      </c>
      <c r="E1411" s="211">
        <v>0</v>
      </c>
      <c r="G1411" s="211">
        <f t="shared" si="25"/>
        <v>0</v>
      </c>
      <c r="H1411" s="211" t="s">
        <v>80</v>
      </c>
      <c r="J1411" s="211">
        <f>VLOOKUP(A1411,'JULY-TB'!A:G,7,0)</f>
        <v>0</v>
      </c>
    </row>
    <row r="1412" spans="1:10">
      <c r="A1412" s="211" t="s">
        <v>419</v>
      </c>
      <c r="B1412" s="211">
        <v>-20234.669999999998</v>
      </c>
      <c r="C1412" s="211">
        <v>3280653</v>
      </c>
      <c r="D1412" s="211">
        <v>3260419</v>
      </c>
      <c r="E1412" s="211">
        <v>-0.67</v>
      </c>
      <c r="G1412" s="211">
        <f t="shared" ref="G1412:G1474" si="26">E1412+F1412</f>
        <v>-0.67</v>
      </c>
      <c r="H1412" s="211" t="s">
        <v>80</v>
      </c>
      <c r="J1412" s="211">
        <f>VLOOKUP(A1412,'JULY-TB'!A:G,7,0)</f>
        <v>-0.67</v>
      </c>
    </row>
    <row r="1413" spans="1:10">
      <c r="A1413" s="211" t="s">
        <v>1008</v>
      </c>
      <c r="B1413" s="211">
        <v>19025</v>
      </c>
      <c r="C1413" s="211">
        <v>144239</v>
      </c>
      <c r="D1413" s="211">
        <v>0</v>
      </c>
      <c r="E1413" s="211">
        <v>163264</v>
      </c>
      <c r="G1413" s="211">
        <f t="shared" si="26"/>
        <v>163264</v>
      </c>
      <c r="H1413" s="211" t="s">
        <v>80</v>
      </c>
      <c r="J1413" s="211">
        <f>VLOOKUP(A1413,'JULY-TB'!A:G,7,0)</f>
        <v>163264</v>
      </c>
    </row>
    <row r="1414" spans="1:10">
      <c r="A1414" s="211" t="s">
        <v>1009</v>
      </c>
      <c r="B1414" s="211">
        <v>0</v>
      </c>
      <c r="C1414" s="211">
        <v>4212</v>
      </c>
      <c r="D1414" s="211">
        <v>3068</v>
      </c>
      <c r="E1414" s="211">
        <v>1144</v>
      </c>
      <c r="G1414" s="211">
        <f t="shared" si="26"/>
        <v>1144</v>
      </c>
      <c r="H1414" s="211" t="s">
        <v>80</v>
      </c>
      <c r="J1414" s="211">
        <f>VLOOKUP(A1414,'JULY-TB'!A:G,7,0)</f>
        <v>1144</v>
      </c>
    </row>
    <row r="1415" spans="1:10">
      <c r="A1415" s="211" t="s">
        <v>1010</v>
      </c>
      <c r="B1415" s="211">
        <v>-3581</v>
      </c>
      <c r="C1415" s="211">
        <v>0</v>
      </c>
      <c r="D1415" s="211">
        <v>0</v>
      </c>
      <c r="E1415" s="211">
        <v>-3581</v>
      </c>
      <c r="G1415" s="211">
        <f t="shared" si="26"/>
        <v>-3581</v>
      </c>
      <c r="H1415" s="211" t="s">
        <v>80</v>
      </c>
      <c r="J1415" s="211">
        <f>VLOOKUP(A1415,'JULY-TB'!A:G,7,0)</f>
        <v>-3581</v>
      </c>
    </row>
    <row r="1416" spans="1:10">
      <c r="A1416" s="211" t="s">
        <v>1359</v>
      </c>
      <c r="B1416" s="211">
        <v>0</v>
      </c>
      <c r="C1416" s="211">
        <v>0</v>
      </c>
      <c r="D1416" s="211">
        <v>21476</v>
      </c>
      <c r="E1416" s="211">
        <v>-21476</v>
      </c>
      <c r="G1416" s="211">
        <f t="shared" si="26"/>
        <v>-21476</v>
      </c>
      <c r="H1416" s="211" t="s">
        <v>80</v>
      </c>
      <c r="J1416" s="211">
        <f>VLOOKUP(A1416,'JULY-TB'!A:G,7,0)</f>
        <v>-21476</v>
      </c>
    </row>
    <row r="1417" spans="1:10">
      <c r="A1417" s="211" t="s">
        <v>1605</v>
      </c>
      <c r="B1417" s="211">
        <v>0</v>
      </c>
      <c r="C1417" s="211">
        <v>324.5</v>
      </c>
      <c r="D1417" s="211">
        <v>324.5</v>
      </c>
      <c r="E1417" s="211">
        <v>0</v>
      </c>
      <c r="G1417" s="211">
        <f t="shared" si="26"/>
        <v>0</v>
      </c>
      <c r="H1417" s="211" t="s">
        <v>80</v>
      </c>
      <c r="J1417" s="211">
        <f>VLOOKUP(A1417,'JULY-TB'!A:G,7,0)</f>
        <v>0</v>
      </c>
    </row>
    <row r="1418" spans="1:10">
      <c r="A1418" s="211" t="s">
        <v>1011</v>
      </c>
      <c r="B1418" s="211">
        <v>-0.64</v>
      </c>
      <c r="C1418" s="211">
        <v>410403.54</v>
      </c>
      <c r="D1418" s="211">
        <v>410403.54</v>
      </c>
      <c r="E1418" s="211">
        <v>-0.64</v>
      </c>
      <c r="G1418" s="211">
        <f t="shared" si="26"/>
        <v>-0.64</v>
      </c>
      <c r="H1418" s="211" t="s">
        <v>80</v>
      </c>
      <c r="J1418" s="211">
        <f>VLOOKUP(A1418,'JULY-TB'!A:G,7,0)</f>
        <v>-0.64</v>
      </c>
    </row>
    <row r="1419" spans="1:10">
      <c r="A1419" s="211" t="s">
        <v>1012</v>
      </c>
      <c r="B1419" s="211">
        <v>-146369.48000000001</v>
      </c>
      <c r="C1419" s="211">
        <v>187290</v>
      </c>
      <c r="D1419" s="211">
        <v>42775</v>
      </c>
      <c r="E1419" s="211">
        <v>-1854.48</v>
      </c>
      <c r="G1419" s="211">
        <f t="shared" si="26"/>
        <v>-1854.48</v>
      </c>
      <c r="H1419" s="211" t="s">
        <v>80</v>
      </c>
      <c r="J1419" s="211">
        <f>VLOOKUP(A1419,'JULY-TB'!A:G,7,0)</f>
        <v>-1854.48</v>
      </c>
    </row>
    <row r="1420" spans="1:10">
      <c r="A1420" s="211" t="s">
        <v>155</v>
      </c>
      <c r="B1420" s="211">
        <v>-4150455.4</v>
      </c>
      <c r="C1420" s="211">
        <v>18797713</v>
      </c>
      <c r="D1420" s="211">
        <v>13820501</v>
      </c>
      <c r="E1420" s="211">
        <v>826756.6</v>
      </c>
      <c r="G1420" s="211">
        <f t="shared" si="26"/>
        <v>826756.6</v>
      </c>
      <c r="H1420" s="211" t="s">
        <v>80</v>
      </c>
      <c r="J1420" s="211">
        <f>VLOOKUP(A1420,'JULY-TB'!A:G,7,0)</f>
        <v>826756.6</v>
      </c>
    </row>
    <row r="1421" spans="1:10">
      <c r="A1421" s="211" t="s">
        <v>1606</v>
      </c>
      <c r="B1421" s="211">
        <v>0</v>
      </c>
      <c r="C1421" s="211">
        <v>4946.5600000000004</v>
      </c>
      <c r="D1421" s="211">
        <v>4946.5600000000004</v>
      </c>
      <c r="E1421" s="211">
        <v>0</v>
      </c>
      <c r="G1421" s="211">
        <f t="shared" si="26"/>
        <v>0</v>
      </c>
      <c r="H1421" s="211" t="s">
        <v>80</v>
      </c>
      <c r="J1421" s="211">
        <f>VLOOKUP(A1421,'JULY-TB'!A:G,7,0)</f>
        <v>0</v>
      </c>
    </row>
    <row r="1422" spans="1:10">
      <c r="A1422" s="211" t="s">
        <v>1013</v>
      </c>
      <c r="B1422" s="211">
        <v>-854</v>
      </c>
      <c r="C1422" s="211">
        <v>811.55</v>
      </c>
      <c r="D1422" s="211">
        <v>811.55</v>
      </c>
      <c r="E1422" s="211">
        <v>-854</v>
      </c>
      <c r="G1422" s="211">
        <f t="shared" si="26"/>
        <v>-854</v>
      </c>
      <c r="H1422" s="211" t="s">
        <v>80</v>
      </c>
      <c r="J1422" s="211">
        <f>VLOOKUP(A1422,'JULY-TB'!A:G,7,0)</f>
        <v>-854</v>
      </c>
    </row>
    <row r="1423" spans="1:10">
      <c r="A1423" s="211" t="s">
        <v>393</v>
      </c>
      <c r="B1423" s="211">
        <v>15853.21</v>
      </c>
      <c r="C1423" s="211">
        <v>6727</v>
      </c>
      <c r="D1423" s="211">
        <v>0</v>
      </c>
      <c r="E1423" s="211">
        <v>22580.21</v>
      </c>
      <c r="G1423" s="211">
        <f t="shared" si="26"/>
        <v>22580.21</v>
      </c>
      <c r="H1423" s="211" t="s">
        <v>80</v>
      </c>
      <c r="J1423" s="211">
        <f>VLOOKUP(A1423,'JULY-TB'!A:G,7,0)</f>
        <v>22580.21</v>
      </c>
    </row>
    <row r="1424" spans="1:10">
      <c r="A1424" s="211" t="s">
        <v>1360</v>
      </c>
      <c r="B1424" s="211">
        <v>0</v>
      </c>
      <c r="C1424" s="211">
        <v>18580</v>
      </c>
      <c r="D1424" s="211">
        <v>18580</v>
      </c>
      <c r="E1424" s="211">
        <v>0</v>
      </c>
      <c r="G1424" s="211">
        <f t="shared" si="26"/>
        <v>0</v>
      </c>
      <c r="H1424" s="211" t="s">
        <v>80</v>
      </c>
      <c r="J1424" s="211">
        <f>VLOOKUP(A1424,'JULY-TB'!A:G,7,0)</f>
        <v>0</v>
      </c>
    </row>
    <row r="1425" spans="1:10">
      <c r="A1425" s="211" t="s">
        <v>1014</v>
      </c>
      <c r="B1425" s="211">
        <v>-52030</v>
      </c>
      <c r="C1425" s="211">
        <v>52030</v>
      </c>
      <c r="D1425" s="211">
        <v>0</v>
      </c>
      <c r="E1425" s="211">
        <v>0</v>
      </c>
      <c r="G1425" s="211">
        <f t="shared" si="26"/>
        <v>0</v>
      </c>
      <c r="H1425" s="211" t="s">
        <v>80</v>
      </c>
      <c r="J1425" s="211">
        <f>VLOOKUP(A1425,'JULY-TB'!A:G,7,0)</f>
        <v>0</v>
      </c>
    </row>
    <row r="1426" spans="1:10">
      <c r="A1426" s="211" t="s">
        <v>1015</v>
      </c>
      <c r="B1426" s="211">
        <v>-0.46</v>
      </c>
      <c r="C1426" s="211">
        <v>3329.61</v>
      </c>
      <c r="D1426" s="211">
        <v>3329.61</v>
      </c>
      <c r="E1426" s="211">
        <v>-0.46</v>
      </c>
      <c r="G1426" s="211">
        <f t="shared" si="26"/>
        <v>-0.46</v>
      </c>
      <c r="H1426" s="211" t="s">
        <v>80</v>
      </c>
      <c r="J1426" s="211">
        <f>VLOOKUP(A1426,'JULY-TB'!A:G,7,0)</f>
        <v>-0.46</v>
      </c>
    </row>
    <row r="1427" spans="1:10">
      <c r="A1427" s="211" t="s">
        <v>413</v>
      </c>
      <c r="B1427" s="211">
        <v>-8850</v>
      </c>
      <c r="C1427" s="211">
        <v>0</v>
      </c>
      <c r="D1427" s="211">
        <v>0</v>
      </c>
      <c r="E1427" s="211">
        <v>-8850</v>
      </c>
      <c r="G1427" s="211">
        <f t="shared" si="26"/>
        <v>-8850</v>
      </c>
      <c r="H1427" s="211" t="s">
        <v>80</v>
      </c>
      <c r="J1427" s="211">
        <f>VLOOKUP(A1427,'JULY-TB'!A:G,7,0)</f>
        <v>-8850</v>
      </c>
    </row>
    <row r="1428" spans="1:10">
      <c r="A1428" s="211" t="s">
        <v>1016</v>
      </c>
      <c r="B1428" s="211">
        <v>0</v>
      </c>
      <c r="C1428" s="211">
        <v>165000</v>
      </c>
      <c r="D1428" s="211">
        <v>165000</v>
      </c>
      <c r="E1428" s="211">
        <v>0</v>
      </c>
      <c r="G1428" s="211">
        <f t="shared" si="26"/>
        <v>0</v>
      </c>
      <c r="H1428" s="211" t="s">
        <v>80</v>
      </c>
      <c r="J1428" s="211">
        <f>VLOOKUP(A1428,'JULY-TB'!A:G,7,0)</f>
        <v>0</v>
      </c>
    </row>
    <row r="1429" spans="1:10">
      <c r="A1429" s="211" t="s">
        <v>1017</v>
      </c>
      <c r="B1429" s="211">
        <v>-1770</v>
      </c>
      <c r="C1429" s="211">
        <v>7080</v>
      </c>
      <c r="D1429" s="211">
        <v>10620</v>
      </c>
      <c r="E1429" s="211">
        <v>-5310</v>
      </c>
      <c r="G1429" s="211">
        <f t="shared" si="26"/>
        <v>-5310</v>
      </c>
      <c r="H1429" s="211" t="s">
        <v>80</v>
      </c>
      <c r="J1429" s="211">
        <f>VLOOKUP(A1429,'JULY-TB'!A:G,7,0)</f>
        <v>0</v>
      </c>
    </row>
    <row r="1430" spans="1:10">
      <c r="A1430" s="211" t="s">
        <v>1018</v>
      </c>
      <c r="B1430" s="211">
        <v>-448828868.54000002</v>
      </c>
      <c r="C1430" s="211">
        <v>1158872749.29</v>
      </c>
      <c r="D1430" s="211">
        <v>1053248764.9</v>
      </c>
      <c r="E1430" s="211">
        <v>-343204884.14999998</v>
      </c>
      <c r="G1430" s="211">
        <f t="shared" si="26"/>
        <v>-343204884.14999998</v>
      </c>
      <c r="H1430" s="211" t="s">
        <v>80</v>
      </c>
      <c r="J1430" s="211">
        <f>VLOOKUP(A1430,'JULY-TB'!A:G,7,0)</f>
        <v>-315226005.87</v>
      </c>
    </row>
    <row r="1431" spans="1:10">
      <c r="A1431" s="211" t="s">
        <v>1019</v>
      </c>
      <c r="B1431" s="211">
        <v>536708.4</v>
      </c>
      <c r="C1431" s="211">
        <v>800000</v>
      </c>
      <c r="D1431" s="211">
        <v>274468</v>
      </c>
      <c r="E1431" s="211">
        <v>1062240.3999999999</v>
      </c>
      <c r="G1431" s="211">
        <f t="shared" si="26"/>
        <v>1062240.3999999999</v>
      </c>
      <c r="H1431" s="211" t="s">
        <v>80</v>
      </c>
      <c r="J1431" s="211">
        <f>VLOOKUP(A1431,'JULY-TB'!A:G,7,0)</f>
        <v>262240.40000000002</v>
      </c>
    </row>
    <row r="1432" spans="1:10">
      <c r="A1432" s="211" t="s">
        <v>1020</v>
      </c>
      <c r="B1432" s="211">
        <v>-59604687.869999997</v>
      </c>
      <c r="C1432" s="211">
        <v>348519737.10000002</v>
      </c>
      <c r="D1432" s="211">
        <v>323886814.67000002</v>
      </c>
      <c r="E1432" s="211">
        <v>-34971765.439999998</v>
      </c>
      <c r="G1432" s="211">
        <f t="shared" si="26"/>
        <v>-34971765.439999998</v>
      </c>
      <c r="H1432" s="211" t="s">
        <v>80</v>
      </c>
      <c r="J1432" s="211">
        <f>VLOOKUP(A1432,'JULY-TB'!A:G,7,0)</f>
        <v>-58139616.18</v>
      </c>
    </row>
    <row r="1433" spans="1:10">
      <c r="A1433" s="211" t="s">
        <v>1021</v>
      </c>
      <c r="B1433" s="211">
        <v>-904527117</v>
      </c>
      <c r="C1433" s="211">
        <v>174648446</v>
      </c>
      <c r="D1433" s="211">
        <v>193823200</v>
      </c>
      <c r="E1433" s="211">
        <v>-923701871</v>
      </c>
      <c r="G1433" s="211">
        <f t="shared" si="26"/>
        <v>-923701871</v>
      </c>
      <c r="H1433" s="211" t="s">
        <v>80</v>
      </c>
      <c r="J1433" s="211">
        <f>VLOOKUP(A1433,'JULY-TB'!A:G,7,0)</f>
        <v>-921394001</v>
      </c>
    </row>
    <row r="1434" spans="1:10">
      <c r="A1434" s="211" t="s">
        <v>1022</v>
      </c>
      <c r="B1434" s="211">
        <v>-254791622.38</v>
      </c>
      <c r="C1434" s="211">
        <v>0</v>
      </c>
      <c r="D1434" s="211">
        <v>12188160</v>
      </c>
      <c r="E1434" s="211">
        <v>-266979782.38</v>
      </c>
      <c r="G1434" s="211">
        <f t="shared" si="26"/>
        <v>-266979782.38</v>
      </c>
      <c r="H1434" s="211" t="s">
        <v>80</v>
      </c>
      <c r="J1434" s="211">
        <f>VLOOKUP(A1434,'JULY-TB'!A:G,7,0)</f>
        <v>-254791622.38</v>
      </c>
    </row>
    <row r="1435" spans="1:10">
      <c r="A1435" s="211" t="s">
        <v>1512</v>
      </c>
      <c r="B1435" s="211">
        <v>0</v>
      </c>
      <c r="C1435" s="211">
        <v>0</v>
      </c>
      <c r="D1435" s="211">
        <v>3718520</v>
      </c>
      <c r="E1435" s="211">
        <v>-3718520</v>
      </c>
      <c r="G1435" s="211">
        <f t="shared" si="26"/>
        <v>-3718520</v>
      </c>
      <c r="H1435" s="211" t="s">
        <v>80</v>
      </c>
      <c r="J1435" s="211">
        <f>VLOOKUP(A1435,'JULY-TB'!A:G,7,0)</f>
        <v>-3718520</v>
      </c>
    </row>
    <row r="1436" spans="1:10">
      <c r="A1436" s="211" t="s">
        <v>1023</v>
      </c>
      <c r="B1436" s="211">
        <v>-27509624.390000001</v>
      </c>
      <c r="C1436" s="211">
        <v>12000000</v>
      </c>
      <c r="D1436" s="211">
        <v>0</v>
      </c>
      <c r="E1436" s="211">
        <v>-15509624.390000001</v>
      </c>
      <c r="G1436" s="211">
        <f t="shared" si="26"/>
        <v>-15509624.390000001</v>
      </c>
      <c r="H1436" s="211" t="s">
        <v>80</v>
      </c>
      <c r="J1436" s="211">
        <f>VLOOKUP(A1436,'JULY-TB'!A:G,7,0)</f>
        <v>-15509624.390000001</v>
      </c>
    </row>
    <row r="1437" spans="1:10">
      <c r="A1437" s="211" t="s">
        <v>1024</v>
      </c>
      <c r="B1437" s="211">
        <v>-77618334.810000002</v>
      </c>
      <c r="C1437" s="211">
        <v>22469844</v>
      </c>
      <c r="D1437" s="211">
        <v>3058687</v>
      </c>
      <c r="E1437" s="211">
        <v>-58207177.810000002</v>
      </c>
      <c r="G1437" s="211">
        <f t="shared" si="26"/>
        <v>-58207177.810000002</v>
      </c>
      <c r="H1437" s="211" t="s">
        <v>80</v>
      </c>
      <c r="J1437" s="211">
        <f>VLOOKUP(A1437,'JULY-TB'!A:G,7,0)</f>
        <v>-58207177.810000002</v>
      </c>
    </row>
    <row r="1438" spans="1:10">
      <c r="A1438" s="211" t="s">
        <v>1025</v>
      </c>
      <c r="B1438" s="211">
        <v>-17551333.5</v>
      </c>
      <c r="C1438" s="211">
        <v>3176852.3</v>
      </c>
      <c r="D1438" s="211">
        <v>669519</v>
      </c>
      <c r="E1438" s="211">
        <v>-15044000.199999999</v>
      </c>
      <c r="G1438" s="211">
        <f t="shared" si="26"/>
        <v>-15044000.199999999</v>
      </c>
      <c r="H1438" s="211" t="s">
        <v>80</v>
      </c>
      <c r="J1438" s="211">
        <f>VLOOKUP(A1438,'JULY-TB'!A:G,7,0)</f>
        <v>-15545466.859999999</v>
      </c>
    </row>
    <row r="1439" spans="1:10">
      <c r="A1439" s="211" t="s">
        <v>1026</v>
      </c>
      <c r="B1439" s="211">
        <v>-1755555.59</v>
      </c>
      <c r="C1439" s="211">
        <v>1733804.55</v>
      </c>
      <c r="D1439" s="211">
        <v>178249</v>
      </c>
      <c r="E1439" s="211">
        <v>-200000.04</v>
      </c>
      <c r="G1439" s="211">
        <f t="shared" si="26"/>
        <v>-200000.04</v>
      </c>
      <c r="H1439" s="211" t="s">
        <v>80</v>
      </c>
      <c r="J1439" s="211">
        <f>VLOOKUP(A1439,'JULY-TB'!A:G,7,0)</f>
        <v>-511111.15</v>
      </c>
    </row>
    <row r="1440" spans="1:10">
      <c r="A1440" s="211" t="s">
        <v>1027</v>
      </c>
      <c r="B1440" s="211">
        <v>-29027778</v>
      </c>
      <c r="C1440" s="211">
        <v>14038515.4</v>
      </c>
      <c r="D1440" s="211">
        <v>844071</v>
      </c>
      <c r="E1440" s="211">
        <v>-15833333.6</v>
      </c>
      <c r="G1440" s="211">
        <f t="shared" si="26"/>
        <v>-15833333.6</v>
      </c>
      <c r="H1440" s="211" t="s">
        <v>80</v>
      </c>
      <c r="J1440" s="211">
        <f>VLOOKUP(A1440,'JULY-TB'!A:G,7,0)</f>
        <v>-18472222.48</v>
      </c>
    </row>
    <row r="1441" spans="1:10">
      <c r="A1441" s="211" t="s">
        <v>1049</v>
      </c>
      <c r="B1441" s="211">
        <v>-60000000</v>
      </c>
      <c r="C1441" s="211">
        <v>1947944</v>
      </c>
      <c r="D1441" s="211">
        <v>1947944</v>
      </c>
      <c r="E1441" s="211">
        <v>-60000000</v>
      </c>
      <c r="G1441" s="211">
        <f t="shared" si="26"/>
        <v>-60000000</v>
      </c>
      <c r="H1441" s="211" t="s">
        <v>80</v>
      </c>
      <c r="J1441" s="211">
        <f>VLOOKUP(A1441,'JULY-TB'!A:G,7,0)</f>
        <v>-60000000</v>
      </c>
    </row>
    <row r="1442" spans="1:10">
      <c r="A1442" s="211" t="s">
        <v>1028</v>
      </c>
      <c r="B1442" s="211">
        <v>-50000000</v>
      </c>
      <c r="C1442" s="211">
        <v>1462575</v>
      </c>
      <c r="D1442" s="211">
        <v>811013</v>
      </c>
      <c r="E1442" s="211">
        <v>-49348438</v>
      </c>
      <c r="G1442" s="211">
        <f t="shared" si="26"/>
        <v>-49348438</v>
      </c>
      <c r="H1442" s="211" t="s">
        <v>80</v>
      </c>
      <c r="J1442" s="211">
        <f>VLOOKUP(A1442,'JULY-TB'!A:G,7,0)</f>
        <v>-49679671</v>
      </c>
    </row>
    <row r="1443" spans="1:10">
      <c r="A1443" s="211" t="s">
        <v>1050</v>
      </c>
      <c r="B1443" s="211">
        <v>-50000000</v>
      </c>
      <c r="C1443" s="211">
        <v>1825184.4</v>
      </c>
      <c r="D1443" s="211">
        <v>1090526.3999999999</v>
      </c>
      <c r="E1443" s="211">
        <v>-49265342</v>
      </c>
      <c r="G1443" s="211">
        <f t="shared" si="26"/>
        <v>-49265342</v>
      </c>
      <c r="H1443" s="211" t="s">
        <v>80</v>
      </c>
      <c r="J1443" s="211">
        <f>VLOOKUP(A1443,'JULY-TB'!A:G,7,0)</f>
        <v>-49632671</v>
      </c>
    </row>
    <row r="1444" spans="1:10">
      <c r="A1444" s="211" t="s">
        <v>1361</v>
      </c>
      <c r="B1444" s="211">
        <v>0</v>
      </c>
      <c r="C1444" s="211">
        <v>0</v>
      </c>
      <c r="D1444" s="211">
        <v>0</v>
      </c>
      <c r="E1444" s="211">
        <v>0</v>
      </c>
      <c r="G1444" s="211">
        <f t="shared" si="26"/>
        <v>0</v>
      </c>
      <c r="H1444" s="211" t="s">
        <v>80</v>
      </c>
      <c r="J1444" s="211">
        <f>VLOOKUP(A1444,'JULY-TB'!A:G,7,0)</f>
        <v>0</v>
      </c>
    </row>
    <row r="1445" spans="1:10">
      <c r="A1445" s="211" t="s">
        <v>1362</v>
      </c>
      <c r="B1445" s="211">
        <v>0</v>
      </c>
      <c r="C1445" s="211">
        <v>0</v>
      </c>
      <c r="D1445" s="211">
        <v>0</v>
      </c>
      <c r="E1445" s="211">
        <v>0</v>
      </c>
      <c r="G1445" s="211">
        <f t="shared" si="26"/>
        <v>0</v>
      </c>
      <c r="H1445" s="211" t="s">
        <v>80</v>
      </c>
      <c r="J1445" s="211">
        <f>VLOOKUP(A1445,'JULY-TB'!A:G,7,0)</f>
        <v>0</v>
      </c>
    </row>
    <row r="1446" spans="1:10">
      <c r="A1446" s="211" t="s">
        <v>1363</v>
      </c>
      <c r="B1446" s="211">
        <v>0</v>
      </c>
      <c r="C1446" s="211">
        <v>0</v>
      </c>
      <c r="D1446" s="211">
        <v>0</v>
      </c>
      <c r="E1446" s="211">
        <v>0</v>
      </c>
      <c r="G1446" s="211">
        <f t="shared" si="26"/>
        <v>0</v>
      </c>
      <c r="H1446" s="211" t="s">
        <v>80</v>
      </c>
      <c r="J1446" s="211">
        <f>VLOOKUP(A1446,'JULY-TB'!A:G,7,0)</f>
        <v>0</v>
      </c>
    </row>
    <row r="1447" spans="1:10">
      <c r="A1447" s="211" t="s">
        <v>1364</v>
      </c>
      <c r="B1447" s="211">
        <v>0</v>
      </c>
      <c r="C1447" s="211">
        <v>0</v>
      </c>
      <c r="D1447" s="211">
        <v>0</v>
      </c>
      <c r="E1447" s="211">
        <v>0</v>
      </c>
      <c r="G1447" s="211">
        <f t="shared" si="26"/>
        <v>0</v>
      </c>
      <c r="H1447" s="211" t="s">
        <v>80</v>
      </c>
      <c r="J1447" s="211">
        <f>VLOOKUP(A1447,'JULY-TB'!A:G,7,0)</f>
        <v>0</v>
      </c>
    </row>
    <row r="1448" spans="1:10">
      <c r="A1448" s="211" t="s">
        <v>1051</v>
      </c>
      <c r="B1448" s="211">
        <v>-446984.53</v>
      </c>
      <c r="C1448" s="211">
        <v>0</v>
      </c>
      <c r="D1448" s="211">
        <v>0</v>
      </c>
      <c r="E1448" s="211">
        <v>-446984.53</v>
      </c>
      <c r="G1448" s="211">
        <f t="shared" si="26"/>
        <v>-446984.53</v>
      </c>
      <c r="H1448" s="211" t="s">
        <v>80</v>
      </c>
      <c r="J1448" s="211">
        <f>VLOOKUP(A1448,'JULY-TB'!A:G,7,0)</f>
        <v>-446984.53</v>
      </c>
    </row>
    <row r="1449" spans="1:10">
      <c r="A1449" s="211" t="s">
        <v>1029</v>
      </c>
      <c r="B1449" s="211">
        <v>-26668954.620000001</v>
      </c>
      <c r="C1449" s="211">
        <v>172545702</v>
      </c>
      <c r="D1449" s="211">
        <v>215498982.40000001</v>
      </c>
      <c r="E1449" s="211">
        <v>-69622235.019999996</v>
      </c>
      <c r="G1449" s="211">
        <f t="shared" si="26"/>
        <v>-69622235.019999996</v>
      </c>
      <c r="H1449" s="211" t="s">
        <v>80</v>
      </c>
      <c r="J1449" s="211">
        <f>VLOOKUP(A1449,'JULY-TB'!A:G,7,0)</f>
        <v>-74703869.159999996</v>
      </c>
    </row>
    <row r="1450" spans="1:10">
      <c r="A1450" s="211" t="s">
        <v>1030</v>
      </c>
      <c r="B1450" s="211">
        <v>-124620173.98</v>
      </c>
      <c r="C1450" s="211">
        <v>0</v>
      </c>
      <c r="D1450" s="211">
        <v>0</v>
      </c>
      <c r="E1450" s="211">
        <v>-124620173.98</v>
      </c>
      <c r="G1450" s="211">
        <f t="shared" si="26"/>
        <v>-124620173.98</v>
      </c>
      <c r="H1450" s="211" t="s">
        <v>80</v>
      </c>
      <c r="J1450" s="211">
        <f>VLOOKUP(A1450,'JULY-TB'!A:G,7,0)</f>
        <v>-124620173.98</v>
      </c>
    </row>
    <row r="1451" spans="1:10">
      <c r="A1451" s="211" t="s">
        <v>1365</v>
      </c>
      <c r="B1451" s="211">
        <v>0</v>
      </c>
      <c r="C1451" s="211">
        <v>0</v>
      </c>
      <c r="D1451" s="211">
        <v>0</v>
      </c>
      <c r="E1451" s="211">
        <v>0</v>
      </c>
      <c r="G1451" s="211">
        <f t="shared" si="26"/>
        <v>0</v>
      </c>
      <c r="H1451" s="211" t="s">
        <v>80</v>
      </c>
      <c r="J1451" s="211">
        <f>VLOOKUP(A1451,'JULY-TB'!A:G,7,0)</f>
        <v>0</v>
      </c>
    </row>
    <row r="1452" spans="1:10">
      <c r="A1452" s="211" t="s">
        <v>1366</v>
      </c>
      <c r="B1452" s="211">
        <v>0</v>
      </c>
      <c r="C1452" s="211">
        <v>0</v>
      </c>
      <c r="D1452" s="211">
        <v>0</v>
      </c>
      <c r="E1452" s="211">
        <v>0</v>
      </c>
      <c r="G1452" s="211">
        <f t="shared" si="26"/>
        <v>0</v>
      </c>
      <c r="H1452" s="211" t="s">
        <v>80</v>
      </c>
      <c r="J1452" s="211">
        <f>VLOOKUP(A1452,'JULY-TB'!A:G,7,0)</f>
        <v>0</v>
      </c>
    </row>
    <row r="1453" spans="1:10">
      <c r="A1453" s="211" t="s">
        <v>1367</v>
      </c>
      <c r="B1453" s="211">
        <v>0</v>
      </c>
      <c r="C1453" s="211">
        <v>0</v>
      </c>
      <c r="D1453" s="211">
        <v>0</v>
      </c>
      <c r="E1453" s="211">
        <v>0</v>
      </c>
      <c r="G1453" s="211">
        <f t="shared" si="26"/>
        <v>0</v>
      </c>
      <c r="H1453" s="211" t="s">
        <v>80</v>
      </c>
      <c r="J1453" s="211">
        <f>VLOOKUP(A1453,'JULY-TB'!A:G,7,0)</f>
        <v>0</v>
      </c>
    </row>
    <row r="1454" spans="1:10">
      <c r="A1454" s="211" t="s">
        <v>1031</v>
      </c>
      <c r="B1454" s="211">
        <v>549499</v>
      </c>
      <c r="C1454" s="211">
        <v>0</v>
      </c>
      <c r="D1454" s="211">
        <v>0</v>
      </c>
      <c r="E1454" s="211">
        <v>549499</v>
      </c>
      <c r="G1454" s="211">
        <f t="shared" si="26"/>
        <v>549499</v>
      </c>
      <c r="H1454" s="211" t="s">
        <v>80</v>
      </c>
      <c r="J1454" s="211">
        <f>VLOOKUP(A1454,'JULY-TB'!A:G,7,0)</f>
        <v>549499</v>
      </c>
    </row>
    <row r="1455" spans="1:10">
      <c r="A1455" s="211" t="s">
        <v>1032</v>
      </c>
      <c r="B1455" s="211">
        <v>-264850888</v>
      </c>
      <c r="C1455" s="211">
        <v>60890874</v>
      </c>
      <c r="D1455" s="211">
        <v>93378000</v>
      </c>
      <c r="E1455" s="211">
        <v>-297338014</v>
      </c>
      <c r="G1455" s="211">
        <f t="shared" si="26"/>
        <v>-297338014</v>
      </c>
      <c r="H1455" s="211" t="s">
        <v>80</v>
      </c>
      <c r="J1455" s="211">
        <f>VLOOKUP(A1455,'JULY-TB'!A:G,7,0)</f>
        <v>-245634937</v>
      </c>
    </row>
    <row r="1456" spans="1:10">
      <c r="A1456" s="211" t="s">
        <v>1513</v>
      </c>
      <c r="B1456" s="211">
        <v>0</v>
      </c>
      <c r="C1456" s="211">
        <v>0</v>
      </c>
      <c r="D1456" s="211">
        <v>7437851</v>
      </c>
      <c r="E1456" s="211">
        <v>-7437851</v>
      </c>
      <c r="G1456" s="211">
        <f t="shared" si="26"/>
        <v>-7437851</v>
      </c>
      <c r="H1456" s="211" t="s">
        <v>80</v>
      </c>
      <c r="J1456" s="211">
        <f>VLOOKUP(A1456,'JULY-TB'!A:G,7,0)</f>
        <v>-7437851</v>
      </c>
    </row>
    <row r="1457" spans="1:10">
      <c r="A1457" s="211" t="s">
        <v>1514</v>
      </c>
      <c r="B1457" s="211">
        <v>0</v>
      </c>
      <c r="C1457" s="211">
        <v>0</v>
      </c>
      <c r="D1457" s="211">
        <v>6136085</v>
      </c>
      <c r="E1457" s="211">
        <v>-6136085</v>
      </c>
      <c r="G1457" s="211">
        <f t="shared" si="26"/>
        <v>-6136085</v>
      </c>
      <c r="H1457" s="211" t="s">
        <v>80</v>
      </c>
      <c r="J1457" s="211">
        <f>VLOOKUP(A1457,'JULY-TB'!A:G,7,0)</f>
        <v>-6136085</v>
      </c>
    </row>
    <row r="1458" spans="1:10">
      <c r="A1458" s="211" t="s">
        <v>1033</v>
      </c>
      <c r="B1458" s="211">
        <v>-16745374.66</v>
      </c>
      <c r="C1458" s="211">
        <v>0</v>
      </c>
      <c r="D1458" s="211">
        <v>0</v>
      </c>
      <c r="E1458" s="211">
        <v>-16745374.66</v>
      </c>
      <c r="G1458" s="211">
        <f t="shared" si="26"/>
        <v>-16745374.66</v>
      </c>
      <c r="H1458" s="211" t="s">
        <v>80</v>
      </c>
      <c r="J1458" s="211">
        <f>VLOOKUP(A1458,'JULY-TB'!A:G,7,0)</f>
        <v>-16745374.66</v>
      </c>
    </row>
    <row r="1459" spans="1:10">
      <c r="A1459" s="211" t="s">
        <v>1034</v>
      </c>
      <c r="B1459" s="211">
        <v>-3784803.05</v>
      </c>
      <c r="C1459" s="211">
        <v>0</v>
      </c>
      <c r="D1459" s="211">
        <v>0</v>
      </c>
      <c r="E1459" s="211">
        <v>-3784803.05</v>
      </c>
      <c r="G1459" s="211">
        <f t="shared" si="26"/>
        <v>-3784803.05</v>
      </c>
      <c r="H1459" s="211" t="s">
        <v>80</v>
      </c>
      <c r="J1459" s="211">
        <f>VLOOKUP(A1459,'JULY-TB'!A:G,7,0)</f>
        <v>-3784803.05</v>
      </c>
    </row>
    <row r="1460" spans="1:10">
      <c r="A1460" s="211" t="s">
        <v>1035</v>
      </c>
      <c r="B1460" s="211">
        <v>-14538782.1</v>
      </c>
      <c r="C1460" s="211">
        <v>0</v>
      </c>
      <c r="D1460" s="211">
        <v>0</v>
      </c>
      <c r="E1460" s="211">
        <v>-14538782.1</v>
      </c>
      <c r="G1460" s="211">
        <f t="shared" si="26"/>
        <v>-14538782.1</v>
      </c>
      <c r="H1460" s="211" t="s">
        <v>80</v>
      </c>
      <c r="J1460" s="211">
        <f>VLOOKUP(A1460,'JULY-TB'!A:G,7,0)</f>
        <v>-14538782.1</v>
      </c>
    </row>
    <row r="1461" spans="1:10">
      <c r="A1461" s="211" t="s">
        <v>1036</v>
      </c>
      <c r="B1461" s="211">
        <v>-3103131</v>
      </c>
      <c r="C1461" s="211">
        <v>3339997.49</v>
      </c>
      <c r="D1461" s="211">
        <v>236866.5</v>
      </c>
      <c r="E1461" s="211">
        <v>-0.01</v>
      </c>
      <c r="G1461" s="211">
        <f t="shared" si="26"/>
        <v>-0.01</v>
      </c>
      <c r="H1461" s="211" t="s">
        <v>80</v>
      </c>
      <c r="J1461" s="211">
        <f>VLOOKUP(A1461,'JULY-TB'!A:G,7,0)</f>
        <v>-0.01</v>
      </c>
    </row>
    <row r="1462" spans="1:10">
      <c r="A1462" s="211" t="s">
        <v>1037</v>
      </c>
      <c r="B1462" s="211">
        <v>-12629931</v>
      </c>
      <c r="C1462" s="211">
        <v>3617104.45</v>
      </c>
      <c r="D1462" s="211">
        <v>0</v>
      </c>
      <c r="E1462" s="211">
        <v>-9012826.5500000007</v>
      </c>
      <c r="G1462" s="211">
        <f t="shared" si="26"/>
        <v>-9012826.5500000007</v>
      </c>
      <c r="H1462" s="211" t="s">
        <v>80</v>
      </c>
      <c r="J1462" s="211">
        <f>VLOOKUP(A1462,'JULY-TB'!A:G,7,0)</f>
        <v>-11383377.130000001</v>
      </c>
    </row>
    <row r="1463" spans="1:10">
      <c r="A1463" s="211" t="s">
        <v>185</v>
      </c>
      <c r="B1463" s="211">
        <v>655608.93999999994</v>
      </c>
      <c r="C1463" s="211">
        <v>0</v>
      </c>
      <c r="D1463" s="211">
        <v>0</v>
      </c>
      <c r="E1463" s="211">
        <v>655608.93999999994</v>
      </c>
      <c r="G1463" s="211">
        <f t="shared" si="26"/>
        <v>655608.93999999994</v>
      </c>
      <c r="H1463" s="211" t="s">
        <v>80</v>
      </c>
      <c r="J1463" s="211">
        <f>VLOOKUP(A1463,'JULY-TB'!A:G,7,0)</f>
        <v>655608.93999999994</v>
      </c>
    </row>
    <row r="1464" spans="1:10">
      <c r="A1464" s="211" t="s">
        <v>186</v>
      </c>
      <c r="B1464" s="211">
        <v>3464.96</v>
      </c>
      <c r="C1464" s="211">
        <v>95539629.170000002</v>
      </c>
      <c r="D1464" s="211">
        <v>95539629.170000002</v>
      </c>
      <c r="E1464" s="211">
        <v>3464.96</v>
      </c>
      <c r="G1464" s="211">
        <f t="shared" si="26"/>
        <v>3464.96</v>
      </c>
      <c r="H1464" s="211" t="s">
        <v>80</v>
      </c>
      <c r="J1464" s="211">
        <f>VLOOKUP(A1464,'JULY-TB'!A:G,7,0)</f>
        <v>3464.96</v>
      </c>
    </row>
    <row r="1465" spans="1:10">
      <c r="A1465" s="211" t="s">
        <v>1368</v>
      </c>
      <c r="B1465" s="211">
        <v>0</v>
      </c>
      <c r="C1465" s="211">
        <v>12101042.310000001</v>
      </c>
      <c r="D1465" s="211">
        <v>12101042.310000001</v>
      </c>
      <c r="E1465" s="211">
        <v>0</v>
      </c>
      <c r="G1465" s="211">
        <f t="shared" si="26"/>
        <v>0</v>
      </c>
      <c r="H1465" s="211" t="s">
        <v>80</v>
      </c>
      <c r="J1465" s="211">
        <f>VLOOKUP(A1465,'JULY-TB'!A:G,7,0)</f>
        <v>0</v>
      </c>
    </row>
    <row r="1466" spans="1:10">
      <c r="A1466" s="211" t="s">
        <v>1038</v>
      </c>
      <c r="B1466" s="211">
        <v>-2618078.6</v>
      </c>
      <c r="C1466" s="211">
        <v>0</v>
      </c>
      <c r="D1466" s="211">
        <v>0</v>
      </c>
      <c r="E1466" s="211">
        <v>-2618078.6</v>
      </c>
      <c r="G1466" s="211">
        <f t="shared" si="26"/>
        <v>-2618078.6</v>
      </c>
      <c r="H1466" s="211" t="s">
        <v>80</v>
      </c>
      <c r="J1466" s="211">
        <f>VLOOKUP(A1466,'JULY-TB'!A:G,7,0)</f>
        <v>-2618078.6</v>
      </c>
    </row>
    <row r="1467" spans="1:10">
      <c r="A1467" s="211" t="s">
        <v>1039</v>
      </c>
      <c r="B1467" s="211">
        <v>-220384430.65000001</v>
      </c>
      <c r="C1467" s="211">
        <v>111584574.66</v>
      </c>
      <c r="D1467" s="211">
        <v>198883107.5</v>
      </c>
      <c r="E1467" s="211">
        <v>-307682963.49000001</v>
      </c>
      <c r="G1467" s="211">
        <f t="shared" si="26"/>
        <v>-307682963.49000001</v>
      </c>
      <c r="H1467" s="211" t="s">
        <v>80</v>
      </c>
      <c r="J1467" s="211">
        <f>VLOOKUP(A1467,'JULY-TB'!A:G,7,0)</f>
        <v>-216198859.71000001</v>
      </c>
    </row>
    <row r="1468" spans="1:10">
      <c r="A1468" s="211" t="s">
        <v>1661</v>
      </c>
      <c r="B1468" s="211">
        <v>0</v>
      </c>
      <c r="C1468" s="211">
        <v>123900000</v>
      </c>
      <c r="D1468" s="211">
        <v>0</v>
      </c>
      <c r="E1468" s="211">
        <v>123900000</v>
      </c>
      <c r="G1468" s="211">
        <f t="shared" si="26"/>
        <v>123900000</v>
      </c>
      <c r="H1468" s="211" t="s">
        <v>80</v>
      </c>
      <c r="J1468" s="211" t="e">
        <f>VLOOKUP(A1468,'JULY-TB'!A:G,7,0)</f>
        <v>#N/A</v>
      </c>
    </row>
    <row r="1469" spans="1:10">
      <c r="A1469" s="211" t="s">
        <v>211</v>
      </c>
      <c r="B1469" s="211">
        <v>-817212928.11000001</v>
      </c>
      <c r="C1469" s="211">
        <v>0</v>
      </c>
      <c r="D1469" s="211">
        <v>0</v>
      </c>
      <c r="E1469" s="211">
        <v>-817212928.11000001</v>
      </c>
      <c r="G1469" s="211">
        <f t="shared" si="26"/>
        <v>-817212928.11000001</v>
      </c>
      <c r="H1469" s="211" t="s">
        <v>80</v>
      </c>
      <c r="J1469" s="211">
        <f>VLOOKUP(A1469,'JULY-TB'!A:G,7,0)</f>
        <v>-817212928.11000001</v>
      </c>
    </row>
    <row r="1470" spans="1:10">
      <c r="A1470" s="211" t="s">
        <v>203</v>
      </c>
      <c r="B1470" s="211">
        <v>-260850171.12</v>
      </c>
      <c r="C1470" s="211">
        <v>3067671</v>
      </c>
      <c r="D1470" s="211">
        <v>12586124</v>
      </c>
      <c r="E1470" s="211">
        <v>-270368624.12</v>
      </c>
      <c r="G1470" s="211">
        <f t="shared" si="26"/>
        <v>-270368624.12</v>
      </c>
      <c r="H1470" s="211" t="s">
        <v>80</v>
      </c>
      <c r="J1470" s="211">
        <f>VLOOKUP(A1470,'JULY-TB'!A:G,7,0)</f>
        <v>-270368624.12</v>
      </c>
    </row>
    <row r="1471" spans="1:10">
      <c r="A1471" s="211" t="s">
        <v>204</v>
      </c>
      <c r="B1471" s="211">
        <v>-14666932</v>
      </c>
      <c r="C1471" s="211">
        <v>28738101.23</v>
      </c>
      <c r="D1471" s="211">
        <v>14206169.23</v>
      </c>
      <c r="E1471" s="211">
        <v>-135000</v>
      </c>
      <c r="G1471" s="211">
        <f t="shared" si="26"/>
        <v>-135000</v>
      </c>
      <c r="H1471" s="211" t="s">
        <v>80</v>
      </c>
      <c r="J1471" s="211">
        <f>VLOOKUP(A1471,'JULY-TB'!A:G,7,0)</f>
        <v>-133500</v>
      </c>
    </row>
    <row r="1472" spans="1:10">
      <c r="A1472" s="211" t="s">
        <v>205</v>
      </c>
      <c r="B1472" s="211">
        <v>-1123027</v>
      </c>
      <c r="C1472" s="211">
        <v>0</v>
      </c>
      <c r="D1472" s="211">
        <v>0</v>
      </c>
      <c r="E1472" s="211">
        <v>-1123027</v>
      </c>
      <c r="G1472" s="211">
        <f t="shared" si="26"/>
        <v>-1123027</v>
      </c>
      <c r="H1472" s="211" t="s">
        <v>80</v>
      </c>
      <c r="J1472" s="211">
        <f>VLOOKUP(A1472,'JULY-TB'!A:G,7,0)</f>
        <v>-1123027</v>
      </c>
    </row>
    <row r="1473" spans="1:11">
      <c r="A1473" s="211" t="s">
        <v>1040</v>
      </c>
      <c r="B1473" s="211">
        <v>-44079386.990000002</v>
      </c>
      <c r="C1473" s="211">
        <v>0</v>
      </c>
      <c r="D1473" s="211">
        <v>0</v>
      </c>
      <c r="E1473" s="211">
        <v>-44079386.990000002</v>
      </c>
      <c r="G1473" s="211">
        <f t="shared" si="26"/>
        <v>-44079386.990000002</v>
      </c>
      <c r="H1473" s="211" t="s">
        <v>80</v>
      </c>
      <c r="J1473" s="211">
        <f>VLOOKUP(A1473,'JULY-TB'!A:G,7,0)</f>
        <v>-44079386.990000002</v>
      </c>
    </row>
    <row r="1474" spans="1:11">
      <c r="A1474" s="211" t="s">
        <v>375</v>
      </c>
      <c r="B1474" s="211">
        <v>30173509.920000002</v>
      </c>
      <c r="C1474" s="211">
        <v>0</v>
      </c>
      <c r="D1474" s="211">
        <v>0</v>
      </c>
      <c r="E1474" s="211">
        <v>30173509.920000002</v>
      </c>
      <c r="G1474" s="211">
        <f t="shared" si="26"/>
        <v>30173509.920000002</v>
      </c>
      <c r="H1474" s="211" t="s">
        <v>80</v>
      </c>
      <c r="J1474" s="211">
        <f>VLOOKUP(A1474,'JULY-TB'!A:G,7,0)</f>
        <v>30173509.899999999</v>
      </c>
    </row>
    <row r="1476" spans="1:11">
      <c r="B1476" s="211">
        <f>SUBTOTAL(9,B3:B1474)</f>
        <v>-6.7055225372314453E-8</v>
      </c>
      <c r="C1476" s="211">
        <f t="shared" ref="C1476:G1476" si="27">SUBTOTAL(9,C3:C1474)</f>
        <v>7507832353.5199995</v>
      </c>
      <c r="D1476" s="211">
        <f t="shared" si="27"/>
        <v>7507832353.5199995</v>
      </c>
      <c r="E1476" s="211">
        <f t="shared" si="27"/>
        <v>-7.8231096267700195E-7</v>
      </c>
      <c r="F1476" s="211">
        <f t="shared" si="27"/>
        <v>3920094</v>
      </c>
      <c r="G1476" s="210">
        <f t="shared" si="27"/>
        <v>25388071.999999218</v>
      </c>
      <c r="K1476" s="210">
        <f>SUBTOTAL(9,K3:K1474)</f>
        <v>-274586833.01999992</v>
      </c>
    </row>
  </sheetData>
  <autoFilter ref="A2:M1474" xr:uid="{7FD1151A-1FF3-408F-809E-E9A8A8C26556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EBIDTA</vt:lpstr>
      <vt:lpstr>Stock Sheet - KPW</vt:lpstr>
      <vt:lpstr>APRIL - TB -</vt:lpstr>
      <vt:lpstr>MAY- TB - </vt:lpstr>
      <vt:lpstr>JUNE - TB -</vt:lpstr>
      <vt:lpstr>JULY-TB</vt:lpstr>
      <vt:lpstr>AUGUST - TB</vt:lpstr>
      <vt:lpstr>EBIDTA!Print_Area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 Mehta</dc:creator>
  <cp:lastModifiedBy>PLASTENE INDIA LTD</cp:lastModifiedBy>
  <cp:lastPrinted>2026-09-12T10:55:23Z</cp:lastPrinted>
  <dcterms:created xsi:type="dcterms:W3CDTF">2023-12-09T11:19:00Z</dcterms:created>
  <dcterms:modified xsi:type="dcterms:W3CDTF">2026-09-18T10:28:36Z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C529DB684D0943819D53C9716DF32E55_12</vt:lpwstr>
  </property>
  <property fmtid="{D5CDD505-2E9C-101B-9397-08002B2CF9AE}" pid="3" name="KSOProductBuildVer">
    <vt:lpwstr>1033-12.2.0.13359</vt:lpwstr>
  </property>
</Properties>
</file>