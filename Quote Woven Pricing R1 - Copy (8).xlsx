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lgoyal-my.sharepoint.com/personal/anilgoyal_anilgoyal_onmicrosoft_com/Documents/Documents/Correspondence/Quote/"/>
    </mc:Choice>
  </mc:AlternateContent>
  <xr:revisionPtr revIDLastSave="13051" documentId="6_{B7397A04-06E3-44CA-ACF8-EE996D499D8A}" xr6:coauthVersionLast="47" xr6:coauthVersionMax="47" xr10:uidLastSave="{856F898A-DB1A-450E-8041-1555186F0BE6}"/>
  <bookViews>
    <workbookView xWindow="-98" yWindow="-98" windowWidth="21795" windowHeight="12975" xr2:uid="{8256409A-07D2-4E4C-8DE7-AE5DA384CBF7}"/>
  </bookViews>
  <sheets>
    <sheet name="Quote Exports" sheetId="1" r:id="rId1"/>
    <sheet name="Filter CstWs DtWs" sheetId="5" r:id="rId2"/>
    <sheet name="Z Ad Star Bag" sheetId="11" r:id="rId3"/>
    <sheet name="Working" sheetId="10" state="hidden" r:id="rId4"/>
    <sheet name="Master" sheetId="2" r:id="rId5"/>
    <sheet name="RM Prices" sheetId="9" r:id="rId6"/>
    <sheet name="Cust Master" sheetId="8" r:id="rId7"/>
    <sheet name="Master1" sheetId="7" state="hidden" r:id="rId8"/>
  </sheets>
  <definedNames>
    <definedName name="_xlnm._FilterDatabase" localSheetId="1" hidden="1">'Filter CstWs DtWs'!$A$5:$JE$216</definedName>
    <definedName name="_xlnm._FilterDatabase" localSheetId="0" hidden="1">'Quote Exports'!$B$5:$D$216</definedName>
    <definedName name="Domestic">'Cust Master'!$D$346:$D$383</definedName>
    <definedName name="Export">Table13[Export]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5" i="1" l="1"/>
  <c r="V214" i="1"/>
  <c r="V213" i="1"/>
  <c r="V211" i="1"/>
  <c r="V210" i="1"/>
  <c r="V209" i="1"/>
  <c r="V206" i="1" a="1"/>
  <c r="V206" i="1" s="1"/>
  <c r="V202" i="1"/>
  <c r="V201" i="1"/>
  <c r="V186" i="1"/>
  <c r="V185" i="1"/>
  <c r="V184" i="1" a="1"/>
  <c r="V184" i="1" s="1"/>
  <c r="V183" i="1"/>
  <c r="V175" i="1"/>
  <c r="V149" i="1"/>
  <c r="V148" i="1"/>
  <c r="V147" i="1"/>
  <c r="V143" i="1"/>
  <c r="V141" i="1"/>
  <c r="V137" i="1"/>
  <c r="V135" i="1" a="1"/>
  <c r="V135" i="1" s="1"/>
  <c r="V122" i="1"/>
  <c r="V68" i="1" a="1"/>
  <c r="V68" i="1" s="1"/>
  <c r="V67" i="1" a="1"/>
  <c r="V67" i="1" s="1"/>
  <c r="V66" i="1" a="1"/>
  <c r="V66" i="1" s="1"/>
  <c r="V65" i="1" a="1"/>
  <c r="V65" i="1" s="1"/>
  <c r="V64" i="1" a="1"/>
  <c r="V64" i="1" s="1"/>
  <c r="V63" i="1" a="1"/>
  <c r="V63" i="1" s="1"/>
  <c r="V62" i="1" a="1"/>
  <c r="V62" i="1" s="1"/>
  <c r="V61" i="1" a="1"/>
  <c r="V61" i="1" s="1"/>
  <c r="V60" i="1" a="1"/>
  <c r="V60" i="1" s="1"/>
  <c r="V59" i="1" a="1"/>
  <c r="V59" i="1" s="1"/>
  <c r="V58" i="1" a="1"/>
  <c r="V58" i="1" s="1"/>
  <c r="V57" i="1" a="1"/>
  <c r="V57" i="1" s="1"/>
  <c r="V56" i="1" a="1"/>
  <c r="V56" i="1" s="1"/>
  <c r="V55" i="1" a="1"/>
  <c r="V55" i="1" s="1"/>
  <c r="V54" i="1" a="1"/>
  <c r="V54" i="1" s="1"/>
  <c r="V53" i="1" a="1"/>
  <c r="V53" i="1" s="1"/>
  <c r="V52" i="1" a="1"/>
  <c r="V52" i="1" s="1"/>
  <c r="V51" i="1" a="1"/>
  <c r="V51" i="1" s="1"/>
  <c r="V50" i="1" a="1"/>
  <c r="V50" i="1" s="1"/>
  <c r="V49" i="1" a="1"/>
  <c r="V49" i="1" s="1"/>
  <c r="V48" i="1" a="1"/>
  <c r="V48" i="1" s="1"/>
  <c r="V47" i="1" a="1"/>
  <c r="V47" i="1" s="1"/>
  <c r="V46" i="1" a="1"/>
  <c r="V46" i="1" s="1"/>
  <c r="V43" i="1" a="1"/>
  <c r="V43" i="1" s="1"/>
  <c r="V32" i="1"/>
  <c r="V29" i="1"/>
  <c r="V20" i="1"/>
  <c r="V16" i="1" a="1"/>
  <c r="V16" i="1" s="1"/>
  <c r="DU36" i="11"/>
  <c r="DU26" i="11" a="1"/>
  <c r="DU26" i="11" s="1"/>
  <c r="DU28" i="11" s="1"/>
  <c r="DU22" i="11"/>
  <c r="DU20" i="11" a="1"/>
  <c r="DU20" i="11" s="1"/>
  <c r="DU23" i="11" s="1"/>
  <c r="DT26" i="11" a="1"/>
  <c r="DT26" i="11" s="1"/>
  <c r="DT28" i="11" s="1"/>
  <c r="DT22" i="11"/>
  <c r="DT20" i="11" a="1"/>
  <c r="DT20" i="11" s="1"/>
  <c r="DT23" i="11" s="1"/>
  <c r="U169" i="1"/>
  <c r="U215" i="1"/>
  <c r="U214" i="1"/>
  <c r="U213" i="1"/>
  <c r="U211" i="1"/>
  <c r="U210" i="1"/>
  <c r="U209" i="1"/>
  <c r="U206" i="1" a="1"/>
  <c r="U206" i="1" s="1"/>
  <c r="U202" i="1"/>
  <c r="U201" i="1"/>
  <c r="U186" i="1"/>
  <c r="U185" i="1"/>
  <c r="U184" i="1" a="1"/>
  <c r="U184" i="1" s="1"/>
  <c r="U183" i="1"/>
  <c r="U175" i="1"/>
  <c r="U149" i="1"/>
  <c r="U148" i="1"/>
  <c r="U147" i="1"/>
  <c r="U143" i="1"/>
  <c r="U141" i="1"/>
  <c r="U137" i="1"/>
  <c r="U135" i="1" a="1"/>
  <c r="U135" i="1" s="1"/>
  <c r="U122" i="1"/>
  <c r="U68" i="1" a="1"/>
  <c r="U68" i="1" s="1"/>
  <c r="U67" i="1" a="1"/>
  <c r="U67" i="1" s="1"/>
  <c r="U66" i="1" a="1"/>
  <c r="U66" i="1" s="1"/>
  <c r="U65" i="1" a="1"/>
  <c r="U65" i="1" s="1"/>
  <c r="U64" i="1" a="1"/>
  <c r="U64" i="1" s="1"/>
  <c r="U63" i="1" a="1"/>
  <c r="U63" i="1" s="1"/>
  <c r="U62" i="1" a="1"/>
  <c r="U62" i="1" s="1"/>
  <c r="U61" i="1" a="1"/>
  <c r="U61" i="1" s="1"/>
  <c r="U60" i="1" a="1"/>
  <c r="U60" i="1" s="1"/>
  <c r="U59" i="1" a="1"/>
  <c r="U59" i="1" s="1"/>
  <c r="U58" i="1" a="1"/>
  <c r="U58" i="1" s="1"/>
  <c r="U57" i="1" a="1"/>
  <c r="U57" i="1" s="1"/>
  <c r="U56" i="1" a="1"/>
  <c r="U56" i="1" s="1"/>
  <c r="U55" i="1" a="1"/>
  <c r="U55" i="1" s="1"/>
  <c r="U54" i="1" a="1"/>
  <c r="U54" i="1" s="1"/>
  <c r="U53" i="1" a="1"/>
  <c r="U53" i="1" s="1"/>
  <c r="U52" i="1" a="1"/>
  <c r="U52" i="1" s="1"/>
  <c r="U51" i="1" a="1"/>
  <c r="U51" i="1" s="1"/>
  <c r="U50" i="1" a="1"/>
  <c r="U50" i="1" s="1"/>
  <c r="U49" i="1" a="1"/>
  <c r="U49" i="1" s="1"/>
  <c r="U48" i="1" a="1"/>
  <c r="U48" i="1" s="1"/>
  <c r="U47" i="1" a="1"/>
  <c r="U47" i="1" s="1"/>
  <c r="U46" i="1" a="1"/>
  <c r="U46" i="1" s="1"/>
  <c r="U43" i="1" a="1"/>
  <c r="U43" i="1" s="1"/>
  <c r="U32" i="1"/>
  <c r="U29" i="1"/>
  <c r="U20" i="1"/>
  <c r="U16" i="1" a="1"/>
  <c r="U16" i="1" s="1"/>
  <c r="B33" i="8"/>
  <c r="T215" i="1"/>
  <c r="T214" i="1"/>
  <c r="T213" i="1"/>
  <c r="T211" i="1"/>
  <c r="T210" i="1"/>
  <c r="T209" i="1"/>
  <c r="T206" i="1" a="1"/>
  <c r="T206" i="1" s="1"/>
  <c r="T202" i="1"/>
  <c r="T201" i="1"/>
  <c r="T186" i="1"/>
  <c r="T185" i="1"/>
  <c r="T184" i="1" a="1"/>
  <c r="T184" i="1" s="1"/>
  <c r="T183" i="1"/>
  <c r="T175" i="1"/>
  <c r="T149" i="1"/>
  <c r="T148" i="1"/>
  <c r="T147" i="1"/>
  <c r="T143" i="1"/>
  <c r="T141" i="1"/>
  <c r="T137" i="1"/>
  <c r="T135" i="1" a="1"/>
  <c r="T135" i="1" s="1"/>
  <c r="T122" i="1"/>
  <c r="T68" i="1" a="1"/>
  <c r="T68" i="1" s="1"/>
  <c r="T67" i="1" a="1"/>
  <c r="T67" i="1" s="1"/>
  <c r="T66" i="1" a="1"/>
  <c r="T66" i="1" s="1"/>
  <c r="T65" i="1" a="1"/>
  <c r="T65" i="1" s="1"/>
  <c r="T64" i="1" a="1"/>
  <c r="T64" i="1" s="1"/>
  <c r="T63" i="1" a="1"/>
  <c r="T63" i="1" s="1"/>
  <c r="T62" i="1" a="1"/>
  <c r="T62" i="1" s="1"/>
  <c r="T61" i="1" a="1"/>
  <c r="T61" i="1" s="1"/>
  <c r="T60" i="1" a="1"/>
  <c r="T60" i="1" s="1"/>
  <c r="T59" i="1" a="1"/>
  <c r="T59" i="1" s="1"/>
  <c r="T58" i="1" a="1"/>
  <c r="T58" i="1" s="1"/>
  <c r="T57" i="1" a="1"/>
  <c r="T57" i="1" s="1"/>
  <c r="T56" i="1" a="1"/>
  <c r="T56" i="1" s="1"/>
  <c r="T55" i="1" a="1"/>
  <c r="T55" i="1" s="1"/>
  <c r="T54" i="1" a="1"/>
  <c r="T54" i="1" s="1"/>
  <c r="T53" i="1" a="1"/>
  <c r="T53" i="1" s="1"/>
  <c r="T52" i="1" a="1"/>
  <c r="T52" i="1" s="1"/>
  <c r="T51" i="1" a="1"/>
  <c r="T51" i="1" s="1"/>
  <c r="T50" i="1" a="1"/>
  <c r="T50" i="1" s="1"/>
  <c r="T49" i="1" a="1"/>
  <c r="T49" i="1" s="1"/>
  <c r="T48" i="1" a="1"/>
  <c r="T48" i="1" s="1"/>
  <c r="T112" i="1" s="1" a="1"/>
  <c r="T112" i="1" s="1"/>
  <c r="T47" i="1" a="1"/>
  <c r="T47" i="1" s="1"/>
  <c r="T46" i="1" a="1"/>
  <c r="T46" i="1" s="1"/>
  <c r="T43" i="1" a="1"/>
  <c r="T43" i="1" s="1"/>
  <c r="T32" i="1"/>
  <c r="T29" i="1"/>
  <c r="T20" i="1"/>
  <c r="T16" i="1" a="1"/>
  <c r="T16" i="1" s="1"/>
  <c r="S215" i="1"/>
  <c r="S214" i="1"/>
  <c r="S213" i="1"/>
  <c r="S211" i="1"/>
  <c r="S210" i="1"/>
  <c r="S209" i="1"/>
  <c r="S206" i="1" a="1"/>
  <c r="S206" i="1" s="1"/>
  <c r="S202" i="1"/>
  <c r="S201" i="1"/>
  <c r="S186" i="1"/>
  <c r="S185" i="1"/>
  <c r="S184" i="1" a="1"/>
  <c r="S184" i="1" s="1"/>
  <c r="S183" i="1"/>
  <c r="S175" i="1"/>
  <c r="S149" i="1"/>
  <c r="S148" i="1"/>
  <c r="S147" i="1"/>
  <c r="S143" i="1"/>
  <c r="S141" i="1"/>
  <c r="S137" i="1"/>
  <c r="S135" i="1" a="1"/>
  <c r="S135" i="1" s="1"/>
  <c r="S122" i="1"/>
  <c r="S68" i="1" a="1"/>
  <c r="S68" i="1" s="1"/>
  <c r="S67" i="1" a="1"/>
  <c r="S67" i="1" s="1"/>
  <c r="S66" i="1" a="1"/>
  <c r="S66" i="1" s="1"/>
  <c r="S65" i="1" a="1"/>
  <c r="S65" i="1" s="1"/>
  <c r="S64" i="1" a="1"/>
  <c r="S64" i="1" s="1"/>
  <c r="S63" i="1" a="1"/>
  <c r="S63" i="1" s="1"/>
  <c r="S62" i="1" a="1"/>
  <c r="S62" i="1" s="1"/>
  <c r="S61" i="1" a="1"/>
  <c r="S61" i="1" s="1"/>
  <c r="S60" i="1" a="1"/>
  <c r="S60" i="1" s="1"/>
  <c r="S59" i="1" a="1"/>
  <c r="S59" i="1" s="1"/>
  <c r="S58" i="1" a="1"/>
  <c r="S58" i="1" s="1"/>
  <c r="S57" i="1" a="1"/>
  <c r="S57" i="1" s="1"/>
  <c r="S56" i="1" a="1"/>
  <c r="S56" i="1" s="1"/>
  <c r="S55" i="1" a="1"/>
  <c r="S55" i="1" s="1"/>
  <c r="S54" i="1" a="1"/>
  <c r="S54" i="1" s="1"/>
  <c r="S53" i="1" a="1"/>
  <c r="S53" i="1" s="1"/>
  <c r="S52" i="1" a="1"/>
  <c r="S52" i="1" s="1"/>
  <c r="S51" i="1" a="1"/>
  <c r="S51" i="1" s="1"/>
  <c r="S50" i="1" a="1"/>
  <c r="S50" i="1" s="1"/>
  <c r="S49" i="1" a="1"/>
  <c r="S49" i="1" s="1"/>
  <c r="S48" i="1" a="1"/>
  <c r="S48" i="1" s="1"/>
  <c r="S47" i="1" a="1"/>
  <c r="S47" i="1" s="1"/>
  <c r="S46" i="1" a="1"/>
  <c r="S46" i="1" s="1"/>
  <c r="S43" i="1" a="1"/>
  <c r="S43" i="1" s="1"/>
  <c r="S32" i="1"/>
  <c r="S29" i="1"/>
  <c r="S20" i="1"/>
  <c r="S16" i="1" a="1"/>
  <c r="S16" i="1" s="1"/>
  <c r="B165" i="8"/>
  <c r="R215" i="1"/>
  <c r="R214" i="1"/>
  <c r="R213" i="1"/>
  <c r="R211" i="1"/>
  <c r="R210" i="1"/>
  <c r="R209" i="1"/>
  <c r="R206" i="1" a="1"/>
  <c r="R206" i="1" s="1"/>
  <c r="R202" i="1"/>
  <c r="R201" i="1"/>
  <c r="R186" i="1"/>
  <c r="R185" i="1"/>
  <c r="R184" i="1" a="1"/>
  <c r="R184" i="1" s="1"/>
  <c r="R183" i="1"/>
  <c r="R175" i="1"/>
  <c r="R149" i="1"/>
  <c r="R148" i="1"/>
  <c r="R147" i="1"/>
  <c r="R143" i="1"/>
  <c r="R141" i="1"/>
  <c r="R137" i="1"/>
  <c r="R135" i="1" a="1"/>
  <c r="R135" i="1" s="1"/>
  <c r="R122" i="1"/>
  <c r="R68" i="1" a="1"/>
  <c r="R68" i="1" s="1"/>
  <c r="R67" i="1" a="1"/>
  <c r="R67" i="1" s="1"/>
  <c r="R66" i="1" a="1"/>
  <c r="R66" i="1" s="1"/>
  <c r="R65" i="1" a="1"/>
  <c r="R65" i="1" s="1"/>
  <c r="R64" i="1" a="1"/>
  <c r="R64" i="1" s="1"/>
  <c r="R63" i="1" a="1"/>
  <c r="R63" i="1" s="1"/>
  <c r="R62" i="1" a="1"/>
  <c r="R62" i="1" s="1"/>
  <c r="R61" i="1" a="1"/>
  <c r="R61" i="1" s="1"/>
  <c r="R60" i="1" a="1"/>
  <c r="R60" i="1" s="1"/>
  <c r="R59" i="1" a="1"/>
  <c r="R59" i="1" s="1"/>
  <c r="R58" i="1" a="1"/>
  <c r="R58" i="1" s="1"/>
  <c r="R57" i="1" a="1"/>
  <c r="R57" i="1" s="1"/>
  <c r="R56" i="1" a="1"/>
  <c r="R56" i="1" s="1"/>
  <c r="R55" i="1" a="1"/>
  <c r="R55" i="1" s="1"/>
  <c r="R54" i="1" a="1"/>
  <c r="R54" i="1" s="1"/>
  <c r="R53" i="1" a="1"/>
  <c r="R53" i="1" s="1"/>
  <c r="R52" i="1" a="1"/>
  <c r="R52" i="1" s="1"/>
  <c r="R51" i="1" a="1"/>
  <c r="R51" i="1" s="1"/>
  <c r="R50" i="1" a="1"/>
  <c r="R50" i="1" s="1"/>
  <c r="R49" i="1" a="1"/>
  <c r="R49" i="1" s="1"/>
  <c r="R48" i="1" a="1"/>
  <c r="R48" i="1" s="1"/>
  <c r="R47" i="1" a="1"/>
  <c r="R47" i="1" s="1"/>
  <c r="R46" i="1" a="1"/>
  <c r="R46" i="1" s="1"/>
  <c r="R43" i="1" a="1"/>
  <c r="R43" i="1" s="1"/>
  <c r="R32" i="1"/>
  <c r="R29" i="1"/>
  <c r="R20" i="1"/>
  <c r="R16" i="1" a="1"/>
  <c r="R16" i="1" s="1"/>
  <c r="DS26" i="11" a="1"/>
  <c r="DS26" i="11" s="1"/>
  <c r="DS28" i="11" s="1"/>
  <c r="DS22" i="11"/>
  <c r="DS20" i="11" a="1"/>
  <c r="DS20" i="11" s="1"/>
  <c r="DS23" i="11" s="1"/>
  <c r="DS36" i="11" s="1"/>
  <c r="Q215" i="1"/>
  <c r="Q214" i="1"/>
  <c r="Q213" i="1"/>
  <c r="Q211" i="1"/>
  <c r="Q210" i="1"/>
  <c r="Q209" i="1"/>
  <c r="Q206" i="1" a="1"/>
  <c r="Q206" i="1" s="1"/>
  <c r="Q202" i="1"/>
  <c r="Q201" i="1"/>
  <c r="Q186" i="1"/>
  <c r="Q185" i="1"/>
  <c r="Q184" i="1" a="1"/>
  <c r="Q184" i="1" s="1"/>
  <c r="Q183" i="1"/>
  <c r="Q175" i="1"/>
  <c r="Q149" i="1"/>
  <c r="Q148" i="1"/>
  <c r="Q147" i="1"/>
  <c r="Q143" i="1"/>
  <c r="Q141" i="1"/>
  <c r="Q137" i="1"/>
  <c r="Q135" i="1" a="1"/>
  <c r="Q135" i="1" s="1"/>
  <c r="Q122" i="1"/>
  <c r="Q68" i="1" a="1"/>
  <c r="Q68" i="1" s="1"/>
  <c r="Q67" i="1" a="1"/>
  <c r="Q67" i="1" s="1"/>
  <c r="Q66" i="1" a="1"/>
  <c r="Q66" i="1" s="1"/>
  <c r="Q65" i="1" a="1"/>
  <c r="Q65" i="1" s="1"/>
  <c r="Q64" i="1" a="1"/>
  <c r="Q64" i="1" s="1"/>
  <c r="Q63" i="1" a="1"/>
  <c r="Q63" i="1" s="1"/>
  <c r="Q62" i="1" a="1"/>
  <c r="Q62" i="1" s="1"/>
  <c r="Q61" i="1" a="1"/>
  <c r="Q61" i="1" s="1"/>
  <c r="Q60" i="1" a="1"/>
  <c r="Q60" i="1" s="1"/>
  <c r="Q59" i="1" a="1"/>
  <c r="Q59" i="1" s="1"/>
  <c r="Q58" i="1" a="1"/>
  <c r="Q58" i="1" s="1"/>
  <c r="Q57" i="1" a="1"/>
  <c r="Q57" i="1" s="1"/>
  <c r="Q56" i="1" a="1"/>
  <c r="Q56" i="1" s="1"/>
  <c r="Q55" i="1" a="1"/>
  <c r="Q55" i="1" s="1"/>
  <c r="Q54" i="1" a="1"/>
  <c r="Q54" i="1" s="1"/>
  <c r="Q53" i="1" a="1"/>
  <c r="Q53" i="1" s="1"/>
  <c r="Q52" i="1" a="1"/>
  <c r="Q52" i="1" s="1"/>
  <c r="Q51" i="1" a="1"/>
  <c r="Q51" i="1" s="1"/>
  <c r="Q50" i="1" a="1"/>
  <c r="Q50" i="1" s="1"/>
  <c r="Q49" i="1" a="1"/>
  <c r="Q49" i="1" s="1"/>
  <c r="Q48" i="1" a="1"/>
  <c r="Q48" i="1" s="1"/>
  <c r="Q47" i="1" a="1"/>
  <c r="Q47" i="1" s="1"/>
  <c r="Q46" i="1" a="1"/>
  <c r="Q46" i="1" s="1"/>
  <c r="Q43" i="1" a="1"/>
  <c r="Q43" i="1" s="1"/>
  <c r="Q32" i="1"/>
  <c r="Q29" i="1"/>
  <c r="Q20" i="1"/>
  <c r="Q16" i="1" a="1"/>
  <c r="Q16" i="1" s="1"/>
  <c r="P215" i="1"/>
  <c r="P214" i="1"/>
  <c r="P213" i="1"/>
  <c r="P211" i="1"/>
  <c r="P210" i="1"/>
  <c r="P209" i="1"/>
  <c r="P206" i="1" a="1"/>
  <c r="P206" i="1" s="1"/>
  <c r="P202" i="1"/>
  <c r="P201" i="1"/>
  <c r="P186" i="1"/>
  <c r="P185" i="1"/>
  <c r="P184" i="1" a="1"/>
  <c r="P184" i="1" s="1"/>
  <c r="P183" i="1"/>
  <c r="P175" i="1"/>
  <c r="P149" i="1"/>
  <c r="P148" i="1"/>
  <c r="P147" i="1"/>
  <c r="P143" i="1"/>
  <c r="P141" i="1"/>
  <c r="P137" i="1"/>
  <c r="P135" i="1" a="1"/>
  <c r="P135" i="1" s="1"/>
  <c r="P122" i="1"/>
  <c r="P68" i="1" a="1"/>
  <c r="P68" i="1" s="1"/>
  <c r="P67" i="1" a="1"/>
  <c r="P67" i="1" s="1"/>
  <c r="P66" i="1" a="1"/>
  <c r="P66" i="1" s="1"/>
  <c r="P65" i="1" a="1"/>
  <c r="P65" i="1" s="1"/>
  <c r="P64" i="1" a="1"/>
  <c r="P64" i="1" s="1"/>
  <c r="P63" i="1" a="1"/>
  <c r="P63" i="1" s="1"/>
  <c r="P62" i="1" a="1"/>
  <c r="P62" i="1" s="1"/>
  <c r="P61" i="1" a="1"/>
  <c r="P61" i="1" s="1"/>
  <c r="P60" i="1" a="1"/>
  <c r="P60" i="1" s="1"/>
  <c r="P59" i="1" a="1"/>
  <c r="P59" i="1" s="1"/>
  <c r="P58" i="1" a="1"/>
  <c r="P58" i="1" s="1"/>
  <c r="P57" i="1" a="1"/>
  <c r="P57" i="1" s="1"/>
  <c r="P56" i="1" a="1"/>
  <c r="P56" i="1" s="1"/>
  <c r="P55" i="1" a="1"/>
  <c r="P55" i="1" s="1"/>
  <c r="P54" i="1" a="1"/>
  <c r="P54" i="1" s="1"/>
  <c r="P53" i="1" a="1"/>
  <c r="P53" i="1" s="1"/>
  <c r="P52" i="1" a="1"/>
  <c r="P52" i="1" s="1"/>
  <c r="P51" i="1" a="1"/>
  <c r="P51" i="1" s="1"/>
  <c r="P50" i="1" a="1"/>
  <c r="P50" i="1" s="1"/>
  <c r="P49" i="1" a="1"/>
  <c r="P49" i="1" s="1"/>
  <c r="P48" i="1" a="1"/>
  <c r="P48" i="1" s="1"/>
  <c r="P112" i="1" s="1" a="1"/>
  <c r="P112" i="1" s="1"/>
  <c r="P47" i="1" a="1"/>
  <c r="P47" i="1" s="1"/>
  <c r="P46" i="1" a="1"/>
  <c r="P46" i="1" s="1"/>
  <c r="P43" i="1" a="1"/>
  <c r="P43" i="1" s="1"/>
  <c r="P32" i="1"/>
  <c r="P29" i="1"/>
  <c r="P20" i="1"/>
  <c r="P16" i="1" a="1"/>
  <c r="P16" i="1" s="1"/>
  <c r="O215" i="1"/>
  <c r="N215" i="1"/>
  <c r="M215" i="1"/>
  <c r="O214" i="1"/>
  <c r="N214" i="1"/>
  <c r="M214" i="1"/>
  <c r="O213" i="1"/>
  <c r="N213" i="1"/>
  <c r="M213" i="1"/>
  <c r="O211" i="1"/>
  <c r="N211" i="1"/>
  <c r="M211" i="1"/>
  <c r="O210" i="1"/>
  <c r="N210" i="1"/>
  <c r="M210" i="1"/>
  <c r="O209" i="1"/>
  <c r="N209" i="1"/>
  <c r="M209" i="1"/>
  <c r="O206" i="1" a="1"/>
  <c r="O206" i="1" s="1"/>
  <c r="N206" i="1" a="1"/>
  <c r="N206" i="1" s="1"/>
  <c r="M206" i="1" a="1"/>
  <c r="M206" i="1" s="1"/>
  <c r="O202" i="1"/>
  <c r="N202" i="1"/>
  <c r="M202" i="1"/>
  <c r="O201" i="1"/>
  <c r="N201" i="1"/>
  <c r="M201" i="1"/>
  <c r="O186" i="1"/>
  <c r="N186" i="1"/>
  <c r="M186" i="1"/>
  <c r="O185" i="1"/>
  <c r="N185" i="1"/>
  <c r="M185" i="1"/>
  <c r="O184" i="1" a="1"/>
  <c r="O184" i="1" s="1"/>
  <c r="N184" i="1" a="1"/>
  <c r="N184" i="1" s="1"/>
  <c r="M184" i="1" a="1"/>
  <c r="M184" i="1" s="1"/>
  <c r="O183" i="1"/>
  <c r="N183" i="1"/>
  <c r="M183" i="1"/>
  <c r="O175" i="1"/>
  <c r="N175" i="1"/>
  <c r="M175" i="1"/>
  <c r="O149" i="1"/>
  <c r="N149" i="1"/>
  <c r="M149" i="1"/>
  <c r="O148" i="1"/>
  <c r="N148" i="1"/>
  <c r="M148" i="1"/>
  <c r="O147" i="1"/>
  <c r="N147" i="1"/>
  <c r="M147" i="1"/>
  <c r="O143" i="1"/>
  <c r="N143" i="1"/>
  <c r="M143" i="1"/>
  <c r="O141" i="1"/>
  <c r="N141" i="1"/>
  <c r="M141" i="1"/>
  <c r="O137" i="1"/>
  <c r="N137" i="1"/>
  <c r="M137" i="1"/>
  <c r="O135" i="1" a="1"/>
  <c r="O135" i="1" s="1"/>
  <c r="N135" i="1" a="1"/>
  <c r="N135" i="1" s="1"/>
  <c r="M135" i="1" a="1"/>
  <c r="M135" i="1" s="1"/>
  <c r="O122" i="1"/>
  <c r="N122" i="1"/>
  <c r="M122" i="1"/>
  <c r="O68" i="1" a="1"/>
  <c r="O68" i="1" s="1"/>
  <c r="N68" i="1" a="1"/>
  <c r="N68" i="1" s="1"/>
  <c r="M68" i="1" a="1"/>
  <c r="M68" i="1" s="1"/>
  <c r="O67" i="1" a="1"/>
  <c r="O67" i="1" s="1"/>
  <c r="N67" i="1" a="1"/>
  <c r="N67" i="1" s="1"/>
  <c r="M67" i="1" a="1"/>
  <c r="M67" i="1" s="1"/>
  <c r="O66" i="1" a="1"/>
  <c r="O66" i="1" s="1"/>
  <c r="N66" i="1" a="1"/>
  <c r="N66" i="1" s="1"/>
  <c r="M66" i="1" a="1"/>
  <c r="M66" i="1" s="1"/>
  <c r="O65" i="1" a="1"/>
  <c r="O65" i="1" s="1"/>
  <c r="N65" i="1" a="1"/>
  <c r="N65" i="1" s="1"/>
  <c r="M65" i="1" a="1"/>
  <c r="M65" i="1" s="1"/>
  <c r="O64" i="1" a="1"/>
  <c r="O64" i="1" s="1"/>
  <c r="N64" i="1" a="1"/>
  <c r="N64" i="1" s="1"/>
  <c r="M64" i="1" a="1"/>
  <c r="M64" i="1" s="1"/>
  <c r="O63" i="1" a="1"/>
  <c r="O63" i="1" s="1"/>
  <c r="N63" i="1" a="1"/>
  <c r="N63" i="1" s="1"/>
  <c r="M63" i="1" a="1"/>
  <c r="M63" i="1" s="1"/>
  <c r="O62" i="1" a="1"/>
  <c r="O62" i="1" s="1"/>
  <c r="N62" i="1" a="1"/>
  <c r="N62" i="1" s="1"/>
  <c r="M62" i="1" a="1"/>
  <c r="M62" i="1" s="1"/>
  <c r="O61" i="1" a="1"/>
  <c r="O61" i="1" s="1"/>
  <c r="N61" i="1" a="1"/>
  <c r="N61" i="1" s="1"/>
  <c r="M61" i="1" a="1"/>
  <c r="M61" i="1" s="1"/>
  <c r="O60" i="1" a="1"/>
  <c r="O60" i="1" s="1"/>
  <c r="N60" i="1" a="1"/>
  <c r="N60" i="1" s="1"/>
  <c r="M60" i="1" a="1"/>
  <c r="M60" i="1" s="1"/>
  <c r="O59" i="1" a="1"/>
  <c r="O59" i="1" s="1"/>
  <c r="N59" i="1" a="1"/>
  <c r="N59" i="1" s="1"/>
  <c r="M59" i="1" a="1"/>
  <c r="M59" i="1" s="1"/>
  <c r="O58" i="1" a="1"/>
  <c r="O58" i="1" s="1"/>
  <c r="N58" i="1" a="1"/>
  <c r="N58" i="1" s="1"/>
  <c r="M58" i="1" a="1"/>
  <c r="M58" i="1" s="1"/>
  <c r="O57" i="1" a="1"/>
  <c r="O57" i="1" s="1"/>
  <c r="N57" i="1" a="1"/>
  <c r="N57" i="1" s="1"/>
  <c r="M57" i="1" a="1"/>
  <c r="M57" i="1" s="1"/>
  <c r="O56" i="1" a="1"/>
  <c r="O56" i="1" s="1"/>
  <c r="N56" i="1" a="1"/>
  <c r="N56" i="1" s="1"/>
  <c r="M56" i="1" a="1"/>
  <c r="M56" i="1" s="1"/>
  <c r="O55" i="1" a="1"/>
  <c r="O55" i="1" s="1"/>
  <c r="N55" i="1" a="1"/>
  <c r="N55" i="1" s="1"/>
  <c r="M55" i="1" a="1"/>
  <c r="M55" i="1" s="1"/>
  <c r="O54" i="1" a="1"/>
  <c r="O54" i="1" s="1"/>
  <c r="N54" i="1" a="1"/>
  <c r="N54" i="1" s="1"/>
  <c r="M54" i="1" a="1"/>
  <c r="M54" i="1" s="1"/>
  <c r="O53" i="1" a="1"/>
  <c r="O53" i="1" s="1"/>
  <c r="N53" i="1" a="1"/>
  <c r="N53" i="1" s="1"/>
  <c r="M53" i="1" a="1"/>
  <c r="M53" i="1" s="1"/>
  <c r="O52" i="1" a="1"/>
  <c r="O52" i="1" s="1"/>
  <c r="N52" i="1" a="1"/>
  <c r="N52" i="1" s="1"/>
  <c r="M52" i="1" a="1"/>
  <c r="M52" i="1" s="1"/>
  <c r="O51" i="1" a="1"/>
  <c r="O51" i="1" s="1"/>
  <c r="N51" i="1" a="1"/>
  <c r="N51" i="1" s="1"/>
  <c r="M51" i="1" a="1"/>
  <c r="M51" i="1" s="1"/>
  <c r="O50" i="1" a="1"/>
  <c r="O50" i="1" s="1"/>
  <c r="N50" i="1" a="1"/>
  <c r="N50" i="1" s="1"/>
  <c r="M50" i="1" a="1"/>
  <c r="M50" i="1" s="1"/>
  <c r="O49" i="1" a="1"/>
  <c r="O49" i="1" s="1"/>
  <c r="N49" i="1" a="1"/>
  <c r="N49" i="1" s="1"/>
  <c r="M49" i="1" a="1"/>
  <c r="M49" i="1" s="1"/>
  <c r="O48" i="1" a="1"/>
  <c r="O48" i="1" s="1"/>
  <c r="N48" i="1" a="1"/>
  <c r="N48" i="1" s="1"/>
  <c r="M48" i="1" a="1"/>
  <c r="M48" i="1" s="1"/>
  <c r="O47" i="1" a="1"/>
  <c r="O47" i="1" s="1"/>
  <c r="N47" i="1" a="1"/>
  <c r="N47" i="1" s="1"/>
  <c r="M47" i="1" a="1"/>
  <c r="M47" i="1" s="1"/>
  <c r="O46" i="1" a="1"/>
  <c r="O46" i="1" s="1"/>
  <c r="N46" i="1" a="1"/>
  <c r="N46" i="1" s="1"/>
  <c r="M46" i="1" a="1"/>
  <c r="M46" i="1" s="1"/>
  <c r="O43" i="1" a="1"/>
  <c r="O43" i="1" s="1"/>
  <c r="N43" i="1" a="1"/>
  <c r="N43" i="1" s="1"/>
  <c r="M43" i="1" a="1"/>
  <c r="M43" i="1" s="1"/>
  <c r="O32" i="1"/>
  <c r="N32" i="1"/>
  <c r="M32" i="1"/>
  <c r="O29" i="1"/>
  <c r="N29" i="1"/>
  <c r="M29" i="1"/>
  <c r="O20" i="1"/>
  <c r="N20" i="1"/>
  <c r="M20" i="1"/>
  <c r="O16" i="1" a="1"/>
  <c r="O16" i="1" s="1"/>
  <c r="N16" i="1" a="1"/>
  <c r="N16" i="1" s="1"/>
  <c r="M16" i="1" a="1"/>
  <c r="M16" i="1" s="1"/>
  <c r="L215" i="1"/>
  <c r="L214" i="1"/>
  <c r="L213" i="1"/>
  <c r="L211" i="1"/>
  <c r="L210" i="1"/>
  <c r="L209" i="1"/>
  <c r="L206" i="1" a="1"/>
  <c r="L206" i="1" s="1"/>
  <c r="L202" i="1"/>
  <c r="L201" i="1"/>
  <c r="L186" i="1"/>
  <c r="L185" i="1"/>
  <c r="L184" i="1" a="1"/>
  <c r="L184" i="1" s="1"/>
  <c r="L183" i="1"/>
  <c r="L175" i="1"/>
  <c r="L149" i="1"/>
  <c r="L148" i="1"/>
  <c r="L147" i="1"/>
  <c r="L143" i="1"/>
  <c r="L141" i="1"/>
  <c r="L137" i="1"/>
  <c r="L135" i="1" a="1"/>
  <c r="L135" i="1" s="1"/>
  <c r="L122" i="1"/>
  <c r="L68" i="1" a="1"/>
  <c r="L68" i="1" s="1"/>
  <c r="L67" i="1" a="1"/>
  <c r="L67" i="1" s="1"/>
  <c r="L66" i="1" a="1"/>
  <c r="L66" i="1" s="1"/>
  <c r="L65" i="1" a="1"/>
  <c r="L65" i="1" s="1"/>
  <c r="L64" i="1" a="1"/>
  <c r="L64" i="1" s="1"/>
  <c r="L63" i="1" a="1"/>
  <c r="L63" i="1" s="1"/>
  <c r="L62" i="1" a="1"/>
  <c r="L62" i="1" s="1"/>
  <c r="L61" i="1" a="1"/>
  <c r="L61" i="1" s="1"/>
  <c r="L60" i="1" a="1"/>
  <c r="L60" i="1" s="1"/>
  <c r="L59" i="1" a="1"/>
  <c r="L59" i="1" s="1"/>
  <c r="L58" i="1" a="1"/>
  <c r="L58" i="1" s="1"/>
  <c r="L57" i="1" a="1"/>
  <c r="L57" i="1" s="1"/>
  <c r="L56" i="1" a="1"/>
  <c r="L56" i="1" s="1"/>
  <c r="L55" i="1" a="1"/>
  <c r="L55" i="1" s="1"/>
  <c r="L54" i="1" a="1"/>
  <c r="L54" i="1" s="1"/>
  <c r="L53" i="1" a="1"/>
  <c r="L53" i="1" s="1"/>
  <c r="L52" i="1" a="1"/>
  <c r="L52" i="1" s="1"/>
  <c r="L51" i="1" a="1"/>
  <c r="L51" i="1" s="1"/>
  <c r="L50" i="1" a="1"/>
  <c r="L50" i="1" s="1"/>
  <c r="L49" i="1" a="1"/>
  <c r="L49" i="1" s="1"/>
  <c r="L48" i="1" a="1"/>
  <c r="L48" i="1" s="1"/>
  <c r="L47" i="1" a="1"/>
  <c r="L47" i="1" s="1"/>
  <c r="L46" i="1" a="1"/>
  <c r="L46" i="1" s="1"/>
  <c r="L43" i="1" a="1"/>
  <c r="L43" i="1" s="1"/>
  <c r="L32" i="1"/>
  <c r="L29" i="1"/>
  <c r="L20" i="1"/>
  <c r="L16" i="1" a="1"/>
  <c r="L16" i="1" s="1"/>
  <c r="K215" i="1"/>
  <c r="K214" i="1"/>
  <c r="K213" i="1"/>
  <c r="K211" i="1"/>
  <c r="K210" i="1"/>
  <c r="K209" i="1"/>
  <c r="K206" i="1" a="1"/>
  <c r="K206" i="1" s="1"/>
  <c r="K202" i="1"/>
  <c r="K201" i="1"/>
  <c r="K186" i="1"/>
  <c r="K185" i="1"/>
  <c r="K184" i="1" a="1"/>
  <c r="K184" i="1" s="1"/>
  <c r="K183" i="1"/>
  <c r="K175" i="1"/>
  <c r="K149" i="1"/>
  <c r="K148" i="1"/>
  <c r="K147" i="1"/>
  <c r="K143" i="1"/>
  <c r="K141" i="1"/>
  <c r="K137" i="1"/>
  <c r="K135" i="1" a="1"/>
  <c r="K135" i="1" s="1"/>
  <c r="K122" i="1"/>
  <c r="K68" i="1" a="1"/>
  <c r="K68" i="1" s="1"/>
  <c r="K67" i="1" a="1"/>
  <c r="K67" i="1" s="1"/>
  <c r="K66" i="1" a="1"/>
  <c r="K66" i="1" s="1"/>
  <c r="K65" i="1" a="1"/>
  <c r="K65" i="1" s="1"/>
  <c r="K64" i="1" a="1"/>
  <c r="K64" i="1" s="1"/>
  <c r="K63" i="1" a="1"/>
  <c r="K63" i="1" s="1"/>
  <c r="K62" i="1" a="1"/>
  <c r="K62" i="1" s="1"/>
  <c r="K61" i="1" a="1"/>
  <c r="K61" i="1" s="1"/>
  <c r="K60" i="1" a="1"/>
  <c r="K60" i="1" s="1"/>
  <c r="K59" i="1" a="1"/>
  <c r="K59" i="1" s="1"/>
  <c r="K58" i="1" a="1"/>
  <c r="K58" i="1" s="1"/>
  <c r="K57" i="1" a="1"/>
  <c r="K57" i="1" s="1"/>
  <c r="K56" i="1" a="1"/>
  <c r="K56" i="1" s="1"/>
  <c r="K55" i="1" a="1"/>
  <c r="K55" i="1" s="1"/>
  <c r="K54" i="1" a="1"/>
  <c r="K54" i="1" s="1"/>
  <c r="K53" i="1" a="1"/>
  <c r="K53" i="1" s="1"/>
  <c r="K52" i="1" a="1"/>
  <c r="K52" i="1" s="1"/>
  <c r="K51" i="1" a="1"/>
  <c r="K51" i="1" s="1"/>
  <c r="K50" i="1" a="1"/>
  <c r="K50" i="1" s="1"/>
  <c r="K49" i="1" a="1"/>
  <c r="K49" i="1" s="1"/>
  <c r="K48" i="1" a="1"/>
  <c r="K48" i="1" s="1"/>
  <c r="K47" i="1" a="1"/>
  <c r="K47" i="1" s="1"/>
  <c r="K46" i="1" a="1"/>
  <c r="K46" i="1" s="1"/>
  <c r="K43" i="1" a="1"/>
  <c r="K43" i="1" s="1"/>
  <c r="K32" i="1"/>
  <c r="K29" i="1"/>
  <c r="K20" i="1"/>
  <c r="K16" i="1" a="1"/>
  <c r="K16" i="1" s="1"/>
  <c r="J215" i="1"/>
  <c r="J214" i="1"/>
  <c r="J213" i="1"/>
  <c r="J211" i="1"/>
  <c r="J210" i="1"/>
  <c r="J209" i="1"/>
  <c r="J206" i="1" a="1"/>
  <c r="J206" i="1" s="1"/>
  <c r="J202" i="1"/>
  <c r="J201" i="1"/>
  <c r="J186" i="1"/>
  <c r="J185" i="1"/>
  <c r="J184" i="1" a="1"/>
  <c r="J184" i="1" s="1"/>
  <c r="J183" i="1"/>
  <c r="J175" i="1"/>
  <c r="J149" i="1"/>
  <c r="J148" i="1"/>
  <c r="J147" i="1"/>
  <c r="J143" i="1"/>
  <c r="J141" i="1"/>
  <c r="J137" i="1"/>
  <c r="J135" i="1" a="1"/>
  <c r="J135" i="1" s="1"/>
  <c r="J122" i="1"/>
  <c r="J68" i="1" a="1"/>
  <c r="J68" i="1" s="1"/>
  <c r="J67" i="1" a="1"/>
  <c r="J67" i="1" s="1"/>
  <c r="J66" i="1" a="1"/>
  <c r="J66" i="1" s="1"/>
  <c r="J65" i="1" a="1"/>
  <c r="J65" i="1" s="1"/>
  <c r="J64" i="1" a="1"/>
  <c r="J64" i="1" s="1"/>
  <c r="J63" i="1" a="1"/>
  <c r="J63" i="1" s="1"/>
  <c r="J62" i="1" a="1"/>
  <c r="J62" i="1" s="1"/>
  <c r="J61" i="1" a="1"/>
  <c r="J61" i="1" s="1"/>
  <c r="J60" i="1" a="1"/>
  <c r="J60" i="1" s="1"/>
  <c r="J59" i="1" a="1"/>
  <c r="J59" i="1" s="1"/>
  <c r="J58" i="1" a="1"/>
  <c r="J58" i="1" s="1"/>
  <c r="J57" i="1" a="1"/>
  <c r="J57" i="1" s="1"/>
  <c r="J56" i="1" a="1"/>
  <c r="J56" i="1" s="1"/>
  <c r="J55" i="1" a="1"/>
  <c r="J55" i="1" s="1"/>
  <c r="J54" i="1" a="1"/>
  <c r="J54" i="1" s="1"/>
  <c r="J53" i="1" a="1"/>
  <c r="J53" i="1" s="1"/>
  <c r="J52" i="1" a="1"/>
  <c r="J52" i="1" s="1"/>
  <c r="J51" i="1" a="1"/>
  <c r="J51" i="1" s="1"/>
  <c r="J50" i="1" a="1"/>
  <c r="J50" i="1" s="1"/>
  <c r="J49" i="1" a="1"/>
  <c r="J49" i="1" s="1"/>
  <c r="J48" i="1" a="1"/>
  <c r="J48" i="1" s="1"/>
  <c r="J112" i="1" s="1" a="1"/>
  <c r="J112" i="1" s="1"/>
  <c r="J47" i="1" a="1"/>
  <c r="J47" i="1" s="1"/>
  <c r="J46" i="1" a="1"/>
  <c r="J46" i="1" s="1"/>
  <c r="J43" i="1" a="1"/>
  <c r="J43" i="1" s="1"/>
  <c r="J32" i="1"/>
  <c r="J29" i="1"/>
  <c r="J20" i="1"/>
  <c r="J16" i="1" a="1"/>
  <c r="J16" i="1" s="1"/>
  <c r="I215" i="1"/>
  <c r="I214" i="1"/>
  <c r="I213" i="1"/>
  <c r="I211" i="1"/>
  <c r="I210" i="1"/>
  <c r="I209" i="1"/>
  <c r="I206" i="1" a="1"/>
  <c r="I206" i="1" s="1"/>
  <c r="I202" i="1"/>
  <c r="I201" i="1"/>
  <c r="I186" i="1"/>
  <c r="I185" i="1"/>
  <c r="I184" i="1" a="1"/>
  <c r="I184" i="1" s="1"/>
  <c r="I183" i="1"/>
  <c r="I175" i="1"/>
  <c r="I149" i="1"/>
  <c r="I148" i="1"/>
  <c r="I147" i="1"/>
  <c r="I143" i="1"/>
  <c r="I141" i="1"/>
  <c r="I137" i="1"/>
  <c r="I135" i="1" a="1"/>
  <c r="I135" i="1" s="1"/>
  <c r="I122" i="1"/>
  <c r="I68" i="1" a="1"/>
  <c r="I68" i="1" s="1"/>
  <c r="I67" i="1" a="1"/>
  <c r="I67" i="1" s="1"/>
  <c r="I66" i="1" a="1"/>
  <c r="I66" i="1" s="1"/>
  <c r="I65" i="1" a="1"/>
  <c r="I65" i="1" s="1"/>
  <c r="I64" i="1" a="1"/>
  <c r="I64" i="1" s="1"/>
  <c r="I63" i="1" a="1"/>
  <c r="I63" i="1" s="1"/>
  <c r="I62" i="1" a="1"/>
  <c r="I62" i="1" s="1"/>
  <c r="I61" i="1" a="1"/>
  <c r="I61" i="1" s="1"/>
  <c r="I60" i="1" a="1"/>
  <c r="I60" i="1" s="1"/>
  <c r="I59" i="1" a="1"/>
  <c r="I59" i="1" s="1"/>
  <c r="I58" i="1" a="1"/>
  <c r="I58" i="1" s="1"/>
  <c r="I57" i="1" a="1"/>
  <c r="I57" i="1" s="1"/>
  <c r="I56" i="1" a="1"/>
  <c r="I56" i="1" s="1"/>
  <c r="I55" i="1" a="1"/>
  <c r="I55" i="1" s="1"/>
  <c r="I54" i="1" a="1"/>
  <c r="I54" i="1" s="1"/>
  <c r="I53" i="1" a="1"/>
  <c r="I53" i="1" s="1"/>
  <c r="I52" i="1" a="1"/>
  <c r="I52" i="1" s="1"/>
  <c r="I51" i="1" a="1"/>
  <c r="I51" i="1" s="1"/>
  <c r="I50" i="1" a="1"/>
  <c r="I50" i="1" s="1"/>
  <c r="I49" i="1" a="1"/>
  <c r="I49" i="1" s="1"/>
  <c r="I48" i="1" a="1"/>
  <c r="I48" i="1" s="1"/>
  <c r="I47" i="1" a="1"/>
  <c r="I47" i="1" s="1"/>
  <c r="I46" i="1" a="1"/>
  <c r="I46" i="1" s="1"/>
  <c r="I43" i="1" a="1"/>
  <c r="I43" i="1" s="1"/>
  <c r="I32" i="1"/>
  <c r="I29" i="1"/>
  <c r="I20" i="1"/>
  <c r="I16" i="1" a="1"/>
  <c r="I16" i="1" s="1"/>
  <c r="H215" i="1"/>
  <c r="H214" i="1"/>
  <c r="H213" i="1"/>
  <c r="H211" i="1"/>
  <c r="H210" i="1"/>
  <c r="H209" i="1"/>
  <c r="H206" i="1" a="1"/>
  <c r="H206" i="1" s="1"/>
  <c r="H202" i="1"/>
  <c r="H201" i="1"/>
  <c r="H186" i="1"/>
  <c r="H185" i="1"/>
  <c r="H184" i="1" a="1"/>
  <c r="H184" i="1" s="1"/>
  <c r="H183" i="1"/>
  <c r="H175" i="1"/>
  <c r="H149" i="1"/>
  <c r="H148" i="1"/>
  <c r="H147" i="1"/>
  <c r="H143" i="1"/>
  <c r="H141" i="1"/>
  <c r="H137" i="1"/>
  <c r="H135" i="1" a="1"/>
  <c r="H135" i="1" s="1"/>
  <c r="H122" i="1"/>
  <c r="H68" i="1" a="1"/>
  <c r="H68" i="1" s="1"/>
  <c r="H67" i="1" a="1"/>
  <c r="H67" i="1" s="1"/>
  <c r="H66" i="1" a="1"/>
  <c r="H66" i="1" s="1"/>
  <c r="H65" i="1" a="1"/>
  <c r="H65" i="1" s="1"/>
  <c r="H64" i="1" a="1"/>
  <c r="H64" i="1" s="1"/>
  <c r="H63" i="1" a="1"/>
  <c r="H63" i="1" s="1"/>
  <c r="H62" i="1" a="1"/>
  <c r="H62" i="1" s="1"/>
  <c r="H61" i="1" a="1"/>
  <c r="H61" i="1" s="1"/>
  <c r="H60" i="1" a="1"/>
  <c r="H60" i="1" s="1"/>
  <c r="H59" i="1" a="1"/>
  <c r="H59" i="1" s="1"/>
  <c r="H58" i="1" a="1"/>
  <c r="H58" i="1" s="1"/>
  <c r="H57" i="1" a="1"/>
  <c r="H57" i="1" s="1"/>
  <c r="H56" i="1" a="1"/>
  <c r="H56" i="1" s="1"/>
  <c r="H55" i="1" a="1"/>
  <c r="H55" i="1" s="1"/>
  <c r="H54" i="1" a="1"/>
  <c r="H54" i="1" s="1"/>
  <c r="H53" i="1" a="1"/>
  <c r="H53" i="1" s="1"/>
  <c r="H52" i="1" a="1"/>
  <c r="H52" i="1" s="1"/>
  <c r="H51" i="1" a="1"/>
  <c r="H51" i="1" s="1"/>
  <c r="H50" i="1" a="1"/>
  <c r="H50" i="1" s="1"/>
  <c r="H49" i="1" a="1"/>
  <c r="H49" i="1" s="1"/>
  <c r="H48" i="1" a="1"/>
  <c r="H48" i="1" s="1"/>
  <c r="H47" i="1" a="1"/>
  <c r="H47" i="1" s="1"/>
  <c r="H46" i="1" a="1"/>
  <c r="H46" i="1" s="1"/>
  <c r="H43" i="1" a="1"/>
  <c r="H43" i="1" s="1"/>
  <c r="H32" i="1"/>
  <c r="H29" i="1"/>
  <c r="H20" i="1"/>
  <c r="H16" i="1" a="1"/>
  <c r="H16" i="1" s="1"/>
  <c r="G215" i="1"/>
  <c r="G214" i="1"/>
  <c r="G213" i="1"/>
  <c r="G211" i="1"/>
  <c r="G210" i="1"/>
  <c r="G209" i="1"/>
  <c r="G206" i="1" a="1"/>
  <c r="G206" i="1" s="1"/>
  <c r="G202" i="1"/>
  <c r="G201" i="1"/>
  <c r="G186" i="1"/>
  <c r="G185" i="1"/>
  <c r="G184" i="1" a="1"/>
  <c r="G184" i="1" s="1"/>
  <c r="G183" i="1"/>
  <c r="G175" i="1"/>
  <c r="G149" i="1"/>
  <c r="G148" i="1"/>
  <c r="G147" i="1"/>
  <c r="G143" i="1"/>
  <c r="G141" i="1"/>
  <c r="G137" i="1"/>
  <c r="G135" i="1" a="1"/>
  <c r="G135" i="1" s="1"/>
  <c r="G122" i="1"/>
  <c r="G68" i="1" a="1"/>
  <c r="G68" i="1" s="1"/>
  <c r="G67" i="1" a="1"/>
  <c r="G67" i="1" s="1"/>
  <c r="G66" i="1" a="1"/>
  <c r="G66" i="1" s="1"/>
  <c r="G65" i="1" a="1"/>
  <c r="G65" i="1" s="1"/>
  <c r="G64" i="1" a="1"/>
  <c r="G64" i="1" s="1"/>
  <c r="G63" i="1" a="1"/>
  <c r="G63" i="1" s="1"/>
  <c r="G62" i="1" a="1"/>
  <c r="G62" i="1" s="1"/>
  <c r="G61" i="1" a="1"/>
  <c r="G61" i="1" s="1"/>
  <c r="G60" i="1" a="1"/>
  <c r="G60" i="1" s="1"/>
  <c r="G59" i="1" a="1"/>
  <c r="G59" i="1" s="1"/>
  <c r="G58" i="1" a="1"/>
  <c r="G58" i="1" s="1"/>
  <c r="G57" i="1" a="1"/>
  <c r="G57" i="1" s="1"/>
  <c r="G56" i="1" a="1"/>
  <c r="G56" i="1" s="1"/>
  <c r="G55" i="1" a="1"/>
  <c r="G55" i="1" s="1"/>
  <c r="G54" i="1" a="1"/>
  <c r="G54" i="1" s="1"/>
  <c r="G53" i="1" a="1"/>
  <c r="G53" i="1" s="1"/>
  <c r="G52" i="1" a="1"/>
  <c r="G52" i="1" s="1"/>
  <c r="G51" i="1" a="1"/>
  <c r="G51" i="1" s="1"/>
  <c r="G50" i="1" a="1"/>
  <c r="G50" i="1" s="1"/>
  <c r="G49" i="1" a="1"/>
  <c r="G49" i="1" s="1"/>
  <c r="G48" i="1" a="1"/>
  <c r="G48" i="1" s="1"/>
  <c r="G47" i="1" a="1"/>
  <c r="G47" i="1" s="1"/>
  <c r="G46" i="1" a="1"/>
  <c r="G46" i="1" s="1"/>
  <c r="G43" i="1" a="1"/>
  <c r="G43" i="1" s="1"/>
  <c r="G32" i="1"/>
  <c r="G29" i="1"/>
  <c r="G20" i="1"/>
  <c r="G16" i="1" a="1"/>
  <c r="G16" i="1" s="1"/>
  <c r="F215" i="1"/>
  <c r="F214" i="1"/>
  <c r="F213" i="1"/>
  <c r="F211" i="1"/>
  <c r="F210" i="1"/>
  <c r="F209" i="1"/>
  <c r="F206" i="1" a="1"/>
  <c r="F206" i="1" s="1"/>
  <c r="F202" i="1"/>
  <c r="F201" i="1"/>
  <c r="F186" i="1"/>
  <c r="F185" i="1"/>
  <c r="F184" i="1" a="1"/>
  <c r="F184" i="1" s="1"/>
  <c r="F183" i="1"/>
  <c r="F175" i="1"/>
  <c r="F149" i="1"/>
  <c r="F148" i="1"/>
  <c r="F147" i="1"/>
  <c r="F143" i="1"/>
  <c r="F141" i="1"/>
  <c r="F137" i="1"/>
  <c r="F135" i="1" a="1"/>
  <c r="F135" i="1" s="1"/>
  <c r="F122" i="1"/>
  <c r="F68" i="1" a="1"/>
  <c r="F68" i="1" s="1"/>
  <c r="F67" i="1" a="1"/>
  <c r="F67" i="1" s="1"/>
  <c r="F66" i="1" a="1"/>
  <c r="F66" i="1" s="1"/>
  <c r="F65" i="1" a="1"/>
  <c r="F65" i="1" s="1"/>
  <c r="F64" i="1" a="1"/>
  <c r="F64" i="1" s="1"/>
  <c r="F63" i="1" a="1"/>
  <c r="F63" i="1" s="1"/>
  <c r="F62" i="1" a="1"/>
  <c r="F62" i="1" s="1"/>
  <c r="F61" i="1" a="1"/>
  <c r="F61" i="1" s="1"/>
  <c r="F60" i="1" a="1"/>
  <c r="F60" i="1" s="1"/>
  <c r="F59" i="1" a="1"/>
  <c r="F59" i="1" s="1"/>
  <c r="F58" i="1" a="1"/>
  <c r="F58" i="1" s="1"/>
  <c r="F57" i="1" a="1"/>
  <c r="F57" i="1" s="1"/>
  <c r="F56" i="1" a="1"/>
  <c r="F56" i="1" s="1"/>
  <c r="F55" i="1" a="1"/>
  <c r="F55" i="1" s="1"/>
  <c r="F54" i="1" a="1"/>
  <c r="F54" i="1" s="1"/>
  <c r="F53" i="1" a="1"/>
  <c r="F53" i="1" s="1"/>
  <c r="F52" i="1" a="1"/>
  <c r="F52" i="1" s="1"/>
  <c r="F51" i="1" a="1"/>
  <c r="F51" i="1" s="1"/>
  <c r="F50" i="1" a="1"/>
  <c r="F50" i="1" s="1"/>
  <c r="F49" i="1" a="1"/>
  <c r="F49" i="1" s="1"/>
  <c r="F48" i="1" a="1"/>
  <c r="F48" i="1" s="1"/>
  <c r="F47" i="1" a="1"/>
  <c r="F47" i="1" s="1"/>
  <c r="F46" i="1" a="1"/>
  <c r="F46" i="1" s="1"/>
  <c r="F43" i="1" a="1"/>
  <c r="F43" i="1" s="1"/>
  <c r="F32" i="1"/>
  <c r="F29" i="1"/>
  <c r="F20" i="1"/>
  <c r="F16" i="1" a="1"/>
  <c r="F16" i="1" s="1"/>
  <c r="E215" i="1"/>
  <c r="E214" i="1"/>
  <c r="E213" i="1"/>
  <c r="E211" i="1"/>
  <c r="E210" i="1"/>
  <c r="E209" i="1"/>
  <c r="E206" i="1" a="1"/>
  <c r="E206" i="1" s="1"/>
  <c r="E202" i="1"/>
  <c r="E201" i="1"/>
  <c r="E186" i="1"/>
  <c r="E185" i="1"/>
  <c r="E184" i="1" a="1"/>
  <c r="E184" i="1" s="1"/>
  <c r="E183" i="1"/>
  <c r="E175" i="1"/>
  <c r="E149" i="1"/>
  <c r="E148" i="1"/>
  <c r="E147" i="1"/>
  <c r="E143" i="1"/>
  <c r="E141" i="1"/>
  <c r="E137" i="1"/>
  <c r="E135" i="1" a="1"/>
  <c r="E135" i="1" s="1"/>
  <c r="E122" i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3" i="1" a="1"/>
  <c r="E43" i="1" s="1"/>
  <c r="E32" i="1"/>
  <c r="E29" i="1"/>
  <c r="E20" i="1"/>
  <c r="E16" i="1" a="1"/>
  <c r="E16" i="1" s="1"/>
  <c r="AU19" i="9"/>
  <c r="DR26" i="11" a="1"/>
  <c r="DR26" i="11" s="1"/>
  <c r="DR28" i="11" s="1"/>
  <c r="DR22" i="11"/>
  <c r="DR20" i="11" a="1"/>
  <c r="DR20" i="11" s="1"/>
  <c r="DR23" i="11" s="1"/>
  <c r="DQ26" i="11" a="1"/>
  <c r="DQ26" i="11" s="1"/>
  <c r="DQ28" i="11" s="1"/>
  <c r="DQ22" i="11"/>
  <c r="DQ20" i="11" a="1"/>
  <c r="DQ20" i="11" s="1"/>
  <c r="DQ23" i="11" s="1"/>
  <c r="B39" i="8"/>
  <c r="AT19" i="9"/>
  <c r="AS19" i="9"/>
  <c r="DP26" i="11" a="1"/>
  <c r="DP26" i="11" s="1"/>
  <c r="DP28" i="11" s="1"/>
  <c r="DP22" i="11"/>
  <c r="DP20" i="11" a="1"/>
  <c r="DP20" i="11" s="1"/>
  <c r="DP23" i="11" s="1"/>
  <c r="DO29" i="11"/>
  <c r="DO26" i="11" a="1"/>
  <c r="DO26" i="11" s="1"/>
  <c r="DO28" i="11" s="1"/>
  <c r="DO22" i="11"/>
  <c r="DO20" i="11" a="1"/>
  <c r="DO20" i="11" s="1"/>
  <c r="DO23" i="11" s="1"/>
  <c r="DN29" i="11"/>
  <c r="DN26" i="11" a="1"/>
  <c r="DN26" i="11" s="1"/>
  <c r="DN28" i="11" s="1"/>
  <c r="DN22" i="11"/>
  <c r="DN20" i="11" a="1"/>
  <c r="DN20" i="11" s="1"/>
  <c r="DN23" i="11" s="1"/>
  <c r="DK29" i="11"/>
  <c r="DL29" i="11"/>
  <c r="DM26" i="11" a="1"/>
  <c r="DM26" i="11" s="1"/>
  <c r="DM28" i="11" s="1"/>
  <c r="DM22" i="11"/>
  <c r="DM20" i="11" a="1"/>
  <c r="DM20" i="11" s="1"/>
  <c r="DM23" i="11" s="1"/>
  <c r="DL26" i="11" a="1"/>
  <c r="DL26" i="11"/>
  <c r="DK26" i="11" a="1"/>
  <c r="DK26" i="11"/>
  <c r="DL20" i="11" a="1"/>
  <c r="DL20" i="11"/>
  <c r="DK20" i="11" a="1"/>
  <c r="DK20" i="11"/>
  <c r="DK28" i="11"/>
  <c r="DL28" i="11"/>
  <c r="DK22" i="11"/>
  <c r="DL22" i="11"/>
  <c r="DK23" i="11"/>
  <c r="DK33" i="11" s="1"/>
  <c r="DK34" i="11" s="1"/>
  <c r="DL23" i="11"/>
  <c r="DL33" i="11" s="1"/>
  <c r="DL34" i="11" s="1"/>
  <c r="DJ26" i="11" a="1"/>
  <c r="DJ26" i="11" s="1"/>
  <c r="DJ28" i="11" s="1"/>
  <c r="DJ22" i="11"/>
  <c r="DJ20" i="11" a="1"/>
  <c r="DJ20" i="11" s="1"/>
  <c r="DJ23" i="11" s="1"/>
  <c r="B296" i="8"/>
  <c r="DI26" i="11" a="1"/>
  <c r="DI26" i="11" s="1"/>
  <c r="DI28" i="11" s="1"/>
  <c r="DI22" i="11"/>
  <c r="DI20" i="11" a="1"/>
  <c r="DI20" i="11" s="1"/>
  <c r="DI23" i="11" s="1"/>
  <c r="DH26" i="11" a="1"/>
  <c r="DH26" i="11" s="1"/>
  <c r="DH28" i="11" s="1"/>
  <c r="DH22" i="11"/>
  <c r="DH20" i="11" a="1"/>
  <c r="DH20" i="11" s="1"/>
  <c r="DH23" i="11" s="1"/>
  <c r="DG26" i="11" a="1"/>
  <c r="DG26" i="11" s="1"/>
  <c r="DG28" i="11" s="1"/>
  <c r="DG22" i="11"/>
  <c r="DG20" i="11" a="1"/>
  <c r="DG20" i="11" s="1"/>
  <c r="DG23" i="11" s="1"/>
  <c r="DF26" i="11" a="1"/>
  <c r="DF26" i="11" s="1"/>
  <c r="DF28" i="11" s="1"/>
  <c r="DF22" i="11"/>
  <c r="DF20" i="11" a="1"/>
  <c r="DF20" i="11" s="1"/>
  <c r="DF23" i="11" s="1"/>
  <c r="DE26" i="11" a="1"/>
  <c r="DE26" i="11" s="1"/>
  <c r="DE28" i="11" s="1"/>
  <c r="DE22" i="11"/>
  <c r="DE20" i="11" a="1"/>
  <c r="DE20" i="11" s="1"/>
  <c r="DE23" i="11" s="1"/>
  <c r="DD26" i="11" a="1"/>
  <c r="DD26" i="11" s="1"/>
  <c r="DD28" i="11" s="1"/>
  <c r="DD22" i="11"/>
  <c r="DD20" i="11" a="1"/>
  <c r="DD20" i="11" s="1"/>
  <c r="DD23" i="11" s="1"/>
  <c r="DC26" i="11" a="1"/>
  <c r="DC26" i="11" s="1"/>
  <c r="DC28" i="11" s="1"/>
  <c r="DC22" i="11"/>
  <c r="DC20" i="11" a="1"/>
  <c r="DC20" i="11" s="1"/>
  <c r="DC23" i="11" s="1"/>
  <c r="AR19" i="9"/>
  <c r="B118" i="8"/>
  <c r="AQ10" i="9"/>
  <c r="AQ5" i="9"/>
  <c r="AQ19" i="9"/>
  <c r="B348" i="8"/>
  <c r="B7" i="8"/>
  <c r="DB26" i="11" a="1"/>
  <c r="DB26" i="11" s="1"/>
  <c r="DB28" i="11" s="1"/>
  <c r="DB36" i="11" s="1"/>
  <c r="DB22" i="11"/>
  <c r="DB20" i="11" a="1"/>
  <c r="DB20" i="11" s="1"/>
  <c r="DB23" i="11" s="1"/>
  <c r="DA26" i="11" a="1"/>
  <c r="DA26" i="11" s="1"/>
  <c r="DA28" i="11" s="1"/>
  <c r="DA36" i="11" s="1"/>
  <c r="DA22" i="11"/>
  <c r="DA20" i="11" a="1"/>
  <c r="DA20" i="11" s="1"/>
  <c r="DA23" i="11" s="1"/>
  <c r="AP19" i="9"/>
  <c r="B134" i="8"/>
  <c r="AO19" i="9"/>
  <c r="CZ26" i="11" a="1"/>
  <c r="CZ26" i="11" s="1"/>
  <c r="CZ28" i="11" s="1"/>
  <c r="CZ22" i="11"/>
  <c r="CZ20" i="11" a="1"/>
  <c r="CZ20" i="11" s="1"/>
  <c r="CZ23" i="11" s="1"/>
  <c r="CY26" i="11" a="1"/>
  <c r="CY26" i="11" s="1"/>
  <c r="CY28" i="11" s="1"/>
  <c r="CY22" i="11"/>
  <c r="CY20" i="11" a="1"/>
  <c r="CY20" i="11" s="1"/>
  <c r="CY23" i="11" s="1"/>
  <c r="B70" i="8"/>
  <c r="CX26" i="11" a="1"/>
  <c r="CX26" i="11" s="1"/>
  <c r="CX28" i="11" s="1"/>
  <c r="CX36" i="11" s="1"/>
  <c r="CX22" i="11"/>
  <c r="CX20" i="11" a="1"/>
  <c r="CX20" i="11" s="1"/>
  <c r="CX23" i="11" s="1"/>
  <c r="CW26" i="11" a="1"/>
  <c r="CW26" i="11" s="1"/>
  <c r="CW28" i="11" s="1"/>
  <c r="CW22" i="11"/>
  <c r="CW20" i="11" a="1"/>
  <c r="CW20" i="11" s="1"/>
  <c r="CW23" i="11" s="1"/>
  <c r="CV26" i="11" a="1"/>
  <c r="CV26" i="11" s="1"/>
  <c r="CV28" i="11" s="1"/>
  <c r="CV22" i="11"/>
  <c r="CV20" i="11" a="1"/>
  <c r="CV20" i="11" s="1"/>
  <c r="CV23" i="11" s="1"/>
  <c r="CU26" i="11" a="1"/>
  <c r="CU26" i="11" s="1"/>
  <c r="CU28" i="11" s="1"/>
  <c r="CU22" i="11"/>
  <c r="CU20" i="11" a="1"/>
  <c r="CU20" i="11" s="1"/>
  <c r="CU23" i="11" s="1"/>
  <c r="CT29" i="11"/>
  <c r="CS29" i="11"/>
  <c r="CT26" i="11" a="1"/>
  <c r="CT26" i="11" s="1"/>
  <c r="CT28" i="11" s="1"/>
  <c r="CS26" i="11" a="1"/>
  <c r="CS26" i="11" s="1"/>
  <c r="CS28" i="11" s="1"/>
  <c r="CT22" i="11"/>
  <c r="CS22" i="11"/>
  <c r="CT20" i="11" a="1"/>
  <c r="CT20" i="11" s="1"/>
  <c r="CT23" i="11" s="1"/>
  <c r="CS20" i="11" a="1"/>
  <c r="CS20" i="11" s="1"/>
  <c r="CS23" i="11" s="1"/>
  <c r="CR29" i="11"/>
  <c r="CR26" i="11" a="1"/>
  <c r="CR26" i="11" s="1"/>
  <c r="CR28" i="11" s="1"/>
  <c r="CR22" i="11"/>
  <c r="CR20" i="11" a="1"/>
  <c r="CR20" i="11" s="1"/>
  <c r="CR23" i="11" s="1"/>
  <c r="B248" i="8"/>
  <c r="AN19" i="9"/>
  <c r="CQ22" i="11"/>
  <c r="CQ20" i="11" a="1"/>
  <c r="CQ20" i="11" s="1"/>
  <c r="CQ23" i="11" s="1"/>
  <c r="CI22" i="11"/>
  <c r="CI20" i="11" a="1"/>
  <c r="CI20" i="11" s="1"/>
  <c r="CI23" i="11" s="1"/>
  <c r="CP20" i="11" a="1"/>
  <c r="CP20" i="11" s="1"/>
  <c r="CO20" i="11" a="1"/>
  <c r="CO20" i="11" s="1"/>
  <c r="CN20" i="11" a="1"/>
  <c r="CN20" i="11" s="1"/>
  <c r="CP22" i="11"/>
  <c r="CO22" i="11"/>
  <c r="CN22" i="11"/>
  <c r="CP23" i="11"/>
  <c r="CO23" i="11"/>
  <c r="CN23" i="11"/>
  <c r="AH38" i="9"/>
  <c r="AH37" i="9"/>
  <c r="AH36" i="9"/>
  <c r="AH35" i="9"/>
  <c r="AH34" i="9"/>
  <c r="AH33" i="9"/>
  <c r="AH32" i="9"/>
  <c r="AH46" i="9"/>
  <c r="CM22" i="11"/>
  <c r="CM20" i="11" a="1"/>
  <c r="CM20" i="11" s="1"/>
  <c r="CM23" i="11" s="1"/>
  <c r="CL20" i="11" a="1"/>
  <c r="CL20" i="11"/>
  <c r="CL22" i="11"/>
  <c r="CL23" i="11"/>
  <c r="CG29" i="11"/>
  <c r="CK22" i="11"/>
  <c r="CK20" i="11" a="1"/>
  <c r="CK20" i="11" s="1"/>
  <c r="CK23" i="11" s="1"/>
  <c r="CJ22" i="11"/>
  <c r="CJ20" i="11" a="1"/>
  <c r="CJ20" i="11" s="1"/>
  <c r="CJ23" i="11" s="1"/>
  <c r="CH22" i="11"/>
  <c r="CH20" i="11" a="1"/>
  <c r="CH20" i="11" s="1"/>
  <c r="CH23" i="11" s="1"/>
  <c r="AG46" i="9"/>
  <c r="CG20" i="11" a="1"/>
  <c r="CG20" i="11" s="1"/>
  <c r="CG22" i="11"/>
  <c r="CG23" i="11"/>
  <c r="AL11" i="9"/>
  <c r="AL5" i="9"/>
  <c r="AK6" i="9"/>
  <c r="AL6" i="9" s="1"/>
  <c r="AK7" i="9"/>
  <c r="AL7" i="9" s="1"/>
  <c r="AK10" i="9"/>
  <c r="AL10" i="9" s="1"/>
  <c r="AF36" i="9"/>
  <c r="AK9" i="9"/>
  <c r="AL9" i="9" s="1"/>
  <c r="AK8" i="9"/>
  <c r="AF38" i="9"/>
  <c r="AF37" i="9"/>
  <c r="AF35" i="9"/>
  <c r="AF34" i="9"/>
  <c r="AF33" i="9"/>
  <c r="AF32" i="9"/>
  <c r="AF46" i="9"/>
  <c r="AK19" i="9"/>
  <c r="B55" i="8"/>
  <c r="CF29" i="11"/>
  <c r="CF26" i="11" a="1"/>
  <c r="CF26" i="11" s="1"/>
  <c r="CF28" i="11" s="1"/>
  <c r="CF22" i="11"/>
  <c r="CF20" i="11" a="1"/>
  <c r="CF20" i="11" s="1"/>
  <c r="CF23" i="11" s="1"/>
  <c r="CE29" i="11"/>
  <c r="CE26" i="11" a="1"/>
  <c r="CE26" i="11" s="1"/>
  <c r="CE28" i="11" s="1"/>
  <c r="CE22" i="11"/>
  <c r="CE20" i="11" a="1"/>
  <c r="CE20" i="11" s="1"/>
  <c r="CE23" i="11" s="1"/>
  <c r="B227" i="8"/>
  <c r="CD26" i="11" a="1"/>
  <c r="CD26" i="11" s="1"/>
  <c r="CD28" i="11" s="1"/>
  <c r="CD22" i="11"/>
  <c r="CD20" i="11" a="1"/>
  <c r="CD20" i="11" s="1"/>
  <c r="CD23" i="11" s="1"/>
  <c r="CC26" i="11" a="1"/>
  <c r="CC26" i="11" s="1"/>
  <c r="CC28" i="11" s="1"/>
  <c r="CC22" i="11"/>
  <c r="CC20" i="11" a="1"/>
  <c r="CC20" i="11" s="1"/>
  <c r="CC23" i="11" s="1"/>
  <c r="CB26" i="11" a="1"/>
  <c r="CB26" i="11" s="1"/>
  <c r="CB28" i="11" s="1"/>
  <c r="CB22" i="11"/>
  <c r="CB20" i="11" a="1"/>
  <c r="CB20" i="11" s="1"/>
  <c r="CB23" i="11" s="1"/>
  <c r="AJ19" i="9"/>
  <c r="BZ20" i="11" a="1"/>
  <c r="BZ20" i="11" s="1"/>
  <c r="CA26" i="11" a="1"/>
  <c r="CA26" i="11" s="1"/>
  <c r="CA28" i="11" s="1"/>
  <c r="CA22" i="11"/>
  <c r="CA20" i="11" a="1"/>
  <c r="CA20" i="11" s="1"/>
  <c r="CA23" i="11" s="1"/>
  <c r="BZ26" i="11" a="1"/>
  <c r="BZ26" i="11" s="1"/>
  <c r="BZ28" i="11" s="1"/>
  <c r="AE46" i="9"/>
  <c r="AI19" i="9"/>
  <c r="B30" i="8"/>
  <c r="B266" i="8"/>
  <c r="B320" i="8"/>
  <c r="B151" i="8"/>
  <c r="B383" i="8"/>
  <c r="B382" i="8"/>
  <c r="B47" i="8"/>
  <c r="BY26" i="11" a="1"/>
  <c r="BY26" i="11" s="1"/>
  <c r="BY28" i="11" s="1"/>
  <c r="BY22" i="11"/>
  <c r="BY20" i="11" a="1"/>
  <c r="BY20" i="11" s="1"/>
  <c r="BY23" i="11" s="1"/>
  <c r="BX26" i="11" a="1"/>
  <c r="BX26" i="11" s="1"/>
  <c r="BX28" i="11" s="1"/>
  <c r="BX11" i="11"/>
  <c r="BX10" i="11"/>
  <c r="BX9" i="11"/>
  <c r="BX20" i="11" s="1" a="1"/>
  <c r="BX20" i="11" s="1"/>
  <c r="AD46" i="9"/>
  <c r="AH19" i="9"/>
  <c r="BW26" i="11" a="1"/>
  <c r="BW26" i="11" s="1"/>
  <c r="BW28" i="11" s="1"/>
  <c r="BV26" i="11" a="1"/>
  <c r="BV26" i="11" s="1"/>
  <c r="BV28" i="11" s="1"/>
  <c r="BW22" i="11"/>
  <c r="BV22" i="11"/>
  <c r="BW20" i="11" a="1"/>
  <c r="BW20" i="11" s="1"/>
  <c r="BW23" i="11" s="1"/>
  <c r="BV20" i="11" a="1"/>
  <c r="BV20" i="11" s="1"/>
  <c r="BV23" i="11" s="1"/>
  <c r="BU26" i="11" a="1"/>
  <c r="BU26" i="11" s="1"/>
  <c r="BU28" i="11" s="1"/>
  <c r="BU22" i="11"/>
  <c r="BU20" i="11" a="1"/>
  <c r="BU20" i="11" s="1"/>
  <c r="BU23" i="11" s="1"/>
  <c r="BT26" i="11" a="1"/>
  <c r="BT26" i="11" s="1"/>
  <c r="BT28" i="11" s="1"/>
  <c r="BT22" i="11"/>
  <c r="BT20" i="11" a="1"/>
  <c r="BT20" i="11" s="1"/>
  <c r="BT23" i="11" s="1"/>
  <c r="BS20" i="11" a="1"/>
  <c r="BS20" i="11" s="1"/>
  <c r="BS26" i="11" a="1"/>
  <c r="BS26" i="11" s="1"/>
  <c r="BS28" i="11" s="1"/>
  <c r="BR26" i="11" a="1"/>
  <c r="BR26" i="11" s="1"/>
  <c r="BR28" i="11" s="1"/>
  <c r="BR22" i="11"/>
  <c r="BR20" i="11" a="1"/>
  <c r="BR20" i="11" s="1"/>
  <c r="BR23" i="11" s="1"/>
  <c r="BQ26" i="11" a="1"/>
  <c r="BQ26" i="11" s="1"/>
  <c r="BQ28" i="11" s="1"/>
  <c r="BQ22" i="11"/>
  <c r="BQ20" i="11" a="1"/>
  <c r="BQ20" i="11" s="1"/>
  <c r="BQ23" i="11" s="1"/>
  <c r="BP20" i="11" a="1"/>
  <c r="BP20" i="11" s="1"/>
  <c r="BP26" i="11" a="1"/>
  <c r="BP26" i="11" s="1"/>
  <c r="BP28" i="11" s="1"/>
  <c r="BP22" i="11"/>
  <c r="BP23" i="11"/>
  <c r="BO26" i="11" a="1"/>
  <c r="BO26" i="11" s="1"/>
  <c r="BO28" i="11" s="1"/>
  <c r="BO22" i="11"/>
  <c r="BO20" i="11" a="1"/>
  <c r="BO20" i="11" s="1"/>
  <c r="BO23" i="11" s="1"/>
  <c r="BN26" i="11" a="1"/>
  <c r="BN26" i="11" s="1"/>
  <c r="BN28" i="11" s="1"/>
  <c r="BN22" i="11"/>
  <c r="BN20" i="11" a="1"/>
  <c r="BN20" i="11" s="1"/>
  <c r="BN23" i="11" s="1"/>
  <c r="BM20" i="11" a="1"/>
  <c r="BM20" i="11" s="1"/>
  <c r="BM26" i="11" a="1"/>
  <c r="BM26" i="11" s="1"/>
  <c r="BM28" i="11" s="1"/>
  <c r="BM22" i="11"/>
  <c r="BM23" i="11"/>
  <c r="BL20" i="11" a="1"/>
  <c r="BL20" i="11" s="1"/>
  <c r="BK20" i="11" a="1"/>
  <c r="BK20" i="11" s="1"/>
  <c r="BL26" i="11" a="1"/>
  <c r="BL26" i="11" s="1"/>
  <c r="BL28" i="11" s="1"/>
  <c r="BL22" i="11"/>
  <c r="BL23" i="11"/>
  <c r="BK26" i="11" a="1"/>
  <c r="BK26" i="11" s="1"/>
  <c r="BK28" i="11" s="1"/>
  <c r="BK22" i="11"/>
  <c r="BK23" i="11"/>
  <c r="AC46" i="9"/>
  <c r="AG19" i="9"/>
  <c r="BJ26" i="11" a="1"/>
  <c r="BJ26" i="11" s="1"/>
  <c r="BJ28" i="11" s="1"/>
  <c r="BI26" i="11" a="1"/>
  <c r="BI26" i="11" s="1"/>
  <c r="BI28" i="11" s="1"/>
  <c r="BJ22" i="11"/>
  <c r="BI22" i="11"/>
  <c r="BJ20" i="11" a="1"/>
  <c r="BJ20" i="11" s="1"/>
  <c r="BJ23" i="11" s="1"/>
  <c r="BI20" i="11" a="1"/>
  <c r="BI20" i="11" s="1"/>
  <c r="BI23" i="11" s="1"/>
  <c r="AB46" i="9"/>
  <c r="AF19" i="9"/>
  <c r="BG20" i="11" a="1"/>
  <c r="BG20" i="11"/>
  <c r="BH20" i="11" a="1"/>
  <c r="BH20" i="11"/>
  <c r="BH26" i="11" a="1"/>
  <c r="BH26" i="11" s="1"/>
  <c r="BH28" i="11" s="1"/>
  <c r="BG26" i="11" a="1"/>
  <c r="BG26" i="11" s="1"/>
  <c r="BG28" i="11" s="1"/>
  <c r="BH22" i="11"/>
  <c r="BG22" i="11"/>
  <c r="BH23" i="11"/>
  <c r="BG23" i="11"/>
  <c r="BF26" i="11" a="1"/>
  <c r="BF26" i="11" s="1"/>
  <c r="BF28" i="11" s="1"/>
  <c r="BF36" i="11" s="1"/>
  <c r="BF22" i="11"/>
  <c r="BF20" i="11" a="1"/>
  <c r="BF20" i="11" s="1"/>
  <c r="BF23" i="11" s="1"/>
  <c r="BE26" i="11" a="1"/>
  <c r="BE26" i="11" s="1"/>
  <c r="BE28" i="11" s="1"/>
  <c r="BE36" i="11" s="1"/>
  <c r="BE22" i="11"/>
  <c r="BE20" i="11" a="1"/>
  <c r="BE20" i="11" s="1"/>
  <c r="BE23" i="11" s="1"/>
  <c r="BD20" i="11" a="1"/>
  <c r="BD20" i="11" s="1"/>
  <c r="BD26" i="11" a="1"/>
  <c r="BD26" i="11" s="1"/>
  <c r="BD28" i="11" s="1"/>
  <c r="BD36" i="11" s="1"/>
  <c r="BD22" i="11"/>
  <c r="BD23" i="11"/>
  <c r="B381" i="8"/>
  <c r="B380" i="8"/>
  <c r="B379" i="8"/>
  <c r="B378" i="8"/>
  <c r="B377" i="8"/>
  <c r="B376" i="8"/>
  <c r="B374" i="8"/>
  <c r="B373" i="8"/>
  <c r="B371" i="8"/>
  <c r="B370" i="8"/>
  <c r="B369" i="8"/>
  <c r="B368" i="8"/>
  <c r="B367" i="8"/>
  <c r="B366" i="8"/>
  <c r="B365" i="8"/>
  <c r="B364" i="8"/>
  <c r="B363" i="8"/>
  <c r="B362" i="8"/>
  <c r="B361" i="8"/>
  <c r="B360" i="8"/>
  <c r="B359" i="8"/>
  <c r="B358" i="8"/>
  <c r="B357" i="8"/>
  <c r="B356" i="8"/>
  <c r="B354" i="8"/>
  <c r="B353" i="8"/>
  <c r="B352" i="8"/>
  <c r="B351" i="8"/>
  <c r="B350" i="8"/>
  <c r="B349" i="8"/>
  <c r="B347" i="8"/>
  <c r="BC26" i="11" a="1"/>
  <c r="BC26" i="11" s="1"/>
  <c r="BC28" i="11" s="1"/>
  <c r="BC22" i="11"/>
  <c r="BC20" i="11" a="1"/>
  <c r="BC20" i="11" s="1"/>
  <c r="BC23" i="11" s="1"/>
  <c r="AA46" i="9"/>
  <c r="AE19" i="9"/>
  <c r="ACX235" i="1"/>
  <c r="ACW235" i="1"/>
  <c r="ACV235" i="1"/>
  <c r="ACU235" i="1"/>
  <c r="ACT235" i="1"/>
  <c r="ACS235" i="1"/>
  <c r="ACR235" i="1"/>
  <c r="ACP235" i="1"/>
  <c r="ACO235" i="1"/>
  <c r="ACN235" i="1"/>
  <c r="ACM235" i="1"/>
  <c r="ACL235" i="1"/>
  <c r="ACK235" i="1"/>
  <c r="ACJ235" i="1"/>
  <c r="ACI235" i="1"/>
  <c r="ACH235" i="1"/>
  <c r="ACG235" i="1"/>
  <c r="ACF235" i="1"/>
  <c r="ACB235" i="1"/>
  <c r="ACA235" i="1"/>
  <c r="ABZ235" i="1"/>
  <c r="ABY235" i="1"/>
  <c r="ABX235" i="1"/>
  <c r="ABW235" i="1"/>
  <c r="ABV235" i="1"/>
  <c r="ABU235" i="1"/>
  <c r="ABT235" i="1"/>
  <c r="ABS235" i="1"/>
  <c r="ABR235" i="1"/>
  <c r="ABQ235" i="1"/>
  <c r="ABP235" i="1"/>
  <c r="ABO235" i="1"/>
  <c r="ABN235" i="1"/>
  <c r="ABM235" i="1"/>
  <c r="ABL235" i="1"/>
  <c r="ABK235" i="1"/>
  <c r="ABJ235" i="1"/>
  <c r="ABI235" i="1"/>
  <c r="ABH235" i="1"/>
  <c r="ABG235" i="1"/>
  <c r="ABF235" i="1"/>
  <c r="ABE235" i="1"/>
  <c r="ABD235" i="1"/>
  <c r="ABC235" i="1"/>
  <c r="ABB235" i="1"/>
  <c r="ABA235" i="1"/>
  <c r="AAZ235" i="1"/>
  <c r="AAY235" i="1"/>
  <c r="AAX235" i="1"/>
  <c r="AAW235" i="1"/>
  <c r="AAV235" i="1"/>
  <c r="AAU235" i="1"/>
  <c r="AAT235" i="1"/>
  <c r="AAS235" i="1"/>
  <c r="AAR235" i="1"/>
  <c r="AAQ235" i="1"/>
  <c r="AAP235" i="1"/>
  <c r="AAL235" i="1"/>
  <c r="AAK235" i="1"/>
  <c r="AAJ235" i="1"/>
  <c r="AAI235" i="1"/>
  <c r="AAH235" i="1"/>
  <c r="AAG235" i="1"/>
  <c r="AAF235" i="1"/>
  <c r="AAE235" i="1"/>
  <c r="AAD235" i="1"/>
  <c r="AAC235" i="1"/>
  <c r="AAB235" i="1"/>
  <c r="AAA235" i="1"/>
  <c r="ZZ235" i="1"/>
  <c r="ZY235" i="1"/>
  <c r="ZX235" i="1"/>
  <c r="ZW235" i="1"/>
  <c r="ZV235" i="1"/>
  <c r="ZU235" i="1"/>
  <c r="ZT235" i="1"/>
  <c r="ZS235" i="1"/>
  <c r="ZR235" i="1"/>
  <c r="ZQ235" i="1"/>
  <c r="ZP235" i="1"/>
  <c r="ZO235" i="1"/>
  <c r="ZN235" i="1"/>
  <c r="ZM235" i="1"/>
  <c r="ZL235" i="1"/>
  <c r="ZK235" i="1"/>
  <c r="ZJ235" i="1"/>
  <c r="ZI235" i="1"/>
  <c r="ZH235" i="1"/>
  <c r="ZG235" i="1"/>
  <c r="ZF235" i="1"/>
  <c r="ZE235" i="1"/>
  <c r="ZD235" i="1"/>
  <c r="ZC235" i="1"/>
  <c r="ZB235" i="1"/>
  <c r="ZA235" i="1"/>
  <c r="YZ235" i="1"/>
  <c r="YY235" i="1"/>
  <c r="YX235" i="1"/>
  <c r="YW235" i="1"/>
  <c r="YV235" i="1"/>
  <c r="YU235" i="1"/>
  <c r="YT235" i="1"/>
  <c r="YS235" i="1"/>
  <c r="YR235" i="1"/>
  <c r="YQ235" i="1"/>
  <c r="YP235" i="1"/>
  <c r="YO235" i="1"/>
  <c r="YN235" i="1"/>
  <c r="YM235" i="1"/>
  <c r="YL235" i="1"/>
  <c r="YK235" i="1"/>
  <c r="YJ235" i="1"/>
  <c r="YI235" i="1"/>
  <c r="YH235" i="1"/>
  <c r="YG235" i="1"/>
  <c r="YF235" i="1"/>
  <c r="YE235" i="1"/>
  <c r="YC235" i="1"/>
  <c r="YB235" i="1"/>
  <c r="YA235" i="1"/>
  <c r="XZ235" i="1"/>
  <c r="XY235" i="1"/>
  <c r="XX235" i="1"/>
  <c r="XW235" i="1"/>
  <c r="XV235" i="1"/>
  <c r="XU235" i="1"/>
  <c r="XT235" i="1"/>
  <c r="XS235" i="1"/>
  <c r="XP235" i="1"/>
  <c r="XO235" i="1"/>
  <c r="XN235" i="1"/>
  <c r="XM235" i="1"/>
  <c r="XL235" i="1"/>
  <c r="XK235" i="1"/>
  <c r="XJ235" i="1"/>
  <c r="XI235" i="1"/>
  <c r="XH235" i="1"/>
  <c r="XG235" i="1"/>
  <c r="XF235" i="1"/>
  <c r="XE235" i="1"/>
  <c r="XD235" i="1"/>
  <c r="XC235" i="1"/>
  <c r="XB235" i="1"/>
  <c r="XA235" i="1"/>
  <c r="WZ235" i="1"/>
  <c r="WY235" i="1"/>
  <c r="WX235" i="1"/>
  <c r="WW235" i="1"/>
  <c r="WV235" i="1"/>
  <c r="WU235" i="1"/>
  <c r="WT235" i="1"/>
  <c r="WS235" i="1"/>
  <c r="WR235" i="1"/>
  <c r="WQ235" i="1"/>
  <c r="WP235" i="1"/>
  <c r="WO235" i="1"/>
  <c r="WN235" i="1"/>
  <c r="WM235" i="1"/>
  <c r="WL235" i="1"/>
  <c r="WK235" i="1"/>
  <c r="WJ235" i="1"/>
  <c r="WI235" i="1"/>
  <c r="WH235" i="1"/>
  <c r="WG235" i="1"/>
  <c r="WF235" i="1"/>
  <c r="WE235" i="1"/>
  <c r="WD235" i="1"/>
  <c r="WC235" i="1"/>
  <c r="WB235" i="1"/>
  <c r="WA235" i="1"/>
  <c r="VY235" i="1"/>
  <c r="VX235" i="1"/>
  <c r="VW235" i="1"/>
  <c r="VV235" i="1"/>
  <c r="VU235" i="1"/>
  <c r="VT235" i="1"/>
  <c r="VS235" i="1"/>
  <c r="VR235" i="1"/>
  <c r="VQ235" i="1"/>
  <c r="VL235" i="1"/>
  <c r="VK235" i="1"/>
  <c r="VJ235" i="1"/>
  <c r="VI235" i="1"/>
  <c r="VH235" i="1"/>
  <c r="VG235" i="1"/>
  <c r="VF235" i="1"/>
  <c r="VE235" i="1"/>
  <c r="VD235" i="1"/>
  <c r="VC235" i="1"/>
  <c r="VB235" i="1"/>
  <c r="VA235" i="1"/>
  <c r="UZ235" i="1"/>
  <c r="UY235" i="1"/>
  <c r="UX235" i="1"/>
  <c r="UW235" i="1"/>
  <c r="UV235" i="1"/>
  <c r="UU235" i="1"/>
  <c r="UT235" i="1"/>
  <c r="US235" i="1"/>
  <c r="UR235" i="1"/>
  <c r="UQ235" i="1"/>
  <c r="UP235" i="1"/>
  <c r="UO235" i="1"/>
  <c r="UN235" i="1"/>
  <c r="UM235" i="1"/>
  <c r="UL235" i="1"/>
  <c r="UK235" i="1"/>
  <c r="UJ235" i="1"/>
  <c r="UI235" i="1"/>
  <c r="UH235" i="1"/>
  <c r="UG235" i="1"/>
  <c r="UF235" i="1"/>
  <c r="UE235" i="1"/>
  <c r="UD235" i="1"/>
  <c r="UC235" i="1"/>
  <c r="UB235" i="1"/>
  <c r="UA235" i="1"/>
  <c r="TZ235" i="1"/>
  <c r="TY235" i="1"/>
  <c r="TX235" i="1"/>
  <c r="TW235" i="1"/>
  <c r="TV235" i="1"/>
  <c r="TU235" i="1"/>
  <c r="TT235" i="1"/>
  <c r="TS235" i="1"/>
  <c r="TR235" i="1"/>
  <c r="TQ235" i="1"/>
  <c r="TP235" i="1"/>
  <c r="TO235" i="1"/>
  <c r="TN235" i="1"/>
  <c r="TM235" i="1"/>
  <c r="TL235" i="1"/>
  <c r="TK235" i="1"/>
  <c r="TJ235" i="1"/>
  <c r="TI235" i="1"/>
  <c r="TH235" i="1"/>
  <c r="TG235" i="1"/>
  <c r="TF235" i="1"/>
  <c r="TE235" i="1"/>
  <c r="TD235" i="1"/>
  <c r="TC235" i="1"/>
  <c r="TB235" i="1"/>
  <c r="TA235" i="1"/>
  <c r="SZ235" i="1"/>
  <c r="SY235" i="1"/>
  <c r="SX235" i="1"/>
  <c r="SW235" i="1"/>
  <c r="SV235" i="1"/>
  <c r="SU235" i="1"/>
  <c r="ST235" i="1"/>
  <c r="SS235" i="1"/>
  <c r="SR235" i="1"/>
  <c r="SQ235" i="1"/>
  <c r="SP235" i="1"/>
  <c r="SO235" i="1"/>
  <c r="SN235" i="1"/>
  <c r="SM235" i="1"/>
  <c r="SL235" i="1"/>
  <c r="SK235" i="1"/>
  <c r="SJ235" i="1"/>
  <c r="SI235" i="1"/>
  <c r="SH235" i="1"/>
  <c r="SG235" i="1"/>
  <c r="SF235" i="1"/>
  <c r="SE235" i="1"/>
  <c r="SD235" i="1"/>
  <c r="SC235" i="1"/>
  <c r="SB235" i="1"/>
  <c r="SA235" i="1"/>
  <c r="RZ235" i="1"/>
  <c r="RY235" i="1"/>
  <c r="RW235" i="1"/>
  <c r="RV235" i="1"/>
  <c r="RU235" i="1"/>
  <c r="RT235" i="1"/>
  <c r="RS235" i="1"/>
  <c r="RR235" i="1"/>
  <c r="RQ235" i="1"/>
  <c r="RP235" i="1"/>
  <c r="RO235" i="1"/>
  <c r="RN235" i="1"/>
  <c r="RM235" i="1"/>
  <c r="RL235" i="1"/>
  <c r="RK235" i="1"/>
  <c r="RJ235" i="1"/>
  <c r="RI235" i="1"/>
  <c r="RH235" i="1"/>
  <c r="RG235" i="1"/>
  <c r="RF235" i="1"/>
  <c r="RE235" i="1"/>
  <c r="RD235" i="1"/>
  <c r="RC235" i="1"/>
  <c r="RB235" i="1"/>
  <c r="RA235" i="1"/>
  <c r="QZ235" i="1"/>
  <c r="QY235" i="1"/>
  <c r="QX235" i="1"/>
  <c r="QW235" i="1"/>
  <c r="QV235" i="1"/>
  <c r="QT235" i="1"/>
  <c r="QS235" i="1"/>
  <c r="QR235" i="1"/>
  <c r="QQ235" i="1"/>
  <c r="QP235" i="1"/>
  <c r="QO235" i="1"/>
  <c r="QH235" i="1"/>
  <c r="QG235" i="1"/>
  <c r="QF235" i="1"/>
  <c r="QE235" i="1"/>
  <c r="QD235" i="1"/>
  <c r="QC235" i="1"/>
  <c r="QB235" i="1"/>
  <c r="QA235" i="1"/>
  <c r="PZ235" i="1"/>
  <c r="PY235" i="1"/>
  <c r="PX235" i="1"/>
  <c r="PW235" i="1"/>
  <c r="PV235" i="1"/>
  <c r="PU235" i="1"/>
  <c r="PT235" i="1"/>
  <c r="PS235" i="1"/>
  <c r="PR235" i="1"/>
  <c r="PQ235" i="1"/>
  <c r="PP235" i="1"/>
  <c r="PO235" i="1"/>
  <c r="PN235" i="1"/>
  <c r="PM235" i="1"/>
  <c r="PL235" i="1"/>
  <c r="PK235" i="1"/>
  <c r="PJ235" i="1"/>
  <c r="PI235" i="1"/>
  <c r="PH235" i="1"/>
  <c r="PG235" i="1"/>
  <c r="PF235" i="1"/>
  <c r="PE235" i="1"/>
  <c r="PD235" i="1"/>
  <c r="PC235" i="1"/>
  <c r="PB235" i="1"/>
  <c r="PA235" i="1"/>
  <c r="OZ235" i="1"/>
  <c r="OY235" i="1"/>
  <c r="OX235" i="1"/>
  <c r="OW235" i="1"/>
  <c r="OV235" i="1"/>
  <c r="OU235" i="1"/>
  <c r="OT235" i="1"/>
  <c r="OS235" i="1"/>
  <c r="OR235" i="1"/>
  <c r="OQ235" i="1"/>
  <c r="OP235" i="1"/>
  <c r="OO235" i="1"/>
  <c r="ON235" i="1"/>
  <c r="OM235" i="1"/>
  <c r="OL235" i="1"/>
  <c r="OK235" i="1"/>
  <c r="OJ235" i="1"/>
  <c r="OI235" i="1"/>
  <c r="OH235" i="1"/>
  <c r="OG235" i="1"/>
  <c r="OF235" i="1"/>
  <c r="OE235" i="1"/>
  <c r="OD235" i="1"/>
  <c r="OC235" i="1"/>
  <c r="OB235" i="1"/>
  <c r="OA235" i="1"/>
  <c r="NZ235" i="1"/>
  <c r="NY235" i="1"/>
  <c r="NX235" i="1"/>
  <c r="NW235" i="1"/>
  <c r="NV235" i="1"/>
  <c r="NU235" i="1"/>
  <c r="NT235" i="1"/>
  <c r="NS235" i="1"/>
  <c r="NR235" i="1"/>
  <c r="NQ235" i="1"/>
  <c r="NP235" i="1"/>
  <c r="NO235" i="1"/>
  <c r="NN235" i="1"/>
  <c r="NM235" i="1"/>
  <c r="NL235" i="1"/>
  <c r="NK235" i="1"/>
  <c r="NJ235" i="1"/>
  <c r="NI235" i="1"/>
  <c r="NH235" i="1"/>
  <c r="NG235" i="1"/>
  <c r="NF235" i="1"/>
  <c r="NE235" i="1"/>
  <c r="ND235" i="1"/>
  <c r="NC235" i="1"/>
  <c r="NB235" i="1"/>
  <c r="NA235" i="1"/>
  <c r="MZ235" i="1"/>
  <c r="MY235" i="1"/>
  <c r="MX235" i="1"/>
  <c r="MW235" i="1"/>
  <c r="MV235" i="1"/>
  <c r="MU235" i="1"/>
  <c r="MT235" i="1"/>
  <c r="MS235" i="1"/>
  <c r="MR235" i="1"/>
  <c r="MQ235" i="1"/>
  <c r="MP235" i="1"/>
  <c r="MO235" i="1"/>
  <c r="MN235" i="1"/>
  <c r="MM235" i="1"/>
  <c r="ML235" i="1"/>
  <c r="MK235" i="1"/>
  <c r="MJ235" i="1"/>
  <c r="MI235" i="1"/>
  <c r="MH235" i="1"/>
  <c r="MG235" i="1"/>
  <c r="MF235" i="1"/>
  <c r="ME235" i="1"/>
  <c r="MD235" i="1"/>
  <c r="MC235" i="1"/>
  <c r="MB235" i="1"/>
  <c r="MA235" i="1"/>
  <c r="LZ235" i="1"/>
  <c r="LY235" i="1"/>
  <c r="LX235" i="1"/>
  <c r="LW235" i="1"/>
  <c r="LV235" i="1"/>
  <c r="LU235" i="1"/>
  <c r="LT235" i="1"/>
  <c r="LS235" i="1"/>
  <c r="LR235" i="1"/>
  <c r="LQ235" i="1"/>
  <c r="LP235" i="1"/>
  <c r="LO235" i="1"/>
  <c r="LN235" i="1"/>
  <c r="LM235" i="1"/>
  <c r="LL235" i="1"/>
  <c r="LK235" i="1"/>
  <c r="LJ235" i="1"/>
  <c r="LI235" i="1"/>
  <c r="LH235" i="1"/>
  <c r="LG235" i="1"/>
  <c r="LF235" i="1"/>
  <c r="LE235" i="1"/>
  <c r="LD235" i="1"/>
  <c r="LC235" i="1"/>
  <c r="LB235" i="1"/>
  <c r="LA235" i="1"/>
  <c r="KZ235" i="1"/>
  <c r="KY235" i="1"/>
  <c r="KX235" i="1"/>
  <c r="KW235" i="1"/>
  <c r="KV235" i="1"/>
  <c r="KU235" i="1"/>
  <c r="KT235" i="1"/>
  <c r="KS235" i="1"/>
  <c r="KR235" i="1"/>
  <c r="KQ235" i="1"/>
  <c r="KP235" i="1"/>
  <c r="KO235" i="1"/>
  <c r="KN235" i="1"/>
  <c r="KM235" i="1"/>
  <c r="KL235" i="1"/>
  <c r="KK235" i="1"/>
  <c r="KJ235" i="1"/>
  <c r="KI235" i="1"/>
  <c r="KH235" i="1"/>
  <c r="KG235" i="1"/>
  <c r="KF235" i="1"/>
  <c r="ACX234" i="1"/>
  <c r="ACW234" i="1"/>
  <c r="ACV234" i="1"/>
  <c r="ACU234" i="1"/>
  <c r="ACT234" i="1"/>
  <c r="ACS234" i="1"/>
  <c r="ACR234" i="1"/>
  <c r="ACQ234" i="1"/>
  <c r="ACP234" i="1"/>
  <c r="ACO234" i="1"/>
  <c r="ACN234" i="1"/>
  <c r="ACM234" i="1"/>
  <c r="ACL234" i="1"/>
  <c r="ACK234" i="1"/>
  <c r="ACJ234" i="1"/>
  <c r="ACI234" i="1"/>
  <c r="ACH234" i="1"/>
  <c r="ACG234" i="1"/>
  <c r="ACF234" i="1"/>
  <c r="ACE234" i="1"/>
  <c r="ACD234" i="1"/>
  <c r="ACC234" i="1"/>
  <c r="ACB234" i="1"/>
  <c r="ACA234" i="1"/>
  <c r="ABZ234" i="1"/>
  <c r="ABY234" i="1"/>
  <c r="ABX234" i="1"/>
  <c r="ABW234" i="1"/>
  <c r="ABV234" i="1"/>
  <c r="ABU234" i="1"/>
  <c r="ABT234" i="1"/>
  <c r="ABS234" i="1"/>
  <c r="ABR234" i="1"/>
  <c r="ABQ234" i="1"/>
  <c r="ABP234" i="1"/>
  <c r="ABO234" i="1"/>
  <c r="ABN234" i="1"/>
  <c r="ABM234" i="1"/>
  <c r="ABL234" i="1"/>
  <c r="ABK234" i="1"/>
  <c r="ABJ234" i="1"/>
  <c r="ABI234" i="1"/>
  <c r="ABH234" i="1"/>
  <c r="ABG234" i="1"/>
  <c r="ABF234" i="1"/>
  <c r="ABE234" i="1"/>
  <c r="ABD234" i="1"/>
  <c r="ABC234" i="1"/>
  <c r="ABB234" i="1"/>
  <c r="ABA234" i="1"/>
  <c r="AAZ234" i="1"/>
  <c r="AAY234" i="1"/>
  <c r="AAX234" i="1"/>
  <c r="AAW234" i="1"/>
  <c r="AAV234" i="1"/>
  <c r="AAU234" i="1"/>
  <c r="AAT234" i="1"/>
  <c r="AAS234" i="1"/>
  <c r="AAR234" i="1"/>
  <c r="AAQ234" i="1"/>
  <c r="AAP234" i="1"/>
  <c r="AAO234" i="1"/>
  <c r="AAN234" i="1"/>
  <c r="AAM234" i="1"/>
  <c r="AAL234" i="1"/>
  <c r="AAK234" i="1"/>
  <c r="AAJ234" i="1"/>
  <c r="AAI234" i="1"/>
  <c r="AAH234" i="1"/>
  <c r="AAG234" i="1"/>
  <c r="AAF234" i="1"/>
  <c r="AAE234" i="1"/>
  <c r="AAD234" i="1"/>
  <c r="AAC234" i="1"/>
  <c r="AAB234" i="1"/>
  <c r="AAA234" i="1"/>
  <c r="ZZ234" i="1"/>
  <c r="ZY234" i="1"/>
  <c r="ZX234" i="1"/>
  <c r="ZW234" i="1"/>
  <c r="ZV234" i="1"/>
  <c r="ZU234" i="1"/>
  <c r="ZT234" i="1"/>
  <c r="ZS234" i="1"/>
  <c r="ZR234" i="1"/>
  <c r="ZQ234" i="1"/>
  <c r="ZP234" i="1"/>
  <c r="ZO234" i="1"/>
  <c r="ZN234" i="1"/>
  <c r="ZM234" i="1"/>
  <c r="ZL234" i="1"/>
  <c r="ZK234" i="1"/>
  <c r="ZJ234" i="1"/>
  <c r="ZI234" i="1"/>
  <c r="ZH234" i="1"/>
  <c r="ZG234" i="1"/>
  <c r="ZF234" i="1"/>
  <c r="ZE234" i="1"/>
  <c r="ZD234" i="1"/>
  <c r="ZC234" i="1"/>
  <c r="ZB234" i="1"/>
  <c r="ZA234" i="1"/>
  <c r="YZ234" i="1"/>
  <c r="YY234" i="1"/>
  <c r="YX234" i="1"/>
  <c r="YW234" i="1"/>
  <c r="YV234" i="1"/>
  <c r="YU234" i="1"/>
  <c r="YT234" i="1"/>
  <c r="YS234" i="1"/>
  <c r="YR234" i="1"/>
  <c r="YQ234" i="1"/>
  <c r="YP234" i="1"/>
  <c r="YO234" i="1"/>
  <c r="YN234" i="1"/>
  <c r="YM234" i="1"/>
  <c r="YL234" i="1"/>
  <c r="YK234" i="1"/>
  <c r="YJ234" i="1"/>
  <c r="YI234" i="1"/>
  <c r="YH234" i="1"/>
  <c r="YG234" i="1"/>
  <c r="YF234" i="1"/>
  <c r="YE234" i="1"/>
  <c r="YD234" i="1"/>
  <c r="YC234" i="1"/>
  <c r="YB234" i="1"/>
  <c r="YA234" i="1"/>
  <c r="XZ234" i="1"/>
  <c r="XY234" i="1"/>
  <c r="XX234" i="1"/>
  <c r="XW234" i="1"/>
  <c r="XV234" i="1"/>
  <c r="XU234" i="1"/>
  <c r="XT234" i="1"/>
  <c r="XS234" i="1"/>
  <c r="XR234" i="1"/>
  <c r="XQ234" i="1"/>
  <c r="XP234" i="1"/>
  <c r="XO234" i="1"/>
  <c r="XN234" i="1"/>
  <c r="XM234" i="1"/>
  <c r="XL234" i="1"/>
  <c r="XK234" i="1"/>
  <c r="XJ234" i="1"/>
  <c r="XI234" i="1"/>
  <c r="XH234" i="1"/>
  <c r="XG234" i="1"/>
  <c r="XF234" i="1"/>
  <c r="XE234" i="1"/>
  <c r="XD234" i="1"/>
  <c r="XC234" i="1"/>
  <c r="XB234" i="1"/>
  <c r="XA234" i="1"/>
  <c r="WZ234" i="1"/>
  <c r="WY234" i="1"/>
  <c r="WX234" i="1"/>
  <c r="WW234" i="1"/>
  <c r="WV234" i="1"/>
  <c r="WU234" i="1"/>
  <c r="WT234" i="1"/>
  <c r="WS234" i="1"/>
  <c r="WR234" i="1"/>
  <c r="WQ234" i="1"/>
  <c r="WP234" i="1"/>
  <c r="WO234" i="1"/>
  <c r="WN234" i="1"/>
  <c r="WM234" i="1"/>
  <c r="WL234" i="1"/>
  <c r="WK234" i="1"/>
  <c r="WJ234" i="1"/>
  <c r="WI234" i="1"/>
  <c r="WH234" i="1"/>
  <c r="WG234" i="1"/>
  <c r="WF234" i="1"/>
  <c r="WE234" i="1"/>
  <c r="WD234" i="1"/>
  <c r="WC234" i="1"/>
  <c r="WB234" i="1"/>
  <c r="WA234" i="1"/>
  <c r="VZ234" i="1"/>
  <c r="VY234" i="1"/>
  <c r="VX234" i="1"/>
  <c r="VW234" i="1"/>
  <c r="VV234" i="1"/>
  <c r="VU234" i="1"/>
  <c r="VT234" i="1"/>
  <c r="VS234" i="1"/>
  <c r="VR234" i="1"/>
  <c r="VQ234" i="1"/>
  <c r="VP234" i="1"/>
  <c r="VO234" i="1"/>
  <c r="VN234" i="1"/>
  <c r="VM234" i="1"/>
  <c r="VL234" i="1"/>
  <c r="VK234" i="1"/>
  <c r="VJ234" i="1"/>
  <c r="VI234" i="1"/>
  <c r="VH234" i="1"/>
  <c r="VG234" i="1"/>
  <c r="VF234" i="1"/>
  <c r="VE234" i="1"/>
  <c r="VD234" i="1"/>
  <c r="VC234" i="1"/>
  <c r="VB234" i="1"/>
  <c r="VA234" i="1"/>
  <c r="UZ234" i="1"/>
  <c r="UY234" i="1"/>
  <c r="UX234" i="1"/>
  <c r="UW234" i="1"/>
  <c r="UV234" i="1"/>
  <c r="UU234" i="1"/>
  <c r="UT234" i="1"/>
  <c r="US234" i="1"/>
  <c r="UR234" i="1"/>
  <c r="UQ234" i="1"/>
  <c r="UP234" i="1"/>
  <c r="UO234" i="1"/>
  <c r="UN234" i="1"/>
  <c r="UM234" i="1"/>
  <c r="UL234" i="1"/>
  <c r="UK234" i="1"/>
  <c r="UJ234" i="1"/>
  <c r="UI234" i="1"/>
  <c r="UH234" i="1"/>
  <c r="UG234" i="1"/>
  <c r="UF234" i="1"/>
  <c r="UE234" i="1"/>
  <c r="UD234" i="1"/>
  <c r="UC234" i="1"/>
  <c r="UB234" i="1"/>
  <c r="UA234" i="1"/>
  <c r="TZ234" i="1"/>
  <c r="TY234" i="1"/>
  <c r="TX234" i="1"/>
  <c r="TW234" i="1"/>
  <c r="TV234" i="1"/>
  <c r="TU234" i="1"/>
  <c r="TT234" i="1"/>
  <c r="TS234" i="1"/>
  <c r="TR234" i="1"/>
  <c r="TQ234" i="1"/>
  <c r="TP234" i="1"/>
  <c r="TO234" i="1"/>
  <c r="TN234" i="1"/>
  <c r="TM234" i="1"/>
  <c r="TL234" i="1"/>
  <c r="TK234" i="1"/>
  <c r="TJ234" i="1"/>
  <c r="TI234" i="1"/>
  <c r="TH234" i="1"/>
  <c r="TG234" i="1"/>
  <c r="TF234" i="1"/>
  <c r="TE234" i="1"/>
  <c r="TD234" i="1"/>
  <c r="TC234" i="1"/>
  <c r="TB234" i="1"/>
  <c r="TA234" i="1"/>
  <c r="SZ234" i="1"/>
  <c r="SY234" i="1"/>
  <c r="SX234" i="1"/>
  <c r="SW234" i="1"/>
  <c r="SV234" i="1"/>
  <c r="SU234" i="1"/>
  <c r="ST234" i="1"/>
  <c r="SS234" i="1"/>
  <c r="SR234" i="1"/>
  <c r="SQ234" i="1"/>
  <c r="SP234" i="1"/>
  <c r="SO234" i="1"/>
  <c r="SN234" i="1"/>
  <c r="SM234" i="1"/>
  <c r="SL234" i="1"/>
  <c r="SK234" i="1"/>
  <c r="SJ234" i="1"/>
  <c r="SI234" i="1"/>
  <c r="SH234" i="1"/>
  <c r="SG234" i="1"/>
  <c r="SF234" i="1"/>
  <c r="SE234" i="1"/>
  <c r="SD234" i="1"/>
  <c r="SC234" i="1"/>
  <c r="SB234" i="1"/>
  <c r="SA234" i="1"/>
  <c r="RZ234" i="1"/>
  <c r="RY234" i="1"/>
  <c r="RX234" i="1"/>
  <c r="RW234" i="1"/>
  <c r="RV234" i="1"/>
  <c r="RU234" i="1"/>
  <c r="RT234" i="1"/>
  <c r="RS234" i="1"/>
  <c r="RR234" i="1"/>
  <c r="RQ234" i="1"/>
  <c r="RP234" i="1"/>
  <c r="RO234" i="1"/>
  <c r="RN234" i="1"/>
  <c r="RM234" i="1"/>
  <c r="RL234" i="1"/>
  <c r="RK234" i="1"/>
  <c r="RJ234" i="1"/>
  <c r="RI234" i="1"/>
  <c r="RH234" i="1"/>
  <c r="RG234" i="1"/>
  <c r="RF234" i="1"/>
  <c r="RE234" i="1"/>
  <c r="RD234" i="1"/>
  <c r="RC234" i="1"/>
  <c r="RB234" i="1"/>
  <c r="RA234" i="1"/>
  <c r="QZ234" i="1"/>
  <c r="QY234" i="1"/>
  <c r="QX234" i="1"/>
  <c r="QW234" i="1"/>
  <c r="QV234" i="1"/>
  <c r="QU234" i="1"/>
  <c r="QT234" i="1"/>
  <c r="QS234" i="1"/>
  <c r="QR234" i="1"/>
  <c r="QQ234" i="1"/>
  <c r="QP234" i="1"/>
  <c r="QO234" i="1"/>
  <c r="QN234" i="1"/>
  <c r="QM234" i="1"/>
  <c r="QL234" i="1"/>
  <c r="QK234" i="1"/>
  <c r="QJ234" i="1"/>
  <c r="QI234" i="1"/>
  <c r="QH234" i="1"/>
  <c r="QG234" i="1"/>
  <c r="QF234" i="1"/>
  <c r="QE234" i="1"/>
  <c r="QD234" i="1"/>
  <c r="QC234" i="1"/>
  <c r="QB234" i="1"/>
  <c r="QA234" i="1"/>
  <c r="PZ234" i="1"/>
  <c r="PY234" i="1"/>
  <c r="PX234" i="1"/>
  <c r="PW234" i="1"/>
  <c r="PV234" i="1"/>
  <c r="PU234" i="1"/>
  <c r="PT234" i="1"/>
  <c r="PS234" i="1"/>
  <c r="PR234" i="1"/>
  <c r="PQ234" i="1"/>
  <c r="PP234" i="1"/>
  <c r="PO234" i="1"/>
  <c r="PN234" i="1"/>
  <c r="PM234" i="1"/>
  <c r="PL234" i="1"/>
  <c r="PK234" i="1"/>
  <c r="PJ234" i="1"/>
  <c r="PI234" i="1"/>
  <c r="PH234" i="1"/>
  <c r="PG234" i="1"/>
  <c r="PF234" i="1"/>
  <c r="PE234" i="1"/>
  <c r="PD234" i="1"/>
  <c r="PC234" i="1"/>
  <c r="PB234" i="1"/>
  <c r="PA234" i="1"/>
  <c r="OZ234" i="1"/>
  <c r="OY234" i="1"/>
  <c r="OX234" i="1"/>
  <c r="OW234" i="1"/>
  <c r="OV234" i="1"/>
  <c r="OU234" i="1"/>
  <c r="OT234" i="1"/>
  <c r="OS234" i="1"/>
  <c r="OR234" i="1"/>
  <c r="OQ234" i="1"/>
  <c r="OP234" i="1"/>
  <c r="OO234" i="1"/>
  <c r="ON234" i="1"/>
  <c r="OM234" i="1"/>
  <c r="OL234" i="1"/>
  <c r="OK234" i="1"/>
  <c r="OJ234" i="1"/>
  <c r="OI234" i="1"/>
  <c r="OH234" i="1"/>
  <c r="OG234" i="1"/>
  <c r="OF234" i="1"/>
  <c r="OE234" i="1"/>
  <c r="OD234" i="1"/>
  <c r="OC234" i="1"/>
  <c r="OB234" i="1"/>
  <c r="OA234" i="1"/>
  <c r="NZ234" i="1"/>
  <c r="NY234" i="1"/>
  <c r="NX234" i="1"/>
  <c r="NW234" i="1"/>
  <c r="NV234" i="1"/>
  <c r="NU234" i="1"/>
  <c r="NT234" i="1"/>
  <c r="NS234" i="1"/>
  <c r="NR234" i="1"/>
  <c r="NQ234" i="1"/>
  <c r="NP234" i="1"/>
  <c r="NO234" i="1"/>
  <c r="NN234" i="1"/>
  <c r="NM234" i="1"/>
  <c r="NL234" i="1"/>
  <c r="NK234" i="1"/>
  <c r="NJ234" i="1"/>
  <c r="NI234" i="1"/>
  <c r="NH234" i="1"/>
  <c r="NG234" i="1"/>
  <c r="NF234" i="1"/>
  <c r="NE234" i="1"/>
  <c r="ND234" i="1"/>
  <c r="NC234" i="1"/>
  <c r="NB234" i="1"/>
  <c r="NA234" i="1"/>
  <c r="MZ234" i="1"/>
  <c r="MY234" i="1"/>
  <c r="MX234" i="1"/>
  <c r="MW234" i="1"/>
  <c r="MV234" i="1"/>
  <c r="MU234" i="1"/>
  <c r="MT234" i="1"/>
  <c r="MS234" i="1"/>
  <c r="MR234" i="1"/>
  <c r="MQ234" i="1"/>
  <c r="MP234" i="1"/>
  <c r="MO234" i="1"/>
  <c r="MN234" i="1"/>
  <c r="MM234" i="1"/>
  <c r="ML234" i="1"/>
  <c r="MK234" i="1"/>
  <c r="MJ234" i="1"/>
  <c r="MI234" i="1"/>
  <c r="MH234" i="1"/>
  <c r="MG234" i="1"/>
  <c r="MF234" i="1"/>
  <c r="ME234" i="1"/>
  <c r="MD234" i="1"/>
  <c r="MC234" i="1"/>
  <c r="MB234" i="1"/>
  <c r="MA234" i="1"/>
  <c r="LZ234" i="1"/>
  <c r="LY234" i="1"/>
  <c r="LX234" i="1"/>
  <c r="LW234" i="1"/>
  <c r="LV234" i="1"/>
  <c r="LU234" i="1"/>
  <c r="LT234" i="1"/>
  <c r="LS234" i="1"/>
  <c r="LR234" i="1"/>
  <c r="LQ234" i="1"/>
  <c r="LP234" i="1"/>
  <c r="LO234" i="1"/>
  <c r="LN234" i="1"/>
  <c r="LM234" i="1"/>
  <c r="LL234" i="1"/>
  <c r="LK234" i="1"/>
  <c r="LJ234" i="1"/>
  <c r="LI234" i="1"/>
  <c r="LH234" i="1"/>
  <c r="LG234" i="1"/>
  <c r="LF234" i="1"/>
  <c r="LE234" i="1"/>
  <c r="LD234" i="1"/>
  <c r="LC234" i="1"/>
  <c r="LB234" i="1"/>
  <c r="LA234" i="1"/>
  <c r="KZ234" i="1"/>
  <c r="KY234" i="1"/>
  <c r="KX234" i="1"/>
  <c r="KW234" i="1"/>
  <c r="KV234" i="1"/>
  <c r="KU234" i="1"/>
  <c r="KT234" i="1"/>
  <c r="KS234" i="1"/>
  <c r="KR234" i="1"/>
  <c r="KQ234" i="1"/>
  <c r="KP234" i="1"/>
  <c r="KO234" i="1"/>
  <c r="KN234" i="1"/>
  <c r="KM234" i="1"/>
  <c r="KL234" i="1"/>
  <c r="KK234" i="1"/>
  <c r="KJ234" i="1"/>
  <c r="KI234" i="1"/>
  <c r="KH234" i="1"/>
  <c r="KG234" i="1"/>
  <c r="KF234" i="1"/>
  <c r="YX221" i="1"/>
  <c r="YW221" i="1"/>
  <c r="OF221" i="1"/>
  <c r="OE221" i="1"/>
  <c r="LC221" i="1"/>
  <c r="LB221" i="1"/>
  <c r="LA221" i="1"/>
  <c r="KZ221" i="1"/>
  <c r="KY221" i="1"/>
  <c r="KX221" i="1"/>
  <c r="KW221" i="1"/>
  <c r="KV221" i="1"/>
  <c r="KE235" i="1"/>
  <c r="KD235" i="1"/>
  <c r="KC235" i="1"/>
  <c r="KB235" i="1"/>
  <c r="KA235" i="1"/>
  <c r="JZ235" i="1"/>
  <c r="JY235" i="1"/>
  <c r="JX235" i="1"/>
  <c r="JW235" i="1"/>
  <c r="JV235" i="1"/>
  <c r="JU235" i="1"/>
  <c r="JT235" i="1"/>
  <c r="JS235" i="1"/>
  <c r="JR235" i="1"/>
  <c r="JQ235" i="1"/>
  <c r="JP235" i="1"/>
  <c r="JO235" i="1"/>
  <c r="JN235" i="1"/>
  <c r="JM235" i="1"/>
  <c r="JL235" i="1"/>
  <c r="JK235" i="1"/>
  <c r="JJ235" i="1"/>
  <c r="JI235" i="1"/>
  <c r="JH235" i="1"/>
  <c r="JG235" i="1"/>
  <c r="JF235" i="1"/>
  <c r="JE235" i="1"/>
  <c r="JD235" i="1"/>
  <c r="JC235" i="1"/>
  <c r="JB235" i="1"/>
  <c r="JA235" i="1"/>
  <c r="IZ235" i="1"/>
  <c r="IY235" i="1"/>
  <c r="IX235" i="1"/>
  <c r="IW235" i="1"/>
  <c r="IV235" i="1"/>
  <c r="IU235" i="1"/>
  <c r="IT235" i="1"/>
  <c r="IS235" i="1"/>
  <c r="IR235" i="1"/>
  <c r="IQ235" i="1"/>
  <c r="IP235" i="1"/>
  <c r="IO235" i="1"/>
  <c r="IN235" i="1"/>
  <c r="IM235" i="1"/>
  <c r="IL235" i="1"/>
  <c r="IK235" i="1"/>
  <c r="IJ235" i="1"/>
  <c r="II235" i="1"/>
  <c r="IH235" i="1"/>
  <c r="IG235" i="1"/>
  <c r="IF235" i="1"/>
  <c r="IE235" i="1"/>
  <c r="ID235" i="1"/>
  <c r="IC235" i="1"/>
  <c r="IB235" i="1"/>
  <c r="IA235" i="1"/>
  <c r="HZ235" i="1"/>
  <c r="HY235" i="1"/>
  <c r="HX235" i="1"/>
  <c r="HW235" i="1"/>
  <c r="HV235" i="1"/>
  <c r="KE234" i="1"/>
  <c r="KD234" i="1"/>
  <c r="KC234" i="1"/>
  <c r="KB234" i="1"/>
  <c r="KA234" i="1"/>
  <c r="JZ234" i="1"/>
  <c r="JY234" i="1"/>
  <c r="JX234" i="1"/>
  <c r="JW234" i="1"/>
  <c r="JV234" i="1"/>
  <c r="JU234" i="1"/>
  <c r="JT234" i="1"/>
  <c r="JS234" i="1"/>
  <c r="JR234" i="1"/>
  <c r="JQ234" i="1"/>
  <c r="JP234" i="1"/>
  <c r="JO234" i="1"/>
  <c r="JN234" i="1"/>
  <c r="JM234" i="1"/>
  <c r="JL234" i="1"/>
  <c r="JK234" i="1"/>
  <c r="JJ234" i="1"/>
  <c r="JI234" i="1"/>
  <c r="JH234" i="1"/>
  <c r="JG234" i="1"/>
  <c r="JF234" i="1"/>
  <c r="JE234" i="1"/>
  <c r="JD234" i="1"/>
  <c r="JC234" i="1"/>
  <c r="JB234" i="1"/>
  <c r="JA234" i="1"/>
  <c r="IZ234" i="1"/>
  <c r="IY234" i="1"/>
  <c r="IX234" i="1"/>
  <c r="IW234" i="1"/>
  <c r="IV234" i="1"/>
  <c r="IU234" i="1"/>
  <c r="IT234" i="1"/>
  <c r="IS234" i="1"/>
  <c r="IR234" i="1"/>
  <c r="IQ234" i="1"/>
  <c r="IP234" i="1"/>
  <c r="IO234" i="1"/>
  <c r="IN234" i="1"/>
  <c r="IM234" i="1"/>
  <c r="IL234" i="1"/>
  <c r="IK234" i="1"/>
  <c r="IJ234" i="1"/>
  <c r="II234" i="1"/>
  <c r="IH234" i="1"/>
  <c r="IG234" i="1"/>
  <c r="IF234" i="1"/>
  <c r="IE234" i="1"/>
  <c r="ID234" i="1"/>
  <c r="IC234" i="1"/>
  <c r="IB234" i="1"/>
  <c r="IA234" i="1"/>
  <c r="HZ234" i="1"/>
  <c r="HY234" i="1"/>
  <c r="HX234" i="1"/>
  <c r="HW234" i="1"/>
  <c r="HV234" i="1"/>
  <c r="HU235" i="1"/>
  <c r="HT235" i="1"/>
  <c r="HM235" i="1"/>
  <c r="HL235" i="1"/>
  <c r="HK235" i="1"/>
  <c r="HJ235" i="1"/>
  <c r="HI235" i="1"/>
  <c r="HH235" i="1"/>
  <c r="HG235" i="1"/>
  <c r="HF235" i="1"/>
  <c r="HE235" i="1"/>
  <c r="HD235" i="1"/>
  <c r="HC235" i="1"/>
  <c r="HB235" i="1"/>
  <c r="HA235" i="1"/>
  <c r="GZ235" i="1"/>
  <c r="GY235" i="1"/>
  <c r="GX235" i="1"/>
  <c r="GW235" i="1"/>
  <c r="GV235" i="1"/>
  <c r="GU235" i="1"/>
  <c r="GT235" i="1"/>
  <c r="GS235" i="1"/>
  <c r="GR235" i="1"/>
  <c r="GQ235" i="1"/>
  <c r="GP235" i="1"/>
  <c r="HU234" i="1"/>
  <c r="HT234" i="1"/>
  <c r="HS234" i="1"/>
  <c r="HR234" i="1"/>
  <c r="HQ234" i="1"/>
  <c r="HP234" i="1"/>
  <c r="HO234" i="1"/>
  <c r="HN234" i="1"/>
  <c r="HM234" i="1"/>
  <c r="HL234" i="1"/>
  <c r="HK234" i="1"/>
  <c r="HJ234" i="1"/>
  <c r="HI234" i="1"/>
  <c r="HH234" i="1"/>
  <c r="HG234" i="1"/>
  <c r="HF234" i="1"/>
  <c r="HE234" i="1"/>
  <c r="HD234" i="1"/>
  <c r="HC234" i="1"/>
  <c r="HB234" i="1"/>
  <c r="HA234" i="1"/>
  <c r="GZ234" i="1"/>
  <c r="GY234" i="1"/>
  <c r="GX234" i="1"/>
  <c r="GW234" i="1"/>
  <c r="GV234" i="1"/>
  <c r="GU234" i="1"/>
  <c r="GT234" i="1"/>
  <c r="GS234" i="1"/>
  <c r="GR234" i="1"/>
  <c r="GQ234" i="1"/>
  <c r="GP234" i="1"/>
  <c r="ACQ235" i="1"/>
  <c r="BB26" i="11" a="1"/>
  <c r="BB26" i="11" s="1"/>
  <c r="BB28" i="11" s="1"/>
  <c r="BB22" i="11"/>
  <c r="BB20" i="11" a="1"/>
  <c r="BB20" i="11" s="1"/>
  <c r="BB23" i="11" s="1"/>
  <c r="Z46" i="9"/>
  <c r="AD19" i="9"/>
  <c r="AV20" i="11" a="1"/>
  <c r="AV20" i="11"/>
  <c r="Y46" i="9"/>
  <c r="AC19" i="9"/>
  <c r="BA20" i="11" a="1"/>
  <c r="BA20" i="11"/>
  <c r="AZ20" i="11" a="1"/>
  <c r="AZ20" i="11"/>
  <c r="BA29" i="11"/>
  <c r="BA26" i="11" a="1"/>
  <c r="BA26" i="11"/>
  <c r="BA28" i="11"/>
  <c r="BA22" i="11"/>
  <c r="BA23" i="11"/>
  <c r="AZ29" i="11"/>
  <c r="AZ26" i="11" a="1"/>
  <c r="AZ26" i="11"/>
  <c r="AZ28" i="11"/>
  <c r="AZ22" i="11"/>
  <c r="AZ23" i="11"/>
  <c r="AY26" i="11" a="1"/>
  <c r="AY26" i="11"/>
  <c r="AY28" i="11"/>
  <c r="AY22" i="11"/>
  <c r="AY20" i="11" a="1"/>
  <c r="AY20" i="11"/>
  <c r="AY23" i="11"/>
  <c r="AP20" i="11" a="1"/>
  <c r="AP20" i="11"/>
  <c r="AX20" i="11" a="1"/>
  <c r="AX20" i="11"/>
  <c r="AW20" i="11" a="1"/>
  <c r="AW20" i="11"/>
  <c r="AX26" i="11" a="1"/>
  <c r="AX26" i="11"/>
  <c r="AX28" i="11"/>
  <c r="AX22" i="11"/>
  <c r="AX23" i="11"/>
  <c r="AX36" i="11" s="1"/>
  <c r="AW26" i="11" a="1"/>
  <c r="AW26" i="11"/>
  <c r="AW28" i="11"/>
  <c r="AW22" i="11"/>
  <c r="AW23" i="11"/>
  <c r="AW36" i="11" s="1"/>
  <c r="AV26" i="11" a="1"/>
  <c r="AV26" i="11"/>
  <c r="AV28" i="11"/>
  <c r="YD235" i="1"/>
  <c r="AU10" i="11"/>
  <c r="AU11" i="11"/>
  <c r="AU9" i="11"/>
  <c r="AU26" i="11" a="1"/>
  <c r="AU26" i="11"/>
  <c r="AU28" i="11"/>
  <c r="AU36" i="11"/>
  <c r="B34" i="8"/>
  <c r="AT26" i="11" a="1"/>
  <c r="AT26" i="11"/>
  <c r="AT28" i="11"/>
  <c r="AT36" i="11"/>
  <c r="AT38" i="11"/>
  <c r="AT11" i="11"/>
  <c r="AT10" i="11"/>
  <c r="AT9" i="11"/>
  <c r="AS26" i="11" a="1"/>
  <c r="AS26" i="11"/>
  <c r="AS28" i="11"/>
  <c r="XR235" i="1"/>
  <c r="AR10" i="11"/>
  <c r="AR11" i="11"/>
  <c r="AR9" i="11"/>
  <c r="AR26" i="11" a="1"/>
  <c r="AR26" i="11"/>
  <c r="AR28" i="11"/>
  <c r="AR22" i="11"/>
  <c r="AR20" i="11" a="1"/>
  <c r="AR20" i="11"/>
  <c r="AR23" i="11"/>
  <c r="VZ235" i="1"/>
  <c r="VP235" i="1"/>
  <c r="VO235" i="1"/>
  <c r="VN235" i="1"/>
  <c r="VM235" i="1"/>
  <c r="AT22" i="11"/>
  <c r="AT20" i="11" a="1"/>
  <c r="AT20" i="11"/>
  <c r="AT23" i="11"/>
  <c r="AT33" i="11"/>
  <c r="AT39" i="11"/>
  <c r="AT34" i="11"/>
  <c r="AS22" i="11"/>
  <c r="AS20" i="11" a="1"/>
  <c r="AS20" i="11"/>
  <c r="AS23" i="11"/>
  <c r="AS33" i="11"/>
  <c r="AS34" i="11"/>
  <c r="AR33" i="11"/>
  <c r="AR34" i="11"/>
  <c r="B280" i="8"/>
  <c r="X46" i="9"/>
  <c r="AB19" i="9"/>
  <c r="AQ26" i="11" a="1"/>
  <c r="AQ26" i="11"/>
  <c r="AQ28" i="11"/>
  <c r="AQ22" i="11"/>
  <c r="AQ20" i="11" a="1"/>
  <c r="AQ20" i="11"/>
  <c r="AQ23" i="11"/>
  <c r="AP26" i="11" a="1"/>
  <c r="AP26" i="11"/>
  <c r="AP28" i="11"/>
  <c r="AP22" i="11"/>
  <c r="AP23" i="11"/>
  <c r="B220" i="8"/>
  <c r="B16" i="8"/>
  <c r="W46" i="9"/>
  <c r="AA19" i="9"/>
  <c r="B288" i="8"/>
  <c r="V46" i="9"/>
  <c r="Z19" i="9"/>
  <c r="B36" i="8"/>
  <c r="B242" i="8"/>
  <c r="U46" i="9"/>
  <c r="Y19" i="9"/>
  <c r="AO11" i="11"/>
  <c r="AO10" i="11"/>
  <c r="AO9" i="11"/>
  <c r="AO20" i="11" s="1" a="1"/>
  <c r="AO20" i="11" s="1"/>
  <c r="AO26" i="11" a="1"/>
  <c r="AO26" i="11"/>
  <c r="AO28" i="11"/>
  <c r="AO22" i="11"/>
  <c r="AO23" i="11"/>
  <c r="T46" i="9"/>
  <c r="X19" i="9"/>
  <c r="AN20" i="11" a="1"/>
  <c r="AN20" i="11"/>
  <c r="AN26" i="11" a="1"/>
  <c r="AN26" i="11"/>
  <c r="AN28" i="11"/>
  <c r="W19" i="9"/>
  <c r="AM11" i="11"/>
  <c r="AM10" i="11"/>
  <c r="AM9" i="11"/>
  <c r="AM20" i="11" s="1" a="1"/>
  <c r="AM20" i="11" s="1"/>
  <c r="AM26" i="11" a="1"/>
  <c r="AM26" i="11"/>
  <c r="AM28" i="11"/>
  <c r="AM22" i="11"/>
  <c r="AM23" i="11"/>
  <c r="AL26" i="11" a="1"/>
  <c r="AL26" i="11"/>
  <c r="AL28" i="11"/>
  <c r="AK26" i="11" a="1"/>
  <c r="AK26" i="11"/>
  <c r="AK28" i="11"/>
  <c r="AL22" i="11"/>
  <c r="AK22" i="11"/>
  <c r="AL20" i="11" a="1"/>
  <c r="AL20" i="11"/>
  <c r="AL23" i="11"/>
  <c r="AK20" i="11" a="1"/>
  <c r="AK20" i="11"/>
  <c r="AK23" i="11"/>
  <c r="AJ26" i="11" a="1"/>
  <c r="AJ26" i="11"/>
  <c r="AJ28" i="11"/>
  <c r="AJ22" i="11"/>
  <c r="AJ20" i="11" a="1"/>
  <c r="AJ20" i="11"/>
  <c r="AJ23" i="11"/>
  <c r="S46" i="9"/>
  <c r="RX235" i="1"/>
  <c r="R46" i="9"/>
  <c r="Q46" i="9"/>
  <c r="V19" i="9"/>
  <c r="AI39" i="11"/>
  <c r="AI37" i="11"/>
  <c r="AI26" i="11" a="1"/>
  <c r="AI26" i="11"/>
  <c r="AI28" i="11"/>
  <c r="AI10" i="11"/>
  <c r="AH37" i="11"/>
  <c r="AH10" i="11"/>
  <c r="AH26" i="11" a="1"/>
  <c r="AH26" i="11"/>
  <c r="AH28" i="11"/>
  <c r="AH22" i="11"/>
  <c r="AH20" i="11" a="1"/>
  <c r="AH20" i="11"/>
  <c r="AH23" i="11"/>
  <c r="QU235" i="1"/>
  <c r="QK235" i="1"/>
  <c r="QJ235" i="1"/>
  <c r="B44" i="8"/>
  <c r="HO235" i="1"/>
  <c r="HP235" i="1"/>
  <c r="HR235" i="1"/>
  <c r="HS235" i="1"/>
  <c r="P46" i="9"/>
  <c r="U19" i="9"/>
  <c r="AG26" i="11" a="1"/>
  <c r="AG26" i="11"/>
  <c r="AG28" i="11"/>
  <c r="AG22" i="11"/>
  <c r="AG20" i="11" a="1"/>
  <c r="AG20" i="11"/>
  <c r="AG23" i="11"/>
  <c r="AF26" i="11" a="1"/>
  <c r="AF26" i="11"/>
  <c r="AF28" i="11"/>
  <c r="AF22" i="11"/>
  <c r="AF20" i="11" a="1"/>
  <c r="AF20" i="11"/>
  <c r="AF23" i="11"/>
  <c r="B246" i="8"/>
  <c r="O46" i="9"/>
  <c r="T19" i="9"/>
  <c r="AE26" i="11" a="1"/>
  <c r="AE26" i="11"/>
  <c r="AE28" i="11"/>
  <c r="AE22" i="11"/>
  <c r="AE20" i="11" a="1"/>
  <c r="AE20" i="11"/>
  <c r="AE23" i="11"/>
  <c r="AD26" i="11" a="1"/>
  <c r="AD26" i="11"/>
  <c r="AD28" i="11"/>
  <c r="AD22" i="11"/>
  <c r="AD20" i="11" a="1"/>
  <c r="AD20" i="11"/>
  <c r="AD23" i="11"/>
  <c r="AC26" i="11" a="1"/>
  <c r="AC26" i="11"/>
  <c r="AC28" i="11"/>
  <c r="AC22" i="11"/>
  <c r="AC20" i="11" a="1"/>
  <c r="AC20" i="11"/>
  <c r="AC23" i="11"/>
  <c r="B10" i="8"/>
  <c r="N46" i="9"/>
  <c r="S19" i="9"/>
  <c r="B310" i="8"/>
  <c r="B210" i="8"/>
  <c r="B137" i="8"/>
  <c r="M46" i="9"/>
  <c r="R19" i="9"/>
  <c r="AB26" i="11" a="1"/>
  <c r="AB26" i="11"/>
  <c r="AB28" i="11"/>
  <c r="AB22" i="11"/>
  <c r="AB20" i="11" a="1"/>
  <c r="AB20" i="11"/>
  <c r="AB23" i="11"/>
  <c r="AA26" i="11" a="1"/>
  <c r="AA26" i="11"/>
  <c r="AA28" i="11"/>
  <c r="AA22" i="11"/>
  <c r="AA20" i="11" a="1"/>
  <c r="AA20" i="11"/>
  <c r="AA23" i="11"/>
  <c r="Z26" i="11" a="1"/>
  <c r="Z26" i="11"/>
  <c r="Z28" i="11"/>
  <c r="Z22" i="11"/>
  <c r="Z20" i="11" a="1"/>
  <c r="Z20" i="11"/>
  <c r="Z23" i="11"/>
  <c r="Y29" i="11"/>
  <c r="Y26" i="11" a="1"/>
  <c r="Y26" i="11"/>
  <c r="Y28" i="11"/>
  <c r="Y22" i="11"/>
  <c r="Y20" i="11" a="1"/>
  <c r="Y20" i="11"/>
  <c r="Y23" i="11"/>
  <c r="X26" i="11" a="1"/>
  <c r="X26" i="11"/>
  <c r="X28" i="11"/>
  <c r="X22" i="11"/>
  <c r="X20" i="11" a="1"/>
  <c r="X20" i="11"/>
  <c r="X23" i="11"/>
  <c r="Q19" i="9"/>
  <c r="B143" i="8"/>
  <c r="L46" i="9"/>
  <c r="P19" i="9"/>
  <c r="U26" i="11" a="1"/>
  <c r="U26" i="11"/>
  <c r="T26" i="11" a="1"/>
  <c r="T26" i="11"/>
  <c r="S26" i="11" a="1"/>
  <c r="S26" i="11"/>
  <c r="R26" i="11" a="1"/>
  <c r="R26" i="11"/>
  <c r="Q26" i="11" a="1"/>
  <c r="Q26" i="11"/>
  <c r="P26" i="11" a="1"/>
  <c r="P26" i="11"/>
  <c r="O26" i="11" a="1"/>
  <c r="O26" i="11"/>
  <c r="N26" i="11" a="1"/>
  <c r="N26" i="11"/>
  <c r="M26" i="11" a="1"/>
  <c r="M26" i="11"/>
  <c r="L26" i="11" a="1"/>
  <c r="L26" i="11"/>
  <c r="K26" i="11" a="1"/>
  <c r="K26" i="11"/>
  <c r="J26" i="11" a="1"/>
  <c r="J26" i="11"/>
  <c r="I26" i="11" a="1"/>
  <c r="I26" i="11"/>
  <c r="H26" i="11" a="1"/>
  <c r="H26" i="11"/>
  <c r="G26" i="11" a="1"/>
  <c r="G26" i="11"/>
  <c r="F26" i="11" a="1"/>
  <c r="F26" i="11"/>
  <c r="E26" i="11" a="1"/>
  <c r="E26" i="11"/>
  <c r="D26" i="11" a="1"/>
  <c r="D26" i="11"/>
  <c r="C26" i="11" a="1"/>
  <c r="C26" i="11"/>
  <c r="V26" i="11" a="1"/>
  <c r="V26" i="11"/>
  <c r="W26" i="11" a="1"/>
  <c r="W26" i="11"/>
  <c r="W28" i="11"/>
  <c r="V11" i="11"/>
  <c r="V10" i="11"/>
  <c r="V9" i="11"/>
  <c r="V28" i="11"/>
  <c r="V22" i="11"/>
  <c r="V20" i="11" a="1"/>
  <c r="V20" i="11"/>
  <c r="V23" i="11"/>
  <c r="U28" i="11"/>
  <c r="U22" i="11"/>
  <c r="U20" i="11" a="1"/>
  <c r="U20" i="11"/>
  <c r="U23" i="11"/>
  <c r="O19" i="9"/>
  <c r="N19" i="9"/>
  <c r="T28" i="11"/>
  <c r="T22" i="11"/>
  <c r="T20" i="11" a="1"/>
  <c r="T20" i="11"/>
  <c r="T23" i="11"/>
  <c r="S28" i="11"/>
  <c r="S22" i="11"/>
  <c r="S20" i="11" a="1"/>
  <c r="S20" i="11"/>
  <c r="S23" i="11"/>
  <c r="R28" i="11"/>
  <c r="R22" i="11"/>
  <c r="R20" i="11" a="1"/>
  <c r="R20" i="11"/>
  <c r="R23" i="11"/>
  <c r="B42" i="8"/>
  <c r="K46" i="9"/>
  <c r="M19" i="9"/>
  <c r="GO235" i="1"/>
  <c r="GN235" i="1"/>
  <c r="GM235" i="1"/>
  <c r="GO234" i="1"/>
  <c r="GN234" i="1"/>
  <c r="GM234" i="1"/>
  <c r="GL235" i="1"/>
  <c r="GK235" i="1"/>
  <c r="GJ235" i="1"/>
  <c r="GI235" i="1"/>
  <c r="GH235" i="1"/>
  <c r="GG235" i="1"/>
  <c r="GF235" i="1"/>
  <c r="GE235" i="1"/>
  <c r="GD235" i="1"/>
  <c r="GC235" i="1"/>
  <c r="GB235" i="1"/>
  <c r="GA235" i="1"/>
  <c r="FZ235" i="1"/>
  <c r="FY235" i="1"/>
  <c r="FX235" i="1"/>
  <c r="FW235" i="1"/>
  <c r="FV235" i="1"/>
  <c r="FU235" i="1"/>
  <c r="FT235" i="1"/>
  <c r="FS235" i="1"/>
  <c r="FR235" i="1"/>
  <c r="FQ235" i="1"/>
  <c r="FP235" i="1"/>
  <c r="FO235" i="1"/>
  <c r="FN235" i="1"/>
  <c r="FM235" i="1"/>
  <c r="FL235" i="1"/>
  <c r="FK235" i="1"/>
  <c r="FJ235" i="1"/>
  <c r="FI235" i="1"/>
  <c r="FH235" i="1"/>
  <c r="FG235" i="1"/>
  <c r="FF235" i="1"/>
  <c r="FE235" i="1"/>
  <c r="FD235" i="1"/>
  <c r="FC235" i="1"/>
  <c r="FB235" i="1"/>
  <c r="FA235" i="1"/>
  <c r="EZ235" i="1"/>
  <c r="EY235" i="1"/>
  <c r="EX235" i="1"/>
  <c r="EW235" i="1"/>
  <c r="EV235" i="1"/>
  <c r="EU235" i="1"/>
  <c r="ET235" i="1"/>
  <c r="ES235" i="1"/>
  <c r="ER235" i="1"/>
  <c r="EQ235" i="1"/>
  <c r="EP235" i="1"/>
  <c r="EO235" i="1"/>
  <c r="EN235" i="1"/>
  <c r="EM235" i="1"/>
  <c r="EL235" i="1"/>
  <c r="EK235" i="1"/>
  <c r="EJ235" i="1"/>
  <c r="EI235" i="1"/>
  <c r="EH235" i="1"/>
  <c r="EG235" i="1"/>
  <c r="EF235" i="1"/>
  <c r="EE235" i="1"/>
  <c r="ED235" i="1"/>
  <c r="EC235" i="1"/>
  <c r="EB235" i="1"/>
  <c r="EA235" i="1"/>
  <c r="DZ235" i="1"/>
  <c r="DY235" i="1"/>
  <c r="DX235" i="1"/>
  <c r="DW235" i="1"/>
  <c r="DV235" i="1"/>
  <c r="DU235" i="1"/>
  <c r="DT235" i="1"/>
  <c r="DS235" i="1"/>
  <c r="DR235" i="1"/>
  <c r="DQ235" i="1"/>
  <c r="DP235" i="1"/>
  <c r="DO235" i="1"/>
  <c r="DN235" i="1"/>
  <c r="DM235" i="1"/>
  <c r="DL235" i="1"/>
  <c r="DK235" i="1"/>
  <c r="DJ235" i="1"/>
  <c r="DI235" i="1"/>
  <c r="DH235" i="1"/>
  <c r="DG235" i="1"/>
  <c r="DF235" i="1"/>
  <c r="DE235" i="1"/>
  <c r="DD235" i="1"/>
  <c r="DC235" i="1"/>
  <c r="DB235" i="1"/>
  <c r="DA235" i="1"/>
  <c r="CZ235" i="1"/>
  <c r="CY235" i="1"/>
  <c r="CX235" i="1"/>
  <c r="CW235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GL234" i="1"/>
  <c r="GK234" i="1"/>
  <c r="GJ234" i="1"/>
  <c r="GI234" i="1"/>
  <c r="GH234" i="1"/>
  <c r="GG234" i="1"/>
  <c r="GF234" i="1"/>
  <c r="GE234" i="1"/>
  <c r="GD234" i="1"/>
  <c r="GC234" i="1"/>
  <c r="GB234" i="1"/>
  <c r="GA234" i="1"/>
  <c r="FZ234" i="1"/>
  <c r="FY234" i="1"/>
  <c r="FX234" i="1"/>
  <c r="FW234" i="1"/>
  <c r="FV234" i="1"/>
  <c r="FU234" i="1"/>
  <c r="FT234" i="1"/>
  <c r="FS234" i="1"/>
  <c r="FR234" i="1"/>
  <c r="FQ234" i="1"/>
  <c r="FP234" i="1"/>
  <c r="FO234" i="1"/>
  <c r="FN234" i="1"/>
  <c r="FM234" i="1"/>
  <c r="FL234" i="1"/>
  <c r="FK234" i="1"/>
  <c r="FJ234" i="1"/>
  <c r="FI234" i="1"/>
  <c r="FH234" i="1"/>
  <c r="FG234" i="1"/>
  <c r="FF234" i="1"/>
  <c r="FE234" i="1"/>
  <c r="FD234" i="1"/>
  <c r="FC234" i="1"/>
  <c r="FB234" i="1"/>
  <c r="FA234" i="1"/>
  <c r="EZ234" i="1"/>
  <c r="EY234" i="1"/>
  <c r="EX234" i="1"/>
  <c r="EW234" i="1"/>
  <c r="EV234" i="1"/>
  <c r="EU234" i="1"/>
  <c r="ET234" i="1"/>
  <c r="ES234" i="1"/>
  <c r="ER234" i="1"/>
  <c r="EQ234" i="1"/>
  <c r="EP234" i="1"/>
  <c r="EO234" i="1"/>
  <c r="EN234" i="1"/>
  <c r="EM234" i="1"/>
  <c r="EL234" i="1"/>
  <c r="EK234" i="1"/>
  <c r="EJ234" i="1"/>
  <c r="EI234" i="1"/>
  <c r="EH234" i="1"/>
  <c r="EG234" i="1"/>
  <c r="EF234" i="1"/>
  <c r="EE234" i="1"/>
  <c r="ED234" i="1"/>
  <c r="EC234" i="1"/>
  <c r="EB234" i="1"/>
  <c r="EA234" i="1"/>
  <c r="DZ234" i="1"/>
  <c r="DY234" i="1"/>
  <c r="DX234" i="1"/>
  <c r="DW234" i="1"/>
  <c r="DV234" i="1"/>
  <c r="DU234" i="1"/>
  <c r="DT234" i="1"/>
  <c r="DS234" i="1"/>
  <c r="DR234" i="1"/>
  <c r="DQ234" i="1"/>
  <c r="DP234" i="1"/>
  <c r="DO234" i="1"/>
  <c r="DN234" i="1"/>
  <c r="DM234" i="1"/>
  <c r="DL234" i="1"/>
  <c r="DK234" i="1"/>
  <c r="DJ234" i="1"/>
  <c r="DI234" i="1"/>
  <c r="DH234" i="1"/>
  <c r="DG234" i="1"/>
  <c r="DF234" i="1"/>
  <c r="DE234" i="1"/>
  <c r="DD234" i="1"/>
  <c r="DC234" i="1"/>
  <c r="DB234" i="1"/>
  <c r="DA234" i="1"/>
  <c r="CZ234" i="1"/>
  <c r="CY234" i="1"/>
  <c r="CX234" i="1"/>
  <c r="CW234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FI221" i="1"/>
  <c r="FH221" i="1"/>
  <c r="FG221" i="1"/>
  <c r="FF221" i="1"/>
  <c r="EK221" i="1"/>
  <c r="DX221" i="1"/>
  <c r="DW221" i="1"/>
  <c r="DO221" i="1"/>
  <c r="DN221" i="1"/>
  <c r="Q29" i="11"/>
  <c r="Q28" i="11"/>
  <c r="Q22" i="11"/>
  <c r="Q20" i="11" a="1"/>
  <c r="Q20" i="11"/>
  <c r="Q23" i="11"/>
  <c r="P28" i="11"/>
  <c r="P22" i="11"/>
  <c r="P20" i="11" a="1"/>
  <c r="P20" i="11"/>
  <c r="P23" i="11"/>
  <c r="O28" i="11"/>
  <c r="O22" i="11"/>
  <c r="O20" i="11" a="1"/>
  <c r="O20" i="11"/>
  <c r="O23" i="11"/>
  <c r="J46" i="9"/>
  <c r="L19" i="9"/>
  <c r="FH232" i="1"/>
  <c r="N28" i="11"/>
  <c r="N22" i="11"/>
  <c r="N20" i="11" a="1"/>
  <c r="N20" i="11"/>
  <c r="N23" i="11"/>
  <c r="I46" i="9"/>
  <c r="K19" i="9"/>
  <c r="M28" i="11"/>
  <c r="M22" i="11"/>
  <c r="M20" i="11" a="1"/>
  <c r="M20" i="11"/>
  <c r="M23" i="11"/>
  <c r="L28" i="11"/>
  <c r="L22" i="11"/>
  <c r="L20" i="11" a="1"/>
  <c r="L20" i="11"/>
  <c r="L23" i="11"/>
  <c r="K28" i="11"/>
  <c r="J28" i="11"/>
  <c r="K22" i="11"/>
  <c r="J22" i="11"/>
  <c r="K20" i="11" a="1"/>
  <c r="K20" i="11"/>
  <c r="K23" i="11"/>
  <c r="J20" i="11" a="1"/>
  <c r="J20" i="11"/>
  <c r="J23" i="11"/>
  <c r="I28" i="11"/>
  <c r="H28" i="11"/>
  <c r="I22" i="11"/>
  <c r="H22" i="11"/>
  <c r="I20" i="11" a="1"/>
  <c r="I20" i="11"/>
  <c r="I23" i="11"/>
  <c r="H20" i="11" a="1"/>
  <c r="H20" i="11"/>
  <c r="H23" i="11"/>
  <c r="G28" i="11"/>
  <c r="G22" i="11"/>
  <c r="G20" i="11" a="1"/>
  <c r="G20" i="11"/>
  <c r="G23" i="11"/>
  <c r="H46" i="9"/>
  <c r="J19" i="9"/>
  <c r="H19" i="9"/>
  <c r="G46" i="9"/>
  <c r="I19" i="9"/>
  <c r="B316" i="8"/>
  <c r="B258" i="8"/>
  <c r="F46" i="9"/>
  <c r="G19" i="9"/>
  <c r="B226" i="8"/>
  <c r="F28" i="11"/>
  <c r="F22" i="11"/>
  <c r="F20" i="11" a="1"/>
  <c r="F20" i="11"/>
  <c r="F23" i="11"/>
  <c r="E29" i="11"/>
  <c r="E28" i="11"/>
  <c r="E22" i="11"/>
  <c r="E20" i="11" a="1"/>
  <c r="E20" i="11"/>
  <c r="E23" i="11"/>
  <c r="B263" i="8"/>
  <c r="B166" i="8"/>
  <c r="F19" i="9"/>
  <c r="B112" i="8"/>
  <c r="C20" i="11" a="1"/>
  <c r="C20" i="11"/>
  <c r="D20" i="11" a="1"/>
  <c r="D20" i="11"/>
  <c r="D28" i="11"/>
  <c r="D22" i="11"/>
  <c r="D23" i="1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AG221" i="1"/>
  <c r="AE221" i="1"/>
  <c r="AD221" i="1"/>
  <c r="AB221" i="1"/>
  <c r="AA221" i="1"/>
  <c r="Z221" i="1"/>
  <c r="Y221" i="1"/>
  <c r="X221" i="1"/>
  <c r="V235" i="1"/>
  <c r="U235" i="1"/>
  <c r="T235" i="1"/>
  <c r="S235" i="1"/>
  <c r="R235" i="1"/>
  <c r="Q235" i="1"/>
  <c r="P235" i="1"/>
  <c r="O235" i="1"/>
  <c r="N235" i="1"/>
  <c r="V234" i="1"/>
  <c r="U234" i="1"/>
  <c r="T234" i="1"/>
  <c r="S234" i="1"/>
  <c r="R234" i="1"/>
  <c r="Q234" i="1"/>
  <c r="P234" i="1"/>
  <c r="O234" i="1"/>
  <c r="N234" i="1"/>
  <c r="V221" i="1"/>
  <c r="U221" i="1"/>
  <c r="T221" i="1"/>
  <c r="S221" i="1"/>
  <c r="P221" i="1"/>
  <c r="O221" i="1"/>
  <c r="K235" i="1"/>
  <c r="J235" i="1"/>
  <c r="K234" i="1"/>
  <c r="J234" i="1"/>
  <c r="J221" i="1"/>
  <c r="B312" i="8"/>
  <c r="AI22" i="11"/>
  <c r="AI20" i="11" a="1"/>
  <c r="AI20" i="11"/>
  <c r="AI23" i="11"/>
  <c r="AI33" i="11"/>
  <c r="AI34" i="11"/>
  <c r="AH33" i="11"/>
  <c r="AH34" i="11"/>
  <c r="AG33" i="11"/>
  <c r="AG34" i="11"/>
  <c r="AF33" i="11"/>
  <c r="AF34" i="11"/>
  <c r="OF228" i="1"/>
  <c r="AE33" i="11"/>
  <c r="AE34" i="11"/>
  <c r="AD33" i="11"/>
  <c r="AD34" i="11"/>
  <c r="AC33" i="11"/>
  <c r="AC34" i="11"/>
  <c r="AB33" i="11"/>
  <c r="AB34" i="11"/>
  <c r="AA33" i="11"/>
  <c r="AA34" i="11"/>
  <c r="Z33" i="11"/>
  <c r="Z34" i="11"/>
  <c r="Y33" i="11"/>
  <c r="Y34" i="11"/>
  <c r="X33" i="11"/>
  <c r="X34" i="11"/>
  <c r="LA228" i="1"/>
  <c r="LB228" i="1"/>
  <c r="W22" i="11"/>
  <c r="W20" i="11" a="1"/>
  <c r="W20" i="11"/>
  <c r="W23" i="11"/>
  <c r="W33" i="11"/>
  <c r="W34" i="11"/>
  <c r="V33" i="11"/>
  <c r="V34" i="11"/>
  <c r="U33" i="11"/>
  <c r="U34" i="11"/>
  <c r="T33" i="11"/>
  <c r="T34" i="11"/>
  <c r="S33" i="11"/>
  <c r="S34" i="11"/>
  <c r="R33" i="11"/>
  <c r="R34" i="11"/>
  <c r="GF228" i="1"/>
  <c r="Q33" i="11"/>
  <c r="Q34" i="11"/>
  <c r="GB228" i="1"/>
  <c r="P33" i="11"/>
  <c r="P34" i="11"/>
  <c r="O33" i="11"/>
  <c r="O34" i="11"/>
  <c r="GA228" i="1"/>
  <c r="FW228" i="1"/>
  <c r="FK228" i="1"/>
  <c r="FI232" i="1"/>
  <c r="FG232" i="1"/>
  <c r="FF232" i="1"/>
  <c r="FF228" i="1"/>
  <c r="FE232" i="1"/>
  <c r="FD232" i="1"/>
  <c r="N33" i="11"/>
  <c r="N34" i="11"/>
  <c r="EZ228" i="1"/>
  <c r="EY228" i="1"/>
  <c r="EU228" i="1"/>
  <c r="M33" i="11"/>
  <c r="M34" i="11"/>
  <c r="L33" i="11"/>
  <c r="L34" i="11"/>
  <c r="J33" i="11"/>
  <c r="J34" i="11"/>
  <c r="K33" i="11"/>
  <c r="K34" i="11"/>
  <c r="H33" i="11"/>
  <c r="H34" i="11"/>
  <c r="I33" i="11"/>
  <c r="I34" i="11"/>
  <c r="G33" i="11"/>
  <c r="G34" i="11"/>
  <c r="EN228" i="1"/>
  <c r="DY228" i="1"/>
  <c r="DX228" i="1"/>
  <c r="DT228" i="1"/>
  <c r="DQ231" i="1"/>
  <c r="DQ232" i="1"/>
  <c r="DQ228" i="1"/>
  <c r="DP228" i="1"/>
  <c r="DO231" i="1"/>
  <c r="DN228" i="1"/>
  <c r="DM228" i="1"/>
  <c r="DG231" i="1"/>
  <c r="DG232" i="1"/>
  <c r="DA232" i="1"/>
  <c r="CZ228" i="1"/>
  <c r="CX231" i="1"/>
  <c r="CW228" i="1"/>
  <c r="CV232" i="1"/>
  <c r="CU228" i="1"/>
  <c r="CS232" i="1"/>
  <c r="CP228" i="1"/>
  <c r="CN228" i="1"/>
  <c r="CM228" i="1"/>
  <c r="CI228" i="1"/>
  <c r="CF228" i="1"/>
  <c r="F33" i="11"/>
  <c r="F34" i="11"/>
  <c r="E33" i="11"/>
  <c r="E34" i="11"/>
  <c r="CA228" i="1"/>
  <c r="BW228" i="1"/>
  <c r="BR228" i="1"/>
  <c r="BG228" i="1"/>
  <c r="BE228" i="1"/>
  <c r="AY228" i="1"/>
  <c r="AR228" i="1"/>
  <c r="AQ228" i="1"/>
  <c r="D33" i="11"/>
  <c r="D34" i="11"/>
  <c r="Y228" i="1"/>
  <c r="X228" i="1"/>
  <c r="W228" i="1"/>
  <c r="RI230" i="1"/>
  <c r="RA230" i="1"/>
  <c r="QR230" i="1"/>
  <c r="QL230" i="1"/>
  <c r="QF230" i="1"/>
  <c r="QC230" i="1"/>
  <c r="QB230" i="1"/>
  <c r="PZ230" i="1"/>
  <c r="PY230" i="1"/>
  <c r="PW230" i="1"/>
  <c r="PT230" i="1"/>
  <c r="PO230" i="1"/>
  <c r="PJ230" i="1"/>
  <c r="PD230" i="1"/>
  <c r="OT230" i="1"/>
  <c r="OS230" i="1"/>
  <c r="OQ230" i="1"/>
  <c r="OM230" i="1"/>
  <c r="OD230" i="1"/>
  <c r="OC230" i="1"/>
  <c r="NU230" i="1"/>
  <c r="NP230" i="1"/>
  <c r="NL230" i="1"/>
  <c r="NH230" i="1"/>
  <c r="NG230" i="1"/>
  <c r="MQ230" i="1"/>
  <c r="ML230" i="1"/>
  <c r="MJ230" i="1"/>
  <c r="KV230" i="1"/>
  <c r="AW228" i="1"/>
  <c r="BQ228" i="1"/>
  <c r="BZ228" i="1"/>
  <c r="CD228" i="1"/>
  <c r="CE228" i="1"/>
  <c r="CG228" i="1"/>
  <c r="CJ228" i="1"/>
  <c r="CX228" i="1"/>
  <c r="DB228" i="1"/>
  <c r="DE228" i="1"/>
  <c r="DK228" i="1"/>
  <c r="DV228" i="1"/>
  <c r="DV232" i="1"/>
  <c r="DW232" i="1"/>
  <c r="CT232" i="1"/>
  <c r="CW232" i="1"/>
  <c r="CX232" i="1"/>
  <c r="CZ232" i="1"/>
  <c r="DC232" i="1"/>
  <c r="DD232" i="1"/>
  <c r="DJ232" i="1"/>
  <c r="DM232" i="1"/>
  <c r="DN232" i="1"/>
  <c r="DP232" i="1"/>
  <c r="DR232" i="1"/>
  <c r="EF228" i="1"/>
  <c r="EI228" i="1"/>
  <c r="EJ228" i="1"/>
  <c r="EO228" i="1"/>
  <c r="EP228" i="1"/>
  <c r="EQ228" i="1"/>
  <c r="ES228" i="1"/>
  <c r="EW228" i="1"/>
  <c r="FA228" i="1"/>
  <c r="FB228" i="1"/>
  <c r="FD228" i="1"/>
  <c r="FE228" i="1"/>
  <c r="FQ228" i="1"/>
  <c r="FR228" i="1"/>
  <c r="FS228" i="1"/>
  <c r="GD228" i="1"/>
  <c r="GG228" i="1"/>
  <c r="GM228" i="1"/>
  <c r="FI231" i="1"/>
  <c r="FH231" i="1"/>
  <c r="FF231" i="1"/>
  <c r="FE231" i="1"/>
  <c r="FD231" i="1"/>
  <c r="ER230" i="1"/>
  <c r="DW231" i="1"/>
  <c r="DV231" i="1"/>
  <c r="DS231" i="1"/>
  <c r="DR231" i="1"/>
  <c r="DP231" i="1"/>
  <c r="DM231" i="1"/>
  <c r="DK231" i="1"/>
  <c r="DI231" i="1"/>
  <c r="DH231" i="1"/>
  <c r="DE231" i="1"/>
  <c r="DD231" i="1"/>
  <c r="DC231" i="1"/>
  <c r="DA231" i="1"/>
  <c r="CZ231" i="1"/>
  <c r="CT231" i="1"/>
  <c r="CS231" i="1"/>
  <c r="BS230" i="1"/>
  <c r="V228" i="1"/>
  <c r="U228" i="1"/>
  <c r="J228" i="1"/>
  <c r="PW236" i="1"/>
  <c r="OT236" i="1"/>
  <c r="OK236" i="1"/>
  <c r="C28" i="11"/>
  <c r="C22" i="11"/>
  <c r="C23" i="11"/>
  <c r="E46" i="9"/>
  <c r="D46" i="9"/>
  <c r="C46" i="9"/>
  <c r="B326" i="8"/>
  <c r="B327" i="8"/>
  <c r="B328" i="8"/>
  <c r="B329" i="8"/>
  <c r="B330" i="8"/>
  <c r="B331" i="8"/>
  <c r="B305" i="8"/>
  <c r="B306" i="8"/>
  <c r="B307" i="8"/>
  <c r="B308" i="8"/>
  <c r="B309" i="8"/>
  <c r="B311" i="8"/>
  <c r="B313" i="8"/>
  <c r="B314" i="8"/>
  <c r="B315" i="8"/>
  <c r="B317" i="8"/>
  <c r="B318" i="8"/>
  <c r="B319" i="8"/>
  <c r="B4" i="8"/>
  <c r="B5" i="8"/>
  <c r="B6" i="8"/>
  <c r="B8" i="8"/>
  <c r="B9" i="8"/>
  <c r="B11" i="8"/>
  <c r="B12" i="8"/>
  <c r="B13" i="8"/>
  <c r="B14" i="8"/>
  <c r="B15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1" i="8"/>
  <c r="B32" i="8"/>
  <c r="B35" i="8"/>
  <c r="B37" i="8"/>
  <c r="B38" i="8"/>
  <c r="B40" i="8"/>
  <c r="B41" i="8"/>
  <c r="B43" i="8"/>
  <c r="B45" i="8"/>
  <c r="B46" i="8"/>
  <c r="B48" i="8"/>
  <c r="B49" i="8"/>
  <c r="B50" i="8"/>
  <c r="B51" i="8"/>
  <c r="B52" i="8"/>
  <c r="B53" i="8"/>
  <c r="B54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3" i="8"/>
  <c r="B114" i="8"/>
  <c r="B115" i="8"/>
  <c r="B116" i="8"/>
  <c r="B117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5" i="8"/>
  <c r="B136" i="8"/>
  <c r="B138" i="8"/>
  <c r="B139" i="8"/>
  <c r="B140" i="8"/>
  <c r="B141" i="8"/>
  <c r="B142" i="8"/>
  <c r="B144" i="8"/>
  <c r="B145" i="8"/>
  <c r="B146" i="8"/>
  <c r="B147" i="8"/>
  <c r="B148" i="8"/>
  <c r="B149" i="8"/>
  <c r="B150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1" i="8"/>
  <c r="B212" i="8"/>
  <c r="B213" i="8"/>
  <c r="B214" i="8"/>
  <c r="B215" i="8"/>
  <c r="B216" i="8"/>
  <c r="B217" i="8"/>
  <c r="B218" i="8"/>
  <c r="B219" i="8"/>
  <c r="B221" i="8"/>
  <c r="B222" i="8"/>
  <c r="B223" i="8"/>
  <c r="B224" i="8"/>
  <c r="B225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3" i="8"/>
  <c r="B244" i="8"/>
  <c r="B245" i="8"/>
  <c r="B247" i="8"/>
  <c r="B249" i="8"/>
  <c r="B250" i="8"/>
  <c r="B251" i="8"/>
  <c r="B252" i="8"/>
  <c r="B253" i="8"/>
  <c r="B254" i="8"/>
  <c r="B255" i="8"/>
  <c r="B256" i="8"/>
  <c r="B257" i="8"/>
  <c r="B259" i="8"/>
  <c r="B260" i="8"/>
  <c r="B261" i="8"/>
  <c r="B262" i="8"/>
  <c r="B264" i="8"/>
  <c r="B265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1" i="8"/>
  <c r="B282" i="8"/>
  <c r="B283" i="8"/>
  <c r="B284" i="8"/>
  <c r="B285" i="8"/>
  <c r="B286" i="8"/>
  <c r="B287" i="8"/>
  <c r="B289" i="8"/>
  <c r="B290" i="8"/>
  <c r="B291" i="8"/>
  <c r="B292" i="8"/>
  <c r="B293" i="8"/>
  <c r="B294" i="8"/>
  <c r="B295" i="8"/>
  <c r="B297" i="8"/>
  <c r="B298" i="8"/>
  <c r="B299" i="8"/>
  <c r="B300" i="8"/>
  <c r="B301" i="8"/>
  <c r="B302" i="8"/>
  <c r="B303" i="8"/>
  <c r="B304" i="8"/>
  <c r="B321" i="8"/>
  <c r="B322" i="8"/>
  <c r="B323" i="8"/>
  <c r="B324" i="8"/>
  <c r="B325" i="8"/>
  <c r="B332" i="8"/>
  <c r="B333" i="8"/>
  <c r="B334" i="8"/>
  <c r="B335" i="8"/>
  <c r="B336" i="8"/>
  <c r="B337" i="8"/>
  <c r="B338" i="8"/>
  <c r="B339" i="8"/>
  <c r="C33" i="11"/>
  <c r="C34" i="1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I235" i="1"/>
  <c r="H235" i="1"/>
  <c r="G235" i="1"/>
  <c r="F235" i="1"/>
  <c r="I234" i="1"/>
  <c r="H234" i="1"/>
  <c r="G234" i="1"/>
  <c r="F234" i="1"/>
  <c r="D19" i="9"/>
  <c r="C19" i="9"/>
  <c r="E19" i="9"/>
  <c r="E3" i="10"/>
  <c r="E2" i="10"/>
  <c r="H72" i="10"/>
  <c r="G68" i="10"/>
  <c r="F68" i="10"/>
  <c r="H68" i="10"/>
  <c r="G67" i="10"/>
  <c r="H67" i="10"/>
  <c r="G66" i="10"/>
  <c r="F66" i="10"/>
  <c r="H66" i="10"/>
  <c r="G65" i="10"/>
  <c r="F65" i="10"/>
  <c r="H65" i="10"/>
  <c r="G64" i="10"/>
  <c r="F64" i="10"/>
  <c r="H64" i="10"/>
  <c r="G63" i="10"/>
  <c r="F63" i="10"/>
  <c r="G62" i="10"/>
  <c r="F62" i="10"/>
  <c r="H62" i="10"/>
  <c r="G61" i="10"/>
  <c r="F61" i="10"/>
  <c r="H61" i="10"/>
  <c r="G60" i="10"/>
  <c r="F60" i="10"/>
  <c r="H60" i="10"/>
  <c r="G59" i="10"/>
  <c r="F59" i="10"/>
  <c r="H59" i="10"/>
  <c r="G58" i="10"/>
  <c r="F58" i="10"/>
  <c r="H58" i="10"/>
  <c r="G57" i="10"/>
  <c r="F57" i="10"/>
  <c r="G56" i="10"/>
  <c r="F56" i="10"/>
  <c r="H56" i="10"/>
  <c r="G55" i="10"/>
  <c r="F55" i="10"/>
  <c r="H55" i="10"/>
  <c r="G54" i="10"/>
  <c r="F54" i="10"/>
  <c r="H54" i="10"/>
  <c r="G53" i="10"/>
  <c r="F53" i="10"/>
  <c r="H53" i="10"/>
  <c r="G52" i="10"/>
  <c r="F52" i="10"/>
  <c r="H52" i="10"/>
  <c r="G51" i="10"/>
  <c r="F51" i="10"/>
  <c r="G50" i="10"/>
  <c r="F50" i="10"/>
  <c r="H50" i="10"/>
  <c r="H51" i="10"/>
  <c r="H57" i="10"/>
  <c r="H63" i="10"/>
  <c r="H70" i="10"/>
  <c r="H71" i="10"/>
  <c r="H75" i="10"/>
  <c r="D38" i="10"/>
  <c r="D40" i="10"/>
  <c r="D6" i="10"/>
  <c r="E4" i="10"/>
  <c r="M235" i="1"/>
  <c r="L235" i="1"/>
  <c r="M234" i="1"/>
  <c r="L234" i="1"/>
  <c r="E235" i="1"/>
  <c r="E234" i="1"/>
  <c r="E26" i="10"/>
  <c r="E28" i="10"/>
  <c r="E29" i="10"/>
  <c r="E30" i="10"/>
  <c r="L232" i="1"/>
  <c r="E232" i="1"/>
  <c r="AYW247" i="1"/>
  <c r="B340" i="8"/>
  <c r="ATR247" i="1"/>
  <c r="B43" i="2" a="1"/>
  <c r="B43" i="2" s="1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3" i="5"/>
  <c r="A192" i="5"/>
  <c r="A191" i="5"/>
  <c r="A190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59" i="5"/>
  <c r="A158" i="5"/>
  <c r="A157" i="5"/>
  <c r="A156" i="5"/>
  <c r="A155" i="5"/>
  <c r="A154" i="5"/>
  <c r="A153" i="5"/>
  <c r="A152" i="5"/>
  <c r="A151" i="5"/>
  <c r="A150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7" i="5"/>
  <c r="A16" i="5"/>
  <c r="A15" i="5"/>
  <c r="A14" i="5"/>
  <c r="A13" i="5"/>
  <c r="A12" i="5"/>
  <c r="A11" i="5"/>
  <c r="A10" i="5"/>
  <c r="A9" i="5"/>
  <c r="A8" i="5"/>
  <c r="A7" i="5"/>
  <c r="A6" i="5"/>
  <c r="B3" i="8"/>
  <c r="B3" i="7" a="1"/>
  <c r="B3" i="7" s="1"/>
  <c r="B33" i="1"/>
  <c r="B34" i="1"/>
  <c r="B35" i="1"/>
  <c r="B36" i="1" s="1"/>
  <c r="B39" i="1" s="1"/>
  <c r="B40" i="1" s="1"/>
  <c r="B41" i="1" s="1"/>
  <c r="B42" i="1" s="1"/>
  <c r="B43" i="1" s="1"/>
  <c r="B44" i="1" s="1"/>
  <c r="B20" i="1"/>
  <c r="AX231" i="1"/>
  <c r="AW231" i="1"/>
  <c r="AT231" i="1"/>
  <c r="AS232" i="1"/>
  <c r="AS231" i="1"/>
  <c r="AR231" i="1"/>
  <c r="AO232" i="1"/>
  <c r="AL232" i="1"/>
  <c r="AK232" i="1"/>
  <c r="AI232" i="1"/>
  <c r="AI231" i="1"/>
  <c r="AD231" i="1"/>
  <c r="AC231" i="1"/>
  <c r="Y231" i="1"/>
  <c r="X231" i="1"/>
  <c r="U231" i="1"/>
  <c r="T231" i="1"/>
  <c r="R231" i="1"/>
  <c r="N232" i="1"/>
  <c r="BD231" i="1"/>
  <c r="CR231" i="1"/>
  <c r="CN231" i="1"/>
  <c r="CK232" i="1"/>
  <c r="CI231" i="1"/>
  <c r="CI232" i="1"/>
  <c r="CH232" i="1"/>
  <c r="CG232" i="1"/>
  <c r="CF232" i="1"/>
  <c r="CE232" i="1"/>
  <c r="CD231" i="1"/>
  <c r="BV232" i="1"/>
  <c r="BT232" i="1"/>
  <c r="BS231" i="1"/>
  <c r="BR231" i="1"/>
  <c r="BM232" i="1"/>
  <c r="BK231" i="1"/>
  <c r="BI231" i="1"/>
  <c r="BK232" i="1"/>
  <c r="BP231" i="1"/>
  <c r="BQ231" i="1"/>
  <c r="BS232" i="1"/>
  <c r="BX232" i="1"/>
  <c r="BX231" i="1"/>
  <c r="CH231" i="1"/>
  <c r="CL231" i="1"/>
  <c r="CP232" i="1"/>
  <c r="AQ231" i="1"/>
  <c r="AT232" i="1"/>
  <c r="BA232" i="1"/>
  <c r="J231" i="1"/>
  <c r="K231" i="1"/>
  <c r="AE232" i="1"/>
  <c r="AF231" i="1"/>
  <c r="DU232" i="1"/>
  <c r="XS230" i="1"/>
  <c r="XL230" i="1"/>
  <c r="CF231" i="1"/>
  <c r="AO231" i="1"/>
  <c r="AP232" i="1"/>
  <c r="BF231" i="1"/>
  <c r="BM231" i="1"/>
  <c r="F231" i="1"/>
  <c r="BT231" i="1"/>
  <c r="DU231" i="1"/>
  <c r="AK231" i="1"/>
  <c r="AL231" i="1"/>
  <c r="BU232" i="1"/>
  <c r="LO230" i="1"/>
  <c r="BE231" i="1"/>
  <c r="R232" i="1"/>
  <c r="CY232" i="1"/>
  <c r="DF232" i="1"/>
  <c r="DF231" i="1"/>
  <c r="HU230" i="1"/>
  <c r="FT228" i="1"/>
  <c r="BU228" i="1"/>
  <c r="OW230" i="1"/>
  <c r="AT228" i="1"/>
  <c r="EH228" i="1"/>
  <c r="JC230" i="1"/>
  <c r="DD228" i="1"/>
  <c r="EI230" i="1"/>
  <c r="KD230" i="1"/>
  <c r="QG230" i="1"/>
  <c r="JX230" i="1"/>
  <c r="OX230" i="1"/>
  <c r="DR228" i="1"/>
  <c r="KZ230" i="1"/>
  <c r="JO230" i="1"/>
  <c r="KH230" i="1"/>
  <c r="LB230" i="1"/>
  <c r="JK230" i="1"/>
  <c r="KB230" i="1"/>
  <c r="AY229" i="1"/>
  <c r="AJ229" i="1"/>
  <c r="BO222" i="1"/>
  <c r="BZ229" i="1"/>
  <c r="BG222" i="1"/>
  <c r="CS222" i="1"/>
  <c r="CE229" i="1"/>
  <c r="FU222" i="1"/>
  <c r="FK229" i="1"/>
  <c r="FD229" i="1"/>
  <c r="DD229" i="1"/>
  <c r="DW229" i="1"/>
  <c r="GH229" i="1"/>
  <c r="GL222" i="1"/>
  <c r="AQ33" i="11"/>
  <c r="AQ34" i="11"/>
  <c r="AP33" i="11"/>
  <c r="AP34" i="11"/>
  <c r="ED232" i="1"/>
  <c r="EB231" i="1"/>
  <c r="DY232" i="1"/>
  <c r="EP232" i="1"/>
  <c r="EO232" i="1"/>
  <c r="ES231" i="1"/>
  <c r="GG232" i="1"/>
  <c r="FJ232" i="1"/>
  <c r="AO33" i="11"/>
  <c r="AO34" i="11"/>
  <c r="AN22" i="11"/>
  <c r="AN23" i="11"/>
  <c r="AN33" i="11"/>
  <c r="AN34" i="11"/>
  <c r="AM33" i="11"/>
  <c r="AM34" i="11"/>
  <c r="AK33" i="11"/>
  <c r="AK34" i="11"/>
  <c r="AL33" i="11"/>
  <c r="AL34" i="11"/>
  <c r="AJ33" i="11"/>
  <c r="AJ34" i="11"/>
  <c r="GF222" i="1"/>
  <c r="GF229" i="1"/>
  <c r="FR222" i="1"/>
  <c r="FR229" i="1"/>
  <c r="DH229" i="1"/>
  <c r="DH222" i="1"/>
  <c r="EF229" i="1"/>
  <c r="EF222" i="1"/>
  <c r="BG229" i="1"/>
  <c r="CF229" i="1"/>
  <c r="CF222" i="1"/>
  <c r="AJ222" i="1"/>
  <c r="AN222" i="1"/>
  <c r="OP230" i="1"/>
  <c r="NL236" i="1"/>
  <c r="EC229" i="1"/>
  <c r="EC222" i="1"/>
  <c r="DG229" i="1"/>
  <c r="DG222" i="1"/>
  <c r="CE222" i="1"/>
  <c r="BL222" i="1"/>
  <c r="BL229" i="1"/>
  <c r="AM229" i="1"/>
  <c r="AM222" i="1"/>
  <c r="JU236" i="1"/>
  <c r="KM230" i="1"/>
  <c r="DD222" i="1"/>
  <c r="DE229" i="1"/>
  <c r="DE222" i="1"/>
  <c r="ED222" i="1"/>
  <c r="ED229" i="1"/>
  <c r="CO222" i="1"/>
  <c r="CO229" i="1"/>
  <c r="DL229" i="1"/>
  <c r="DL222" i="1"/>
  <c r="AY222" i="1"/>
  <c r="RI236" i="1"/>
  <c r="AC229" i="1"/>
  <c r="AC222" i="1"/>
  <c r="QD230" i="1"/>
  <c r="OF236" i="1"/>
  <c r="RD230" i="1"/>
  <c r="LP230" i="1"/>
  <c r="JN236" i="1"/>
  <c r="FM222" i="1"/>
  <c r="FM229" i="1"/>
  <c r="FK222" i="1"/>
  <c r="DC222" i="1"/>
  <c r="DC229" i="1"/>
  <c r="DZ229" i="1"/>
  <c r="DZ222" i="1"/>
  <c r="CS229" i="1"/>
  <c r="AB229" i="1"/>
  <c r="AB222" i="1"/>
  <c r="QC236" i="1"/>
  <c r="BF222" i="1"/>
  <c r="BF229" i="1"/>
  <c r="JJ236" i="1"/>
  <c r="HI230" i="1"/>
  <c r="GT230" i="1"/>
  <c r="FO222" i="1"/>
  <c r="FO229" i="1"/>
  <c r="EM229" i="1"/>
  <c r="EM222" i="1"/>
  <c r="CB222" i="1"/>
  <c r="CB229" i="1"/>
  <c r="BZ222" i="1"/>
  <c r="BD222" i="1"/>
  <c r="BD229" i="1"/>
  <c r="RG230" i="1"/>
  <c r="V229" i="1"/>
  <c r="V222" i="1"/>
  <c r="AI222" i="1"/>
  <c r="AI229" i="1"/>
  <c r="MM230" i="1"/>
  <c r="JP236" i="1"/>
  <c r="EU230" i="1"/>
  <c r="LS230" i="1"/>
  <c r="EE229" i="1"/>
  <c r="EE222" i="1"/>
  <c r="ER229" i="1"/>
  <c r="ER222" i="1"/>
  <c r="FW222" i="1"/>
  <c r="FW229" i="1"/>
  <c r="BP222" i="1"/>
  <c r="BE222" i="1"/>
  <c r="BE229" i="1"/>
  <c r="AU229" i="1"/>
  <c r="AU222" i="1"/>
  <c r="AH222" i="1"/>
  <c r="AH229" i="1"/>
  <c r="BJ229" i="1"/>
  <c r="BJ222" i="1"/>
  <c r="JX236" i="1"/>
  <c r="QW230" i="1"/>
  <c r="FX230" i="1"/>
  <c r="NY230" i="1"/>
  <c r="DW222" i="1"/>
  <c r="DX222" i="1"/>
  <c r="DP229" i="1"/>
  <c r="DP222" i="1"/>
  <c r="FU229" i="1"/>
  <c r="CA222" i="1"/>
  <c r="CA229" i="1"/>
  <c r="CY229" i="1"/>
  <c r="CY222" i="1"/>
  <c r="AP229" i="1"/>
  <c r="AP222" i="1"/>
  <c r="OD236" i="1"/>
  <c r="AD232" i="1"/>
  <c r="Z222" i="1"/>
  <c r="Z229" i="1"/>
  <c r="QE230" i="1"/>
  <c r="IQ236" i="1"/>
  <c r="MH230" i="1"/>
  <c r="HK230" i="1"/>
  <c r="GA229" i="1"/>
  <c r="GA222" i="1"/>
  <c r="DU222" i="1"/>
  <c r="DU229" i="1"/>
  <c r="DS229" i="1"/>
  <c r="DS222" i="1"/>
  <c r="DV222" i="1"/>
  <c r="DV229" i="1"/>
  <c r="ET222" i="1"/>
  <c r="ET229" i="1"/>
  <c r="EV222" i="1"/>
  <c r="EV229" i="1"/>
  <c r="CZ229" i="1"/>
  <c r="CZ222" i="1"/>
  <c r="BO229" i="1"/>
  <c r="RB230" i="1"/>
  <c r="EK230" i="1"/>
  <c r="GD222" i="1"/>
  <c r="GD229" i="1"/>
  <c r="GO222" i="1"/>
  <c r="GO229" i="1"/>
  <c r="FH222" i="1"/>
  <c r="FH229" i="1"/>
  <c r="DN222" i="1"/>
  <c r="DN229" i="1"/>
  <c r="CA232" i="1"/>
  <c r="EP229" i="1"/>
  <c r="EP222" i="1"/>
  <c r="CM222" i="1"/>
  <c r="CM229" i="1"/>
  <c r="X232" i="1"/>
  <c r="AA229" i="1"/>
  <c r="AA222" i="1"/>
  <c r="R229" i="1"/>
  <c r="R222" i="1"/>
  <c r="JL236" i="1"/>
  <c r="GH222" i="1"/>
  <c r="FN222" i="1"/>
  <c r="FN229" i="1"/>
  <c r="FD222" i="1"/>
  <c r="EI222" i="1"/>
  <c r="EI229" i="1"/>
  <c r="DY229" i="1"/>
  <c r="DY222" i="1"/>
  <c r="DJ229" i="1"/>
  <c r="DJ222" i="1"/>
  <c r="CJ229" i="1"/>
  <c r="CJ222" i="1"/>
  <c r="AD229" i="1"/>
  <c r="AD222" i="1"/>
  <c r="RG236" i="1"/>
  <c r="AL222" i="1"/>
  <c r="AL229" i="1"/>
  <c r="QV230" i="1"/>
  <c r="NR230" i="1"/>
  <c r="NH236" i="1"/>
  <c r="FM230" i="1"/>
  <c r="GT236" i="1"/>
  <c r="GC222" i="1"/>
  <c r="GC229" i="1"/>
  <c r="EJ222" i="1"/>
  <c r="EJ229" i="1"/>
  <c r="DK229" i="1"/>
  <c r="DK222" i="1"/>
  <c r="CL222" i="1"/>
  <c r="CL229" i="1"/>
  <c r="CG229" i="1"/>
  <c r="CG222" i="1"/>
  <c r="U229" i="1"/>
  <c r="U222" i="1"/>
  <c r="PT236" i="1"/>
  <c r="AS229" i="1"/>
  <c r="AS222" i="1"/>
  <c r="K222" i="1"/>
  <c r="K229" i="1"/>
  <c r="KQ236" i="1"/>
  <c r="GL229" i="1"/>
  <c r="EH222" i="1"/>
  <c r="EH229" i="1"/>
  <c r="EO222" i="1"/>
  <c r="EO229" i="1"/>
  <c r="DS232" i="1"/>
  <c r="CD222" i="1"/>
  <c r="CD229" i="1"/>
  <c r="CI222" i="1"/>
  <c r="CI229" i="1"/>
  <c r="AT229" i="1"/>
  <c r="AT222" i="1"/>
  <c r="T229" i="1"/>
  <c r="T222" i="1"/>
  <c r="Y229" i="1"/>
  <c r="Y222" i="1"/>
  <c r="OB230" i="1"/>
  <c r="LB236" i="1"/>
  <c r="OP236" i="1"/>
  <c r="KI230" i="1"/>
  <c r="JK236" i="1"/>
  <c r="BB230" i="1"/>
  <c r="IG230" i="1"/>
  <c r="VU230" i="1"/>
  <c r="VR230" i="1"/>
  <c r="VC230" i="1"/>
  <c r="LB223" i="1"/>
  <c r="FK232" i="1"/>
  <c r="FK231" i="1"/>
  <c r="FL232" i="1"/>
  <c r="FL231" i="1"/>
  <c r="FM231" i="1"/>
  <c r="FN232" i="1"/>
  <c r="FN231" i="1"/>
  <c r="FO231" i="1"/>
  <c r="FP232" i="1"/>
  <c r="FP231" i="1"/>
  <c r="FR231" i="1"/>
  <c r="FS231" i="1"/>
  <c r="FS232" i="1"/>
  <c r="FT231" i="1"/>
  <c r="FT232" i="1"/>
  <c r="FW232" i="1"/>
  <c r="FW231" i="1"/>
  <c r="FX232" i="1"/>
  <c r="FX231" i="1"/>
  <c r="GA232" i="1"/>
  <c r="GA231" i="1"/>
  <c r="GC231" i="1"/>
  <c r="GD232" i="1"/>
  <c r="GD231" i="1"/>
  <c r="GE232" i="1"/>
  <c r="GE231" i="1"/>
  <c r="GG231" i="1"/>
  <c r="GH232" i="1"/>
  <c r="GI232" i="1"/>
  <c r="GI231" i="1"/>
  <c r="GJ232" i="1"/>
  <c r="GJ231" i="1"/>
  <c r="GL232" i="1"/>
  <c r="GL231" i="1"/>
  <c r="GM231" i="1"/>
  <c r="GN232" i="1"/>
  <c r="GN231" i="1"/>
  <c r="EQ232" i="1"/>
  <c r="EQ231" i="1"/>
  <c r="ER232" i="1"/>
  <c r="ER231" i="1"/>
  <c r="ES232" i="1"/>
  <c r="ET232" i="1"/>
  <c r="ET231" i="1"/>
  <c r="EV232" i="1"/>
  <c r="EV231" i="1"/>
  <c r="EW232" i="1"/>
  <c r="EW231" i="1"/>
  <c r="EX232" i="1"/>
  <c r="EX231" i="1"/>
  <c r="EY232" i="1"/>
  <c r="EY231" i="1"/>
  <c r="FB232" i="1"/>
  <c r="FB231" i="1"/>
  <c r="FC232" i="1"/>
  <c r="FC231" i="1"/>
  <c r="EF232" i="1"/>
  <c r="EG232" i="1"/>
  <c r="EG231" i="1"/>
  <c r="EH232" i="1"/>
  <c r="EL232" i="1"/>
  <c r="EL231" i="1"/>
  <c r="EM231" i="1"/>
  <c r="EN232" i="1"/>
  <c r="EN231" i="1"/>
  <c r="EO231" i="1"/>
  <c r="EP231" i="1"/>
  <c r="DX231" i="1"/>
  <c r="DY231" i="1"/>
  <c r="DZ232" i="1"/>
  <c r="DZ231" i="1"/>
  <c r="EA232" i="1"/>
  <c r="EA231" i="1"/>
  <c r="EB232" i="1"/>
  <c r="EC232" i="1"/>
  <c r="EC231" i="1"/>
  <c r="ED231" i="1"/>
  <c r="EI232" i="1"/>
  <c r="EI231" i="1"/>
  <c r="EJ232" i="1"/>
  <c r="EJ231" i="1"/>
  <c r="QM230" i="1"/>
  <c r="RR230" i="1"/>
  <c r="XL236" i="1"/>
  <c r="EW227" i="1"/>
  <c r="EW220" i="1"/>
  <c r="FB227" i="1"/>
  <c r="FB220" i="1"/>
  <c r="NR236" i="1"/>
  <c r="CM227" i="1"/>
  <c r="CM220" i="1"/>
  <c r="GJ227" i="1"/>
  <c r="GJ220" i="1"/>
  <c r="CD227" i="1"/>
  <c r="CD220" i="1"/>
  <c r="AM236" i="1"/>
  <c r="EI227" i="1"/>
  <c r="EI220" i="1"/>
  <c r="EI224" i="1" s="1"/>
  <c r="EI225" i="1" s="1"/>
  <c r="BB222" i="1"/>
  <c r="DF227" i="1"/>
  <c r="DF220" i="1"/>
  <c r="DG227" i="1"/>
  <c r="MM236" i="1"/>
  <c r="DX227" i="1"/>
  <c r="DX220" i="1"/>
  <c r="PR236" i="1"/>
  <c r="DU220" i="1"/>
  <c r="CG227" i="1"/>
  <c r="CG220" i="1"/>
  <c r="NS236" i="1"/>
  <c r="BV220" i="1"/>
  <c r="BV227" i="1"/>
  <c r="AJ220" i="1"/>
  <c r="AJ227" i="1"/>
  <c r="MQ236" i="1"/>
  <c r="S220" i="1"/>
  <c r="S227" i="1"/>
  <c r="EJ220" i="1"/>
  <c r="EJ227" i="1"/>
  <c r="DH236" i="1"/>
  <c r="DU227" i="1"/>
  <c r="BB221" i="1"/>
  <c r="BB227" i="1"/>
  <c r="BB220" i="1"/>
  <c r="BB223" i="1"/>
  <c r="EI236" i="1"/>
  <c r="EI221" i="1"/>
  <c r="AD220" i="1"/>
  <c r="BB236" i="1"/>
  <c r="EI223" i="1"/>
  <c r="BW230" i="1"/>
  <c r="JJ230" i="1"/>
  <c r="ON230" i="1"/>
  <c r="YX228" i="1"/>
  <c r="YW228" i="1"/>
  <c r="BA33" i="11"/>
  <c r="BA34" i="11"/>
  <c r="AZ33" i="11"/>
  <c r="AZ34" i="11"/>
  <c r="AY36" i="11"/>
  <c r="AY33" i="11"/>
  <c r="AY34" i="11"/>
  <c r="AX33" i="11"/>
  <c r="AX34" i="11"/>
  <c r="AW33" i="11"/>
  <c r="AW34" i="11"/>
  <c r="AV22" i="11"/>
  <c r="AV23" i="11"/>
  <c r="AV33" i="11"/>
  <c r="AV34" i="11"/>
  <c r="AU22" i="11"/>
  <c r="AU20" i="11" a="1"/>
  <c r="AU20" i="11"/>
  <c r="AU23" i="11"/>
  <c r="AU33" i="11"/>
  <c r="AU34" i="11"/>
  <c r="ES230" i="1"/>
  <c r="CH230" i="1"/>
  <c r="DU236" i="1"/>
  <c r="DU221" i="1"/>
  <c r="CH236" i="1"/>
  <c r="EM220" i="1"/>
  <c r="EM227" i="1"/>
  <c r="R112" i="1" l="1" a="1"/>
  <c r="R112" i="1" s="1"/>
  <c r="BB224" i="1"/>
  <c r="BB225" i="1" s="1"/>
  <c r="H112" i="1" a="1"/>
  <c r="H112" i="1" s="1"/>
  <c r="M112" i="1" a="1"/>
  <c r="M112" i="1" s="1"/>
  <c r="N112" i="1" a="1"/>
  <c r="N112" i="1" s="1"/>
  <c r="V129" i="1"/>
  <c r="G112" i="1" a="1"/>
  <c r="G112" i="1" s="1"/>
  <c r="I112" i="1" a="1"/>
  <c r="I112" i="1" s="1"/>
  <c r="O112" i="1" a="1"/>
  <c r="O112" i="1" s="1"/>
  <c r="S112" i="1" a="1"/>
  <c r="S112" i="1" s="1"/>
  <c r="L112" i="1" a="1"/>
  <c r="L112" i="1" s="1"/>
  <c r="V112" i="1" a="1"/>
  <c r="V112" i="1" s="1"/>
  <c r="Q112" i="1" a="1"/>
  <c r="Q112" i="1" s="1"/>
  <c r="F112" i="1" a="1"/>
  <c r="F112" i="1" s="1"/>
  <c r="E112" i="1" a="1"/>
  <c r="E112" i="1" s="1"/>
  <c r="K112" i="1" a="1"/>
  <c r="K112" i="1" s="1"/>
  <c r="U112" i="1" a="1"/>
  <c r="U112" i="1" s="1"/>
  <c r="V42" i="1"/>
  <c r="V125" i="1" s="1"/>
  <c r="V40" i="1"/>
  <c r="V120" i="1" s="1"/>
  <c r="V121" i="1" s="1"/>
  <c r="V39" i="1"/>
  <c r="V119" i="1" s="1"/>
  <c r="V38" i="1"/>
  <c r="V115" i="1" s="1"/>
  <c r="V37" i="1"/>
  <c r="V114" i="1" s="1"/>
  <c r="V36" i="1"/>
  <c r="V118" i="1" s="1"/>
  <c r="V35" i="1"/>
  <c r="V117" i="1" s="1"/>
  <c r="V34" i="1"/>
  <c r="V116" i="1" s="1"/>
  <c r="V33" i="1"/>
  <c r="V126" i="1" s="1"/>
  <c r="V41" i="1"/>
  <c r="V99" i="1" a="1"/>
  <c r="V99" i="1" s="1"/>
  <c r="V84" i="1" a="1"/>
  <c r="V84" i="1" s="1"/>
  <c r="DU33" i="11"/>
  <c r="DU34" i="11" s="1"/>
  <c r="DT36" i="11"/>
  <c r="DT33" i="11"/>
  <c r="DT34" i="11" s="1"/>
  <c r="U42" i="1"/>
  <c r="U125" i="1" s="1"/>
  <c r="U40" i="1"/>
  <c r="U120" i="1" s="1"/>
  <c r="U121" i="1" s="1"/>
  <c r="U39" i="1"/>
  <c r="U119" i="1" s="1"/>
  <c r="U38" i="1"/>
  <c r="U115" i="1" s="1"/>
  <c r="U37" i="1"/>
  <c r="U114" i="1" s="1"/>
  <c r="U36" i="1"/>
  <c r="U118" i="1" s="1"/>
  <c r="U35" i="1"/>
  <c r="U117" i="1" s="1"/>
  <c r="U34" i="1"/>
  <c r="U116" i="1" s="1"/>
  <c r="U33" i="1"/>
  <c r="U126" i="1" s="1"/>
  <c r="U41" i="1"/>
  <c r="U129" i="1"/>
  <c r="U99" i="1" a="1"/>
  <c r="U99" i="1" s="1"/>
  <c r="U84" i="1" a="1"/>
  <c r="U84" i="1" s="1"/>
  <c r="T42" i="1"/>
  <c r="T125" i="1" s="1"/>
  <c r="T40" i="1"/>
  <c r="T120" i="1" s="1"/>
  <c r="T121" i="1" s="1"/>
  <c r="T39" i="1"/>
  <c r="T119" i="1" s="1"/>
  <c r="T38" i="1"/>
  <c r="T115" i="1" s="1"/>
  <c r="T37" i="1"/>
  <c r="T114" i="1" s="1"/>
  <c r="T36" i="1"/>
  <c r="T118" i="1" s="1"/>
  <c r="T35" i="1"/>
  <c r="T117" i="1" s="1"/>
  <c r="T34" i="1"/>
  <c r="T116" i="1" s="1"/>
  <c r="T33" i="1"/>
  <c r="T126" i="1" s="1"/>
  <c r="T41" i="1"/>
  <c r="T129" i="1"/>
  <c r="T99" i="1" a="1"/>
  <c r="T99" i="1" s="1"/>
  <c r="T84" i="1" a="1"/>
  <c r="T84" i="1" s="1"/>
  <c r="S42" i="1"/>
  <c r="S125" i="1" s="1"/>
  <c r="S40" i="1"/>
  <c r="S120" i="1" s="1"/>
  <c r="S121" i="1" s="1"/>
  <c r="S39" i="1"/>
  <c r="S119" i="1" s="1"/>
  <c r="S38" i="1"/>
  <c r="S115" i="1" s="1"/>
  <c r="S37" i="1"/>
  <c r="S114" i="1" s="1"/>
  <c r="S36" i="1"/>
  <c r="S118" i="1" s="1"/>
  <c r="S35" i="1"/>
  <c r="S117" i="1" s="1"/>
  <c r="S34" i="1"/>
  <c r="S116" i="1" s="1"/>
  <c r="S33" i="1"/>
  <c r="S126" i="1" s="1"/>
  <c r="S41" i="1"/>
  <c r="S129" i="1"/>
  <c r="S44" i="1"/>
  <c r="S99" i="1" a="1"/>
  <c r="S99" i="1" s="1"/>
  <c r="S84" i="1" a="1"/>
  <c r="S84" i="1" s="1"/>
  <c r="R42" i="1"/>
  <c r="R125" i="1" s="1"/>
  <c r="R40" i="1"/>
  <c r="R120" i="1" s="1"/>
  <c r="R121" i="1" s="1"/>
  <c r="R39" i="1"/>
  <c r="R119" i="1" s="1"/>
  <c r="R38" i="1"/>
  <c r="R115" i="1" s="1"/>
  <c r="R37" i="1"/>
  <c r="R114" i="1" s="1"/>
  <c r="R36" i="1"/>
  <c r="R118" i="1" s="1"/>
  <c r="R35" i="1"/>
  <c r="R117" i="1" s="1"/>
  <c r="R34" i="1"/>
  <c r="R116" i="1" s="1"/>
  <c r="R33" i="1"/>
  <c r="R126" i="1" s="1"/>
  <c r="R41" i="1"/>
  <c r="R129" i="1"/>
  <c r="R99" i="1" a="1"/>
  <c r="R99" i="1" s="1"/>
  <c r="R84" i="1" a="1"/>
  <c r="R84" i="1" s="1"/>
  <c r="DS33" i="11"/>
  <c r="DS34" i="11" s="1"/>
  <c r="Q42" i="1"/>
  <c r="Q125" i="1" s="1"/>
  <c r="Q40" i="1"/>
  <c r="Q120" i="1" s="1"/>
  <c r="Q121" i="1" s="1"/>
  <c r="Q39" i="1"/>
  <c r="Q119" i="1" s="1"/>
  <c r="Q38" i="1"/>
  <c r="Q115" i="1" s="1"/>
  <c r="Q37" i="1"/>
  <c r="Q114" i="1" s="1"/>
  <c r="Q36" i="1"/>
  <c r="Q118" i="1" s="1"/>
  <c r="Q35" i="1"/>
  <c r="Q117" i="1" s="1"/>
  <c r="Q34" i="1"/>
  <c r="Q116" i="1" s="1"/>
  <c r="Q33" i="1"/>
  <c r="Q126" i="1" s="1"/>
  <c r="Q41" i="1"/>
  <c r="Q129" i="1"/>
  <c r="Q99" i="1" a="1"/>
  <c r="Q99" i="1" s="1"/>
  <c r="Q84" i="1" a="1"/>
  <c r="Q84" i="1" s="1"/>
  <c r="P42" i="1"/>
  <c r="P125" i="1" s="1"/>
  <c r="P40" i="1"/>
  <c r="P120" i="1" s="1"/>
  <c r="P121" i="1" s="1"/>
  <c r="P39" i="1"/>
  <c r="P119" i="1" s="1"/>
  <c r="P38" i="1"/>
  <c r="P115" i="1" s="1"/>
  <c r="P37" i="1"/>
  <c r="P114" i="1" s="1"/>
  <c r="P36" i="1"/>
  <c r="P118" i="1" s="1"/>
  <c r="P35" i="1"/>
  <c r="P117" i="1" s="1"/>
  <c r="P34" i="1"/>
  <c r="P116" i="1" s="1"/>
  <c r="P33" i="1"/>
  <c r="P126" i="1" s="1"/>
  <c r="P41" i="1"/>
  <c r="P129" i="1"/>
  <c r="P99" i="1" a="1"/>
  <c r="P99" i="1" s="1"/>
  <c r="P84" i="1" a="1"/>
  <c r="P84" i="1" s="1"/>
  <c r="M42" i="1"/>
  <c r="M125" i="1" s="1"/>
  <c r="M40" i="1"/>
  <c r="M120" i="1" s="1"/>
  <c r="M121" i="1" s="1"/>
  <c r="M39" i="1"/>
  <c r="M119" i="1" s="1"/>
  <c r="M38" i="1"/>
  <c r="M115" i="1" s="1"/>
  <c r="M37" i="1"/>
  <c r="M114" i="1" s="1"/>
  <c r="M36" i="1"/>
  <c r="M118" i="1" s="1"/>
  <c r="M35" i="1"/>
  <c r="M117" i="1" s="1"/>
  <c r="M34" i="1"/>
  <c r="M116" i="1" s="1"/>
  <c r="M33" i="1"/>
  <c r="M126" i="1" s="1"/>
  <c r="N42" i="1"/>
  <c r="N125" i="1" s="1"/>
  <c r="N40" i="1"/>
  <c r="N120" i="1" s="1"/>
  <c r="N121" i="1" s="1"/>
  <c r="N39" i="1"/>
  <c r="N119" i="1" s="1"/>
  <c r="N38" i="1"/>
  <c r="N115" i="1" s="1"/>
  <c r="N37" i="1"/>
  <c r="N114" i="1" s="1"/>
  <c r="N36" i="1"/>
  <c r="N118" i="1" s="1"/>
  <c r="N35" i="1"/>
  <c r="N117" i="1" s="1"/>
  <c r="N34" i="1"/>
  <c r="N116" i="1" s="1"/>
  <c r="N33" i="1"/>
  <c r="N126" i="1" s="1"/>
  <c r="O42" i="1"/>
  <c r="O125" i="1" s="1"/>
  <c r="O40" i="1"/>
  <c r="O120" i="1" s="1"/>
  <c r="O121" i="1" s="1"/>
  <c r="O39" i="1"/>
  <c r="O119" i="1" s="1"/>
  <c r="O38" i="1"/>
  <c r="O115" i="1" s="1"/>
  <c r="O37" i="1"/>
  <c r="O114" i="1" s="1"/>
  <c r="O36" i="1"/>
  <c r="O118" i="1" s="1"/>
  <c r="O35" i="1"/>
  <c r="O117" i="1" s="1"/>
  <c r="O34" i="1"/>
  <c r="O116" i="1" s="1"/>
  <c r="O33" i="1"/>
  <c r="O126" i="1" s="1"/>
  <c r="M41" i="1"/>
  <c r="N41" i="1"/>
  <c r="O41" i="1"/>
  <c r="M129" i="1"/>
  <c r="N129" i="1"/>
  <c r="O129" i="1"/>
  <c r="M99" i="1" a="1"/>
  <c r="M99" i="1" s="1"/>
  <c r="M84" i="1" a="1"/>
  <c r="M84" i="1" s="1"/>
  <c r="N99" i="1" a="1"/>
  <c r="N99" i="1" s="1"/>
  <c r="N84" i="1" a="1"/>
  <c r="N84" i="1" s="1"/>
  <c r="O99" i="1" a="1"/>
  <c r="O99" i="1" s="1"/>
  <c r="O84" i="1" a="1"/>
  <c r="O84" i="1" s="1"/>
  <c r="L42" i="1"/>
  <c r="L125" i="1" s="1"/>
  <c r="L40" i="1"/>
  <c r="L120" i="1" s="1"/>
  <c r="L121" i="1" s="1"/>
  <c r="L39" i="1"/>
  <c r="L119" i="1" s="1"/>
  <c r="L38" i="1"/>
  <c r="L115" i="1" s="1"/>
  <c r="L37" i="1"/>
  <c r="L114" i="1" s="1"/>
  <c r="L36" i="1"/>
  <c r="L118" i="1" s="1"/>
  <c r="L35" i="1"/>
  <c r="L117" i="1" s="1"/>
  <c r="L34" i="1"/>
  <c r="L116" i="1" s="1"/>
  <c r="L33" i="1"/>
  <c r="L126" i="1" s="1"/>
  <c r="L41" i="1"/>
  <c r="L129" i="1"/>
  <c r="L99" i="1" a="1"/>
  <c r="L99" i="1" s="1"/>
  <c r="L84" i="1" a="1"/>
  <c r="L84" i="1" s="1"/>
  <c r="K42" i="1"/>
  <c r="K125" i="1" s="1"/>
  <c r="K40" i="1"/>
  <c r="K120" i="1" s="1"/>
  <c r="K121" i="1" s="1"/>
  <c r="K39" i="1"/>
  <c r="K119" i="1" s="1"/>
  <c r="K38" i="1"/>
  <c r="K115" i="1" s="1"/>
  <c r="K37" i="1"/>
  <c r="K114" i="1" s="1"/>
  <c r="K36" i="1"/>
  <c r="K118" i="1" s="1"/>
  <c r="K35" i="1"/>
  <c r="K117" i="1" s="1"/>
  <c r="K34" i="1"/>
  <c r="K116" i="1" s="1"/>
  <c r="K33" i="1"/>
  <c r="K126" i="1" s="1"/>
  <c r="K41" i="1"/>
  <c r="K129" i="1"/>
  <c r="K99" i="1" a="1"/>
  <c r="K99" i="1" s="1"/>
  <c r="K84" i="1" a="1"/>
  <c r="K84" i="1" s="1"/>
  <c r="J42" i="1"/>
  <c r="J125" i="1" s="1"/>
  <c r="J40" i="1"/>
  <c r="J120" i="1" s="1"/>
  <c r="J121" i="1" s="1"/>
  <c r="J39" i="1"/>
  <c r="J119" i="1" s="1"/>
  <c r="J38" i="1"/>
  <c r="J115" i="1" s="1"/>
  <c r="J37" i="1"/>
  <c r="J114" i="1" s="1"/>
  <c r="J36" i="1"/>
  <c r="J118" i="1" s="1"/>
  <c r="J35" i="1"/>
  <c r="J117" i="1" s="1"/>
  <c r="J34" i="1"/>
  <c r="J116" i="1" s="1"/>
  <c r="J33" i="1"/>
  <c r="J126" i="1" s="1"/>
  <c r="J41" i="1"/>
  <c r="J129" i="1"/>
  <c r="J99" i="1" a="1"/>
  <c r="J99" i="1" s="1"/>
  <c r="J84" i="1" a="1"/>
  <c r="J84" i="1" s="1"/>
  <c r="I42" i="1"/>
  <c r="I125" i="1" s="1"/>
  <c r="I40" i="1"/>
  <c r="I120" i="1" s="1"/>
  <c r="I121" i="1" s="1"/>
  <c r="I39" i="1"/>
  <c r="I119" i="1" s="1"/>
  <c r="I38" i="1"/>
  <c r="I115" i="1" s="1"/>
  <c r="I37" i="1"/>
  <c r="I114" i="1" s="1"/>
  <c r="I36" i="1"/>
  <c r="I118" i="1" s="1"/>
  <c r="I35" i="1"/>
  <c r="I117" i="1" s="1"/>
  <c r="I34" i="1"/>
  <c r="I116" i="1" s="1"/>
  <c r="I33" i="1"/>
  <c r="I126" i="1" s="1"/>
  <c r="I41" i="1"/>
  <c r="I129" i="1"/>
  <c r="I99" i="1" a="1"/>
  <c r="I99" i="1" s="1"/>
  <c r="I84" i="1" a="1"/>
  <c r="I84" i="1" s="1"/>
  <c r="H42" i="1"/>
  <c r="H125" i="1" s="1"/>
  <c r="H40" i="1"/>
  <c r="H120" i="1" s="1"/>
  <c r="H121" i="1" s="1"/>
  <c r="H39" i="1"/>
  <c r="H119" i="1" s="1"/>
  <c r="H38" i="1"/>
  <c r="H115" i="1" s="1"/>
  <c r="H37" i="1"/>
  <c r="H114" i="1" s="1"/>
  <c r="H36" i="1"/>
  <c r="H118" i="1" s="1"/>
  <c r="H35" i="1"/>
  <c r="H117" i="1" s="1"/>
  <c r="H34" i="1"/>
  <c r="H116" i="1" s="1"/>
  <c r="H33" i="1"/>
  <c r="H126" i="1" s="1"/>
  <c r="H41" i="1"/>
  <c r="H129" i="1"/>
  <c r="H99" i="1" a="1"/>
  <c r="H99" i="1" s="1"/>
  <c r="H84" i="1" a="1"/>
  <c r="H84" i="1" s="1"/>
  <c r="G42" i="1"/>
  <c r="G125" i="1" s="1"/>
  <c r="G40" i="1"/>
  <c r="G120" i="1" s="1"/>
  <c r="G121" i="1" s="1"/>
  <c r="G39" i="1"/>
  <c r="G119" i="1" s="1"/>
  <c r="G38" i="1"/>
  <c r="G115" i="1" s="1"/>
  <c r="G37" i="1"/>
  <c r="G114" i="1" s="1"/>
  <c r="G36" i="1"/>
  <c r="G118" i="1" s="1"/>
  <c r="G35" i="1"/>
  <c r="G117" i="1" s="1"/>
  <c r="G34" i="1"/>
  <c r="G116" i="1" s="1"/>
  <c r="G33" i="1"/>
  <c r="G126" i="1" s="1"/>
  <c r="G41" i="1"/>
  <c r="G129" i="1"/>
  <c r="G99" i="1" a="1"/>
  <c r="G99" i="1" s="1"/>
  <c r="G84" i="1" a="1"/>
  <c r="G84" i="1" s="1"/>
  <c r="F42" i="1"/>
  <c r="F125" i="1" s="1"/>
  <c r="F40" i="1"/>
  <c r="F120" i="1" s="1"/>
  <c r="F121" i="1" s="1"/>
  <c r="F39" i="1"/>
  <c r="F119" i="1" s="1"/>
  <c r="F38" i="1"/>
  <c r="F115" i="1" s="1"/>
  <c r="F37" i="1"/>
  <c r="F114" i="1" s="1"/>
  <c r="F36" i="1"/>
  <c r="F118" i="1" s="1"/>
  <c r="F35" i="1"/>
  <c r="F117" i="1" s="1"/>
  <c r="F34" i="1"/>
  <c r="F116" i="1" s="1"/>
  <c r="F33" i="1"/>
  <c r="F126" i="1" s="1"/>
  <c r="F41" i="1"/>
  <c r="F129" i="1"/>
  <c r="F99" i="1" a="1"/>
  <c r="F99" i="1" s="1"/>
  <c r="F84" i="1" a="1"/>
  <c r="F84" i="1" s="1"/>
  <c r="E42" i="1"/>
  <c r="E125" i="1" s="1"/>
  <c r="E40" i="1"/>
  <c r="E120" i="1" s="1"/>
  <c r="E121" i="1" s="1"/>
  <c r="E39" i="1"/>
  <c r="E119" i="1" s="1"/>
  <c r="E38" i="1"/>
  <c r="E115" i="1" s="1"/>
  <c r="E37" i="1"/>
  <c r="E114" i="1" s="1"/>
  <c r="E36" i="1"/>
  <c r="E118" i="1" s="1"/>
  <c r="E35" i="1"/>
  <c r="E117" i="1" s="1"/>
  <c r="E34" i="1"/>
  <c r="E116" i="1" s="1"/>
  <c r="E33" i="1"/>
  <c r="E126" i="1" s="1"/>
  <c r="E41" i="1"/>
  <c r="E129" i="1"/>
  <c r="E99" i="1" a="1"/>
  <c r="E99" i="1" s="1"/>
  <c r="E84" i="1" a="1"/>
  <c r="E84" i="1" s="1"/>
  <c r="DR33" i="11"/>
  <c r="DR34" i="11" s="1"/>
  <c r="DQ36" i="11"/>
  <c r="DQ33" i="11"/>
  <c r="DQ34" i="11" s="1"/>
  <c r="AL8" i="9"/>
  <c r="AM9" i="9"/>
  <c r="AM10" i="9"/>
  <c r="AM7" i="9"/>
  <c r="AM6" i="9"/>
  <c r="CI26" i="11" a="1"/>
  <c r="CI26" i="11" s="1"/>
  <c r="CI28" i="11" s="1"/>
  <c r="AM5" i="9"/>
  <c r="CL26" i="11" a="1"/>
  <c r="CL26" i="11" s="1"/>
  <c r="CL28" i="11" s="1"/>
  <c r="CK26" i="11" a="1"/>
  <c r="CK26" i="11" s="1"/>
  <c r="CK28" i="11" s="1"/>
  <c r="CJ26" i="11" a="1"/>
  <c r="CJ26" i="11" s="1"/>
  <c r="CJ28" i="11" s="1"/>
  <c r="CH26" i="11" a="1"/>
  <c r="CH26" i="11" s="1"/>
  <c r="CH28" i="11" s="1"/>
  <c r="CG26" i="11" a="1"/>
  <c r="CG26" i="11" s="1"/>
  <c r="CG28" i="11" s="1"/>
  <c r="AM11" i="9"/>
  <c r="CL33" i="11"/>
  <c r="CL34" i="11" s="1"/>
  <c r="DP33" i="11"/>
  <c r="DP34" i="11" s="1"/>
  <c r="DO33" i="11"/>
  <c r="DO34" i="11" s="1"/>
  <c r="DN33" i="11"/>
  <c r="DN34" i="11" s="1"/>
  <c r="DM33" i="11"/>
  <c r="DM34" i="11" s="1"/>
  <c r="DJ36" i="11"/>
  <c r="DJ33" i="11"/>
  <c r="DJ34" i="11" s="1"/>
  <c r="DI33" i="11"/>
  <c r="DI34" i="11" s="1"/>
  <c r="DH33" i="11"/>
  <c r="DH34" i="11" s="1"/>
  <c r="DG33" i="11"/>
  <c r="DG34" i="11" s="1"/>
  <c r="DF33" i="11"/>
  <c r="DF34" i="11" s="1"/>
  <c r="DE33" i="11"/>
  <c r="DE34" i="11" s="1"/>
  <c r="DD33" i="11"/>
  <c r="DD34" i="11" s="1"/>
  <c r="DC33" i="11"/>
  <c r="DC34" i="11" s="1"/>
  <c r="DB33" i="11"/>
  <c r="DB34" i="11" s="1"/>
  <c r="DA33" i="11"/>
  <c r="DA34" i="11" s="1"/>
  <c r="CZ33" i="11"/>
  <c r="CZ34" i="11" s="1"/>
  <c r="CY36" i="11"/>
  <c r="CY33" i="11"/>
  <c r="CY34" i="11" s="1"/>
  <c r="CX33" i="11"/>
  <c r="CX34" i="11" s="1"/>
  <c r="CW33" i="11"/>
  <c r="CW34" i="11" s="1"/>
  <c r="CV33" i="11"/>
  <c r="CV34" i="11" s="1"/>
  <c r="CU33" i="11"/>
  <c r="CU34" i="11" s="1"/>
  <c r="CS33" i="11"/>
  <c r="CS34" i="11" s="1"/>
  <c r="CT33" i="11"/>
  <c r="CT34" i="11" s="1"/>
  <c r="CR33" i="11"/>
  <c r="CR34" i="11" s="1"/>
  <c r="CI33" i="11"/>
  <c r="CI34" i="11" s="1"/>
  <c r="BM36" i="11"/>
  <c r="BY36" i="11"/>
  <c r="AM19" i="9"/>
  <c r="CK33" i="11"/>
  <c r="CK34" i="11" s="1"/>
  <c r="CJ33" i="11"/>
  <c r="CJ34" i="11" s="1"/>
  <c r="CH33" i="11"/>
  <c r="CH34" i="11" s="1"/>
  <c r="CG33" i="11"/>
  <c r="CG34" i="11" s="1"/>
  <c r="AL19" i="9"/>
  <c r="CF33" i="11"/>
  <c r="CF34" i="11" s="1"/>
  <c r="CE33" i="11"/>
  <c r="CE34" i="11" s="1"/>
  <c r="CD33" i="11"/>
  <c r="CD34" i="11" s="1"/>
  <c r="CC33" i="11"/>
  <c r="CC34" i="11" s="1"/>
  <c r="CB33" i="11"/>
  <c r="CB34" i="11" s="1"/>
  <c r="CA33" i="11"/>
  <c r="CA34" i="11" s="1"/>
  <c r="BZ22" i="11"/>
  <c r="BZ23" i="11"/>
  <c r="BZ33" i="11"/>
  <c r="BZ34" i="11" s="1"/>
  <c r="BY33" i="11"/>
  <c r="BY34" i="11" s="1"/>
  <c r="BX22" i="11"/>
  <c r="BX23" i="11"/>
  <c r="BX33" i="11"/>
  <c r="BX34" i="11" s="1"/>
  <c r="BV33" i="11"/>
  <c r="BV34" i="11" s="1"/>
  <c r="BW33" i="11"/>
  <c r="BW34" i="11" s="1"/>
  <c r="BU33" i="11"/>
  <c r="BU34" i="11" s="1"/>
  <c r="BT33" i="11"/>
  <c r="BT34" i="11" s="1"/>
  <c r="BS22" i="11"/>
  <c r="BS23" i="11"/>
  <c r="BS36" i="11" s="1"/>
  <c r="BS33" i="11"/>
  <c r="BS34" i="11" s="1"/>
  <c r="BR33" i="11"/>
  <c r="BR34" i="11" s="1"/>
  <c r="BQ33" i="11"/>
  <c r="BQ34" i="11" s="1"/>
  <c r="BP33" i="11"/>
  <c r="BP34" i="11" s="1"/>
  <c r="BO36" i="11"/>
  <c r="BO33" i="11"/>
  <c r="BO34" i="11" s="1"/>
  <c r="BN36" i="11"/>
  <c r="BN33" i="11"/>
  <c r="BN34" i="11" s="1"/>
  <c r="BM33" i="11"/>
  <c r="BM34" i="11" s="1"/>
  <c r="BK36" i="11"/>
  <c r="BL36" i="11"/>
  <c r="BL33" i="11"/>
  <c r="BL34" i="11" s="1"/>
  <c r="BK33" i="11"/>
  <c r="BK34" i="11" s="1"/>
  <c r="BI33" i="11"/>
  <c r="BI34" i="11" s="1"/>
  <c r="BJ33" i="11"/>
  <c r="BJ34" i="11" s="1"/>
  <c r="BG33" i="11"/>
  <c r="BG34" i="11" s="1"/>
  <c r="BH33" i="11"/>
  <c r="BH34" i="11" s="1"/>
  <c r="KQ230" i="1"/>
  <c r="LE230" i="1"/>
  <c r="JL230" i="1"/>
  <c r="NV230" i="1"/>
  <c r="PQ230" i="1"/>
  <c r="LN230" i="1"/>
  <c r="NS230" i="1"/>
  <c r="PR230" i="1"/>
  <c r="HG230" i="1"/>
  <c r="JU230" i="1"/>
  <c r="JS230" i="1"/>
  <c r="KF230" i="1"/>
  <c r="KO230" i="1"/>
  <c r="HD230" i="1"/>
  <c r="OA230" i="1"/>
  <c r="QI230" i="1"/>
  <c r="QS230" i="1"/>
  <c r="QH230" i="1"/>
  <c r="HQ235" i="1"/>
  <c r="HN235" i="1"/>
  <c r="QI235" i="1"/>
  <c r="QL235" i="1"/>
  <c r="QM235" i="1"/>
  <c r="QN235" i="1"/>
  <c r="QV236" i="1"/>
  <c r="QW236" i="1"/>
  <c r="XQ235" i="1"/>
  <c r="AAM235" i="1"/>
  <c r="AAO235" i="1"/>
  <c r="AAN235" i="1"/>
  <c r="ACC235" i="1"/>
  <c r="ACD235" i="1"/>
  <c r="ACE235" i="1"/>
  <c r="BF33" i="11"/>
  <c r="BF34" i="11" s="1"/>
  <c r="BE33" i="11"/>
  <c r="BE34" i="11" s="1"/>
  <c r="BD33" i="11"/>
  <c r="BD34" i="11" s="1"/>
  <c r="BC36" i="11"/>
  <c r="BC33" i="11"/>
  <c r="BC34" i="11" s="1"/>
  <c r="XX228" i="1"/>
  <c r="XY228" i="1"/>
  <c r="XZ228" i="1"/>
  <c r="YA228" i="1"/>
  <c r="YB228" i="1"/>
  <c r="YC228" i="1"/>
  <c r="YD228" i="1"/>
  <c r="YE228" i="1"/>
  <c r="YF228" i="1"/>
  <c r="YG228" i="1"/>
  <c r="YH228" i="1"/>
  <c r="YI228" i="1"/>
  <c r="YJ228" i="1"/>
  <c r="YK228" i="1"/>
  <c r="YL228" i="1"/>
  <c r="YQ228" i="1"/>
  <c r="YS228" i="1"/>
  <c r="YT228" i="1"/>
  <c r="YU228" i="1"/>
  <c r="YV228" i="1"/>
  <c r="YY228" i="1"/>
  <c r="YZ228" i="1"/>
  <c r="ZA228" i="1"/>
  <c r="ZC228" i="1"/>
  <c r="ZB228" i="1"/>
  <c r="ZD228" i="1"/>
  <c r="ZE228" i="1"/>
  <c r="ZF228" i="1"/>
  <c r="ZG228" i="1"/>
  <c r="ZH228" i="1"/>
  <c r="ZK228" i="1"/>
  <c r="ZJ228" i="1"/>
  <c r="ZI228" i="1"/>
  <c r="ZM228" i="1"/>
  <c r="ZN228" i="1"/>
  <c r="ZL228" i="1"/>
  <c r="ZO228" i="1"/>
  <c r="ZP228" i="1"/>
  <c r="ZQ228" i="1"/>
  <c r="ZR228" i="1"/>
  <c r="ZS228" i="1"/>
  <c r="ZT228" i="1"/>
  <c r="ZU228" i="1"/>
  <c r="ZW228" i="1"/>
  <c r="ZV228" i="1"/>
  <c r="ZX228" i="1"/>
  <c r="ZY228" i="1"/>
  <c r="KQ223" i="1"/>
  <c r="RI233" i="1"/>
  <c r="RI223" i="1"/>
  <c r="RG223" i="1"/>
  <c r="PW223" i="1"/>
  <c r="RL228" i="1"/>
  <c r="RN228" i="1"/>
  <c r="RM228" i="1"/>
  <c r="RP228" i="1"/>
  <c r="RQ228" i="1"/>
  <c r="RR228" i="1"/>
  <c r="RT228" i="1"/>
  <c r="RU228" i="1"/>
  <c r="RV227" i="1"/>
  <c r="RV220" i="1"/>
  <c r="RV228" i="1"/>
  <c r="RW228" i="1"/>
  <c r="RX228" i="1"/>
  <c r="RY228" i="1"/>
  <c r="RZ228" i="1"/>
  <c r="SA228" i="1"/>
  <c r="SB228" i="1"/>
  <c r="SG228" i="1"/>
  <c r="SH228" i="1"/>
  <c r="SI228" i="1"/>
  <c r="SK228" i="1"/>
  <c r="SR228" i="1"/>
  <c r="SQ228" i="1"/>
  <c r="SP228" i="1"/>
  <c r="SN228" i="1"/>
  <c r="SM228" i="1"/>
  <c r="ST228" i="1"/>
  <c r="TC228" i="1"/>
  <c r="TB228" i="1"/>
  <c r="TA228" i="1"/>
  <c r="SZ227" i="1"/>
  <c r="SZ220" i="1"/>
  <c r="SZ228" i="1"/>
  <c r="SY228" i="1"/>
  <c r="SV228" i="1"/>
  <c r="HN228" i="1"/>
  <c r="HN229" i="1"/>
  <c r="HN222" i="1"/>
  <c r="TH227" i="1"/>
  <c r="TH220" i="1"/>
  <c r="TH228" i="1"/>
  <c r="TG228" i="1"/>
  <c r="TF228" i="1"/>
  <c r="TE228" i="1"/>
  <c r="TD228" i="1"/>
  <c r="TL228" i="1"/>
  <c r="TJ228" i="1"/>
  <c r="TI228" i="1"/>
  <c r="TV228" i="1"/>
  <c r="TU228" i="1"/>
  <c r="TT228" i="1"/>
  <c r="TS228" i="1"/>
  <c r="TR228" i="1"/>
  <c r="TP228" i="1"/>
  <c r="TO228" i="1"/>
  <c r="TN228" i="1"/>
  <c r="TX228" i="1"/>
  <c r="TW228" i="1"/>
  <c r="TZ228" i="1"/>
  <c r="TY228" i="1"/>
  <c r="UA227" i="1"/>
  <c r="UA220" i="1"/>
  <c r="UA228" i="1"/>
  <c r="UB228" i="1"/>
  <c r="UC228" i="1"/>
  <c r="UD228" i="1"/>
  <c r="UE228" i="1"/>
  <c r="UF228" i="1"/>
  <c r="UG228" i="1"/>
  <c r="UH228" i="1"/>
  <c r="UI228" i="1"/>
  <c r="UJ228" i="1"/>
  <c r="UK228" i="1"/>
  <c r="UL227" i="1"/>
  <c r="UL220" i="1"/>
  <c r="UL228" i="1"/>
  <c r="UM228" i="1"/>
  <c r="UN228" i="1"/>
  <c r="UO228" i="1"/>
  <c r="UQ228" i="1"/>
  <c r="UR228" i="1"/>
  <c r="US228" i="1"/>
  <c r="UT228" i="1"/>
  <c r="UE232" i="1"/>
  <c r="UE231" i="1"/>
  <c r="UF232" i="1"/>
  <c r="UF231" i="1"/>
  <c r="UG232" i="1"/>
  <c r="UG231" i="1"/>
  <c r="UH232" i="1"/>
  <c r="UH231" i="1"/>
  <c r="UI231" i="1"/>
  <c r="UJ231" i="1"/>
  <c r="UK232" i="1"/>
  <c r="UK231" i="1"/>
  <c r="UL232" i="1"/>
  <c r="UL231" i="1"/>
  <c r="UM232" i="1"/>
  <c r="UM231" i="1"/>
  <c r="UN232" i="1"/>
  <c r="UN231" i="1"/>
  <c r="UO232" i="1"/>
  <c r="UO231" i="1"/>
  <c r="UP232" i="1"/>
  <c r="UP231" i="1"/>
  <c r="UQ232" i="1"/>
  <c r="UQ231" i="1"/>
  <c r="UR232" i="1"/>
  <c r="UR231" i="1"/>
  <c r="US232" i="1"/>
  <c r="US231" i="1"/>
  <c r="TW232" i="1"/>
  <c r="TW231" i="1"/>
  <c r="TX232" i="1"/>
  <c r="TX231" i="1"/>
  <c r="TY232" i="1"/>
  <c r="TY231" i="1"/>
  <c r="TZ232" i="1"/>
  <c r="TZ231" i="1"/>
  <c r="UA232" i="1"/>
  <c r="UA231" i="1"/>
  <c r="UB232" i="1"/>
  <c r="UB231" i="1"/>
  <c r="UC232" i="1"/>
  <c r="UC231" i="1"/>
  <c r="UD231" i="1"/>
  <c r="TD231" i="1"/>
  <c r="TE232" i="1"/>
  <c r="TE231" i="1"/>
  <c r="TF231" i="1"/>
  <c r="TG231" i="1"/>
  <c r="TH231" i="1"/>
  <c r="TI231" i="1"/>
  <c r="TJ231" i="1"/>
  <c r="TK232" i="1"/>
  <c r="TK231" i="1"/>
  <c r="TL231" i="1"/>
  <c r="TM231" i="1"/>
  <c r="TN232" i="1"/>
  <c r="TN231" i="1"/>
  <c r="TO232" i="1"/>
  <c r="TO231" i="1"/>
  <c r="TP232" i="1"/>
  <c r="TP231" i="1"/>
  <c r="TQ232" i="1"/>
  <c r="TQ231" i="1"/>
  <c r="TR232" i="1"/>
  <c r="TR231" i="1"/>
  <c r="TS231" i="1"/>
  <c r="TT231" i="1"/>
  <c r="TU232" i="1"/>
  <c r="TU231" i="1"/>
  <c r="TV232" i="1"/>
  <c r="TV231" i="1"/>
  <c r="SH232" i="1"/>
  <c r="SH231" i="1"/>
  <c r="SI232" i="1"/>
  <c r="SI231" i="1"/>
  <c r="SJ232" i="1"/>
  <c r="SJ231" i="1"/>
  <c r="SK232" i="1"/>
  <c r="SK231" i="1"/>
  <c r="SL232" i="1"/>
  <c r="SL231" i="1"/>
  <c r="SM232" i="1"/>
  <c r="SM231" i="1"/>
  <c r="SN232" i="1"/>
  <c r="SN231" i="1"/>
  <c r="SO231" i="1"/>
  <c r="SP232" i="1"/>
  <c r="SP231" i="1"/>
  <c r="SQ231" i="1"/>
  <c r="SR231" i="1"/>
  <c r="SS232" i="1"/>
  <c r="SS231" i="1"/>
  <c r="ST232" i="1"/>
  <c r="ST231" i="1"/>
  <c r="SU231" i="1"/>
  <c r="SV232" i="1"/>
  <c r="SV231" i="1"/>
  <c r="SW232" i="1"/>
  <c r="SW231" i="1"/>
  <c r="SX232" i="1"/>
  <c r="SX231" i="1"/>
  <c r="SY231" i="1"/>
  <c r="SZ232" i="1"/>
  <c r="SZ231" i="1"/>
  <c r="TA232" i="1"/>
  <c r="TA231" i="1"/>
  <c r="TB231" i="1"/>
  <c r="TC231" i="1"/>
  <c r="RS232" i="1"/>
  <c r="RS231" i="1"/>
  <c r="RT232" i="1"/>
  <c r="RT231" i="1"/>
  <c r="RU232" i="1"/>
  <c r="RU231" i="1"/>
  <c r="RV232" i="1"/>
  <c r="RV231" i="1"/>
  <c r="RW232" i="1"/>
  <c r="RW231" i="1"/>
  <c r="RX231" i="1"/>
  <c r="RY232" i="1"/>
  <c r="RY231" i="1"/>
  <c r="RZ232" i="1"/>
  <c r="RZ231" i="1"/>
  <c r="SA232" i="1"/>
  <c r="SA231" i="1"/>
  <c r="SB232" i="1"/>
  <c r="SB231" i="1"/>
  <c r="PM232" i="1"/>
  <c r="PM231" i="1"/>
  <c r="PN232" i="1"/>
  <c r="PN231" i="1"/>
  <c r="PO232" i="1"/>
  <c r="PO231" i="1"/>
  <c r="PP232" i="1"/>
  <c r="PP231" i="1"/>
  <c r="PQ232" i="1"/>
  <c r="PQ231" i="1"/>
  <c r="PR232" i="1"/>
  <c r="PR231" i="1"/>
  <c r="PS232" i="1"/>
  <c r="PS231" i="1"/>
  <c r="PT232" i="1"/>
  <c r="PT231" i="1"/>
  <c r="PU232" i="1"/>
  <c r="PU231" i="1"/>
  <c r="PV232" i="1"/>
  <c r="PV231" i="1"/>
  <c r="PW232" i="1"/>
  <c r="PW231" i="1"/>
  <c r="PX232" i="1"/>
  <c r="PY232" i="1"/>
  <c r="PY231" i="1"/>
  <c r="PZ232" i="1"/>
  <c r="PZ231" i="1"/>
  <c r="QA231" i="1"/>
  <c r="QB231" i="1"/>
  <c r="QC232" i="1"/>
  <c r="QC231" i="1"/>
  <c r="QD232" i="1"/>
  <c r="QD231" i="1"/>
  <c r="QE232" i="1"/>
  <c r="QF232" i="1"/>
  <c r="QF231" i="1"/>
  <c r="QG232" i="1"/>
  <c r="QG231" i="1"/>
  <c r="QH232" i="1"/>
  <c r="QH231" i="1"/>
  <c r="QI232" i="1"/>
  <c r="QI231" i="1"/>
  <c r="QJ232" i="1"/>
  <c r="QJ231" i="1"/>
  <c r="QK232" i="1"/>
  <c r="QK231" i="1"/>
  <c r="QL232" i="1"/>
  <c r="QL231" i="1"/>
  <c r="QM232" i="1"/>
  <c r="QM231" i="1"/>
  <c r="QN232" i="1"/>
  <c r="QN231" i="1"/>
  <c r="QO232" i="1"/>
  <c r="QP231" i="1"/>
  <c r="QQ232" i="1"/>
  <c r="QQ231" i="1"/>
  <c r="QR232" i="1"/>
  <c r="QR231" i="1"/>
  <c r="QS232" i="1"/>
  <c r="QS231" i="1"/>
  <c r="QT232" i="1"/>
  <c r="QU232" i="1"/>
  <c r="QU231" i="1"/>
  <c r="QV232" i="1"/>
  <c r="QV231" i="1"/>
  <c r="QW232" i="1"/>
  <c r="QW231" i="1"/>
  <c r="QX232" i="1"/>
  <c r="QX231" i="1"/>
  <c r="QY232" i="1"/>
  <c r="QZ232" i="1"/>
  <c r="RA232" i="1"/>
  <c r="RA231" i="1"/>
  <c r="RB232" i="1"/>
  <c r="RB231" i="1"/>
  <c r="RC232" i="1"/>
  <c r="RC231" i="1"/>
  <c r="RD232" i="1"/>
  <c r="RD231" i="1"/>
  <c r="RE232" i="1"/>
  <c r="RE231" i="1"/>
  <c r="RF232" i="1"/>
  <c r="RF231" i="1"/>
  <c r="RG232" i="1"/>
  <c r="RG231" i="1"/>
  <c r="RH232" i="1"/>
  <c r="RH231" i="1"/>
  <c r="RI232" i="1"/>
  <c r="RI231" i="1"/>
  <c r="RJ232" i="1"/>
  <c r="RJ231" i="1"/>
  <c r="RK232" i="1"/>
  <c r="RK231" i="1"/>
  <c r="RL232" i="1"/>
  <c r="RL231" i="1"/>
  <c r="RM232" i="1"/>
  <c r="RM231" i="1"/>
  <c r="RN232" i="1"/>
  <c r="RN231" i="1"/>
  <c r="RO231" i="1"/>
  <c r="RP231" i="1"/>
  <c r="RQ232" i="1"/>
  <c r="RQ231" i="1"/>
  <c r="OF232" i="1"/>
  <c r="OF231" i="1"/>
  <c r="OG232" i="1"/>
  <c r="OG231" i="1"/>
  <c r="OH232" i="1"/>
  <c r="OH231" i="1"/>
  <c r="OJ232" i="1"/>
  <c r="OL232" i="1"/>
  <c r="OL231" i="1"/>
  <c r="OI232" i="1"/>
  <c r="OM232" i="1"/>
  <c r="OM231" i="1"/>
  <c r="ON232" i="1"/>
  <c r="ON231" i="1"/>
  <c r="OO232" i="1"/>
  <c r="OO231" i="1"/>
  <c r="OP232" i="1"/>
  <c r="OP231" i="1"/>
  <c r="OQ232" i="1"/>
  <c r="OQ231" i="1"/>
  <c r="OR232" i="1"/>
  <c r="OR231" i="1"/>
  <c r="OS232" i="1"/>
  <c r="OS231" i="1"/>
  <c r="OK232" i="1"/>
  <c r="OK231" i="1"/>
  <c r="OT232" i="1"/>
  <c r="OT231" i="1"/>
  <c r="OU232" i="1"/>
  <c r="OV232" i="1"/>
  <c r="OV231" i="1"/>
  <c r="OW232" i="1"/>
  <c r="OX232" i="1"/>
  <c r="OX231" i="1"/>
  <c r="OY232" i="1"/>
  <c r="OZ232" i="1"/>
  <c r="OZ231" i="1"/>
  <c r="PA232" i="1"/>
  <c r="PA231" i="1"/>
  <c r="PB232" i="1"/>
  <c r="PB231" i="1"/>
  <c r="PC232" i="1"/>
  <c r="PC231" i="1"/>
  <c r="PD232" i="1"/>
  <c r="PD231" i="1"/>
  <c r="PE231" i="1"/>
  <c r="PF232" i="1"/>
  <c r="PG232" i="1"/>
  <c r="PG231" i="1"/>
  <c r="PH232" i="1"/>
  <c r="PH231" i="1"/>
  <c r="PI232" i="1"/>
  <c r="PI231" i="1"/>
  <c r="PJ232" i="1"/>
  <c r="PJ231" i="1"/>
  <c r="PK232" i="1"/>
  <c r="PK231" i="1"/>
  <c r="NZ232" i="1"/>
  <c r="OA231" i="1"/>
  <c r="OB232" i="1"/>
  <c r="OB231" i="1"/>
  <c r="OC232" i="1"/>
  <c r="OC231" i="1"/>
  <c r="OD232" i="1"/>
  <c r="OD231" i="1"/>
  <c r="OE232" i="1"/>
  <c r="OE231" i="1"/>
  <c r="MR232" i="1"/>
  <c r="MR231" i="1"/>
  <c r="MS232" i="1"/>
  <c r="MT231" i="1"/>
  <c r="MU231" i="1"/>
  <c r="MV231" i="1"/>
  <c r="MW232" i="1"/>
  <c r="MW231" i="1"/>
  <c r="MX232" i="1"/>
  <c r="MX231" i="1"/>
  <c r="MY232" i="1"/>
  <c r="MY231" i="1"/>
  <c r="MZ232" i="1"/>
  <c r="MZ231" i="1"/>
  <c r="NA232" i="1"/>
  <c r="NB231" i="1"/>
  <c r="NC232" i="1"/>
  <c r="ND231" i="1"/>
  <c r="NE232" i="1"/>
  <c r="NE231" i="1"/>
  <c r="NF232" i="1"/>
  <c r="NF231" i="1"/>
  <c r="NG232" i="1"/>
  <c r="NG231" i="1"/>
  <c r="NH232" i="1"/>
  <c r="NH231" i="1"/>
  <c r="NI232" i="1"/>
  <c r="NI231" i="1"/>
  <c r="NJ232" i="1"/>
  <c r="NJ231" i="1"/>
  <c r="NK232" i="1"/>
  <c r="NK231" i="1"/>
  <c r="NL232" i="1"/>
  <c r="NL231" i="1"/>
  <c r="NM232" i="1"/>
  <c r="NM231" i="1"/>
  <c r="NN232" i="1"/>
  <c r="NN231" i="1"/>
  <c r="NO232" i="1"/>
  <c r="NO231" i="1"/>
  <c r="NP232" i="1"/>
  <c r="NP231" i="1"/>
  <c r="NQ232" i="1"/>
  <c r="NQ231" i="1"/>
  <c r="NR232" i="1"/>
  <c r="NR231" i="1"/>
  <c r="NS232" i="1"/>
  <c r="NS231" i="1"/>
  <c r="NT232" i="1"/>
  <c r="NT231" i="1"/>
  <c r="NU231" i="1"/>
  <c r="NV232" i="1"/>
  <c r="NV231" i="1"/>
  <c r="NW232" i="1"/>
  <c r="NW231" i="1"/>
  <c r="NX232" i="1"/>
  <c r="NX231" i="1"/>
  <c r="NY232" i="1"/>
  <c r="NY231" i="1"/>
  <c r="MB231" i="1"/>
  <c r="MC232" i="1"/>
  <c r="MC231" i="1"/>
  <c r="MD232" i="1"/>
  <c r="MD231" i="1"/>
  <c r="ME232" i="1"/>
  <c r="ME231" i="1"/>
  <c r="MF232" i="1"/>
  <c r="MG232" i="1"/>
  <c r="MG231" i="1"/>
  <c r="MH232" i="1"/>
  <c r="MH231" i="1"/>
  <c r="MI232" i="1"/>
  <c r="MJ232" i="1"/>
  <c r="MJ231" i="1"/>
  <c r="MK232" i="1"/>
  <c r="MK231" i="1"/>
  <c r="ML231" i="1"/>
  <c r="MM232" i="1"/>
  <c r="MM231" i="1"/>
  <c r="MN231" i="1"/>
  <c r="MO232" i="1"/>
  <c r="LZ232" i="1"/>
  <c r="LZ231" i="1"/>
  <c r="MA232" i="1"/>
  <c r="MA231" i="1"/>
  <c r="IQ232" i="1"/>
  <c r="IQ231" i="1"/>
  <c r="IR232" i="1"/>
  <c r="IS232" i="1"/>
  <c r="IT232" i="1"/>
  <c r="IU232" i="1"/>
  <c r="IV232" i="1"/>
  <c r="IV231" i="1"/>
  <c r="IW232" i="1"/>
  <c r="IX232" i="1"/>
  <c r="IZ232" i="1"/>
  <c r="JA232" i="1"/>
  <c r="JA231" i="1"/>
  <c r="JB232" i="1"/>
  <c r="JB231" i="1"/>
  <c r="JC232" i="1"/>
  <c r="JC231" i="1"/>
  <c r="JE232" i="1"/>
  <c r="JE231" i="1"/>
  <c r="JG232" i="1"/>
  <c r="JG231" i="1"/>
  <c r="JH232" i="1"/>
  <c r="JH231" i="1"/>
  <c r="JI232" i="1"/>
  <c r="JI231" i="1"/>
  <c r="JJ232" i="1"/>
  <c r="JJ231" i="1"/>
  <c r="JK232" i="1"/>
  <c r="JK231" i="1"/>
  <c r="JL232" i="1"/>
  <c r="JL231" i="1"/>
  <c r="JM232" i="1"/>
  <c r="JN232" i="1"/>
  <c r="JN231" i="1"/>
  <c r="JO232" i="1"/>
  <c r="JO231" i="1"/>
  <c r="JP232" i="1"/>
  <c r="JP231" i="1"/>
  <c r="JQ232" i="1"/>
  <c r="JR232" i="1"/>
  <c r="JR231" i="1"/>
  <c r="JS231" i="1"/>
  <c r="JT231" i="1"/>
  <c r="JU232" i="1"/>
  <c r="JU231" i="1"/>
  <c r="JV232" i="1"/>
  <c r="JV231" i="1"/>
  <c r="JW232" i="1"/>
  <c r="JW231" i="1"/>
  <c r="JX232" i="1"/>
  <c r="JX231" i="1"/>
  <c r="JY232" i="1"/>
  <c r="JZ232" i="1"/>
  <c r="KA232" i="1"/>
  <c r="KA231" i="1"/>
  <c r="KB232" i="1"/>
  <c r="KB231" i="1"/>
  <c r="KC232" i="1"/>
  <c r="KD232" i="1"/>
  <c r="KD231" i="1"/>
  <c r="KE232" i="1"/>
  <c r="KE231" i="1"/>
  <c r="KF231" i="1"/>
  <c r="KG232" i="1"/>
  <c r="KG231" i="1"/>
  <c r="KH232" i="1"/>
  <c r="KI232" i="1"/>
  <c r="KI231" i="1"/>
  <c r="KJ232" i="1"/>
  <c r="KJ231" i="1"/>
  <c r="KK232" i="1"/>
  <c r="KL232" i="1"/>
  <c r="KM232" i="1"/>
  <c r="KM231" i="1"/>
  <c r="KN232" i="1"/>
  <c r="KN231" i="1"/>
  <c r="KP232" i="1"/>
  <c r="KP231" i="1"/>
  <c r="KQ232" i="1"/>
  <c r="KQ231" i="1"/>
  <c r="KR232" i="1"/>
  <c r="KR231" i="1"/>
  <c r="KS232" i="1"/>
  <c r="KS231" i="1"/>
  <c r="KT232" i="1"/>
  <c r="KT231" i="1"/>
  <c r="KU232" i="1"/>
  <c r="KU231" i="1"/>
  <c r="KW232" i="1"/>
  <c r="KY232" i="1"/>
  <c r="KY231" i="1"/>
  <c r="KZ232" i="1"/>
  <c r="KZ231" i="1"/>
  <c r="LA232" i="1"/>
  <c r="LA231" i="1"/>
  <c r="LB232" i="1"/>
  <c r="LB231" i="1"/>
  <c r="LC232" i="1"/>
  <c r="LD232" i="1"/>
  <c r="LE232" i="1"/>
  <c r="LG232" i="1"/>
  <c r="LG231" i="1"/>
  <c r="LH232" i="1"/>
  <c r="LI232" i="1"/>
  <c r="LI231" i="1"/>
  <c r="LJ232" i="1"/>
  <c r="LJ231" i="1"/>
  <c r="LK232" i="1"/>
  <c r="LK231" i="1"/>
  <c r="LL232" i="1"/>
  <c r="LL231" i="1"/>
  <c r="LM232" i="1"/>
  <c r="LM231" i="1"/>
  <c r="LN231" i="1"/>
  <c r="LO231" i="1"/>
  <c r="LQ232" i="1"/>
  <c r="LR232" i="1"/>
  <c r="LS232" i="1"/>
  <c r="LS231" i="1"/>
  <c r="LT232" i="1"/>
  <c r="LT231" i="1"/>
  <c r="LU232" i="1"/>
  <c r="LU231" i="1"/>
  <c r="LV232" i="1"/>
  <c r="LV231" i="1"/>
  <c r="LW232" i="1"/>
  <c r="LW231" i="1"/>
  <c r="LX231" i="1"/>
  <c r="LY232" i="1"/>
  <c r="HZ232" i="1"/>
  <c r="HZ231" i="1"/>
  <c r="IA232" i="1"/>
  <c r="IA231" i="1"/>
  <c r="IB232" i="1"/>
  <c r="IB231" i="1"/>
  <c r="IC232" i="1"/>
  <c r="IC231" i="1"/>
  <c r="ID232" i="1"/>
  <c r="ID231" i="1"/>
  <c r="IE231" i="1"/>
  <c r="IF232" i="1"/>
  <c r="IG232" i="1"/>
  <c r="IH232" i="1"/>
  <c r="IH231" i="1"/>
  <c r="II232" i="1"/>
  <c r="II231" i="1"/>
  <c r="IJ232" i="1"/>
  <c r="IJ231" i="1"/>
  <c r="IK232" i="1"/>
  <c r="IK231" i="1"/>
  <c r="HW232" i="1"/>
  <c r="HW231" i="1"/>
  <c r="HX232" i="1"/>
  <c r="HX231" i="1"/>
  <c r="HY232" i="1"/>
  <c r="HY231" i="1"/>
  <c r="HT232" i="1"/>
  <c r="HT231" i="1"/>
  <c r="HU231" i="1"/>
  <c r="HV231" i="1"/>
  <c r="GQ232" i="1"/>
  <c r="GQ231" i="1"/>
  <c r="GR232" i="1"/>
  <c r="GR231" i="1"/>
  <c r="GS232" i="1"/>
  <c r="GS231" i="1"/>
  <c r="GT232" i="1"/>
  <c r="GT231" i="1"/>
  <c r="GU232" i="1"/>
  <c r="GU231" i="1"/>
  <c r="GV232" i="1"/>
  <c r="GV231" i="1"/>
  <c r="GW232" i="1"/>
  <c r="GW231" i="1"/>
  <c r="GX232" i="1"/>
  <c r="GX231" i="1"/>
  <c r="GY232" i="1"/>
  <c r="GY231" i="1"/>
  <c r="GZ232" i="1"/>
  <c r="GZ231" i="1"/>
  <c r="HA231" i="1"/>
  <c r="HB232" i="1"/>
  <c r="HC232" i="1"/>
  <c r="HC231" i="1"/>
  <c r="HD232" i="1"/>
  <c r="HD231" i="1"/>
  <c r="HE232" i="1"/>
  <c r="HE231" i="1"/>
  <c r="HF232" i="1"/>
  <c r="HF231" i="1"/>
  <c r="HG231" i="1"/>
  <c r="HH232" i="1"/>
  <c r="HH231" i="1"/>
  <c r="HI232" i="1"/>
  <c r="HI231" i="1"/>
  <c r="HJ232" i="1"/>
  <c r="HJ231" i="1"/>
  <c r="HK232" i="1"/>
  <c r="HK231" i="1"/>
  <c r="HL232" i="1"/>
  <c r="HL231" i="1"/>
  <c r="HM231" i="1"/>
  <c r="HN231" i="1"/>
  <c r="HO231" i="1"/>
  <c r="HP232" i="1"/>
  <c r="HP231" i="1"/>
  <c r="HQ232" i="1"/>
  <c r="HQ231" i="1"/>
  <c r="HR232" i="1"/>
  <c r="HR231" i="1"/>
  <c r="HS231" i="1"/>
  <c r="UT232" i="1"/>
  <c r="UT231" i="1"/>
  <c r="VC228" i="1"/>
  <c r="VB228" i="1"/>
  <c r="VA228" i="1"/>
  <c r="UZ228" i="1"/>
  <c r="UY228" i="1"/>
  <c r="UX228" i="1"/>
  <c r="UW228" i="1"/>
  <c r="UV228" i="1"/>
  <c r="UU228" i="1"/>
  <c r="VD228" i="1"/>
  <c r="VE228" i="1"/>
  <c r="VG228" i="1"/>
  <c r="VF228" i="1"/>
  <c r="VI228" i="1"/>
  <c r="VJ228" i="1"/>
  <c r="VK228" i="1"/>
  <c r="VL228" i="1"/>
  <c r="VM228" i="1"/>
  <c r="VN228" i="1"/>
  <c r="VO228" i="1"/>
  <c r="VP228" i="1"/>
  <c r="VQ228" i="1"/>
  <c r="VR228" i="1"/>
  <c r="VS228" i="1"/>
  <c r="VU228" i="1"/>
  <c r="VT228" i="1"/>
  <c r="VV228" i="1"/>
  <c r="VW228" i="1"/>
  <c r="VX228" i="1"/>
  <c r="VY228" i="1"/>
  <c r="VZ228" i="1"/>
  <c r="VZ229" i="1"/>
  <c r="VZ222" i="1"/>
  <c r="WB228" i="1"/>
  <c r="WA227" i="1"/>
  <c r="WA220" i="1"/>
  <c r="WA228" i="1"/>
  <c r="WC228" i="1"/>
  <c r="WD228" i="1"/>
  <c r="WE228" i="1"/>
  <c r="WF228" i="1"/>
  <c r="WG227" i="1"/>
  <c r="WG220" i="1"/>
  <c r="WG228" i="1"/>
  <c r="WH228" i="1"/>
  <c r="WI228" i="1"/>
  <c r="WJ228" i="1"/>
  <c r="WK228" i="1"/>
  <c r="WL228" i="1"/>
  <c r="WO228" i="1"/>
  <c r="WP228" i="1"/>
  <c r="WM227" i="1"/>
  <c r="WM220" i="1"/>
  <c r="WM228" i="1"/>
  <c r="WN228" i="1"/>
  <c r="WQ228" i="1"/>
  <c r="WR228" i="1"/>
  <c r="WS228" i="1"/>
  <c r="WT227" i="1"/>
  <c r="WT220" i="1"/>
  <c r="WT228" i="1"/>
  <c r="WU228" i="1"/>
  <c r="WV228" i="1"/>
  <c r="WW228" i="1"/>
  <c r="WX228" i="1"/>
  <c r="WY228" i="1"/>
  <c r="WZ228" i="1"/>
  <c r="XA228" i="1"/>
  <c r="XB228" i="1"/>
  <c r="XC227" i="1"/>
  <c r="XC220" i="1"/>
  <c r="XC228" i="1"/>
  <c r="XD228" i="1"/>
  <c r="XE229" i="1"/>
  <c r="XE222" i="1"/>
  <c r="XE228" i="1"/>
  <c r="XF228" i="1"/>
  <c r="XA229" i="1"/>
  <c r="XA222" i="1"/>
  <c r="WN229" i="1"/>
  <c r="WN222" i="1"/>
  <c r="WB229" i="1"/>
  <c r="WB222" i="1"/>
  <c r="TE229" i="1"/>
  <c r="TE222" i="1"/>
  <c r="SM229" i="1"/>
  <c r="SM222" i="1"/>
  <c r="RZ229" i="1"/>
  <c r="RZ222" i="1"/>
  <c r="RX229" i="1"/>
  <c r="RX222" i="1"/>
  <c r="WJ229" i="1"/>
  <c r="WJ222" i="1"/>
  <c r="WD229" i="1"/>
  <c r="WD222" i="1"/>
  <c r="WA229" i="1"/>
  <c r="WA222" i="1"/>
  <c r="VA229" i="1"/>
  <c r="VA222" i="1"/>
  <c r="TY229" i="1"/>
  <c r="TY222" i="1"/>
  <c r="TV229" i="1"/>
  <c r="TV222" i="1"/>
  <c r="TD229" i="1"/>
  <c r="TD222" i="1"/>
  <c r="XF229" i="1"/>
  <c r="XF222" i="1"/>
  <c r="WZ229" i="1"/>
  <c r="WZ222" i="1"/>
  <c r="WU229" i="1"/>
  <c r="WU222" i="1"/>
  <c r="WM229" i="1"/>
  <c r="WM222" i="1"/>
  <c r="VV229" i="1"/>
  <c r="VV222" i="1"/>
  <c r="UZ229" i="1"/>
  <c r="UZ222" i="1"/>
  <c r="TU229" i="1"/>
  <c r="TU222" i="1"/>
  <c r="RT229" i="1"/>
  <c r="RT222" i="1"/>
  <c r="RP229" i="1"/>
  <c r="RP222" i="1"/>
  <c r="WY229" i="1"/>
  <c r="WY222" i="1"/>
  <c r="WT229" i="1"/>
  <c r="WT222" i="1"/>
  <c r="WP229" i="1"/>
  <c r="WP222" i="1"/>
  <c r="UX229" i="1"/>
  <c r="UX222" i="1"/>
  <c r="UK229" i="1"/>
  <c r="UK222" i="1"/>
  <c r="UJ229" i="1"/>
  <c r="UJ222" i="1"/>
  <c r="TS229" i="1"/>
  <c r="TS222" i="1"/>
  <c r="TC229" i="1"/>
  <c r="TC222" i="1"/>
  <c r="ST229" i="1"/>
  <c r="ST222" i="1"/>
  <c r="WH229" i="1"/>
  <c r="WH222" i="1"/>
  <c r="WC229" i="1"/>
  <c r="WC222" i="1"/>
  <c r="UW229" i="1"/>
  <c r="UW222" i="1"/>
  <c r="XD229" i="1"/>
  <c r="XD222" i="1"/>
  <c r="WX229" i="1"/>
  <c r="WX222" i="1"/>
  <c r="WS229" i="1"/>
  <c r="WS222" i="1"/>
  <c r="WO229" i="1"/>
  <c r="WO222" i="1"/>
  <c r="WI229" i="1"/>
  <c r="WI222" i="1"/>
  <c r="VI229" i="1"/>
  <c r="VI222" i="1"/>
  <c r="VC229" i="1"/>
  <c r="VC222" i="1"/>
  <c r="TR229" i="1"/>
  <c r="TR222" i="1"/>
  <c r="TB229" i="1"/>
  <c r="TB222" i="1"/>
  <c r="SI229" i="1"/>
  <c r="SI222" i="1"/>
  <c r="VP229" i="1"/>
  <c r="VP222" i="1"/>
  <c r="VO229" i="1"/>
  <c r="VO222" i="1"/>
  <c r="VN229" i="1"/>
  <c r="VN222" i="1"/>
  <c r="VM229" i="1"/>
  <c r="VM222" i="1"/>
  <c r="VL229" i="1"/>
  <c r="VL222" i="1"/>
  <c r="VK229" i="1"/>
  <c r="VK222" i="1"/>
  <c r="VJ229" i="1"/>
  <c r="VJ222" i="1"/>
  <c r="TQ229" i="1"/>
  <c r="TQ222" i="1"/>
  <c r="TA229" i="1"/>
  <c r="TA222" i="1"/>
  <c r="SP229" i="1"/>
  <c r="SP222" i="1"/>
  <c r="SB229" i="1"/>
  <c r="SB222" i="1"/>
  <c r="RV229" i="1"/>
  <c r="RV222" i="1"/>
  <c r="RU229" i="1"/>
  <c r="RU222" i="1"/>
  <c r="VY229" i="1"/>
  <c r="VY222" i="1"/>
  <c r="VQ229" i="1"/>
  <c r="VQ222" i="1"/>
  <c r="UA229" i="1"/>
  <c r="UA222" i="1"/>
  <c r="TP229" i="1"/>
  <c r="TP222" i="1"/>
  <c r="SZ229" i="1"/>
  <c r="SZ222" i="1"/>
  <c r="SH229" i="1"/>
  <c r="SH222" i="1"/>
  <c r="RH229" i="1"/>
  <c r="RH222" i="1"/>
  <c r="VW229" i="1"/>
  <c r="VW222" i="1"/>
  <c r="VS229" i="1"/>
  <c r="VS222" i="1"/>
  <c r="VH229" i="1"/>
  <c r="VH222" i="1"/>
  <c r="UY229" i="1"/>
  <c r="UY222" i="1"/>
  <c r="TN229" i="1"/>
  <c r="TN222" i="1"/>
  <c r="TH229" i="1"/>
  <c r="TH222" i="1"/>
  <c r="WG229" i="1"/>
  <c r="WG222" i="1"/>
  <c r="UP229" i="1"/>
  <c r="UP222" i="1"/>
  <c r="UI229" i="1"/>
  <c r="UI222" i="1"/>
  <c r="TJ229" i="1"/>
  <c r="TJ222" i="1"/>
  <c r="TG229" i="1"/>
  <c r="TG222" i="1"/>
  <c r="WF229" i="1"/>
  <c r="WF222" i="1"/>
  <c r="TI229" i="1"/>
  <c r="TI222" i="1"/>
  <c r="TF229" i="1"/>
  <c r="TF222" i="1"/>
  <c r="SV229" i="1"/>
  <c r="SV222" i="1"/>
  <c r="UL229" i="1"/>
  <c r="UL222" i="1"/>
  <c r="UQ229" i="1"/>
  <c r="UQ222" i="1"/>
  <c r="VX229" i="1"/>
  <c r="VX222" i="1"/>
  <c r="VR229" i="1"/>
  <c r="VR222" i="1"/>
  <c r="UF229" i="1"/>
  <c r="UF222" i="1"/>
  <c r="UO229" i="1"/>
  <c r="UO222" i="1"/>
  <c r="QX229" i="1"/>
  <c r="QX222" i="1"/>
  <c r="SK229" i="1"/>
  <c r="SK222" i="1"/>
  <c r="SG229" i="1"/>
  <c r="SG222" i="1"/>
  <c r="RI229" i="1"/>
  <c r="RI222" i="1"/>
  <c r="RA229" i="1"/>
  <c r="RA222" i="1"/>
  <c r="UV229" i="1"/>
  <c r="UV222" i="1"/>
  <c r="WW229" i="1"/>
  <c r="WW222" i="1"/>
  <c r="WR229" i="1"/>
  <c r="WR222" i="1"/>
  <c r="UU229" i="1"/>
  <c r="UU222" i="1"/>
  <c r="UN229" i="1"/>
  <c r="UN222" i="1"/>
  <c r="OO229" i="1"/>
  <c r="OO222" i="1"/>
  <c r="RG229" i="1"/>
  <c r="RG222" i="1"/>
  <c r="QO229" i="1"/>
  <c r="QO222" i="1"/>
  <c r="PS229" i="1"/>
  <c r="PS222" i="1"/>
  <c r="PH229" i="1"/>
  <c r="PH222" i="1"/>
  <c r="RF229" i="1"/>
  <c r="RF222" i="1"/>
  <c r="VG229" i="1"/>
  <c r="VG222" i="1"/>
  <c r="VD229" i="1"/>
  <c r="VD222" i="1"/>
  <c r="UT229" i="1"/>
  <c r="UT222" i="1"/>
  <c r="QD229" i="1"/>
  <c r="QD222" i="1"/>
  <c r="QR229" i="1"/>
  <c r="QR222" i="1"/>
  <c r="RD229" i="1"/>
  <c r="RD222" i="1"/>
  <c r="PP229" i="1"/>
  <c r="PP222" i="1"/>
  <c r="QS229" i="1"/>
  <c r="QS222" i="1"/>
  <c r="PY229" i="1"/>
  <c r="PY222" i="1"/>
  <c r="PT229" i="1"/>
  <c r="PT222" i="1"/>
  <c r="PA229" i="1"/>
  <c r="PA222" i="1"/>
  <c r="OW229" i="1"/>
  <c r="OW222" i="1"/>
  <c r="OD229" i="1"/>
  <c r="OD222" i="1"/>
  <c r="PZ229" i="1"/>
  <c r="PZ222" i="1"/>
  <c r="PB229" i="1"/>
  <c r="PB222" i="1"/>
  <c r="PO229" i="1"/>
  <c r="PO222" i="1"/>
  <c r="PN229" i="1"/>
  <c r="PN222" i="1"/>
  <c r="NO229" i="1"/>
  <c r="NO222" i="1"/>
  <c r="PV229" i="1"/>
  <c r="PV222" i="1"/>
  <c r="PC229" i="1"/>
  <c r="PC222" i="1"/>
  <c r="QH229" i="1"/>
  <c r="QH222" i="1"/>
  <c r="QA229" i="1"/>
  <c r="QA222" i="1"/>
  <c r="PU229" i="1"/>
  <c r="PU222" i="1"/>
  <c r="PE229" i="1"/>
  <c r="PE222" i="1"/>
  <c r="MJ229" i="1"/>
  <c r="MJ222" i="1"/>
  <c r="PD229" i="1"/>
  <c r="PD222" i="1"/>
  <c r="OM229" i="1"/>
  <c r="OM222" i="1"/>
  <c r="OC229" i="1"/>
  <c r="OC222" i="1"/>
  <c r="NY229" i="1"/>
  <c r="NY222" i="1"/>
  <c r="NU229" i="1"/>
  <c r="NU222" i="1"/>
  <c r="NS229" i="1"/>
  <c r="NS222" i="1"/>
  <c r="PW229" i="1"/>
  <c r="PW222" i="1"/>
  <c r="NR229" i="1"/>
  <c r="NR222" i="1"/>
  <c r="NC229" i="1"/>
  <c r="NC222" i="1"/>
  <c r="QC229" i="1"/>
  <c r="QC222" i="1"/>
  <c r="OE229" i="1"/>
  <c r="OE222" i="1"/>
  <c r="NT229" i="1"/>
  <c r="NT222" i="1"/>
  <c r="QG229" i="1"/>
  <c r="QG222" i="1"/>
  <c r="OT229" i="1"/>
  <c r="OT222" i="1"/>
  <c r="ON229" i="1"/>
  <c r="ON222" i="1"/>
  <c r="NB229" i="1"/>
  <c r="NB222" i="1"/>
  <c r="ML229" i="1"/>
  <c r="ML222" i="1"/>
  <c r="PI229" i="1"/>
  <c r="PI222" i="1"/>
  <c r="NP229" i="1"/>
  <c r="NP222" i="1"/>
  <c r="NM229" i="1"/>
  <c r="NM222" i="1"/>
  <c r="NK229" i="1"/>
  <c r="NK222" i="1"/>
  <c r="OF229" i="1"/>
  <c r="OF222" i="1"/>
  <c r="NI229" i="1"/>
  <c r="NI222" i="1"/>
  <c r="OR229" i="1"/>
  <c r="OR222" i="1"/>
  <c r="NH229" i="1"/>
  <c r="NH222" i="1"/>
  <c r="NG229" i="1"/>
  <c r="NG222" i="1"/>
  <c r="MQ229" i="1"/>
  <c r="MQ222" i="1"/>
  <c r="RS229" i="1"/>
  <c r="RS222" i="1"/>
  <c r="RQ229" i="1"/>
  <c r="RQ222" i="1"/>
  <c r="MN229" i="1"/>
  <c r="MN222" i="1"/>
  <c r="OS229" i="1"/>
  <c r="OS222" i="1"/>
  <c r="OG229" i="1"/>
  <c r="OG222" i="1"/>
  <c r="MV229" i="1"/>
  <c r="MV222" i="1"/>
  <c r="MU229" i="1"/>
  <c r="MU222" i="1"/>
  <c r="MO229" i="1"/>
  <c r="MO222" i="1"/>
  <c r="MW229" i="1"/>
  <c r="MW222" i="1"/>
  <c r="LK229" i="1"/>
  <c r="LK222" i="1"/>
  <c r="MK229" i="1"/>
  <c r="MK222" i="1"/>
  <c r="MI229" i="1"/>
  <c r="MI222" i="1"/>
  <c r="LU229" i="1"/>
  <c r="LU222" i="1"/>
  <c r="MM229" i="1"/>
  <c r="MM222" i="1"/>
  <c r="MB229" i="1"/>
  <c r="MB222" i="1"/>
  <c r="LT229" i="1"/>
  <c r="LT222" i="1"/>
  <c r="MT229" i="1"/>
  <c r="MT222" i="1"/>
  <c r="LN229" i="1"/>
  <c r="LN222" i="1"/>
  <c r="LB229" i="1"/>
  <c r="LB222" i="1"/>
  <c r="LL229" i="1"/>
  <c r="LL222" i="1"/>
  <c r="LQ229" i="1"/>
  <c r="LQ222" i="1"/>
  <c r="LW229" i="1"/>
  <c r="LW222" i="1"/>
  <c r="LJ229" i="1"/>
  <c r="LJ222" i="1"/>
  <c r="OK229" i="1"/>
  <c r="OK222" i="1"/>
  <c r="MG229" i="1"/>
  <c r="MG222" i="1"/>
  <c r="LP229" i="1"/>
  <c r="LP222" i="1"/>
  <c r="KY229" i="1"/>
  <c r="KY222" i="1"/>
  <c r="KO229" i="1"/>
  <c r="KO222" i="1"/>
  <c r="KD229" i="1"/>
  <c r="KD222" i="1"/>
  <c r="HG229" i="1"/>
  <c r="HG222" i="1"/>
  <c r="KC229" i="1"/>
  <c r="KC222" i="1"/>
  <c r="JQ229" i="1"/>
  <c r="JQ222" i="1"/>
  <c r="LH229" i="1"/>
  <c r="LH222" i="1"/>
  <c r="KB229" i="1"/>
  <c r="KB222" i="1"/>
  <c r="KV229" i="1"/>
  <c r="KV222" i="1"/>
  <c r="KT229" i="1"/>
  <c r="KT222" i="1"/>
  <c r="JP229" i="1"/>
  <c r="JP222" i="1"/>
  <c r="JJ229" i="1"/>
  <c r="JJ222" i="1"/>
  <c r="IW229" i="1"/>
  <c r="IW222" i="1"/>
  <c r="JO229" i="1"/>
  <c r="JO222" i="1"/>
  <c r="IN229" i="1"/>
  <c r="IN222" i="1"/>
  <c r="LE229" i="1"/>
  <c r="LE222" i="1"/>
  <c r="KM229" i="1"/>
  <c r="KM222" i="1"/>
  <c r="JD229" i="1"/>
  <c r="JD222" i="1"/>
  <c r="LS229" i="1"/>
  <c r="LS222" i="1"/>
  <c r="MC229" i="1"/>
  <c r="MC222" i="1"/>
  <c r="JY229" i="1"/>
  <c r="JY222" i="1"/>
  <c r="JT229" i="1"/>
  <c r="JT222" i="1"/>
  <c r="IV229" i="1"/>
  <c r="IV222" i="1"/>
  <c r="KZ229" i="1"/>
  <c r="KZ222" i="1"/>
  <c r="KS229" i="1"/>
  <c r="KS222" i="1"/>
  <c r="IG229" i="1"/>
  <c r="IG222" i="1"/>
  <c r="JB229" i="1"/>
  <c r="JB222" i="1"/>
  <c r="IY229" i="1"/>
  <c r="IY222" i="1"/>
  <c r="IC229" i="1"/>
  <c r="IC222" i="1"/>
  <c r="JL229" i="1"/>
  <c r="JL222" i="1"/>
  <c r="KQ229" i="1"/>
  <c r="KQ222" i="1"/>
  <c r="JS229" i="1"/>
  <c r="JS222" i="1"/>
  <c r="KP229" i="1"/>
  <c r="KP222" i="1"/>
  <c r="IL229" i="1"/>
  <c r="IL222" i="1"/>
  <c r="GV229" i="1"/>
  <c r="GV222" i="1"/>
  <c r="KJ229" i="1"/>
  <c r="KJ222" i="1"/>
  <c r="KH229" i="1"/>
  <c r="KH222" i="1"/>
  <c r="KR229" i="1"/>
  <c r="KR222" i="1"/>
  <c r="KG229" i="1"/>
  <c r="KG222" i="1"/>
  <c r="JI229" i="1"/>
  <c r="JI222" i="1"/>
  <c r="IK229" i="1"/>
  <c r="IK222" i="1"/>
  <c r="HW229" i="1"/>
  <c r="HW222" i="1"/>
  <c r="IJ229" i="1"/>
  <c r="IJ222" i="1"/>
  <c r="KF229" i="1"/>
  <c r="KF222" i="1"/>
  <c r="JG229" i="1"/>
  <c r="JG222" i="1"/>
  <c r="II229" i="1"/>
  <c r="II222" i="1"/>
  <c r="IB229" i="1"/>
  <c r="IB222" i="1"/>
  <c r="HY229" i="1"/>
  <c r="HY222" i="1"/>
  <c r="IA229" i="1"/>
  <c r="IA222" i="1"/>
  <c r="HM229" i="1"/>
  <c r="HM222" i="1"/>
  <c r="HD229" i="1"/>
  <c r="HD222" i="1"/>
  <c r="IF229" i="1"/>
  <c r="IF222" i="1"/>
  <c r="HJ229" i="1"/>
  <c r="HJ222" i="1"/>
  <c r="HI229" i="1"/>
  <c r="HI222" i="1"/>
  <c r="IH229" i="1"/>
  <c r="IH222" i="1"/>
  <c r="HA229" i="1"/>
  <c r="HA222" i="1"/>
  <c r="JR229" i="1"/>
  <c r="JR222" i="1"/>
  <c r="HU229" i="1"/>
  <c r="HU222" i="1"/>
  <c r="HT229" i="1"/>
  <c r="HT222" i="1"/>
  <c r="HP229" i="1"/>
  <c r="HP222" i="1"/>
  <c r="HL229" i="1"/>
  <c r="HL222" i="1"/>
  <c r="GX229" i="1"/>
  <c r="GX222" i="1"/>
  <c r="ID229" i="1"/>
  <c r="ID222" i="1"/>
  <c r="GT229" i="1"/>
  <c r="GT222" i="1"/>
  <c r="HO229" i="1"/>
  <c r="HO222" i="1"/>
  <c r="GR229" i="1"/>
  <c r="GR222" i="1"/>
  <c r="GP228" i="1"/>
  <c r="GQ228" i="1"/>
  <c r="GS228" i="1"/>
  <c r="GT227" i="1"/>
  <c r="GT220" i="1"/>
  <c r="GT228" i="1"/>
  <c r="GT221" i="1"/>
  <c r="GU228" i="1"/>
  <c r="GV228" i="1"/>
  <c r="GW228" i="1"/>
  <c r="GX228" i="1"/>
  <c r="GY228" i="1"/>
  <c r="GZ228" i="1"/>
  <c r="HA228" i="1"/>
  <c r="HB228" i="1"/>
  <c r="HC228" i="1"/>
  <c r="HG227" i="1"/>
  <c r="HG220" i="1"/>
  <c r="HG228" i="1"/>
  <c r="HE228" i="1"/>
  <c r="HD227" i="1"/>
  <c r="HD220" i="1"/>
  <c r="HD228" i="1"/>
  <c r="HH228" i="1"/>
  <c r="HI228" i="1"/>
  <c r="HJ228" i="1"/>
  <c r="HL228" i="1"/>
  <c r="HO228" i="1"/>
  <c r="HP228" i="1"/>
  <c r="HU227" i="1"/>
  <c r="HU220" i="1"/>
  <c r="HU228" i="1"/>
  <c r="HV228" i="1"/>
  <c r="HW228" i="1"/>
  <c r="HY228" i="1"/>
  <c r="HZ228" i="1"/>
  <c r="IB228" i="1"/>
  <c r="IF228" i="1"/>
  <c r="IK228" i="1"/>
  <c r="IJ228" i="1"/>
  <c r="IH228" i="1"/>
  <c r="IM228" i="1"/>
  <c r="IO228" i="1"/>
  <c r="IQ227" i="1"/>
  <c r="IQ220" i="1"/>
  <c r="IQ228" i="1"/>
  <c r="IQ221" i="1"/>
  <c r="IY228" i="1"/>
  <c r="IX228" i="1"/>
  <c r="JB228" i="1"/>
  <c r="JC228" i="1"/>
  <c r="JE227" i="1"/>
  <c r="JE220" i="1"/>
  <c r="KU228" i="1"/>
  <c r="KS228" i="1"/>
  <c r="KR228" i="1"/>
  <c r="KQ227" i="1"/>
  <c r="KQ220" i="1"/>
  <c r="KQ228" i="1"/>
  <c r="KQ221" i="1"/>
  <c r="KP227" i="1"/>
  <c r="KP220" i="1"/>
  <c r="KP228" i="1"/>
  <c r="KO228" i="1"/>
  <c r="KM227" i="1"/>
  <c r="KM220" i="1"/>
  <c r="KM228" i="1"/>
  <c r="KK228" i="1"/>
  <c r="KF228" i="1"/>
  <c r="KD227" i="1"/>
  <c r="KD220" i="1"/>
  <c r="KD228" i="1"/>
  <c r="KB227" i="1"/>
  <c r="KB220" i="1"/>
  <c r="JZ228" i="1"/>
  <c r="JX227" i="1"/>
  <c r="JX220" i="1"/>
  <c r="JX228" i="1"/>
  <c r="JX221" i="1"/>
  <c r="JW228" i="1"/>
  <c r="JU227" i="1"/>
  <c r="JU220" i="1"/>
  <c r="JU228" i="1"/>
  <c r="JU221" i="1"/>
  <c r="JT228" i="1"/>
  <c r="JS228" i="1"/>
  <c r="JR228" i="1"/>
  <c r="JQ228" i="1"/>
  <c r="JO228" i="1"/>
  <c r="JM228" i="1"/>
  <c r="JL227" i="1"/>
  <c r="JL220" i="1"/>
  <c r="JK228" i="1"/>
  <c r="JK221" i="1"/>
  <c r="JJ227" i="1"/>
  <c r="JJ220" i="1"/>
  <c r="JI228" i="1"/>
  <c r="JH228" i="1"/>
  <c r="JF228" i="1"/>
  <c r="LB227" i="1"/>
  <c r="LB220" i="1"/>
  <c r="LB224" i="1" s="1"/>
  <c r="LB225" i="1" s="1"/>
  <c r="KZ227" i="1"/>
  <c r="KZ220" i="1"/>
  <c r="MD228" i="1"/>
  <c r="LU228" i="1"/>
  <c r="LR228" i="1"/>
  <c r="LL228" i="1"/>
  <c r="LI228" i="1"/>
  <c r="LE228" i="1"/>
  <c r="MG228" i="1"/>
  <c r="ML228" i="1"/>
  <c r="MQ227" i="1"/>
  <c r="MQ220" i="1"/>
  <c r="MQ228" i="1"/>
  <c r="MQ221" i="1"/>
  <c r="MR228" i="1"/>
  <c r="MT228" i="1"/>
  <c r="MZ228" i="1"/>
  <c r="NB228" i="1"/>
  <c r="NE228" i="1"/>
  <c r="NK228" i="1"/>
  <c r="NL227" i="1"/>
  <c r="NL220" i="1"/>
  <c r="NM227" i="1"/>
  <c r="NM220" i="1"/>
  <c r="NM228" i="1"/>
  <c r="NO227" i="1"/>
  <c r="NO220" i="1"/>
  <c r="NO228" i="1"/>
  <c r="NP228" i="1"/>
  <c r="NQ228" i="1"/>
  <c r="NR228" i="1"/>
  <c r="NR221" i="1"/>
  <c r="NS227" i="1"/>
  <c r="NS220" i="1"/>
  <c r="NV227" i="1"/>
  <c r="NV220" i="1"/>
  <c r="NV228" i="1"/>
  <c r="NW228" i="1"/>
  <c r="NY227" i="1"/>
  <c r="NY220" i="1"/>
  <c r="NY228" i="1"/>
  <c r="NZ228" i="1"/>
  <c r="OA228" i="1"/>
  <c r="OB228" i="1"/>
  <c r="OD227" i="1"/>
  <c r="OD220" i="1"/>
  <c r="OD228" i="1"/>
  <c r="OD221" i="1"/>
  <c r="OE227" i="1"/>
  <c r="OE220" i="1"/>
  <c r="OH228" i="1"/>
  <c r="OM228" i="1"/>
  <c r="ON228" i="1"/>
  <c r="OP227" i="1"/>
  <c r="OP220" i="1"/>
  <c r="OP228" i="1"/>
  <c r="OP221" i="1"/>
  <c r="OS228" i="1"/>
  <c r="OK227" i="1"/>
  <c r="OK220" i="1"/>
  <c r="OT227" i="1"/>
  <c r="OT220" i="1"/>
  <c r="OT228" i="1"/>
  <c r="OT221" i="1"/>
  <c r="OV228" i="1"/>
  <c r="OZ228" i="1"/>
  <c r="OX228" i="1"/>
  <c r="OW228" i="1"/>
  <c r="PB227" i="1"/>
  <c r="PB220" i="1"/>
  <c r="PB228" i="1"/>
  <c r="PC227" i="1"/>
  <c r="PC220" i="1"/>
  <c r="PC228" i="1"/>
  <c r="PI228" i="1"/>
  <c r="PF228" i="1"/>
  <c r="PE228" i="1"/>
  <c r="PK228" i="1"/>
  <c r="PN228" i="1"/>
  <c r="PQ228" i="1"/>
  <c r="PS228" i="1"/>
  <c r="PT228" i="1"/>
  <c r="PT221" i="1"/>
  <c r="PV228" i="1"/>
  <c r="PU228" i="1"/>
  <c r="PX228" i="1"/>
  <c r="PW227" i="1"/>
  <c r="PW220" i="1"/>
  <c r="PW228" i="1"/>
  <c r="PW221" i="1"/>
  <c r="PZ228" i="1"/>
  <c r="PY228" i="1"/>
  <c r="QB227" i="1"/>
  <c r="QB220" i="1"/>
  <c r="QD228" i="1"/>
  <c r="QF228" i="1"/>
  <c r="QG228" i="1"/>
  <c r="QK228" i="1"/>
  <c r="QL229" i="1"/>
  <c r="QL222" i="1"/>
  <c r="QJ229" i="1"/>
  <c r="QJ222" i="1"/>
  <c r="QN229" i="1"/>
  <c r="QN222" i="1"/>
  <c r="QN228" i="1"/>
  <c r="QM229" i="1"/>
  <c r="QM222" i="1"/>
  <c r="QJ228" i="1"/>
  <c r="QI229" i="1"/>
  <c r="QI222" i="1"/>
  <c r="QK229" i="1"/>
  <c r="QK222" i="1"/>
  <c r="QP228" i="1"/>
  <c r="QS228" i="1"/>
  <c r="RB228" i="1"/>
  <c r="QW227" i="1"/>
  <c r="QW220" i="1"/>
  <c r="QW228" i="1"/>
  <c r="QW221" i="1"/>
  <c r="QV228" i="1"/>
  <c r="QV221" i="1"/>
  <c r="RC228" i="1"/>
  <c r="RD227" i="1"/>
  <c r="RD220" i="1"/>
  <c r="RD228" i="1"/>
  <c r="RH227" i="1"/>
  <c r="RH220" i="1"/>
  <c r="RH228" i="1"/>
  <c r="RG227" i="1"/>
  <c r="RG220" i="1"/>
  <c r="RG228" i="1"/>
  <c r="RG221" i="1"/>
  <c r="RE228" i="1"/>
  <c r="RI227" i="1"/>
  <c r="RI220" i="1"/>
  <c r="RI228" i="1"/>
  <c r="RI221" i="1"/>
  <c r="HE229" i="1"/>
  <c r="HE222" i="1"/>
  <c r="IL232" i="1"/>
  <c r="IL231" i="1"/>
  <c r="IM232" i="1"/>
  <c r="IM231" i="1"/>
  <c r="IN232" i="1"/>
  <c r="IN231" i="1"/>
  <c r="IO231" i="1"/>
  <c r="IP232" i="1"/>
  <c r="IP231" i="1"/>
  <c r="JN229" i="1"/>
  <c r="JN222" i="1"/>
  <c r="KL229" i="1"/>
  <c r="KL222" i="1"/>
  <c r="MP232" i="1"/>
  <c r="MP231" i="1"/>
  <c r="MQ232" i="1"/>
  <c r="MQ231" i="1"/>
  <c r="NL228" i="1"/>
  <c r="NL221" i="1"/>
  <c r="NR227" i="1"/>
  <c r="NR220" i="1"/>
  <c r="OP229" i="1"/>
  <c r="OP222" i="1"/>
  <c r="PL232" i="1"/>
  <c r="PL231" i="1"/>
  <c r="QB228" i="1"/>
  <c r="RL229" i="1"/>
  <c r="RL222" i="1"/>
  <c r="RN229" i="1"/>
  <c r="RN222" i="1"/>
  <c r="RR232" i="1"/>
  <c r="SC231" i="1"/>
  <c r="SD232" i="1"/>
  <c r="SE228" i="1"/>
  <c r="SE232" i="1"/>
  <c r="SE231" i="1"/>
  <c r="SF231" i="1"/>
  <c r="SG232" i="1"/>
  <c r="SG231" i="1"/>
  <c r="SY229" i="1"/>
  <c r="SY222" i="1"/>
  <c r="UU231" i="1"/>
  <c r="UV231" i="1"/>
  <c r="UW232" i="1"/>
  <c r="UW231" i="1"/>
  <c r="UX231" i="1"/>
  <c r="UY232" i="1"/>
  <c r="UY231" i="1"/>
  <c r="UZ232" i="1"/>
  <c r="UZ231" i="1"/>
  <c r="VA232" i="1"/>
  <c r="VA231" i="1"/>
  <c r="VB232" i="1"/>
  <c r="VB231" i="1"/>
  <c r="VC232" i="1"/>
  <c r="VC231" i="1"/>
  <c r="VD232" i="1"/>
  <c r="VD231" i="1"/>
  <c r="VE232" i="1"/>
  <c r="VE231" i="1"/>
  <c r="VF232" i="1"/>
  <c r="VF231" i="1"/>
  <c r="VG232" i="1"/>
  <c r="VG231" i="1"/>
  <c r="VH232" i="1"/>
  <c r="VH231" i="1"/>
  <c r="VI232" i="1"/>
  <c r="VI231" i="1"/>
  <c r="VJ232" i="1"/>
  <c r="VK232" i="1"/>
  <c r="VK231" i="1"/>
  <c r="VL232" i="1"/>
  <c r="VL231" i="1"/>
  <c r="VM232" i="1"/>
  <c r="VM231" i="1"/>
  <c r="VN232" i="1"/>
  <c r="VN231" i="1"/>
  <c r="VO232" i="1"/>
  <c r="VO231" i="1"/>
  <c r="VP231" i="1"/>
  <c r="VQ232" i="1"/>
  <c r="VQ231" i="1"/>
  <c r="VR231" i="1"/>
  <c r="VS232" i="1"/>
  <c r="VS231" i="1"/>
  <c r="VT231" i="1"/>
  <c r="VU232" i="1"/>
  <c r="VU231" i="1"/>
  <c r="VV232" i="1"/>
  <c r="VV231" i="1"/>
  <c r="VW232" i="1"/>
  <c r="VW231" i="1"/>
  <c r="VX232" i="1"/>
  <c r="VX231" i="1"/>
  <c r="VY232" i="1"/>
  <c r="VY231" i="1"/>
  <c r="VZ232" i="1"/>
  <c r="VZ231" i="1"/>
  <c r="WA232" i="1"/>
  <c r="WA231" i="1"/>
  <c r="WB232" i="1"/>
  <c r="WB231" i="1"/>
  <c r="WC232" i="1"/>
  <c r="WC231" i="1"/>
  <c r="WD232" i="1"/>
  <c r="WD231" i="1"/>
  <c r="WE232" i="1"/>
  <c r="WE231" i="1"/>
  <c r="WF232" i="1"/>
  <c r="WF231" i="1"/>
  <c r="WG232" i="1"/>
  <c r="WG231" i="1"/>
  <c r="WH232" i="1"/>
  <c r="WH231" i="1"/>
  <c r="WI232" i="1"/>
  <c r="WI231" i="1"/>
  <c r="WJ232" i="1"/>
  <c r="WJ231" i="1"/>
  <c r="WK232" i="1"/>
  <c r="WK231" i="1"/>
  <c r="WL232" i="1"/>
  <c r="WL231" i="1"/>
  <c r="WO232" i="1"/>
  <c r="WO231" i="1"/>
  <c r="WP232" i="1"/>
  <c r="WP231" i="1"/>
  <c r="WM232" i="1"/>
  <c r="WM231" i="1"/>
  <c r="WN232" i="1"/>
  <c r="WN231" i="1"/>
  <c r="WQ232" i="1"/>
  <c r="WQ231" i="1"/>
  <c r="WR232" i="1"/>
  <c r="WR231" i="1"/>
  <c r="WS232" i="1"/>
  <c r="WS231" i="1"/>
  <c r="WT232" i="1"/>
  <c r="WT231" i="1"/>
  <c r="WU231" i="1"/>
  <c r="WV229" i="1"/>
  <c r="WV222" i="1"/>
  <c r="WV231" i="1"/>
  <c r="WW232" i="1"/>
  <c r="WW231" i="1"/>
  <c r="WX232" i="1"/>
  <c r="WX231" i="1"/>
  <c r="WY232" i="1"/>
  <c r="WY231" i="1"/>
  <c r="WZ232" i="1"/>
  <c r="WZ231" i="1"/>
  <c r="XA232" i="1"/>
  <c r="XA231" i="1"/>
  <c r="XB229" i="1"/>
  <c r="XB222" i="1"/>
  <c r="XB232" i="1"/>
  <c r="XB231" i="1"/>
  <c r="XC232" i="1"/>
  <c r="XC231" i="1"/>
  <c r="XD232" i="1"/>
  <c r="XD231" i="1"/>
  <c r="XE232" i="1"/>
  <c r="XE231" i="1"/>
  <c r="XF232" i="1"/>
  <c r="XF231" i="1"/>
  <c r="XL227" i="1"/>
  <c r="XL220" i="1"/>
  <c r="XG231" i="1"/>
  <c r="XI232" i="1"/>
  <c r="XL232" i="1"/>
  <c r="XL231" i="1"/>
  <c r="XO232" i="1"/>
  <c r="XO231" i="1"/>
  <c r="XQ232" i="1"/>
  <c r="XQ231" i="1"/>
  <c r="XR232" i="1"/>
  <c r="XR231" i="1"/>
  <c r="XU232" i="1"/>
  <c r="XV228" i="1"/>
  <c r="XW232" i="1"/>
  <c r="XW231" i="1"/>
  <c r="XX231" i="1"/>
  <c r="XY232" i="1"/>
  <c r="XY231" i="1"/>
  <c r="XZ231" i="1"/>
  <c r="YA232" i="1"/>
  <c r="YA231" i="1"/>
  <c r="YB232" i="1"/>
  <c r="YB231" i="1"/>
  <c r="YC232" i="1"/>
  <c r="YC231" i="1"/>
  <c r="YD231" i="1"/>
  <c r="YE232" i="1"/>
  <c r="YE231" i="1"/>
  <c r="YF232" i="1"/>
  <c r="YF231" i="1"/>
  <c r="YG232" i="1"/>
  <c r="YG231" i="1"/>
  <c r="YH231" i="1"/>
  <c r="YI229" i="1"/>
  <c r="YI222" i="1"/>
  <c r="YI231" i="1"/>
  <c r="YJ232" i="1"/>
  <c r="YJ231" i="1"/>
  <c r="YK232" i="1"/>
  <c r="YK231" i="1"/>
  <c r="YL232" i="1"/>
  <c r="YM232" i="1"/>
  <c r="YM231" i="1"/>
  <c r="YN232" i="1"/>
  <c r="YN231" i="1"/>
  <c r="YO232" i="1"/>
  <c r="YO231" i="1"/>
  <c r="YP231" i="1"/>
  <c r="YQ232" i="1"/>
  <c r="YR231" i="1"/>
  <c r="YS232" i="1"/>
  <c r="YS231" i="1"/>
  <c r="YT232" i="1"/>
  <c r="YT231" i="1"/>
  <c r="YU232" i="1"/>
  <c r="YU231" i="1"/>
  <c r="YV231" i="1"/>
  <c r="YW232" i="1"/>
  <c r="YW231" i="1"/>
  <c r="YX232" i="1"/>
  <c r="YX231" i="1"/>
  <c r="YY231" i="1"/>
  <c r="YZ229" i="1"/>
  <c r="YZ222" i="1"/>
  <c r="YZ231" i="1"/>
  <c r="ZA231" i="1"/>
  <c r="ZB232" i="1"/>
  <c r="ZB231" i="1"/>
  <c r="ZC232" i="1"/>
  <c r="ZC231" i="1"/>
  <c r="ZD232" i="1"/>
  <c r="ZD231" i="1"/>
  <c r="ZE232" i="1"/>
  <c r="ZE231" i="1"/>
  <c r="ZF232" i="1"/>
  <c r="ZF231" i="1"/>
  <c r="ZG232" i="1"/>
  <c r="ZG231" i="1"/>
  <c r="ZH231" i="1"/>
  <c r="ZI231" i="1"/>
  <c r="ZJ231" i="1"/>
  <c r="ZK231" i="1"/>
  <c r="ZM231" i="1"/>
  <c r="ZN231" i="1"/>
  <c r="ZL231" i="1"/>
  <c r="ZO232" i="1"/>
  <c r="ZO231" i="1"/>
  <c r="ZP232" i="1"/>
  <c r="ZP231" i="1"/>
  <c r="ZQ229" i="1"/>
  <c r="ZQ222" i="1"/>
  <c r="ZQ232" i="1"/>
  <c r="ZQ231" i="1"/>
  <c r="ZR232" i="1"/>
  <c r="ZR231" i="1"/>
  <c r="ZS231" i="1"/>
  <c r="ZT232" i="1"/>
  <c r="ZT231" i="1"/>
  <c r="ZU229" i="1"/>
  <c r="ZU222" i="1"/>
  <c r="ZU231" i="1"/>
  <c r="ZV231" i="1"/>
  <c r="ZW231" i="1"/>
  <c r="ZX231" i="1"/>
  <c r="ZY231" i="1"/>
  <c r="AAC232" i="1"/>
  <c r="AAD232" i="1"/>
  <c r="AAE232" i="1"/>
  <c r="AAG232" i="1"/>
  <c r="AAH232" i="1"/>
  <c r="AAI232" i="1"/>
  <c r="AAJ232" i="1"/>
  <c r="AAK232" i="1"/>
  <c r="AAP232" i="1"/>
  <c r="ABI232" i="1"/>
  <c r="ABJ232" i="1"/>
  <c r="ABK232" i="1"/>
  <c r="ABL232" i="1"/>
  <c r="ABM232" i="1"/>
  <c r="ABN232" i="1"/>
  <c r="ABO232" i="1"/>
  <c r="ABP232" i="1"/>
  <c r="ABQ232" i="1"/>
  <c r="ABR229" i="1"/>
  <c r="ABR222" i="1"/>
  <c r="ABR232" i="1"/>
  <c r="ABR231" i="1"/>
  <c r="ABS229" i="1"/>
  <c r="ABS222" i="1"/>
  <c r="ABS232" i="1"/>
  <c r="ABS231" i="1"/>
  <c r="ABX232" i="1"/>
  <c r="ABY232" i="1"/>
  <c r="ABZ232" i="1"/>
  <c r="ACF232" i="1"/>
  <c r="ACG232" i="1"/>
  <c r="ACH232" i="1"/>
  <c r="ACI232" i="1"/>
  <c r="ACJ232" i="1"/>
  <c r="ACK232" i="1"/>
  <c r="ACR232" i="1"/>
  <c r="ACS232" i="1"/>
  <c r="ACT232" i="1"/>
  <c r="ACX232" i="1"/>
  <c r="ACX231" i="1"/>
  <c r="ACV232" i="1"/>
  <c r="ACW232" i="1"/>
  <c r="ACU232" i="1"/>
  <c r="BB33" i="11"/>
  <c r="BB34" i="11" s="1"/>
  <c r="XZ232" i="1"/>
  <c r="DU230" i="1"/>
  <c r="DH230" i="1"/>
  <c r="EF230" i="1"/>
  <c r="AM230" i="1"/>
  <c r="RO232" i="1"/>
  <c r="RW230" i="1"/>
  <c r="SF230" i="1"/>
  <c r="QN230" i="1"/>
  <c r="SQ230" i="1"/>
  <c r="SS230" i="1"/>
  <c r="SU232" i="1"/>
  <c r="TB232" i="1"/>
  <c r="SY232" i="1"/>
  <c r="TH230" i="1"/>
  <c r="TH232" i="1"/>
  <c r="TG232" i="1"/>
  <c r="TM232" i="1"/>
  <c r="TJ232" i="1"/>
  <c r="TI232" i="1"/>
  <c r="TS230" i="1"/>
  <c r="TQ230" i="1"/>
  <c r="UH230" i="1"/>
  <c r="UJ232" i="1"/>
  <c r="VB230" i="1"/>
  <c r="UV232" i="1"/>
  <c r="UU230" i="1"/>
  <c r="UU232" i="1"/>
  <c r="VF230" i="1"/>
  <c r="VO230" i="1"/>
  <c r="VP232" i="1"/>
  <c r="VQ230" i="1"/>
  <c r="VS230" i="1"/>
  <c r="WC230" i="1"/>
  <c r="WL230" i="1"/>
  <c r="WZ230" i="1"/>
  <c r="XB230" i="1"/>
  <c r="AE229" i="1"/>
  <c r="BB231" i="1"/>
  <c r="H231" i="1"/>
  <c r="Z231" i="1"/>
  <c r="AA231" i="1"/>
  <c r="AU231" i="1"/>
  <c r="AY231" i="1"/>
  <c r="AZ232" i="1"/>
  <c r="AZ231" i="1"/>
  <c r="BF232" i="1"/>
  <c r="BG232" i="1"/>
  <c r="BG231" i="1"/>
  <c r="CG231" i="1"/>
  <c r="K232" i="1"/>
  <c r="N230" i="1"/>
  <c r="Q228" i="1"/>
  <c r="Q232" i="1"/>
  <c r="R228" i="1"/>
  <c r="S228" i="1"/>
  <c r="V231" i="1"/>
  <c r="W231" i="1"/>
  <c r="AA232" i="1"/>
  <c r="AE231" i="1"/>
  <c r="AF230" i="1"/>
  <c r="AG231" i="1"/>
  <c r="AG228" i="1"/>
  <c r="AH228" i="1"/>
  <c r="AN229" i="1"/>
  <c r="AQ232" i="1"/>
  <c r="AS228" i="1"/>
  <c r="AT230" i="1"/>
  <c r="AU232" i="1"/>
  <c r="AW230" i="1"/>
  <c r="AX232" i="1"/>
  <c r="BB228" i="1"/>
  <c r="BD232" i="1"/>
  <c r="BK236" i="1"/>
  <c r="BO232" i="1"/>
  <c r="BO231" i="1"/>
  <c r="BN228" i="1"/>
  <c r="BP229" i="1"/>
  <c r="BT228" i="1"/>
  <c r="CD232" i="1"/>
  <c r="CJ232" i="1"/>
  <c r="CJ231" i="1"/>
  <c r="CK231" i="1"/>
  <c r="CK228" i="1"/>
  <c r="CL228" i="1"/>
  <c r="CQ232" i="1"/>
  <c r="CS228" i="1"/>
  <c r="CT228" i="1"/>
  <c r="CY228" i="1"/>
  <c r="DI228" i="1"/>
  <c r="DU228" i="1"/>
  <c r="DV230" i="1"/>
  <c r="DW230" i="1"/>
  <c r="DT231" i="1"/>
  <c r="CW231" i="1"/>
  <c r="DB231" i="1"/>
  <c r="DE232" i="1"/>
  <c r="DH232" i="1"/>
  <c r="DI232" i="1"/>
  <c r="DL231" i="1"/>
  <c r="EE228" i="1"/>
  <c r="EM230" i="1"/>
  <c r="ER228" i="1"/>
  <c r="EX228" i="1"/>
  <c r="FH228" i="1"/>
  <c r="FM228" i="1"/>
  <c r="FR232" i="1"/>
  <c r="FW230" i="1"/>
  <c r="GE228" i="1"/>
  <c r="GI228" i="1"/>
  <c r="GM232" i="1"/>
  <c r="HA230" i="1"/>
  <c r="HL230" i="1"/>
  <c r="HO232" i="1"/>
  <c r="HP230" i="1"/>
  <c r="JB230" i="1"/>
  <c r="JF230" i="1"/>
  <c r="MN232" i="1"/>
  <c r="MP230" i="1"/>
  <c r="MU230" i="1"/>
  <c r="MV230" i="1"/>
  <c r="OF230" i="1"/>
  <c r="OK230" i="1"/>
  <c r="PB230" i="1"/>
  <c r="PP230" i="1"/>
  <c r="QA230" i="1"/>
  <c r="RH230" i="1"/>
  <c r="K228" i="1"/>
  <c r="AB228" i="1"/>
  <c r="AD228" i="1"/>
  <c r="AF228" i="1"/>
  <c r="AL228" i="1"/>
  <c r="AZ228" i="1"/>
  <c r="BJ228" i="1"/>
  <c r="BL228" i="1"/>
  <c r="BO228" i="1"/>
  <c r="BR222" i="1"/>
  <c r="BS228" i="1"/>
  <c r="DG228" i="1"/>
  <c r="DN231" i="1"/>
  <c r="DX232" i="1"/>
  <c r="EB228" i="1"/>
  <c r="FA232" i="1"/>
  <c r="GB232" i="1"/>
  <c r="GO228" i="1"/>
  <c r="HU232" i="1"/>
  <c r="IE232" i="1"/>
  <c r="IY231" i="1"/>
  <c r="JD232" i="1"/>
  <c r="JF232" i="1"/>
  <c r="JS232" i="1"/>
  <c r="JT232" i="1"/>
  <c r="KF232" i="1"/>
  <c r="KO232" i="1"/>
  <c r="JP230" i="1"/>
  <c r="KX232" i="1"/>
  <c r="LD231" i="1"/>
  <c r="LO232" i="1"/>
  <c r="LP232" i="1"/>
  <c r="LX232" i="1"/>
  <c r="ML232" i="1"/>
  <c r="MT232" i="1"/>
  <c r="MU232" i="1"/>
  <c r="MV232" i="1"/>
  <c r="NA231" i="1"/>
  <c r="OE228" i="1"/>
  <c r="QA232" i="1"/>
  <c r="QO231" i="1"/>
  <c r="WU232" i="1"/>
  <c r="WV232" i="1"/>
  <c r="XN232" i="1"/>
  <c r="XH232" i="1"/>
  <c r="XK232" i="1"/>
  <c r="XM232" i="1"/>
  <c r="XU231" i="1"/>
  <c r="XV231" i="1"/>
  <c r="XX232" i="1"/>
  <c r="YI232" i="1"/>
  <c r="YR232" i="1"/>
  <c r="YV232" i="1"/>
  <c r="ZA232" i="1"/>
  <c r="ZJ232" i="1"/>
  <c r="ZK232" i="1"/>
  <c r="ZN232" i="1"/>
  <c r="ZL232" i="1"/>
  <c r="ZS232" i="1"/>
  <c r="ZU232" i="1"/>
  <c r="ZV232" i="1"/>
  <c r="ZW232" i="1"/>
  <c r="ZX232" i="1"/>
  <c r="ZY232" i="1"/>
  <c r="AAA232" i="1"/>
  <c r="ACE232" i="1"/>
  <c r="ACD232" i="1"/>
  <c r="ACA232" i="1"/>
  <c r="ACB232" i="1"/>
  <c r="Y230" i="1"/>
  <c r="ABW232" i="1"/>
  <c r="ABU232" i="1"/>
  <c r="ABV232" i="1"/>
  <c r="ABH232" i="1"/>
  <c r="ABG232" i="1"/>
  <c r="ABF232" i="1"/>
  <c r="ABE232" i="1"/>
  <c r="ABD232" i="1"/>
  <c r="ABC232" i="1"/>
  <c r="ABB232" i="1"/>
  <c r="ABA232" i="1"/>
  <c r="AAZ232" i="1"/>
  <c r="AAY232" i="1"/>
  <c r="AAX232" i="1"/>
  <c r="AAW232" i="1"/>
  <c r="AAV232" i="1"/>
  <c r="AAU232" i="1"/>
  <c r="AAT232" i="1"/>
  <c r="AAS232" i="1"/>
  <c r="AAR232" i="1"/>
  <c r="AAQ232" i="1"/>
  <c r="ZI230" i="1"/>
  <c r="ZR230" i="1"/>
  <c r="ZP230" i="1"/>
  <c r="ZV230" i="1"/>
  <c r="ZB230" i="1"/>
  <c r="ZF230" i="1"/>
  <c r="ZU230" i="1"/>
  <c r="XZ230" i="1"/>
  <c r="YI230" i="1"/>
  <c r="ZA230" i="1"/>
  <c r="ZE230" i="1"/>
  <c r="BL227" i="1"/>
  <c r="BL220" i="1"/>
  <c r="ZM230" i="1"/>
  <c r="ZQ230" i="1"/>
  <c r="ZT230" i="1"/>
  <c r="ZJ230" i="1"/>
  <c r="CJ227" i="1"/>
  <c r="CJ220" i="1"/>
  <c r="YD232" i="1"/>
  <c r="YT230" i="1"/>
  <c r="ZD230" i="1"/>
  <c r="ZL230" i="1"/>
  <c r="YC230" i="1"/>
  <c r="QT228" i="1"/>
  <c r="QT231" i="1"/>
  <c r="QY231" i="1"/>
  <c r="YD230" i="1"/>
  <c r="ZK230" i="1"/>
  <c r="ZO230" i="1"/>
  <c r="GB229" i="1"/>
  <c r="GB222" i="1"/>
  <c r="FS229" i="1"/>
  <c r="FS222" i="1"/>
  <c r="DA229" i="1"/>
  <c r="DA222" i="1"/>
  <c r="YH230" i="1"/>
  <c r="SD231" i="1"/>
  <c r="SO232" i="1"/>
  <c r="VJ231" i="1"/>
  <c r="XG232" i="1"/>
  <c r="CH221" i="1"/>
  <c r="FQ232" i="1"/>
  <c r="FQ231" i="1"/>
  <c r="FY232" i="1"/>
  <c r="GF232" i="1"/>
  <c r="GF231" i="1"/>
  <c r="WM230" i="1"/>
  <c r="EI233" i="1"/>
  <c r="EI237" i="1" s="1"/>
  <c r="RO230" i="1"/>
  <c r="RS228" i="1"/>
  <c r="TQ228" i="1"/>
  <c r="EE231" i="1"/>
  <c r="EE232" i="1"/>
  <c r="UI232" i="1"/>
  <c r="TK230" i="1"/>
  <c r="QJ230" i="1"/>
  <c r="TC232" i="1"/>
  <c r="TX230" i="1"/>
  <c r="VH228" i="1"/>
  <c r="CU229" i="1"/>
  <c r="CU222" i="1"/>
  <c r="SJ228" i="1"/>
  <c r="QM228" i="1"/>
  <c r="SR230" i="1"/>
  <c r="AD227" i="1"/>
  <c r="DG220" i="1"/>
  <c r="RX232" i="1"/>
  <c r="CC232" i="1"/>
  <c r="SX230" i="1"/>
  <c r="TM230" i="1"/>
  <c r="MH236" i="1"/>
  <c r="SY230" i="1"/>
  <c r="BN231" i="1"/>
  <c r="BN232" i="1"/>
  <c r="RP232" i="1"/>
  <c r="RR231" i="1"/>
  <c r="BY229" i="1"/>
  <c r="BY222" i="1"/>
  <c r="SF232" i="1"/>
  <c r="EZ232" i="1"/>
  <c r="EK232" i="1"/>
  <c r="EK231" i="1"/>
  <c r="VR232" i="1"/>
  <c r="DQ222" i="1"/>
  <c r="CU231" i="1"/>
  <c r="CU232" i="1"/>
  <c r="AY232" i="1"/>
  <c r="QZ231" i="1"/>
  <c r="QZ228" i="1"/>
  <c r="FV232" i="1"/>
  <c r="FV231" i="1"/>
  <c r="DX229" i="1"/>
  <c r="DX236" i="1"/>
  <c r="AJ228" i="1"/>
  <c r="AU228" i="1"/>
  <c r="LS236" i="1"/>
  <c r="UG230" i="1"/>
  <c r="UP228" i="1"/>
  <c r="VT232" i="1"/>
  <c r="I228" i="1"/>
  <c r="BB229" i="1"/>
  <c r="TS232" i="1"/>
  <c r="BQ232" i="1"/>
  <c r="SQ232" i="1"/>
  <c r="FU232" i="1"/>
  <c r="FU231" i="1"/>
  <c r="GK232" i="1"/>
  <c r="GK231" i="1"/>
  <c r="CH229" i="1"/>
  <c r="CH222" i="1"/>
  <c r="KT236" i="1"/>
  <c r="TT232" i="1"/>
  <c r="TZ230" i="1"/>
  <c r="RP230" i="1"/>
  <c r="RY230" i="1"/>
  <c r="UW230" i="1"/>
  <c r="WQ230" i="1"/>
  <c r="CP222" i="1"/>
  <c r="CP229" i="1"/>
  <c r="AW229" i="1"/>
  <c r="AW222" i="1"/>
  <c r="FZ231" i="1"/>
  <c r="FZ232" i="1"/>
  <c r="GO232" i="1"/>
  <c r="GO231" i="1"/>
  <c r="BJ231" i="1"/>
  <c r="BJ232" i="1"/>
  <c r="CH227" i="1"/>
  <c r="CH220" i="1"/>
  <c r="RX230" i="1"/>
  <c r="SJ230" i="1"/>
  <c r="TC230" i="1"/>
  <c r="TF230" i="1"/>
  <c r="UC230" i="1"/>
  <c r="SA230" i="1"/>
  <c r="SG230" i="1"/>
  <c r="UB230" i="1"/>
  <c r="UX232" i="1"/>
  <c r="UV230" i="1"/>
  <c r="FP229" i="1"/>
  <c r="FP222" i="1"/>
  <c r="DR230" i="1"/>
  <c r="SV230" i="1"/>
  <c r="JW230" i="1"/>
  <c r="RV230" i="1"/>
  <c r="SO230" i="1"/>
  <c r="SW230" i="1"/>
  <c r="TT230" i="1"/>
  <c r="UX230" i="1"/>
  <c r="DR229" i="1"/>
  <c r="DR222" i="1"/>
  <c r="AE222" i="1"/>
  <c r="IE230" i="1"/>
  <c r="XF230" i="1"/>
  <c r="EZ229" i="1"/>
  <c r="EZ222" i="1"/>
  <c r="DI229" i="1"/>
  <c r="DI222" i="1"/>
  <c r="AK222" i="1"/>
  <c r="AK229" i="1"/>
  <c r="M228" i="1"/>
  <c r="KZ236" i="1"/>
  <c r="BC232" i="1"/>
  <c r="DF222" i="1"/>
  <c r="DF229" i="1"/>
  <c r="AH232" i="1"/>
  <c r="AH231" i="1"/>
  <c r="TF232" i="1"/>
  <c r="TL232" i="1"/>
  <c r="W222" i="1"/>
  <c r="W229" i="1"/>
  <c r="HW230" i="1"/>
  <c r="CM232" i="1"/>
  <c r="CM231" i="1"/>
  <c r="W230" i="1"/>
  <c r="BX230" i="1"/>
  <c r="BE232" i="1"/>
  <c r="SR232" i="1"/>
  <c r="CO231" i="1"/>
  <c r="CO232" i="1"/>
  <c r="S232" i="1"/>
  <c r="S231" i="1"/>
  <c r="G231" i="1"/>
  <c r="CB232" i="1"/>
  <c r="CB231" i="1"/>
  <c r="AY230" i="1"/>
  <c r="AV228" i="1"/>
  <c r="EX230" i="1"/>
  <c r="AV232" i="1"/>
  <c r="EA222" i="1"/>
  <c r="TD232" i="1"/>
  <c r="KA236" i="1"/>
  <c r="AB231" i="1"/>
  <c r="AN232" i="1"/>
  <c r="CZ230" i="1"/>
  <c r="GJ230" i="1"/>
  <c r="AJ231" i="1"/>
  <c r="AJ232" i="1"/>
  <c r="W232" i="1"/>
  <c r="Z230" i="1"/>
  <c r="BP230" i="1"/>
  <c r="BV230" i="1"/>
  <c r="CP230" i="1"/>
  <c r="DL232" i="1"/>
  <c r="BW231" i="1"/>
  <c r="BW232" i="1"/>
  <c r="L231" i="1"/>
  <c r="AD236" i="1"/>
  <c r="BI228" i="1"/>
  <c r="GK229" i="1"/>
  <c r="CE231" i="1"/>
  <c r="T232" i="1"/>
  <c r="BR232" i="1"/>
  <c r="BL232" i="1"/>
  <c r="BL231" i="1"/>
  <c r="FY231" i="1"/>
  <c r="GL220" i="1"/>
  <c r="AF229" i="1"/>
  <c r="GH228" i="1"/>
  <c r="AM232" i="1"/>
  <c r="AM231" i="1"/>
  <c r="AA230" i="1"/>
  <c r="CN232" i="1"/>
  <c r="RE230" i="1"/>
  <c r="N231" i="1"/>
  <c r="CR232" i="1"/>
  <c r="EX222" i="1"/>
  <c r="BH232" i="1"/>
  <c r="BH231" i="1"/>
  <c r="BY231" i="1"/>
  <c r="BY232" i="1"/>
  <c r="AN228" i="1"/>
  <c r="BM236" i="1"/>
  <c r="BZ231" i="1"/>
  <c r="BZ232" i="1"/>
  <c r="AJ230" i="1"/>
  <c r="CA231" i="1"/>
  <c r="AE230" i="1"/>
  <c r="AR232" i="1"/>
  <c r="BK230" i="1"/>
  <c r="GJ228" i="1"/>
  <c r="BB232" i="1"/>
  <c r="BY228" i="1"/>
  <c r="AW232" i="1"/>
  <c r="AI228" i="1"/>
  <c r="BO230" i="1"/>
  <c r="BX228" i="1"/>
  <c r="CK230" i="1"/>
  <c r="DW228" i="1"/>
  <c r="AB232" i="1"/>
  <c r="AF232" i="1"/>
  <c r="AH230" i="1"/>
  <c r="BW229" i="1"/>
  <c r="CS230" i="1"/>
  <c r="MT230" i="1"/>
  <c r="NB232" i="1"/>
  <c r="HX230" i="1"/>
  <c r="BI232" i="1"/>
  <c r="CH228" i="1"/>
  <c r="AA228" i="1"/>
  <c r="AC232" i="1"/>
  <c r="CR228" i="1"/>
  <c r="BU231" i="1"/>
  <c r="Q231" i="1"/>
  <c r="E231" i="1"/>
  <c r="LD230" i="1"/>
  <c r="ND230" i="1"/>
  <c r="J232" i="1"/>
  <c r="CU230" i="1"/>
  <c r="CY231" i="1"/>
  <c r="JN230" i="1"/>
  <c r="P228" i="1"/>
  <c r="AP228" i="1"/>
  <c r="AP231" i="1"/>
  <c r="CP231" i="1"/>
  <c r="F232" i="1"/>
  <c r="PM230" i="1"/>
  <c r="BC228" i="1"/>
  <c r="BE230" i="1"/>
  <c r="CC228" i="1"/>
  <c r="DB232" i="1"/>
  <c r="DK232" i="1"/>
  <c r="T228" i="1"/>
  <c r="AE228" i="1"/>
  <c r="BT230" i="1"/>
  <c r="DF228" i="1"/>
  <c r="FO228" i="1"/>
  <c r="AK228" i="1"/>
  <c r="BV231" i="1"/>
  <c r="CQ231" i="1"/>
  <c r="M232" i="1"/>
  <c r="M231" i="1"/>
  <c r="I231" i="1"/>
  <c r="MN230" i="1"/>
  <c r="V232" i="1"/>
  <c r="P232" i="1"/>
  <c r="CB228" i="1"/>
  <c r="CC231" i="1"/>
  <c r="CO228" i="1"/>
  <c r="DG230" i="1"/>
  <c r="IO232" i="1"/>
  <c r="BR229" i="1"/>
  <c r="OE230" i="1"/>
  <c r="U232" i="1"/>
  <c r="P231" i="1"/>
  <c r="AG232" i="1"/>
  <c r="CL232" i="1"/>
  <c r="CQ228" i="1"/>
  <c r="CQ230" i="1"/>
  <c r="DZ230" i="1"/>
  <c r="BH228" i="1"/>
  <c r="O232" i="1"/>
  <c r="HM232" i="1"/>
  <c r="IQ230" i="1"/>
  <c r="AV231" i="1"/>
  <c r="CV228" i="1"/>
  <c r="CV231" i="1"/>
  <c r="AN231" i="1"/>
  <c r="IU231" i="1"/>
  <c r="DL228" i="1"/>
  <c r="FJ228" i="1"/>
  <c r="FJ231" i="1"/>
  <c r="DO232" i="1"/>
  <c r="FG228" i="1"/>
  <c r="KJ236" i="1"/>
  <c r="Z228" i="1"/>
  <c r="BA231" i="1"/>
  <c r="HQ228" i="1"/>
  <c r="HV232" i="1"/>
  <c r="IY232" i="1"/>
  <c r="LQ228" i="1"/>
  <c r="OA232" i="1"/>
  <c r="DT232" i="1"/>
  <c r="JQ230" i="1"/>
  <c r="HA232" i="1"/>
  <c r="EZ231" i="1"/>
  <c r="GN228" i="1"/>
  <c r="IR231" i="1"/>
  <c r="MS231" i="1"/>
  <c r="BC231" i="1"/>
  <c r="ED228" i="1"/>
  <c r="KW231" i="1"/>
  <c r="KY228" i="1"/>
  <c r="OI228" i="1"/>
  <c r="OI231" i="1"/>
  <c r="PG228" i="1"/>
  <c r="JZ231" i="1"/>
  <c r="KG228" i="1"/>
  <c r="IZ228" i="1"/>
  <c r="IZ231" i="1"/>
  <c r="MI231" i="1"/>
  <c r="HF228" i="1"/>
  <c r="IW231" i="1"/>
  <c r="LY231" i="1"/>
  <c r="DJ231" i="1"/>
  <c r="FO232" i="1"/>
  <c r="HT228" i="1"/>
  <c r="LW228" i="1"/>
  <c r="NZ231" i="1"/>
  <c r="GC228" i="1"/>
  <c r="KW228" i="1"/>
  <c r="HS232" i="1"/>
  <c r="LC228" i="1"/>
  <c r="LF232" i="1"/>
  <c r="MO231" i="1"/>
  <c r="PA228" i="1"/>
  <c r="BP232" i="1"/>
  <c r="IF231" i="1"/>
  <c r="IW228" i="1"/>
  <c r="LF231" i="1"/>
  <c r="LQ231" i="1"/>
  <c r="PF231" i="1"/>
  <c r="DO228" i="1"/>
  <c r="IX231" i="1"/>
  <c r="KL228" i="1"/>
  <c r="KL231" i="1"/>
  <c r="KZ228" i="1"/>
  <c r="NI228" i="1"/>
  <c r="PX231" i="1"/>
  <c r="FM232" i="1"/>
  <c r="LR231" i="1"/>
  <c r="OY231" i="1"/>
  <c r="DS228" i="1"/>
  <c r="FI228" i="1"/>
  <c r="JY231" i="1"/>
  <c r="JY228" i="1"/>
  <c r="DA228" i="1"/>
  <c r="EK228" i="1"/>
  <c r="GP231" i="1"/>
  <c r="IS231" i="1"/>
  <c r="IT231" i="1"/>
  <c r="JM231" i="1"/>
  <c r="LH228" i="1"/>
  <c r="LH231" i="1"/>
  <c r="EU232" i="1"/>
  <c r="FZ228" i="1"/>
  <c r="GK228" i="1"/>
  <c r="GP232" i="1"/>
  <c r="GR228" i="1"/>
  <c r="HB231" i="1"/>
  <c r="HK228" i="1"/>
  <c r="MF231" i="1"/>
  <c r="PE232" i="1"/>
  <c r="FA231" i="1"/>
  <c r="GB231" i="1"/>
  <c r="JG228" i="1"/>
  <c r="KV232" i="1"/>
  <c r="OU231" i="1"/>
  <c r="FP228" i="1"/>
  <c r="FG231" i="1"/>
  <c r="IA228" i="1"/>
  <c r="KV228" i="1"/>
  <c r="KX228" i="1"/>
  <c r="KX231" i="1"/>
  <c r="LC231" i="1"/>
  <c r="NC231" i="1"/>
  <c r="EC228" i="1"/>
  <c r="ET228" i="1"/>
  <c r="GH231" i="1"/>
  <c r="HN232" i="1"/>
  <c r="IN228" i="1"/>
  <c r="KK231" i="1"/>
  <c r="KC231" i="1"/>
  <c r="LZ228" i="1"/>
  <c r="OJ231" i="1"/>
  <c r="PH228" i="1"/>
  <c r="O228" i="1"/>
  <c r="GC232" i="1"/>
  <c r="QX228" i="1"/>
  <c r="QP232" i="1"/>
  <c r="UD232" i="1"/>
  <c r="XV232" i="1"/>
  <c r="XT231" i="1"/>
  <c r="XT228" i="1"/>
  <c r="XP231" i="1"/>
  <c r="XJ231" i="1"/>
  <c r="XS232" i="1"/>
  <c r="YP228" i="1"/>
  <c r="XM231" i="1"/>
  <c r="YH232" i="1"/>
  <c r="YQ231" i="1"/>
  <c r="AAN232" i="1"/>
  <c r="XI231" i="1"/>
  <c r="XT232" i="1"/>
  <c r="YN228" i="1"/>
  <c r="YP232" i="1"/>
  <c r="XH231" i="1"/>
  <c r="XJ232" i="1"/>
  <c r="XK231" i="1"/>
  <c r="YL231" i="1"/>
  <c r="YO228" i="1"/>
  <c r="ZH232" i="1"/>
  <c r="ZI232" i="1"/>
  <c r="AAN228" i="1"/>
  <c r="AAN231" i="1"/>
  <c r="YR228" i="1"/>
  <c r="XN231" i="1"/>
  <c r="ZM232" i="1"/>
  <c r="YY232" i="1"/>
  <c r="AAF232" i="1"/>
  <c r="YM228" i="1"/>
  <c r="YZ232" i="1"/>
  <c r="AAB232" i="1"/>
  <c r="AAL232" i="1"/>
  <c r="AAA231" i="1"/>
  <c r="O231" i="1"/>
  <c r="ZZ231" i="1"/>
  <c r="ZZ232" i="1"/>
  <c r="G44" i="1" l="1"/>
  <c r="N44" i="1"/>
  <c r="N177" i="1" s="1"/>
  <c r="N203" i="1" s="1"/>
  <c r="N205" i="1" s="1"/>
  <c r="K44" i="1"/>
  <c r="K181" i="1" s="1"/>
  <c r="H44" i="1"/>
  <c r="H181" i="1" s="1"/>
  <c r="T44" i="1"/>
  <c r="T181" i="1" s="1"/>
  <c r="O44" i="1"/>
  <c r="O181" i="1" s="1"/>
  <c r="J44" i="1"/>
  <c r="J181" i="1" s="1"/>
  <c r="M44" i="1"/>
  <c r="M182" i="1" s="1"/>
  <c r="F44" i="1"/>
  <c r="F181" i="1" s="1"/>
  <c r="L44" i="1"/>
  <c r="L181" i="1" s="1"/>
  <c r="I44" i="1"/>
  <c r="I181" i="1" s="1"/>
  <c r="P44" i="1"/>
  <c r="P181" i="1" s="1"/>
  <c r="E44" i="1"/>
  <c r="Q44" i="1"/>
  <c r="Q181" i="1" s="1"/>
  <c r="R44" i="1"/>
  <c r="R181" i="1" s="1"/>
  <c r="V127" i="1"/>
  <c r="V19" i="1" a="1"/>
  <c r="V19" i="1" s="1"/>
  <c r="V17" i="1" s="1"/>
  <c r="V44" i="1" s="1"/>
  <c r="V128" i="1"/>
  <c r="V123" i="1" a="1"/>
  <c r="V123" i="1" s="1"/>
  <c r="U127" i="1"/>
  <c r="U19" i="1" a="1"/>
  <c r="U19" i="1" s="1"/>
  <c r="U17" i="1" s="1"/>
  <c r="U44" i="1" s="1"/>
  <c r="U128" i="1"/>
  <c r="U123" i="1" a="1"/>
  <c r="U123" i="1" s="1"/>
  <c r="T182" i="1"/>
  <c r="T177" i="1"/>
  <c r="T203" i="1" s="1"/>
  <c r="T124" i="1"/>
  <c r="T45" i="1"/>
  <c r="T127" i="1"/>
  <c r="T19" i="1" a="1"/>
  <c r="T19" i="1" s="1"/>
  <c r="T128" i="1"/>
  <c r="T123" i="1" a="1"/>
  <c r="T123" i="1" s="1"/>
  <c r="S182" i="1"/>
  <c r="S181" i="1"/>
  <c r="S180" i="1"/>
  <c r="S179" i="1"/>
  <c r="S178" i="1"/>
  <c r="S204" i="1" s="1"/>
  <c r="S177" i="1"/>
  <c r="S203" i="1" s="1"/>
  <c r="S205" i="1" s="1"/>
  <c r="S124" i="1"/>
  <c r="S45" i="1"/>
  <c r="S127" i="1"/>
  <c r="S19" i="1" a="1"/>
  <c r="S19" i="1" s="1"/>
  <c r="S128" i="1"/>
  <c r="S123" i="1" a="1"/>
  <c r="S123" i="1" s="1"/>
  <c r="R182" i="1"/>
  <c r="R179" i="1"/>
  <c r="R178" i="1"/>
  <c r="R204" i="1" s="1"/>
  <c r="R177" i="1"/>
  <c r="R203" i="1" s="1"/>
  <c r="R205" i="1" s="1"/>
  <c r="R124" i="1"/>
  <c r="R45" i="1"/>
  <c r="R127" i="1"/>
  <c r="R19" i="1" a="1"/>
  <c r="R19" i="1" s="1"/>
  <c r="R128" i="1"/>
  <c r="R123" i="1" a="1"/>
  <c r="R123" i="1" s="1"/>
  <c r="Q182" i="1"/>
  <c r="Q180" i="1"/>
  <c r="Q179" i="1"/>
  <c r="Q178" i="1"/>
  <c r="Q204" i="1" s="1"/>
  <c r="Q177" i="1"/>
  <c r="Q203" i="1" s="1"/>
  <c r="Q205" i="1" s="1"/>
  <c r="Q124" i="1"/>
  <c r="Q45" i="1"/>
  <c r="Q127" i="1"/>
  <c r="Q19" i="1" a="1"/>
  <c r="Q19" i="1" s="1"/>
  <c r="Q128" i="1"/>
  <c r="Q123" i="1" a="1"/>
  <c r="Q123" i="1" s="1"/>
  <c r="P127" i="1"/>
  <c r="P19" i="1" a="1"/>
  <c r="P19" i="1" s="1"/>
  <c r="P128" i="1"/>
  <c r="P123" i="1" a="1"/>
  <c r="P123" i="1" s="1"/>
  <c r="O182" i="1"/>
  <c r="O45" i="1"/>
  <c r="N182" i="1"/>
  <c r="N181" i="1"/>
  <c r="N180" i="1"/>
  <c r="N179" i="1"/>
  <c r="N178" i="1"/>
  <c r="N204" i="1" s="1"/>
  <c r="N124" i="1"/>
  <c r="N45" i="1"/>
  <c r="O127" i="1"/>
  <c r="O19" i="1" a="1"/>
  <c r="O19" i="1" s="1"/>
  <c r="N127" i="1"/>
  <c r="N19" i="1" a="1"/>
  <c r="N19" i="1" s="1"/>
  <c r="M127" i="1"/>
  <c r="M19" i="1" a="1"/>
  <c r="M19" i="1" s="1"/>
  <c r="O128" i="1"/>
  <c r="O123" i="1" a="1"/>
  <c r="O123" i="1" s="1"/>
  <c r="N128" i="1"/>
  <c r="N123" i="1" a="1"/>
  <c r="N123" i="1" s="1"/>
  <c r="M128" i="1"/>
  <c r="M123" i="1" a="1"/>
  <c r="M123" i="1" s="1"/>
  <c r="L127" i="1"/>
  <c r="L19" i="1" a="1"/>
  <c r="L19" i="1" s="1"/>
  <c r="L128" i="1"/>
  <c r="L123" i="1" a="1"/>
  <c r="L123" i="1" s="1"/>
  <c r="K182" i="1"/>
  <c r="K179" i="1"/>
  <c r="K178" i="1"/>
  <c r="K204" i="1" s="1"/>
  <c r="K177" i="1"/>
  <c r="K203" i="1" s="1"/>
  <c r="K205" i="1" s="1"/>
  <c r="K124" i="1"/>
  <c r="K45" i="1"/>
  <c r="K127" i="1"/>
  <c r="K19" i="1" a="1"/>
  <c r="K19" i="1" s="1"/>
  <c r="K128" i="1"/>
  <c r="K123" i="1" a="1"/>
  <c r="K123" i="1" s="1"/>
  <c r="J127" i="1"/>
  <c r="J19" i="1" a="1"/>
  <c r="J19" i="1" s="1"/>
  <c r="J128" i="1"/>
  <c r="J123" i="1" a="1"/>
  <c r="J123" i="1" s="1"/>
  <c r="I127" i="1"/>
  <c r="I19" i="1" a="1"/>
  <c r="I19" i="1" s="1"/>
  <c r="I128" i="1"/>
  <c r="I123" i="1" a="1"/>
  <c r="I123" i="1" s="1"/>
  <c r="H182" i="1"/>
  <c r="H178" i="1"/>
  <c r="H204" i="1" s="1"/>
  <c r="H177" i="1"/>
  <c r="H203" i="1" s="1"/>
  <c r="H205" i="1" s="1"/>
  <c r="H124" i="1"/>
  <c r="H45" i="1"/>
  <c r="H127" i="1"/>
  <c r="H19" i="1" a="1"/>
  <c r="H19" i="1" s="1"/>
  <c r="H128" i="1"/>
  <c r="H123" i="1" a="1"/>
  <c r="H123" i="1" s="1"/>
  <c r="G182" i="1"/>
  <c r="G181" i="1"/>
  <c r="G180" i="1"/>
  <c r="G179" i="1"/>
  <c r="G178" i="1"/>
  <c r="G204" i="1" s="1"/>
  <c r="G177" i="1"/>
  <c r="G203" i="1" s="1"/>
  <c r="G205" i="1" s="1"/>
  <c r="G124" i="1"/>
  <c r="G45" i="1"/>
  <c r="G127" i="1"/>
  <c r="G19" i="1" a="1"/>
  <c r="G19" i="1" s="1"/>
  <c r="G128" i="1"/>
  <c r="G123" i="1" a="1"/>
  <c r="G123" i="1" s="1"/>
  <c r="F127" i="1"/>
  <c r="F19" i="1" a="1"/>
  <c r="F19" i="1" s="1"/>
  <c r="F128" i="1"/>
  <c r="F123" i="1" a="1"/>
  <c r="F123" i="1" s="1"/>
  <c r="E182" i="1"/>
  <c r="E181" i="1"/>
  <c r="E180" i="1"/>
  <c r="E179" i="1"/>
  <c r="E178" i="1"/>
  <c r="E204" i="1" s="1"/>
  <c r="E177" i="1"/>
  <c r="E203" i="1" s="1"/>
  <c r="E205" i="1" s="1"/>
  <c r="E124" i="1"/>
  <c r="E45" i="1"/>
  <c r="E127" i="1"/>
  <c r="E19" i="1" a="1"/>
  <c r="E19" i="1" s="1"/>
  <c r="E128" i="1"/>
  <c r="E123" i="1" a="1"/>
  <c r="E123" i="1" s="1"/>
  <c r="FH230" i="1"/>
  <c r="WB230" i="1"/>
  <c r="UZ230" i="1"/>
  <c r="UE230" i="1"/>
  <c r="EB230" i="1"/>
  <c r="KJ230" i="1"/>
  <c r="LK230" i="1"/>
  <c r="DE230" i="1"/>
  <c r="BV236" i="1"/>
  <c r="CX230" i="1"/>
  <c r="NM230" i="1"/>
  <c r="VZ230" i="1"/>
  <c r="KT230" i="1"/>
  <c r="SB230" i="1"/>
  <c r="WX230" i="1"/>
  <c r="TD230" i="1"/>
  <c r="WA230" i="1"/>
  <c r="WT230" i="1"/>
  <c r="WG230" i="1"/>
  <c r="UO230" i="1"/>
  <c r="TL230" i="1"/>
  <c r="ZW230" i="1"/>
  <c r="YJ230" i="1"/>
  <c r="YA230" i="1"/>
  <c r="YY230" i="1"/>
  <c r="ZC230" i="1"/>
  <c r="YK230" i="1"/>
  <c r="YB230" i="1"/>
  <c r="ABT232" i="1"/>
  <c r="ACC232" i="1"/>
  <c r="ACQ232" i="1"/>
  <c r="CQ26" i="11" a="1"/>
  <c r="CQ26" i="11" s="1"/>
  <c r="CQ28" i="11" s="1"/>
  <c r="CQ33" i="11" s="1"/>
  <c r="CQ34" i="11" s="1"/>
  <c r="CP26" i="11" a="1"/>
  <c r="CP26" i="11" s="1"/>
  <c r="CP28" i="11" s="1"/>
  <c r="CP33" i="11" s="1"/>
  <c r="CP34" i="11" s="1"/>
  <c r="CO26" i="11" a="1"/>
  <c r="CO26" i="11" s="1"/>
  <c r="CO28" i="11" s="1"/>
  <c r="CO33" i="11" s="1"/>
  <c r="CO34" i="11" s="1"/>
  <c r="CN26" i="11" a="1"/>
  <c r="CN26" i="11" s="1"/>
  <c r="CN28" i="11" s="1"/>
  <c r="CN33" i="11" s="1"/>
  <c r="CN34" i="11" s="1"/>
  <c r="CM26" i="11" a="1"/>
  <c r="CM26" i="11" s="1"/>
  <c r="CM28" i="11" s="1"/>
  <c r="AM1" i="9"/>
  <c r="AM8" i="9"/>
  <c r="GQ230" i="1"/>
  <c r="WH230" i="1"/>
  <c r="LU230" i="1"/>
  <c r="PU230" i="1"/>
  <c r="TY230" i="1"/>
  <c r="IJ230" i="1"/>
  <c r="RS230" i="1"/>
  <c r="WU230" i="1"/>
  <c r="XC230" i="1"/>
  <c r="AAB229" i="1"/>
  <c r="AAB222" i="1"/>
  <c r="AAE229" i="1"/>
  <c r="AAE222" i="1"/>
  <c r="AAK229" i="1"/>
  <c r="AAK222" i="1"/>
  <c r="YD227" i="1"/>
  <c r="YD220" i="1"/>
  <c r="XV230" i="1"/>
  <c r="NU236" i="1"/>
  <c r="NU232" i="1"/>
  <c r="ND236" i="1"/>
  <c r="ND232" i="1"/>
  <c r="PI230" i="1"/>
  <c r="JV229" i="1"/>
  <c r="JV222" i="1"/>
  <c r="LY229" i="1"/>
  <c r="LY222" i="1"/>
  <c r="LD229" i="1"/>
  <c r="LD222" i="1"/>
  <c r="LL230" i="1"/>
  <c r="HF229" i="1"/>
  <c r="HF222" i="1"/>
  <c r="QI227" i="1"/>
  <c r="QI220" i="1"/>
  <c r="LJ236" i="1"/>
  <c r="LJ230" i="1"/>
  <c r="LU236" i="1"/>
  <c r="LU221" i="1"/>
  <c r="GQ229" i="1"/>
  <c r="GQ222" i="1"/>
  <c r="LO229" i="1"/>
  <c r="LO222" i="1"/>
  <c r="KI229" i="1"/>
  <c r="KI222" i="1"/>
  <c r="JD230" i="1"/>
  <c r="PU227" i="1"/>
  <c r="PU220" i="1"/>
  <c r="OA227" i="1"/>
  <c r="OA220" i="1"/>
  <c r="HA227" i="1"/>
  <c r="HA220" i="1"/>
  <c r="NB230" i="1"/>
  <c r="KX229" i="1"/>
  <c r="KX222" i="1"/>
  <c r="QA227" i="1"/>
  <c r="QA220" i="1"/>
  <c r="QF227" i="1"/>
  <c r="QF220" i="1"/>
  <c r="PZ227" i="1"/>
  <c r="PZ220" i="1"/>
  <c r="IJ227" i="1"/>
  <c r="IJ220" i="1"/>
  <c r="JE236" i="1"/>
  <c r="JE230" i="1"/>
  <c r="PY227" i="1"/>
  <c r="PY220" i="1"/>
  <c r="PV227" i="1"/>
  <c r="PV220" i="1"/>
  <c r="HP236" i="1"/>
  <c r="HP221" i="1"/>
  <c r="KA230" i="1"/>
  <c r="KP236" i="1"/>
  <c r="KP221" i="1"/>
  <c r="KP230" i="1"/>
  <c r="QR227" i="1"/>
  <c r="QR220" i="1"/>
  <c r="JB227" i="1"/>
  <c r="JB220" i="1"/>
  <c r="NM236" i="1"/>
  <c r="NM221" i="1"/>
  <c r="UR229" i="1"/>
  <c r="UR222" i="1"/>
  <c r="PV230" i="1"/>
  <c r="VT229" i="1"/>
  <c r="VT222" i="1"/>
  <c r="UG229" i="1"/>
  <c r="UG222" i="1"/>
  <c r="UB229" i="1"/>
  <c r="UB222" i="1"/>
  <c r="SJ229" i="1"/>
  <c r="SJ222" i="1"/>
  <c r="JW236" i="1"/>
  <c r="JW221" i="1"/>
  <c r="UD229" i="1"/>
  <c r="UD222" i="1"/>
  <c r="RW229" i="1"/>
  <c r="RW222" i="1"/>
  <c r="KF236" i="1"/>
  <c r="KF221" i="1"/>
  <c r="VE229" i="1"/>
  <c r="VE222" i="1"/>
  <c r="NY236" i="1"/>
  <c r="NY221" i="1"/>
  <c r="VQ227" i="1"/>
  <c r="VQ220" i="1"/>
  <c r="HL236" i="1"/>
  <c r="HL221" i="1"/>
  <c r="WM236" i="1"/>
  <c r="WM221" i="1"/>
  <c r="KB236" i="1"/>
  <c r="XC229" i="1"/>
  <c r="XC222" i="1"/>
  <c r="RB236" i="1"/>
  <c r="RB221" i="1"/>
  <c r="UE229" i="1"/>
  <c r="UE222" i="1"/>
  <c r="KM236" i="1"/>
  <c r="KM221" i="1"/>
  <c r="PB236" i="1"/>
  <c r="PB221" i="1"/>
  <c r="VC227" i="1"/>
  <c r="VC220" i="1"/>
  <c r="PQ227" i="1"/>
  <c r="PQ220" i="1"/>
  <c r="WK229" i="1"/>
  <c r="WK222" i="1"/>
  <c r="VS227" i="1"/>
  <c r="VS220" i="1"/>
  <c r="VF229" i="1"/>
  <c r="VF222" i="1"/>
  <c r="UL230" i="1"/>
  <c r="VA230" i="1"/>
  <c r="UF230" i="1"/>
  <c r="NV236" i="1"/>
  <c r="NV221" i="1"/>
  <c r="OM227" i="1"/>
  <c r="OM220" i="1"/>
  <c r="UH229" i="1"/>
  <c r="UH222" i="1"/>
  <c r="TP230" i="1"/>
  <c r="RN230" i="1"/>
  <c r="SA227" i="1"/>
  <c r="SA220" i="1"/>
  <c r="WZ227" i="1"/>
  <c r="WZ220" i="1"/>
  <c r="VP230" i="1"/>
  <c r="TZ229" i="1"/>
  <c r="TZ222" i="1"/>
  <c r="OS236" i="1"/>
  <c r="OS221" i="1"/>
  <c r="RQ227" i="1"/>
  <c r="RQ220" i="1"/>
  <c r="UI230" i="1"/>
  <c r="RT227" i="1"/>
  <c r="RT220" i="1"/>
  <c r="KD236" i="1"/>
  <c r="KD221" i="1"/>
  <c r="TE230" i="1"/>
  <c r="OX236" i="1"/>
  <c r="OX221" i="1"/>
  <c r="SZ236" i="1"/>
  <c r="SZ221" i="1"/>
  <c r="SZ230" i="1"/>
  <c r="UW227" i="1"/>
  <c r="UW220" i="1"/>
  <c r="SI227" i="1"/>
  <c r="SI220" i="1"/>
  <c r="SV227" i="1"/>
  <c r="SV220" i="1"/>
  <c r="HD236" i="1"/>
  <c r="HD221" i="1"/>
  <c r="WA236" i="1"/>
  <c r="WA221" i="1"/>
  <c r="QL227" i="1"/>
  <c r="QL220" i="1"/>
  <c r="TL227" i="1"/>
  <c r="TL220" i="1"/>
  <c r="WT236" i="1"/>
  <c r="WT221" i="1"/>
  <c r="MT236" i="1"/>
  <c r="MT221" i="1"/>
  <c r="UM227" i="1"/>
  <c r="UM220" i="1"/>
  <c r="UZ227" i="1"/>
  <c r="UZ220" i="1"/>
  <c r="WS227" i="1"/>
  <c r="WS220" i="1"/>
  <c r="UU227" i="1"/>
  <c r="UU220" i="1"/>
  <c r="QN227" i="1"/>
  <c r="QN220" i="1"/>
  <c r="SS223" i="1"/>
  <c r="SS236" i="1"/>
  <c r="VP227" i="1"/>
  <c r="VP220" i="1"/>
  <c r="VI227" i="1"/>
  <c r="VI220" i="1"/>
  <c r="TF227" i="1"/>
  <c r="TF220" i="1"/>
  <c r="WL229" i="1"/>
  <c r="WL222" i="1"/>
  <c r="VU229" i="1"/>
  <c r="VU222" i="1"/>
  <c r="NP227" i="1"/>
  <c r="NP220" i="1"/>
  <c r="VO227" i="1"/>
  <c r="VO220" i="1"/>
  <c r="WF230" i="1"/>
  <c r="VT230" i="1"/>
  <c r="UC229" i="1"/>
  <c r="UC222" i="1"/>
  <c r="RT230" i="1"/>
  <c r="RJ230" i="1"/>
  <c r="WV230" i="1"/>
  <c r="WS230" i="1"/>
  <c r="WG236" i="1"/>
  <c r="WG221" i="1"/>
  <c r="HU236" i="1"/>
  <c r="HU221" i="1"/>
  <c r="TE227" i="1"/>
  <c r="TE220" i="1"/>
  <c r="QJ227" i="1"/>
  <c r="QJ220" i="1"/>
  <c r="TV227" i="1"/>
  <c r="TV220" i="1"/>
  <c r="SR227" i="1"/>
  <c r="SR220" i="1"/>
  <c r="TH236" i="1"/>
  <c r="TH221" i="1"/>
  <c r="WU227" i="1"/>
  <c r="WU220" i="1"/>
  <c r="GW227" i="1"/>
  <c r="GW220" i="1"/>
  <c r="UQ230" i="1"/>
  <c r="UP230" i="1"/>
  <c r="UM230" i="1"/>
  <c r="TX229" i="1"/>
  <c r="TX222" i="1"/>
  <c r="UV227" i="1"/>
  <c r="UV220" i="1"/>
  <c r="RY229" i="1"/>
  <c r="RY222" i="1"/>
  <c r="RS227" i="1"/>
  <c r="RS220" i="1"/>
  <c r="WK230" i="1"/>
  <c r="VB229" i="1"/>
  <c r="VB222" i="1"/>
  <c r="UJ230" i="1"/>
  <c r="TU230" i="1"/>
  <c r="HJ227" i="1"/>
  <c r="HJ220" i="1"/>
  <c r="YE229" i="1"/>
  <c r="YE222" i="1"/>
  <c r="TP227" i="1"/>
  <c r="TP220" i="1"/>
  <c r="QD227" i="1"/>
  <c r="QD220" i="1"/>
  <c r="RD236" i="1"/>
  <c r="RD221" i="1"/>
  <c r="ZN230" i="1"/>
  <c r="ZD227" i="1"/>
  <c r="ZD220" i="1"/>
  <c r="YG227" i="1"/>
  <c r="YG220" i="1"/>
  <c r="ZX227" i="1"/>
  <c r="ZX220" i="1"/>
  <c r="ZN227" i="1"/>
  <c r="ZN220" i="1"/>
  <c r="ZG227" i="1"/>
  <c r="ZG220" i="1"/>
  <c r="ZX230" i="1"/>
  <c r="YX227" i="1"/>
  <c r="YX220" i="1"/>
  <c r="ZR227" i="1"/>
  <c r="ZR220" i="1"/>
  <c r="ZV227" i="1"/>
  <c r="ZV220" i="1"/>
  <c r="YS227" i="1"/>
  <c r="YS220" i="1"/>
  <c r="ZG230" i="1"/>
  <c r="YS230" i="1"/>
  <c r="ZJ227" i="1"/>
  <c r="ZJ220" i="1"/>
  <c r="YE230" i="1"/>
  <c r="YW230" i="1"/>
  <c r="ZW227" i="1"/>
  <c r="ZW220" i="1"/>
  <c r="AAP229" i="1"/>
  <c r="AAP222" i="1"/>
  <c r="AAQ229" i="1"/>
  <c r="AAQ222" i="1"/>
  <c r="AAR229" i="1"/>
  <c r="AAR222" i="1"/>
  <c r="AAS229" i="1"/>
  <c r="AAS222" i="1"/>
  <c r="AAT229" i="1"/>
  <c r="AAT222" i="1"/>
  <c r="AAU229" i="1"/>
  <c r="AAU222" i="1"/>
  <c r="AAV229" i="1"/>
  <c r="AAV222" i="1"/>
  <c r="AAW229" i="1"/>
  <c r="AAW222" i="1"/>
  <c r="AAX229" i="1"/>
  <c r="AAX222" i="1"/>
  <c r="AAY229" i="1"/>
  <c r="AAY222" i="1"/>
  <c r="AAZ229" i="1"/>
  <c r="AAZ222" i="1"/>
  <c r="ABA229" i="1"/>
  <c r="ABA222" i="1"/>
  <c r="ABB229" i="1"/>
  <c r="ABB222" i="1"/>
  <c r="ABC229" i="1"/>
  <c r="ABC222" i="1"/>
  <c r="ABD229" i="1"/>
  <c r="ABD222" i="1"/>
  <c r="ABE229" i="1"/>
  <c r="ABE222" i="1"/>
  <c r="ABF229" i="1"/>
  <c r="ABF222" i="1"/>
  <c r="ABG229" i="1"/>
  <c r="ABG222" i="1"/>
  <c r="ABH229" i="1"/>
  <c r="ABH222" i="1"/>
  <c r="ABI229" i="1"/>
  <c r="ABI222" i="1"/>
  <c r="ABJ229" i="1"/>
  <c r="ABJ222" i="1"/>
  <c r="ABK229" i="1"/>
  <c r="ABK222" i="1"/>
  <c r="ABN229" i="1"/>
  <c r="ABN222" i="1"/>
  <c r="ABM229" i="1"/>
  <c r="ABM222" i="1"/>
  <c r="ABL229" i="1"/>
  <c r="ABL222" i="1"/>
  <c r="ABO229" i="1"/>
  <c r="ABO222" i="1"/>
  <c r="ABP229" i="1"/>
  <c r="ABP222" i="1"/>
  <c r="ABQ229" i="1"/>
  <c r="ABQ222" i="1"/>
  <c r="ABR230" i="1"/>
  <c r="ABS230" i="1"/>
  <c r="ABT229" i="1"/>
  <c r="ABT222" i="1"/>
  <c r="ABV229" i="1"/>
  <c r="ABV222" i="1"/>
  <c r="ABU229" i="1"/>
  <c r="ABU222" i="1"/>
  <c r="ABW229" i="1"/>
  <c r="ABW222" i="1"/>
  <c r="ABX229" i="1"/>
  <c r="ABX222" i="1"/>
  <c r="ABY229" i="1"/>
  <c r="ABY222" i="1"/>
  <c r="ABZ229" i="1"/>
  <c r="ABZ222" i="1"/>
  <c r="ACB229" i="1"/>
  <c r="ACB222" i="1"/>
  <c r="ACA229" i="1"/>
  <c r="ACA222" i="1"/>
  <c r="ACC229" i="1"/>
  <c r="ACC222" i="1"/>
  <c r="ACD229" i="1"/>
  <c r="ACD222" i="1"/>
  <c r="ACE229" i="1"/>
  <c r="ACE222" i="1"/>
  <c r="XW230" i="1"/>
  <c r="QB232" i="1"/>
  <c r="LN236" i="1"/>
  <c r="LN232" i="1"/>
  <c r="HG232" i="1"/>
  <c r="PN230" i="1"/>
  <c r="PK230" i="1"/>
  <c r="GU230" i="1"/>
  <c r="TV230" i="1"/>
  <c r="SK230" i="1"/>
  <c r="RV236" i="1"/>
  <c r="RV221" i="1"/>
  <c r="ZS230" i="1"/>
  <c r="ZH230" i="1"/>
  <c r="XX230" i="1"/>
  <c r="ACF229" i="1"/>
  <c r="ACF222" i="1"/>
  <c r="ACG229" i="1"/>
  <c r="ACG222" i="1"/>
  <c r="ACI229" i="1"/>
  <c r="ACI222" i="1"/>
  <c r="ACH229" i="1"/>
  <c r="ACH222" i="1"/>
  <c r="ACJ229" i="1"/>
  <c r="ACJ222" i="1"/>
  <c r="ACK229" i="1"/>
  <c r="ACK222" i="1"/>
  <c r="ACL229" i="1"/>
  <c r="ACL222" i="1"/>
  <c r="ACM229" i="1"/>
  <c r="ACM222" i="1"/>
  <c r="ACN229" i="1"/>
  <c r="ACN222" i="1"/>
  <c r="ACO229" i="1"/>
  <c r="ACO222" i="1"/>
  <c r="ACP229" i="1"/>
  <c r="ACP222" i="1"/>
  <c r="ACQ229" i="1"/>
  <c r="ACQ222" i="1"/>
  <c r="ACR229" i="1"/>
  <c r="ACR222" i="1"/>
  <c r="ACS229" i="1"/>
  <c r="ACS222" i="1"/>
  <c r="ACT229" i="1"/>
  <c r="ACT222" i="1"/>
  <c r="ACU229" i="1"/>
  <c r="ACU222" i="1"/>
  <c r="ACW229" i="1"/>
  <c r="ACW222" i="1"/>
  <c r="ACV229" i="1"/>
  <c r="ACV222" i="1"/>
  <c r="ZZ228" i="1"/>
  <c r="AAA229" i="1"/>
  <c r="AAA222" i="1"/>
  <c r="AAA228" i="1"/>
  <c r="AAB228" i="1"/>
  <c r="AAC228" i="1"/>
  <c r="AAE228" i="1"/>
  <c r="AAD228" i="1"/>
  <c r="AAG228" i="1"/>
  <c r="AAF228" i="1"/>
  <c r="AAI228" i="1"/>
  <c r="AAH228" i="1"/>
  <c r="AAK228" i="1"/>
  <c r="AAJ228" i="1"/>
  <c r="AAL228" i="1"/>
  <c r="AAM228" i="1"/>
  <c r="AAO228" i="1"/>
  <c r="AAO229" i="1"/>
  <c r="AAO222" i="1"/>
  <c r="AAG229" i="1"/>
  <c r="AAG222" i="1"/>
  <c r="AAJ229" i="1"/>
  <c r="AAJ222" i="1"/>
  <c r="AAD229" i="1"/>
  <c r="AAD222" i="1"/>
  <c r="AAL229" i="1"/>
  <c r="AAL222" i="1"/>
  <c r="AAI229" i="1"/>
  <c r="AAI222" i="1"/>
  <c r="ZS229" i="1"/>
  <c r="ZS222" i="1"/>
  <c r="ZH229" i="1"/>
  <c r="ZH222" i="1"/>
  <c r="ZC229" i="1"/>
  <c r="ZC222" i="1"/>
  <c r="AAM229" i="1"/>
  <c r="AAM222" i="1"/>
  <c r="AAH229" i="1"/>
  <c r="AAH222" i="1"/>
  <c r="ZJ229" i="1"/>
  <c r="ZJ222" i="1"/>
  <c r="YJ229" i="1"/>
  <c r="YJ222" i="1"/>
  <c r="YD229" i="1"/>
  <c r="YD222" i="1"/>
  <c r="ZZ229" i="1"/>
  <c r="ZZ222" i="1"/>
  <c r="ZX229" i="1"/>
  <c r="ZX222" i="1"/>
  <c r="XW229" i="1"/>
  <c r="XW222" i="1"/>
  <c r="AAF229" i="1"/>
  <c r="AAF222" i="1"/>
  <c r="ZG229" i="1"/>
  <c r="ZG222" i="1"/>
  <c r="AAN229" i="1"/>
  <c r="AAN222" i="1"/>
  <c r="ZP229" i="1"/>
  <c r="ZP222" i="1"/>
  <c r="YK229" i="1"/>
  <c r="YK222" i="1"/>
  <c r="ZL229" i="1"/>
  <c r="ZL222" i="1"/>
  <c r="YP229" i="1"/>
  <c r="YP222" i="1"/>
  <c r="ZR229" i="1"/>
  <c r="ZR222" i="1"/>
  <c r="ZA229" i="1"/>
  <c r="ZA222" i="1"/>
  <c r="YB229" i="1"/>
  <c r="YB222" i="1"/>
  <c r="XQ229" i="1"/>
  <c r="XQ222" i="1"/>
  <c r="YC229" i="1"/>
  <c r="YC222" i="1"/>
  <c r="XW228" i="1"/>
  <c r="XP229" i="1"/>
  <c r="XP222" i="1"/>
  <c r="XL229" i="1"/>
  <c r="XL222" i="1"/>
  <c r="XX229" i="1"/>
  <c r="XX222" i="1"/>
  <c r="XJ228" i="1"/>
  <c r="YX229" i="1"/>
  <c r="YX222" i="1"/>
  <c r="YW229" i="1"/>
  <c r="YW222" i="1"/>
  <c r="XV229" i="1"/>
  <c r="XV222" i="1"/>
  <c r="XR228" i="1"/>
  <c r="XN228" i="1"/>
  <c r="YG229" i="1"/>
  <c r="YG222" i="1"/>
  <c r="XM228" i="1"/>
  <c r="XK228" i="1"/>
  <c r="ZN229" i="1"/>
  <c r="ZN222" i="1"/>
  <c r="ZK229" i="1"/>
  <c r="ZK222" i="1"/>
  <c r="ZF229" i="1"/>
  <c r="ZF222" i="1"/>
  <c r="YT229" i="1"/>
  <c r="YT222" i="1"/>
  <c r="YS229" i="1"/>
  <c r="YS222" i="1"/>
  <c r="XY229" i="1"/>
  <c r="XY222" i="1"/>
  <c r="XL228" i="1"/>
  <c r="XL221" i="1"/>
  <c r="WQ229" i="1"/>
  <c r="WQ222" i="1"/>
  <c r="WE229" i="1"/>
  <c r="WE222" i="1"/>
  <c r="YY229" i="1"/>
  <c r="YY222" i="1"/>
  <c r="YH229" i="1"/>
  <c r="YH222" i="1"/>
  <c r="YF229" i="1"/>
  <c r="YF222" i="1"/>
  <c r="XH228" i="1"/>
  <c r="XO228" i="1"/>
  <c r="XO229" i="1"/>
  <c r="XO222" i="1"/>
  <c r="YA229" i="1"/>
  <c r="YA222" i="1"/>
  <c r="ZW229" i="1"/>
  <c r="ZW222" i="1"/>
  <c r="XS228" i="1"/>
  <c r="XS229" i="1"/>
  <c r="XS222" i="1"/>
  <c r="XG228" i="1"/>
  <c r="SN229" i="1"/>
  <c r="SN222" i="1"/>
  <c r="TW229" i="1"/>
  <c r="TW222" i="1"/>
  <c r="SX229" i="1"/>
  <c r="SX222" i="1"/>
  <c r="AAC229" i="1"/>
  <c r="AAC222" i="1"/>
  <c r="ZV229" i="1"/>
  <c r="ZV222" i="1"/>
  <c r="XQ228" i="1"/>
  <c r="TO229" i="1"/>
  <c r="TO222" i="1"/>
  <c r="RM229" i="1"/>
  <c r="RM222" i="1"/>
  <c r="QW229" i="1"/>
  <c r="QW222" i="1"/>
  <c r="PK229" i="1"/>
  <c r="PK222" i="1"/>
  <c r="NQ229" i="1"/>
  <c r="NQ222" i="1"/>
  <c r="RJ229" i="1"/>
  <c r="RJ222" i="1"/>
  <c r="XI228" i="1"/>
  <c r="SR229" i="1"/>
  <c r="SR222" i="1"/>
  <c r="YU229" i="1"/>
  <c r="YU222" i="1"/>
  <c r="XU228" i="1"/>
  <c r="SW229" i="1"/>
  <c r="SW222" i="1"/>
  <c r="QQ229" i="1"/>
  <c r="QQ222" i="1"/>
  <c r="SQ229" i="1"/>
  <c r="SQ222" i="1"/>
  <c r="SO229" i="1"/>
  <c r="SO222" i="1"/>
  <c r="QU229" i="1"/>
  <c r="QU222" i="1"/>
  <c r="RK229" i="1"/>
  <c r="RK222" i="1"/>
  <c r="QV229" i="1"/>
  <c r="QV222" i="1"/>
  <c r="ND229" i="1"/>
  <c r="ND222" i="1"/>
  <c r="LV229" i="1"/>
  <c r="LV222" i="1"/>
  <c r="LM229" i="1"/>
  <c r="LM222" i="1"/>
  <c r="QB229" i="1"/>
  <c r="QB222" i="1"/>
  <c r="PJ229" i="1"/>
  <c r="PJ222" i="1"/>
  <c r="MY229" i="1"/>
  <c r="MY222" i="1"/>
  <c r="IO229" i="1"/>
  <c r="IO222" i="1"/>
  <c r="MP229" i="1"/>
  <c r="MP222" i="1"/>
  <c r="US229" i="1"/>
  <c r="US222" i="1"/>
  <c r="QV227" i="1"/>
  <c r="QV220" i="1"/>
  <c r="QE229" i="1"/>
  <c r="QE222" i="1"/>
  <c r="JU229" i="1"/>
  <c r="JU222" i="1"/>
  <c r="IQ229" i="1"/>
  <c r="IQ222" i="1"/>
  <c r="PR228" i="1"/>
  <c r="PR221" i="1"/>
  <c r="RB227" i="1"/>
  <c r="RB220" i="1"/>
  <c r="RB229" i="1"/>
  <c r="RB222" i="1"/>
  <c r="JE229" i="1"/>
  <c r="JE222" i="1"/>
  <c r="GU229" i="1"/>
  <c r="GU222" i="1"/>
  <c r="PR227" i="1"/>
  <c r="PR220" i="1"/>
  <c r="QQ228" i="1"/>
  <c r="OO227" i="1"/>
  <c r="OO220" i="1"/>
  <c r="OB227" i="1"/>
  <c r="OB220" i="1"/>
  <c r="OB229" i="1"/>
  <c r="OB222" i="1"/>
  <c r="NF229" i="1"/>
  <c r="NF222" i="1"/>
  <c r="JX229" i="1"/>
  <c r="JX222" i="1"/>
  <c r="KN229" i="1"/>
  <c r="KN222" i="1"/>
  <c r="RR229" i="1"/>
  <c r="RR222" i="1"/>
  <c r="JE228" i="1"/>
  <c r="JE221" i="1"/>
  <c r="IU228" i="1"/>
  <c r="IP228" i="1"/>
  <c r="PP228" i="1"/>
  <c r="NU227" i="1"/>
  <c r="NU220" i="1"/>
  <c r="NU228" i="1"/>
  <c r="NU221" i="1"/>
  <c r="NL229" i="1"/>
  <c r="NL222" i="1"/>
  <c r="MM227" i="1"/>
  <c r="MM220" i="1"/>
  <c r="MM228" i="1"/>
  <c r="MM221" i="1"/>
  <c r="HZ229" i="1"/>
  <c r="HZ222" i="1"/>
  <c r="QC227" i="1"/>
  <c r="QC220" i="1"/>
  <c r="QC228" i="1"/>
  <c r="QC221" i="1"/>
  <c r="NA229" i="1"/>
  <c r="NA222" i="1"/>
  <c r="LM228" i="1"/>
  <c r="MC228" i="1"/>
  <c r="KE229" i="1"/>
  <c r="KE222" i="1"/>
  <c r="IV228" i="1"/>
  <c r="HS228" i="1"/>
  <c r="QR228" i="1"/>
  <c r="OR228" i="1"/>
  <c r="OC228" i="1"/>
  <c r="OA229" i="1"/>
  <c r="OA222" i="1"/>
  <c r="MB228" i="1"/>
  <c r="KK229" i="1"/>
  <c r="KK222" i="1"/>
  <c r="IR228" i="1"/>
  <c r="HX229" i="1"/>
  <c r="HX222" i="1"/>
  <c r="GY229" i="1"/>
  <c r="GY222" i="1"/>
  <c r="QH227" i="1"/>
  <c r="QH220" i="1"/>
  <c r="QH228" i="1"/>
  <c r="OJ229" i="1"/>
  <c r="OJ222" i="1"/>
  <c r="NZ229" i="1"/>
  <c r="NZ222" i="1"/>
  <c r="MV228" i="1"/>
  <c r="MI228" i="1"/>
  <c r="LU227" i="1"/>
  <c r="LU220" i="1"/>
  <c r="LJ227" i="1"/>
  <c r="LJ220" i="1"/>
  <c r="LJ228" i="1"/>
  <c r="LJ221" i="1"/>
  <c r="LA229" i="1"/>
  <c r="LA222" i="1"/>
  <c r="JM229" i="1"/>
  <c r="JM222" i="1"/>
  <c r="JF229" i="1"/>
  <c r="JF222" i="1"/>
  <c r="IM229" i="1"/>
  <c r="IM222" i="1"/>
  <c r="IM227" i="1"/>
  <c r="IM220" i="1"/>
  <c r="IE229" i="1"/>
  <c r="IE222" i="1"/>
  <c r="GW229" i="1"/>
  <c r="GW222" i="1"/>
  <c r="NH228" i="1"/>
  <c r="NH221" i="1"/>
  <c r="HQ229" i="1"/>
  <c r="HQ222" i="1"/>
  <c r="MH229" i="1"/>
  <c r="MH222" i="1"/>
  <c r="LL227" i="1"/>
  <c r="LL220" i="1"/>
  <c r="JC229" i="1"/>
  <c r="JC222" i="1"/>
  <c r="PD228" i="1"/>
  <c r="OY228" i="1"/>
  <c r="MH227" i="1"/>
  <c r="MH220" i="1"/>
  <c r="MH228" i="1"/>
  <c r="MH221" i="1"/>
  <c r="LP228" i="1"/>
  <c r="LS227" i="1"/>
  <c r="LS220" i="1"/>
  <c r="LS228" i="1"/>
  <c r="LS221" i="1"/>
  <c r="IE228" i="1"/>
  <c r="OX229" i="1"/>
  <c r="OX222" i="1"/>
  <c r="OX227" i="1"/>
  <c r="OX220" i="1"/>
  <c r="IS228" i="1"/>
  <c r="PJ228" i="1"/>
  <c r="MO228" i="1"/>
  <c r="IX229" i="1"/>
  <c r="IX222" i="1"/>
  <c r="IC228" i="1"/>
  <c r="PI227" i="1"/>
  <c r="PI220" i="1"/>
  <c r="OQ229" i="1"/>
  <c r="OQ222" i="1"/>
  <c r="ND227" i="1"/>
  <c r="ND220" i="1"/>
  <c r="ND228" i="1"/>
  <c r="ND221" i="1"/>
  <c r="LG228" i="1"/>
  <c r="IP229" i="1"/>
  <c r="IP222" i="1"/>
  <c r="MJ228" i="1"/>
  <c r="ME228" i="1"/>
  <c r="LK228" i="1"/>
  <c r="LX228" i="1"/>
  <c r="JW227" i="1"/>
  <c r="JW220" i="1"/>
  <c r="HM228" i="1"/>
  <c r="JK227" i="1"/>
  <c r="JK220" i="1"/>
  <c r="JK229" i="1"/>
  <c r="JK222" i="1"/>
  <c r="IL228" i="1"/>
  <c r="QE228" i="1"/>
  <c r="HP227" i="1"/>
  <c r="HP220" i="1"/>
  <c r="MP228" i="1"/>
  <c r="JR227" i="1"/>
  <c r="JR220" i="1"/>
  <c r="JV228" i="1"/>
  <c r="KJ227" i="1"/>
  <c r="KJ220" i="1"/>
  <c r="KJ228" i="1"/>
  <c r="KJ221" i="1"/>
  <c r="MX228" i="1"/>
  <c r="MF228" i="1"/>
  <c r="LV228" i="1"/>
  <c r="KI228" i="1"/>
  <c r="JA228" i="1"/>
  <c r="HS229" i="1"/>
  <c r="HS222" i="1"/>
  <c r="KE228" i="1"/>
  <c r="MU227" i="1"/>
  <c r="MU220" i="1"/>
  <c r="MU228" i="1"/>
  <c r="LY228" i="1"/>
  <c r="LN228" i="1"/>
  <c r="LN221" i="1"/>
  <c r="LN227" i="1"/>
  <c r="LN220" i="1"/>
  <c r="LD228" i="1"/>
  <c r="NA228" i="1"/>
  <c r="MN228" i="1"/>
  <c r="JN228" i="1"/>
  <c r="JN221" i="1"/>
  <c r="JN227" i="1"/>
  <c r="JN220" i="1"/>
  <c r="JL228" i="1"/>
  <c r="JL221" i="1"/>
  <c r="II228" i="1"/>
  <c r="KA229" i="1"/>
  <c r="KA222" i="1"/>
  <c r="KA227" i="1"/>
  <c r="KA220" i="1"/>
  <c r="KA228" i="1"/>
  <c r="KA221" i="1"/>
  <c r="MK228" i="1"/>
  <c r="IT228" i="1"/>
  <c r="KN228" i="1"/>
  <c r="HX228" i="1"/>
  <c r="NC228" i="1"/>
  <c r="NT228" i="1"/>
  <c r="MY228" i="1"/>
  <c r="MY227" i="1"/>
  <c r="MY220" i="1"/>
  <c r="MW228" i="1"/>
  <c r="JP227" i="1"/>
  <c r="JP220" i="1"/>
  <c r="JP228" i="1"/>
  <c r="JP221" i="1"/>
  <c r="KT227" i="1"/>
  <c r="KT220" i="1"/>
  <c r="KT228" i="1"/>
  <c r="KT221" i="1"/>
  <c r="KF233" i="1"/>
  <c r="KF223" i="1"/>
  <c r="NY233" i="1"/>
  <c r="NY223" i="1"/>
  <c r="HL233" i="1"/>
  <c r="HL223" i="1"/>
  <c r="KB233" i="1"/>
  <c r="KB223" i="1"/>
  <c r="OP223" i="1"/>
  <c r="KM233" i="1"/>
  <c r="KM223" i="1"/>
  <c r="PB233" i="1"/>
  <c r="PB223" i="1"/>
  <c r="LB233" i="1"/>
  <c r="NV233" i="1"/>
  <c r="NV223" i="1"/>
  <c r="KD233" i="1"/>
  <c r="KD223" i="1"/>
  <c r="SC228" i="1"/>
  <c r="SC229" i="1"/>
  <c r="SC222" i="1"/>
  <c r="RO228" i="1"/>
  <c r="RO227" i="1"/>
  <c r="RO220" i="1"/>
  <c r="RO229" i="1"/>
  <c r="RO222" i="1"/>
  <c r="QU228" i="1"/>
  <c r="QU227" i="1"/>
  <c r="QU220" i="1"/>
  <c r="OG227" i="1"/>
  <c r="OG220" i="1"/>
  <c r="OG228" i="1"/>
  <c r="NX228" i="1"/>
  <c r="NN228" i="1"/>
  <c r="MQ223" i="1"/>
  <c r="NS233" i="1"/>
  <c r="NS223" i="1"/>
  <c r="HD233" i="1"/>
  <c r="HD223" i="1"/>
  <c r="WA223" i="1"/>
  <c r="WT233" i="1"/>
  <c r="WT223" i="1"/>
  <c r="OT233" i="1"/>
  <c r="OT223" i="1"/>
  <c r="NR223" i="1"/>
  <c r="HU233" i="1"/>
  <c r="HU223" i="1"/>
  <c r="TH233" i="1"/>
  <c r="TH223" i="1"/>
  <c r="OD223" i="1"/>
  <c r="SU228" i="1"/>
  <c r="SU229" i="1"/>
  <c r="SU222" i="1"/>
  <c r="QY228" i="1"/>
  <c r="SX227" i="1"/>
  <c r="SX220" i="1"/>
  <c r="SX228" i="1"/>
  <c r="SS228" i="1"/>
  <c r="SS221" i="1"/>
  <c r="SS229" i="1"/>
  <c r="SS222" i="1"/>
  <c r="SS227" i="1"/>
  <c r="SS220" i="1"/>
  <c r="SL228" i="1"/>
  <c r="SL229" i="1"/>
  <c r="SL222" i="1"/>
  <c r="SD228" i="1"/>
  <c r="RJ228" i="1"/>
  <c r="RA227" i="1"/>
  <c r="RA220" i="1"/>
  <c r="RA228" i="1"/>
  <c r="PT233" i="1"/>
  <c r="PT223" i="1"/>
  <c r="PM228" i="1"/>
  <c r="PL229" i="1"/>
  <c r="PL222" i="1"/>
  <c r="PL228" i="1"/>
  <c r="OL228" i="1"/>
  <c r="OL229" i="1"/>
  <c r="OL222" i="1"/>
  <c r="OL227" i="1"/>
  <c r="OL220" i="1"/>
  <c r="RD233" i="1"/>
  <c r="RD223" i="1"/>
  <c r="TK228" i="1"/>
  <c r="TK229" i="1"/>
  <c r="TK222" i="1"/>
  <c r="TM228" i="1"/>
  <c r="TM229" i="1"/>
  <c r="TM222" i="1"/>
  <c r="TM227" i="1"/>
  <c r="TM220" i="1"/>
  <c r="SW227" i="1"/>
  <c r="SW220" i="1"/>
  <c r="SW228" i="1"/>
  <c r="SO228" i="1"/>
  <c r="SF228" i="1"/>
  <c r="RK228" i="1"/>
  <c r="AAP228" i="1"/>
  <c r="AAQ228" i="1"/>
  <c r="AAR228" i="1"/>
  <c r="AAS228" i="1"/>
  <c r="AAT228" i="1"/>
  <c r="AAU228" i="1"/>
  <c r="AAV228" i="1"/>
  <c r="AAW228" i="1"/>
  <c r="AAX228" i="1"/>
  <c r="AAY228" i="1"/>
  <c r="AAZ228" i="1"/>
  <c r="ABA228" i="1"/>
  <c r="ABB228" i="1"/>
  <c r="ABC228" i="1"/>
  <c r="ABD228" i="1"/>
  <c r="ABE228" i="1"/>
  <c r="ABF228" i="1"/>
  <c r="ABG228" i="1"/>
  <c r="ABH228" i="1"/>
  <c r="ABI228" i="1"/>
  <c r="ABJ228" i="1"/>
  <c r="ABK228" i="1"/>
  <c r="ABN228" i="1"/>
  <c r="ABM228" i="1"/>
  <c r="ABL228" i="1"/>
  <c r="ABO228" i="1"/>
  <c r="ABP228" i="1"/>
  <c r="ABQ228" i="1"/>
  <c r="ABR228" i="1"/>
  <c r="ABS228" i="1"/>
  <c r="ABT228" i="1"/>
  <c r="ABV228" i="1"/>
  <c r="ABU228" i="1"/>
  <c r="ABW228" i="1"/>
  <c r="ABX228" i="1"/>
  <c r="ABY228" i="1"/>
  <c r="ABZ228" i="1"/>
  <c r="ACB228" i="1"/>
  <c r="ACA228" i="1"/>
  <c r="ACC228" i="1"/>
  <c r="ACD228" i="1"/>
  <c r="ACE228" i="1"/>
  <c r="ZY229" i="1"/>
  <c r="ZY222" i="1"/>
  <c r="ZT229" i="1"/>
  <c r="ZT222" i="1"/>
  <c r="ZO229" i="1"/>
  <c r="ZO222" i="1"/>
  <c r="ZM229" i="1"/>
  <c r="ZM222" i="1"/>
  <c r="ZI229" i="1"/>
  <c r="ZI222" i="1"/>
  <c r="ZE229" i="1"/>
  <c r="ZE222" i="1"/>
  <c r="ZD229" i="1"/>
  <c r="ZD222" i="1"/>
  <c r="ZB229" i="1"/>
  <c r="ZB222" i="1"/>
  <c r="YV229" i="1"/>
  <c r="YV222" i="1"/>
  <c r="XZ229" i="1"/>
  <c r="XZ222" i="1"/>
  <c r="XP228" i="1"/>
  <c r="XG229" i="1"/>
  <c r="XG222" i="1"/>
  <c r="UM229" i="1"/>
  <c r="UM222" i="1"/>
  <c r="TT229" i="1"/>
  <c r="TT222" i="1"/>
  <c r="TL229" i="1"/>
  <c r="TL222" i="1"/>
  <c r="SK227" i="1"/>
  <c r="SK220" i="1"/>
  <c r="SF229" i="1"/>
  <c r="SF222" i="1"/>
  <c r="SE229" i="1"/>
  <c r="SE222" i="1"/>
  <c r="SA229" i="1"/>
  <c r="SA222" i="1"/>
  <c r="RF228" i="1"/>
  <c r="QO228" i="1"/>
  <c r="QI228" i="1"/>
  <c r="QL228" i="1"/>
  <c r="QG227" i="1"/>
  <c r="QG220" i="1"/>
  <c r="QF229" i="1"/>
  <c r="QF222" i="1"/>
  <c r="QA228" i="1"/>
  <c r="PT227" i="1"/>
  <c r="PT237" i="1" s="1"/>
  <c r="PT220" i="1"/>
  <c r="PT224" i="1" s="1"/>
  <c r="PT225" i="1" s="1"/>
  <c r="PS227" i="1"/>
  <c r="PS220" i="1"/>
  <c r="PR229" i="1"/>
  <c r="PR222" i="1"/>
  <c r="PQ229" i="1"/>
  <c r="PQ222" i="1"/>
  <c r="PO228" i="1"/>
  <c r="PN227" i="1"/>
  <c r="PN220" i="1"/>
  <c r="PM229" i="1"/>
  <c r="PM222" i="1"/>
  <c r="PK227" i="1"/>
  <c r="PK220" i="1"/>
  <c r="OZ229" i="1"/>
  <c r="OZ222" i="1"/>
  <c r="OU228" i="1"/>
  <c r="OK228" i="1"/>
  <c r="OK221" i="1"/>
  <c r="OS227" i="1"/>
  <c r="OS220" i="1"/>
  <c r="OQ228" i="1"/>
  <c r="OO228" i="1"/>
  <c r="OJ228" i="1"/>
  <c r="OF227" i="1"/>
  <c r="OF220" i="1"/>
  <c r="NX229" i="1"/>
  <c r="NX222" i="1"/>
  <c r="NV229" i="1"/>
  <c r="NV222" i="1"/>
  <c r="NS228" i="1"/>
  <c r="NS221" i="1"/>
  <c r="NJ228" i="1"/>
  <c r="NH227" i="1"/>
  <c r="NH220" i="1"/>
  <c r="NG228" i="1"/>
  <c r="NF228" i="1"/>
  <c r="MX229" i="1"/>
  <c r="MX222" i="1"/>
  <c r="MT227" i="1"/>
  <c r="MT220" i="1"/>
  <c r="MS228" i="1"/>
  <c r="MF229" i="1"/>
  <c r="MF222" i="1"/>
  <c r="LT228" i="1"/>
  <c r="LO228" i="1"/>
  <c r="LF228" i="1"/>
  <c r="MA228" i="1"/>
  <c r="LZ229" i="1"/>
  <c r="LZ222" i="1"/>
  <c r="JW229" i="1"/>
  <c r="JW222" i="1"/>
  <c r="KC228" i="1"/>
  <c r="KH228" i="1"/>
  <c r="KB228" i="1"/>
  <c r="KB221" i="1"/>
  <c r="KF227" i="1"/>
  <c r="KF237" i="1" s="1"/>
  <c r="KF220" i="1"/>
  <c r="KF224" i="1" s="1"/>
  <c r="KF225" i="1" s="1"/>
  <c r="JJ228" i="1"/>
  <c r="JJ221" i="1"/>
  <c r="JD228" i="1"/>
  <c r="IG228" i="1"/>
  <c r="ID228" i="1"/>
  <c r="HR228" i="1"/>
  <c r="HL227" i="1"/>
  <c r="HL237" i="1" s="1"/>
  <c r="HL220" i="1"/>
  <c r="HL224" i="1" s="1"/>
  <c r="HL225" i="1" s="1"/>
  <c r="HI227" i="1"/>
  <c r="HI220" i="1"/>
  <c r="GT223" i="1"/>
  <c r="ACF228" i="1"/>
  <c r="ACG228" i="1"/>
  <c r="ACI228" i="1"/>
  <c r="ACH228" i="1"/>
  <c r="ACJ228" i="1"/>
  <c r="ACK228" i="1"/>
  <c r="ACL228" i="1"/>
  <c r="ACM228" i="1"/>
  <c r="ACN228" i="1"/>
  <c r="ACO228" i="1"/>
  <c r="ACP228" i="1"/>
  <c r="ACQ228" i="1"/>
  <c r="ACR228" i="1"/>
  <c r="ACS228" i="1"/>
  <c r="ACT228" i="1"/>
  <c r="ACU228" i="1"/>
  <c r="ACW228" i="1"/>
  <c r="ACV228" i="1"/>
  <c r="NR224" i="1"/>
  <c r="NR225" i="1" s="1"/>
  <c r="RI224" i="1"/>
  <c r="RI225" i="1" s="1"/>
  <c r="RI237" i="1"/>
  <c r="RG224" i="1"/>
  <c r="RG225" i="1" s="1"/>
  <c r="RD224" i="1"/>
  <c r="RD225" i="1" s="1"/>
  <c r="RD237" i="1"/>
  <c r="PW224" i="1"/>
  <c r="PW225" i="1" s="1"/>
  <c r="PB224" i="1"/>
  <c r="PB225" i="1" s="1"/>
  <c r="PB237" i="1"/>
  <c r="OT224" i="1"/>
  <c r="OT225" i="1" s="1"/>
  <c r="OT237" i="1"/>
  <c r="OP224" i="1"/>
  <c r="OP225" i="1" s="1"/>
  <c r="OD224" i="1"/>
  <c r="OD225" i="1" s="1"/>
  <c r="NY224" i="1"/>
  <c r="NY225" i="1" s="1"/>
  <c r="NY237" i="1"/>
  <c r="NV224" i="1"/>
  <c r="NV225" i="1" s="1"/>
  <c r="NV237" i="1"/>
  <c r="NS224" i="1"/>
  <c r="NS225" i="1" s="1"/>
  <c r="NS237" i="1"/>
  <c r="MQ224" i="1"/>
  <c r="MQ225" i="1" s="1"/>
  <c r="LB237" i="1"/>
  <c r="KB224" i="1"/>
  <c r="KB225" i="1" s="1"/>
  <c r="KB237" i="1"/>
  <c r="KD224" i="1"/>
  <c r="KD225" i="1" s="1"/>
  <c r="KD237" i="1"/>
  <c r="KM224" i="1"/>
  <c r="KM225" i="1" s="1"/>
  <c r="KM237" i="1"/>
  <c r="KQ224" i="1"/>
  <c r="KQ225" i="1" s="1"/>
  <c r="HU224" i="1"/>
  <c r="HU225" i="1" s="1"/>
  <c r="HU237" i="1"/>
  <c r="HD224" i="1"/>
  <c r="HD225" i="1" s="1"/>
  <c r="HD237" i="1"/>
  <c r="GT224" i="1"/>
  <c r="GT225" i="1" s="1"/>
  <c r="WT224" i="1"/>
  <c r="WT225" i="1" s="1"/>
  <c r="WT237" i="1"/>
  <c r="WA224" i="1"/>
  <c r="WA225" i="1" s="1"/>
  <c r="TH224" i="1"/>
  <c r="TH225" i="1" s="1"/>
  <c r="TH237" i="1"/>
  <c r="PW233" i="1"/>
  <c r="PW237" i="1" s="1"/>
  <c r="RG233" i="1"/>
  <c r="RG237" i="1" s="1"/>
  <c r="KQ233" i="1"/>
  <c r="KQ237" i="1" s="1"/>
  <c r="ACX228" i="1"/>
  <c r="ACW231" i="1"/>
  <c r="ACV231" i="1"/>
  <c r="ACW230" i="1"/>
  <c r="ACU231" i="1"/>
  <c r="ACU230" i="1"/>
  <c r="ACT231" i="1"/>
  <c r="ACS231" i="1"/>
  <c r="ACR231" i="1"/>
  <c r="ACR230" i="1"/>
  <c r="ACQ231" i="1"/>
  <c r="ACQ230" i="1"/>
  <c r="ACP231" i="1"/>
  <c r="ACP232" i="1"/>
  <c r="ACP230" i="1"/>
  <c r="ACO231" i="1"/>
  <c r="ACO232" i="1"/>
  <c r="ACO230" i="1"/>
  <c r="ACN231" i="1"/>
  <c r="ACN232" i="1"/>
  <c r="ACN230" i="1"/>
  <c r="ACM231" i="1"/>
  <c r="ACM232" i="1"/>
  <c r="ACM230" i="1"/>
  <c r="ACL231" i="1"/>
  <c r="ACL232" i="1"/>
  <c r="ACL230" i="1"/>
  <c r="ACK231" i="1"/>
  <c r="ACJ231" i="1"/>
  <c r="ACJ230" i="1"/>
  <c r="ACI231" i="1"/>
  <c r="ACH231" i="1"/>
  <c r="ACI230" i="1"/>
  <c r="ACG231" i="1"/>
  <c r="ACG230" i="1"/>
  <c r="ACF231" i="1"/>
  <c r="ACF230" i="1"/>
  <c r="JE223" i="1"/>
  <c r="JE224" i="1" s="1"/>
  <c r="JE225" i="1" s="1"/>
  <c r="NU223" i="1"/>
  <c r="OX223" i="1"/>
  <c r="DI230" i="1"/>
  <c r="CC230" i="1"/>
  <c r="FB230" i="1"/>
  <c r="AX230" i="1"/>
  <c r="BM230" i="1"/>
  <c r="CI230" i="1"/>
  <c r="DO230" i="1"/>
  <c r="DC230" i="1"/>
  <c r="TA230" i="1"/>
  <c r="AB230" i="1"/>
  <c r="XS231" i="1"/>
  <c r="QE231" i="1"/>
  <c r="OW231" i="1"/>
  <c r="LP231" i="1"/>
  <c r="LE231" i="1"/>
  <c r="KV231" i="1"/>
  <c r="KO231" i="1"/>
  <c r="KH231" i="1"/>
  <c r="JQ231" i="1"/>
  <c r="JF231" i="1"/>
  <c r="JD231" i="1"/>
  <c r="IG231" i="1"/>
  <c r="FC229" i="1"/>
  <c r="FC222" i="1"/>
  <c r="EU229" i="1"/>
  <c r="EU222" i="1"/>
  <c r="EM232" i="1"/>
  <c r="EM236" i="1"/>
  <c r="DT229" i="1"/>
  <c r="DT222" i="1"/>
  <c r="CA220" i="1"/>
  <c r="CA227" i="1"/>
  <c r="BV229" i="1"/>
  <c r="BV222" i="1"/>
  <c r="BQ229" i="1"/>
  <c r="BQ222" i="1"/>
  <c r="AR222" i="1"/>
  <c r="AR229" i="1"/>
  <c r="X229" i="1"/>
  <c r="X222" i="1"/>
  <c r="S229" i="1"/>
  <c r="S222" i="1"/>
  <c r="Q229" i="1"/>
  <c r="Q222" i="1"/>
  <c r="ACE231" i="1"/>
  <c r="ACE230" i="1"/>
  <c r="ACD231" i="1"/>
  <c r="ACD230" i="1"/>
  <c r="ACC231" i="1"/>
  <c r="ACB231" i="1"/>
  <c r="ACA231" i="1"/>
  <c r="ABZ231" i="1"/>
  <c r="ABY231" i="1"/>
  <c r="ABY230" i="1"/>
  <c r="ABX231" i="1"/>
  <c r="ABW231" i="1"/>
  <c r="ABV231" i="1"/>
  <c r="ABU231" i="1"/>
  <c r="ABT231" i="1"/>
  <c r="ABQ231" i="1"/>
  <c r="ABP231" i="1"/>
  <c r="ABP230" i="1"/>
  <c r="ABO231" i="1"/>
  <c r="ABN231" i="1"/>
  <c r="ABM231" i="1"/>
  <c r="ABL231" i="1"/>
  <c r="ABL230" i="1"/>
  <c r="ABK231" i="1"/>
  <c r="ABJ231" i="1"/>
  <c r="ABJ230" i="1"/>
  <c r="ABI231" i="1"/>
  <c r="ABI230" i="1"/>
  <c r="ABH231" i="1"/>
  <c r="ABH230" i="1"/>
  <c r="ABG231" i="1"/>
  <c r="ABG230" i="1"/>
  <c r="ABF231" i="1"/>
  <c r="ABF230" i="1"/>
  <c r="ABE231" i="1"/>
  <c r="ABE230" i="1"/>
  <c r="ABD231" i="1"/>
  <c r="ABD230" i="1"/>
  <c r="ABC231" i="1"/>
  <c r="ABC230" i="1"/>
  <c r="ABB231" i="1"/>
  <c r="ABB230" i="1"/>
  <c r="ABA231" i="1"/>
  <c r="ABA230" i="1"/>
  <c r="AAZ231" i="1"/>
  <c r="AAZ230" i="1"/>
  <c r="AAY231" i="1"/>
  <c r="AAY230" i="1"/>
  <c r="AAX231" i="1"/>
  <c r="AAX230" i="1"/>
  <c r="AAW231" i="1"/>
  <c r="AAW230" i="1"/>
  <c r="AAV231" i="1"/>
  <c r="AAV230" i="1"/>
  <c r="AAU231" i="1"/>
  <c r="AAU230" i="1"/>
  <c r="AAT231" i="1"/>
  <c r="AAT230" i="1"/>
  <c r="AAS231" i="1"/>
  <c r="AAS230" i="1"/>
  <c r="AAR231" i="1"/>
  <c r="AAR230" i="1"/>
  <c r="AAQ231" i="1"/>
  <c r="AAQ230" i="1"/>
  <c r="AAP231" i="1"/>
  <c r="AAP230" i="1"/>
  <c r="BL221" i="1"/>
  <c r="BL236" i="1"/>
  <c r="CJ236" i="1"/>
  <c r="CJ221" i="1"/>
  <c r="CD221" i="1"/>
  <c r="CD236" i="1"/>
  <c r="AAO232" i="1"/>
  <c r="RC230" i="1"/>
  <c r="BT229" i="1"/>
  <c r="BT222" i="1"/>
  <c r="GI222" i="1"/>
  <c r="GI229" i="1"/>
  <c r="EL229" i="1"/>
  <c r="EL222" i="1"/>
  <c r="ND223" i="1"/>
  <c r="CX229" i="1"/>
  <c r="CX222" i="1"/>
  <c r="DH228" i="1"/>
  <c r="DH221" i="1"/>
  <c r="EG228" i="1"/>
  <c r="I232" i="1"/>
  <c r="NE230" i="1"/>
  <c r="EB229" i="1"/>
  <c r="EB222" i="1"/>
  <c r="CF230" i="1"/>
  <c r="CT230" i="1"/>
  <c r="MX230" i="1"/>
  <c r="N222" i="1"/>
  <c r="N229" i="1"/>
  <c r="GS230" i="1"/>
  <c r="LC230" i="1"/>
  <c r="BS222" i="1"/>
  <c r="BS229" i="1"/>
  <c r="DM230" i="1"/>
  <c r="Q230" i="1"/>
  <c r="BW222" i="1"/>
  <c r="CV230" i="1"/>
  <c r="P230" i="1"/>
  <c r="DO222" i="1"/>
  <c r="DO229" i="1"/>
  <c r="FM220" i="1"/>
  <c r="FM223" i="1"/>
  <c r="FM227" i="1"/>
  <c r="UM223" i="1"/>
  <c r="AC220" i="1"/>
  <c r="AC227" i="1"/>
  <c r="ZY230" i="1"/>
  <c r="RB223" i="1"/>
  <c r="EU231" i="1"/>
  <c r="EG229" i="1"/>
  <c r="BG227" i="1"/>
  <c r="BG220" i="1"/>
  <c r="LY230" i="1"/>
  <c r="CR222" i="1"/>
  <c r="CR229" i="1"/>
  <c r="BU229" i="1"/>
  <c r="BU222" i="1"/>
  <c r="FY228" i="1"/>
  <c r="EG222" i="1"/>
  <c r="NO230" i="1"/>
  <c r="BF228" i="1"/>
  <c r="AC228" i="1"/>
  <c r="BK223" i="1"/>
  <c r="BK220" i="1"/>
  <c r="BK227" i="1"/>
  <c r="AO230" i="1"/>
  <c r="BN230" i="1"/>
  <c r="AZ227" i="1"/>
  <c r="FI222" i="1"/>
  <c r="FI229" i="1"/>
  <c r="DX230" i="1"/>
  <c r="HR230" i="1"/>
  <c r="EH230" i="1"/>
  <c r="ES222" i="1"/>
  <c r="ES229" i="1"/>
  <c r="BU230" i="1"/>
  <c r="UT230" i="1"/>
  <c r="H232" i="1"/>
  <c r="E229" i="1"/>
  <c r="E222" i="1"/>
  <c r="EL220" i="1"/>
  <c r="EL227" i="1"/>
  <c r="EA230" i="1"/>
  <c r="DN230" i="1"/>
  <c r="XY230" i="1"/>
  <c r="JV230" i="1"/>
  <c r="BX229" i="1"/>
  <c r="BX222" i="1"/>
  <c r="FL228" i="1"/>
  <c r="FY222" i="1"/>
  <c r="FY229" i="1"/>
  <c r="EA228" i="1"/>
  <c r="NA230" i="1"/>
  <c r="BK229" i="1"/>
  <c r="BK222" i="1"/>
  <c r="CT222" i="1"/>
  <c r="CT229" i="1"/>
  <c r="BZ230" i="1"/>
  <c r="M229" i="1"/>
  <c r="EA229" i="1"/>
  <c r="YU230" i="1"/>
  <c r="YZ230" i="1"/>
  <c r="GE222" i="1"/>
  <c r="GE229" i="1"/>
  <c r="GL228" i="1"/>
  <c r="JI230" i="1"/>
  <c r="IX230" i="1"/>
  <c r="EL228" i="1"/>
  <c r="AO229" i="1"/>
  <c r="AO222" i="1"/>
  <c r="FX228" i="1"/>
  <c r="FW227" i="1"/>
  <c r="FW220" i="1"/>
  <c r="AX228" i="1"/>
  <c r="BA228" i="1"/>
  <c r="DD230" i="1"/>
  <c r="NK230" i="1"/>
  <c r="IO230" i="1"/>
  <c r="AK230" i="1"/>
  <c r="AZ229" i="1"/>
  <c r="AZ222" i="1"/>
  <c r="ME230" i="1"/>
  <c r="AW220" i="1"/>
  <c r="AW227" i="1"/>
  <c r="AQ229" i="1"/>
  <c r="AQ222" i="1"/>
  <c r="HH230" i="1"/>
  <c r="BL230" i="1"/>
  <c r="GN230" i="1"/>
  <c r="CH223" i="1"/>
  <c r="DU223" i="1"/>
  <c r="DU224" i="1" s="1"/>
  <c r="DU225" i="1" s="1"/>
  <c r="CN222" i="1"/>
  <c r="CN229" i="1"/>
  <c r="DZ228" i="1"/>
  <c r="NU233" i="1"/>
  <c r="GJ222" i="1"/>
  <c r="GJ229" i="1"/>
  <c r="DR227" i="1"/>
  <c r="DR220" i="1"/>
  <c r="KY230" i="1"/>
  <c r="FV220" i="1"/>
  <c r="FV227" i="1"/>
  <c r="BP228" i="1"/>
  <c r="AX229" i="1"/>
  <c r="AX222" i="1"/>
  <c r="BV228" i="1"/>
  <c r="BV221" i="1"/>
  <c r="IF230" i="1"/>
  <c r="FQ230" i="1"/>
  <c r="CM230" i="1"/>
  <c r="FG230" i="1"/>
  <c r="BJ230" i="1"/>
  <c r="BY230" i="1"/>
  <c r="EX229" i="1"/>
  <c r="ER227" i="1"/>
  <c r="ER220" i="1"/>
  <c r="DQ229" i="1"/>
  <c r="DG236" i="1"/>
  <c r="DG221" i="1"/>
  <c r="TJ230" i="1"/>
  <c r="XK230" i="1"/>
  <c r="MF230" i="1"/>
  <c r="FJ229" i="1"/>
  <c r="FJ222" i="1"/>
  <c r="AG222" i="1"/>
  <c r="AG229" i="1"/>
  <c r="MU223" i="1"/>
  <c r="FV228" i="1"/>
  <c r="AO228" i="1"/>
  <c r="BJ220" i="1"/>
  <c r="BJ227" i="1"/>
  <c r="FY230" i="1"/>
  <c r="FY227" i="1"/>
  <c r="FY220" i="1"/>
  <c r="BK228" i="1"/>
  <c r="BK221" i="1"/>
  <c r="BI230" i="1"/>
  <c r="GD230" i="1"/>
  <c r="EY230" i="1"/>
  <c r="CR230" i="1"/>
  <c r="AL230" i="1"/>
  <c r="CB230" i="1"/>
  <c r="AF222" i="1"/>
  <c r="AB227" i="1"/>
  <c r="AB220" i="1"/>
  <c r="AB236" i="1"/>
  <c r="CW230" i="1"/>
  <c r="FF230" i="1"/>
  <c r="TI230" i="1"/>
  <c r="CQ222" i="1"/>
  <c r="CQ229" i="1"/>
  <c r="EM228" i="1"/>
  <c r="EM221" i="1"/>
  <c r="FZ229" i="1"/>
  <c r="FZ222" i="1"/>
  <c r="EN222" i="1"/>
  <c r="EN229" i="1"/>
  <c r="PI223" i="1"/>
  <c r="EW229" i="1"/>
  <c r="EW222" i="1"/>
  <c r="EW223" i="1"/>
  <c r="BC222" i="1"/>
  <c r="KA223" i="1"/>
  <c r="FK230" i="1"/>
  <c r="FQ229" i="1"/>
  <c r="FQ222" i="1"/>
  <c r="AZ230" i="1"/>
  <c r="AC230" i="1"/>
  <c r="AD230" i="1"/>
  <c r="US230" i="1"/>
  <c r="DP230" i="1"/>
  <c r="TN230" i="1"/>
  <c r="VI230" i="1"/>
  <c r="YV230" i="1"/>
  <c r="YF230" i="1"/>
  <c r="XI230" i="1"/>
  <c r="QP230" i="1"/>
  <c r="FA229" i="1"/>
  <c r="FA222" i="1"/>
  <c r="EH231" i="1"/>
  <c r="EF231" i="1"/>
  <c r="FF229" i="1"/>
  <c r="FF222" i="1"/>
  <c r="DB222" i="1"/>
  <c r="DB229" i="1"/>
  <c r="FU228" i="1"/>
  <c r="BA229" i="1"/>
  <c r="BN222" i="1"/>
  <c r="BN229" i="1"/>
  <c r="DF230" i="1"/>
  <c r="FB236" i="1"/>
  <c r="FB221" i="1"/>
  <c r="CJ230" i="1"/>
  <c r="GL236" i="1"/>
  <c r="GL227" i="1"/>
  <c r="CG230" i="1"/>
  <c r="FT230" i="1"/>
  <c r="GF220" i="1"/>
  <c r="GF227" i="1"/>
  <c r="I222" i="1"/>
  <c r="I229" i="1"/>
  <c r="R230" i="1"/>
  <c r="CA230" i="1"/>
  <c r="N236" i="1"/>
  <c r="N227" i="1"/>
  <c r="N220" i="1"/>
  <c r="N223" i="1"/>
  <c r="GK222" i="1"/>
  <c r="CH224" i="1"/>
  <c r="CH225" i="1" s="1"/>
  <c r="BB233" i="1"/>
  <c r="BB237" i="1" s="1"/>
  <c r="SC232" i="1"/>
  <c r="WR230" i="1"/>
  <c r="QC223" i="1"/>
  <c r="DQ220" i="1"/>
  <c r="DQ227" i="1"/>
  <c r="FC228" i="1"/>
  <c r="JK223" i="1"/>
  <c r="N228" i="1"/>
  <c r="N221" i="1"/>
  <c r="CR220" i="1"/>
  <c r="CR227" i="1"/>
  <c r="EK229" i="1"/>
  <c r="EK222" i="1"/>
  <c r="BI229" i="1"/>
  <c r="BI223" i="1"/>
  <c r="BI222" i="1"/>
  <c r="BN236" i="1"/>
  <c r="BN221" i="1"/>
  <c r="BN227" i="1"/>
  <c r="BN220" i="1"/>
  <c r="H228" i="1"/>
  <c r="CE230" i="1"/>
  <c r="PZ223" i="1"/>
  <c r="EQ230" i="1"/>
  <c r="GN222" i="1"/>
  <c r="GN229" i="1"/>
  <c r="U227" i="1"/>
  <c r="U220" i="1"/>
  <c r="U236" i="1"/>
  <c r="QQ230" i="1"/>
  <c r="FV229" i="1"/>
  <c r="FV222" i="1"/>
  <c r="MB232" i="1"/>
  <c r="DW227" i="1"/>
  <c r="DW220" i="1"/>
  <c r="MI230" i="1"/>
  <c r="IU230" i="1"/>
  <c r="FN228" i="1"/>
  <c r="HB230" i="1"/>
  <c r="GZ230" i="1"/>
  <c r="PS230" i="1"/>
  <c r="BM220" i="1"/>
  <c r="BM227" i="1"/>
  <c r="BM223" i="1"/>
  <c r="FX222" i="1"/>
  <c r="FX229" i="1"/>
  <c r="S230" i="1"/>
  <c r="AQ230" i="1"/>
  <c r="BH230" i="1"/>
  <c r="G228" i="1"/>
  <c r="EW230" i="1"/>
  <c r="EG230" i="1"/>
  <c r="H222" i="1"/>
  <c r="H229" i="1"/>
  <c r="CD230" i="1"/>
  <c r="CK222" i="1"/>
  <c r="CK229" i="1"/>
  <c r="VN230" i="1"/>
  <c r="CZ227" i="1"/>
  <c r="CZ220" i="1"/>
  <c r="TO230" i="1"/>
  <c r="XP232" i="1"/>
  <c r="FB222" i="1"/>
  <c r="FB229" i="1"/>
  <c r="FT229" i="1"/>
  <c r="FT222" i="1"/>
  <c r="Z232" i="1"/>
  <c r="FX220" i="1"/>
  <c r="FX227" i="1"/>
  <c r="Y232" i="1"/>
  <c r="FE229" i="1"/>
  <c r="FE222" i="1"/>
  <c r="DJ228" i="1"/>
  <c r="EV228" i="1"/>
  <c r="BD227" i="1"/>
  <c r="BD220" i="1"/>
  <c r="AM227" i="1"/>
  <c r="AM223" i="1"/>
  <c r="AM220" i="1"/>
  <c r="AG230" i="1"/>
  <c r="BM228" i="1"/>
  <c r="BM221" i="1"/>
  <c r="S236" i="1"/>
  <c r="EW236" i="1"/>
  <c r="EW221" i="1"/>
  <c r="EW224" i="1" s="1"/>
  <c r="EW225" i="1" s="1"/>
  <c r="G222" i="1"/>
  <c r="G229" i="1"/>
  <c r="L228" i="1"/>
  <c r="AV230" i="1"/>
  <c r="BG223" i="1"/>
  <c r="JH230" i="1"/>
  <c r="VG230" i="1"/>
  <c r="FH227" i="1"/>
  <c r="FH220" i="1"/>
  <c r="XD230" i="1"/>
  <c r="BX227" i="1"/>
  <c r="BX220" i="1"/>
  <c r="XQ230" i="1"/>
  <c r="XP230" i="1"/>
  <c r="CW229" i="1"/>
  <c r="CW222" i="1"/>
  <c r="DC228" i="1"/>
  <c r="DH220" i="1"/>
  <c r="DH227" i="1"/>
  <c r="BD228" i="1"/>
  <c r="AV229" i="1"/>
  <c r="J222" i="1"/>
  <c r="J229" i="1"/>
  <c r="AM228" i="1"/>
  <c r="AM221" i="1"/>
  <c r="F222" i="1"/>
  <c r="F229" i="1"/>
  <c r="BM222" i="1"/>
  <c r="BM229" i="1"/>
  <c r="BD230" i="1"/>
  <c r="BQ230" i="1"/>
  <c r="G232" i="1"/>
  <c r="F228" i="1"/>
  <c r="L229" i="1"/>
  <c r="L222" i="1"/>
  <c r="BG230" i="1"/>
  <c r="J230" i="1"/>
  <c r="DQ230" i="1"/>
  <c r="JZ230" i="1"/>
  <c r="V230" i="1"/>
  <c r="FW223" i="1"/>
  <c r="E228" i="1"/>
  <c r="AS230" i="1"/>
  <c r="YX236" i="1"/>
  <c r="AAM232" i="1"/>
  <c r="AAO231" i="1"/>
  <c r="AAM231" i="1"/>
  <c r="AAL231" i="1"/>
  <c r="AAK231" i="1"/>
  <c r="AAJ231" i="1"/>
  <c r="AAI231" i="1"/>
  <c r="AAH231" i="1"/>
  <c r="AAG231" i="1"/>
  <c r="AAF231" i="1"/>
  <c r="AAE231" i="1"/>
  <c r="AAD231" i="1"/>
  <c r="AAC231" i="1"/>
  <c r="AAB231" i="1"/>
  <c r="O229" i="1"/>
  <c r="O222" i="1"/>
  <c r="I182" i="1" l="1"/>
  <c r="L182" i="1"/>
  <c r="M45" i="1"/>
  <c r="M124" i="1"/>
  <c r="M144" i="1" s="1"/>
  <c r="M177" i="1"/>
  <c r="M203" i="1" s="1"/>
  <c r="M178" i="1"/>
  <c r="M204" i="1" s="1"/>
  <c r="I45" i="1"/>
  <c r="L45" i="1"/>
  <c r="M179" i="1"/>
  <c r="P45" i="1"/>
  <c r="F177" i="1"/>
  <c r="F203" i="1" s="1"/>
  <c r="F205" i="1" s="1"/>
  <c r="I177" i="1"/>
  <c r="I203" i="1" s="1"/>
  <c r="I205" i="1" s="1"/>
  <c r="J177" i="1"/>
  <c r="J203" i="1" s="1"/>
  <c r="L177" i="1"/>
  <c r="L203" i="1" s="1"/>
  <c r="M181" i="1"/>
  <c r="O177" i="1"/>
  <c r="O203" i="1" s="1"/>
  <c r="P177" i="1"/>
  <c r="P203" i="1" s="1"/>
  <c r="L178" i="1"/>
  <c r="L204" i="1" s="1"/>
  <c r="O178" i="1"/>
  <c r="O204" i="1" s="1"/>
  <c r="P178" i="1"/>
  <c r="P204" i="1" s="1"/>
  <c r="T178" i="1"/>
  <c r="T204" i="1" s="1"/>
  <c r="I179" i="1"/>
  <c r="J179" i="1"/>
  <c r="L179" i="1"/>
  <c r="O179" i="1"/>
  <c r="P179" i="1"/>
  <c r="T179" i="1"/>
  <c r="F180" i="1"/>
  <c r="H180" i="1"/>
  <c r="I180" i="1"/>
  <c r="K180" i="1"/>
  <c r="L180" i="1"/>
  <c r="T180" i="1"/>
  <c r="F182" i="1"/>
  <c r="J182" i="1"/>
  <c r="P182" i="1"/>
  <c r="F45" i="1"/>
  <c r="J45" i="1"/>
  <c r="F124" i="1"/>
  <c r="I124" i="1"/>
  <c r="I144" i="1" s="1"/>
  <c r="J124" i="1"/>
  <c r="L124" i="1"/>
  <c r="M180" i="1"/>
  <c r="O124" i="1"/>
  <c r="P124" i="1"/>
  <c r="T205" i="1"/>
  <c r="F178" i="1"/>
  <c r="F204" i="1" s="1"/>
  <c r="I178" i="1"/>
  <c r="I204" i="1" s="1"/>
  <c r="J178" i="1"/>
  <c r="J204" i="1" s="1"/>
  <c r="F179" i="1"/>
  <c r="H179" i="1"/>
  <c r="J180" i="1"/>
  <c r="O180" i="1"/>
  <c r="P180" i="1"/>
  <c r="R180" i="1"/>
  <c r="V182" i="1"/>
  <c r="V181" i="1"/>
  <c r="V180" i="1"/>
  <c r="V179" i="1"/>
  <c r="V178" i="1"/>
  <c r="V204" i="1" s="1"/>
  <c r="V177" i="1"/>
  <c r="V203" i="1" s="1"/>
  <c r="V124" i="1"/>
  <c r="V45" i="1"/>
  <c r="U182" i="1"/>
  <c r="U181" i="1"/>
  <c r="U180" i="1"/>
  <c r="U179" i="1"/>
  <c r="U178" i="1"/>
  <c r="U204" i="1" s="1"/>
  <c r="U177" i="1"/>
  <c r="U203" i="1" s="1"/>
  <c r="U205" i="1" s="1"/>
  <c r="U124" i="1"/>
  <c r="U45" i="1"/>
  <c r="T130" i="1"/>
  <c r="T131" i="1" s="1"/>
  <c r="T144" i="1"/>
  <c r="S130" i="1"/>
  <c r="S131" i="1" s="1"/>
  <c r="S144" i="1"/>
  <c r="R130" i="1"/>
  <c r="R131" i="1" s="1"/>
  <c r="R144" i="1"/>
  <c r="Q130" i="1"/>
  <c r="Q131" i="1" s="1"/>
  <c r="Q144" i="1"/>
  <c r="P130" i="1"/>
  <c r="P131" i="1" s="1"/>
  <c r="P144" i="1" s="1"/>
  <c r="M130" i="1"/>
  <c r="M131" i="1" s="1"/>
  <c r="N130" i="1"/>
  <c r="N131" i="1" s="1"/>
  <c r="N144" i="1"/>
  <c r="L130" i="1"/>
  <c r="L131" i="1" s="1"/>
  <c r="L144" i="1"/>
  <c r="K130" i="1"/>
  <c r="K131" i="1" s="1"/>
  <c r="K144" i="1"/>
  <c r="J130" i="1"/>
  <c r="J131" i="1" s="1"/>
  <c r="J144" i="1" s="1"/>
  <c r="I130" i="1"/>
  <c r="I131" i="1" s="1"/>
  <c r="H130" i="1"/>
  <c r="H131" i="1" s="1"/>
  <c r="H144" i="1"/>
  <c r="G130" i="1"/>
  <c r="G131" i="1" s="1"/>
  <c r="G144" i="1"/>
  <c r="F130" i="1"/>
  <c r="F131" i="1" s="1"/>
  <c r="F144" i="1"/>
  <c r="E130" i="1"/>
  <c r="E131" i="1" s="1"/>
  <c r="E144" i="1"/>
  <c r="VL230" i="1"/>
  <c r="GL230" i="1"/>
  <c r="ABK230" i="1"/>
  <c r="ABQ230" i="1"/>
  <c r="ABU230" i="1"/>
  <c r="ACT230" i="1"/>
  <c r="AAB230" i="1"/>
  <c r="AAH230" i="1"/>
  <c r="AAO230" i="1"/>
  <c r="VE230" i="1"/>
  <c r="MS230" i="1"/>
  <c r="MA230" i="1"/>
  <c r="RQ230" i="1"/>
  <c r="LT230" i="1"/>
  <c r="NQ230" i="1"/>
  <c r="HZ230" i="1"/>
  <c r="TR230" i="1"/>
  <c r="VV230" i="1"/>
  <c r="VH230" i="1"/>
  <c r="ABV230" i="1"/>
  <c r="ABW230" i="1"/>
  <c r="HQ230" i="1"/>
  <c r="OI230" i="1"/>
  <c r="ABO230" i="1"/>
  <c r="SH230" i="1"/>
  <c r="XM230" i="1"/>
  <c r="WP230" i="1"/>
  <c r="VY230" i="1"/>
  <c r="ABM230" i="1"/>
  <c r="CM36" i="11"/>
  <c r="CM33" i="11"/>
  <c r="CM34" i="11" s="1"/>
  <c r="AAD230" i="1"/>
  <c r="AAJ230" i="1"/>
  <c r="AAM230" i="1"/>
  <c r="YX230" i="1"/>
  <c r="IB230" i="1"/>
  <c r="H230" i="1"/>
  <c r="OR230" i="1"/>
  <c r="OY230" i="1"/>
  <c r="XO230" i="1"/>
  <c r="QZ230" i="1"/>
  <c r="MB230" i="1"/>
  <c r="OO230" i="1"/>
  <c r="FL230" i="1"/>
  <c r="MD230" i="1"/>
  <c r="VK230" i="1"/>
  <c r="OL230" i="1"/>
  <c r="LR230" i="1"/>
  <c r="MZ230" i="1"/>
  <c r="ABN230" i="1"/>
  <c r="ABT230" i="1"/>
  <c r="ABX230" i="1"/>
  <c r="ACA230" i="1"/>
  <c r="ACC230" i="1"/>
  <c r="AAF230" i="1"/>
  <c r="NF230" i="1"/>
  <c r="QY230" i="1"/>
  <c r="WI230" i="1"/>
  <c r="PY223" i="1"/>
  <c r="QA223" i="1"/>
  <c r="QL223" i="1"/>
  <c r="HI223" i="1"/>
  <c r="AAC230" i="1"/>
  <c r="AAE230" i="1"/>
  <c r="AAK230" i="1"/>
  <c r="AAL230" i="1"/>
  <c r="RM230" i="1"/>
  <c r="NT230" i="1"/>
  <c r="QT230" i="1"/>
  <c r="UR230" i="1"/>
  <c r="XE230" i="1"/>
  <c r="PC230" i="1"/>
  <c r="AR230" i="1"/>
  <c r="MK230" i="1"/>
  <c r="IS230" i="1"/>
  <c r="WW230" i="1"/>
  <c r="UN230" i="1"/>
  <c r="YG230" i="1"/>
  <c r="ACH230" i="1"/>
  <c r="ACK230" i="1"/>
  <c r="ACS230" i="1"/>
  <c r="ACV230" i="1"/>
  <c r="AAI230" i="1"/>
  <c r="RL230" i="1"/>
  <c r="KE230" i="1"/>
  <c r="HE230" i="1"/>
  <c r="NN230" i="1"/>
  <c r="GF230" i="1"/>
  <c r="XH230" i="1"/>
  <c r="WN230" i="1"/>
  <c r="XJ230" i="1"/>
  <c r="WY230" i="1"/>
  <c r="K230" i="1"/>
  <c r="IM230" i="1"/>
  <c r="KU230" i="1"/>
  <c r="PX230" i="1"/>
  <c r="AAG230" i="1"/>
  <c r="NW230" i="1"/>
  <c r="PG230" i="1"/>
  <c r="SC230" i="1"/>
  <c r="WJ230" i="1"/>
  <c r="MU233" i="1"/>
  <c r="YO230" i="1"/>
  <c r="XA230" i="1"/>
  <c r="PF230" i="1"/>
  <c r="XR230" i="1"/>
  <c r="YR230" i="1"/>
  <c r="SN230" i="1"/>
  <c r="VX230" i="1"/>
  <c r="LF230" i="1"/>
  <c r="OU230" i="1"/>
  <c r="GK230" i="1"/>
  <c r="ABZ230" i="1"/>
  <c r="ACB230" i="1"/>
  <c r="SS224" i="1"/>
  <c r="SS225" i="1" s="1"/>
  <c r="OZ230" i="1"/>
  <c r="MA229" i="1"/>
  <c r="MA222" i="1"/>
  <c r="XU229" i="1"/>
  <c r="XU222" i="1"/>
  <c r="YN230" i="1"/>
  <c r="YO229" i="1"/>
  <c r="YO222" i="1"/>
  <c r="ZW236" i="1"/>
  <c r="ZW221" i="1"/>
  <c r="ZR236" i="1"/>
  <c r="ZR221" i="1"/>
  <c r="YJ227" i="1"/>
  <c r="YJ220" i="1"/>
  <c r="ZH227" i="1"/>
  <c r="ZH220" i="1"/>
  <c r="XZ227" i="1"/>
  <c r="XZ220" i="1"/>
  <c r="ZI227" i="1"/>
  <c r="ZI220" i="1"/>
  <c r="TV236" i="1"/>
  <c r="TV221" i="1"/>
  <c r="SP227" i="1"/>
  <c r="SP220" i="1"/>
  <c r="WF227" i="1"/>
  <c r="WF220" i="1"/>
  <c r="SU227" i="1"/>
  <c r="SU220" i="1"/>
  <c r="TL236" i="1"/>
  <c r="TL221" i="1"/>
  <c r="SI236" i="1"/>
  <c r="SI221" i="1"/>
  <c r="RT236" i="1"/>
  <c r="RT221" i="1"/>
  <c r="UD230" i="1"/>
  <c r="SE227" i="1"/>
  <c r="SE220" i="1"/>
  <c r="TJ227" i="1"/>
  <c r="TJ220" i="1"/>
  <c r="WH227" i="1"/>
  <c r="WH220" i="1"/>
  <c r="PN236" i="1"/>
  <c r="PN221" i="1"/>
  <c r="SG227" i="1"/>
  <c r="SG220" i="1"/>
  <c r="VE227" i="1"/>
  <c r="VE220" i="1"/>
  <c r="QG236" i="1"/>
  <c r="QG221" i="1"/>
  <c r="KY227" i="1"/>
  <c r="KY220" i="1"/>
  <c r="LK227" i="1"/>
  <c r="LK220" i="1"/>
  <c r="LT227" i="1"/>
  <c r="LT220" i="1"/>
  <c r="KW230" i="1"/>
  <c r="HK229" i="1"/>
  <c r="HK222" i="1"/>
  <c r="NN229" i="1"/>
  <c r="NN222" i="1"/>
  <c r="ZU227" i="1"/>
  <c r="ZU220" i="1"/>
  <c r="ZV236" i="1"/>
  <c r="ZV221" i="1"/>
  <c r="ZA227" i="1"/>
  <c r="ZA220" i="1"/>
  <c r="QD236" i="1"/>
  <c r="QD221" i="1"/>
  <c r="ZL227" i="1"/>
  <c r="ZL220" i="1"/>
  <c r="YC227" i="1"/>
  <c r="YC220" i="1"/>
  <c r="YB227" i="1"/>
  <c r="YB220" i="1"/>
  <c r="RS236" i="1"/>
  <c r="RS221" i="1"/>
  <c r="TN227" i="1"/>
  <c r="TN220" i="1"/>
  <c r="VM227" i="1"/>
  <c r="VM220" i="1"/>
  <c r="QN236" i="1"/>
  <c r="QN221" i="1"/>
  <c r="SA236" i="1"/>
  <c r="SA221" i="1"/>
  <c r="TI227" i="1"/>
  <c r="TI220" i="1"/>
  <c r="US227" i="1"/>
  <c r="US220" i="1"/>
  <c r="XE227" i="1"/>
  <c r="XE220" i="1"/>
  <c r="RW227" i="1"/>
  <c r="RW220" i="1"/>
  <c r="SJ227" i="1"/>
  <c r="SJ220" i="1"/>
  <c r="QR236" i="1"/>
  <c r="QR221" i="1"/>
  <c r="IL230" i="1"/>
  <c r="LO227" i="1"/>
  <c r="LO220" i="1"/>
  <c r="QI236" i="1"/>
  <c r="QI221" i="1"/>
  <c r="NQ227" i="1"/>
  <c r="NQ220" i="1"/>
  <c r="HV229" i="1"/>
  <c r="HV222" i="1"/>
  <c r="GS229" i="1"/>
  <c r="GS222" i="1"/>
  <c r="HC229" i="1"/>
  <c r="HC222" i="1"/>
  <c r="MD229" i="1"/>
  <c r="MD222" i="1"/>
  <c r="IS229" i="1"/>
  <c r="IS222" i="1"/>
  <c r="PG229" i="1"/>
  <c r="PG222" i="1"/>
  <c r="QP229" i="1"/>
  <c r="QP222" i="1"/>
  <c r="RE229" i="1"/>
  <c r="RE222" i="1"/>
  <c r="XV227" i="1"/>
  <c r="XV220" i="1"/>
  <c r="XJ229" i="1"/>
  <c r="XJ222" i="1"/>
  <c r="XG230" i="1"/>
  <c r="XI229" i="1"/>
  <c r="XI222" i="1"/>
  <c r="YR229" i="1"/>
  <c r="YR222" i="1"/>
  <c r="YM229" i="1"/>
  <c r="YM222" i="1"/>
  <c r="YK227" i="1"/>
  <c r="YK220" i="1"/>
  <c r="OB236" i="1"/>
  <c r="OB221" i="1"/>
  <c r="VJ227" i="1"/>
  <c r="VJ220" i="1"/>
  <c r="WU236" i="1"/>
  <c r="WU221" i="1"/>
  <c r="SR236" i="1"/>
  <c r="SR221" i="1"/>
  <c r="VU227" i="1"/>
  <c r="VU220" i="1"/>
  <c r="VP236" i="1"/>
  <c r="VP221" i="1"/>
  <c r="WN227" i="1"/>
  <c r="WN220" i="1"/>
  <c r="VS236" i="1"/>
  <c r="VS221" i="1"/>
  <c r="WJ227" i="1"/>
  <c r="WJ220" i="1"/>
  <c r="RZ227" i="1"/>
  <c r="RZ220" i="1"/>
  <c r="XC236" i="1"/>
  <c r="XC221" i="1"/>
  <c r="IE227" i="1"/>
  <c r="IE220" i="1"/>
  <c r="QH236" i="1"/>
  <c r="QH221" i="1"/>
  <c r="QA236" i="1"/>
  <c r="QA221" i="1"/>
  <c r="LA230" i="1"/>
  <c r="OA236" i="1"/>
  <c r="OA221" i="1"/>
  <c r="NB227" i="1"/>
  <c r="NB220" i="1"/>
  <c r="OO236" i="1"/>
  <c r="OO221" i="1"/>
  <c r="OQ227" i="1"/>
  <c r="OQ220" i="1"/>
  <c r="NG227" i="1"/>
  <c r="NG220" i="1"/>
  <c r="ID230" i="1"/>
  <c r="OU229" i="1"/>
  <c r="OU222" i="1"/>
  <c r="JH229" i="1"/>
  <c r="JH222" i="1"/>
  <c r="XT229" i="1"/>
  <c r="XT222" i="1"/>
  <c r="YM230" i="1"/>
  <c r="YQ229" i="1"/>
  <c r="YQ222" i="1"/>
  <c r="XN230" i="1"/>
  <c r="ZO227" i="1"/>
  <c r="ZO220" i="1"/>
  <c r="ZN236" i="1"/>
  <c r="ZN221" i="1"/>
  <c r="ZM227" i="1"/>
  <c r="ZM220" i="1"/>
  <c r="QT229" i="1"/>
  <c r="QT222" i="1"/>
  <c r="SD229" i="1"/>
  <c r="SD222" i="1"/>
  <c r="TX227" i="1"/>
  <c r="TX220" i="1"/>
  <c r="SW236" i="1"/>
  <c r="SW221" i="1"/>
  <c r="TR227" i="1"/>
  <c r="TR220" i="1"/>
  <c r="VR227" i="1"/>
  <c r="VR220" i="1"/>
  <c r="TS227" i="1"/>
  <c r="TS220" i="1"/>
  <c r="TT227" i="1"/>
  <c r="TT220" i="1"/>
  <c r="TY227" i="1"/>
  <c r="TY220" i="1"/>
  <c r="SL230" i="1"/>
  <c r="UB227" i="1"/>
  <c r="UB220" i="1"/>
  <c r="UG227" i="1"/>
  <c r="UG220" i="1"/>
  <c r="QF236" i="1"/>
  <c r="QF221" i="1"/>
  <c r="IL227" i="1"/>
  <c r="IL220" i="1"/>
  <c r="GP230" i="1"/>
  <c r="LG229" i="1"/>
  <c r="LG222" i="1"/>
  <c r="JA229" i="1"/>
  <c r="JA222" i="1"/>
  <c r="HC230" i="1"/>
  <c r="MS227" i="1"/>
  <c r="MS220" i="1"/>
  <c r="MR229" i="1"/>
  <c r="MR222" i="1"/>
  <c r="OH229" i="1"/>
  <c r="OH222" i="1"/>
  <c r="XW227" i="1"/>
  <c r="XW220" i="1"/>
  <c r="YH227" i="1"/>
  <c r="YH220" i="1"/>
  <c r="QY229" i="1"/>
  <c r="QY222" i="1"/>
  <c r="YY227" i="1"/>
  <c r="YY220" i="1"/>
  <c r="YU227" i="1"/>
  <c r="YU220" i="1"/>
  <c r="TU227" i="1"/>
  <c r="TU220" i="1"/>
  <c r="GW236" i="1"/>
  <c r="GW221" i="1"/>
  <c r="WQ227" i="1"/>
  <c r="WQ220" i="1"/>
  <c r="VO236" i="1"/>
  <c r="VO221" i="1"/>
  <c r="TD227" i="1"/>
  <c r="TD220" i="1"/>
  <c r="SF227" i="1"/>
  <c r="SF220" i="1"/>
  <c r="WW227" i="1"/>
  <c r="WW220" i="1"/>
  <c r="SL227" i="1"/>
  <c r="SL220" i="1"/>
  <c r="UT227" i="1"/>
  <c r="UT220" i="1"/>
  <c r="UO227" i="1"/>
  <c r="UO220" i="1"/>
  <c r="MW227" i="1"/>
  <c r="MW220" i="1"/>
  <c r="NK227" i="1"/>
  <c r="NK220" i="1"/>
  <c r="MJ227" i="1"/>
  <c r="MJ220" i="1"/>
  <c r="QU236" i="1"/>
  <c r="QU221" i="1"/>
  <c r="QU230" i="1"/>
  <c r="LD227" i="1"/>
  <c r="LD220" i="1"/>
  <c r="MP227" i="1"/>
  <c r="MP220" i="1"/>
  <c r="MS229" i="1"/>
  <c r="MS222" i="1"/>
  <c r="IZ230" i="1"/>
  <c r="PO227" i="1"/>
  <c r="PO220" i="1"/>
  <c r="PX229" i="1"/>
  <c r="PX222" i="1"/>
  <c r="IT229" i="1"/>
  <c r="IT222" i="1"/>
  <c r="MZ229" i="1"/>
  <c r="MZ222" i="1"/>
  <c r="ZJ236" i="1"/>
  <c r="ZJ221" i="1"/>
  <c r="YS236" i="1"/>
  <c r="YS221" i="1"/>
  <c r="ZP227" i="1"/>
  <c r="ZP220" i="1"/>
  <c r="ZX236" i="1"/>
  <c r="ZX221" i="1"/>
  <c r="ZY227" i="1"/>
  <c r="ZY220" i="1"/>
  <c r="SD230" i="1"/>
  <c r="YF227" i="1"/>
  <c r="YF220" i="1"/>
  <c r="VB227" i="1"/>
  <c r="VB220" i="1"/>
  <c r="WO230" i="1"/>
  <c r="WV227" i="1"/>
  <c r="WV220" i="1"/>
  <c r="SN227" i="1"/>
  <c r="SN220" i="1"/>
  <c r="VD230" i="1"/>
  <c r="QM227" i="1"/>
  <c r="QM220" i="1"/>
  <c r="RP227" i="1"/>
  <c r="RP220" i="1"/>
  <c r="VV227" i="1"/>
  <c r="VV220" i="1"/>
  <c r="TZ227" i="1"/>
  <c r="TZ220" i="1"/>
  <c r="WY227" i="1"/>
  <c r="WY220" i="1"/>
  <c r="OM236" i="1"/>
  <c r="OM221" i="1"/>
  <c r="VX227" i="1"/>
  <c r="VX220" i="1"/>
  <c r="ST230" i="1"/>
  <c r="VG227" i="1"/>
  <c r="VG220" i="1"/>
  <c r="JB236" i="1"/>
  <c r="JB221" i="1"/>
  <c r="PV236" i="1"/>
  <c r="PV221" i="1"/>
  <c r="IJ236" i="1"/>
  <c r="IJ221" i="1"/>
  <c r="MW230" i="1"/>
  <c r="IC227" i="1"/>
  <c r="IC220" i="1"/>
  <c r="MY236" i="1"/>
  <c r="MY221" i="1"/>
  <c r="MY230" i="1"/>
  <c r="MN227" i="1"/>
  <c r="MN220" i="1"/>
  <c r="PP227" i="1"/>
  <c r="PP220" i="1"/>
  <c r="JA230" i="1"/>
  <c r="LA227" i="1"/>
  <c r="LA220" i="1"/>
  <c r="GZ229" i="1"/>
  <c r="GZ222" i="1"/>
  <c r="MV227" i="1"/>
  <c r="MV220" i="1"/>
  <c r="IT230" i="1"/>
  <c r="MR230" i="1"/>
  <c r="OH230" i="1"/>
  <c r="YQ230" i="1"/>
  <c r="YL230" i="1"/>
  <c r="YV227" i="1"/>
  <c r="YV220" i="1"/>
  <c r="WX227" i="1"/>
  <c r="WX220" i="1"/>
  <c r="ZC227" i="1"/>
  <c r="ZC220" i="1"/>
  <c r="UV236" i="1"/>
  <c r="UV221" i="1"/>
  <c r="SO227" i="1"/>
  <c r="SO220" i="1"/>
  <c r="VL227" i="1"/>
  <c r="VL220" i="1"/>
  <c r="SX236" i="1"/>
  <c r="SX221" i="1"/>
  <c r="UL236" i="1"/>
  <c r="UL221" i="1"/>
  <c r="WO227" i="1"/>
  <c r="WO220" i="1"/>
  <c r="TC227" i="1"/>
  <c r="TC220" i="1"/>
  <c r="VD227" i="1"/>
  <c r="VD220" i="1"/>
  <c r="WL227" i="1"/>
  <c r="WL220" i="1"/>
  <c r="UU236" i="1"/>
  <c r="UU221" i="1"/>
  <c r="UM236" i="1"/>
  <c r="UM221" i="1"/>
  <c r="IB227" i="1"/>
  <c r="IB220" i="1"/>
  <c r="WZ236" i="1"/>
  <c r="WZ221" i="1"/>
  <c r="XB227" i="1"/>
  <c r="XB220" i="1"/>
  <c r="WK227" i="1"/>
  <c r="WK220" i="1"/>
  <c r="VC236" i="1"/>
  <c r="VC221" i="1"/>
  <c r="UE227" i="1"/>
  <c r="UE220" i="1"/>
  <c r="ST227" i="1"/>
  <c r="ST220" i="1"/>
  <c r="UX227" i="1"/>
  <c r="UX220" i="1"/>
  <c r="VH227" i="1"/>
  <c r="VH220" i="1"/>
  <c r="UN227" i="1"/>
  <c r="UN220" i="1"/>
  <c r="WP227" i="1"/>
  <c r="WP220" i="1"/>
  <c r="OL236" i="1"/>
  <c r="OL221" i="1"/>
  <c r="IU229" i="1"/>
  <c r="IU222" i="1"/>
  <c r="LG230" i="1"/>
  <c r="OC227" i="1"/>
  <c r="OC220" i="1"/>
  <c r="IZ229" i="1"/>
  <c r="IZ222" i="1"/>
  <c r="HH229" i="1"/>
  <c r="HH222" i="1"/>
  <c r="ON227" i="1"/>
  <c r="ON220" i="1"/>
  <c r="NJ230" i="1"/>
  <c r="LC229" i="1"/>
  <c r="LC222" i="1"/>
  <c r="RC229" i="1"/>
  <c r="RC222" i="1"/>
  <c r="XU230" i="1"/>
  <c r="XN229" i="1"/>
  <c r="XN222" i="1"/>
  <c r="AAN230" i="1"/>
  <c r="XH229" i="1"/>
  <c r="XH222" i="1"/>
  <c r="HY227" i="1"/>
  <c r="HY220" i="1"/>
  <c r="GR227" i="1"/>
  <c r="GR220" i="1"/>
  <c r="IH227" i="1"/>
  <c r="IH220" i="1"/>
  <c r="AAQ227" i="1"/>
  <c r="AAQ220" i="1"/>
  <c r="AAR227" i="1"/>
  <c r="AAR220" i="1"/>
  <c r="AAS227" i="1"/>
  <c r="AAS220" i="1"/>
  <c r="AAT227" i="1"/>
  <c r="AAT220" i="1"/>
  <c r="AAU227" i="1"/>
  <c r="AAU220" i="1"/>
  <c r="AAV227" i="1"/>
  <c r="AAV220" i="1"/>
  <c r="AAW227" i="1"/>
  <c r="AAW220" i="1"/>
  <c r="AAX227" i="1"/>
  <c r="AAX220" i="1"/>
  <c r="AAY227" i="1"/>
  <c r="AAY220" i="1"/>
  <c r="AAZ227" i="1"/>
  <c r="AAZ220" i="1"/>
  <c r="ABA227" i="1"/>
  <c r="ABA220" i="1"/>
  <c r="ABB227" i="1"/>
  <c r="ABB220" i="1"/>
  <c r="ABC227" i="1"/>
  <c r="ABC220" i="1"/>
  <c r="ABD227" i="1"/>
  <c r="ABD220" i="1"/>
  <c r="ABE227" i="1"/>
  <c r="ABE220" i="1"/>
  <c r="ABF227" i="1"/>
  <c r="ABF220" i="1"/>
  <c r="ABG227" i="1"/>
  <c r="ABG220" i="1"/>
  <c r="ABH227" i="1"/>
  <c r="ABH220" i="1"/>
  <c r="ABR227" i="1"/>
  <c r="ABR220" i="1"/>
  <c r="ABS227" i="1"/>
  <c r="ABS220" i="1"/>
  <c r="ACA227" i="1"/>
  <c r="ACA220" i="1"/>
  <c r="ACB227" i="1"/>
  <c r="ACB220" i="1"/>
  <c r="YE227" i="1"/>
  <c r="YE220" i="1"/>
  <c r="TW227" i="1"/>
  <c r="TW220" i="1"/>
  <c r="JC227" i="1"/>
  <c r="JC220" i="1"/>
  <c r="MU236" i="1"/>
  <c r="MU221" i="1"/>
  <c r="PD227" i="1"/>
  <c r="PD220" i="1"/>
  <c r="PM227" i="1"/>
  <c r="PM220" i="1"/>
  <c r="QS227" i="1"/>
  <c r="QS220" i="1"/>
  <c r="RH236" i="1"/>
  <c r="RH221" i="1"/>
  <c r="VW230" i="1"/>
  <c r="RZ230" i="1"/>
  <c r="JR236" i="1"/>
  <c r="JR221" i="1"/>
  <c r="JR230" i="1"/>
  <c r="ACX229" i="1"/>
  <c r="ACX222" i="1"/>
  <c r="ACX230" i="1"/>
  <c r="SK236" i="1"/>
  <c r="SK221" i="1"/>
  <c r="SK223" i="1"/>
  <c r="PK236" i="1"/>
  <c r="PK221" i="1"/>
  <c r="HG236" i="1"/>
  <c r="HG221" i="1"/>
  <c r="HG223" i="1"/>
  <c r="QB236" i="1"/>
  <c r="QB221" i="1"/>
  <c r="LL236" i="1"/>
  <c r="LL221" i="1"/>
  <c r="PI236" i="1"/>
  <c r="PI221" i="1"/>
  <c r="TW230" i="1"/>
  <c r="SI230" i="1"/>
  <c r="UM224" i="1"/>
  <c r="UM225" i="1" s="1"/>
  <c r="OS223" i="1"/>
  <c r="OS224" i="1" s="1"/>
  <c r="OS225" i="1" s="1"/>
  <c r="QA224" i="1"/>
  <c r="QA225" i="1" s="1"/>
  <c r="ZZ230" i="1"/>
  <c r="AAA230" i="1"/>
  <c r="UY230" i="1"/>
  <c r="WE230" i="1"/>
  <c r="TG230" i="1"/>
  <c r="TB230" i="1"/>
  <c r="UA230" i="1"/>
  <c r="VJ230" i="1"/>
  <c r="OV230" i="1"/>
  <c r="UK230" i="1"/>
  <c r="RK230" i="1"/>
  <c r="OG230" i="1"/>
  <c r="KN230" i="1"/>
  <c r="LX230" i="1"/>
  <c r="JT230" i="1"/>
  <c r="LI230" i="1"/>
  <c r="XT230" i="1"/>
  <c r="SM230" i="1"/>
  <c r="HJ230" i="1"/>
  <c r="RF230" i="1"/>
  <c r="HF230" i="1"/>
  <c r="MO230" i="1"/>
  <c r="WD230" i="1"/>
  <c r="SE230" i="1"/>
  <c r="IR230" i="1"/>
  <c r="SP230" i="1"/>
  <c r="VM230" i="1"/>
  <c r="SU230" i="1"/>
  <c r="RU230" i="1"/>
  <c r="HS230" i="1"/>
  <c r="HV230" i="1"/>
  <c r="KR230" i="1"/>
  <c r="YD223" i="1"/>
  <c r="YD236" i="1"/>
  <c r="YD221" i="1"/>
  <c r="YG236" i="1"/>
  <c r="YG221" i="1"/>
  <c r="ZD236" i="1"/>
  <c r="ZD221" i="1"/>
  <c r="UJ227" i="1"/>
  <c r="UJ220" i="1"/>
  <c r="WI227" i="1"/>
  <c r="WI220" i="1"/>
  <c r="RY227" i="1"/>
  <c r="RY220" i="1"/>
  <c r="ZK227" i="1"/>
  <c r="ZK220" i="1"/>
  <c r="QJ236" i="1"/>
  <c r="QJ221" i="1"/>
  <c r="TQ227" i="1"/>
  <c r="TQ220" i="1"/>
  <c r="NP236" i="1"/>
  <c r="NP221" i="1"/>
  <c r="TM236" i="1"/>
  <c r="TM221" i="1"/>
  <c r="RX227" i="1"/>
  <c r="RX220" i="1"/>
  <c r="SB227" i="1"/>
  <c r="SB220" i="1"/>
  <c r="RR227" i="1"/>
  <c r="RR220" i="1"/>
  <c r="VW227" i="1"/>
  <c r="VW220" i="1"/>
  <c r="SQ227" i="1"/>
  <c r="SQ220" i="1"/>
  <c r="RK227" i="1"/>
  <c r="RK220" i="1"/>
  <c r="HX227" i="1"/>
  <c r="HX220" i="1"/>
  <c r="OE236" i="1"/>
  <c r="OG236" i="1"/>
  <c r="OG221" i="1"/>
  <c r="GU227" i="1"/>
  <c r="GU220" i="1"/>
  <c r="PU236" i="1"/>
  <c r="PU221" i="1"/>
  <c r="KI227" i="1"/>
  <c r="KI220" i="1"/>
  <c r="GQ227" i="1"/>
  <c r="GQ220" i="1"/>
  <c r="IR229" i="1"/>
  <c r="IR222" i="1"/>
  <c r="KU229" i="1"/>
  <c r="KU222" i="1"/>
  <c r="OI229" i="1"/>
  <c r="OI222" i="1"/>
  <c r="LF229" i="1"/>
  <c r="LF222" i="1"/>
  <c r="PJ227" i="1"/>
  <c r="PJ220" i="1"/>
  <c r="LR229" i="1"/>
  <c r="LR222" i="1"/>
  <c r="NJ229" i="1"/>
  <c r="NJ222" i="1"/>
  <c r="ME229" i="1"/>
  <c r="ME222" i="1"/>
  <c r="YN229" i="1"/>
  <c r="YN222" i="1"/>
  <c r="YL229" i="1"/>
  <c r="YL222" i="1"/>
  <c r="OV229" i="1"/>
  <c r="OV222" i="1"/>
  <c r="XM229" i="1"/>
  <c r="XM222" i="1"/>
  <c r="XK229" i="1"/>
  <c r="XK222" i="1"/>
  <c r="RA236" i="1"/>
  <c r="RA221" i="1"/>
  <c r="YE236" i="1"/>
  <c r="YE221" i="1"/>
  <c r="ZS227" i="1"/>
  <c r="ZS220" i="1"/>
  <c r="YT227" i="1"/>
  <c r="YT220" i="1"/>
  <c r="ZF227" i="1"/>
  <c r="ZF220" i="1"/>
  <c r="UY227" i="1"/>
  <c r="UY220" i="1"/>
  <c r="WC227" i="1"/>
  <c r="WC220" i="1"/>
  <c r="UC227" i="1"/>
  <c r="UC220" i="1"/>
  <c r="WE227" i="1"/>
  <c r="WE220" i="1"/>
  <c r="UI227" i="1"/>
  <c r="UI220" i="1"/>
  <c r="TG227" i="1"/>
  <c r="TG220" i="1"/>
  <c r="VI236" i="1"/>
  <c r="VI221" i="1"/>
  <c r="UZ236" i="1"/>
  <c r="UZ221" i="1"/>
  <c r="QL236" i="1"/>
  <c r="QL221" i="1"/>
  <c r="QL224" i="1" s="1"/>
  <c r="QL225" i="1" s="1"/>
  <c r="UW236" i="1"/>
  <c r="UW221" i="1"/>
  <c r="TB227" i="1"/>
  <c r="TB220" i="1"/>
  <c r="UH227" i="1"/>
  <c r="UH220" i="1"/>
  <c r="VF227" i="1"/>
  <c r="VF220" i="1"/>
  <c r="RJ227" i="1"/>
  <c r="RJ220" i="1"/>
  <c r="XD227" i="1"/>
  <c r="XD220" i="1"/>
  <c r="VY227" i="1"/>
  <c r="VY220" i="1"/>
  <c r="TA227" i="1"/>
  <c r="TA220" i="1"/>
  <c r="VT227" i="1"/>
  <c r="VT220" i="1"/>
  <c r="UR227" i="1"/>
  <c r="UR220" i="1"/>
  <c r="GP229" i="1"/>
  <c r="GP222" i="1"/>
  <c r="NF227" i="1"/>
  <c r="NF220" i="1"/>
  <c r="JO227" i="1"/>
  <c r="JO220" i="1"/>
  <c r="JZ229" i="1"/>
  <c r="JZ222" i="1"/>
  <c r="NE229" i="1"/>
  <c r="NE222" i="1"/>
  <c r="YZ227" i="1"/>
  <c r="YZ220" i="1"/>
  <c r="XF227" i="1"/>
  <c r="XF220" i="1"/>
  <c r="XY227" i="1"/>
  <c r="XY220" i="1"/>
  <c r="TP236" i="1"/>
  <c r="TP221" i="1"/>
  <c r="HJ236" i="1"/>
  <c r="HJ221" i="1"/>
  <c r="UK227" i="1"/>
  <c r="UK220" i="1"/>
  <c r="ZT227" i="1"/>
  <c r="ZT220" i="1"/>
  <c r="TE236" i="1"/>
  <c r="TE221" i="1"/>
  <c r="WD227" i="1"/>
  <c r="WD220" i="1"/>
  <c r="TF236" i="1"/>
  <c r="TF221" i="1"/>
  <c r="QZ229" i="1"/>
  <c r="QZ222" i="1"/>
  <c r="VZ227" i="1"/>
  <c r="VZ220" i="1"/>
  <c r="UP227" i="1"/>
  <c r="UP220" i="1"/>
  <c r="RN227" i="1"/>
  <c r="RN220" i="1"/>
  <c r="VA227" i="1"/>
  <c r="VA220" i="1"/>
  <c r="RL227" i="1"/>
  <c r="RL220" i="1"/>
  <c r="TK227" i="1"/>
  <c r="TK220" i="1"/>
  <c r="HW227" i="1"/>
  <c r="HW220" i="1"/>
  <c r="XA227" i="1"/>
  <c r="XA220" i="1"/>
  <c r="JS227" i="1"/>
  <c r="JS220" i="1"/>
  <c r="OR227" i="1"/>
  <c r="OR220" i="1"/>
  <c r="HR229" i="1"/>
  <c r="HR222" i="1"/>
  <c r="OY229" i="1"/>
  <c r="OY222" i="1"/>
  <c r="NW229" i="1"/>
  <c r="NW222" i="1"/>
  <c r="LI229" i="1"/>
  <c r="LI222" i="1"/>
  <c r="XR229" i="1"/>
  <c r="XR222" i="1"/>
  <c r="ZE227" i="1"/>
  <c r="ZE220" i="1"/>
  <c r="ZQ227" i="1"/>
  <c r="ZQ220" i="1"/>
  <c r="ZG236" i="1"/>
  <c r="ZG221" i="1"/>
  <c r="RO236" i="1"/>
  <c r="RO221" i="1"/>
  <c r="RU227" i="1"/>
  <c r="RU220" i="1"/>
  <c r="WS236" i="1"/>
  <c r="WS221" i="1"/>
  <c r="SM227" i="1"/>
  <c r="SM220" i="1"/>
  <c r="RQ236" i="1"/>
  <c r="RQ221" i="1"/>
  <c r="UF227" i="1"/>
  <c r="UF220" i="1"/>
  <c r="SY227" i="1"/>
  <c r="SY220" i="1"/>
  <c r="VN227" i="1"/>
  <c r="VN220" i="1"/>
  <c r="VK227" i="1"/>
  <c r="VK220" i="1"/>
  <c r="RM227" i="1"/>
  <c r="RM220" i="1"/>
  <c r="VQ236" i="1"/>
  <c r="VQ221" i="1"/>
  <c r="UQ227" i="1"/>
  <c r="UQ220" i="1"/>
  <c r="WR227" i="1"/>
  <c r="WR220" i="1"/>
  <c r="PZ236" i="1"/>
  <c r="PZ221" i="1"/>
  <c r="PZ224" i="1" s="1"/>
  <c r="PZ225" i="1" s="1"/>
  <c r="HA236" i="1"/>
  <c r="HA221" i="1"/>
  <c r="HE227" i="1"/>
  <c r="HE220" i="1"/>
  <c r="RF227" i="1"/>
  <c r="RF220" i="1"/>
  <c r="KW229" i="1"/>
  <c r="KW222" i="1"/>
  <c r="LX229" i="1"/>
  <c r="LX222" i="1"/>
  <c r="YA227" i="1"/>
  <c r="YA220" i="1"/>
  <c r="ZB227" i="1"/>
  <c r="ZB220" i="1"/>
  <c r="XX227" i="1"/>
  <c r="XX220" i="1"/>
  <c r="HI236" i="1"/>
  <c r="HI221" i="1"/>
  <c r="YW227" i="1"/>
  <c r="YW220" i="1"/>
  <c r="YI227" i="1"/>
  <c r="YI220" i="1"/>
  <c r="SV236" i="1"/>
  <c r="SV221" i="1"/>
  <c r="WB227" i="1"/>
  <c r="WB220" i="1"/>
  <c r="PQ236" i="1"/>
  <c r="PQ221" i="1"/>
  <c r="TO227" i="1"/>
  <c r="TO220" i="1"/>
  <c r="SH227" i="1"/>
  <c r="SH220" i="1"/>
  <c r="PY236" i="1"/>
  <c r="PY221" i="1"/>
  <c r="PY224" i="1" s="1"/>
  <c r="PY225" i="1" s="1"/>
  <c r="NT227" i="1"/>
  <c r="NT220" i="1"/>
  <c r="ML227" i="1"/>
  <c r="ML220" i="1"/>
  <c r="HB229" i="1"/>
  <c r="HB222" i="1"/>
  <c r="PF229" i="1"/>
  <c r="PF222" i="1"/>
  <c r="YG233" i="1"/>
  <c r="YG223" i="1"/>
  <c r="YG224" i="1" s="1"/>
  <c r="YG225" i="1" s="1"/>
  <c r="ZD233" i="1"/>
  <c r="ZD223" i="1"/>
  <c r="ZD224" i="1" s="1"/>
  <c r="ZD225" i="1" s="1"/>
  <c r="QJ233" i="1"/>
  <c r="QJ237" i="1" s="1"/>
  <c r="QJ223" i="1"/>
  <c r="NP233" i="1"/>
  <c r="NP237" i="1" s="1"/>
  <c r="NP223" i="1"/>
  <c r="NP224" i="1" s="1"/>
  <c r="NP225" i="1" s="1"/>
  <c r="TM233" i="1"/>
  <c r="TM223" i="1"/>
  <c r="TM224" i="1" s="1"/>
  <c r="TM225" i="1" s="1"/>
  <c r="OE233" i="1"/>
  <c r="OE237" i="1" s="1"/>
  <c r="OE223" i="1"/>
  <c r="OE224" i="1" s="1"/>
  <c r="OE225" i="1" s="1"/>
  <c r="OG223" i="1"/>
  <c r="PU233" i="1"/>
  <c r="PU237" i="1" s="1"/>
  <c r="PU223" i="1"/>
  <c r="PU224" i="1" s="1"/>
  <c r="PU225" i="1" s="1"/>
  <c r="MY233" i="1"/>
  <c r="MY223" i="1"/>
  <c r="NL233" i="1"/>
  <c r="NL237" i="1" s="1"/>
  <c r="NL223" i="1"/>
  <c r="NL224" i="1" s="1"/>
  <c r="NL225" i="1" s="1"/>
  <c r="RA223" i="1"/>
  <c r="YE233" i="1"/>
  <c r="YE223" i="1"/>
  <c r="VI223" i="1"/>
  <c r="UZ233" i="1"/>
  <c r="UZ237" i="1" s="1"/>
  <c r="UZ223" i="1"/>
  <c r="UZ224" i="1" s="1"/>
  <c r="UZ225" i="1" s="1"/>
  <c r="QL233" i="1"/>
  <c r="UW233" i="1"/>
  <c r="UW237" i="1" s="1"/>
  <c r="UW223" i="1"/>
  <c r="UW224" i="1" s="1"/>
  <c r="UW225" i="1" s="1"/>
  <c r="GW230" i="1"/>
  <c r="LN223" i="1"/>
  <c r="JW233" i="1"/>
  <c r="JW223" i="1"/>
  <c r="NH223" i="1"/>
  <c r="TP233" i="1"/>
  <c r="TP223" i="1"/>
  <c r="TP224" i="1" s="1"/>
  <c r="TP225" i="1" s="1"/>
  <c r="TE223" i="1"/>
  <c r="KT233" i="1"/>
  <c r="KT223" i="1"/>
  <c r="KT224" i="1" s="1"/>
  <c r="KT225" i="1" s="1"/>
  <c r="TF233" i="1"/>
  <c r="TF223" i="1"/>
  <c r="TF224" i="1" s="1"/>
  <c r="TF225" i="1" s="1"/>
  <c r="ZG233" i="1"/>
  <c r="ZG237" i="1" s="1"/>
  <c r="ZG223" i="1"/>
  <c r="ZG224" i="1" s="1"/>
  <c r="ZG225" i="1" s="1"/>
  <c r="RO233" i="1"/>
  <c r="RO223" i="1"/>
  <c r="RO224" i="1" s="1"/>
  <c r="RO225" i="1" s="1"/>
  <c r="WS233" i="1"/>
  <c r="WS237" i="1" s="1"/>
  <c r="WS223" i="1"/>
  <c r="SZ223" i="1"/>
  <c r="SZ224" i="1" s="1"/>
  <c r="SZ225" i="1" s="1"/>
  <c r="RV223" i="1"/>
  <c r="RV224" i="1" s="1"/>
  <c r="RV225" i="1" s="1"/>
  <c r="VQ233" i="1"/>
  <c r="VQ223" i="1"/>
  <c r="VQ224" i="1" s="1"/>
  <c r="VQ225" i="1" s="1"/>
  <c r="PZ233" i="1"/>
  <c r="HA233" i="1"/>
  <c r="HA223" i="1"/>
  <c r="HA224" i="1" s="1"/>
  <c r="HA225" i="1" s="1"/>
  <c r="JK233" i="1"/>
  <c r="LS233" i="1"/>
  <c r="LS237" i="1" s="1"/>
  <c r="LS223" i="1"/>
  <c r="QC233" i="1"/>
  <c r="PR233" i="1"/>
  <c r="PR223" i="1"/>
  <c r="IQ233" i="1"/>
  <c r="IQ237" i="1" s="1"/>
  <c r="IQ223" i="1"/>
  <c r="IQ224" i="1" s="1"/>
  <c r="IQ225" i="1" s="1"/>
  <c r="HI233" i="1"/>
  <c r="PQ233" i="1"/>
  <c r="PQ223" i="1"/>
  <c r="PQ224" i="1" s="1"/>
  <c r="PQ225" i="1" s="1"/>
  <c r="PY233" i="1"/>
  <c r="LJ233" i="1"/>
  <c r="LJ223" i="1"/>
  <c r="JU233" i="1"/>
  <c r="JU237" i="1" s="1"/>
  <c r="JU223" i="1"/>
  <c r="JU224" i="1" s="1"/>
  <c r="JU225" i="1" s="1"/>
  <c r="ZW233" i="1"/>
  <c r="ZW237" i="1" s="1"/>
  <c r="ZW223" i="1"/>
  <c r="ZW224" i="1" s="1"/>
  <c r="ZW225" i="1" s="1"/>
  <c r="ZR233" i="1"/>
  <c r="ZR237" i="1" s="1"/>
  <c r="ZR223" i="1"/>
  <c r="ZR224" i="1" s="1"/>
  <c r="ZR225" i="1" s="1"/>
  <c r="TV233" i="1"/>
  <c r="TV237" i="1" s="1"/>
  <c r="TV223" i="1"/>
  <c r="TV224" i="1" s="1"/>
  <c r="TV225" i="1" s="1"/>
  <c r="KJ233" i="1"/>
  <c r="KJ237" i="1" s="1"/>
  <c r="KJ223" i="1"/>
  <c r="TL233" i="1"/>
  <c r="TL237" i="1" s="1"/>
  <c r="TL223" i="1"/>
  <c r="TL224" i="1" s="1"/>
  <c r="TL225" i="1" s="1"/>
  <c r="SI233" i="1"/>
  <c r="SI223" i="1"/>
  <c r="SI224" i="1" s="1"/>
  <c r="SI225" i="1" s="1"/>
  <c r="RT233" i="1"/>
  <c r="RT237" i="1" s="1"/>
  <c r="RT223" i="1"/>
  <c r="RT224" i="1" s="1"/>
  <c r="RT225" i="1" s="1"/>
  <c r="PN233" i="1"/>
  <c r="PN223" i="1"/>
  <c r="PN224" i="1" s="1"/>
  <c r="PN225" i="1" s="1"/>
  <c r="QG233" i="1"/>
  <c r="QG223" i="1"/>
  <c r="KA233" i="1"/>
  <c r="PI233" i="1"/>
  <c r="PI237" i="1" s="1"/>
  <c r="OX233" i="1"/>
  <c r="LU233" i="1"/>
  <c r="LU223" i="1"/>
  <c r="QB233" i="1"/>
  <c r="QB237" i="1" s="1"/>
  <c r="QB223" i="1"/>
  <c r="QB224" i="1" s="1"/>
  <c r="QB225" i="1" s="1"/>
  <c r="ZV233" i="1"/>
  <c r="ZV237" i="1" s="1"/>
  <c r="ZV223" i="1"/>
  <c r="ZV224" i="1" s="1"/>
  <c r="ZV225" i="1" s="1"/>
  <c r="QD233" i="1"/>
  <c r="QD237" i="1" s="1"/>
  <c r="QD223" i="1"/>
  <c r="QD224" i="1" s="1"/>
  <c r="QD225" i="1" s="1"/>
  <c r="RS233" i="1"/>
  <c r="RS237" i="1" s="1"/>
  <c r="RS223" i="1"/>
  <c r="RS224" i="1" s="1"/>
  <c r="RS225" i="1" s="1"/>
  <c r="QN233" i="1"/>
  <c r="QN237" i="1" s="1"/>
  <c r="QN223" i="1"/>
  <c r="QN224" i="1" s="1"/>
  <c r="QN225" i="1" s="1"/>
  <c r="MH233" i="1"/>
  <c r="MH237" i="1" s="1"/>
  <c r="MH223" i="1"/>
  <c r="SA233" i="1"/>
  <c r="SA237" i="1" s="1"/>
  <c r="SA223" i="1"/>
  <c r="SA224" i="1" s="1"/>
  <c r="SA225" i="1" s="1"/>
  <c r="QR233" i="1"/>
  <c r="QR237" i="1" s="1"/>
  <c r="QR223" i="1"/>
  <c r="QR224" i="1" s="1"/>
  <c r="QR225" i="1" s="1"/>
  <c r="QI233" i="1"/>
  <c r="QI237" i="1" s="1"/>
  <c r="QI223" i="1"/>
  <c r="QI224" i="1" s="1"/>
  <c r="QI225" i="1" s="1"/>
  <c r="JX223" i="1"/>
  <c r="JX224" i="1" s="1"/>
  <c r="JX225" i="1" s="1"/>
  <c r="PD223" i="1"/>
  <c r="QW223" i="1"/>
  <c r="QW224" i="1" s="1"/>
  <c r="QW225" i="1" s="1"/>
  <c r="OB233" i="1"/>
  <c r="OB223" i="1"/>
  <c r="OB224" i="1" s="1"/>
  <c r="OB225" i="1" s="1"/>
  <c r="WU233" i="1"/>
  <c r="WU237" i="1" s="1"/>
  <c r="WU223" i="1"/>
  <c r="WU224" i="1" s="1"/>
  <c r="WU225" i="1" s="1"/>
  <c r="SR233" i="1"/>
  <c r="SR237" i="1" s="1"/>
  <c r="SR223" i="1"/>
  <c r="SR224" i="1" s="1"/>
  <c r="SR225" i="1" s="1"/>
  <c r="WG223" i="1"/>
  <c r="WG224" i="1" s="1"/>
  <c r="WG225" i="1" s="1"/>
  <c r="VP233" i="1"/>
  <c r="VP237" i="1" s="1"/>
  <c r="VP223" i="1"/>
  <c r="VP224" i="1" s="1"/>
  <c r="VP225" i="1" s="1"/>
  <c r="VS233" i="1"/>
  <c r="VS237" i="1" s="1"/>
  <c r="VS223" i="1"/>
  <c r="VS224" i="1" s="1"/>
  <c r="VS225" i="1" s="1"/>
  <c r="XC233" i="1"/>
  <c r="XC237" i="1" s="1"/>
  <c r="XC223" i="1"/>
  <c r="XC224" i="1" s="1"/>
  <c r="XC225" i="1" s="1"/>
  <c r="QH223" i="1"/>
  <c r="QA233" i="1"/>
  <c r="QA237" i="1" s="1"/>
  <c r="OA233" i="1"/>
  <c r="OA237" i="1" s="1"/>
  <c r="OA223" i="1"/>
  <c r="OA224" i="1" s="1"/>
  <c r="OA225" i="1" s="1"/>
  <c r="JP233" i="1"/>
  <c r="JP223" i="1"/>
  <c r="JL223" i="1"/>
  <c r="JL224" i="1" s="1"/>
  <c r="JL225" i="1" s="1"/>
  <c r="LL223" i="1"/>
  <c r="LL224" i="1" s="1"/>
  <c r="LL225" i="1" s="1"/>
  <c r="JE233" i="1"/>
  <c r="JE237" i="1" s="1"/>
  <c r="PK233" i="1"/>
  <c r="PK223" i="1"/>
  <c r="XL233" i="1"/>
  <c r="XL237" i="1" s="1"/>
  <c r="XL223" i="1"/>
  <c r="XL224" i="1" s="1"/>
  <c r="XL225" i="1" s="1"/>
  <c r="ZN233" i="1"/>
  <c r="ZN237" i="1" s="1"/>
  <c r="ZN223" i="1"/>
  <c r="ZN224" i="1" s="1"/>
  <c r="ZN225" i="1" s="1"/>
  <c r="PM233" i="1"/>
  <c r="PM223" i="1"/>
  <c r="SW233" i="1"/>
  <c r="SW223" i="1"/>
  <c r="SW224" i="1" s="1"/>
  <c r="SW225" i="1" s="1"/>
  <c r="JC233" i="1"/>
  <c r="JC223" i="1"/>
  <c r="KP223" i="1"/>
  <c r="KP224" i="1" s="1"/>
  <c r="KP225" i="1" s="1"/>
  <c r="QF233" i="1"/>
  <c r="QF237" i="1" s="1"/>
  <c r="QF223" i="1"/>
  <c r="QF224" i="1" s="1"/>
  <c r="QF225" i="1" s="1"/>
  <c r="JN233" i="1"/>
  <c r="JN223" i="1"/>
  <c r="JR233" i="1"/>
  <c r="JR223" i="1"/>
  <c r="HP233" i="1"/>
  <c r="HP223" i="1"/>
  <c r="HP224" i="1" s="1"/>
  <c r="HP225" i="1" s="1"/>
  <c r="VO233" i="1"/>
  <c r="VO237" i="1" s="1"/>
  <c r="VO223" i="1"/>
  <c r="VO224" i="1" s="1"/>
  <c r="VO225" i="1" s="1"/>
  <c r="ZJ233" i="1"/>
  <c r="ZJ237" i="1" s="1"/>
  <c r="ZJ223" i="1"/>
  <c r="ZJ224" i="1" s="1"/>
  <c r="ZJ225" i="1" s="1"/>
  <c r="YS233" i="1"/>
  <c r="YS237" i="1" s="1"/>
  <c r="YS223" i="1"/>
  <c r="YS224" i="1" s="1"/>
  <c r="YS225" i="1" s="1"/>
  <c r="ZX233" i="1"/>
  <c r="ZX237" i="1" s="1"/>
  <c r="ZX223" i="1"/>
  <c r="ZX224" i="1" s="1"/>
  <c r="ZX225" i="1" s="1"/>
  <c r="SS233" i="1"/>
  <c r="OM233" i="1"/>
  <c r="OM237" i="1" s="1"/>
  <c r="OM223" i="1"/>
  <c r="OM224" i="1" s="1"/>
  <c r="OM225" i="1" s="1"/>
  <c r="JB223" i="1"/>
  <c r="JB224" i="1" s="1"/>
  <c r="JB225" i="1" s="1"/>
  <c r="PV233" i="1"/>
  <c r="PV237" i="1" s="1"/>
  <c r="PV223" i="1"/>
  <c r="PV224" i="1" s="1"/>
  <c r="PV225" i="1" s="1"/>
  <c r="IJ233" i="1"/>
  <c r="IJ237" i="1" s="1"/>
  <c r="IJ223" i="1"/>
  <c r="IJ224" i="1" s="1"/>
  <c r="IJ225" i="1" s="1"/>
  <c r="MM233" i="1"/>
  <c r="MM223" i="1"/>
  <c r="RB233" i="1"/>
  <c r="QV223" i="1"/>
  <c r="QV224" i="1" s="1"/>
  <c r="QV225" i="1" s="1"/>
  <c r="UV233" i="1"/>
  <c r="UV237" i="1" s="1"/>
  <c r="UV223" i="1"/>
  <c r="UV224" i="1" s="1"/>
  <c r="UV225" i="1" s="1"/>
  <c r="SX233" i="1"/>
  <c r="SX223" i="1"/>
  <c r="UL233" i="1"/>
  <c r="UL237" i="1" s="1"/>
  <c r="UL223" i="1"/>
  <c r="UL224" i="1" s="1"/>
  <c r="UL225" i="1" s="1"/>
  <c r="UU233" i="1"/>
  <c r="UU237" i="1" s="1"/>
  <c r="UU223" i="1"/>
  <c r="UU224" i="1" s="1"/>
  <c r="UU225" i="1" s="1"/>
  <c r="UM233" i="1"/>
  <c r="UM237" i="1" s="1"/>
  <c r="WZ233" i="1"/>
  <c r="WZ237" i="1" s="1"/>
  <c r="WZ223" i="1"/>
  <c r="WZ224" i="1" s="1"/>
  <c r="WZ225" i="1" s="1"/>
  <c r="VC233" i="1"/>
  <c r="VC237" i="1" s="1"/>
  <c r="VC223" i="1"/>
  <c r="VC224" i="1" s="1"/>
  <c r="VC225" i="1" s="1"/>
  <c r="ND233" i="1"/>
  <c r="KZ233" i="1"/>
  <c r="KZ237" i="1" s="1"/>
  <c r="KZ223" i="1"/>
  <c r="KZ224" i="1" s="1"/>
  <c r="KZ225" i="1" s="1"/>
  <c r="MT223" i="1"/>
  <c r="MT224" i="1" s="1"/>
  <c r="MT225" i="1" s="1"/>
  <c r="WM223" i="1"/>
  <c r="WM224" i="1" s="1"/>
  <c r="WM225" i="1" s="1"/>
  <c r="NM223" i="1"/>
  <c r="NM224" i="1" s="1"/>
  <c r="NM225" i="1" s="1"/>
  <c r="QS223" i="1"/>
  <c r="YG237" i="1"/>
  <c r="SI237" i="1"/>
  <c r="GT233" i="1"/>
  <c r="GT237" i="1" s="1"/>
  <c r="HI224" i="1"/>
  <c r="HI225" i="1" s="1"/>
  <c r="HI237" i="1"/>
  <c r="JJ223" i="1"/>
  <c r="JJ224" i="1" s="1"/>
  <c r="JJ225" i="1" s="1"/>
  <c r="NH224" i="1"/>
  <c r="NH225" i="1" s="1"/>
  <c r="OF223" i="1"/>
  <c r="OF224" i="1" s="1"/>
  <c r="OF225" i="1" s="1"/>
  <c r="OK223" i="1"/>
  <c r="OK224" i="1" s="1"/>
  <c r="OK225" i="1" s="1"/>
  <c r="PK224" i="1"/>
  <c r="PK225" i="1" s="1"/>
  <c r="PK237" i="1"/>
  <c r="PN237" i="1"/>
  <c r="QG224" i="1"/>
  <c r="QG225" i="1" s="1"/>
  <c r="QG237" i="1"/>
  <c r="SW237" i="1"/>
  <c r="TM237" i="1"/>
  <c r="RA224" i="1"/>
  <c r="RA225" i="1" s="1"/>
  <c r="SS237" i="1"/>
  <c r="SX224" i="1"/>
  <c r="SX225" i="1" s="1"/>
  <c r="SX237" i="1"/>
  <c r="OD233" i="1"/>
  <c r="OD237" i="1" s="1"/>
  <c r="NR233" i="1"/>
  <c r="NR237" i="1" s="1"/>
  <c r="WA233" i="1"/>
  <c r="WA237" i="1" s="1"/>
  <c r="MQ233" i="1"/>
  <c r="MQ237" i="1" s="1"/>
  <c r="OG224" i="1"/>
  <c r="OG225" i="1" s="1"/>
  <c r="RO237" i="1"/>
  <c r="OP233" i="1"/>
  <c r="OP237" i="1" s="1"/>
  <c r="KT237" i="1"/>
  <c r="JP224" i="1"/>
  <c r="JP225" i="1" s="1"/>
  <c r="JP237" i="1"/>
  <c r="MY224" i="1"/>
  <c r="MY225" i="1" s="1"/>
  <c r="MY237" i="1"/>
  <c r="KA224" i="1"/>
  <c r="KA225" i="1" s="1"/>
  <c r="KA237" i="1"/>
  <c r="JN224" i="1"/>
  <c r="JN225" i="1" s="1"/>
  <c r="JN237" i="1"/>
  <c r="LN224" i="1"/>
  <c r="LN225" i="1" s="1"/>
  <c r="MU224" i="1"/>
  <c r="MU225" i="1" s="1"/>
  <c r="MU237" i="1"/>
  <c r="KJ224" i="1"/>
  <c r="KJ225" i="1" s="1"/>
  <c r="JR224" i="1"/>
  <c r="JR225" i="1" s="1"/>
  <c r="JR237" i="1"/>
  <c r="HP237" i="1"/>
  <c r="JK224" i="1"/>
  <c r="JK225" i="1" s="1"/>
  <c r="JK237" i="1"/>
  <c r="JW224" i="1"/>
  <c r="JW225" i="1" s="1"/>
  <c r="JW237" i="1"/>
  <c r="ND224" i="1"/>
  <c r="ND225" i="1" s="1"/>
  <c r="ND237" i="1"/>
  <c r="PI224" i="1"/>
  <c r="PI225" i="1" s="1"/>
  <c r="OX224" i="1"/>
  <c r="OX225" i="1" s="1"/>
  <c r="OX237" i="1"/>
  <c r="LS224" i="1"/>
  <c r="LS225" i="1" s="1"/>
  <c r="MH224" i="1"/>
  <c r="MH225" i="1" s="1"/>
  <c r="LJ224" i="1"/>
  <c r="LJ225" i="1" s="1"/>
  <c r="LJ237" i="1"/>
  <c r="LU224" i="1"/>
  <c r="LU225" i="1" s="1"/>
  <c r="LU237" i="1"/>
  <c r="QH224" i="1"/>
  <c r="QH225" i="1" s="1"/>
  <c r="QC224" i="1"/>
  <c r="QC225" i="1" s="1"/>
  <c r="QC237" i="1"/>
  <c r="MM224" i="1"/>
  <c r="MM225" i="1" s="1"/>
  <c r="MM237" i="1"/>
  <c r="NU224" i="1"/>
  <c r="NU225" i="1" s="1"/>
  <c r="NU237" i="1"/>
  <c r="OB237" i="1"/>
  <c r="PR224" i="1"/>
  <c r="PR225" i="1" s="1"/>
  <c r="PR237" i="1"/>
  <c r="RB224" i="1"/>
  <c r="RB225" i="1" s="1"/>
  <c r="RB237" i="1"/>
  <c r="FH236" i="1"/>
  <c r="FC230" i="1"/>
  <c r="FX236" i="1"/>
  <c r="FX221" i="1"/>
  <c r="DV220" i="1"/>
  <c r="DV227" i="1"/>
  <c r="SV223" i="1"/>
  <c r="SV224" i="1" s="1"/>
  <c r="SV225" i="1" s="1"/>
  <c r="BC230" i="1"/>
  <c r="GO230" i="1"/>
  <c r="DY230" i="1"/>
  <c r="FO230" i="1"/>
  <c r="BK224" i="1"/>
  <c r="BK225" i="1" s="1"/>
  <c r="FR230" i="1"/>
  <c r="G230" i="1"/>
  <c r="AT227" i="1"/>
  <c r="AT220" i="1"/>
  <c r="BI220" i="1"/>
  <c r="BI227" i="1"/>
  <c r="BR227" i="1"/>
  <c r="BR220" i="1"/>
  <c r="CE220" i="1"/>
  <c r="CE227" i="1"/>
  <c r="DI227" i="1"/>
  <c r="DI220" i="1"/>
  <c r="X236" i="1"/>
  <c r="DH223" i="1"/>
  <c r="DH224" i="1" s="1"/>
  <c r="DH225" i="1" s="1"/>
  <c r="BX223" i="1"/>
  <c r="FB223" i="1"/>
  <c r="CZ223" i="1"/>
  <c r="BN223" i="1"/>
  <c r="BN224" i="1" s="1"/>
  <c r="BN225" i="1" s="1"/>
  <c r="ABR223" i="1"/>
  <c r="CM223" i="1"/>
  <c r="ER223" i="1"/>
  <c r="DF223" i="1"/>
  <c r="AC236" i="1"/>
  <c r="AC221" i="1"/>
  <c r="CA223" i="1"/>
  <c r="CE223" i="1"/>
  <c r="CB220" i="1"/>
  <c r="CB227" i="1"/>
  <c r="AL227" i="1"/>
  <c r="AL220" i="1"/>
  <c r="DI236" i="1"/>
  <c r="DI221" i="1"/>
  <c r="GM230" i="1"/>
  <c r="BI236" i="1"/>
  <c r="BI221" i="1"/>
  <c r="BI224" i="1" s="1"/>
  <c r="BI225" i="1" s="1"/>
  <c r="W227" i="1"/>
  <c r="W220" i="1"/>
  <c r="CD223" i="1"/>
  <c r="BQ227" i="1"/>
  <c r="BQ220" i="1"/>
  <c r="EY229" i="1"/>
  <c r="EY222" i="1"/>
  <c r="AW221" i="1"/>
  <c r="AW236" i="1"/>
  <c r="GH230" i="1"/>
  <c r="CX223" i="1"/>
  <c r="CX220" i="1"/>
  <c r="CX227" i="1"/>
  <c r="AQ220" i="1"/>
  <c r="AQ227" i="1"/>
  <c r="CU227" i="1"/>
  <c r="CU220" i="1"/>
  <c r="BA222" i="1"/>
  <c r="LQ230" i="1"/>
  <c r="JM230" i="1"/>
  <c r="CI220" i="1"/>
  <c r="CI227" i="1"/>
  <c r="CI223" i="1"/>
  <c r="NZ230" i="1"/>
  <c r="M230" i="1"/>
  <c r="BY220" i="1"/>
  <c r="BY227" i="1"/>
  <c r="FV230" i="1"/>
  <c r="FR220" i="1"/>
  <c r="FR227" i="1"/>
  <c r="BX233" i="1"/>
  <c r="CZ233" i="1"/>
  <c r="AE236" i="1"/>
  <c r="DZ227" i="1"/>
  <c r="DZ223" i="1"/>
  <c r="DZ220" i="1"/>
  <c r="K223" i="1"/>
  <c r="FB224" i="1"/>
  <c r="FB225" i="1" s="1"/>
  <c r="AH227" i="1"/>
  <c r="AH220" i="1"/>
  <c r="M222" i="1"/>
  <c r="ET230" i="1"/>
  <c r="CO220" i="1"/>
  <c r="CO227" i="1"/>
  <c r="DE227" i="1"/>
  <c r="DE220" i="1"/>
  <c r="AG227" i="1"/>
  <c r="AG220" i="1"/>
  <c r="AG236" i="1"/>
  <c r="AE227" i="1"/>
  <c r="EO230" i="1"/>
  <c r="AJ236" i="1"/>
  <c r="AJ221" i="1"/>
  <c r="FO227" i="1"/>
  <c r="FO220" i="1"/>
  <c r="FO223" i="1"/>
  <c r="BN233" i="1"/>
  <c r="BN237" i="1" s="1"/>
  <c r="GM229" i="1"/>
  <c r="GM222" i="1"/>
  <c r="CY220" i="1"/>
  <c r="CY223" i="1"/>
  <c r="CY227" i="1"/>
  <c r="CL220" i="1"/>
  <c r="CL227" i="1"/>
  <c r="MC230" i="1"/>
  <c r="FK223" i="1"/>
  <c r="FK227" i="1"/>
  <c r="FK220" i="1"/>
  <c r="DG223" i="1"/>
  <c r="DG224" i="1" s="1"/>
  <c r="DG225" i="1" s="1"/>
  <c r="TT223" i="1"/>
  <c r="UG223" i="1"/>
  <c r="GX230" i="1"/>
  <c r="GL221" i="1"/>
  <c r="DY220" i="1"/>
  <c r="DY227" i="1"/>
  <c r="DY223" i="1"/>
  <c r="AZ220" i="1"/>
  <c r="CD224" i="1"/>
  <c r="CD225" i="1" s="1"/>
  <c r="CN227" i="1"/>
  <c r="CN220" i="1"/>
  <c r="EL230" i="1"/>
  <c r="GE230" i="1"/>
  <c r="IH230" i="1"/>
  <c r="CZ236" i="1"/>
  <c r="CZ221" i="1"/>
  <c r="AY227" i="1"/>
  <c r="AY223" i="1"/>
  <c r="AY220" i="1"/>
  <c r="GA230" i="1"/>
  <c r="DN227" i="1"/>
  <c r="DN220" i="1"/>
  <c r="DN236" i="1"/>
  <c r="DD227" i="1"/>
  <c r="DD220" i="1"/>
  <c r="CC222" i="1"/>
  <c r="CC229" i="1"/>
  <c r="GA220" i="1"/>
  <c r="GA227" i="1"/>
  <c r="N224" i="1"/>
  <c r="N225" i="1" s="1"/>
  <c r="EK227" i="1"/>
  <c r="EK220" i="1"/>
  <c r="EK236" i="1"/>
  <c r="IN230" i="1"/>
  <c r="BV223" i="1"/>
  <c r="BV224" i="1" s="1"/>
  <c r="BV225" i="1" s="1"/>
  <c r="BC229" i="1"/>
  <c r="BR230" i="1"/>
  <c r="DM222" i="1"/>
  <c r="DM229" i="1"/>
  <c r="FM236" i="1"/>
  <c r="FM221" i="1"/>
  <c r="FM224" i="1" s="1"/>
  <c r="FM225" i="1" s="1"/>
  <c r="EQ229" i="1"/>
  <c r="EQ222" i="1"/>
  <c r="DF221" i="1"/>
  <c r="DF224" i="1" s="1"/>
  <c r="DF225" i="1" s="1"/>
  <c r="DF236" i="1"/>
  <c r="SG223" i="1"/>
  <c r="BO223" i="1"/>
  <c r="DP220" i="1"/>
  <c r="DP227" i="1"/>
  <c r="AI227" i="1"/>
  <c r="AI220" i="1"/>
  <c r="DO227" i="1"/>
  <c r="DO220" i="1"/>
  <c r="FB233" i="1"/>
  <c r="L230" i="1"/>
  <c r="CY230" i="1"/>
  <c r="FC220" i="1"/>
  <c r="FC227" i="1"/>
  <c r="BA230" i="1"/>
  <c r="CL230" i="1"/>
  <c r="E230" i="1"/>
  <c r="CM236" i="1"/>
  <c r="CM221" i="1"/>
  <c r="CM224" i="1" s="1"/>
  <c r="CM225" i="1" s="1"/>
  <c r="BO227" i="1"/>
  <c r="GO220" i="1"/>
  <c r="GO227" i="1"/>
  <c r="GO223" i="1"/>
  <c r="FB237" i="1"/>
  <c r="AU227" i="1"/>
  <c r="AU220" i="1"/>
  <c r="R227" i="1"/>
  <c r="R220" i="1"/>
  <c r="J236" i="1"/>
  <c r="XX223" i="1"/>
  <c r="CO230" i="1"/>
  <c r="IW230" i="1"/>
  <c r="FL222" i="1"/>
  <c r="FL229" i="1"/>
  <c r="BW220" i="1"/>
  <c r="BW227" i="1"/>
  <c r="J227" i="1"/>
  <c r="FD230" i="1"/>
  <c r="CZ224" i="1"/>
  <c r="CZ225" i="1" s="1"/>
  <c r="FW236" i="1"/>
  <c r="FW221" i="1"/>
  <c r="FW224" i="1" s="1"/>
  <c r="FW225" i="1" s="1"/>
  <c r="ES223" i="1"/>
  <c r="CP227" i="1"/>
  <c r="CP220" i="1"/>
  <c r="CP223" i="1"/>
  <c r="DH233" i="1"/>
  <c r="GG222" i="1"/>
  <c r="GG229" i="1"/>
  <c r="CQ220" i="1"/>
  <c r="CQ227" i="1"/>
  <c r="CK220" i="1"/>
  <c r="CK227" i="1"/>
  <c r="DW236" i="1"/>
  <c r="AA236" i="1"/>
  <c r="CS220" i="1"/>
  <c r="CS223" i="1"/>
  <c r="CS227" i="1"/>
  <c r="TJ223" i="1"/>
  <c r="EX220" i="1"/>
  <c r="EX227" i="1"/>
  <c r="AF227" i="1"/>
  <c r="AF220" i="1"/>
  <c r="AF223" i="1"/>
  <c r="BZ220" i="1"/>
  <c r="BZ227" i="1"/>
  <c r="CT227" i="1"/>
  <c r="CT220" i="1"/>
  <c r="FP230" i="1"/>
  <c r="LA236" i="1"/>
  <c r="J220" i="1"/>
  <c r="HN230" i="1"/>
  <c r="AX227" i="1"/>
  <c r="AX220" i="1"/>
  <c r="DH237" i="1"/>
  <c r="BS223" i="1"/>
  <c r="BS227" i="1"/>
  <c r="BS220" i="1"/>
  <c r="AM224" i="1"/>
  <c r="AM225" i="1" s="1"/>
  <c r="FT227" i="1"/>
  <c r="FT220" i="1"/>
  <c r="FT223" i="1"/>
  <c r="K220" i="1"/>
  <c r="BU227" i="1"/>
  <c r="BU220" i="1"/>
  <c r="BU223" i="1"/>
  <c r="AO223" i="1"/>
  <c r="EW233" i="1"/>
  <c r="EW237" i="1" s="1"/>
  <c r="CF220" i="1"/>
  <c r="CF227" i="1"/>
  <c r="CF223" i="1"/>
  <c r="FU230" i="1"/>
  <c r="ES227" i="1"/>
  <c r="AA220" i="1"/>
  <c r="IK230" i="1"/>
  <c r="DU233" i="1"/>
  <c r="DU237" i="1" s="1"/>
  <c r="BE220" i="1"/>
  <c r="BE227" i="1"/>
  <c r="BO220" i="1"/>
  <c r="AV222" i="1"/>
  <c r="AO227" i="1"/>
  <c r="P222" i="1"/>
  <c r="P229" i="1"/>
  <c r="BT227" i="1"/>
  <c r="BT220" i="1"/>
  <c r="AS227" i="1"/>
  <c r="AS220" i="1"/>
  <c r="GG230" i="1"/>
  <c r="AR227" i="1"/>
  <c r="AR220" i="1"/>
  <c r="GD223" i="1"/>
  <c r="GD227" i="1"/>
  <c r="GD220" i="1"/>
  <c r="CV222" i="1"/>
  <c r="CV229" i="1"/>
  <c r="ES220" i="1"/>
  <c r="ER236" i="1"/>
  <c r="ER221" i="1"/>
  <c r="ER224" i="1" s="1"/>
  <c r="ER225" i="1" s="1"/>
  <c r="AA227" i="1"/>
  <c r="I230" i="1"/>
  <c r="AI230" i="1"/>
  <c r="CN230" i="1"/>
  <c r="U230" i="1"/>
  <c r="AO220" i="1"/>
  <c r="AP220" i="1"/>
  <c r="AP227" i="1"/>
  <c r="FP227" i="1"/>
  <c r="FP223" i="1"/>
  <c r="FP220" i="1"/>
  <c r="DX223" i="1"/>
  <c r="DX224" i="1" s="1"/>
  <c r="DX225" i="1" s="1"/>
  <c r="EH227" i="1"/>
  <c r="EH220" i="1"/>
  <c r="CA236" i="1"/>
  <c r="CA221" i="1"/>
  <c r="CA224" i="1" s="1"/>
  <c r="CA225" i="1" s="1"/>
  <c r="Q227" i="1"/>
  <c r="Q220" i="1"/>
  <c r="K227" i="1"/>
  <c r="EJ230" i="1"/>
  <c r="CE221" i="1"/>
  <c r="CE224" i="1" s="1"/>
  <c r="CE225" i="1" s="1"/>
  <c r="CE236" i="1"/>
  <c r="GJ236" i="1"/>
  <c r="GJ221" i="1"/>
  <c r="BH229" i="1"/>
  <c r="BH222" i="1"/>
  <c r="CH233" i="1"/>
  <c r="CH237" i="1" s="1"/>
  <c r="CJ223" i="1"/>
  <c r="CJ224" i="1" s="1"/>
  <c r="CJ225" i="1" s="1"/>
  <c r="IY230" i="1"/>
  <c r="GF236" i="1"/>
  <c r="GF221" i="1"/>
  <c r="ZY223" i="1"/>
  <c r="AD223" i="1"/>
  <c r="AD224" i="1" s="1"/>
  <c r="AD225" i="1" s="1"/>
  <c r="BX236" i="1"/>
  <c r="BX221" i="1"/>
  <c r="BX224" i="1" s="1"/>
  <c r="BX225" i="1" s="1"/>
  <c r="AM233" i="1"/>
  <c r="AM237" i="1" s="1"/>
  <c r="O230" i="1"/>
  <c r="CW220" i="1"/>
  <c r="CW223" i="1"/>
  <c r="CW227" i="1"/>
  <c r="BG221" i="1"/>
  <c r="BG236" i="1"/>
  <c r="V236" i="1"/>
  <c r="V220" i="1"/>
  <c r="V227" i="1"/>
  <c r="BL223" i="1"/>
  <c r="BL224" i="1" s="1"/>
  <c r="BL225" i="1" s="1"/>
  <c r="EB220" i="1"/>
  <c r="EB227" i="1"/>
  <c r="DK230" i="1"/>
  <c r="BM224" i="1"/>
  <c r="BM225" i="1" s="1"/>
  <c r="AU230" i="1"/>
  <c r="DK220" i="1"/>
  <c r="DK227" i="1"/>
  <c r="AK227" i="1"/>
  <c r="AK220" i="1"/>
  <c r="EM223" i="1"/>
  <c r="EM224" i="1" s="1"/>
  <c r="EM225" i="1" s="1"/>
  <c r="BG224" i="1"/>
  <c r="BG225" i="1" s="1"/>
  <c r="FG229" i="1"/>
  <c r="FG222" i="1"/>
  <c r="AE220" i="1"/>
  <c r="O220" i="1"/>
  <c r="O227" i="1"/>
  <c r="O236" i="1"/>
  <c r="O130" i="1" l="1"/>
  <c r="O131" i="1" s="1"/>
  <c r="O144" i="1" s="1"/>
  <c r="P205" i="1"/>
  <c r="YE224" i="1"/>
  <c r="YE225" i="1" s="1"/>
  <c r="L205" i="1"/>
  <c r="U130" i="1"/>
  <c r="U131" i="1" s="1"/>
  <c r="U144" i="1" s="1"/>
  <c r="M205" i="1"/>
  <c r="O205" i="1"/>
  <c r="V205" i="1"/>
  <c r="J205" i="1"/>
  <c r="V130" i="1"/>
  <c r="V131" i="1" s="1"/>
  <c r="V144" i="1" s="1"/>
  <c r="T145" i="1"/>
  <c r="T155" i="1"/>
  <c r="T156" i="1" s="1"/>
  <c r="S145" i="1"/>
  <c r="S155" i="1"/>
  <c r="S156" i="1" s="1"/>
  <c r="R145" i="1"/>
  <c r="R155" i="1"/>
  <c r="R156" i="1" s="1"/>
  <c r="Q145" i="1"/>
  <c r="Q155" i="1"/>
  <c r="Q156" i="1" s="1"/>
  <c r="P145" i="1"/>
  <c r="P155" i="1"/>
  <c r="P156" i="1" s="1"/>
  <c r="N145" i="1"/>
  <c r="N155" i="1"/>
  <c r="N156" i="1" s="1"/>
  <c r="M145" i="1"/>
  <c r="M155" i="1"/>
  <c r="M156" i="1" s="1"/>
  <c r="L145" i="1"/>
  <c r="L155" i="1"/>
  <c r="L156" i="1" s="1"/>
  <c r="K145" i="1"/>
  <c r="K155" i="1"/>
  <c r="K156" i="1" s="1"/>
  <c r="J145" i="1"/>
  <c r="J155" i="1"/>
  <c r="J156" i="1" s="1"/>
  <c r="I145" i="1"/>
  <c r="I155" i="1"/>
  <c r="I156" i="1" s="1"/>
  <c r="H145" i="1"/>
  <c r="H155" i="1"/>
  <c r="H156" i="1" s="1"/>
  <c r="G145" i="1"/>
  <c r="G155" i="1"/>
  <c r="G156" i="1" s="1"/>
  <c r="F145" i="1"/>
  <c r="F155" i="1"/>
  <c r="F156" i="1" s="1"/>
  <c r="E145" i="1"/>
  <c r="E155" i="1"/>
  <c r="E156" i="1" s="1"/>
  <c r="HA237" i="1"/>
  <c r="WS224" i="1"/>
  <c r="WS225" i="1" s="1"/>
  <c r="QL237" i="1"/>
  <c r="QJ224" i="1"/>
  <c r="QJ225" i="1" s="1"/>
  <c r="ZD237" i="1"/>
  <c r="HO230" i="1"/>
  <c r="NX230" i="1"/>
  <c r="HY230" i="1"/>
  <c r="PY237" i="1"/>
  <c r="PQ237" i="1"/>
  <c r="PZ237" i="1"/>
  <c r="VQ237" i="1"/>
  <c r="TF237" i="1"/>
  <c r="TE224" i="1"/>
  <c r="TE225" i="1" s="1"/>
  <c r="TP237" i="1"/>
  <c r="VI224" i="1"/>
  <c r="VI225" i="1" s="1"/>
  <c r="YE237" i="1"/>
  <c r="HG224" i="1"/>
  <c r="HG225" i="1" s="1"/>
  <c r="QO230" i="1"/>
  <c r="HT230" i="1"/>
  <c r="MN223" i="1"/>
  <c r="MN233" i="1"/>
  <c r="GB230" i="1"/>
  <c r="KG230" i="1"/>
  <c r="PA230" i="1"/>
  <c r="PH230" i="1"/>
  <c r="JY230" i="1"/>
  <c r="AI223" i="1"/>
  <c r="TQ223" i="1"/>
  <c r="TQ233" i="1"/>
  <c r="EN230" i="1"/>
  <c r="OJ230" i="1"/>
  <c r="KS230" i="1"/>
  <c r="SG233" i="1"/>
  <c r="FI230" i="1"/>
  <c r="PJ223" i="1"/>
  <c r="PJ233" i="1"/>
  <c r="ZB223" i="1"/>
  <c r="JG230" i="1"/>
  <c r="NI230" i="1"/>
  <c r="QX230" i="1"/>
  <c r="BW223" i="1"/>
  <c r="ABS223" i="1"/>
  <c r="AT223" i="1"/>
  <c r="WP223" i="1"/>
  <c r="IP230" i="1"/>
  <c r="DJ230" i="1"/>
  <c r="II230" i="1"/>
  <c r="IV230" i="1"/>
  <c r="X230" i="1"/>
  <c r="SK233" i="1"/>
  <c r="SK237" i="1" s="1"/>
  <c r="SK224" i="1"/>
  <c r="SK225" i="1" s="1"/>
  <c r="QS236" i="1"/>
  <c r="QS221" i="1"/>
  <c r="QS224" i="1" s="1"/>
  <c r="QS225" i="1" s="1"/>
  <c r="PM236" i="1"/>
  <c r="PM237" i="1" s="1"/>
  <c r="PM221" i="1"/>
  <c r="PM224" i="1" s="1"/>
  <c r="PM225" i="1" s="1"/>
  <c r="PD236" i="1"/>
  <c r="PD221" i="1"/>
  <c r="PD224" i="1" s="1"/>
  <c r="PD225" i="1" s="1"/>
  <c r="JC236" i="1"/>
  <c r="JC237" i="1" s="1"/>
  <c r="JC221" i="1"/>
  <c r="JC224" i="1" s="1"/>
  <c r="JC225" i="1" s="1"/>
  <c r="TW236" i="1"/>
  <c r="TW221" i="1"/>
  <c r="OS233" i="1"/>
  <c r="OS237" i="1" s="1"/>
  <c r="TW223" i="1"/>
  <c r="TW224" i="1" s="1"/>
  <c r="TW225" i="1" s="1"/>
  <c r="LM230" i="1"/>
  <c r="KK230" i="1"/>
  <c r="LH230" i="1"/>
  <c r="KX230" i="1"/>
  <c r="KC230" i="1"/>
  <c r="LV230" i="1"/>
  <c r="KL230" i="1"/>
  <c r="NC230" i="1"/>
  <c r="MG230" i="1"/>
  <c r="PE230" i="1"/>
  <c r="IA230" i="1"/>
  <c r="QK230" i="1"/>
  <c r="PL230" i="1"/>
  <c r="GR230" i="1"/>
  <c r="LW230" i="1"/>
  <c r="GV230" i="1"/>
  <c r="GY230" i="1"/>
  <c r="LZ230" i="1"/>
  <c r="IC230" i="1"/>
  <c r="YP230" i="1"/>
  <c r="HM230" i="1"/>
  <c r="YD224" i="1"/>
  <c r="YD225" i="1" s="1"/>
  <c r="ZZ227" i="1"/>
  <c r="ZZ220" i="1"/>
  <c r="AAA227" i="1"/>
  <c r="AAA220" i="1"/>
  <c r="AAB227" i="1"/>
  <c r="AAB220" i="1"/>
  <c r="AAC227" i="1"/>
  <c r="AAC220" i="1"/>
  <c r="AAE227" i="1"/>
  <c r="AAE220" i="1"/>
  <c r="AAD227" i="1"/>
  <c r="AAD220" i="1"/>
  <c r="AAG227" i="1"/>
  <c r="AAG220" i="1"/>
  <c r="AAF227" i="1"/>
  <c r="AAF220" i="1"/>
  <c r="AAI227" i="1"/>
  <c r="AAI220" i="1"/>
  <c r="AAH227" i="1"/>
  <c r="AAH220" i="1"/>
  <c r="AAK227" i="1"/>
  <c r="AAK220" i="1"/>
  <c r="AAJ227" i="1"/>
  <c r="AAJ220" i="1"/>
  <c r="AAM227" i="1"/>
  <c r="AAM220" i="1"/>
  <c r="AAO227" i="1"/>
  <c r="AAO220" i="1"/>
  <c r="ST236" i="1"/>
  <c r="ST221" i="1"/>
  <c r="IC236" i="1"/>
  <c r="IC221" i="1"/>
  <c r="VG236" i="1"/>
  <c r="VG221" i="1"/>
  <c r="MP236" i="1"/>
  <c r="MP221" i="1"/>
  <c r="UO236" i="1"/>
  <c r="UO221" i="1"/>
  <c r="YU236" i="1"/>
  <c r="YU221" i="1"/>
  <c r="TY236" i="1"/>
  <c r="TY221" i="1"/>
  <c r="LM227" i="1"/>
  <c r="LM220" i="1"/>
  <c r="IX227" i="1"/>
  <c r="IX220" i="1"/>
  <c r="LT236" i="1"/>
  <c r="LT221" i="1"/>
  <c r="MA227" i="1"/>
  <c r="MA220" i="1"/>
  <c r="UQ236" i="1"/>
  <c r="UQ221" i="1"/>
  <c r="VK236" i="1"/>
  <c r="VK221" i="1"/>
  <c r="VN236" i="1"/>
  <c r="VN221" i="1"/>
  <c r="MB227" i="1"/>
  <c r="MB220" i="1"/>
  <c r="LY227" i="1"/>
  <c r="LY220" i="1"/>
  <c r="XA236" i="1"/>
  <c r="XA221" i="1"/>
  <c r="IO227" i="1"/>
  <c r="IO220" i="1"/>
  <c r="UY236" i="1"/>
  <c r="UY221" i="1"/>
  <c r="YN227" i="1"/>
  <c r="YN220" i="1"/>
  <c r="GP227" i="1"/>
  <c r="GP220" i="1"/>
  <c r="XD236" i="1"/>
  <c r="XD221" i="1"/>
  <c r="IR227" i="1"/>
  <c r="IR220" i="1"/>
  <c r="IU227" i="1"/>
  <c r="IU220" i="1"/>
  <c r="WV236" i="1"/>
  <c r="WV221" i="1"/>
  <c r="ZY236" i="1"/>
  <c r="ZY221" i="1"/>
  <c r="ZY224" i="1" s="1"/>
  <c r="ZY225" i="1" s="1"/>
  <c r="NK236" i="1"/>
  <c r="NK221" i="1"/>
  <c r="IE236" i="1"/>
  <c r="IE221" i="1"/>
  <c r="OJ227" i="1"/>
  <c r="OJ220" i="1"/>
  <c r="MV236" i="1"/>
  <c r="MV221" i="1"/>
  <c r="NO236" i="1"/>
  <c r="NO221" i="1"/>
  <c r="KN227" i="1"/>
  <c r="KN220" i="1"/>
  <c r="OU227" i="1"/>
  <c r="OU220" i="1"/>
  <c r="JG227" i="1"/>
  <c r="JG220" i="1"/>
  <c r="XE236" i="1"/>
  <c r="XE221" i="1"/>
  <c r="PC236" i="1"/>
  <c r="PC221" i="1"/>
  <c r="YO227" i="1"/>
  <c r="YO220" i="1"/>
  <c r="IW227" i="1"/>
  <c r="IW220" i="1"/>
  <c r="MZ227" i="1"/>
  <c r="MZ220" i="1"/>
  <c r="UI236" i="1"/>
  <c r="UI221" i="1"/>
  <c r="PJ236" i="1"/>
  <c r="PJ237" i="1" s="1"/>
  <c r="PJ221" i="1"/>
  <c r="PJ224" i="1" s="1"/>
  <c r="PJ225" i="1" s="1"/>
  <c r="RR236" i="1"/>
  <c r="RR221" i="1"/>
  <c r="OI227" i="1"/>
  <c r="OI220" i="1"/>
  <c r="VW236" i="1"/>
  <c r="VW221" i="1"/>
  <c r="SB236" i="1"/>
  <c r="SB221" i="1"/>
  <c r="XB236" i="1"/>
  <c r="XB221" i="1"/>
  <c r="TD236" i="1"/>
  <c r="TD221" i="1"/>
  <c r="XG227" i="1"/>
  <c r="XG220" i="1"/>
  <c r="XJ227" i="1"/>
  <c r="XJ220" i="1"/>
  <c r="KK227" i="1"/>
  <c r="KK220" i="1"/>
  <c r="VH236" i="1"/>
  <c r="VH221" i="1"/>
  <c r="WK236" i="1"/>
  <c r="WK221" i="1"/>
  <c r="WL236" i="1"/>
  <c r="WL221" i="1"/>
  <c r="VL236" i="1"/>
  <c r="VL221" i="1"/>
  <c r="VB236" i="1"/>
  <c r="VB221" i="1"/>
  <c r="MW236" i="1"/>
  <c r="MW221" i="1"/>
  <c r="WQ236" i="1"/>
  <c r="WQ221" i="1"/>
  <c r="ID227" i="1"/>
  <c r="ID220" i="1"/>
  <c r="JV227" i="1"/>
  <c r="JV220" i="1"/>
  <c r="MK227" i="1"/>
  <c r="MK220" i="1"/>
  <c r="TX236" i="1"/>
  <c r="TX221" i="1"/>
  <c r="XT227" i="1"/>
  <c r="XT220" i="1"/>
  <c r="OQ236" i="1"/>
  <c r="OQ221" i="1"/>
  <c r="IS227" i="1"/>
  <c r="IS220" i="1"/>
  <c r="KG227" i="1"/>
  <c r="KG220" i="1"/>
  <c r="HS227" i="1"/>
  <c r="HS220" i="1"/>
  <c r="YB236" i="1"/>
  <c r="YB221" i="1"/>
  <c r="YC236" i="1"/>
  <c r="YC221" i="1"/>
  <c r="ZL236" i="1"/>
  <c r="ZL221" i="1"/>
  <c r="ZA236" i="1"/>
  <c r="ZA221" i="1"/>
  <c r="OZ227" i="1"/>
  <c r="OZ220" i="1"/>
  <c r="WF236" i="1"/>
  <c r="WF221" i="1"/>
  <c r="XZ236" i="1"/>
  <c r="XZ221" i="1"/>
  <c r="MO227" i="1"/>
  <c r="MO220" i="1"/>
  <c r="HB227" i="1"/>
  <c r="HB220" i="1"/>
  <c r="KW227" i="1"/>
  <c r="KW220" i="1"/>
  <c r="OY227" i="1"/>
  <c r="OY220" i="1"/>
  <c r="UR236" i="1"/>
  <c r="UR221" i="1"/>
  <c r="ME227" i="1"/>
  <c r="ME220" i="1"/>
  <c r="RY236" i="1"/>
  <c r="RY221" i="1"/>
  <c r="XN227" i="1"/>
  <c r="XN220" i="1"/>
  <c r="OC236" i="1"/>
  <c r="OC221" i="1"/>
  <c r="WO236" i="1"/>
  <c r="WO221" i="1"/>
  <c r="LF227" i="1"/>
  <c r="LF220" i="1"/>
  <c r="TC236" i="1"/>
  <c r="TC221" i="1"/>
  <c r="WX236" i="1"/>
  <c r="WX221" i="1"/>
  <c r="MI227" i="1"/>
  <c r="MI220" i="1"/>
  <c r="SN236" i="1"/>
  <c r="SN221" i="1"/>
  <c r="IT227" i="1"/>
  <c r="IT220" i="1"/>
  <c r="TU236" i="1"/>
  <c r="TU221" i="1"/>
  <c r="QX227" i="1"/>
  <c r="QX220" i="1"/>
  <c r="TR236" i="1"/>
  <c r="TR221" i="1"/>
  <c r="YK236" i="1"/>
  <c r="YK221" i="1"/>
  <c r="XQ227" i="1"/>
  <c r="XQ220" i="1"/>
  <c r="QP227" i="1"/>
  <c r="QP220" i="1"/>
  <c r="LH227" i="1"/>
  <c r="LH220" i="1"/>
  <c r="MD227" i="1"/>
  <c r="MD220" i="1"/>
  <c r="ZI236" i="1"/>
  <c r="ZI221" i="1"/>
  <c r="NI227" i="1"/>
  <c r="NI220" i="1"/>
  <c r="LI227" i="1"/>
  <c r="LI220" i="1"/>
  <c r="UP236" i="1"/>
  <c r="UP221" i="1"/>
  <c r="KC227" i="1"/>
  <c r="KC220" i="1"/>
  <c r="KX227" i="1"/>
  <c r="KX220" i="1"/>
  <c r="NJ227" i="1"/>
  <c r="NJ220" i="1"/>
  <c r="LK236" i="1"/>
  <c r="LK221" i="1"/>
  <c r="ZQ236" i="1"/>
  <c r="ZQ221" i="1"/>
  <c r="GU236" i="1"/>
  <c r="GU221" i="1"/>
  <c r="UN236" i="1"/>
  <c r="UN221" i="1"/>
  <c r="LV227" i="1"/>
  <c r="LV220" i="1"/>
  <c r="JY227" i="1"/>
  <c r="JY220" i="1"/>
  <c r="QM236" i="1"/>
  <c r="QM221" i="1"/>
  <c r="LD236" i="1"/>
  <c r="LD221" i="1"/>
  <c r="WW236" i="1"/>
  <c r="WW221" i="1"/>
  <c r="QY227" i="1"/>
  <c r="QY220" i="1"/>
  <c r="XW236" i="1"/>
  <c r="XW221" i="1"/>
  <c r="JA227" i="1"/>
  <c r="JA220" i="1"/>
  <c r="ZM236" i="1"/>
  <c r="ZM221" i="1"/>
  <c r="AAN227" i="1"/>
  <c r="AAN220" i="1"/>
  <c r="KR227" i="1"/>
  <c r="KR220" i="1"/>
  <c r="NA227" i="1"/>
  <c r="NA220" i="1"/>
  <c r="KY236" i="1"/>
  <c r="TJ236" i="1"/>
  <c r="TJ221" i="1"/>
  <c r="TJ224" i="1" s="1"/>
  <c r="TJ225" i="1" s="1"/>
  <c r="SE236" i="1"/>
  <c r="SE221" i="1"/>
  <c r="SU236" i="1"/>
  <c r="SU221" i="1"/>
  <c r="QQ227" i="1"/>
  <c r="QQ220" i="1"/>
  <c r="PA227" i="1"/>
  <c r="PA220" i="1"/>
  <c r="XR227" i="1"/>
  <c r="XR220" i="1"/>
  <c r="RN236" i="1"/>
  <c r="RN221" i="1"/>
  <c r="VT236" i="1"/>
  <c r="VT221" i="1"/>
  <c r="VF236" i="1"/>
  <c r="VF221" i="1"/>
  <c r="WC236" i="1"/>
  <c r="WC221" i="1"/>
  <c r="XK227" i="1"/>
  <c r="XK220" i="1"/>
  <c r="HQ227" i="1"/>
  <c r="HQ220" i="1"/>
  <c r="HY236" i="1"/>
  <c r="HY221" i="1"/>
  <c r="GY227" i="1"/>
  <c r="GY220" i="1"/>
  <c r="IF227" i="1"/>
  <c r="IF220" i="1"/>
  <c r="WP236" i="1"/>
  <c r="WP221" i="1"/>
  <c r="WP224" i="1" s="1"/>
  <c r="WP225" i="1" s="1"/>
  <c r="UX236" i="1"/>
  <c r="UX221" i="1"/>
  <c r="SO236" i="1"/>
  <c r="SO221" i="1"/>
  <c r="GZ227" i="1"/>
  <c r="GZ220" i="1"/>
  <c r="YF236" i="1"/>
  <c r="YF221" i="1"/>
  <c r="MJ236" i="1"/>
  <c r="MJ221" i="1"/>
  <c r="KS227" i="1"/>
  <c r="KS220" i="1"/>
  <c r="NB236" i="1"/>
  <c r="NB221" i="1"/>
  <c r="VU236" i="1"/>
  <c r="VU221" i="1"/>
  <c r="XI227" i="1"/>
  <c r="XI220" i="1"/>
  <c r="XV236" i="1"/>
  <c r="XV221" i="1"/>
  <c r="IP227" i="1"/>
  <c r="IP220" i="1"/>
  <c r="NQ236" i="1"/>
  <c r="NQ221" i="1"/>
  <c r="TN236" i="1"/>
  <c r="TN221" i="1"/>
  <c r="KL227" i="1"/>
  <c r="KL220" i="1"/>
  <c r="XX236" i="1"/>
  <c r="XX221" i="1"/>
  <c r="XX224" i="1" s="1"/>
  <c r="XX225" i="1" s="1"/>
  <c r="LX227" i="1"/>
  <c r="LX220" i="1"/>
  <c r="HE236" i="1"/>
  <c r="HE221" i="1"/>
  <c r="WD236" i="1"/>
  <c r="WD221" i="1"/>
  <c r="YZ236" i="1"/>
  <c r="YZ221" i="1"/>
  <c r="NC227" i="1"/>
  <c r="NC220" i="1"/>
  <c r="IY227" i="1"/>
  <c r="IY220" i="1"/>
  <c r="OV227" i="1"/>
  <c r="OV220" i="1"/>
  <c r="LR227" i="1"/>
  <c r="LR220" i="1"/>
  <c r="GQ236" i="1"/>
  <c r="GQ221" i="1"/>
  <c r="RX236" i="1"/>
  <c r="RX221" i="1"/>
  <c r="RK236" i="1"/>
  <c r="RK221" i="1"/>
  <c r="ZE236" i="1"/>
  <c r="ZE221" i="1"/>
  <c r="WI236" i="1"/>
  <c r="WI221" i="1"/>
  <c r="XH227" i="1"/>
  <c r="XH220" i="1"/>
  <c r="HN227" i="1"/>
  <c r="HN220" i="1"/>
  <c r="VX236" i="1"/>
  <c r="VX221" i="1"/>
  <c r="MF227" i="1"/>
  <c r="MF220" i="1"/>
  <c r="PX227" i="1"/>
  <c r="PX220" i="1"/>
  <c r="YH236" i="1"/>
  <c r="YH221" i="1"/>
  <c r="UB236" i="1"/>
  <c r="UB221" i="1"/>
  <c r="VR236" i="1"/>
  <c r="VR221" i="1"/>
  <c r="ZO236" i="1"/>
  <c r="ZO221" i="1"/>
  <c r="VJ236" i="1"/>
  <c r="VJ221" i="1"/>
  <c r="RW236" i="1"/>
  <c r="RW221" i="1"/>
  <c r="NN227" i="1"/>
  <c r="NN220" i="1"/>
  <c r="HZ227" i="1"/>
  <c r="HZ220" i="1"/>
  <c r="IA227" i="1"/>
  <c r="IA220" i="1"/>
  <c r="YI236" i="1"/>
  <c r="YI221" i="1"/>
  <c r="QK227" i="1"/>
  <c r="QK220" i="1"/>
  <c r="UF236" i="1"/>
  <c r="UF221" i="1"/>
  <c r="SM236" i="1"/>
  <c r="SM221" i="1"/>
  <c r="PL227" i="1"/>
  <c r="PL220" i="1"/>
  <c r="NW227" i="1"/>
  <c r="NW220" i="1"/>
  <c r="KE227" i="1"/>
  <c r="KE220" i="1"/>
  <c r="UK236" i="1"/>
  <c r="UK221" i="1"/>
  <c r="VY236" i="1"/>
  <c r="VY221" i="1"/>
  <c r="RJ236" i="1"/>
  <c r="RJ221" i="1"/>
  <c r="TB236" i="1"/>
  <c r="TB221" i="1"/>
  <c r="TG236" i="1"/>
  <c r="TG221" i="1"/>
  <c r="ZF236" i="1"/>
  <c r="ZF221" i="1"/>
  <c r="XM227" i="1"/>
  <c r="XM220" i="1"/>
  <c r="NZ227" i="1"/>
  <c r="NZ220" i="1"/>
  <c r="KU227" i="1"/>
  <c r="KU220" i="1"/>
  <c r="TQ236" i="1"/>
  <c r="TQ237" i="1" s="1"/>
  <c r="TQ221" i="1"/>
  <c r="TQ224" i="1" s="1"/>
  <c r="TQ225" i="1" s="1"/>
  <c r="KI236" i="1"/>
  <c r="KI221" i="1"/>
  <c r="PO236" i="1"/>
  <c r="PO221" i="1"/>
  <c r="YQ227" i="1"/>
  <c r="YQ220" i="1"/>
  <c r="HK227" i="1"/>
  <c r="HK220" i="1"/>
  <c r="SG236" i="1"/>
  <c r="SG237" i="1" s="1"/>
  <c r="SG221" i="1"/>
  <c r="SG224" i="1" s="1"/>
  <c r="SG225" i="1" s="1"/>
  <c r="HW236" i="1"/>
  <c r="HW221" i="1"/>
  <c r="QZ227" i="1"/>
  <c r="QZ220" i="1"/>
  <c r="VD236" i="1"/>
  <c r="VD221" i="1"/>
  <c r="ZC236" i="1"/>
  <c r="ZC221" i="1"/>
  <c r="YV236" i="1"/>
  <c r="YV221" i="1"/>
  <c r="RP236" i="1"/>
  <c r="RP221" i="1"/>
  <c r="JI227" i="1"/>
  <c r="JI220" i="1"/>
  <c r="UT236" i="1"/>
  <c r="UT221" i="1"/>
  <c r="SF236" i="1"/>
  <c r="SF221" i="1"/>
  <c r="MR227" i="1"/>
  <c r="MR220" i="1"/>
  <c r="IL236" i="1"/>
  <c r="IL221" i="1"/>
  <c r="IM236" i="1"/>
  <c r="IM221" i="1"/>
  <c r="SD227" i="1"/>
  <c r="SD220" i="1"/>
  <c r="MG227" i="1"/>
  <c r="MG220" i="1"/>
  <c r="NG236" i="1"/>
  <c r="NG221" i="1"/>
  <c r="WJ236" i="1"/>
  <c r="WJ221" i="1"/>
  <c r="WN236" i="1"/>
  <c r="WN221" i="1"/>
  <c r="YP227" i="1"/>
  <c r="YP220" i="1"/>
  <c r="PE227" i="1"/>
  <c r="PE220" i="1"/>
  <c r="HC227" i="1"/>
  <c r="HC220" i="1"/>
  <c r="LQ227" i="1"/>
  <c r="LQ220" i="1"/>
  <c r="ZU236" i="1"/>
  <c r="ZU221" i="1"/>
  <c r="QO227" i="1"/>
  <c r="QO220" i="1"/>
  <c r="ZH236" i="1"/>
  <c r="ZH221" i="1"/>
  <c r="NT236" i="1"/>
  <c r="NT221" i="1"/>
  <c r="WR236" i="1"/>
  <c r="WR221" i="1"/>
  <c r="RM236" i="1"/>
  <c r="RM221" i="1"/>
  <c r="SY236" i="1"/>
  <c r="SY221" i="1"/>
  <c r="VZ236" i="1"/>
  <c r="VZ221" i="1"/>
  <c r="GV227" i="1"/>
  <c r="GV220" i="1"/>
  <c r="IH236" i="1"/>
  <c r="IH221" i="1"/>
  <c r="WE236" i="1"/>
  <c r="WE221" i="1"/>
  <c r="YT236" i="1"/>
  <c r="YT221" i="1"/>
  <c r="OR236" i="1"/>
  <c r="OR221" i="1"/>
  <c r="XF236" i="1"/>
  <c r="XF221" i="1"/>
  <c r="JO236" i="1"/>
  <c r="JO221" i="1"/>
  <c r="XO227" i="1"/>
  <c r="XO220" i="1"/>
  <c r="JM227" i="1"/>
  <c r="JM220" i="1"/>
  <c r="UJ236" i="1"/>
  <c r="UJ221" i="1"/>
  <c r="LC227" i="1"/>
  <c r="LC220" i="1"/>
  <c r="ON236" i="1"/>
  <c r="ON221" i="1"/>
  <c r="IZ227" i="1"/>
  <c r="IZ220" i="1"/>
  <c r="UE236" i="1"/>
  <c r="UE221" i="1"/>
  <c r="IB236" i="1"/>
  <c r="IB221" i="1"/>
  <c r="WY236" i="1"/>
  <c r="WY221" i="1"/>
  <c r="TZ236" i="1"/>
  <c r="TZ221" i="1"/>
  <c r="SL236" i="1"/>
  <c r="SL221" i="1"/>
  <c r="YY236" i="1"/>
  <c r="YY221" i="1"/>
  <c r="LW227" i="1"/>
  <c r="LW220" i="1"/>
  <c r="UG236" i="1"/>
  <c r="UG221" i="1"/>
  <c r="UG224" i="1" s="1"/>
  <c r="UG225" i="1" s="1"/>
  <c r="UD227" i="1"/>
  <c r="UD220" i="1"/>
  <c r="TT236" i="1"/>
  <c r="TT221" i="1"/>
  <c r="TT224" i="1" s="1"/>
  <c r="TT225" i="1" s="1"/>
  <c r="YM227" i="1"/>
  <c r="YM220" i="1"/>
  <c r="IN227" i="1"/>
  <c r="IN220" i="1"/>
  <c r="PG227" i="1"/>
  <c r="PG220" i="1"/>
  <c r="LO236" i="1"/>
  <c r="LO221" i="1"/>
  <c r="SJ236" i="1"/>
  <c r="SJ221" i="1"/>
  <c r="US236" i="1"/>
  <c r="US221" i="1"/>
  <c r="VM236" i="1"/>
  <c r="VM221" i="1"/>
  <c r="HM227" i="1"/>
  <c r="HM220" i="1"/>
  <c r="SP236" i="1"/>
  <c r="SP221" i="1"/>
  <c r="YJ236" i="1"/>
  <c r="YJ221" i="1"/>
  <c r="ML236" i="1"/>
  <c r="ML221" i="1"/>
  <c r="RF236" i="1"/>
  <c r="RF221" i="1"/>
  <c r="IK227" i="1"/>
  <c r="IK220" i="1"/>
  <c r="RL236" i="1"/>
  <c r="RL221" i="1"/>
  <c r="XY236" i="1"/>
  <c r="XY221" i="1"/>
  <c r="MX227" i="1"/>
  <c r="MX220" i="1"/>
  <c r="MS236" i="1"/>
  <c r="MS221" i="1"/>
  <c r="YW236" i="1"/>
  <c r="PP236" i="1"/>
  <c r="PP221" i="1"/>
  <c r="MN236" i="1"/>
  <c r="MN237" i="1" s="1"/>
  <c r="MN221" i="1"/>
  <c r="MN224" i="1" s="1"/>
  <c r="MN225" i="1" s="1"/>
  <c r="VV236" i="1"/>
  <c r="VV221" i="1"/>
  <c r="ZP236" i="1"/>
  <c r="ZP221" i="1"/>
  <c r="QT227" i="1"/>
  <c r="QT220" i="1"/>
  <c r="RE227" i="1"/>
  <c r="RE220" i="1"/>
  <c r="HT227" i="1"/>
  <c r="HT220" i="1"/>
  <c r="HV227" i="1"/>
  <c r="HV220" i="1"/>
  <c r="TI236" i="1"/>
  <c r="TI221" i="1"/>
  <c r="WH236" i="1"/>
  <c r="WH221" i="1"/>
  <c r="XU227" i="1"/>
  <c r="XU220" i="1"/>
  <c r="TO236" i="1"/>
  <c r="TO221" i="1"/>
  <c r="WB236" i="1"/>
  <c r="WB221" i="1"/>
  <c r="YA236" i="1"/>
  <c r="YA221" i="1"/>
  <c r="RU236" i="1"/>
  <c r="RU221" i="1"/>
  <c r="JT227" i="1"/>
  <c r="JT220" i="1"/>
  <c r="HR227" i="1"/>
  <c r="HR220" i="1"/>
  <c r="JS236" i="1"/>
  <c r="JS221" i="1"/>
  <c r="PS236" i="1"/>
  <c r="PS221" i="1"/>
  <c r="TK236" i="1"/>
  <c r="TK221" i="1"/>
  <c r="VA236" i="1"/>
  <c r="VA221" i="1"/>
  <c r="ZT236" i="1"/>
  <c r="ZT221" i="1"/>
  <c r="NE227" i="1"/>
  <c r="NE220" i="1"/>
  <c r="TA236" i="1"/>
  <c r="TA221" i="1"/>
  <c r="UH236" i="1"/>
  <c r="UH221" i="1"/>
  <c r="ZK236" i="1"/>
  <c r="ZK221" i="1"/>
  <c r="XP227" i="1"/>
  <c r="XP220" i="1"/>
  <c r="OH227" i="1"/>
  <c r="OH220" i="1"/>
  <c r="GX227" i="1"/>
  <c r="GX220" i="1"/>
  <c r="LG227" i="1"/>
  <c r="LG220" i="1"/>
  <c r="TS236" i="1"/>
  <c r="TS221" i="1"/>
  <c r="JH227" i="1"/>
  <c r="JH220" i="1"/>
  <c r="RZ236" i="1"/>
  <c r="RZ221" i="1"/>
  <c r="YR227" i="1"/>
  <c r="YR220" i="1"/>
  <c r="MC227" i="1"/>
  <c r="MC220" i="1"/>
  <c r="GS227" i="1"/>
  <c r="GS220" i="1"/>
  <c r="LZ227" i="1"/>
  <c r="LZ220" i="1"/>
  <c r="VE236" i="1"/>
  <c r="VE221" i="1"/>
  <c r="PF227" i="1"/>
  <c r="PF220" i="1"/>
  <c r="HF227" i="1"/>
  <c r="HF220" i="1"/>
  <c r="SH236" i="1"/>
  <c r="SH221" i="1"/>
  <c r="SC227" i="1"/>
  <c r="SC220" i="1"/>
  <c r="ZB236" i="1"/>
  <c r="ZB221" i="1"/>
  <c r="ZB224" i="1" s="1"/>
  <c r="ZB225" i="1" s="1"/>
  <c r="PH227" i="1"/>
  <c r="PH220" i="1"/>
  <c r="JZ227" i="1"/>
  <c r="JZ220" i="1"/>
  <c r="NF236" i="1"/>
  <c r="NF221" i="1"/>
  <c r="UC236" i="1"/>
  <c r="UC221" i="1"/>
  <c r="ZS236" i="1"/>
  <c r="ZS221" i="1"/>
  <c r="YL227" i="1"/>
  <c r="YL220" i="1"/>
  <c r="HX236" i="1"/>
  <c r="HX221" i="1"/>
  <c r="SQ236" i="1"/>
  <c r="SQ221" i="1"/>
  <c r="RC227" i="1"/>
  <c r="RC220" i="1"/>
  <c r="HH227" i="1"/>
  <c r="HH220" i="1"/>
  <c r="HO227" i="1"/>
  <c r="HO220" i="1"/>
  <c r="UA236" i="1"/>
  <c r="UA221" i="1"/>
  <c r="AAP227" i="1"/>
  <c r="AAP220" i="1"/>
  <c r="AAQ236" i="1"/>
  <c r="AAQ221" i="1"/>
  <c r="AAR236" i="1"/>
  <c r="AAR221" i="1"/>
  <c r="AAS236" i="1"/>
  <c r="AAS221" i="1"/>
  <c r="AAT236" i="1"/>
  <c r="AAT221" i="1"/>
  <c r="AAU236" i="1"/>
  <c r="AAU221" i="1"/>
  <c r="AAV236" i="1"/>
  <c r="AAV221" i="1"/>
  <c r="AAW236" i="1"/>
  <c r="AAW221" i="1"/>
  <c r="AAX236" i="1"/>
  <c r="AAX221" i="1"/>
  <c r="AAY236" i="1"/>
  <c r="AAY221" i="1"/>
  <c r="AAZ236" i="1"/>
  <c r="AAZ221" i="1"/>
  <c r="ABA236" i="1"/>
  <c r="ABA221" i="1"/>
  <c r="ABB236" i="1"/>
  <c r="ABB221" i="1"/>
  <c r="ABC236" i="1"/>
  <c r="ABC221" i="1"/>
  <c r="ABD236" i="1"/>
  <c r="ABD221" i="1"/>
  <c r="ABE236" i="1"/>
  <c r="ABE221" i="1"/>
  <c r="ABF236" i="1"/>
  <c r="ABF221" i="1"/>
  <c r="ABG236" i="1"/>
  <c r="ABG221" i="1"/>
  <c r="ABH236" i="1"/>
  <c r="ABH221" i="1"/>
  <c r="ABI227" i="1"/>
  <c r="ABI220" i="1"/>
  <c r="ABJ227" i="1"/>
  <c r="ABJ220" i="1"/>
  <c r="ABK227" i="1"/>
  <c r="ABK220" i="1"/>
  <c r="ABN227" i="1"/>
  <c r="ABN220" i="1"/>
  <c r="ABM227" i="1"/>
  <c r="ABM220" i="1"/>
  <c r="ABL227" i="1"/>
  <c r="ABL220" i="1"/>
  <c r="ABO227" i="1"/>
  <c r="ABO220" i="1"/>
  <c r="ABP227" i="1"/>
  <c r="ABP220" i="1"/>
  <c r="ABQ227" i="1"/>
  <c r="ABQ220" i="1"/>
  <c r="ABR236" i="1"/>
  <c r="ABR221" i="1"/>
  <c r="ABR224" i="1" s="1"/>
  <c r="ABR225" i="1" s="1"/>
  <c r="ABS236" i="1"/>
  <c r="ABS221" i="1"/>
  <c r="ABS224" i="1" s="1"/>
  <c r="ABS225" i="1" s="1"/>
  <c r="ABT227" i="1"/>
  <c r="ABT220" i="1"/>
  <c r="ABV227" i="1"/>
  <c r="ABV220" i="1"/>
  <c r="ABU227" i="1"/>
  <c r="ABU220" i="1"/>
  <c r="ABW227" i="1"/>
  <c r="ABW220" i="1"/>
  <c r="ABX227" i="1"/>
  <c r="ABX220" i="1"/>
  <c r="ABY227" i="1"/>
  <c r="ABY220" i="1"/>
  <c r="ABZ227" i="1"/>
  <c r="ABZ220" i="1"/>
  <c r="ACB236" i="1"/>
  <c r="ACB221" i="1"/>
  <c r="ACA236" i="1"/>
  <c r="ACA221" i="1"/>
  <c r="ACC227" i="1"/>
  <c r="ACC220" i="1"/>
  <c r="ACD227" i="1"/>
  <c r="ACD220" i="1"/>
  <c r="ACE227" i="1"/>
  <c r="ACE220" i="1"/>
  <c r="XS227" i="1"/>
  <c r="XS220" i="1"/>
  <c r="QE227" i="1"/>
  <c r="QE220" i="1"/>
  <c r="OW227" i="1"/>
  <c r="OW220" i="1"/>
  <c r="NX227" i="1"/>
  <c r="NX220" i="1"/>
  <c r="LP227" i="1"/>
  <c r="LP220" i="1"/>
  <c r="LE227" i="1"/>
  <c r="LE220" i="1"/>
  <c r="KV227" i="1"/>
  <c r="KV220" i="1"/>
  <c r="KO227" i="1"/>
  <c r="KO220" i="1"/>
  <c r="KH227" i="1"/>
  <c r="KH220" i="1"/>
  <c r="JQ227" i="1"/>
  <c r="JQ220" i="1"/>
  <c r="JF227" i="1"/>
  <c r="JF220" i="1"/>
  <c r="JD227" i="1"/>
  <c r="JD220" i="1"/>
  <c r="IV227" i="1"/>
  <c r="IV220" i="1"/>
  <c r="II227" i="1"/>
  <c r="II220" i="1"/>
  <c r="IG227" i="1"/>
  <c r="IG220" i="1"/>
  <c r="ACF227" i="1"/>
  <c r="ACF220" i="1"/>
  <c r="ACG227" i="1"/>
  <c r="ACG220" i="1"/>
  <c r="ACI227" i="1"/>
  <c r="ACI220" i="1"/>
  <c r="ACH227" i="1"/>
  <c r="ACH220" i="1"/>
  <c r="ACJ227" i="1"/>
  <c r="ACJ220" i="1"/>
  <c r="ACK227" i="1"/>
  <c r="ACK220" i="1"/>
  <c r="ACL227" i="1"/>
  <c r="ACL220" i="1"/>
  <c r="ACM227" i="1"/>
  <c r="ACM220" i="1"/>
  <c r="ACN227" i="1"/>
  <c r="ACN220" i="1"/>
  <c r="ACO227" i="1"/>
  <c r="ACO220" i="1"/>
  <c r="ACP227" i="1"/>
  <c r="ACP220" i="1"/>
  <c r="ACQ227" i="1"/>
  <c r="ACQ220" i="1"/>
  <c r="ACR227" i="1"/>
  <c r="ACR220" i="1"/>
  <c r="ACS227" i="1"/>
  <c r="ACS220" i="1"/>
  <c r="ACT227" i="1"/>
  <c r="ACT220" i="1"/>
  <c r="ACU227" i="1"/>
  <c r="ACU220" i="1"/>
  <c r="ACW227" i="1"/>
  <c r="ACW220" i="1"/>
  <c r="ACV227" i="1"/>
  <c r="ACV220" i="1"/>
  <c r="ACX227" i="1"/>
  <c r="ACX220" i="1"/>
  <c r="ST233" i="1"/>
  <c r="ST237" i="1" s="1"/>
  <c r="ST223" i="1"/>
  <c r="ST224" i="1" s="1"/>
  <c r="ST225" i="1" s="1"/>
  <c r="IC233" i="1"/>
  <c r="IC223" i="1"/>
  <c r="IC224" i="1" s="1"/>
  <c r="IC225" i="1" s="1"/>
  <c r="VG233" i="1"/>
  <c r="VG237" i="1" s="1"/>
  <c r="VG223" i="1"/>
  <c r="VG224" i="1" s="1"/>
  <c r="VG225" i="1" s="1"/>
  <c r="UO233" i="1"/>
  <c r="UO237" i="1" s="1"/>
  <c r="UO223" i="1"/>
  <c r="UO224" i="1" s="1"/>
  <c r="UO225" i="1" s="1"/>
  <c r="YU233" i="1"/>
  <c r="YU237" i="1" s="1"/>
  <c r="YU223" i="1"/>
  <c r="YU224" i="1" s="1"/>
  <c r="YU225" i="1" s="1"/>
  <c r="TY233" i="1"/>
  <c r="TY237" i="1" s="1"/>
  <c r="TY223" i="1"/>
  <c r="TY224" i="1" s="1"/>
  <c r="TY225" i="1" s="1"/>
  <c r="LT233" i="1"/>
  <c r="LT237" i="1" s="1"/>
  <c r="LT223" i="1"/>
  <c r="LT224" i="1" s="1"/>
  <c r="LT225" i="1" s="1"/>
  <c r="UQ233" i="1"/>
  <c r="UQ237" i="1" s="1"/>
  <c r="UQ223" i="1"/>
  <c r="UQ224" i="1" s="1"/>
  <c r="UQ225" i="1" s="1"/>
  <c r="VK233" i="1"/>
  <c r="VK237" i="1" s="1"/>
  <c r="VK223" i="1"/>
  <c r="VK224" i="1" s="1"/>
  <c r="VK225" i="1" s="1"/>
  <c r="VN233" i="1"/>
  <c r="VN237" i="1" s="1"/>
  <c r="VN223" i="1"/>
  <c r="VN224" i="1" s="1"/>
  <c r="VN225" i="1" s="1"/>
  <c r="XA233" i="1"/>
  <c r="XA237" i="1" s="1"/>
  <c r="XA223" i="1"/>
  <c r="XA224" i="1" s="1"/>
  <c r="XA225" i="1" s="1"/>
  <c r="UY233" i="1"/>
  <c r="UY237" i="1" s="1"/>
  <c r="UY223" i="1"/>
  <c r="UY224" i="1" s="1"/>
  <c r="UY225" i="1" s="1"/>
  <c r="OL223" i="1"/>
  <c r="OL224" i="1" s="1"/>
  <c r="OL225" i="1" s="1"/>
  <c r="XD233" i="1"/>
  <c r="XD237" i="1" s="1"/>
  <c r="XD223" i="1"/>
  <c r="XD224" i="1" s="1"/>
  <c r="XD225" i="1" s="1"/>
  <c r="WV233" i="1"/>
  <c r="WV237" i="1" s="1"/>
  <c r="WV223" i="1"/>
  <c r="WV224" i="1" s="1"/>
  <c r="WV225" i="1" s="1"/>
  <c r="ZY233" i="1"/>
  <c r="ZY237" i="1" s="1"/>
  <c r="NK233" i="1"/>
  <c r="NK237" i="1" s="1"/>
  <c r="NK223" i="1"/>
  <c r="NK224" i="1" s="1"/>
  <c r="NK225" i="1" s="1"/>
  <c r="IE233" i="1"/>
  <c r="IE237" i="1" s="1"/>
  <c r="IE223" i="1"/>
  <c r="IE224" i="1" s="1"/>
  <c r="IE225" i="1" s="1"/>
  <c r="MV233" i="1"/>
  <c r="MV237" i="1" s="1"/>
  <c r="MV223" i="1"/>
  <c r="MV224" i="1" s="1"/>
  <c r="MV225" i="1" s="1"/>
  <c r="NO233" i="1"/>
  <c r="NO237" i="1" s="1"/>
  <c r="NO223" i="1"/>
  <c r="NO224" i="1" s="1"/>
  <c r="NO225" i="1" s="1"/>
  <c r="XE233" i="1"/>
  <c r="XE237" i="1" s="1"/>
  <c r="XE223" i="1"/>
  <c r="XE224" i="1" s="1"/>
  <c r="XE225" i="1" s="1"/>
  <c r="PC233" i="1"/>
  <c r="PC237" i="1" s="1"/>
  <c r="PC223" i="1"/>
  <c r="PC224" i="1" s="1"/>
  <c r="PC225" i="1" s="1"/>
  <c r="UI233" i="1"/>
  <c r="UI237" i="1" s="1"/>
  <c r="UI223" i="1"/>
  <c r="UI224" i="1" s="1"/>
  <c r="UI225" i="1" s="1"/>
  <c r="RR233" i="1"/>
  <c r="RR237" i="1" s="1"/>
  <c r="RR223" i="1"/>
  <c r="RR224" i="1" s="1"/>
  <c r="RR225" i="1" s="1"/>
  <c r="VW233" i="1"/>
  <c r="VW237" i="1" s="1"/>
  <c r="VW223" i="1"/>
  <c r="VW224" i="1" s="1"/>
  <c r="VW225" i="1" s="1"/>
  <c r="SB233" i="1"/>
  <c r="SB237" i="1" s="1"/>
  <c r="SB223" i="1"/>
  <c r="SB224" i="1" s="1"/>
  <c r="SB225" i="1" s="1"/>
  <c r="XB233" i="1"/>
  <c r="XB237" i="1" s="1"/>
  <c r="XB223" i="1"/>
  <c r="XB224" i="1" s="1"/>
  <c r="XB225" i="1" s="1"/>
  <c r="TD233" i="1"/>
  <c r="TD237" i="1" s="1"/>
  <c r="TD223" i="1"/>
  <c r="TD224" i="1" s="1"/>
  <c r="TD225" i="1" s="1"/>
  <c r="VH233" i="1"/>
  <c r="VH237" i="1" s="1"/>
  <c r="VH223" i="1"/>
  <c r="VH224" i="1" s="1"/>
  <c r="VH225" i="1" s="1"/>
  <c r="WL233" i="1"/>
  <c r="WL237" i="1" s="1"/>
  <c r="WL223" i="1"/>
  <c r="WL224" i="1" s="1"/>
  <c r="WL225" i="1" s="1"/>
  <c r="VL233" i="1"/>
  <c r="VL237" i="1" s="1"/>
  <c r="VL223" i="1"/>
  <c r="VL224" i="1" s="1"/>
  <c r="VL225" i="1" s="1"/>
  <c r="VB233" i="1"/>
  <c r="VB237" i="1" s="1"/>
  <c r="VB223" i="1"/>
  <c r="VB224" i="1" s="1"/>
  <c r="VB225" i="1" s="1"/>
  <c r="MW233" i="1"/>
  <c r="MW237" i="1" s="1"/>
  <c r="MW223" i="1"/>
  <c r="MW224" i="1" s="1"/>
  <c r="MW225" i="1" s="1"/>
  <c r="WQ233" i="1"/>
  <c r="WQ237" i="1" s="1"/>
  <c r="WQ223" i="1"/>
  <c r="WQ224" i="1" s="1"/>
  <c r="WQ225" i="1" s="1"/>
  <c r="TX233" i="1"/>
  <c r="TX237" i="1" s="1"/>
  <c r="TX223" i="1"/>
  <c r="TX224" i="1" s="1"/>
  <c r="TX225" i="1" s="1"/>
  <c r="OQ223" i="1"/>
  <c r="OQ224" i="1" s="1"/>
  <c r="OQ225" i="1" s="1"/>
  <c r="YB233" i="1"/>
  <c r="YB237" i="1" s="1"/>
  <c r="YB223" i="1"/>
  <c r="YB224" i="1" s="1"/>
  <c r="YB225" i="1" s="1"/>
  <c r="YC233" i="1"/>
  <c r="YC237" i="1" s="1"/>
  <c r="YC223" i="1"/>
  <c r="YC224" i="1" s="1"/>
  <c r="YC225" i="1" s="1"/>
  <c r="ZL233" i="1"/>
  <c r="ZL237" i="1" s="1"/>
  <c r="ZL223" i="1"/>
  <c r="ZL224" i="1" s="1"/>
  <c r="ZL225" i="1" s="1"/>
  <c r="ZA233" i="1"/>
  <c r="ZA237" i="1" s="1"/>
  <c r="ZA223" i="1"/>
  <c r="ZA224" i="1" s="1"/>
  <c r="ZA225" i="1" s="1"/>
  <c r="WF233" i="1"/>
  <c r="WF237" i="1" s="1"/>
  <c r="WF223" i="1"/>
  <c r="WF224" i="1" s="1"/>
  <c r="WF225" i="1" s="1"/>
  <c r="XZ233" i="1"/>
  <c r="XZ237" i="1" s="1"/>
  <c r="XZ223" i="1"/>
  <c r="XZ224" i="1" s="1"/>
  <c r="XZ225" i="1" s="1"/>
  <c r="UR233" i="1"/>
  <c r="UR237" i="1" s="1"/>
  <c r="UR223" i="1"/>
  <c r="UR224" i="1" s="1"/>
  <c r="UR225" i="1" s="1"/>
  <c r="RY233" i="1"/>
  <c r="RY237" i="1" s="1"/>
  <c r="RY223" i="1"/>
  <c r="RY224" i="1" s="1"/>
  <c r="RY225" i="1" s="1"/>
  <c r="OC233" i="1"/>
  <c r="OC237" i="1" s="1"/>
  <c r="OC223" i="1"/>
  <c r="OC224" i="1" s="1"/>
  <c r="OC225" i="1" s="1"/>
  <c r="WO233" i="1"/>
  <c r="WO237" i="1" s="1"/>
  <c r="WO223" i="1"/>
  <c r="WO224" i="1" s="1"/>
  <c r="WO225" i="1" s="1"/>
  <c r="TC233" i="1"/>
  <c r="TC237" i="1" s="1"/>
  <c r="TC223" i="1"/>
  <c r="TC224" i="1" s="1"/>
  <c r="TC225" i="1" s="1"/>
  <c r="WX233" i="1"/>
  <c r="WX237" i="1" s="1"/>
  <c r="WX223" i="1"/>
  <c r="WX224" i="1" s="1"/>
  <c r="WX225" i="1" s="1"/>
  <c r="SN233" i="1"/>
  <c r="SN237" i="1" s="1"/>
  <c r="SN223" i="1"/>
  <c r="SN224" i="1" s="1"/>
  <c r="SN225" i="1" s="1"/>
  <c r="TU223" i="1"/>
  <c r="TU224" i="1" s="1"/>
  <c r="TU225" i="1" s="1"/>
  <c r="TR223" i="1"/>
  <c r="TR224" i="1" s="1"/>
  <c r="TR225" i="1" s="1"/>
  <c r="ZI233" i="1"/>
  <c r="ZI237" i="1" s="1"/>
  <c r="ZI223" i="1"/>
  <c r="ZI224" i="1" s="1"/>
  <c r="ZI225" i="1" s="1"/>
  <c r="UP233" i="1"/>
  <c r="UP237" i="1" s="1"/>
  <c r="UP223" i="1"/>
  <c r="UP224" i="1" s="1"/>
  <c r="UP225" i="1" s="1"/>
  <c r="YX223" i="1"/>
  <c r="YX224" i="1" s="1"/>
  <c r="YX225" i="1" s="1"/>
  <c r="LK233" i="1"/>
  <c r="LK237" i="1" s="1"/>
  <c r="LK223" i="1"/>
  <c r="LK224" i="1" s="1"/>
  <c r="LK225" i="1" s="1"/>
  <c r="GU233" i="1"/>
  <c r="GU237" i="1" s="1"/>
  <c r="GU223" i="1"/>
  <c r="GU224" i="1" s="1"/>
  <c r="GU225" i="1" s="1"/>
  <c r="UN233" i="1"/>
  <c r="UN237" i="1" s="1"/>
  <c r="UN223" i="1"/>
  <c r="UN224" i="1" s="1"/>
  <c r="UN225" i="1" s="1"/>
  <c r="LA223" i="1"/>
  <c r="LA224" i="1" s="1"/>
  <c r="LA225" i="1" s="1"/>
  <c r="QU223" i="1"/>
  <c r="QU224" i="1" s="1"/>
  <c r="QU225" i="1" s="1"/>
  <c r="QM233" i="1"/>
  <c r="QM237" i="1" s="1"/>
  <c r="QM223" i="1"/>
  <c r="QM224" i="1" s="1"/>
  <c r="QM225" i="1" s="1"/>
  <c r="LD233" i="1"/>
  <c r="LD237" i="1" s="1"/>
  <c r="LD223" i="1"/>
  <c r="LD224" i="1" s="1"/>
  <c r="LD225" i="1" s="1"/>
  <c r="WW223" i="1"/>
  <c r="WW224" i="1" s="1"/>
  <c r="WW225" i="1" s="1"/>
  <c r="XW233" i="1"/>
  <c r="XW237" i="1" s="1"/>
  <c r="XW223" i="1"/>
  <c r="XW224" i="1" s="1"/>
  <c r="XW225" i="1" s="1"/>
  <c r="ZM233" i="1"/>
  <c r="ZM237" i="1" s="1"/>
  <c r="ZM223" i="1"/>
  <c r="ZM224" i="1" s="1"/>
  <c r="ZM225" i="1" s="1"/>
  <c r="KY233" i="1"/>
  <c r="KY237" i="1" s="1"/>
  <c r="KY223" i="1"/>
  <c r="KY224" i="1" s="1"/>
  <c r="KY225" i="1" s="1"/>
  <c r="TJ233" i="1"/>
  <c r="TJ237" i="1" s="1"/>
  <c r="SU233" i="1"/>
  <c r="SU237" i="1" s="1"/>
  <c r="SU223" i="1"/>
  <c r="SU224" i="1" s="1"/>
  <c r="SU225" i="1" s="1"/>
  <c r="VT233" i="1"/>
  <c r="VT237" i="1" s="1"/>
  <c r="VT223" i="1"/>
  <c r="VT224" i="1" s="1"/>
  <c r="VT225" i="1" s="1"/>
  <c r="VF233" i="1"/>
  <c r="VF237" i="1" s="1"/>
  <c r="VF223" i="1"/>
  <c r="VF224" i="1" s="1"/>
  <c r="VF225" i="1" s="1"/>
  <c r="WC233" i="1"/>
  <c r="WC237" i="1" s="1"/>
  <c r="WC223" i="1"/>
  <c r="WC224" i="1" s="1"/>
  <c r="WC225" i="1" s="1"/>
  <c r="HY233" i="1"/>
  <c r="HY223" i="1"/>
  <c r="HY224" i="1" s="1"/>
  <c r="HY225" i="1" s="1"/>
  <c r="WP233" i="1"/>
  <c r="WP237" i="1" s="1"/>
  <c r="UX233" i="1"/>
  <c r="UX237" i="1" s="1"/>
  <c r="UX223" i="1"/>
  <c r="UX224" i="1" s="1"/>
  <c r="UX225" i="1" s="1"/>
  <c r="SO233" i="1"/>
  <c r="SO237" i="1" s="1"/>
  <c r="SO223" i="1"/>
  <c r="SO224" i="1" s="1"/>
  <c r="SO225" i="1" s="1"/>
  <c r="MJ233" i="1"/>
  <c r="MJ237" i="1" s="1"/>
  <c r="MJ223" i="1"/>
  <c r="MJ224" i="1" s="1"/>
  <c r="MJ225" i="1" s="1"/>
  <c r="NB223" i="1"/>
  <c r="NB224" i="1" s="1"/>
  <c r="NB225" i="1" s="1"/>
  <c r="VU233" i="1"/>
  <c r="VU237" i="1" s="1"/>
  <c r="VU223" i="1"/>
  <c r="VU224" i="1" s="1"/>
  <c r="VU225" i="1" s="1"/>
  <c r="XV233" i="1"/>
  <c r="XV237" i="1" s="1"/>
  <c r="XV223" i="1"/>
  <c r="XV224" i="1" s="1"/>
  <c r="XV225" i="1" s="1"/>
  <c r="NQ233" i="1"/>
  <c r="NQ237" i="1" s="1"/>
  <c r="NQ223" i="1"/>
  <c r="NQ224" i="1" s="1"/>
  <c r="NQ225" i="1" s="1"/>
  <c r="TN233" i="1"/>
  <c r="TN237" i="1" s="1"/>
  <c r="TN223" i="1"/>
  <c r="TN224" i="1" s="1"/>
  <c r="TN225" i="1" s="1"/>
  <c r="XX233" i="1"/>
  <c r="XX237" i="1" s="1"/>
  <c r="HE233" i="1"/>
  <c r="HE237" i="1" s="1"/>
  <c r="HE223" i="1"/>
  <c r="HE224" i="1" s="1"/>
  <c r="HE225" i="1" s="1"/>
  <c r="WD233" i="1"/>
  <c r="WD237" i="1" s="1"/>
  <c r="WD223" i="1"/>
  <c r="WD224" i="1" s="1"/>
  <c r="WD225" i="1" s="1"/>
  <c r="YZ233" i="1"/>
  <c r="YZ237" i="1" s="1"/>
  <c r="YZ223" i="1"/>
  <c r="YZ224" i="1" s="1"/>
  <c r="YZ225" i="1" s="1"/>
  <c r="GQ223" i="1"/>
  <c r="GQ224" i="1" s="1"/>
  <c r="GQ225" i="1" s="1"/>
  <c r="RX233" i="1"/>
  <c r="RX237" i="1" s="1"/>
  <c r="RX223" i="1"/>
  <c r="RX224" i="1" s="1"/>
  <c r="RX225" i="1" s="1"/>
  <c r="RK233" i="1"/>
  <c r="RK237" i="1" s="1"/>
  <c r="RK223" i="1"/>
  <c r="RK224" i="1" s="1"/>
  <c r="RK225" i="1" s="1"/>
  <c r="ZE233" i="1"/>
  <c r="ZE237" i="1" s="1"/>
  <c r="ZE223" i="1"/>
  <c r="ZE224" i="1" s="1"/>
  <c r="ZE225" i="1" s="1"/>
  <c r="WI233" i="1"/>
  <c r="WI237" i="1" s="1"/>
  <c r="WI223" i="1"/>
  <c r="WI224" i="1" s="1"/>
  <c r="WI225" i="1" s="1"/>
  <c r="VX233" i="1"/>
  <c r="VX237" i="1" s="1"/>
  <c r="VX223" i="1"/>
  <c r="VX224" i="1" s="1"/>
  <c r="VX225" i="1" s="1"/>
  <c r="YH233" i="1"/>
  <c r="YH237" i="1" s="1"/>
  <c r="YH223" i="1"/>
  <c r="YH224" i="1" s="1"/>
  <c r="YH225" i="1" s="1"/>
  <c r="UB233" i="1"/>
  <c r="UB237" i="1" s="1"/>
  <c r="UB223" i="1"/>
  <c r="UB224" i="1" s="1"/>
  <c r="UB225" i="1" s="1"/>
  <c r="VR233" i="1"/>
  <c r="VR237" i="1" s="1"/>
  <c r="VR223" i="1"/>
  <c r="VR224" i="1" s="1"/>
  <c r="VR225" i="1" s="1"/>
  <c r="ZO233" i="1"/>
  <c r="ZO237" i="1" s="1"/>
  <c r="ZO223" i="1"/>
  <c r="ZO224" i="1" s="1"/>
  <c r="ZO225" i="1" s="1"/>
  <c r="VJ233" i="1"/>
  <c r="VJ237" i="1" s="1"/>
  <c r="VJ223" i="1"/>
  <c r="VJ224" i="1" s="1"/>
  <c r="VJ225" i="1" s="1"/>
  <c r="RW233" i="1"/>
  <c r="RW237" i="1" s="1"/>
  <c r="RW223" i="1"/>
  <c r="RW224" i="1" s="1"/>
  <c r="RW225" i="1" s="1"/>
  <c r="YI233" i="1"/>
  <c r="YI237" i="1" s="1"/>
  <c r="YI223" i="1"/>
  <c r="YI224" i="1" s="1"/>
  <c r="YI225" i="1" s="1"/>
  <c r="UF233" i="1"/>
  <c r="UF237" i="1" s="1"/>
  <c r="UF223" i="1"/>
  <c r="UF224" i="1" s="1"/>
  <c r="UF225" i="1" s="1"/>
  <c r="SM233" i="1"/>
  <c r="SM237" i="1" s="1"/>
  <c r="SM223" i="1"/>
  <c r="SM224" i="1" s="1"/>
  <c r="SM225" i="1" s="1"/>
  <c r="UK233" i="1"/>
  <c r="UK237" i="1" s="1"/>
  <c r="UK223" i="1"/>
  <c r="UK224" i="1" s="1"/>
  <c r="UK225" i="1" s="1"/>
  <c r="RJ233" i="1"/>
  <c r="RJ237" i="1" s="1"/>
  <c r="RJ223" i="1"/>
  <c r="RJ224" i="1" s="1"/>
  <c r="RJ225" i="1" s="1"/>
  <c r="TB233" i="1"/>
  <c r="TB237" i="1" s="1"/>
  <c r="TB223" i="1"/>
  <c r="TB224" i="1" s="1"/>
  <c r="TB225" i="1" s="1"/>
  <c r="TG233" i="1"/>
  <c r="TG237" i="1" s="1"/>
  <c r="TG223" i="1"/>
  <c r="TG224" i="1" s="1"/>
  <c r="TG225" i="1" s="1"/>
  <c r="ZF233" i="1"/>
  <c r="ZF237" i="1" s="1"/>
  <c r="ZF223" i="1"/>
  <c r="ZF224" i="1" s="1"/>
  <c r="ZF225" i="1" s="1"/>
  <c r="KI223" i="1"/>
  <c r="KI224" i="1" s="1"/>
  <c r="KI225" i="1" s="1"/>
  <c r="PO233" i="1"/>
  <c r="PO237" i="1" s="1"/>
  <c r="PO223" i="1"/>
  <c r="PO224" i="1" s="1"/>
  <c r="PO225" i="1" s="1"/>
  <c r="HW233" i="1"/>
  <c r="HW237" i="1" s="1"/>
  <c r="HW223" i="1"/>
  <c r="HW224" i="1" s="1"/>
  <c r="HW225" i="1" s="1"/>
  <c r="VD233" i="1"/>
  <c r="VD237" i="1" s="1"/>
  <c r="VD223" i="1"/>
  <c r="VD224" i="1" s="1"/>
  <c r="VD225" i="1" s="1"/>
  <c r="ZC233" i="1"/>
  <c r="ZC237" i="1" s="1"/>
  <c r="ZC223" i="1"/>
  <c r="ZC224" i="1" s="1"/>
  <c r="ZC225" i="1" s="1"/>
  <c r="YV233" i="1"/>
  <c r="YV237" i="1" s="1"/>
  <c r="YV223" i="1"/>
  <c r="YV224" i="1" s="1"/>
  <c r="YV225" i="1" s="1"/>
  <c r="RP233" i="1"/>
  <c r="RP237" i="1" s="1"/>
  <c r="RP223" i="1"/>
  <c r="RP224" i="1" s="1"/>
  <c r="RP225" i="1" s="1"/>
  <c r="UT223" i="1"/>
  <c r="UT224" i="1" s="1"/>
  <c r="UT225" i="1" s="1"/>
  <c r="SF233" i="1"/>
  <c r="SF237" i="1" s="1"/>
  <c r="SF223" i="1"/>
  <c r="SF224" i="1" s="1"/>
  <c r="SF225" i="1" s="1"/>
  <c r="IL233" i="1"/>
  <c r="IL237" i="1" s="1"/>
  <c r="IL223" i="1"/>
  <c r="IL224" i="1" s="1"/>
  <c r="IL225" i="1" s="1"/>
  <c r="IM233" i="1"/>
  <c r="IM237" i="1" s="1"/>
  <c r="IM223" i="1"/>
  <c r="IM224" i="1" s="1"/>
  <c r="IM225" i="1" s="1"/>
  <c r="NG233" i="1"/>
  <c r="NG237" i="1" s="1"/>
  <c r="NG223" i="1"/>
  <c r="NG224" i="1" s="1"/>
  <c r="NG225" i="1" s="1"/>
  <c r="WJ233" i="1"/>
  <c r="WJ237" i="1" s="1"/>
  <c r="WJ223" i="1"/>
  <c r="WJ224" i="1" s="1"/>
  <c r="WJ225" i="1" s="1"/>
  <c r="WN233" i="1"/>
  <c r="WN237" i="1" s="1"/>
  <c r="WN223" i="1"/>
  <c r="WN224" i="1" s="1"/>
  <c r="WN225" i="1" s="1"/>
  <c r="ZU233" i="1"/>
  <c r="ZU237" i="1" s="1"/>
  <c r="ZU223" i="1"/>
  <c r="ZU224" i="1" s="1"/>
  <c r="ZU225" i="1" s="1"/>
  <c r="ZH233" i="1"/>
  <c r="ZH237" i="1" s="1"/>
  <c r="ZH223" i="1"/>
  <c r="ZH224" i="1" s="1"/>
  <c r="ZH225" i="1" s="1"/>
  <c r="NT233" i="1"/>
  <c r="NT237" i="1" s="1"/>
  <c r="NT223" i="1"/>
  <c r="NT224" i="1" s="1"/>
  <c r="NT225" i="1" s="1"/>
  <c r="WR233" i="1"/>
  <c r="WR237" i="1" s="1"/>
  <c r="WR223" i="1"/>
  <c r="WR224" i="1" s="1"/>
  <c r="WR225" i="1" s="1"/>
  <c r="RM233" i="1"/>
  <c r="RM237" i="1" s="1"/>
  <c r="RM223" i="1"/>
  <c r="RM224" i="1" s="1"/>
  <c r="RM225" i="1" s="1"/>
  <c r="SY233" i="1"/>
  <c r="SY237" i="1" s="1"/>
  <c r="SY223" i="1"/>
  <c r="SY224" i="1" s="1"/>
  <c r="SY225" i="1" s="1"/>
  <c r="VZ233" i="1"/>
  <c r="VZ237" i="1" s="1"/>
  <c r="VZ223" i="1"/>
  <c r="VZ224" i="1" s="1"/>
  <c r="VZ225" i="1" s="1"/>
  <c r="WE233" i="1"/>
  <c r="WE237" i="1" s="1"/>
  <c r="WE223" i="1"/>
  <c r="WE224" i="1" s="1"/>
  <c r="WE225" i="1" s="1"/>
  <c r="YT233" i="1"/>
  <c r="YT237" i="1" s="1"/>
  <c r="YT223" i="1"/>
  <c r="YT224" i="1" s="1"/>
  <c r="YT225" i="1" s="1"/>
  <c r="YD233" i="1"/>
  <c r="YD237" i="1" s="1"/>
  <c r="OR233" i="1"/>
  <c r="OR237" i="1" s="1"/>
  <c r="OR223" i="1"/>
  <c r="OR224" i="1" s="1"/>
  <c r="OR225" i="1" s="1"/>
  <c r="XF233" i="1"/>
  <c r="XF237" i="1" s="1"/>
  <c r="XF223" i="1"/>
  <c r="XF224" i="1" s="1"/>
  <c r="XF225" i="1" s="1"/>
  <c r="JO233" i="1"/>
  <c r="JO237" i="1" s="1"/>
  <c r="JO223" i="1"/>
  <c r="JO224" i="1" s="1"/>
  <c r="JO225" i="1" s="1"/>
  <c r="UJ233" i="1"/>
  <c r="UJ237" i="1" s="1"/>
  <c r="UJ223" i="1"/>
  <c r="UJ224" i="1" s="1"/>
  <c r="UJ225" i="1" s="1"/>
  <c r="ON233" i="1"/>
  <c r="ON237" i="1" s="1"/>
  <c r="ON223" i="1"/>
  <c r="ON224" i="1" s="1"/>
  <c r="ON225" i="1" s="1"/>
  <c r="UE233" i="1"/>
  <c r="UE237" i="1" s="1"/>
  <c r="UE223" i="1"/>
  <c r="UE224" i="1" s="1"/>
  <c r="UE225" i="1" s="1"/>
  <c r="IB233" i="1"/>
  <c r="IB237" i="1" s="1"/>
  <c r="IB223" i="1"/>
  <c r="IB224" i="1" s="1"/>
  <c r="IB225" i="1" s="1"/>
  <c r="WY233" i="1"/>
  <c r="WY237" i="1" s="1"/>
  <c r="WY223" i="1"/>
  <c r="WY224" i="1" s="1"/>
  <c r="WY225" i="1" s="1"/>
  <c r="TZ233" i="1"/>
  <c r="TZ237" i="1" s="1"/>
  <c r="TZ223" i="1"/>
  <c r="TZ224" i="1" s="1"/>
  <c r="TZ225" i="1" s="1"/>
  <c r="SL233" i="1"/>
  <c r="SL237" i="1" s="1"/>
  <c r="SL223" i="1"/>
  <c r="SL224" i="1" s="1"/>
  <c r="SL225" i="1" s="1"/>
  <c r="YY233" i="1"/>
  <c r="YY237" i="1" s="1"/>
  <c r="YY223" i="1"/>
  <c r="YY224" i="1" s="1"/>
  <c r="YY225" i="1" s="1"/>
  <c r="UG233" i="1"/>
  <c r="UG237" i="1" s="1"/>
  <c r="TT233" i="1"/>
  <c r="TT237" i="1" s="1"/>
  <c r="LO233" i="1"/>
  <c r="LO237" i="1" s="1"/>
  <c r="LO223" i="1"/>
  <c r="LO224" i="1" s="1"/>
  <c r="LO225" i="1" s="1"/>
  <c r="SJ233" i="1"/>
  <c r="SJ237" i="1" s="1"/>
  <c r="SJ223" i="1"/>
  <c r="SJ224" i="1" s="1"/>
  <c r="SJ225" i="1" s="1"/>
  <c r="US233" i="1"/>
  <c r="US237" i="1" s="1"/>
  <c r="US223" i="1"/>
  <c r="US224" i="1" s="1"/>
  <c r="US225" i="1" s="1"/>
  <c r="VM223" i="1"/>
  <c r="VM224" i="1" s="1"/>
  <c r="VM225" i="1" s="1"/>
  <c r="SP233" i="1"/>
  <c r="SP237" i="1" s="1"/>
  <c r="SP223" i="1"/>
  <c r="SP224" i="1" s="1"/>
  <c r="SP225" i="1" s="1"/>
  <c r="YJ233" i="1"/>
  <c r="YJ237" i="1" s="1"/>
  <c r="YJ223" i="1"/>
  <c r="YJ224" i="1" s="1"/>
  <c r="YJ225" i="1" s="1"/>
  <c r="ML233" i="1"/>
  <c r="ML237" i="1" s="1"/>
  <c r="ML223" i="1"/>
  <c r="ML224" i="1" s="1"/>
  <c r="ML225" i="1" s="1"/>
  <c r="RF233" i="1"/>
  <c r="RF237" i="1" s="1"/>
  <c r="RF223" i="1"/>
  <c r="RF224" i="1" s="1"/>
  <c r="RF225" i="1" s="1"/>
  <c r="RL233" i="1"/>
  <c r="RL237" i="1" s="1"/>
  <c r="RL223" i="1"/>
  <c r="RL224" i="1" s="1"/>
  <c r="RL225" i="1" s="1"/>
  <c r="XY233" i="1"/>
  <c r="XY237" i="1" s="1"/>
  <c r="XY223" i="1"/>
  <c r="XY224" i="1" s="1"/>
  <c r="XY225" i="1" s="1"/>
  <c r="MS233" i="1"/>
  <c r="MS237" i="1" s="1"/>
  <c r="MS223" i="1"/>
  <c r="MS224" i="1" s="1"/>
  <c r="MS225" i="1" s="1"/>
  <c r="YW233" i="1"/>
  <c r="YW237" i="1" s="1"/>
  <c r="YW223" i="1"/>
  <c r="YW224" i="1" s="1"/>
  <c r="YW225" i="1" s="1"/>
  <c r="PP233" i="1"/>
  <c r="PP237" i="1" s="1"/>
  <c r="PP223" i="1"/>
  <c r="PP224" i="1" s="1"/>
  <c r="PP225" i="1" s="1"/>
  <c r="VV233" i="1"/>
  <c r="VV237" i="1" s="1"/>
  <c r="VV223" i="1"/>
  <c r="VV224" i="1" s="1"/>
  <c r="VV225" i="1" s="1"/>
  <c r="ZP233" i="1"/>
  <c r="ZP237" i="1" s="1"/>
  <c r="ZP223" i="1"/>
  <c r="ZP224" i="1" s="1"/>
  <c r="ZP225" i="1" s="1"/>
  <c r="TI233" i="1"/>
  <c r="TI237" i="1" s="1"/>
  <c r="TI223" i="1"/>
  <c r="TI224" i="1" s="1"/>
  <c r="TI225" i="1" s="1"/>
  <c r="TO233" i="1"/>
  <c r="TO237" i="1" s="1"/>
  <c r="TO223" i="1"/>
  <c r="TO224" i="1" s="1"/>
  <c r="TO225" i="1" s="1"/>
  <c r="WB223" i="1"/>
  <c r="WB224" i="1" s="1"/>
  <c r="WB225" i="1" s="1"/>
  <c r="YA233" i="1"/>
  <c r="YA237" i="1" s="1"/>
  <c r="YA223" i="1"/>
  <c r="YA224" i="1" s="1"/>
  <c r="YA225" i="1" s="1"/>
  <c r="JS233" i="1"/>
  <c r="JS237" i="1" s="1"/>
  <c r="JS223" i="1"/>
  <c r="JS224" i="1" s="1"/>
  <c r="JS225" i="1" s="1"/>
  <c r="PS233" i="1"/>
  <c r="PS237" i="1" s="1"/>
  <c r="PS223" i="1"/>
  <c r="PS224" i="1" s="1"/>
  <c r="PS225" i="1" s="1"/>
  <c r="TK233" i="1"/>
  <c r="TK237" i="1" s="1"/>
  <c r="TK223" i="1"/>
  <c r="TK224" i="1" s="1"/>
  <c r="TK225" i="1" s="1"/>
  <c r="VA233" i="1"/>
  <c r="VA237" i="1" s="1"/>
  <c r="VA223" i="1"/>
  <c r="VA224" i="1" s="1"/>
  <c r="VA225" i="1" s="1"/>
  <c r="ZT233" i="1"/>
  <c r="ZT237" i="1" s="1"/>
  <c r="ZT223" i="1"/>
  <c r="ZT224" i="1" s="1"/>
  <c r="ZT225" i="1" s="1"/>
  <c r="TA233" i="1"/>
  <c r="TA237" i="1" s="1"/>
  <c r="TA223" i="1"/>
  <c r="TA224" i="1" s="1"/>
  <c r="TA225" i="1" s="1"/>
  <c r="UH233" i="1"/>
  <c r="UH237" i="1" s="1"/>
  <c r="UH223" i="1"/>
  <c r="UH224" i="1" s="1"/>
  <c r="UH225" i="1" s="1"/>
  <c r="ZK233" i="1"/>
  <c r="ZK237" i="1" s="1"/>
  <c r="ZK223" i="1"/>
  <c r="ZK224" i="1" s="1"/>
  <c r="ZK225" i="1" s="1"/>
  <c r="OO223" i="1"/>
  <c r="OO224" i="1" s="1"/>
  <c r="OO225" i="1" s="1"/>
  <c r="TS233" i="1"/>
  <c r="TS237" i="1" s="1"/>
  <c r="TS223" i="1"/>
  <c r="TS224" i="1" s="1"/>
  <c r="TS225" i="1" s="1"/>
  <c r="RZ233" i="1"/>
  <c r="RZ237" i="1" s="1"/>
  <c r="RZ223" i="1"/>
  <c r="RZ224" i="1" s="1"/>
  <c r="RZ225" i="1" s="1"/>
  <c r="VE233" i="1"/>
  <c r="VE237" i="1" s="1"/>
  <c r="VE223" i="1"/>
  <c r="VE224" i="1" s="1"/>
  <c r="VE225" i="1" s="1"/>
  <c r="SH233" i="1"/>
  <c r="SH237" i="1" s="1"/>
  <c r="SH223" i="1"/>
  <c r="SH224" i="1" s="1"/>
  <c r="SH225" i="1" s="1"/>
  <c r="ZB233" i="1"/>
  <c r="ZB237" i="1" s="1"/>
  <c r="NF233" i="1"/>
  <c r="NF237" i="1" s="1"/>
  <c r="NF223" i="1"/>
  <c r="NF224" i="1" s="1"/>
  <c r="NF225" i="1" s="1"/>
  <c r="UC233" i="1"/>
  <c r="UC237" i="1" s="1"/>
  <c r="UC223" i="1"/>
  <c r="UC224" i="1" s="1"/>
  <c r="UC225" i="1" s="1"/>
  <c r="ZS233" i="1"/>
  <c r="ZS237" i="1" s="1"/>
  <c r="ZS223" i="1"/>
  <c r="ZS224" i="1" s="1"/>
  <c r="ZS225" i="1" s="1"/>
  <c r="HX233" i="1"/>
  <c r="HX237" i="1" s="1"/>
  <c r="HX223" i="1"/>
  <c r="HX224" i="1" s="1"/>
  <c r="HX225" i="1" s="1"/>
  <c r="SQ233" i="1"/>
  <c r="SQ237" i="1" s="1"/>
  <c r="SQ223" i="1"/>
  <c r="SQ224" i="1" s="1"/>
  <c r="SQ225" i="1" s="1"/>
  <c r="UA233" i="1"/>
  <c r="UA237" i="1" s="1"/>
  <c r="UA223" i="1"/>
  <c r="UA224" i="1" s="1"/>
  <c r="UA225" i="1" s="1"/>
  <c r="ABR233" i="1"/>
  <c r="ABR237" i="1" s="1"/>
  <c r="ABS233" i="1"/>
  <c r="ABS237" i="1" s="1"/>
  <c r="RQ233" i="1"/>
  <c r="RQ237" i="1" s="1"/>
  <c r="RQ223" i="1"/>
  <c r="RQ224" i="1" s="1"/>
  <c r="RQ225" i="1" s="1"/>
  <c r="IC237" i="1"/>
  <c r="RH233" i="1"/>
  <c r="RH237" i="1" s="1"/>
  <c r="RH223" i="1"/>
  <c r="RH224" i="1" s="1"/>
  <c r="RH225" i="1" s="1"/>
  <c r="SV233" i="1"/>
  <c r="SV237" i="1" s="1"/>
  <c r="HY237" i="1"/>
  <c r="HJ223" i="1"/>
  <c r="HJ224" i="1" s="1"/>
  <c r="HJ225" i="1" s="1"/>
  <c r="OK233" i="1"/>
  <c r="OK237" i="1" s="1"/>
  <c r="OF233" i="1"/>
  <c r="OF237" i="1" s="1"/>
  <c r="JJ233" i="1"/>
  <c r="JJ237" i="1" s="1"/>
  <c r="QS233" i="1"/>
  <c r="QS237" i="1" s="1"/>
  <c r="NM233" i="1"/>
  <c r="NM237" i="1" s="1"/>
  <c r="WM233" i="1"/>
  <c r="WM237" i="1" s="1"/>
  <c r="MT233" i="1"/>
  <c r="MT237" i="1" s="1"/>
  <c r="QV233" i="1"/>
  <c r="QV237" i="1" s="1"/>
  <c r="JB233" i="1"/>
  <c r="JB237" i="1" s="1"/>
  <c r="KP233" i="1"/>
  <c r="KP237" i="1" s="1"/>
  <c r="LL233" i="1"/>
  <c r="LL237" i="1" s="1"/>
  <c r="JL233" i="1"/>
  <c r="JL237" i="1" s="1"/>
  <c r="QH233" i="1"/>
  <c r="QH237" i="1" s="1"/>
  <c r="WG233" i="1"/>
  <c r="WG237" i="1" s="1"/>
  <c r="QW233" i="1"/>
  <c r="QW237" i="1" s="1"/>
  <c r="PD233" i="1"/>
  <c r="PD237" i="1" s="1"/>
  <c r="JX233" i="1"/>
  <c r="JX237" i="1" s="1"/>
  <c r="RV233" i="1"/>
  <c r="RV237" i="1" s="1"/>
  <c r="SZ233" i="1"/>
  <c r="SZ237" i="1" s="1"/>
  <c r="TE233" i="1"/>
  <c r="TE237" i="1" s="1"/>
  <c r="NH233" i="1"/>
  <c r="NH237" i="1" s="1"/>
  <c r="LN233" i="1"/>
  <c r="LN237" i="1" s="1"/>
  <c r="GW223" i="1"/>
  <c r="GW224" i="1" s="1"/>
  <c r="GW225" i="1" s="1"/>
  <c r="VI233" i="1"/>
  <c r="VI237" i="1" s="1"/>
  <c r="RA233" i="1"/>
  <c r="RA237" i="1" s="1"/>
  <c r="OG233" i="1"/>
  <c r="OG237" i="1" s="1"/>
  <c r="ACX223" i="1"/>
  <c r="MP223" i="1"/>
  <c r="MP224" i="1" s="1"/>
  <c r="MP225" i="1" s="1"/>
  <c r="DA230" i="1"/>
  <c r="EE230" i="1"/>
  <c r="GC230" i="1"/>
  <c r="VY223" i="1"/>
  <c r="VY224" i="1" s="1"/>
  <c r="VY225" i="1" s="1"/>
  <c r="DO236" i="1"/>
  <c r="DO223" i="1"/>
  <c r="FJ230" i="1"/>
  <c r="T230" i="1"/>
  <c r="ED230" i="1"/>
  <c r="FE230" i="1"/>
  <c r="RU223" i="1"/>
  <c r="RU224" i="1" s="1"/>
  <c r="RU225" i="1" s="1"/>
  <c r="CZ237" i="1"/>
  <c r="BX237" i="1"/>
  <c r="AN230" i="1"/>
  <c r="IV223" i="1"/>
  <c r="X227" i="1"/>
  <c r="X220" i="1"/>
  <c r="AT233" i="1"/>
  <c r="AT221" i="1"/>
  <c r="AT224" i="1" s="1"/>
  <c r="AT225" i="1" s="1"/>
  <c r="AT236" i="1"/>
  <c r="FH223" i="1"/>
  <c r="FH224" i="1" s="1"/>
  <c r="FH225" i="1" s="1"/>
  <c r="CT223" i="1"/>
  <c r="CK223" i="1"/>
  <c r="AZ223" i="1"/>
  <c r="R223" i="1"/>
  <c r="W223" i="1"/>
  <c r="AH223" i="1"/>
  <c r="AL223" i="1"/>
  <c r="DK223" i="1"/>
  <c r="GA223" i="1"/>
  <c r="CL223" i="1"/>
  <c r="BT223" i="1"/>
  <c r="FV223" i="1"/>
  <c r="DV223" i="1"/>
  <c r="AX223" i="1"/>
  <c r="EX223" i="1"/>
  <c r="CN223" i="1"/>
  <c r="EB223" i="1"/>
  <c r="FC223" i="1"/>
  <c r="CG223" i="1"/>
  <c r="DQ223" i="1"/>
  <c r="DD223" i="1"/>
  <c r="CO223" i="1"/>
  <c r="BY223" i="1"/>
  <c r="AQ223" i="1"/>
  <c r="BD223" i="1"/>
  <c r="Q223" i="1"/>
  <c r="AP223" i="1"/>
  <c r="AK223" i="1"/>
  <c r="DP223" i="1"/>
  <c r="FR223" i="1"/>
  <c r="BQ223" i="1"/>
  <c r="BP220" i="1"/>
  <c r="BP227" i="1"/>
  <c r="BP223" i="1"/>
  <c r="BV233" i="1"/>
  <c r="BV237" i="1" s="1"/>
  <c r="AY233" i="1"/>
  <c r="FJ223" i="1"/>
  <c r="FJ227" i="1"/>
  <c r="FJ220" i="1"/>
  <c r="BE236" i="1"/>
  <c r="BE221" i="1"/>
  <c r="Z236" i="1"/>
  <c r="Z220" i="1"/>
  <c r="Z227" i="1"/>
  <c r="CX221" i="1"/>
  <c r="CX224" i="1" s="1"/>
  <c r="CX225" i="1" s="1"/>
  <c r="CX236" i="1"/>
  <c r="AD233" i="1"/>
  <c r="AD237" i="1" s="1"/>
  <c r="BA220" i="1"/>
  <c r="BA227" i="1"/>
  <c r="DT227" i="1"/>
  <c r="DT220" i="1"/>
  <c r="QP223" i="1"/>
  <c r="EV230" i="1"/>
  <c r="EL236" i="1"/>
  <c r="EL221" i="1"/>
  <c r="FA220" i="1"/>
  <c r="FA227" i="1"/>
  <c r="K233" i="1"/>
  <c r="CK236" i="1"/>
  <c r="CK221" i="1"/>
  <c r="DS220" i="1"/>
  <c r="DS227" i="1"/>
  <c r="AU236" i="1"/>
  <c r="AU221" i="1"/>
  <c r="GO236" i="1"/>
  <c r="GO221" i="1"/>
  <c r="GO224" i="1" s="1"/>
  <c r="GO225" i="1" s="1"/>
  <c r="AY236" i="1"/>
  <c r="AY237" i="1" s="1"/>
  <c r="AY221" i="1"/>
  <c r="CY236" i="1"/>
  <c r="CY221" i="1"/>
  <c r="CY224" i="1" s="1"/>
  <c r="CY225" i="1" s="1"/>
  <c r="CA233" i="1"/>
  <c r="CA237" i="1" s="1"/>
  <c r="EZ223" i="1"/>
  <c r="EZ227" i="1"/>
  <c r="EZ220" i="1"/>
  <c r="DR236" i="1"/>
  <c r="DR221" i="1"/>
  <c r="S223" i="1"/>
  <c r="S224" i="1" s="1"/>
  <c r="S225" i="1" s="1"/>
  <c r="EH236" i="1"/>
  <c r="EH221" i="1"/>
  <c r="FY236" i="1"/>
  <c r="FY221" i="1"/>
  <c r="EP227" i="1"/>
  <c r="EP220" i="1"/>
  <c r="EP223" i="1"/>
  <c r="GH223" i="1"/>
  <c r="GH220" i="1"/>
  <c r="GH227" i="1"/>
  <c r="DE221" i="1"/>
  <c r="DE236" i="1"/>
  <c r="FM233" i="1"/>
  <c r="FM237" i="1" s="1"/>
  <c r="GF223" i="1"/>
  <c r="GF224" i="1" s="1"/>
  <c r="GF225" i="1" s="1"/>
  <c r="G223" i="1"/>
  <c r="G227" i="1"/>
  <c r="G220" i="1"/>
  <c r="EL223" i="1"/>
  <c r="GD221" i="1"/>
  <c r="GD224" i="1" s="1"/>
  <c r="GD225" i="1" s="1"/>
  <c r="GD236" i="1"/>
  <c r="BF223" i="1"/>
  <c r="BF227" i="1"/>
  <c r="BF220" i="1"/>
  <c r="FF220" i="1"/>
  <c r="FF227" i="1"/>
  <c r="Y236" i="1"/>
  <c r="Y220" i="1"/>
  <c r="Y227" i="1"/>
  <c r="EP230" i="1"/>
  <c r="IY223" i="1"/>
  <c r="EA220" i="1"/>
  <c r="EA227" i="1"/>
  <c r="DO224" i="1"/>
  <c r="DO225" i="1" s="1"/>
  <c r="GC227" i="1"/>
  <c r="GC220" i="1"/>
  <c r="EF220" i="1"/>
  <c r="EF227" i="1"/>
  <c r="EF223" i="1"/>
  <c r="CO236" i="1"/>
  <c r="CO221" i="1"/>
  <c r="CO224" i="1" s="1"/>
  <c r="CO225" i="1" s="1"/>
  <c r="DS230" i="1"/>
  <c r="CM233" i="1"/>
  <c r="CM237" i="1" s="1"/>
  <c r="DJ223" i="1"/>
  <c r="DJ227" i="1"/>
  <c r="DJ220" i="1"/>
  <c r="FY223" i="1"/>
  <c r="BD236" i="1"/>
  <c r="BD221" i="1"/>
  <c r="AZ233" i="1"/>
  <c r="CU236" i="1"/>
  <c r="CU221" i="1"/>
  <c r="FU220" i="1"/>
  <c r="FU227" i="1"/>
  <c r="O223" i="1"/>
  <c r="O224" i="1" s="1"/>
  <c r="O225" i="1" s="1"/>
  <c r="DB230" i="1"/>
  <c r="AP236" i="1"/>
  <c r="AP221" i="1"/>
  <c r="AP224" i="1" s="1"/>
  <c r="AP225" i="1" s="1"/>
  <c r="CF236" i="1"/>
  <c r="CF221" i="1"/>
  <c r="CF224" i="1" s="1"/>
  <c r="CF225" i="1" s="1"/>
  <c r="CS221" i="1"/>
  <c r="CS236" i="1"/>
  <c r="DQ221" i="1"/>
  <c r="DQ224" i="1" s="1"/>
  <c r="DQ225" i="1" s="1"/>
  <c r="DQ236" i="1"/>
  <c r="DV236" i="1"/>
  <c r="DV221" i="1"/>
  <c r="DV224" i="1" s="1"/>
  <c r="DV225" i="1" s="1"/>
  <c r="DP236" i="1"/>
  <c r="DP221" i="1"/>
  <c r="DP224" i="1" s="1"/>
  <c r="DP225" i="1" s="1"/>
  <c r="ED220" i="1"/>
  <c r="ED227" i="1"/>
  <c r="DL230" i="1"/>
  <c r="DG233" i="1"/>
  <c r="DG237" i="1" s="1"/>
  <c r="H223" i="1"/>
  <c r="H227" i="1"/>
  <c r="H220" i="1"/>
  <c r="BC227" i="1"/>
  <c r="BC220" i="1"/>
  <c r="FR236" i="1"/>
  <c r="FR221" i="1"/>
  <c r="F220" i="1"/>
  <c r="F227" i="1"/>
  <c r="DF233" i="1"/>
  <c r="DF237" i="1" s="1"/>
  <c r="M220" i="1"/>
  <c r="M227" i="1"/>
  <c r="EB236" i="1"/>
  <c r="EB221" i="1"/>
  <c r="DB227" i="1"/>
  <c r="DB223" i="1"/>
  <c r="DB220" i="1"/>
  <c r="DA220" i="1"/>
  <c r="DA227" i="1"/>
  <c r="EO220" i="1"/>
  <c r="EO227" i="1"/>
  <c r="EU227" i="1"/>
  <c r="EU220" i="1"/>
  <c r="BT221" i="1"/>
  <c r="BT224" i="1" s="1"/>
  <c r="BT225" i="1" s="1"/>
  <c r="BT236" i="1"/>
  <c r="EC223" i="1"/>
  <c r="EC220" i="1"/>
  <c r="EC227" i="1"/>
  <c r="EE220" i="1"/>
  <c r="EE227" i="1"/>
  <c r="FT236" i="1"/>
  <c r="FT221" i="1"/>
  <c r="FV236" i="1"/>
  <c r="FV221" i="1"/>
  <c r="FV224" i="1" s="1"/>
  <c r="FV225" i="1" s="1"/>
  <c r="CS224" i="1"/>
  <c r="CS225" i="1" s="1"/>
  <c r="CK224" i="1"/>
  <c r="CK225" i="1" s="1"/>
  <c r="GL223" i="1"/>
  <c r="GL224" i="1" s="1"/>
  <c r="GL225" i="1" s="1"/>
  <c r="GI227" i="1"/>
  <c r="GI220" i="1"/>
  <c r="GA221" i="1"/>
  <c r="GA236" i="1"/>
  <c r="LC236" i="1"/>
  <c r="FO236" i="1"/>
  <c r="FO221" i="1"/>
  <c r="FO224" i="1" s="1"/>
  <c r="FO225" i="1" s="1"/>
  <c r="AQ236" i="1"/>
  <c r="AQ221" i="1"/>
  <c r="AQ224" i="1" s="1"/>
  <c r="AQ225" i="1" s="1"/>
  <c r="ER233" i="1"/>
  <c r="ER237" i="1" s="1"/>
  <c r="BZ236" i="1"/>
  <c r="BZ221" i="1"/>
  <c r="AK236" i="1"/>
  <c r="AK221" i="1"/>
  <c r="EZ230" i="1"/>
  <c r="BG233" i="1"/>
  <c r="BG237" i="1" s="1"/>
  <c r="FQ223" i="1"/>
  <c r="FQ220" i="1"/>
  <c r="FQ227" i="1"/>
  <c r="CP221" i="1"/>
  <c r="CP224" i="1" s="1"/>
  <c r="CP225" i="1" s="1"/>
  <c r="CP236" i="1"/>
  <c r="N233" i="1"/>
  <c r="N237" i="1" s="1"/>
  <c r="R236" i="1"/>
  <c r="R221" i="1"/>
  <c r="GB220" i="1"/>
  <c r="GB227" i="1"/>
  <c r="AW223" i="1"/>
  <c r="AW224" i="1" s="1"/>
  <c r="AW225" i="1" s="1"/>
  <c r="FD220" i="1"/>
  <c r="FD227" i="1"/>
  <c r="F230" i="1"/>
  <c r="K236" i="1"/>
  <c r="K221" i="1"/>
  <c r="K224" i="1" s="1"/>
  <c r="K225" i="1" s="1"/>
  <c r="FR224" i="1"/>
  <c r="FR225" i="1" s="1"/>
  <c r="CD233" i="1"/>
  <c r="CD237" i="1" s="1"/>
  <c r="AN223" i="1"/>
  <c r="AN227" i="1"/>
  <c r="AN220" i="1"/>
  <c r="EN227" i="1"/>
  <c r="EN220" i="1"/>
  <c r="DX233" i="1"/>
  <c r="DX237" i="1" s="1"/>
  <c r="BH220" i="1"/>
  <c r="BH227" i="1"/>
  <c r="CG221" i="1"/>
  <c r="CG224" i="1" s="1"/>
  <c r="CG225" i="1" s="1"/>
  <c r="CG236" i="1"/>
  <c r="AR221" i="1"/>
  <c r="AR236" i="1"/>
  <c r="BM233" i="1"/>
  <c r="BM237" i="1" s="1"/>
  <c r="AX236" i="1"/>
  <c r="AX221" i="1"/>
  <c r="EX221" i="1"/>
  <c r="EX224" i="1" s="1"/>
  <c r="EX225" i="1" s="1"/>
  <c r="EX236" i="1"/>
  <c r="CK233" i="1"/>
  <c r="EY227" i="1"/>
  <c r="EY220" i="1"/>
  <c r="BW233" i="1"/>
  <c r="R233" i="1"/>
  <c r="BJ236" i="1"/>
  <c r="BJ221" i="1"/>
  <c r="L223" i="1"/>
  <c r="L227" i="1"/>
  <c r="L220" i="1"/>
  <c r="AI233" i="1"/>
  <c r="AC223" i="1"/>
  <c r="AC224" i="1" s="1"/>
  <c r="AC225" i="1" s="1"/>
  <c r="DD221" i="1"/>
  <c r="DD224" i="1" s="1"/>
  <c r="DD225" i="1" s="1"/>
  <c r="DD236" i="1"/>
  <c r="DL220" i="1"/>
  <c r="DL227" i="1"/>
  <c r="CN236" i="1"/>
  <c r="CN221" i="1"/>
  <c r="CN224" i="1" s="1"/>
  <c r="CN225" i="1" s="1"/>
  <c r="EG227" i="1"/>
  <c r="EG220" i="1"/>
  <c r="EG223" i="1"/>
  <c r="E223" i="1"/>
  <c r="E227" i="1"/>
  <c r="E220" i="1"/>
  <c r="FE227" i="1"/>
  <c r="FE220" i="1"/>
  <c r="GM220" i="1"/>
  <c r="GM227" i="1"/>
  <c r="GM223" i="1"/>
  <c r="AL236" i="1"/>
  <c r="AL221" i="1"/>
  <c r="AL224" i="1" s="1"/>
  <c r="AL225" i="1" s="1"/>
  <c r="CB236" i="1"/>
  <c r="CB221" i="1"/>
  <c r="GJ223" i="1"/>
  <c r="GJ224" i="1" s="1"/>
  <c r="GJ225" i="1" s="1"/>
  <c r="EJ236" i="1"/>
  <c r="EJ221" i="1"/>
  <c r="FI236" i="1"/>
  <c r="FI220" i="1"/>
  <c r="FI227" i="1"/>
  <c r="FN230" i="1"/>
  <c r="FA230" i="1"/>
  <c r="BF230" i="1"/>
  <c r="FN227" i="1"/>
  <c r="FN220" i="1"/>
  <c r="AF221" i="1"/>
  <c r="AF224" i="1" s="1"/>
  <c r="AF225" i="1" s="1"/>
  <c r="AF236" i="1"/>
  <c r="CV223" i="1"/>
  <c r="CV227" i="1"/>
  <c r="CV220" i="1"/>
  <c r="GI230" i="1"/>
  <c r="U223" i="1"/>
  <c r="U224" i="1" s="1"/>
  <c r="U225" i="1" s="1"/>
  <c r="T227" i="1"/>
  <c r="T220" i="1"/>
  <c r="CC227" i="1"/>
  <c r="CC220" i="1"/>
  <c r="DC227" i="1"/>
  <c r="DC220" i="1"/>
  <c r="FS230" i="1"/>
  <c r="ET227" i="1"/>
  <c r="ET220" i="1"/>
  <c r="BK233" i="1"/>
  <c r="BK237" i="1" s="1"/>
  <c r="FG220" i="1"/>
  <c r="FG227" i="1"/>
  <c r="Q236" i="1"/>
  <c r="Q221" i="1"/>
  <c r="Q224" i="1" s="1"/>
  <c r="Q225" i="1" s="1"/>
  <c r="DI223" i="1"/>
  <c r="DI224" i="1" s="1"/>
  <c r="DI225" i="1" s="1"/>
  <c r="MO223" i="1"/>
  <c r="AS236" i="1"/>
  <c r="AS221" i="1"/>
  <c r="FT224" i="1"/>
  <c r="FT225" i="1" s="1"/>
  <c r="AV227" i="1"/>
  <c r="AV223" i="1"/>
  <c r="AV220" i="1"/>
  <c r="CT233" i="1"/>
  <c r="GK220" i="1"/>
  <c r="GK227" i="1"/>
  <c r="CQ236" i="1"/>
  <c r="CQ221" i="1"/>
  <c r="R224" i="1"/>
  <c r="R225" i="1" s="1"/>
  <c r="GO233" i="1"/>
  <c r="GO237" i="1" s="1"/>
  <c r="FC236" i="1"/>
  <c r="FC221" i="1"/>
  <c r="FC224" i="1" s="1"/>
  <c r="FC225" i="1" s="1"/>
  <c r="DY221" i="1"/>
  <c r="DY224" i="1" s="1"/>
  <c r="DY225" i="1" s="1"/>
  <c r="DY236" i="1"/>
  <c r="CL221" i="1"/>
  <c r="CL224" i="1" s="1"/>
  <c r="CL225" i="1" s="1"/>
  <c r="CL236" i="1"/>
  <c r="AH221" i="1"/>
  <c r="AH224" i="1" s="1"/>
  <c r="AH225" i="1" s="1"/>
  <c r="AH236" i="1"/>
  <c r="BY236" i="1"/>
  <c r="BY221" i="1"/>
  <c r="BQ221" i="1"/>
  <c r="BQ224" i="1" s="1"/>
  <c r="BQ225" i="1" s="1"/>
  <c r="BQ236" i="1"/>
  <c r="W233" i="1"/>
  <c r="CE233" i="1"/>
  <c r="CE237" i="1" s="1"/>
  <c r="P220" i="1"/>
  <c r="P227" i="1"/>
  <c r="FW233" i="1"/>
  <c r="FW237" i="1" s="1"/>
  <c r="KW236" i="1"/>
  <c r="BI233" i="1"/>
  <c r="BI237" i="1" s="1"/>
  <c r="EC230" i="1"/>
  <c r="AJ223" i="1"/>
  <c r="AJ224" i="1" s="1"/>
  <c r="AJ225" i="1" s="1"/>
  <c r="CT236" i="1"/>
  <c r="CT221" i="1"/>
  <c r="CT224" i="1" s="1"/>
  <c r="CT225" i="1" s="1"/>
  <c r="GN220" i="1"/>
  <c r="GN227" i="1"/>
  <c r="ES221" i="1"/>
  <c r="ES224" i="1" s="1"/>
  <c r="ES225" i="1" s="1"/>
  <c r="ES236" i="1"/>
  <c r="EV227" i="1"/>
  <c r="EV220" i="1"/>
  <c r="AZ236" i="1"/>
  <c r="AZ221" i="1"/>
  <c r="AZ224" i="1" s="1"/>
  <c r="AZ225" i="1" s="1"/>
  <c r="AI236" i="1"/>
  <c r="AI221" i="1"/>
  <c r="AI224" i="1" s="1"/>
  <c r="AI225" i="1" s="1"/>
  <c r="AY224" i="1"/>
  <c r="AY225" i="1" s="1"/>
  <c r="DM227" i="1"/>
  <c r="DM220" i="1"/>
  <c r="CR223" i="1"/>
  <c r="BR223" i="1"/>
  <c r="AK224" i="1"/>
  <c r="AK225" i="1" s="1"/>
  <c r="EJ223" i="1"/>
  <c r="FS223" i="1"/>
  <c r="FS220" i="1"/>
  <c r="FS227" i="1"/>
  <c r="AB223" i="1"/>
  <c r="AB224" i="1" s="1"/>
  <c r="AB225" i="1" s="1"/>
  <c r="FX223" i="1"/>
  <c r="FX224" i="1" s="1"/>
  <c r="FX225" i="1" s="1"/>
  <c r="CJ233" i="1"/>
  <c r="CJ237" i="1" s="1"/>
  <c r="EM233" i="1"/>
  <c r="EM237" i="1" s="1"/>
  <c r="FP236" i="1"/>
  <c r="FP221" i="1"/>
  <c r="FP224" i="1" s="1"/>
  <c r="FP225" i="1" s="1"/>
  <c r="BU221" i="1"/>
  <c r="BU224" i="1" s="1"/>
  <c r="BU225" i="1" s="1"/>
  <c r="BU236" i="1"/>
  <c r="DK221" i="1"/>
  <c r="DK224" i="1" s="1"/>
  <c r="DK225" i="1" s="1"/>
  <c r="DK236" i="1"/>
  <c r="BL233" i="1"/>
  <c r="BL237" i="1" s="1"/>
  <c r="CW221" i="1"/>
  <c r="CW224" i="1" s="1"/>
  <c r="CW225" i="1" s="1"/>
  <c r="CW236" i="1"/>
  <c r="FZ230" i="1"/>
  <c r="I223" i="1"/>
  <c r="I220" i="1"/>
  <c r="I227" i="1"/>
  <c r="FZ227" i="1"/>
  <c r="FZ223" i="1"/>
  <c r="FZ220" i="1"/>
  <c r="HS223" i="1"/>
  <c r="AO236" i="1"/>
  <c r="AO221" i="1"/>
  <c r="AO224" i="1" s="1"/>
  <c r="AO225" i="1" s="1"/>
  <c r="BS236" i="1"/>
  <c r="BS221" i="1"/>
  <c r="BS224" i="1" s="1"/>
  <c r="BS225" i="1" s="1"/>
  <c r="DT230" i="1"/>
  <c r="BW236" i="1"/>
  <c r="BW237" i="1" s="1"/>
  <c r="BW221" i="1"/>
  <c r="BW224" i="1" s="1"/>
  <c r="BW225" i="1" s="1"/>
  <c r="BR236" i="1"/>
  <c r="BR221" i="1"/>
  <c r="FL227" i="1"/>
  <c r="FL220" i="1"/>
  <c r="GG227" i="1"/>
  <c r="GG220" i="1"/>
  <c r="BO236" i="1"/>
  <c r="BO221" i="1"/>
  <c r="BO224" i="1" s="1"/>
  <c r="BO225" i="1" s="1"/>
  <c r="GE223" i="1"/>
  <c r="GE220" i="1"/>
  <c r="GE227" i="1"/>
  <c r="AP230" i="1"/>
  <c r="FK221" i="1"/>
  <c r="FK224" i="1" s="1"/>
  <c r="FK225" i="1" s="1"/>
  <c r="FK236" i="1"/>
  <c r="EQ227" i="1"/>
  <c r="EQ220" i="1"/>
  <c r="EQ223" i="1"/>
  <c r="CR221" i="1"/>
  <c r="CR236" i="1"/>
  <c r="DZ236" i="1"/>
  <c r="DZ221" i="1"/>
  <c r="DZ224" i="1" s="1"/>
  <c r="DZ225" i="1" s="1"/>
  <c r="NE223" i="1"/>
  <c r="CI236" i="1"/>
  <c r="CI221" i="1"/>
  <c r="CI224" i="1" s="1"/>
  <c r="CI225" i="1" s="1"/>
  <c r="W221" i="1"/>
  <c r="W224" i="1" s="1"/>
  <c r="W225" i="1" s="1"/>
  <c r="W236" i="1"/>
  <c r="U145" i="1" l="1"/>
  <c r="U155" i="1"/>
  <c r="U156" i="1" s="1"/>
  <c r="O145" i="1"/>
  <c r="O155" i="1"/>
  <c r="O156" i="1" s="1"/>
  <c r="O158" i="1" s="1"/>
  <c r="V145" i="1"/>
  <c r="V155" i="1"/>
  <c r="V156" i="1" s="1"/>
  <c r="U158" i="1"/>
  <c r="T158" i="1"/>
  <c r="S158" i="1"/>
  <c r="R158" i="1"/>
  <c r="Q158" i="1"/>
  <c r="P158" i="1"/>
  <c r="M158" i="1"/>
  <c r="N158" i="1"/>
  <c r="L158" i="1"/>
  <c r="K158" i="1"/>
  <c r="J158" i="1"/>
  <c r="I158" i="1"/>
  <c r="H158" i="1"/>
  <c r="G158" i="1"/>
  <c r="F158" i="1"/>
  <c r="E158" i="1"/>
  <c r="R237" i="1"/>
  <c r="CK237" i="1"/>
  <c r="AX224" i="1"/>
  <c r="AX225" i="1" s="1"/>
  <c r="BY224" i="1"/>
  <c r="BY225" i="1" s="1"/>
  <c r="GA224" i="1"/>
  <c r="GA225" i="1" s="1"/>
  <c r="JQ223" i="1"/>
  <c r="XN223" i="1"/>
  <c r="EN223" i="1"/>
  <c r="KL223" i="1"/>
  <c r="FN223" i="1"/>
  <c r="NZ223" i="1"/>
  <c r="HM223" i="1"/>
  <c r="KE223" i="1"/>
  <c r="GY223" i="1"/>
  <c r="LE223" i="1"/>
  <c r="IS223" i="1"/>
  <c r="GC223" i="1"/>
  <c r="IF223" i="1"/>
  <c r="Y223" i="1"/>
  <c r="BR224" i="1"/>
  <c r="BR225" i="1" s="1"/>
  <c r="IV233" i="1"/>
  <c r="HG233" i="1"/>
  <c r="HG237" i="1" s="1"/>
  <c r="TW233" i="1"/>
  <c r="TW237" i="1" s="1"/>
  <c r="ACA223" i="1"/>
  <c r="ACA224" i="1" s="1"/>
  <c r="ACA225" i="1" s="1"/>
  <c r="ACB223" i="1"/>
  <c r="ACB224" i="1" s="1"/>
  <c r="ACB225" i="1" s="1"/>
  <c r="ABH223" i="1"/>
  <c r="ABH224" i="1" s="1"/>
  <c r="ABH225" i="1" s="1"/>
  <c r="ABG223" i="1"/>
  <c r="ABG224" i="1" s="1"/>
  <c r="ABG225" i="1" s="1"/>
  <c r="ABF223" i="1"/>
  <c r="ABF224" i="1" s="1"/>
  <c r="ABF225" i="1" s="1"/>
  <c r="ABE223" i="1"/>
  <c r="ABE224" i="1" s="1"/>
  <c r="ABE225" i="1" s="1"/>
  <c r="ABD223" i="1"/>
  <c r="ABD224" i="1" s="1"/>
  <c r="ABD225" i="1" s="1"/>
  <c r="ABC223" i="1"/>
  <c r="ABC224" i="1" s="1"/>
  <c r="ABC225" i="1" s="1"/>
  <c r="ABB223" i="1"/>
  <c r="ABB224" i="1" s="1"/>
  <c r="ABB225" i="1" s="1"/>
  <c r="ABA223" i="1"/>
  <c r="ABA224" i="1" s="1"/>
  <c r="ABA225" i="1" s="1"/>
  <c r="AAZ223" i="1"/>
  <c r="AAZ224" i="1" s="1"/>
  <c r="AAZ225" i="1" s="1"/>
  <c r="AAY223" i="1"/>
  <c r="AAY224" i="1" s="1"/>
  <c r="AAY225" i="1" s="1"/>
  <c r="AAX223" i="1"/>
  <c r="AAX224" i="1" s="1"/>
  <c r="AAX225" i="1" s="1"/>
  <c r="AAW223" i="1"/>
  <c r="AAW224" i="1" s="1"/>
  <c r="AAW225" i="1" s="1"/>
  <c r="AAV223" i="1"/>
  <c r="AAV224" i="1" s="1"/>
  <c r="AAV225" i="1" s="1"/>
  <c r="AAU223" i="1"/>
  <c r="AAU224" i="1" s="1"/>
  <c r="AAU225" i="1" s="1"/>
  <c r="AAT223" i="1"/>
  <c r="AAT224" i="1" s="1"/>
  <c r="AAT225" i="1" s="1"/>
  <c r="AAS223" i="1"/>
  <c r="AAS224" i="1" s="1"/>
  <c r="AAS225" i="1" s="1"/>
  <c r="AAR223" i="1"/>
  <c r="AAR224" i="1" s="1"/>
  <c r="AAR225" i="1" s="1"/>
  <c r="AAQ223" i="1"/>
  <c r="AAQ224" i="1" s="1"/>
  <c r="AAQ225" i="1" s="1"/>
  <c r="WH223" i="1"/>
  <c r="WH224" i="1" s="1"/>
  <c r="WH225" i="1" s="1"/>
  <c r="YF223" i="1"/>
  <c r="YF224" i="1" s="1"/>
  <c r="YF225" i="1" s="1"/>
  <c r="RN223" i="1"/>
  <c r="RN224" i="1" s="1"/>
  <c r="RN225" i="1" s="1"/>
  <c r="SE223" i="1"/>
  <c r="SE224" i="1" s="1"/>
  <c r="SE225" i="1" s="1"/>
  <c r="ZQ223" i="1"/>
  <c r="ZQ224" i="1" s="1"/>
  <c r="ZQ225" i="1" s="1"/>
  <c r="YK223" i="1"/>
  <c r="YK224" i="1" s="1"/>
  <c r="YK225" i="1" s="1"/>
  <c r="WK223" i="1"/>
  <c r="WK224" i="1" s="1"/>
  <c r="WK225" i="1" s="1"/>
  <c r="ZZ236" i="1"/>
  <c r="ZZ221" i="1"/>
  <c r="AAA236" i="1"/>
  <c r="AAA221" i="1"/>
  <c r="AAB236" i="1"/>
  <c r="AAB221" i="1"/>
  <c r="AAC236" i="1"/>
  <c r="AAC221" i="1"/>
  <c r="AAD236" i="1"/>
  <c r="AAD221" i="1"/>
  <c r="AAE236" i="1"/>
  <c r="AAE221" i="1"/>
  <c r="AAF236" i="1"/>
  <c r="AAF221" i="1"/>
  <c r="AAG236" i="1"/>
  <c r="AAG221" i="1"/>
  <c r="AAH236" i="1"/>
  <c r="AAH221" i="1"/>
  <c r="AAI236" i="1"/>
  <c r="AAI221" i="1"/>
  <c r="AAJ236" i="1"/>
  <c r="AAJ221" i="1"/>
  <c r="AAK236" i="1"/>
  <c r="AAK221" i="1"/>
  <c r="AAL227" i="1"/>
  <c r="AAL220" i="1"/>
  <c r="AAM223" i="1"/>
  <c r="AAM236" i="1"/>
  <c r="AAM221" i="1"/>
  <c r="AAO236" i="1"/>
  <c r="AAO221" i="1"/>
  <c r="LG236" i="1"/>
  <c r="LG221" i="1"/>
  <c r="NE236" i="1"/>
  <c r="NE221" i="1"/>
  <c r="NE224" i="1" s="1"/>
  <c r="NE225" i="1" s="1"/>
  <c r="MX236" i="1"/>
  <c r="MX221" i="1"/>
  <c r="LW236" i="1"/>
  <c r="LW221" i="1"/>
  <c r="QK236" i="1"/>
  <c r="QK221" i="1"/>
  <c r="LR236" i="1"/>
  <c r="LR221" i="1"/>
  <c r="OV236" i="1"/>
  <c r="OV221" i="1"/>
  <c r="KS236" i="1"/>
  <c r="KS221" i="1"/>
  <c r="JY236" i="1"/>
  <c r="JY221" i="1"/>
  <c r="HS236" i="1"/>
  <c r="HS221" i="1"/>
  <c r="HS224" i="1" s="1"/>
  <c r="HS225" i="1" s="1"/>
  <c r="OI236" i="1"/>
  <c r="OI221" i="1"/>
  <c r="IW236" i="1"/>
  <c r="IW221" i="1"/>
  <c r="IO236" i="1"/>
  <c r="IO221" i="1"/>
  <c r="LY236" i="1"/>
  <c r="LY221" i="1"/>
  <c r="NN236" i="1"/>
  <c r="NN221" i="1"/>
  <c r="XK223" i="1"/>
  <c r="XK236" i="1"/>
  <c r="XK221" i="1"/>
  <c r="YM233" i="1"/>
  <c r="YM236" i="1"/>
  <c r="YM221" i="1"/>
  <c r="GV236" i="1"/>
  <c r="GV221" i="1"/>
  <c r="XM223" i="1"/>
  <c r="XM236" i="1"/>
  <c r="XM221" i="1"/>
  <c r="PA233" i="1"/>
  <c r="PA236" i="1"/>
  <c r="PA221" i="1"/>
  <c r="KN236" i="1"/>
  <c r="KN221" i="1"/>
  <c r="PH233" i="1"/>
  <c r="PH236" i="1"/>
  <c r="PH221" i="1"/>
  <c r="YR236" i="1"/>
  <c r="YR221" i="1"/>
  <c r="HV223" i="1"/>
  <c r="HV236" i="1"/>
  <c r="HV221" i="1"/>
  <c r="IN236" i="1"/>
  <c r="IN221" i="1"/>
  <c r="XO236" i="1"/>
  <c r="XO221" i="1"/>
  <c r="MR236" i="1"/>
  <c r="MR221" i="1"/>
  <c r="QZ236" i="1"/>
  <c r="QZ221" i="1"/>
  <c r="HN236" i="1"/>
  <c r="HN221" i="1"/>
  <c r="LX236" i="1"/>
  <c r="LX221" i="1"/>
  <c r="QY236" i="1"/>
  <c r="QY221" i="1"/>
  <c r="XN236" i="1"/>
  <c r="XN221" i="1"/>
  <c r="XN224" i="1" s="1"/>
  <c r="XN225" i="1" s="1"/>
  <c r="MO236" i="1"/>
  <c r="MO221" i="1"/>
  <c r="MO224" i="1" s="1"/>
  <c r="MO225" i="1" s="1"/>
  <c r="RC236" i="1"/>
  <c r="RC221" i="1"/>
  <c r="PF236" i="1"/>
  <c r="PF221" i="1"/>
  <c r="JM223" i="1"/>
  <c r="JM236" i="1"/>
  <c r="JM221" i="1"/>
  <c r="HC233" i="1"/>
  <c r="HC236" i="1"/>
  <c r="HC221" i="1"/>
  <c r="MF236" i="1"/>
  <c r="MF221" i="1"/>
  <c r="NI236" i="1"/>
  <c r="NI221" i="1"/>
  <c r="MZ236" i="1"/>
  <c r="MZ221" i="1"/>
  <c r="JG236" i="1"/>
  <c r="JG221" i="1"/>
  <c r="IR236" i="1"/>
  <c r="IR221" i="1"/>
  <c r="GP236" i="1"/>
  <c r="GP221" i="1"/>
  <c r="JZ236" i="1"/>
  <c r="JZ221" i="1"/>
  <c r="LZ236" i="1"/>
  <c r="LZ221" i="1"/>
  <c r="HT236" i="1"/>
  <c r="HT221" i="1"/>
  <c r="RE236" i="1"/>
  <c r="RE221" i="1"/>
  <c r="QT236" i="1"/>
  <c r="QT221" i="1"/>
  <c r="UD236" i="1"/>
  <c r="UD221" i="1"/>
  <c r="YQ236" i="1"/>
  <c r="YQ221" i="1"/>
  <c r="NZ236" i="1"/>
  <c r="NZ221" i="1"/>
  <c r="NW236" i="1"/>
  <c r="NW221" i="1"/>
  <c r="HQ236" i="1"/>
  <c r="HQ221" i="1"/>
  <c r="NA236" i="1"/>
  <c r="NA221" i="1"/>
  <c r="MD223" i="1"/>
  <c r="MD236" i="1"/>
  <c r="MD221" i="1"/>
  <c r="ID233" i="1"/>
  <c r="ID236" i="1"/>
  <c r="ID221" i="1"/>
  <c r="KK236" i="1"/>
  <c r="KK221" i="1"/>
  <c r="MC236" i="1"/>
  <c r="MC221" i="1"/>
  <c r="OH223" i="1"/>
  <c r="OH236" i="1"/>
  <c r="OH221" i="1"/>
  <c r="JT233" i="1"/>
  <c r="JT236" i="1"/>
  <c r="JT221" i="1"/>
  <c r="HM236" i="1"/>
  <c r="HM221" i="1"/>
  <c r="HM224" i="1" s="1"/>
  <c r="HM225" i="1" s="1"/>
  <c r="PG236" i="1"/>
  <c r="PG221" i="1"/>
  <c r="IP236" i="1"/>
  <c r="IP221" i="1"/>
  <c r="QQ236" i="1"/>
  <c r="QQ221" i="1"/>
  <c r="SC236" i="1"/>
  <c r="SC221" i="1"/>
  <c r="KE236" i="1"/>
  <c r="KE221" i="1"/>
  <c r="KE224" i="1" s="1"/>
  <c r="KE225" i="1" s="1"/>
  <c r="ME236" i="1"/>
  <c r="ME221" i="1"/>
  <c r="HB236" i="1"/>
  <c r="HB221" i="1"/>
  <c r="XJ236" i="1"/>
  <c r="XJ221" i="1"/>
  <c r="IU223" i="1"/>
  <c r="IU236" i="1"/>
  <c r="IU221" i="1"/>
  <c r="MK236" i="1"/>
  <c r="MK221" i="1"/>
  <c r="YL236" i="1"/>
  <c r="YL221" i="1"/>
  <c r="IZ236" i="1"/>
  <c r="IZ221" i="1"/>
  <c r="LQ236" i="1"/>
  <c r="LQ221" i="1"/>
  <c r="MG236" i="1"/>
  <c r="MG221" i="1"/>
  <c r="PX236" i="1"/>
  <c r="PX221" i="1"/>
  <c r="GY236" i="1"/>
  <c r="GY221" i="1"/>
  <c r="GY224" i="1" s="1"/>
  <c r="GY225" i="1" s="1"/>
  <c r="XR236" i="1"/>
  <c r="XR221" i="1"/>
  <c r="KX236" i="1"/>
  <c r="XQ233" i="1"/>
  <c r="XQ236" i="1"/>
  <c r="XQ221" i="1"/>
  <c r="IS236" i="1"/>
  <c r="IS221" i="1"/>
  <c r="IS224" i="1" s="1"/>
  <c r="IS225" i="1" s="1"/>
  <c r="OU236" i="1"/>
  <c r="OU221" i="1"/>
  <c r="MB236" i="1"/>
  <c r="MB221" i="1"/>
  <c r="XH236" i="1"/>
  <c r="XH221" i="1"/>
  <c r="KL236" i="1"/>
  <c r="KL221" i="1"/>
  <c r="KL224" i="1" s="1"/>
  <c r="KL225" i="1" s="1"/>
  <c r="GX236" i="1"/>
  <c r="GX221" i="1"/>
  <c r="HO236" i="1"/>
  <c r="HO221" i="1"/>
  <c r="HH236" i="1"/>
  <c r="HH221" i="1"/>
  <c r="GS236" i="1"/>
  <c r="GS221" i="1"/>
  <c r="XP236" i="1"/>
  <c r="XP221" i="1"/>
  <c r="XU236" i="1"/>
  <c r="XU221" i="1"/>
  <c r="YP236" i="1"/>
  <c r="YP221" i="1"/>
  <c r="SD236" i="1"/>
  <c r="SD221" i="1"/>
  <c r="JI223" i="1"/>
  <c r="JI236" i="1"/>
  <c r="JI221" i="1"/>
  <c r="KU233" i="1"/>
  <c r="KU236" i="1"/>
  <c r="KU221" i="1"/>
  <c r="HZ236" i="1"/>
  <c r="HZ221" i="1"/>
  <c r="IY236" i="1"/>
  <c r="IY221" i="1"/>
  <c r="IY224" i="1" s="1"/>
  <c r="IY225" i="1" s="1"/>
  <c r="NC236" i="1"/>
  <c r="NC221" i="1"/>
  <c r="XI236" i="1"/>
  <c r="XI221" i="1"/>
  <c r="LH236" i="1"/>
  <c r="LH221" i="1"/>
  <c r="OY236" i="1"/>
  <c r="OY221" i="1"/>
  <c r="OZ236" i="1"/>
  <c r="OZ221" i="1"/>
  <c r="OJ236" i="1"/>
  <c r="OJ221" i="1"/>
  <c r="YN233" i="1"/>
  <c r="YN236" i="1"/>
  <c r="YN221" i="1"/>
  <c r="PL236" i="1"/>
  <c r="PL221" i="1"/>
  <c r="KR223" i="1"/>
  <c r="KR236" i="1"/>
  <c r="KR221" i="1"/>
  <c r="JA236" i="1"/>
  <c r="JA221" i="1"/>
  <c r="KC236" i="1"/>
  <c r="KC221" i="1"/>
  <c r="IT236" i="1"/>
  <c r="IT221" i="1"/>
  <c r="LF236" i="1"/>
  <c r="LF221" i="1"/>
  <c r="IX236" i="1"/>
  <c r="IX221" i="1"/>
  <c r="IK236" i="1"/>
  <c r="IK221" i="1"/>
  <c r="QO236" i="1"/>
  <c r="QO221" i="1"/>
  <c r="PE236" i="1"/>
  <c r="PE221" i="1"/>
  <c r="HK236" i="1"/>
  <c r="HK221" i="1"/>
  <c r="IA236" i="1"/>
  <c r="IA221" i="1"/>
  <c r="GZ236" i="1"/>
  <c r="GZ221" i="1"/>
  <c r="AAN236" i="1"/>
  <c r="AAN221" i="1"/>
  <c r="NJ236" i="1"/>
  <c r="NJ221" i="1"/>
  <c r="LI236" i="1"/>
  <c r="LI221" i="1"/>
  <c r="QP236" i="1"/>
  <c r="QP221" i="1"/>
  <c r="QP224" i="1" s="1"/>
  <c r="QP225" i="1" s="1"/>
  <c r="QX223" i="1"/>
  <c r="QX236" i="1"/>
  <c r="QX221" i="1"/>
  <c r="MI236" i="1"/>
  <c r="MI221" i="1"/>
  <c r="XT236" i="1"/>
  <c r="XT221" i="1"/>
  <c r="JV236" i="1"/>
  <c r="JV221" i="1"/>
  <c r="YO236" i="1"/>
  <c r="YO221" i="1"/>
  <c r="HF236" i="1"/>
  <c r="HF221" i="1"/>
  <c r="HR236" i="1"/>
  <c r="HR221" i="1"/>
  <c r="IF236" i="1"/>
  <c r="IF221" i="1"/>
  <c r="IF224" i="1" s="1"/>
  <c r="IF225" i="1" s="1"/>
  <c r="LV236" i="1"/>
  <c r="LV221" i="1"/>
  <c r="XG236" i="1"/>
  <c r="XG221" i="1"/>
  <c r="MA236" i="1"/>
  <c r="MA221" i="1"/>
  <c r="JH236" i="1"/>
  <c r="JH221" i="1"/>
  <c r="KG236" i="1"/>
  <c r="KG221" i="1"/>
  <c r="LM236" i="1"/>
  <c r="LM221" i="1"/>
  <c r="AAP236" i="1"/>
  <c r="AAP221" i="1"/>
  <c r="ABI236" i="1"/>
  <c r="ABI221" i="1"/>
  <c r="ABJ236" i="1"/>
  <c r="ABJ221" i="1"/>
  <c r="ABK236" i="1"/>
  <c r="ABK221" i="1"/>
  <c r="ABL236" i="1"/>
  <c r="ABL221" i="1"/>
  <c r="ABM236" i="1"/>
  <c r="ABM221" i="1"/>
  <c r="ABN236" i="1"/>
  <c r="ABN221" i="1"/>
  <c r="ABO236" i="1"/>
  <c r="ABO221" i="1"/>
  <c r="ABP236" i="1"/>
  <c r="ABP221" i="1"/>
  <c r="ABQ236" i="1"/>
  <c r="ABQ221" i="1"/>
  <c r="ABT236" i="1"/>
  <c r="ABT221" i="1"/>
  <c r="ABU236" i="1"/>
  <c r="ABU221" i="1"/>
  <c r="ABV236" i="1"/>
  <c r="ABV221" i="1"/>
  <c r="ABW236" i="1"/>
  <c r="ABW221" i="1"/>
  <c r="ABX236" i="1"/>
  <c r="ABX221" i="1"/>
  <c r="ABY236" i="1"/>
  <c r="ABY221" i="1"/>
  <c r="ABZ236" i="1"/>
  <c r="ABZ221" i="1"/>
  <c r="ACC236" i="1"/>
  <c r="ACC221" i="1"/>
  <c r="ACD236" i="1"/>
  <c r="ACD221" i="1"/>
  <c r="ACE236" i="1"/>
  <c r="ACE221" i="1"/>
  <c r="IG236" i="1"/>
  <c r="IG221" i="1"/>
  <c r="II236" i="1"/>
  <c r="II221" i="1"/>
  <c r="IV236" i="1"/>
  <c r="IV237" i="1" s="1"/>
  <c r="IV221" i="1"/>
  <c r="IV224" i="1" s="1"/>
  <c r="IV225" i="1" s="1"/>
  <c r="JD236" i="1"/>
  <c r="JD221" i="1"/>
  <c r="JF236" i="1"/>
  <c r="JF221" i="1"/>
  <c r="JQ236" i="1"/>
  <c r="JQ221" i="1"/>
  <c r="JQ224" i="1" s="1"/>
  <c r="JQ225" i="1" s="1"/>
  <c r="KH236" i="1"/>
  <c r="KH221" i="1"/>
  <c r="KO236" i="1"/>
  <c r="KO221" i="1"/>
  <c r="KV223" i="1"/>
  <c r="KV224" i="1" s="1"/>
  <c r="KV225" i="1" s="1"/>
  <c r="KV236" i="1"/>
  <c r="LE236" i="1"/>
  <c r="LE221" i="1"/>
  <c r="LE224" i="1" s="1"/>
  <c r="LE225" i="1" s="1"/>
  <c r="LP236" i="1"/>
  <c r="LP221" i="1"/>
  <c r="NX236" i="1"/>
  <c r="NX221" i="1"/>
  <c r="OW236" i="1"/>
  <c r="OW221" i="1"/>
  <c r="QE236" i="1"/>
  <c r="QE221" i="1"/>
  <c r="XS236" i="1"/>
  <c r="XS221" i="1"/>
  <c r="GR236" i="1"/>
  <c r="GR221" i="1"/>
  <c r="ACF236" i="1"/>
  <c r="ACF221" i="1"/>
  <c r="ACG236" i="1"/>
  <c r="ACG221" i="1"/>
  <c r="ACH236" i="1"/>
  <c r="ACH221" i="1"/>
  <c r="ACI236" i="1"/>
  <c r="ACI221" i="1"/>
  <c r="ACJ236" i="1"/>
  <c r="ACJ221" i="1"/>
  <c r="ACK236" i="1"/>
  <c r="ACK221" i="1"/>
  <c r="ACL236" i="1"/>
  <c r="ACL221" i="1"/>
  <c r="ACM236" i="1"/>
  <c r="ACM221" i="1"/>
  <c r="ACN236" i="1"/>
  <c r="ACN221" i="1"/>
  <c r="ACO236" i="1"/>
  <c r="ACO221" i="1"/>
  <c r="ACP236" i="1"/>
  <c r="ACP221" i="1"/>
  <c r="ACQ236" i="1"/>
  <c r="ACQ221" i="1"/>
  <c r="ACR236" i="1"/>
  <c r="ACR221" i="1"/>
  <c r="ACS236" i="1"/>
  <c r="ACS221" i="1"/>
  <c r="ACT236" i="1"/>
  <c r="ACT221" i="1"/>
  <c r="ACU236" i="1"/>
  <c r="ACU221" i="1"/>
  <c r="ACV236" i="1"/>
  <c r="ACV221" i="1"/>
  <c r="ACW236" i="1"/>
  <c r="ACW221" i="1"/>
  <c r="ACX236" i="1"/>
  <c r="ACX221" i="1"/>
  <c r="ACX224" i="1" s="1"/>
  <c r="ACX225" i="1" s="1"/>
  <c r="ZZ233" i="1"/>
  <c r="ZZ237" i="1" s="1"/>
  <c r="ZZ223" i="1"/>
  <c r="ZZ224" i="1" s="1"/>
  <c r="ZZ225" i="1" s="1"/>
  <c r="AAA233" i="1"/>
  <c r="AAA223" i="1"/>
  <c r="AAA224" i="1" s="1"/>
  <c r="AAA225" i="1" s="1"/>
  <c r="AAG233" i="1"/>
  <c r="AAG223" i="1"/>
  <c r="AAG224" i="1" s="1"/>
  <c r="AAG225" i="1" s="1"/>
  <c r="LG233" i="1"/>
  <c r="LG237" i="1" s="1"/>
  <c r="LG223" i="1"/>
  <c r="LG224" i="1" s="1"/>
  <c r="LG225" i="1" s="1"/>
  <c r="NE233" i="1"/>
  <c r="NE237" i="1" s="1"/>
  <c r="MX233" i="1"/>
  <c r="MX223" i="1"/>
  <c r="MX224" i="1" s="1"/>
  <c r="MX225" i="1" s="1"/>
  <c r="LW233" i="1"/>
  <c r="LW237" i="1" s="1"/>
  <c r="LW223" i="1"/>
  <c r="LW224" i="1" s="1"/>
  <c r="LW225" i="1" s="1"/>
  <c r="QK233" i="1"/>
  <c r="QK223" i="1"/>
  <c r="QK224" i="1" s="1"/>
  <c r="QK225" i="1" s="1"/>
  <c r="LR233" i="1"/>
  <c r="LR223" i="1"/>
  <c r="LR224" i="1" s="1"/>
  <c r="LR225" i="1" s="1"/>
  <c r="OV223" i="1"/>
  <c r="KS233" i="1"/>
  <c r="KS237" i="1" s="1"/>
  <c r="KS223" i="1"/>
  <c r="KS224" i="1" s="1"/>
  <c r="KS225" i="1" s="1"/>
  <c r="HS233" i="1"/>
  <c r="OI233" i="1"/>
  <c r="OI223" i="1"/>
  <c r="OI224" i="1" s="1"/>
  <c r="OI225" i="1" s="1"/>
  <c r="IW233" i="1"/>
  <c r="IW223" i="1"/>
  <c r="IW224" i="1" s="1"/>
  <c r="IW225" i="1" s="1"/>
  <c r="IO233" i="1"/>
  <c r="IO223" i="1"/>
  <c r="IO224" i="1" s="1"/>
  <c r="IO225" i="1" s="1"/>
  <c r="LY233" i="1"/>
  <c r="LY237" i="1" s="1"/>
  <c r="LY223" i="1"/>
  <c r="NN233" i="1"/>
  <c r="NN237" i="1" s="1"/>
  <c r="NN223" i="1"/>
  <c r="NN224" i="1" s="1"/>
  <c r="NN225" i="1" s="1"/>
  <c r="KW233" i="1"/>
  <c r="KW237" i="1" s="1"/>
  <c r="KW223" i="1"/>
  <c r="KW224" i="1" s="1"/>
  <c r="KW225" i="1" s="1"/>
  <c r="IN233" i="1"/>
  <c r="IN223" i="1"/>
  <c r="IN224" i="1" s="1"/>
  <c r="IN225" i="1" s="1"/>
  <c r="XO233" i="1"/>
  <c r="XO223" i="1"/>
  <c r="XO224" i="1" s="1"/>
  <c r="XO225" i="1" s="1"/>
  <c r="MR223" i="1"/>
  <c r="QZ233" i="1"/>
  <c r="QZ237" i="1" s="1"/>
  <c r="QZ223" i="1"/>
  <c r="HN233" i="1"/>
  <c r="HN237" i="1" s="1"/>
  <c r="HN223" i="1"/>
  <c r="LX233" i="1"/>
  <c r="LX237" i="1" s="1"/>
  <c r="LX223" i="1"/>
  <c r="QY233" i="1"/>
  <c r="QY237" i="1" s="1"/>
  <c r="QY223" i="1"/>
  <c r="XN233" i="1"/>
  <c r="XN237" i="1" s="1"/>
  <c r="MO233" i="1"/>
  <c r="RC233" i="1"/>
  <c r="RC237" i="1" s="1"/>
  <c r="RC223" i="1"/>
  <c r="PF233" i="1"/>
  <c r="PF237" i="1" s="1"/>
  <c r="PF223" i="1"/>
  <c r="PF224" i="1" s="1"/>
  <c r="PF225" i="1" s="1"/>
  <c r="MF233" i="1"/>
  <c r="MF223" i="1"/>
  <c r="MF224" i="1" s="1"/>
  <c r="MF225" i="1" s="1"/>
  <c r="NI223" i="1"/>
  <c r="NI224" i="1" s="1"/>
  <c r="NI225" i="1" s="1"/>
  <c r="MZ233" i="1"/>
  <c r="MZ237" i="1" s="1"/>
  <c r="MZ223" i="1"/>
  <c r="JG233" i="1"/>
  <c r="JG237" i="1" s="1"/>
  <c r="JG223" i="1"/>
  <c r="IR233" i="1"/>
  <c r="IR237" i="1" s="1"/>
  <c r="IR223" i="1"/>
  <c r="GP233" i="1"/>
  <c r="GP237" i="1" s="1"/>
  <c r="GP223" i="1"/>
  <c r="JZ223" i="1"/>
  <c r="JZ224" i="1" s="1"/>
  <c r="JZ225" i="1" s="1"/>
  <c r="LZ233" i="1"/>
  <c r="LZ223" i="1"/>
  <c r="LZ224" i="1" s="1"/>
  <c r="LZ225" i="1" s="1"/>
  <c r="HT233" i="1"/>
  <c r="HT223" i="1"/>
  <c r="HT224" i="1" s="1"/>
  <c r="HT225" i="1" s="1"/>
  <c r="RE233" i="1"/>
  <c r="RE237" i="1" s="1"/>
  <c r="RE223" i="1"/>
  <c r="QT233" i="1"/>
  <c r="QT237" i="1" s="1"/>
  <c r="QT223" i="1"/>
  <c r="UD233" i="1"/>
  <c r="UD237" i="1" s="1"/>
  <c r="UD223" i="1"/>
  <c r="YQ233" i="1"/>
  <c r="YQ237" i="1" s="1"/>
  <c r="YQ223" i="1"/>
  <c r="NZ233" i="1"/>
  <c r="NZ237" i="1" s="1"/>
  <c r="HQ233" i="1"/>
  <c r="HQ237" i="1" s="1"/>
  <c r="HQ223" i="1"/>
  <c r="NA233" i="1"/>
  <c r="NA237" i="1" s="1"/>
  <c r="NA223" i="1"/>
  <c r="NA224" i="1" s="1"/>
  <c r="NA225" i="1" s="1"/>
  <c r="PG233" i="1"/>
  <c r="PG223" i="1"/>
  <c r="PG224" i="1" s="1"/>
  <c r="PG225" i="1" s="1"/>
  <c r="IP233" i="1"/>
  <c r="IP237" i="1" s="1"/>
  <c r="IP223" i="1"/>
  <c r="QQ233" i="1"/>
  <c r="QQ237" i="1" s="1"/>
  <c r="QQ223" i="1"/>
  <c r="SC223" i="1"/>
  <c r="SC224" i="1" s="1"/>
  <c r="SC225" i="1" s="1"/>
  <c r="LC233" i="1"/>
  <c r="LC237" i="1" s="1"/>
  <c r="LC223" i="1"/>
  <c r="LC224" i="1" s="1"/>
  <c r="LC225" i="1" s="1"/>
  <c r="KE233" i="1"/>
  <c r="ME233" i="1"/>
  <c r="ME223" i="1"/>
  <c r="ME224" i="1" s="1"/>
  <c r="ME225" i="1" s="1"/>
  <c r="HB233" i="1"/>
  <c r="HB237" i="1" s="1"/>
  <c r="HB223" i="1"/>
  <c r="XJ233" i="1"/>
  <c r="XJ237" i="1" s="1"/>
  <c r="XJ223" i="1"/>
  <c r="XJ224" i="1" s="1"/>
  <c r="XJ225" i="1" s="1"/>
  <c r="MK233" i="1"/>
  <c r="MK223" i="1"/>
  <c r="MK224" i="1" s="1"/>
  <c r="MK225" i="1" s="1"/>
  <c r="YL233" i="1"/>
  <c r="YL237" i="1" s="1"/>
  <c r="YL223" i="1"/>
  <c r="IZ233" i="1"/>
  <c r="IZ237" i="1" s="1"/>
  <c r="IZ223" i="1"/>
  <c r="IZ224" i="1" s="1"/>
  <c r="IZ225" i="1" s="1"/>
  <c r="LQ233" i="1"/>
  <c r="LQ223" i="1"/>
  <c r="LQ224" i="1" s="1"/>
  <c r="LQ225" i="1" s="1"/>
  <c r="MG233" i="1"/>
  <c r="MG223" i="1"/>
  <c r="MG224" i="1" s="1"/>
  <c r="MG225" i="1" s="1"/>
  <c r="PX223" i="1"/>
  <c r="PX224" i="1" s="1"/>
  <c r="PX225" i="1" s="1"/>
  <c r="GY233" i="1"/>
  <c r="GY237" i="1" s="1"/>
  <c r="XR233" i="1"/>
  <c r="XR237" i="1" s="1"/>
  <c r="XR223" i="1"/>
  <c r="KX223" i="1"/>
  <c r="KX224" i="1" s="1"/>
  <c r="KX225" i="1" s="1"/>
  <c r="IS233" i="1"/>
  <c r="OU233" i="1"/>
  <c r="OU223" i="1"/>
  <c r="OU224" i="1" s="1"/>
  <c r="OU225" i="1" s="1"/>
  <c r="MB233" i="1"/>
  <c r="MB237" i="1" s="1"/>
  <c r="MB223" i="1"/>
  <c r="XH233" i="1"/>
  <c r="XH237" i="1" s="1"/>
  <c r="XH223" i="1"/>
  <c r="KL233" i="1"/>
  <c r="KL237" i="1" s="1"/>
  <c r="GX233" i="1"/>
  <c r="GX223" i="1"/>
  <c r="GX224" i="1" s="1"/>
  <c r="GX225" i="1" s="1"/>
  <c r="HO233" i="1"/>
  <c r="HO223" i="1"/>
  <c r="HO224" i="1" s="1"/>
  <c r="HO225" i="1" s="1"/>
  <c r="HH233" i="1"/>
  <c r="HH223" i="1"/>
  <c r="HH224" i="1" s="1"/>
  <c r="HH225" i="1" s="1"/>
  <c r="GS233" i="1"/>
  <c r="GS237" i="1" s="1"/>
  <c r="GS223" i="1"/>
  <c r="XP233" i="1"/>
  <c r="XP237" i="1" s="1"/>
  <c r="XP223" i="1"/>
  <c r="XU233" i="1"/>
  <c r="XU237" i="1" s="1"/>
  <c r="XU223" i="1"/>
  <c r="YP233" i="1"/>
  <c r="YP237" i="1" s="1"/>
  <c r="YP223" i="1"/>
  <c r="YP224" i="1" s="1"/>
  <c r="YP225" i="1" s="1"/>
  <c r="KU223" i="1"/>
  <c r="KU224" i="1" s="1"/>
  <c r="KU225" i="1" s="1"/>
  <c r="IY233" i="1"/>
  <c r="NC233" i="1"/>
  <c r="NC237" i="1" s="1"/>
  <c r="NC223" i="1"/>
  <c r="XI233" i="1"/>
  <c r="XI237" i="1" s="1"/>
  <c r="XI223" i="1"/>
  <c r="LH233" i="1"/>
  <c r="LH237" i="1" s="1"/>
  <c r="LH223" i="1"/>
  <c r="OY233" i="1"/>
  <c r="OY237" i="1" s="1"/>
  <c r="OY223" i="1"/>
  <c r="OZ233" i="1"/>
  <c r="OZ237" i="1" s="1"/>
  <c r="OZ223" i="1"/>
  <c r="OJ233" i="1"/>
  <c r="OJ237" i="1" s="1"/>
  <c r="OJ223" i="1"/>
  <c r="OJ224" i="1" s="1"/>
  <c r="OJ225" i="1" s="1"/>
  <c r="YN223" i="1"/>
  <c r="YN224" i="1" s="1"/>
  <c r="YN225" i="1" s="1"/>
  <c r="JA233" i="1"/>
  <c r="JA223" i="1"/>
  <c r="JA224" i="1" s="1"/>
  <c r="JA225" i="1" s="1"/>
  <c r="KC233" i="1"/>
  <c r="KC223" i="1"/>
  <c r="KC224" i="1" s="1"/>
  <c r="KC225" i="1" s="1"/>
  <c r="IT233" i="1"/>
  <c r="IT223" i="1"/>
  <c r="IT224" i="1" s="1"/>
  <c r="IT225" i="1" s="1"/>
  <c r="LF233" i="1"/>
  <c r="LF237" i="1" s="1"/>
  <c r="LF223" i="1"/>
  <c r="IX233" i="1"/>
  <c r="IX237" i="1" s="1"/>
  <c r="IX223" i="1"/>
  <c r="IK233" i="1"/>
  <c r="IK237" i="1" s="1"/>
  <c r="IK223" i="1"/>
  <c r="QO233" i="1"/>
  <c r="QO237" i="1" s="1"/>
  <c r="QO223" i="1"/>
  <c r="PE233" i="1"/>
  <c r="PE237" i="1" s="1"/>
  <c r="PE223" i="1"/>
  <c r="HK233" i="1"/>
  <c r="HK237" i="1" s="1"/>
  <c r="HK223" i="1"/>
  <c r="HK224" i="1" s="1"/>
  <c r="HK225" i="1" s="1"/>
  <c r="IA233" i="1"/>
  <c r="IA223" i="1"/>
  <c r="IA224" i="1" s="1"/>
  <c r="IA225" i="1" s="1"/>
  <c r="GZ233" i="1"/>
  <c r="GZ237" i="1" s="1"/>
  <c r="GZ223" i="1"/>
  <c r="AAN233" i="1"/>
  <c r="AAN237" i="1" s="1"/>
  <c r="AAN223" i="1"/>
  <c r="LI233" i="1"/>
  <c r="LI237" i="1" s="1"/>
  <c r="LI223" i="1"/>
  <c r="QP233" i="1"/>
  <c r="QP237" i="1" s="1"/>
  <c r="MI233" i="1"/>
  <c r="MI223" i="1"/>
  <c r="MI224" i="1" s="1"/>
  <c r="MI225" i="1" s="1"/>
  <c r="XT233" i="1"/>
  <c r="XT223" i="1"/>
  <c r="XT224" i="1" s="1"/>
  <c r="XT225" i="1" s="1"/>
  <c r="JV233" i="1"/>
  <c r="JV223" i="1"/>
  <c r="JV224" i="1" s="1"/>
  <c r="JV225" i="1" s="1"/>
  <c r="YO233" i="1"/>
  <c r="YO223" i="1"/>
  <c r="YO224" i="1" s="1"/>
  <c r="YO225" i="1" s="1"/>
  <c r="HF233" i="1"/>
  <c r="HF223" i="1"/>
  <c r="HF224" i="1" s="1"/>
  <c r="HF225" i="1" s="1"/>
  <c r="HR233" i="1"/>
  <c r="HR237" i="1" s="1"/>
  <c r="HR223" i="1"/>
  <c r="IF233" i="1"/>
  <c r="IF237" i="1" s="1"/>
  <c r="LV233" i="1"/>
  <c r="LV223" i="1"/>
  <c r="LV224" i="1" s="1"/>
  <c r="LV225" i="1" s="1"/>
  <c r="XG233" i="1"/>
  <c r="XG223" i="1"/>
  <c r="XG224" i="1" s="1"/>
  <c r="XG225" i="1" s="1"/>
  <c r="MA233" i="1"/>
  <c r="MA223" i="1"/>
  <c r="MA224" i="1" s="1"/>
  <c r="MA225" i="1" s="1"/>
  <c r="JH233" i="1"/>
  <c r="JH237" i="1" s="1"/>
  <c r="JH223" i="1"/>
  <c r="KG233" i="1"/>
  <c r="KG237" i="1" s="1"/>
  <c r="KG223" i="1"/>
  <c r="KG224" i="1" s="1"/>
  <c r="KG225" i="1" s="1"/>
  <c r="IH233" i="1"/>
  <c r="IH237" i="1" s="1"/>
  <c r="IH223" i="1"/>
  <c r="IH224" i="1" s="1"/>
  <c r="IH225" i="1" s="1"/>
  <c r="IG223" i="1"/>
  <c r="IG224" i="1" s="1"/>
  <c r="IG225" i="1" s="1"/>
  <c r="II233" i="1"/>
  <c r="II237" i="1" s="1"/>
  <c r="II223" i="1"/>
  <c r="JF223" i="1"/>
  <c r="JF224" i="1" s="1"/>
  <c r="JF225" i="1" s="1"/>
  <c r="KH223" i="1"/>
  <c r="KO233" i="1"/>
  <c r="KO237" i="1" s="1"/>
  <c r="KO223" i="1"/>
  <c r="KO224" i="1" s="1"/>
  <c r="KO225" i="1" s="1"/>
  <c r="LE233" i="1"/>
  <c r="LE237" i="1" s="1"/>
  <c r="LP233" i="1"/>
  <c r="LP237" i="1" s="1"/>
  <c r="LP223" i="1"/>
  <c r="LP224" i="1" s="1"/>
  <c r="LP225" i="1" s="1"/>
  <c r="NX223" i="1"/>
  <c r="NX224" i="1" s="1"/>
  <c r="NX225" i="1" s="1"/>
  <c r="OW223" i="1"/>
  <c r="QE233" i="1"/>
  <c r="QE237" i="1" s="1"/>
  <c r="QE223" i="1"/>
  <c r="QE224" i="1" s="1"/>
  <c r="QE225" i="1" s="1"/>
  <c r="XS223" i="1"/>
  <c r="XS224" i="1" s="1"/>
  <c r="XS225" i="1" s="1"/>
  <c r="RU233" i="1"/>
  <c r="RU237" i="1" s="1"/>
  <c r="VY233" i="1"/>
  <c r="VY237" i="1" s="1"/>
  <c r="GR223" i="1"/>
  <c r="GR224" i="1" s="1"/>
  <c r="GR225" i="1" s="1"/>
  <c r="MP233" i="1"/>
  <c r="MP237" i="1" s="1"/>
  <c r="GW233" i="1"/>
  <c r="GW237" i="1" s="1"/>
  <c r="HJ233" i="1"/>
  <c r="HJ237" i="1" s="1"/>
  <c r="OO233" i="1"/>
  <c r="OO237" i="1" s="1"/>
  <c r="WB233" i="1"/>
  <c r="WB237" i="1" s="1"/>
  <c r="VM233" i="1"/>
  <c r="VM237" i="1" s="1"/>
  <c r="UT233" i="1"/>
  <c r="UT237" i="1" s="1"/>
  <c r="KI233" i="1"/>
  <c r="KI237" i="1" s="1"/>
  <c r="GQ233" i="1"/>
  <c r="GQ237" i="1" s="1"/>
  <c r="NB233" i="1"/>
  <c r="NB237" i="1" s="1"/>
  <c r="WW233" i="1"/>
  <c r="WW237" i="1" s="1"/>
  <c r="QU233" i="1"/>
  <c r="QU237" i="1" s="1"/>
  <c r="LA233" i="1"/>
  <c r="LA237" i="1" s="1"/>
  <c r="YX233" i="1"/>
  <c r="YX237" i="1" s="1"/>
  <c r="TR233" i="1"/>
  <c r="TR237" i="1" s="1"/>
  <c r="TU233" i="1"/>
  <c r="TU237" i="1" s="1"/>
  <c r="OQ233" i="1"/>
  <c r="OQ237" i="1" s="1"/>
  <c r="OL233" i="1"/>
  <c r="OL237" i="1" s="1"/>
  <c r="ACX233" i="1"/>
  <c r="ACX237" i="1" s="1"/>
  <c r="ACO223" i="1"/>
  <c r="P236" i="1"/>
  <c r="P223" i="1"/>
  <c r="P224" i="1" s="1"/>
  <c r="P225" i="1" s="1"/>
  <c r="W237" i="1"/>
  <c r="CT237" i="1"/>
  <c r="FG236" i="1"/>
  <c r="FG223" i="1"/>
  <c r="FG224" i="1" s="1"/>
  <c r="FG225" i="1" s="1"/>
  <c r="T236" i="1"/>
  <c r="T223" i="1"/>
  <c r="AI237" i="1"/>
  <c r="NW223" i="1"/>
  <c r="NW224" i="1" s="1"/>
  <c r="NW225" i="1" s="1"/>
  <c r="FF236" i="1"/>
  <c r="FF223" i="1"/>
  <c r="FF224" i="1" s="1"/>
  <c r="FF225" i="1" s="1"/>
  <c r="K237" i="1"/>
  <c r="EB224" i="1"/>
  <c r="EB225" i="1" s="1"/>
  <c r="FH233" i="1"/>
  <c r="FH237" i="1" s="1"/>
  <c r="AT237" i="1"/>
  <c r="X223" i="1"/>
  <c r="X224" i="1" s="1"/>
  <c r="X225" i="1" s="1"/>
  <c r="GE233" i="1"/>
  <c r="DM223" i="1"/>
  <c r="CC223" i="1"/>
  <c r="FY224" i="1"/>
  <c r="FY225" i="1" s="1"/>
  <c r="AAM233" i="1"/>
  <c r="AAM237" i="1" s="1"/>
  <c r="DC223" i="1"/>
  <c r="BA223" i="1"/>
  <c r="FD223" i="1"/>
  <c r="GN223" i="1"/>
  <c r="FL223" i="1"/>
  <c r="GK223" i="1"/>
  <c r="GI223" i="1"/>
  <c r="ED223" i="1"/>
  <c r="EV223" i="1"/>
  <c r="ET223" i="1"/>
  <c r="DT223" i="1"/>
  <c r="FA223" i="1"/>
  <c r="EY223" i="1"/>
  <c r="DA223" i="1"/>
  <c r="M223" i="1"/>
  <c r="EA223" i="1"/>
  <c r="DL223" i="1"/>
  <c r="GG223" i="1"/>
  <c r="F223" i="1"/>
  <c r="FR233" i="1"/>
  <c r="FR237" i="1" s="1"/>
  <c r="AK233" i="1"/>
  <c r="AK237" i="1" s="1"/>
  <c r="DJ236" i="1"/>
  <c r="DJ221" i="1"/>
  <c r="DJ224" i="1" s="1"/>
  <c r="DJ225" i="1" s="1"/>
  <c r="EZ221" i="1"/>
  <c r="EZ224" i="1" s="1"/>
  <c r="EZ225" i="1" s="1"/>
  <c r="EZ236" i="1"/>
  <c r="DN223" i="1"/>
  <c r="DN224" i="1" s="1"/>
  <c r="DN225" i="1" s="1"/>
  <c r="DS236" i="1"/>
  <c r="DS221" i="1"/>
  <c r="BY233" i="1"/>
  <c r="BY237" i="1" s="1"/>
  <c r="CO233" i="1"/>
  <c r="CO237" i="1" s="1"/>
  <c r="BT233" i="1"/>
  <c r="BT237" i="1" s="1"/>
  <c r="CR224" i="1"/>
  <c r="CR225" i="1" s="1"/>
  <c r="CX233" i="1"/>
  <c r="CX237" i="1" s="1"/>
  <c r="BS233" i="1"/>
  <c r="BS237" i="1" s="1"/>
  <c r="EN236" i="1"/>
  <c r="EN221" i="1"/>
  <c r="EN224" i="1" s="1"/>
  <c r="EN225" i="1" s="1"/>
  <c r="AZ237" i="1"/>
  <c r="BF236" i="1"/>
  <c r="BF221" i="1"/>
  <c r="BF224" i="1" s="1"/>
  <c r="BF225" i="1" s="1"/>
  <c r="GH236" i="1"/>
  <c r="GH221" i="1"/>
  <c r="DP233" i="1"/>
  <c r="DP237" i="1" s="1"/>
  <c r="EX233" i="1"/>
  <c r="EX237" i="1" s="1"/>
  <c r="V223" i="1"/>
  <c r="V224" i="1" s="1"/>
  <c r="V225" i="1" s="1"/>
  <c r="CV233" i="1"/>
  <c r="AF233" i="1"/>
  <c r="AF237" i="1" s="1"/>
  <c r="CS233" i="1"/>
  <c r="CS237" i="1" s="1"/>
  <c r="EH223" i="1"/>
  <c r="EH224" i="1" s="1"/>
  <c r="EH225" i="1" s="1"/>
  <c r="GB236" i="1"/>
  <c r="GB221" i="1"/>
  <c r="EU221" i="1"/>
  <c r="EU236" i="1"/>
  <c r="EO236" i="1"/>
  <c r="EO221" i="1"/>
  <c r="FL236" i="1"/>
  <c r="FL221" i="1"/>
  <c r="FL224" i="1" s="1"/>
  <c r="FL225" i="1" s="1"/>
  <c r="AO233" i="1"/>
  <c r="AO237" i="1" s="1"/>
  <c r="FA221" i="1"/>
  <c r="FA224" i="1" s="1"/>
  <c r="FA225" i="1" s="1"/>
  <c r="FA236" i="1"/>
  <c r="BA236" i="1"/>
  <c r="BA221" i="1"/>
  <c r="BA224" i="1" s="1"/>
  <c r="BA225" i="1" s="1"/>
  <c r="FJ233" i="1"/>
  <c r="CG233" i="1"/>
  <c r="CG237" i="1" s="1"/>
  <c r="DV233" i="1"/>
  <c r="DV237" i="1" s="1"/>
  <c r="AL233" i="1"/>
  <c r="AL237" i="1" s="1"/>
  <c r="CQ223" i="1"/>
  <c r="CQ224" i="1" s="1"/>
  <c r="CQ225" i="1" s="1"/>
  <c r="U233" i="1"/>
  <c r="U237" i="1" s="1"/>
  <c r="GC233" i="1"/>
  <c r="GG236" i="1"/>
  <c r="GG221" i="1"/>
  <c r="GG224" i="1" s="1"/>
  <c r="GG225" i="1" s="1"/>
  <c r="BE223" i="1"/>
  <c r="BE224" i="1" s="1"/>
  <c r="BE225" i="1" s="1"/>
  <c r="FZ221" i="1"/>
  <c r="FZ224" i="1" s="1"/>
  <c r="FZ225" i="1" s="1"/>
  <c r="FZ236" i="1"/>
  <c r="AJ233" i="1"/>
  <c r="AJ237" i="1" s="1"/>
  <c r="AA223" i="1"/>
  <c r="AA224" i="1" s="1"/>
  <c r="AA225" i="1" s="1"/>
  <c r="GL233" i="1"/>
  <c r="GL237" i="1" s="1"/>
  <c r="DB221" i="1"/>
  <c r="DB224" i="1" s="1"/>
  <c r="DB225" i="1" s="1"/>
  <c r="DB236" i="1"/>
  <c r="M221" i="1"/>
  <c r="M224" i="1" s="1"/>
  <c r="M225" i="1" s="1"/>
  <c r="M236" i="1"/>
  <c r="EK223" i="1"/>
  <c r="EK224" i="1" s="1"/>
  <c r="EK225" i="1" s="1"/>
  <c r="DE223" i="1"/>
  <c r="DE224" i="1" s="1"/>
  <c r="DE225" i="1" s="1"/>
  <c r="CI233" i="1"/>
  <c r="CI237" i="1" s="1"/>
  <c r="CV221" i="1"/>
  <c r="CV224" i="1" s="1"/>
  <c r="CV225" i="1" s="1"/>
  <c r="CV236" i="1"/>
  <c r="FQ236" i="1"/>
  <c r="FQ221" i="1"/>
  <c r="FQ224" i="1" s="1"/>
  <c r="FQ225" i="1" s="1"/>
  <c r="EE236" i="1"/>
  <c r="EE221" i="1"/>
  <c r="DR223" i="1"/>
  <c r="BD224" i="1"/>
  <c r="BD225" i="1" s="1"/>
  <c r="GC221" i="1"/>
  <c r="GC224" i="1" s="1"/>
  <c r="GC225" i="1" s="1"/>
  <c r="GC236" i="1"/>
  <c r="G236" i="1"/>
  <c r="G221" i="1"/>
  <c r="G224" i="1" s="1"/>
  <c r="G225" i="1" s="1"/>
  <c r="Q233" i="1"/>
  <c r="Q237" i="1" s="1"/>
  <c r="AX233" i="1"/>
  <c r="AX237" i="1" s="1"/>
  <c r="BU233" i="1"/>
  <c r="BU237" i="1" s="1"/>
  <c r="AS223" i="1"/>
  <c r="AS224" i="1" s="1"/>
  <c r="AS225" i="1" s="1"/>
  <c r="FX233" i="1"/>
  <c r="FX237" i="1" s="1"/>
  <c r="CY233" i="1"/>
  <c r="CY237" i="1" s="1"/>
  <c r="CU223" i="1"/>
  <c r="CU224" i="1" s="1"/>
  <c r="CU225" i="1" s="1"/>
  <c r="DZ233" i="1"/>
  <c r="DZ237" i="1" s="1"/>
  <c r="FD236" i="1"/>
  <c r="FD221" i="1"/>
  <c r="EA236" i="1"/>
  <c r="EA221" i="1"/>
  <c r="CP233" i="1"/>
  <c r="CP237" i="1" s="1"/>
  <c r="DR224" i="1"/>
  <c r="DR225" i="1" s="1"/>
  <c r="FJ236" i="1"/>
  <c r="FJ237" i="1" s="1"/>
  <c r="FJ221" i="1"/>
  <c r="FJ224" i="1" s="1"/>
  <c r="FJ225" i="1" s="1"/>
  <c r="BP236" i="1"/>
  <c r="BP221" i="1"/>
  <c r="BP224" i="1" s="1"/>
  <c r="BP225" i="1" s="1"/>
  <c r="FE236" i="1"/>
  <c r="FE221" i="1"/>
  <c r="FO233" i="1"/>
  <c r="FO237" i="1" s="1"/>
  <c r="EQ221" i="1"/>
  <c r="EQ224" i="1" s="1"/>
  <c r="EQ225" i="1" s="1"/>
  <c r="EQ236" i="1"/>
  <c r="AR223" i="1"/>
  <c r="AR224" i="1" s="1"/>
  <c r="AR225" i="1" s="1"/>
  <c r="FS221" i="1"/>
  <c r="FS224" i="1" s="1"/>
  <c r="FS225" i="1" s="1"/>
  <c r="FS236" i="1"/>
  <c r="AE223" i="1"/>
  <c r="AE224" i="1" s="1"/>
  <c r="AE225" i="1" s="1"/>
  <c r="GK236" i="1"/>
  <c r="GK221" i="1"/>
  <c r="GK224" i="1" s="1"/>
  <c r="GK225" i="1" s="1"/>
  <c r="AV236" i="1"/>
  <c r="AV221" i="1"/>
  <c r="AV224" i="1" s="1"/>
  <c r="AV225" i="1" s="1"/>
  <c r="T224" i="1"/>
  <c r="T225" i="1" s="1"/>
  <c r="EG236" i="1"/>
  <c r="EG221" i="1"/>
  <c r="EG224" i="1" s="1"/>
  <c r="EG225" i="1" s="1"/>
  <c r="DL221" i="1"/>
  <c r="DL224" i="1" s="1"/>
  <c r="DL225" i="1" s="1"/>
  <c r="DL236" i="1"/>
  <c r="H236" i="1"/>
  <c r="H221" i="1"/>
  <c r="H224" i="1" s="1"/>
  <c r="H225" i="1" s="1"/>
  <c r="FY233" i="1"/>
  <c r="FY237" i="1" s="1"/>
  <c r="GF233" i="1"/>
  <c r="GF237" i="1" s="1"/>
  <c r="BH236" i="1"/>
  <c r="BH221" i="1"/>
  <c r="GI221" i="1"/>
  <c r="GI224" i="1" s="1"/>
  <c r="GI225" i="1" s="1"/>
  <c r="GI236" i="1"/>
  <c r="GD233" i="1"/>
  <c r="GD237" i="1" s="1"/>
  <c r="F236" i="1"/>
  <c r="F221" i="1"/>
  <c r="F224" i="1" s="1"/>
  <c r="F225" i="1" s="1"/>
  <c r="ED221" i="1"/>
  <c r="ED224" i="1" s="1"/>
  <c r="ED225" i="1" s="1"/>
  <c r="ED236" i="1"/>
  <c r="AU223" i="1"/>
  <c r="AU224" i="1" s="1"/>
  <c r="AU225" i="1" s="1"/>
  <c r="CF233" i="1"/>
  <c r="CF237" i="1" s="1"/>
  <c r="EL233" i="1"/>
  <c r="EL237" i="1" s="1"/>
  <c r="DT236" i="1"/>
  <c r="DT221" i="1"/>
  <c r="DT224" i="1" s="1"/>
  <c r="DT225" i="1" s="1"/>
  <c r="FC233" i="1"/>
  <c r="FC237" i="1" s="1"/>
  <c r="CN233" i="1"/>
  <c r="CN237" i="1" s="1"/>
  <c r="FV233" i="1"/>
  <c r="FV237" i="1" s="1"/>
  <c r="GA233" i="1"/>
  <c r="GA237" i="1" s="1"/>
  <c r="EN233" i="1"/>
  <c r="EN237" i="1" s="1"/>
  <c r="CR233" i="1"/>
  <c r="CR237" i="1" s="1"/>
  <c r="CB223" i="1"/>
  <c r="CB224" i="1" s="1"/>
  <c r="CB225" i="1" s="1"/>
  <c r="GN221" i="1"/>
  <c r="GN236" i="1"/>
  <c r="FP233" i="1"/>
  <c r="FP237" i="1" s="1"/>
  <c r="EJ224" i="1"/>
  <c r="EJ225" i="1" s="1"/>
  <c r="E236" i="1"/>
  <c r="E221" i="1"/>
  <c r="E224" i="1" s="1"/>
  <c r="E225" i="1" s="1"/>
  <c r="EY236" i="1"/>
  <c r="EY221" i="1"/>
  <c r="EY224" i="1" s="1"/>
  <c r="EY225" i="1" s="1"/>
  <c r="AW233" i="1"/>
  <c r="AW237" i="1" s="1"/>
  <c r="J223" i="1"/>
  <c r="J224" i="1" s="1"/>
  <c r="J225" i="1" s="1"/>
  <c r="Y224" i="1"/>
  <c r="Y225" i="1" s="1"/>
  <c r="EP236" i="1"/>
  <c r="EP221" i="1"/>
  <c r="EP224" i="1" s="1"/>
  <c r="EP225" i="1" s="1"/>
  <c r="S233" i="1"/>
  <c r="S237" i="1" s="1"/>
  <c r="AG223" i="1"/>
  <c r="AG224" i="1" s="1"/>
  <c r="AG225" i="1" s="1"/>
  <c r="BD233" i="1"/>
  <c r="BD237" i="1" s="1"/>
  <c r="DD233" i="1"/>
  <c r="DD237" i="1" s="1"/>
  <c r="ET236" i="1"/>
  <c r="ET221" i="1"/>
  <c r="AC233" i="1"/>
  <c r="AC237" i="1" s="1"/>
  <c r="L236" i="1"/>
  <c r="L221" i="1"/>
  <c r="L224" i="1" s="1"/>
  <c r="L225" i="1" s="1"/>
  <c r="DW223" i="1"/>
  <c r="DW224" i="1" s="1"/>
  <c r="DW225" i="1" s="1"/>
  <c r="FU236" i="1"/>
  <c r="FU221" i="1"/>
  <c r="CL233" i="1"/>
  <c r="CL237" i="1" s="1"/>
  <c r="DK233" i="1"/>
  <c r="DK237" i="1" s="1"/>
  <c r="AH233" i="1"/>
  <c r="AH237" i="1" s="1"/>
  <c r="ES233" i="1"/>
  <c r="ES237" i="1" s="1"/>
  <c r="EJ233" i="1"/>
  <c r="EJ237" i="1" s="1"/>
  <c r="GE236" i="1"/>
  <c r="GE221" i="1"/>
  <c r="GE224" i="1" s="1"/>
  <c r="GE225" i="1" s="1"/>
  <c r="I233" i="1"/>
  <c r="DC236" i="1"/>
  <c r="DC221" i="1"/>
  <c r="O233" i="1"/>
  <c r="O237" i="1" s="1"/>
  <c r="BR233" i="1"/>
  <c r="BR237" i="1" s="1"/>
  <c r="ET224" i="1"/>
  <c r="ET225" i="1" s="1"/>
  <c r="CC221" i="1"/>
  <c r="CC224" i="1" s="1"/>
  <c r="CC225" i="1" s="1"/>
  <c r="CC236" i="1"/>
  <c r="BJ223" i="1"/>
  <c r="BJ224" i="1" s="1"/>
  <c r="BJ225" i="1" s="1"/>
  <c r="GJ233" i="1"/>
  <c r="GJ237" i="1" s="1"/>
  <c r="FK233" i="1"/>
  <c r="FK237" i="1" s="1"/>
  <c r="BO233" i="1"/>
  <c r="BO237" i="1" s="1"/>
  <c r="DA221" i="1"/>
  <c r="DA236" i="1"/>
  <c r="BC236" i="1"/>
  <c r="BC221" i="1"/>
  <c r="DO233" i="1"/>
  <c r="DO237" i="1" s="1"/>
  <c r="GH224" i="1"/>
  <c r="GH225" i="1" s="1"/>
  <c r="BQ233" i="1"/>
  <c r="BQ237" i="1" s="1"/>
  <c r="AP233" i="1"/>
  <c r="AP237" i="1" s="1"/>
  <c r="DQ233" i="1"/>
  <c r="DQ237" i="1" s="1"/>
  <c r="FT233" i="1"/>
  <c r="FT237" i="1" s="1"/>
  <c r="EV236" i="1"/>
  <c r="EV221" i="1"/>
  <c r="EV224" i="1" s="1"/>
  <c r="EV225" i="1" s="1"/>
  <c r="CC233" i="1"/>
  <c r="CC237" i="1" s="1"/>
  <c r="FN233" i="1"/>
  <c r="BZ223" i="1"/>
  <c r="BZ224" i="1" s="1"/>
  <c r="BZ225" i="1" s="1"/>
  <c r="I236" i="1"/>
  <c r="I221" i="1"/>
  <c r="I224" i="1" s="1"/>
  <c r="I225" i="1" s="1"/>
  <c r="CW233" i="1"/>
  <c r="CW237" i="1" s="1"/>
  <c r="AB233" i="1"/>
  <c r="AB237" i="1" s="1"/>
  <c r="DM221" i="1"/>
  <c r="DM224" i="1" s="1"/>
  <c r="DM225" i="1" s="1"/>
  <c r="DM236" i="1"/>
  <c r="DI233" i="1"/>
  <c r="DI237" i="1" s="1"/>
  <c r="FN236" i="1"/>
  <c r="FN221" i="1"/>
  <c r="FN224" i="1" s="1"/>
  <c r="FN225" i="1" s="1"/>
  <c r="GM221" i="1"/>
  <c r="GM224" i="1" s="1"/>
  <c r="GM225" i="1" s="1"/>
  <c r="GM236" i="1"/>
  <c r="AN236" i="1"/>
  <c r="AN221" i="1"/>
  <c r="AN224" i="1" s="1"/>
  <c r="AN225" i="1" s="1"/>
  <c r="DY233" i="1"/>
  <c r="DY237" i="1" s="1"/>
  <c r="EC221" i="1"/>
  <c r="EC224" i="1" s="1"/>
  <c r="EC225" i="1" s="1"/>
  <c r="EC236" i="1"/>
  <c r="EF236" i="1"/>
  <c r="EF221" i="1"/>
  <c r="EF224" i="1" s="1"/>
  <c r="EF225" i="1" s="1"/>
  <c r="EL224" i="1"/>
  <c r="EL225" i="1" s="1"/>
  <c r="AQ233" i="1"/>
  <c r="AQ237" i="1" s="1"/>
  <c r="EB233" i="1"/>
  <c r="EB237" i="1" s="1"/>
  <c r="V158" i="1" l="1"/>
  <c r="U161" i="1"/>
  <c r="U162" i="1" s="1"/>
  <c r="U166" i="1" s="1"/>
  <c r="T161" i="1"/>
  <c r="T162" i="1" s="1"/>
  <c r="T166" i="1" s="1"/>
  <c r="S161" i="1"/>
  <c r="S162" i="1" s="1"/>
  <c r="S166" i="1" s="1"/>
  <c r="R161" i="1"/>
  <c r="R162" i="1" s="1"/>
  <c r="R166" i="1" s="1"/>
  <c r="Q161" i="1"/>
  <c r="Q162" i="1" s="1"/>
  <c r="Q166" i="1" s="1"/>
  <c r="P161" i="1"/>
  <c r="P162" i="1" s="1"/>
  <c r="P166" i="1" s="1"/>
  <c r="O161" i="1"/>
  <c r="O162" i="1" s="1"/>
  <c r="O166" i="1" s="1"/>
  <c r="N161" i="1"/>
  <c r="N162" i="1" s="1"/>
  <c r="N166" i="1" s="1"/>
  <c r="M161" i="1"/>
  <c r="M162" i="1" s="1"/>
  <c r="M166" i="1" s="1"/>
  <c r="L161" i="1"/>
  <c r="L162" i="1" s="1"/>
  <c r="L166" i="1" s="1"/>
  <c r="K161" i="1"/>
  <c r="K162" i="1" s="1"/>
  <c r="K166" i="1" s="1"/>
  <c r="J161" i="1"/>
  <c r="J162" i="1" s="1"/>
  <c r="J166" i="1" s="1"/>
  <c r="I161" i="1"/>
  <c r="I162" i="1" s="1"/>
  <c r="I166" i="1" s="1"/>
  <c r="H161" i="1"/>
  <c r="H162" i="1" s="1"/>
  <c r="H166" i="1" s="1"/>
  <c r="G161" i="1"/>
  <c r="G162" i="1" s="1"/>
  <c r="G166" i="1" s="1"/>
  <c r="F161" i="1"/>
  <c r="F162" i="1" s="1"/>
  <c r="F166" i="1" s="1"/>
  <c r="E161" i="1"/>
  <c r="E162" i="1" s="1"/>
  <c r="E166" i="1" s="1"/>
  <c r="I237" i="1"/>
  <c r="EA224" i="1"/>
  <c r="EA225" i="1" s="1"/>
  <c r="DM233" i="1"/>
  <c r="DM237" i="1" s="1"/>
  <c r="II224" i="1"/>
  <c r="II225" i="1" s="1"/>
  <c r="LM223" i="1"/>
  <c r="LM224" i="1" s="1"/>
  <c r="LM225" i="1" s="1"/>
  <c r="LI224" i="1"/>
  <c r="LI225" i="1" s="1"/>
  <c r="QO224" i="1"/>
  <c r="QO225" i="1" s="1"/>
  <c r="LF224" i="1"/>
  <c r="LF225" i="1" s="1"/>
  <c r="IT237" i="1"/>
  <c r="HB224" i="1"/>
  <c r="HB225" i="1" s="1"/>
  <c r="ME237" i="1"/>
  <c r="IP224" i="1"/>
  <c r="IP225" i="1" s="1"/>
  <c r="PG237" i="1"/>
  <c r="OW224" i="1"/>
  <c r="OW225" i="1" s="1"/>
  <c r="ID223" i="1"/>
  <c r="ID224" i="1" s="1"/>
  <c r="ID225" i="1" s="1"/>
  <c r="QX224" i="1"/>
  <c r="QX225" i="1" s="1"/>
  <c r="KR224" i="1"/>
  <c r="KR225" i="1" s="1"/>
  <c r="YN237" i="1"/>
  <c r="KU237" i="1"/>
  <c r="JI224" i="1"/>
  <c r="JI225" i="1" s="1"/>
  <c r="XQ237" i="1"/>
  <c r="IU224" i="1"/>
  <c r="IU225" i="1" s="1"/>
  <c r="JT237" i="1"/>
  <c r="OH224" i="1"/>
  <c r="OH225" i="1" s="1"/>
  <c r="ID237" i="1"/>
  <c r="MD224" i="1"/>
  <c r="MD225" i="1" s="1"/>
  <c r="HC237" i="1"/>
  <c r="JM224" i="1"/>
  <c r="JM225" i="1" s="1"/>
  <c r="HV224" i="1"/>
  <c r="HV225" i="1" s="1"/>
  <c r="PH237" i="1"/>
  <c r="PA237" i="1"/>
  <c r="XM224" i="1"/>
  <c r="XM225" i="1" s="1"/>
  <c r="YM237" i="1"/>
  <c r="XK224" i="1"/>
  <c r="XK225" i="1" s="1"/>
  <c r="XS233" i="1"/>
  <c r="XS237" i="1" s="1"/>
  <c r="JD223" i="1"/>
  <c r="JD224" i="1" s="1"/>
  <c r="JD225" i="1" s="1"/>
  <c r="LM233" i="1"/>
  <c r="LM237" i="1" s="1"/>
  <c r="PL223" i="1"/>
  <c r="PL224" i="1" s="1"/>
  <c r="PL225" i="1" s="1"/>
  <c r="HZ223" i="1"/>
  <c r="HZ224" i="1" s="1"/>
  <c r="HZ225" i="1" s="1"/>
  <c r="SD223" i="1"/>
  <c r="SD224" i="1" s="1"/>
  <c r="SD225" i="1" s="1"/>
  <c r="MC223" i="1"/>
  <c r="MC224" i="1" s="1"/>
  <c r="MC225" i="1" s="1"/>
  <c r="YR223" i="1"/>
  <c r="YR224" i="1" s="1"/>
  <c r="YR225" i="1" s="1"/>
  <c r="KN223" i="1"/>
  <c r="KN224" i="1" s="1"/>
  <c r="KN225" i="1" s="1"/>
  <c r="GV223" i="1"/>
  <c r="GV224" i="1" s="1"/>
  <c r="GV225" i="1" s="1"/>
  <c r="JY223" i="1"/>
  <c r="JY224" i="1" s="1"/>
  <c r="JY225" i="1" s="1"/>
  <c r="IG233" i="1"/>
  <c r="IG237" i="1" s="1"/>
  <c r="SC233" i="1"/>
  <c r="SC237" i="1" s="1"/>
  <c r="DC224" i="1"/>
  <c r="DC225" i="1" s="1"/>
  <c r="GN224" i="1"/>
  <c r="GN225" i="1" s="1"/>
  <c r="FD224" i="1"/>
  <c r="FD225" i="1" s="1"/>
  <c r="ACO224" i="1"/>
  <c r="ACO225" i="1" s="1"/>
  <c r="JV237" i="1"/>
  <c r="KX233" i="1"/>
  <c r="KX237" i="1" s="1"/>
  <c r="PX233" i="1"/>
  <c r="PX237" i="1" s="1"/>
  <c r="JT223" i="1"/>
  <c r="JT224" i="1" s="1"/>
  <c r="JT225" i="1" s="1"/>
  <c r="HQ224" i="1"/>
  <c r="HQ225" i="1" s="1"/>
  <c r="UD224" i="1"/>
  <c r="UD225" i="1" s="1"/>
  <c r="LZ237" i="1"/>
  <c r="GP224" i="1"/>
  <c r="GP225" i="1" s="1"/>
  <c r="MZ224" i="1"/>
  <c r="MZ225" i="1" s="1"/>
  <c r="NI233" i="1"/>
  <c r="NI237" i="1" s="1"/>
  <c r="HC223" i="1"/>
  <c r="HC224" i="1" s="1"/>
  <c r="HC225" i="1" s="1"/>
  <c r="YM223" i="1"/>
  <c r="YM224" i="1" s="1"/>
  <c r="YM225" i="1" s="1"/>
  <c r="NX233" i="1"/>
  <c r="NX237" i="1" s="1"/>
  <c r="DA224" i="1"/>
  <c r="DA225" i="1" s="1"/>
  <c r="KH224" i="1"/>
  <c r="KH225" i="1" s="1"/>
  <c r="JF233" i="1"/>
  <c r="JF237" i="1" s="1"/>
  <c r="XG237" i="1"/>
  <c r="OY224" i="1"/>
  <c r="OY225" i="1" s="1"/>
  <c r="NC224" i="1"/>
  <c r="NC225" i="1" s="1"/>
  <c r="GS224" i="1"/>
  <c r="GS225" i="1" s="1"/>
  <c r="HH237" i="1"/>
  <c r="MB224" i="1"/>
  <c r="MB225" i="1" s="1"/>
  <c r="OU237" i="1"/>
  <c r="XQ223" i="1"/>
  <c r="XQ224" i="1" s="1"/>
  <c r="XQ225" i="1" s="1"/>
  <c r="RC224" i="1"/>
  <c r="RC225" i="1" s="1"/>
  <c r="QY224" i="1"/>
  <c r="QY225" i="1" s="1"/>
  <c r="QZ224" i="1"/>
  <c r="QZ225" i="1" s="1"/>
  <c r="MR233" i="1"/>
  <c r="MR237" i="1" s="1"/>
  <c r="PH223" i="1"/>
  <c r="PH224" i="1" s="1"/>
  <c r="PH225" i="1" s="1"/>
  <c r="PA223" i="1"/>
  <c r="PA224" i="1" s="1"/>
  <c r="PA225" i="1" s="1"/>
  <c r="LY224" i="1"/>
  <c r="LY225" i="1" s="1"/>
  <c r="IO237" i="1"/>
  <c r="JH224" i="1"/>
  <c r="JH225" i="1" s="1"/>
  <c r="MA237" i="1"/>
  <c r="YO237" i="1"/>
  <c r="MI237" i="1"/>
  <c r="GZ224" i="1"/>
  <c r="GZ225" i="1" s="1"/>
  <c r="IA237" i="1"/>
  <c r="PE224" i="1"/>
  <c r="PE225" i="1" s="1"/>
  <c r="IX224" i="1"/>
  <c r="IX225" i="1" s="1"/>
  <c r="JA237" i="1"/>
  <c r="OZ224" i="1"/>
  <c r="OZ225" i="1" s="1"/>
  <c r="XI224" i="1"/>
  <c r="XI225" i="1" s="1"/>
  <c r="XP224" i="1"/>
  <c r="XP225" i="1" s="1"/>
  <c r="GX237" i="1"/>
  <c r="XH224" i="1"/>
  <c r="XH225" i="1" s="1"/>
  <c r="IS237" i="1"/>
  <c r="XR224" i="1"/>
  <c r="XR225" i="1" s="1"/>
  <c r="LQ237" i="1"/>
  <c r="YL224" i="1"/>
  <c r="YL225" i="1" s="1"/>
  <c r="MK237" i="1"/>
  <c r="KE237" i="1"/>
  <c r="QQ224" i="1"/>
  <c r="QQ225" i="1" s="1"/>
  <c r="HM233" i="1"/>
  <c r="HM237" i="1" s="1"/>
  <c r="YQ224" i="1"/>
  <c r="YQ225" i="1" s="1"/>
  <c r="RE224" i="1"/>
  <c r="RE225" i="1" s="1"/>
  <c r="HT237" i="1"/>
  <c r="JG224" i="1"/>
  <c r="JG225" i="1" s="1"/>
  <c r="HN224" i="1"/>
  <c r="HN225" i="1" s="1"/>
  <c r="IN237" i="1"/>
  <c r="OI237" i="1"/>
  <c r="QK237" i="1"/>
  <c r="AAA237" i="1"/>
  <c r="NZ224" i="1"/>
  <c r="NZ225" i="1" s="1"/>
  <c r="LV237" i="1"/>
  <c r="HR224" i="1"/>
  <c r="HR225" i="1" s="1"/>
  <c r="HF237" i="1"/>
  <c r="XT237" i="1"/>
  <c r="AAN224" i="1"/>
  <c r="AAN225" i="1" s="1"/>
  <c r="IK224" i="1"/>
  <c r="IK225" i="1" s="1"/>
  <c r="KC237" i="1"/>
  <c r="LH224" i="1"/>
  <c r="LH225" i="1" s="1"/>
  <c r="IY237" i="1"/>
  <c r="XU224" i="1"/>
  <c r="XU225" i="1" s="1"/>
  <c r="HO237" i="1"/>
  <c r="MG237" i="1"/>
  <c r="QT224" i="1"/>
  <c r="QT225" i="1" s="1"/>
  <c r="IR224" i="1"/>
  <c r="IR225" i="1" s="1"/>
  <c r="MF237" i="1"/>
  <c r="MO237" i="1"/>
  <c r="LX224" i="1"/>
  <c r="LX225" i="1" s="1"/>
  <c r="MR224" i="1"/>
  <c r="MR225" i="1" s="1"/>
  <c r="XO237" i="1"/>
  <c r="IW237" i="1"/>
  <c r="HS237" i="1"/>
  <c r="OV224" i="1"/>
  <c r="OV225" i="1" s="1"/>
  <c r="LR237" i="1"/>
  <c r="MX237" i="1"/>
  <c r="AAG237" i="1"/>
  <c r="ACO233" i="1"/>
  <c r="ACO237" i="1" s="1"/>
  <c r="EE223" i="1"/>
  <c r="EE224" i="1" s="1"/>
  <c r="EE225" i="1" s="1"/>
  <c r="ACW223" i="1"/>
  <c r="ACW224" i="1" s="1"/>
  <c r="ACW225" i="1" s="1"/>
  <c r="ACV223" i="1"/>
  <c r="ACV224" i="1" s="1"/>
  <c r="ACV225" i="1" s="1"/>
  <c r="ACU223" i="1"/>
  <c r="ACU224" i="1" s="1"/>
  <c r="ACU225" i="1" s="1"/>
  <c r="ACT223" i="1"/>
  <c r="ACT224" i="1" s="1"/>
  <c r="ACT225" i="1" s="1"/>
  <c r="ACS223" i="1"/>
  <c r="ACS224" i="1" s="1"/>
  <c r="ACS225" i="1" s="1"/>
  <c r="ACR223" i="1"/>
  <c r="ACR224" i="1" s="1"/>
  <c r="ACR225" i="1" s="1"/>
  <c r="ACQ223" i="1"/>
  <c r="ACQ224" i="1" s="1"/>
  <c r="ACQ225" i="1" s="1"/>
  <c r="ACP223" i="1"/>
  <c r="ACP224" i="1" s="1"/>
  <c r="ACP225" i="1" s="1"/>
  <c r="ACN223" i="1"/>
  <c r="ACN224" i="1" s="1"/>
  <c r="ACN225" i="1" s="1"/>
  <c r="ACM223" i="1"/>
  <c r="ACM224" i="1" s="1"/>
  <c r="ACM225" i="1" s="1"/>
  <c r="ACL223" i="1"/>
  <c r="ACL224" i="1" s="1"/>
  <c r="ACL225" i="1" s="1"/>
  <c r="ACK223" i="1"/>
  <c r="ACK224" i="1" s="1"/>
  <c r="ACK225" i="1" s="1"/>
  <c r="ACJ223" i="1"/>
  <c r="ACJ224" i="1" s="1"/>
  <c r="ACJ225" i="1" s="1"/>
  <c r="ACI223" i="1"/>
  <c r="ACI224" i="1" s="1"/>
  <c r="ACI225" i="1" s="1"/>
  <c r="ACH223" i="1"/>
  <c r="ACH224" i="1" s="1"/>
  <c r="ACH225" i="1" s="1"/>
  <c r="ACG223" i="1"/>
  <c r="ACG224" i="1" s="1"/>
  <c r="ACG225" i="1" s="1"/>
  <c r="ACF223" i="1"/>
  <c r="ACF224" i="1" s="1"/>
  <c r="ACF225" i="1" s="1"/>
  <c r="ACE223" i="1"/>
  <c r="ACE224" i="1" s="1"/>
  <c r="ACE225" i="1" s="1"/>
  <c r="ACD223" i="1"/>
  <c r="ACD224" i="1" s="1"/>
  <c r="ACD225" i="1" s="1"/>
  <c r="ACC223" i="1"/>
  <c r="ACC224" i="1" s="1"/>
  <c r="ACC225" i="1" s="1"/>
  <c r="ABZ223" i="1"/>
  <c r="ABZ224" i="1" s="1"/>
  <c r="ABZ225" i="1" s="1"/>
  <c r="ABY223" i="1"/>
  <c r="ABY224" i="1" s="1"/>
  <c r="ABY225" i="1" s="1"/>
  <c r="ABX223" i="1"/>
  <c r="ABX224" i="1" s="1"/>
  <c r="ABX225" i="1" s="1"/>
  <c r="ABW223" i="1"/>
  <c r="ABW224" i="1" s="1"/>
  <c r="ABW225" i="1" s="1"/>
  <c r="ABV223" i="1"/>
  <c r="ABV224" i="1" s="1"/>
  <c r="ABV225" i="1" s="1"/>
  <c r="ABU223" i="1"/>
  <c r="ABU224" i="1" s="1"/>
  <c r="ABU225" i="1" s="1"/>
  <c r="ABT223" i="1"/>
  <c r="ABT224" i="1" s="1"/>
  <c r="ABT225" i="1" s="1"/>
  <c r="ABQ223" i="1"/>
  <c r="ABQ224" i="1" s="1"/>
  <c r="ABQ225" i="1" s="1"/>
  <c r="ABP223" i="1"/>
  <c r="ABP224" i="1" s="1"/>
  <c r="ABP225" i="1" s="1"/>
  <c r="ABO223" i="1"/>
  <c r="ABO224" i="1" s="1"/>
  <c r="ABO225" i="1" s="1"/>
  <c r="ABN223" i="1"/>
  <c r="ABN224" i="1" s="1"/>
  <c r="ABN225" i="1" s="1"/>
  <c r="ABM223" i="1"/>
  <c r="ABM224" i="1" s="1"/>
  <c r="ABM225" i="1" s="1"/>
  <c r="ABL223" i="1"/>
  <c r="ABL224" i="1" s="1"/>
  <c r="ABL225" i="1" s="1"/>
  <c r="ABK223" i="1"/>
  <c r="ABK224" i="1" s="1"/>
  <c r="ABK225" i="1" s="1"/>
  <c r="ABJ223" i="1"/>
  <c r="ABJ224" i="1" s="1"/>
  <c r="ABJ225" i="1" s="1"/>
  <c r="ABI223" i="1"/>
  <c r="ABI224" i="1" s="1"/>
  <c r="ABI225" i="1" s="1"/>
  <c r="AAP223" i="1"/>
  <c r="AAP224" i="1" s="1"/>
  <c r="AAP225" i="1" s="1"/>
  <c r="NJ223" i="1"/>
  <c r="NJ224" i="1" s="1"/>
  <c r="NJ225" i="1" s="1"/>
  <c r="KK223" i="1"/>
  <c r="KK224" i="1" s="1"/>
  <c r="KK225" i="1" s="1"/>
  <c r="AAO223" i="1"/>
  <c r="AAO224" i="1" s="1"/>
  <c r="AAO225" i="1" s="1"/>
  <c r="AAM224" i="1"/>
  <c r="AAM225" i="1" s="1"/>
  <c r="AAK223" i="1"/>
  <c r="AAK224" i="1" s="1"/>
  <c r="AAK225" i="1" s="1"/>
  <c r="AAJ223" i="1"/>
  <c r="AAJ224" i="1" s="1"/>
  <c r="AAJ225" i="1" s="1"/>
  <c r="AAI223" i="1"/>
  <c r="AAI224" i="1" s="1"/>
  <c r="AAI225" i="1" s="1"/>
  <c r="AAH223" i="1"/>
  <c r="AAH224" i="1" s="1"/>
  <c r="AAH225" i="1" s="1"/>
  <c r="AAF223" i="1"/>
  <c r="AAF224" i="1" s="1"/>
  <c r="AAF225" i="1" s="1"/>
  <c r="AAE223" i="1"/>
  <c r="AAE224" i="1" s="1"/>
  <c r="AAE225" i="1" s="1"/>
  <c r="AAD223" i="1"/>
  <c r="AAD224" i="1" s="1"/>
  <c r="AAD225" i="1" s="1"/>
  <c r="AAC223" i="1"/>
  <c r="AAC224" i="1" s="1"/>
  <c r="AAC225" i="1" s="1"/>
  <c r="AAB223" i="1"/>
  <c r="AAB224" i="1" s="1"/>
  <c r="AAB225" i="1" s="1"/>
  <c r="WK233" i="1"/>
  <c r="WK237" i="1" s="1"/>
  <c r="YK233" i="1"/>
  <c r="YK237" i="1" s="1"/>
  <c r="ZQ233" i="1"/>
  <c r="ZQ237" i="1" s="1"/>
  <c r="SE233" i="1"/>
  <c r="SE237" i="1" s="1"/>
  <c r="RN233" i="1"/>
  <c r="RN237" i="1" s="1"/>
  <c r="YF233" i="1"/>
  <c r="YF237" i="1" s="1"/>
  <c r="WH233" i="1"/>
  <c r="WH237" i="1" s="1"/>
  <c r="AAQ233" i="1"/>
  <c r="AAQ237" i="1" s="1"/>
  <c r="AAR233" i="1"/>
  <c r="AAR237" i="1" s="1"/>
  <c r="AAS233" i="1"/>
  <c r="AAS237" i="1" s="1"/>
  <c r="AAT233" i="1"/>
  <c r="AAT237" i="1" s="1"/>
  <c r="AAU233" i="1"/>
  <c r="AAU237" i="1" s="1"/>
  <c r="AAV233" i="1"/>
  <c r="AAV237" i="1" s="1"/>
  <c r="AAW233" i="1"/>
  <c r="AAW237" i="1" s="1"/>
  <c r="AAX233" i="1"/>
  <c r="AAX237" i="1" s="1"/>
  <c r="AAY233" i="1"/>
  <c r="AAY237" i="1" s="1"/>
  <c r="AAZ233" i="1"/>
  <c r="AAZ237" i="1" s="1"/>
  <c r="ABA233" i="1"/>
  <c r="ABA237" i="1" s="1"/>
  <c r="ABB233" i="1"/>
  <c r="ABB237" i="1" s="1"/>
  <c r="ABC233" i="1"/>
  <c r="ABC237" i="1" s="1"/>
  <c r="ABD233" i="1"/>
  <c r="ABD237" i="1" s="1"/>
  <c r="ABE233" i="1"/>
  <c r="ABE237" i="1" s="1"/>
  <c r="ABF233" i="1"/>
  <c r="ABF237" i="1" s="1"/>
  <c r="ABG233" i="1"/>
  <c r="ABG237" i="1" s="1"/>
  <c r="ABH233" i="1"/>
  <c r="ABH237" i="1" s="1"/>
  <c r="ACB233" i="1"/>
  <c r="ACB237" i="1" s="1"/>
  <c r="ACA233" i="1"/>
  <c r="ACA237" i="1" s="1"/>
  <c r="AAL236" i="1"/>
  <c r="AAL221" i="1"/>
  <c r="NW233" i="1"/>
  <c r="NW237" i="1" s="1"/>
  <c r="GR233" i="1"/>
  <c r="GR237" i="1" s="1"/>
  <c r="OW233" i="1"/>
  <c r="OW237" i="1" s="1"/>
  <c r="KH233" i="1"/>
  <c r="KH237" i="1" s="1"/>
  <c r="JZ233" i="1"/>
  <c r="JZ237" i="1" s="1"/>
  <c r="OV233" i="1"/>
  <c r="OV237" i="1" s="1"/>
  <c r="FN237" i="1"/>
  <c r="GC237" i="1"/>
  <c r="CV237" i="1"/>
  <c r="X233" i="1"/>
  <c r="X237" i="1" s="1"/>
  <c r="GB223" i="1"/>
  <c r="GB224" i="1" s="1"/>
  <c r="GB225" i="1" s="1"/>
  <c r="FI223" i="1"/>
  <c r="FI224" i="1" s="1"/>
  <c r="FI225" i="1" s="1"/>
  <c r="Z223" i="1"/>
  <c r="Z224" i="1" s="1"/>
  <c r="Z225" i="1" s="1"/>
  <c r="EK233" i="1"/>
  <c r="EK237" i="1" s="1"/>
  <c r="GH233" i="1"/>
  <c r="GH237" i="1" s="1"/>
  <c r="FA233" i="1"/>
  <c r="FA237" i="1" s="1"/>
  <c r="GI233" i="1"/>
  <c r="GI237" i="1" s="1"/>
  <c r="FL233" i="1"/>
  <c r="FL237" i="1" s="1"/>
  <c r="DB233" i="1"/>
  <c r="DB237" i="1" s="1"/>
  <c r="AG233" i="1"/>
  <c r="AG237" i="1" s="1"/>
  <c r="CU233" i="1"/>
  <c r="CU237" i="1" s="1"/>
  <c r="F233" i="1"/>
  <c r="F237" i="1" s="1"/>
  <c r="DC233" i="1"/>
  <c r="DC237" i="1" s="1"/>
  <c r="AA233" i="1"/>
  <c r="AA237" i="1" s="1"/>
  <c r="T233" i="1"/>
  <c r="T237" i="1" s="1"/>
  <c r="J233" i="1"/>
  <c r="J237" i="1" s="1"/>
  <c r="AE233" i="1"/>
  <c r="AE237" i="1" s="1"/>
  <c r="EG233" i="1"/>
  <c r="EG237" i="1" s="1"/>
  <c r="EH233" i="1"/>
  <c r="EH237" i="1" s="1"/>
  <c r="M233" i="1"/>
  <c r="M237" i="1" s="1"/>
  <c r="BJ233" i="1"/>
  <c r="BJ237" i="1" s="1"/>
  <c r="E233" i="1"/>
  <c r="E237" i="1" s="1"/>
  <c r="P233" i="1"/>
  <c r="P237" i="1" s="1"/>
  <c r="AS233" i="1"/>
  <c r="AS237" i="1" s="1"/>
  <c r="V233" i="1"/>
  <c r="V237" i="1" s="1"/>
  <c r="DW233" i="1"/>
  <c r="DW237" i="1" s="1"/>
  <c r="EC233" i="1"/>
  <c r="EC237" i="1" s="1"/>
  <c r="AN233" i="1"/>
  <c r="AN237" i="1" s="1"/>
  <c r="FS233" i="1"/>
  <c r="FS237" i="1" s="1"/>
  <c r="ET233" i="1"/>
  <c r="ET237" i="1" s="1"/>
  <c r="DJ233" i="1"/>
  <c r="DJ237" i="1" s="1"/>
  <c r="CB233" i="1"/>
  <c r="CB237" i="1" s="1"/>
  <c r="DR233" i="1"/>
  <c r="DR237" i="1" s="1"/>
  <c r="DS223" i="1"/>
  <c r="DS224" i="1" s="1"/>
  <c r="DS225" i="1" s="1"/>
  <c r="G233" i="1"/>
  <c r="G237" i="1" s="1"/>
  <c r="EA233" i="1"/>
  <c r="EA237" i="1" s="1"/>
  <c r="DA233" i="1"/>
  <c r="DA237" i="1" s="1"/>
  <c r="ED233" i="1"/>
  <c r="ED237" i="1" s="1"/>
  <c r="BZ233" i="1"/>
  <c r="BZ237" i="1" s="1"/>
  <c r="FG233" i="1"/>
  <c r="FG237" i="1" s="1"/>
  <c r="DN233" i="1"/>
  <c r="DN237" i="1" s="1"/>
  <c r="EV233" i="1"/>
  <c r="EV237" i="1" s="1"/>
  <c r="BA233" i="1"/>
  <c r="BA237" i="1" s="1"/>
  <c r="EQ233" i="1"/>
  <c r="EQ237" i="1" s="1"/>
  <c r="GN233" i="1"/>
  <c r="GN237" i="1" s="1"/>
  <c r="BC223" i="1"/>
  <c r="BC224" i="1" s="1"/>
  <c r="BC225" i="1" s="1"/>
  <c r="BF233" i="1"/>
  <c r="BF237" i="1" s="1"/>
  <c r="BH223" i="1"/>
  <c r="BH224" i="1" s="1"/>
  <c r="BH225" i="1" s="1"/>
  <c r="FF233" i="1"/>
  <c r="FF237" i="1" s="1"/>
  <c r="L233" i="1"/>
  <c r="L237" i="1" s="1"/>
  <c r="AR233" i="1"/>
  <c r="AR237" i="1" s="1"/>
  <c r="H233" i="1"/>
  <c r="H237" i="1" s="1"/>
  <c r="GM233" i="1"/>
  <c r="GM237" i="1" s="1"/>
  <c r="FZ233" i="1"/>
  <c r="FZ237" i="1" s="1"/>
  <c r="GG233" i="1"/>
  <c r="GG237" i="1" s="1"/>
  <c r="DL233" i="1"/>
  <c r="DL237" i="1" s="1"/>
  <c r="DT233" i="1"/>
  <c r="DT237" i="1" s="1"/>
  <c r="FD233" i="1"/>
  <c r="FD237" i="1" s="1"/>
  <c r="BE233" i="1"/>
  <c r="BE237" i="1" s="1"/>
  <c r="BP233" i="1"/>
  <c r="BP237" i="1" s="1"/>
  <c r="EY233" i="1"/>
  <c r="EY237" i="1" s="1"/>
  <c r="Y233" i="1"/>
  <c r="Y237" i="1" s="1"/>
  <c r="FE223" i="1"/>
  <c r="FE224" i="1" s="1"/>
  <c r="FE225" i="1" s="1"/>
  <c r="AV233" i="1"/>
  <c r="AV237" i="1" s="1"/>
  <c r="EP233" i="1"/>
  <c r="EP237" i="1" s="1"/>
  <c r="EO223" i="1"/>
  <c r="EO224" i="1" s="1"/>
  <c r="EO225" i="1" s="1"/>
  <c r="EF233" i="1"/>
  <c r="EF237" i="1" s="1"/>
  <c r="FQ233" i="1"/>
  <c r="FQ237" i="1" s="1"/>
  <c r="GE237" i="1"/>
  <c r="CQ233" i="1"/>
  <c r="CQ237" i="1" s="1"/>
  <c r="EZ233" i="1"/>
  <c r="EZ237" i="1" s="1"/>
  <c r="FU223" i="1"/>
  <c r="FU224" i="1" s="1"/>
  <c r="FU225" i="1" s="1"/>
  <c r="AU233" i="1"/>
  <c r="AU237" i="1" s="1"/>
  <c r="EU223" i="1"/>
  <c r="EU224" i="1" s="1"/>
  <c r="EU225" i="1" s="1"/>
  <c r="DE233" i="1"/>
  <c r="DE237" i="1" s="1"/>
  <c r="GK233" i="1"/>
  <c r="GK237" i="1" s="1"/>
  <c r="AAL223" i="1"/>
  <c r="AAL224" i="1" s="1"/>
  <c r="AAL225" i="1" s="1"/>
  <c r="V161" i="1" l="1"/>
  <c r="V162" i="1" s="1"/>
  <c r="V166" i="1" s="1"/>
  <c r="U172" i="1"/>
  <c r="U171" i="1"/>
  <c r="U168" i="1"/>
  <c r="U167" i="1"/>
  <c r="T172" i="1"/>
  <c r="T171" i="1"/>
  <c r="T168" i="1"/>
  <c r="T167" i="1"/>
  <c r="S172" i="1"/>
  <c r="S171" i="1"/>
  <c r="S168" i="1"/>
  <c r="S167" i="1"/>
  <c r="R172" i="1"/>
  <c r="R171" i="1"/>
  <c r="R168" i="1"/>
  <c r="R167" i="1"/>
  <c r="Q172" i="1"/>
  <c r="Q171" i="1"/>
  <c r="Q168" i="1"/>
  <c r="Q167" i="1"/>
  <c r="P172" i="1"/>
  <c r="P171" i="1"/>
  <c r="P168" i="1"/>
  <c r="P167" i="1"/>
  <c r="M172" i="1"/>
  <c r="M171" i="1"/>
  <c r="M168" i="1"/>
  <c r="M167" i="1"/>
  <c r="N172" i="1"/>
  <c r="N171" i="1"/>
  <c r="N168" i="1"/>
  <c r="N167" i="1"/>
  <c r="O172" i="1"/>
  <c r="O171" i="1"/>
  <c r="O168" i="1"/>
  <c r="O167" i="1"/>
  <c r="L172" i="1"/>
  <c r="L171" i="1"/>
  <c r="L168" i="1"/>
  <c r="L167" i="1"/>
  <c r="K172" i="1"/>
  <c r="K171" i="1"/>
  <c r="K168" i="1"/>
  <c r="K167" i="1"/>
  <c r="J172" i="1"/>
  <c r="J171" i="1"/>
  <c r="J168" i="1"/>
  <c r="J167" i="1"/>
  <c r="I172" i="1"/>
  <c r="I171" i="1"/>
  <c r="I168" i="1"/>
  <c r="I167" i="1"/>
  <c r="H172" i="1"/>
  <c r="H171" i="1"/>
  <c r="H168" i="1"/>
  <c r="H167" i="1"/>
  <c r="G172" i="1"/>
  <c r="G171" i="1"/>
  <c r="G168" i="1"/>
  <c r="G167" i="1"/>
  <c r="F172" i="1"/>
  <c r="F171" i="1"/>
  <c r="F168" i="1"/>
  <c r="F167" i="1"/>
  <c r="E172" i="1"/>
  <c r="E171" i="1"/>
  <c r="E168" i="1"/>
  <c r="E167" i="1"/>
  <c r="QX233" i="1"/>
  <c r="QX237" i="1" s="1"/>
  <c r="XM233" i="1"/>
  <c r="XM237" i="1" s="1"/>
  <c r="IU233" i="1"/>
  <c r="IU237" i="1" s="1"/>
  <c r="XK233" i="1"/>
  <c r="XK237" i="1" s="1"/>
  <c r="OH233" i="1"/>
  <c r="OH237" i="1" s="1"/>
  <c r="JY233" i="1"/>
  <c r="JY237" i="1" s="1"/>
  <c r="YR233" i="1"/>
  <c r="YR237" i="1" s="1"/>
  <c r="HZ233" i="1"/>
  <c r="HZ237" i="1" s="1"/>
  <c r="JD233" i="1"/>
  <c r="JD237" i="1" s="1"/>
  <c r="KV233" i="1"/>
  <c r="KV237" i="1" s="1"/>
  <c r="HV233" i="1"/>
  <c r="HV237" i="1" s="1"/>
  <c r="MD233" i="1"/>
  <c r="MD237" i="1" s="1"/>
  <c r="JI233" i="1"/>
  <c r="JI237" i="1" s="1"/>
  <c r="KN233" i="1"/>
  <c r="KN237" i="1" s="1"/>
  <c r="SD233" i="1"/>
  <c r="SD237" i="1" s="1"/>
  <c r="JM233" i="1"/>
  <c r="JM237" i="1" s="1"/>
  <c r="KR233" i="1"/>
  <c r="KR237" i="1" s="1"/>
  <c r="GV233" i="1"/>
  <c r="GV237" i="1" s="1"/>
  <c r="MC233" i="1"/>
  <c r="MC237" i="1" s="1"/>
  <c r="PL233" i="1"/>
  <c r="PL237" i="1" s="1"/>
  <c r="EE233" i="1"/>
  <c r="EE237" i="1" s="1"/>
  <c r="JQ233" i="1"/>
  <c r="JQ237" i="1" s="1"/>
  <c r="AAB233" i="1"/>
  <c r="AAB237" i="1" s="1"/>
  <c r="AAC233" i="1"/>
  <c r="AAC237" i="1" s="1"/>
  <c r="AAD233" i="1"/>
  <c r="AAD237" i="1" s="1"/>
  <c r="AAE233" i="1"/>
  <c r="AAE237" i="1" s="1"/>
  <c r="AAF233" i="1"/>
  <c r="AAF237" i="1" s="1"/>
  <c r="AAH233" i="1"/>
  <c r="AAH237" i="1" s="1"/>
  <c r="AAI233" i="1"/>
  <c r="AAI237" i="1" s="1"/>
  <c r="AAJ233" i="1"/>
  <c r="AAJ237" i="1" s="1"/>
  <c r="AAK233" i="1"/>
  <c r="AAK237" i="1" s="1"/>
  <c r="AAO233" i="1"/>
  <c r="AAO237" i="1" s="1"/>
  <c r="KK233" i="1"/>
  <c r="KK237" i="1" s="1"/>
  <c r="NJ233" i="1"/>
  <c r="NJ237" i="1" s="1"/>
  <c r="AAP233" i="1"/>
  <c r="AAP237" i="1" s="1"/>
  <c r="ABI233" i="1"/>
  <c r="ABI237" i="1" s="1"/>
  <c r="ABJ233" i="1"/>
  <c r="ABJ237" i="1" s="1"/>
  <c r="ABK233" i="1"/>
  <c r="ABK237" i="1" s="1"/>
  <c r="ABL233" i="1"/>
  <c r="ABL237" i="1" s="1"/>
  <c r="ABM233" i="1"/>
  <c r="ABM237" i="1" s="1"/>
  <c r="ABN233" i="1"/>
  <c r="ABN237" i="1" s="1"/>
  <c r="ABO233" i="1"/>
  <c r="ABO237" i="1" s="1"/>
  <c r="ABP233" i="1"/>
  <c r="ABP237" i="1" s="1"/>
  <c r="ABQ233" i="1"/>
  <c r="ABQ237" i="1" s="1"/>
  <c r="ABT233" i="1"/>
  <c r="ABT237" i="1" s="1"/>
  <c r="ABU233" i="1"/>
  <c r="ABU237" i="1" s="1"/>
  <c r="ABV233" i="1"/>
  <c r="ABV237" i="1" s="1"/>
  <c r="ABW233" i="1"/>
  <c r="ABW237" i="1" s="1"/>
  <c r="ABX233" i="1"/>
  <c r="ABX237" i="1" s="1"/>
  <c r="ABY233" i="1"/>
  <c r="ABY237" i="1" s="1"/>
  <c r="ABZ233" i="1"/>
  <c r="ABZ237" i="1" s="1"/>
  <c r="ACC233" i="1"/>
  <c r="ACC237" i="1" s="1"/>
  <c r="ACD233" i="1"/>
  <c r="ACD237" i="1" s="1"/>
  <c r="ACE233" i="1"/>
  <c r="ACE237" i="1" s="1"/>
  <c r="ACF233" i="1"/>
  <c r="ACF237" i="1" s="1"/>
  <c r="ACG233" i="1"/>
  <c r="ACG237" i="1" s="1"/>
  <c r="ACH233" i="1"/>
  <c r="ACH237" i="1" s="1"/>
  <c r="ACI233" i="1"/>
  <c r="ACI237" i="1" s="1"/>
  <c r="ACJ233" i="1"/>
  <c r="ACJ237" i="1" s="1"/>
  <c r="ACK233" i="1"/>
  <c r="ACK237" i="1" s="1"/>
  <c r="ACL233" i="1"/>
  <c r="ACL237" i="1" s="1"/>
  <c r="ACM233" i="1"/>
  <c r="ACM237" i="1" s="1"/>
  <c r="ACN233" i="1"/>
  <c r="ACN237" i="1" s="1"/>
  <c r="ACP233" i="1"/>
  <c r="ACP237" i="1" s="1"/>
  <c r="ACQ233" i="1"/>
  <c r="ACQ237" i="1" s="1"/>
  <c r="ACR233" i="1"/>
  <c r="ACR237" i="1" s="1"/>
  <c r="ACS233" i="1"/>
  <c r="ACS237" i="1" s="1"/>
  <c r="ACT233" i="1"/>
  <c r="ACT237" i="1" s="1"/>
  <c r="ACU233" i="1"/>
  <c r="ACU237" i="1" s="1"/>
  <c r="ACV233" i="1"/>
  <c r="ACV237" i="1" s="1"/>
  <c r="ACW233" i="1"/>
  <c r="ACW237" i="1" s="1"/>
  <c r="N218" i="1"/>
  <c r="FU233" i="1"/>
  <c r="FU237" i="1" s="1"/>
  <c r="BH233" i="1"/>
  <c r="BH237" i="1" s="1"/>
  <c r="DS233" i="1"/>
  <c r="DS237" i="1" s="1"/>
  <c r="FE233" i="1"/>
  <c r="FE237" i="1" s="1"/>
  <c r="GB233" i="1"/>
  <c r="GB237" i="1" s="1"/>
  <c r="FI233" i="1"/>
  <c r="FI237" i="1" s="1"/>
  <c r="Z233" i="1"/>
  <c r="Z237" i="1" s="1"/>
  <c r="EU233" i="1"/>
  <c r="EU237" i="1" s="1"/>
  <c r="BC233" i="1"/>
  <c r="BC237" i="1" s="1"/>
  <c r="EO233" i="1"/>
  <c r="EO237" i="1" s="1"/>
  <c r="AAL233" i="1"/>
  <c r="AAL237" i="1" s="1"/>
  <c r="V172" i="1" l="1"/>
  <c r="V171" i="1"/>
  <c r="V168" i="1"/>
  <c r="V167" i="1"/>
  <c r="U174" i="1"/>
  <c r="U173" i="1"/>
  <c r="T216" i="1" a="1"/>
  <c r="T216" i="1" s="1"/>
  <c r="T193" i="1" a="1"/>
  <c r="T193" i="1" s="1"/>
  <c r="T174" i="1"/>
  <c r="T173" i="1"/>
  <c r="S216" i="1" a="1"/>
  <c r="S216" i="1" s="1"/>
  <c r="S193" i="1" a="1"/>
  <c r="S193" i="1" s="1"/>
  <c r="S174" i="1"/>
  <c r="S173" i="1"/>
  <c r="R216" i="1" a="1"/>
  <c r="R216" i="1" s="1"/>
  <c r="R193" i="1" a="1"/>
  <c r="R193" i="1" s="1"/>
  <c r="R174" i="1"/>
  <c r="R173" i="1"/>
  <c r="Q216" i="1" a="1"/>
  <c r="Q216" i="1" s="1"/>
  <c r="Q193" i="1" a="1"/>
  <c r="Q193" i="1" s="1"/>
  <c r="Q174" i="1"/>
  <c r="Q173" i="1"/>
  <c r="P216" i="1" a="1"/>
  <c r="P216" i="1" s="1"/>
  <c r="P193" i="1" a="1"/>
  <c r="P193" i="1" s="1"/>
  <c r="P174" i="1"/>
  <c r="P173" i="1"/>
  <c r="O216" i="1" a="1"/>
  <c r="O216" i="1" s="1"/>
  <c r="O193" i="1" a="1"/>
  <c r="O193" i="1" s="1"/>
  <c r="O174" i="1"/>
  <c r="O173" i="1"/>
  <c r="N216" i="1" a="1"/>
  <c r="N216" i="1" s="1"/>
  <c r="N193" i="1" a="1"/>
  <c r="N193" i="1" s="1"/>
  <c r="N174" i="1"/>
  <c r="N173" i="1"/>
  <c r="M216" i="1" a="1"/>
  <c r="M216" i="1" s="1"/>
  <c r="M193" i="1" a="1"/>
  <c r="M193" i="1" s="1"/>
  <c r="M174" i="1"/>
  <c r="M173" i="1"/>
  <c r="L216" i="1" a="1"/>
  <c r="L216" i="1" s="1"/>
  <c r="L193" i="1" a="1"/>
  <c r="L193" i="1" s="1"/>
  <c r="L174" i="1"/>
  <c r="L173" i="1"/>
  <c r="K216" i="1" a="1"/>
  <c r="K216" i="1" s="1"/>
  <c r="K193" i="1" a="1"/>
  <c r="K193" i="1" s="1"/>
  <c r="K174" i="1"/>
  <c r="K173" i="1"/>
  <c r="J216" i="1" a="1"/>
  <c r="J216" i="1" s="1"/>
  <c r="J193" i="1" a="1"/>
  <c r="J193" i="1" s="1"/>
  <c r="J174" i="1"/>
  <c r="J173" i="1"/>
  <c r="I216" i="1" a="1"/>
  <c r="I216" i="1" s="1"/>
  <c r="I193" i="1" a="1"/>
  <c r="I193" i="1" s="1"/>
  <c r="I174" i="1"/>
  <c r="I173" i="1"/>
  <c r="H216" i="1" a="1"/>
  <c r="H216" i="1" s="1"/>
  <c r="H193" i="1" a="1"/>
  <c r="H193" i="1" s="1"/>
  <c r="H174" i="1"/>
  <c r="H173" i="1"/>
  <c r="G216" i="1" a="1"/>
  <c r="G216" i="1" s="1"/>
  <c r="G193" i="1" a="1"/>
  <c r="G193" i="1" s="1"/>
  <c r="G174" i="1"/>
  <c r="G173" i="1"/>
  <c r="F216" i="1" a="1"/>
  <c r="F216" i="1" s="1"/>
  <c r="F193" i="1" a="1"/>
  <c r="F193" i="1" s="1"/>
  <c r="F174" i="1"/>
  <c r="F173" i="1"/>
  <c r="E216" i="1" a="1"/>
  <c r="E216" i="1" s="1"/>
  <c r="E193" i="1" a="1"/>
  <c r="E193" i="1" s="1"/>
  <c r="E174" i="1"/>
  <c r="E173" i="1"/>
  <c r="ANJ218" i="1"/>
  <c r="ACX218" i="1"/>
  <c r="V216" i="1" l="1" a="1"/>
  <c r="V216" i="1" s="1"/>
  <c r="V193" i="1" a="1"/>
  <c r="V193" i="1" s="1"/>
  <c r="V174" i="1"/>
  <c r="V173" i="1"/>
  <c r="U216" i="1" a="1"/>
  <c r="U216" i="1" s="1"/>
  <c r="U193" i="1" a="1"/>
  <c r="U193" i="1" s="1"/>
  <c r="E5" i="5" l="1" a="1"/>
  <c r="E5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Anil  Goyal</author>
  </authors>
  <commentList>
    <comment ref="AN20" authorId="0" shapeId="0" xr:uid="{15393CE0-D3E7-4DD5-988F-69CDD7FE3881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AO20" authorId="0" shapeId="0" xr:uid="{DC151A80-E363-43B7-B17B-B8221CA7DB13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AW20" authorId="0" shapeId="0" xr:uid="{3B118447-760B-4BFF-9ED1-BEED1E30ADEF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AX20" authorId="0" shapeId="0" xr:uid="{8809F118-9070-4E12-8368-81875F64D383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AY20" authorId="0" shapeId="0" xr:uid="{7CE87938-87B3-45C1-88A0-64CAF95CA5EF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AZ20" authorId="0" shapeId="0" xr:uid="{B936A427-4A38-4EB7-B00F-FC1CBFC8244C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A20" authorId="0" shapeId="0" xr:uid="{81FC2954-1F91-4A0E-910C-D566938C5EBC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B20" authorId="0" shapeId="0" xr:uid="{1AB69CCA-B558-41F9-B62E-AE52B16EB156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C20" authorId="0" shapeId="0" xr:uid="{F774B195-B9D1-4DF2-AA81-3BD4F3950E72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D20" authorId="0" shapeId="0" xr:uid="{013DEB89-A928-4F31-A428-B6231DC3E4F0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E20" authorId="0" shapeId="0" xr:uid="{6E89E380-A11A-412A-849B-BC5677DB2770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F20" authorId="0" shapeId="0" xr:uid="{78CDF5B2-9DA3-4ADE-8BC9-0C6ADF031340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G20" authorId="0" shapeId="0" xr:uid="{2DC03F21-08EF-4057-AD96-F0E887B74865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H20" authorId="0" shapeId="0" xr:uid="{2A921EC0-A90C-4041-AF3F-46D22F8D00E7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I20" authorId="0" shapeId="0" xr:uid="{4158CD8A-3F5B-4498-B2D1-B1A602FA4FB7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J20" authorId="0" shapeId="0" xr:uid="{17281F90-4B73-4090-B5FF-9D503F072527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K20" authorId="0" shapeId="0" xr:uid="{23017A31-D20A-4735-BE5E-0C222AC59C26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L20" authorId="0" shapeId="0" xr:uid="{DD5F5911-EF37-4FA5-BE2E-413DB2C991DA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M20" authorId="0" shapeId="0" xr:uid="{38F91FC6-EDF2-4F0A-8C19-DC920AFDC5E1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N20" authorId="0" shapeId="0" xr:uid="{6F94FE4B-9F08-4162-9561-04A85D59643B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O20" authorId="0" shapeId="0" xr:uid="{0B055E56-1718-4C08-801C-FB50DF198896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P20" authorId="0" shapeId="0" xr:uid="{8DF3E7A0-6592-4AB1-B219-FC984ABB55E9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Q20" authorId="0" shapeId="0" xr:uid="{F4FF3DFD-13FF-431A-9684-97F3B01D26A0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R20" authorId="0" shapeId="0" xr:uid="{BE4DFCAF-A49B-4827-A323-44AABBA81FB4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S20" authorId="0" shapeId="0" xr:uid="{1BD3CCA1-8695-434F-B260-3D85636D499C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T20" authorId="0" shapeId="0" xr:uid="{C7E54E06-84FE-48D1-9258-92540649AE2B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U20" authorId="0" shapeId="0" xr:uid="{41E0F2FA-CB8A-4DC2-AA31-15041FC70F57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V20" authorId="0" shapeId="0" xr:uid="{5300C63E-2B44-49A4-A5A4-FAD57C325F75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W20" authorId="0" shapeId="0" xr:uid="{337805B7-6313-4E7D-B33F-AB441CC4274E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X20" authorId="0" shapeId="0" xr:uid="{399201CA-6A09-4486-839B-68A034C4832F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Y20" authorId="0" shapeId="0" xr:uid="{7C87D644-BE06-47E8-B0AA-6ACEE133D80C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BZ20" authorId="0" shapeId="0" xr:uid="{A41D99EF-2C16-4DFC-B701-0F8905100855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A20" authorId="0" shapeId="0" xr:uid="{209B61BB-E7AA-498A-BFE6-1DC4C6AB61E8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B20" authorId="0" shapeId="0" xr:uid="{C72C1D28-2F9F-4B99-96F4-7AD9686C8AAF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C20" authorId="0" shapeId="0" xr:uid="{F713277F-3655-432E-B355-830F887E4DD4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D20" authorId="0" shapeId="0" xr:uid="{E63E0888-3200-4517-A74D-253051066E3F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E20" authorId="0" shapeId="0" xr:uid="{7F28E9E4-3073-47DF-8FF6-32DABAB14577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F20" authorId="0" shapeId="0" xr:uid="{BCB73819-A6E2-487C-BBAB-6193A0A88962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G20" authorId="0" shapeId="0" xr:uid="{CE90466E-A71E-4506-9C72-B43FA7BD1B6A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H20" authorId="0" shapeId="0" xr:uid="{CD993C5E-907A-4A6A-8FC3-589E9E93271F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I20" authorId="0" shapeId="0" xr:uid="{F8A4EBB3-6F1F-4502-9ED2-B3EB13209431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J20" authorId="0" shapeId="0" xr:uid="{CB1BBD05-6D03-4EB0-AE21-6711E8AE23B4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K20" authorId="0" shapeId="0" xr:uid="{D907EE2D-AC10-48CA-BFA8-2E5035D3A2EE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L20" authorId="0" shapeId="0" xr:uid="{B4B9CEA2-AD13-4A5C-81A9-2E79F33D72BE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M20" authorId="0" shapeId="0" xr:uid="{AB6806A5-7F3A-406A-A7D2-AB97D0BCE8D0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N20" authorId="0" shapeId="0" xr:uid="{11740C43-E7F9-4E61-9534-8DDC99DFBA01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O20" authorId="0" shapeId="0" xr:uid="{E45DC59B-CE33-4B9C-814D-680E7A567EC0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P20" authorId="0" shapeId="0" xr:uid="{945F26A5-5A7D-4D1E-80AD-910D5FF5BC5C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Q20" authorId="0" shapeId="0" xr:uid="{CD260D73-B25A-4C7D-96DA-3CCF399F6B60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R20" authorId="0" shapeId="0" xr:uid="{707F5C2C-2EFF-465A-87E7-E42BC0E9DE26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S20" authorId="0" shapeId="0" xr:uid="{556FFC84-33CE-40D9-9DDC-8353459ADF1A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T20" authorId="0" shapeId="0" xr:uid="{45ED7039-F798-4C44-A144-B1E57F1A69C4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U20" authorId="0" shapeId="0" xr:uid="{CDBADD00-BF52-4E2E-AEEE-476097E57070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V20" authorId="0" shapeId="0" xr:uid="{9E2FCF63-868D-4218-A73F-D4C572B9CD7F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W20" authorId="0" shapeId="0" xr:uid="{0ED14605-C7F3-4033-9F2C-79162D577513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X20" authorId="0" shapeId="0" xr:uid="{355CB575-4AE3-4CBE-87C2-C41073179D7E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Y20" authorId="0" shapeId="0" xr:uid="{865F6130-03CC-47A7-B225-B04469BE83BC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CZ20" authorId="0" shapeId="0" xr:uid="{E51C8EE2-888A-4ECA-BCEA-C6A29A82F40E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A20" authorId="0" shapeId="0" xr:uid="{A07346F3-A561-43A8-9F10-8D20AB857AB1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B20" authorId="0" shapeId="0" xr:uid="{D6B033A6-496B-43CD-9429-B7FB5B32131F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C20" authorId="0" shapeId="0" xr:uid="{D5AAD3D8-B9A7-41E3-AAD8-EABA2DC48583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D20" authorId="0" shapeId="0" xr:uid="{70AC2587-0EAD-4277-B3EA-805478569C5C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E20" authorId="0" shapeId="0" xr:uid="{E1DAFF3D-B732-4E85-B6B9-118CC803CC2F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F20" authorId="0" shapeId="0" xr:uid="{D467A78C-B04C-4A09-BAE3-3D371E347A6F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G20" authorId="0" shapeId="0" xr:uid="{97BCFFA8-E148-412C-A8F8-2ED726697333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H20" authorId="0" shapeId="0" xr:uid="{95230D54-7BD4-4337-9CB3-92CFFB8935C6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I20" authorId="0" shapeId="0" xr:uid="{E0C0BC2C-E543-431F-885C-9ABDC39FD84B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J20" authorId="0" shapeId="0" xr:uid="{FE3CE126-5A6F-48E6-833F-77F048E65138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K20" authorId="0" shapeId="0" xr:uid="{5D391411-42F4-48D6-829B-8F6EDCEEC6EE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L20" authorId="0" shapeId="0" xr:uid="{80844699-8EF7-46E5-8B8A-CA060932E5A4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M20" authorId="0" shapeId="0" xr:uid="{DE0BBB6B-3735-4DAE-BF7F-54A4C9A5C4B5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N20" authorId="0" shapeId="0" xr:uid="{90B4C623-C7A3-44CA-B4C7-B695D8F7467B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O20" authorId="0" shapeId="0" xr:uid="{9488F440-0F8F-4537-944B-901A45F031C5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P20" authorId="0" shapeId="0" xr:uid="{EBCFB27D-4311-41AC-8097-E0B853DE58A3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Q20" authorId="0" shapeId="0" xr:uid="{A6025E7E-FD45-4981-9C25-554A140C64A7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R20" authorId="0" shapeId="0" xr:uid="{CECF0AF9-1B71-41E3-A104-023586135643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S20" authorId="0" shapeId="0" xr:uid="{FC4D4761-D84A-457C-8088-56F530B61708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T20" authorId="0" shapeId="0" xr:uid="{EB3A6E97-D82A-4B76-90EC-A0608E654222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  <comment ref="DU20" authorId="0" shapeId="0" xr:uid="{8C55AED6-EEB1-4EA6-A27F-F9E2761643CC}">
      <text>
        <r>
          <rPr>
            <sz val="11"/>
            <color theme="1"/>
            <rFont val="Calibri"/>
            <family val="2"/>
            <scheme val="minor"/>
          </rPr>
          <t>Anil  Goyal:
Calculation Revised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<sst xmlns="http://schemas.openxmlformats.org/spreadsheetml/2006/main" count="2685" uniqueCount="1127">
  <si>
    <t>G</t>
  </si>
  <si>
    <t>Column1</t>
  </si>
  <si>
    <t>Column2</t>
  </si>
  <si>
    <t>Column3</t>
  </si>
  <si>
    <t>Column1791040</t>
  </si>
  <si>
    <t>Column1791041</t>
  </si>
  <si>
    <t>Column1791026</t>
  </si>
  <si>
    <t>Column1791027</t>
  </si>
  <si>
    <t>Column1791028</t>
  </si>
  <si>
    <t>Column1791029</t>
  </si>
  <si>
    <t>Column1791030</t>
  </si>
  <si>
    <t>Column1791031</t>
  </si>
  <si>
    <t>Column1791032</t>
  </si>
  <si>
    <t>Column1791033</t>
  </si>
  <si>
    <t>Column1791018</t>
  </si>
  <si>
    <t>Column1791019</t>
  </si>
  <si>
    <t>Column1791020</t>
  </si>
  <si>
    <t>Column1791021</t>
  </si>
  <si>
    <t>Column1791022</t>
  </si>
  <si>
    <t>Column1791023</t>
  </si>
  <si>
    <t>Column1791024</t>
  </si>
  <si>
    <t>Column1791025</t>
  </si>
  <si>
    <t>Column1791010</t>
  </si>
  <si>
    <t>Column1791011</t>
  </si>
  <si>
    <t>Column1791012</t>
  </si>
  <si>
    <t>Column1791013</t>
  </si>
  <si>
    <t>Column1791014</t>
  </si>
  <si>
    <t>Column1791015</t>
  </si>
  <si>
    <t>Column1791016</t>
  </si>
  <si>
    <t>Column1791017</t>
  </si>
  <si>
    <t>Column179102</t>
  </si>
  <si>
    <t>Column179103</t>
  </si>
  <si>
    <t>Column179104</t>
  </si>
  <si>
    <t>Column179105</t>
  </si>
  <si>
    <t>Column179106</t>
  </si>
  <si>
    <t>Column179107</t>
  </si>
  <si>
    <t>Column179108</t>
  </si>
  <si>
    <t>Column179109</t>
  </si>
  <si>
    <t>Column1799</t>
  </si>
  <si>
    <t>Column1798</t>
  </si>
  <si>
    <t>Column1797</t>
  </si>
  <si>
    <t>Column1796</t>
  </si>
  <si>
    <t>Column1795</t>
  </si>
  <si>
    <t>Column1794</t>
  </si>
  <si>
    <t>Column1793</t>
  </si>
  <si>
    <t>Column1792</t>
  </si>
  <si>
    <t>Column15522221122</t>
  </si>
  <si>
    <t>Column156</t>
  </si>
  <si>
    <t>Column1492</t>
  </si>
  <si>
    <t>End</t>
  </si>
  <si>
    <t>To Fill</t>
  </si>
  <si>
    <t>Date</t>
  </si>
  <si>
    <t>Sector</t>
  </si>
  <si>
    <t>Export</t>
  </si>
  <si>
    <t>Domestic</t>
  </si>
  <si>
    <t>Customer</t>
  </si>
  <si>
    <t>Procon</t>
  </si>
  <si>
    <t>Bazelle</t>
  </si>
  <si>
    <t>TZD Doha</t>
  </si>
  <si>
    <t>Hampidjan</t>
  </si>
  <si>
    <t>Karapatsias</t>
  </si>
  <si>
    <t>FIBCO</t>
  </si>
  <si>
    <t>Western Pack</t>
  </si>
  <si>
    <t>Safesack Scand</t>
  </si>
  <si>
    <t>20 Microns</t>
  </si>
  <si>
    <t>Km Obaly</t>
  </si>
  <si>
    <t>Ravitaillement</t>
  </si>
  <si>
    <t>Rugo</t>
  </si>
  <si>
    <t>Estelle Srilanka</t>
  </si>
  <si>
    <t>NNZ</t>
  </si>
  <si>
    <t>Boxon Germany</t>
  </si>
  <si>
    <t>FPS UK</t>
  </si>
  <si>
    <t>Ambiflex</t>
  </si>
  <si>
    <t>Ispeu, Italy</t>
  </si>
  <si>
    <t>ELS Sacs</t>
  </si>
  <si>
    <t>Romcarbon</t>
  </si>
  <si>
    <t>Alimentos</t>
  </si>
  <si>
    <t>Passos</t>
  </si>
  <si>
    <t>Terceirense</t>
  </si>
  <si>
    <t>Condepols</t>
  </si>
  <si>
    <t>Nordic</t>
  </si>
  <si>
    <t>Technopac Germany</t>
  </si>
  <si>
    <t>Minini</t>
  </si>
  <si>
    <t>Qpac</t>
  </si>
  <si>
    <t>Concord</t>
  </si>
  <si>
    <t>FPS Germany</t>
  </si>
  <si>
    <t>Fintrading</t>
  </si>
  <si>
    <t>Rameshi International</t>
  </si>
  <si>
    <t>SAGAS</t>
  </si>
  <si>
    <t>White Bag</t>
  </si>
  <si>
    <t>Agroszemek</t>
  </si>
  <si>
    <t>CID</t>
  </si>
  <si>
    <t>SPPL</t>
  </si>
  <si>
    <t>Ghaleb</t>
  </si>
  <si>
    <t>Nuvi</t>
  </si>
  <si>
    <t>Calloni</t>
  </si>
  <si>
    <t>BBF</t>
  </si>
  <si>
    <t>Arturo Peru</t>
  </si>
  <si>
    <t>Unidex</t>
  </si>
  <si>
    <t>Coresa</t>
  </si>
  <si>
    <t>Access Freight</t>
  </si>
  <si>
    <t>Exim</t>
  </si>
  <si>
    <t>Sadleirs</t>
  </si>
  <si>
    <t>FPS Ireland</t>
  </si>
  <si>
    <t>Gravisol</t>
  </si>
  <si>
    <t>Cesur USA</t>
  </si>
  <si>
    <t>Krzysztof</t>
  </si>
  <si>
    <t>Giovanni</t>
  </si>
  <si>
    <t>Megasak</t>
  </si>
  <si>
    <t>Transcontinetal</t>
  </si>
  <si>
    <t>Corisac</t>
  </si>
  <si>
    <t>Adler</t>
  </si>
  <si>
    <t>Polypak Sudan</t>
  </si>
  <si>
    <t>Jose Camargo</t>
  </si>
  <si>
    <t>Fibco</t>
  </si>
  <si>
    <t>Carlos Peru</t>
  </si>
  <si>
    <t>Barkat</t>
  </si>
  <si>
    <t>Global Pak</t>
  </si>
  <si>
    <t>Boferm Poland</t>
  </si>
  <si>
    <t>Shyamvandan</t>
  </si>
  <si>
    <t>Cliffe</t>
  </si>
  <si>
    <t>Woolston</t>
  </si>
  <si>
    <t>Multi Negoce</t>
  </si>
  <si>
    <t>Aronis</t>
  </si>
  <si>
    <t>Anay</t>
  </si>
  <si>
    <t>Dilen</t>
  </si>
  <si>
    <t>Pinasz</t>
  </si>
  <si>
    <t>Avanna Corp</t>
  </si>
  <si>
    <t>Southern Pkg</t>
  </si>
  <si>
    <t>Agrolive</t>
  </si>
  <si>
    <t>Naga-Natrajan</t>
  </si>
  <si>
    <t>Ameriglobe</t>
  </si>
  <si>
    <t>SPL</t>
  </si>
  <si>
    <t>Smart Pack</t>
  </si>
  <si>
    <t>Ankur</t>
  </si>
  <si>
    <t>Packmak</t>
  </si>
  <si>
    <t>Shree Global</t>
  </si>
  <si>
    <t>Boxon France</t>
  </si>
  <si>
    <t>PH Ltd</t>
  </si>
  <si>
    <t>SO Bag</t>
  </si>
  <si>
    <t>Avant Columbia</t>
  </si>
  <si>
    <t>Value Ingredient</t>
  </si>
  <si>
    <t>Polymero</t>
  </si>
  <si>
    <t>Dajusa</t>
  </si>
  <si>
    <t>Carmeuse</t>
  </si>
  <si>
    <t>Satyen Chattarji</t>
  </si>
  <si>
    <t>Kutch Bento</t>
  </si>
  <si>
    <t>Awffan/Fulmix</t>
  </si>
  <si>
    <t>Transfurt</t>
  </si>
  <si>
    <t>Juta</t>
  </si>
  <si>
    <t>Nuvoco</t>
  </si>
  <si>
    <t>Bowie</t>
  </si>
  <si>
    <t>Livegreen</t>
  </si>
  <si>
    <t>Kam Group</t>
  </si>
  <si>
    <t>Helluva</t>
  </si>
  <si>
    <t>USP</t>
  </si>
  <si>
    <t>Saad Somalia</t>
  </si>
  <si>
    <t>Asup</t>
  </si>
  <si>
    <t>Thrace Poly</t>
  </si>
  <si>
    <t>North Power</t>
  </si>
  <si>
    <t>Tecny</t>
  </si>
  <si>
    <t>Bulkedge</t>
  </si>
  <si>
    <t>PEPCO</t>
  </si>
  <si>
    <t>Cevital</t>
  </si>
  <si>
    <t>Futuropack</t>
  </si>
  <si>
    <t>Aduantec</t>
  </si>
  <si>
    <t>Camex</t>
  </si>
  <si>
    <t>Aman</t>
  </si>
  <si>
    <t>Anup Bora</t>
  </si>
  <si>
    <t>Technopac Austria</t>
  </si>
  <si>
    <t>FSC Fiji</t>
  </si>
  <si>
    <t>Desabag</t>
  </si>
  <si>
    <t>Sunil Sharma</t>
  </si>
  <si>
    <t>Barneys</t>
  </si>
  <si>
    <t>ISP Korea</t>
  </si>
  <si>
    <t>ATEA Turkey</t>
  </si>
  <si>
    <t>Our Ref</t>
  </si>
  <si>
    <t>40X60</t>
  </si>
  <si>
    <t>140X220</t>
  </si>
  <si>
    <t>72X110</t>
  </si>
  <si>
    <t>60X100</t>
  </si>
  <si>
    <t>70X110</t>
  </si>
  <si>
    <t>100X150</t>
  </si>
  <si>
    <t>90X130</t>
  </si>
  <si>
    <t>100X155</t>
  </si>
  <si>
    <t>100X160</t>
  </si>
  <si>
    <t>46X75</t>
  </si>
  <si>
    <t>SB4070N60-122 (1)</t>
  </si>
  <si>
    <t>176.5x115</t>
  </si>
  <si>
    <t>PP Bag</t>
  </si>
  <si>
    <t>Customer Ref</t>
  </si>
  <si>
    <t>ART58961</t>
  </si>
  <si>
    <t>3.3006</t>
  </si>
  <si>
    <t>3.3002</t>
  </si>
  <si>
    <t>30+10X70</t>
  </si>
  <si>
    <t>Type of Fabric/Bag</t>
  </si>
  <si>
    <t>Flat Fabric</t>
  </si>
  <si>
    <t>Back Seam Bag</t>
  </si>
  <si>
    <t>Tubular Bag</t>
  </si>
  <si>
    <t>Tubular Fabric</t>
  </si>
  <si>
    <t>Spec</t>
  </si>
  <si>
    <t>Fabric Colour</t>
  </si>
  <si>
    <t>MW</t>
  </si>
  <si>
    <t>MW With Coloured Stripe</t>
  </si>
  <si>
    <t>Transparent</t>
  </si>
  <si>
    <t>Coloured</t>
  </si>
  <si>
    <t>Black/White</t>
  </si>
  <si>
    <t>MW With Window</t>
  </si>
  <si>
    <t>Face Width Cm</t>
  </si>
  <si>
    <t>Gusset Cm (Both Side) Cm</t>
  </si>
  <si>
    <t>Length Cm</t>
  </si>
  <si>
    <t>Top</t>
  </si>
  <si>
    <t>No Fold</t>
  </si>
  <si>
    <t>Ez Open</t>
  </si>
  <si>
    <t>Hemmed</t>
  </si>
  <si>
    <t>Heat Cut</t>
  </si>
  <si>
    <t>Cut Length Cm</t>
  </si>
  <si>
    <t>Total Weight Gram</t>
  </si>
  <si>
    <t>Fabric GSM TBM</t>
  </si>
  <si>
    <t>Calculated Weight</t>
  </si>
  <si>
    <t>Gross Width Cm</t>
  </si>
  <si>
    <t>Liner Micron</t>
  </si>
  <si>
    <t>Glossy BOPP Micron</t>
  </si>
  <si>
    <t>Matt BOPP Micron</t>
  </si>
  <si>
    <t>Metalised BOPP Micron</t>
  </si>
  <si>
    <t>White Paper GSM</t>
  </si>
  <si>
    <t>Brown Paper GSM</t>
  </si>
  <si>
    <t>Adhesive GSM (Solvant Less)</t>
  </si>
  <si>
    <t>Ink GSM</t>
  </si>
  <si>
    <t>Back Seam Coating Gr/Meter</t>
  </si>
  <si>
    <t>Coating GSM</t>
  </si>
  <si>
    <t>Handle</t>
  </si>
  <si>
    <t>Easy Open</t>
  </si>
  <si>
    <t>Liner Wt</t>
  </si>
  <si>
    <t>Glossy BOPP Wt</t>
  </si>
  <si>
    <t>Matt BOPP Wt</t>
  </si>
  <si>
    <t>Metalised BOPP Wt</t>
  </si>
  <si>
    <t>White Paper Wt</t>
  </si>
  <si>
    <t>Brown Paper Wt</t>
  </si>
  <si>
    <t>Adhesive Wt</t>
  </si>
  <si>
    <t>Ink Wt</t>
  </si>
  <si>
    <t>Back Seam Coating Weight</t>
  </si>
  <si>
    <t>Coating Wt</t>
  </si>
  <si>
    <t>Thread Wt</t>
  </si>
  <si>
    <t>Fabric Wt</t>
  </si>
  <si>
    <t>Fabric GSM</t>
  </si>
  <si>
    <t>RM Price</t>
  </si>
  <si>
    <t>PP Rafia</t>
  </si>
  <si>
    <t>HD Rafia</t>
  </si>
  <si>
    <t>LLDPE F19010 Film</t>
  </si>
  <si>
    <t>LDPE FY1005 Film</t>
  </si>
  <si>
    <t>LDPE 7 MFI</t>
  </si>
  <si>
    <t>PP H350FG</t>
  </si>
  <si>
    <t>LDPE 4 MFI</t>
  </si>
  <si>
    <t>RP</t>
  </si>
  <si>
    <t>Filler</t>
  </si>
  <si>
    <t>TPT</t>
  </si>
  <si>
    <t>UV</t>
  </si>
  <si>
    <t>Col MB</t>
  </si>
  <si>
    <t>Black MB</t>
  </si>
  <si>
    <t>Conductive Yarn</t>
  </si>
  <si>
    <t>Back Seam Coating RM</t>
  </si>
  <si>
    <t>White Paper</t>
  </si>
  <si>
    <t>Brown Paper</t>
  </si>
  <si>
    <t>Glossy BOPP</t>
  </si>
  <si>
    <t>Matt BOPP</t>
  </si>
  <si>
    <t>Metalised BOPP</t>
  </si>
  <si>
    <t>Adhesive</t>
  </si>
  <si>
    <t>Ink BOPP</t>
  </si>
  <si>
    <t>Solvant BOPP</t>
  </si>
  <si>
    <t>FABRIC Recipe</t>
  </si>
  <si>
    <t>Fabric Reipe</t>
  </si>
  <si>
    <t>Fabric RMC</t>
  </si>
  <si>
    <t>Lamination Recipe</t>
  </si>
  <si>
    <t>Coating Recp</t>
  </si>
  <si>
    <t>UV/Vistamax</t>
  </si>
  <si>
    <t>Lamination RMC</t>
  </si>
  <si>
    <t>Liner</t>
  </si>
  <si>
    <t>Liner Recp</t>
  </si>
  <si>
    <t>Liner RMC</t>
  </si>
  <si>
    <t>BOPP/Paper Printing Cost</t>
  </si>
  <si>
    <t>BOPP/Paper Print Cost</t>
  </si>
  <si>
    <t>Ink BOPP Wt</t>
  </si>
  <si>
    <t>Solvant BOPP Wt (Actual Wt Zero)</t>
  </si>
  <si>
    <t>Wastate BOPP/Paper</t>
  </si>
  <si>
    <t>Printed BOPP Film/Paper Cost RMC</t>
  </si>
  <si>
    <t>Weight Component</t>
  </si>
  <si>
    <t>Fabric Wt (Gram/Bag or L Mtr)</t>
  </si>
  <si>
    <t>Coating Wt (Gram/Bag or L Mtr)</t>
  </si>
  <si>
    <t>Liner Wt (Gram/Bag or L Mtr)</t>
  </si>
  <si>
    <t>Glue Wt (Gram/Bag or L Mtr)</t>
  </si>
  <si>
    <t>Printed BOPP/Paper (Gram/Bag or L Mtr)</t>
  </si>
  <si>
    <t>Ez Open/Handle(Gram/Bag or L Mtr)</t>
  </si>
  <si>
    <t>Total Wt (Gram/Bag or L Mtr)</t>
  </si>
  <si>
    <t>Total RMC</t>
  </si>
  <si>
    <t>Conversion</t>
  </si>
  <si>
    <t>Fabric Conversion Kg</t>
  </si>
  <si>
    <t>Coating Conversion Kg</t>
  </si>
  <si>
    <t>Liner Conversion Kg</t>
  </si>
  <si>
    <t>Paper/BOPP Printing Conversion Kg</t>
  </si>
  <si>
    <t>Wastage</t>
  </si>
  <si>
    <t>Wastage % Fabric</t>
  </si>
  <si>
    <t>Wastage % Coating RM</t>
  </si>
  <si>
    <t>Wastage % Liner</t>
  </si>
  <si>
    <t>Wastage % Finishing</t>
  </si>
  <si>
    <t>Wastage Relaisation Fabric</t>
  </si>
  <si>
    <t>Wastage Relaisation Coating</t>
  </si>
  <si>
    <t>Wastage Relaisation Liner</t>
  </si>
  <si>
    <t>Wastage Relaisation Finishing</t>
  </si>
  <si>
    <t>Wastage Cost/Bag or L Mtr</t>
  </si>
  <si>
    <t>Wastage Cost/Kg</t>
  </si>
  <si>
    <t>Fnsg Cost</t>
  </si>
  <si>
    <t>Bag Finishing Cost/Pc</t>
  </si>
  <si>
    <t>Thumb Notch</t>
  </si>
  <si>
    <t>Metal Detection</t>
  </si>
  <si>
    <t>Perforation</t>
  </si>
  <si>
    <t>Flexo Printing Cost/Pc</t>
  </si>
  <si>
    <t>Rewinding Per Kg</t>
  </si>
  <si>
    <t>Packing Cost Kg</t>
  </si>
  <si>
    <t>Pallet Cost/Kg</t>
  </si>
  <si>
    <t>Freight</t>
  </si>
  <si>
    <t>FOB Cost/Kg</t>
  </si>
  <si>
    <t>Total Cost/Pc or L Mtr</t>
  </si>
  <si>
    <t>Total Cost/Kg</t>
  </si>
  <si>
    <t>Payment</t>
  </si>
  <si>
    <t>Payment Term</t>
  </si>
  <si>
    <t>WC Cost @ 12.5%</t>
  </si>
  <si>
    <t>Int-Fixed Assets, Dep P&amp;M</t>
  </si>
  <si>
    <t>Profit %</t>
  </si>
  <si>
    <t>Ebidta</t>
  </si>
  <si>
    <t>Profit</t>
  </si>
  <si>
    <t>Total Rs/Kg Quote</t>
  </si>
  <si>
    <t>Excng Rt</t>
  </si>
  <si>
    <t>USD/INR</t>
  </si>
  <si>
    <t>Exchange-Euro</t>
  </si>
  <si>
    <t>Exchange-GBP</t>
  </si>
  <si>
    <t>FOB Cost/USD/Kg</t>
  </si>
  <si>
    <t>FOB Cost/Euro/Mt</t>
  </si>
  <si>
    <t>FOB Cost/GBP/Mt</t>
  </si>
  <si>
    <t>Freight Cost/USD/Kg</t>
  </si>
  <si>
    <t>Commission/If Any/USD/Kg</t>
  </si>
  <si>
    <t>Delivered Cost/INR</t>
  </si>
  <si>
    <t>CIF Cost/USD/Kg</t>
  </si>
  <si>
    <t>CIF Cost/Euro/Mt</t>
  </si>
  <si>
    <t>CIF Cost/GBP/Mt</t>
  </si>
  <si>
    <t>For Cust</t>
  </si>
  <si>
    <t>Dimensions</t>
  </si>
  <si>
    <t>Inch</t>
  </si>
  <si>
    <t>CM</t>
  </si>
  <si>
    <t>Bag Width</t>
  </si>
  <si>
    <t>Gusset With</t>
  </si>
  <si>
    <t>Bag Length</t>
  </si>
  <si>
    <t>Bag Wt (+-5%)</t>
  </si>
  <si>
    <t>Coated (Y/N)</t>
  </si>
  <si>
    <t>UV (Y/N)</t>
  </si>
  <si>
    <t>Colour</t>
  </si>
  <si>
    <t>Printed Y/N</t>
  </si>
  <si>
    <t>Liner (Y/N)</t>
  </si>
  <si>
    <t>Yes</t>
  </si>
  <si>
    <t>No</t>
  </si>
  <si>
    <t>Terms</t>
  </si>
  <si>
    <t>FOB</t>
  </si>
  <si>
    <t>CIF</t>
  </si>
  <si>
    <t>DDP</t>
  </si>
  <si>
    <t>Ex Works</t>
  </si>
  <si>
    <t>Sea Port</t>
  </si>
  <si>
    <t>Mundra</t>
  </si>
  <si>
    <t>Barcelona</t>
  </si>
  <si>
    <t>Currency</t>
  </si>
  <si>
    <t>USD</t>
  </si>
  <si>
    <t>INR</t>
  </si>
  <si>
    <t>Euro</t>
  </si>
  <si>
    <t>GBP</t>
  </si>
  <si>
    <t>Price Pc</t>
  </si>
  <si>
    <t>Packing</t>
  </si>
  <si>
    <t>Palletised</t>
  </si>
  <si>
    <t>Floor Loaded</t>
  </si>
  <si>
    <t>No of Pcs Per Bale</t>
  </si>
  <si>
    <t>Pallet Size</t>
  </si>
  <si>
    <t>90X110</t>
  </si>
  <si>
    <t>Bags/Pallet</t>
  </si>
  <si>
    <t>Print Plate Cost/Colour</t>
  </si>
  <si>
    <t>USD 50 Per Colour</t>
  </si>
  <si>
    <t>Remarks</t>
  </si>
  <si>
    <t>40' Cont</t>
  </si>
  <si>
    <t>Dimensions (Inch/Cm)</t>
  </si>
  <si>
    <t>Fabric Width</t>
  </si>
  <si>
    <t>Gusset</t>
  </si>
  <si>
    <t>Total Width</t>
  </si>
  <si>
    <t>Tube/Flat</t>
  </si>
  <si>
    <t>Customer GSM</t>
  </si>
  <si>
    <t>GSM</t>
  </si>
  <si>
    <t>60+20</t>
  </si>
  <si>
    <t>70+20</t>
  </si>
  <si>
    <t>65+20+40</t>
  </si>
  <si>
    <t>Fabric Quote</t>
  </si>
  <si>
    <t>Meter/Roll</t>
  </si>
  <si>
    <t>Rolls/Pallet</t>
  </si>
  <si>
    <t>Price/UOM</t>
  </si>
  <si>
    <t>4000 Pcs</t>
  </si>
  <si>
    <t>7200 Pcs</t>
  </si>
  <si>
    <t>12000 Pcs</t>
  </si>
  <si>
    <t>20000 Pcs</t>
  </si>
  <si>
    <t>10000 Pcs</t>
  </si>
  <si>
    <t>Fabric</t>
  </si>
  <si>
    <t>Lamination</t>
  </si>
  <si>
    <t>Finishing</t>
  </si>
  <si>
    <t>Total Wastage Per Bag</t>
  </si>
  <si>
    <t>Per Kg</t>
  </si>
  <si>
    <t>Fabric Cost</t>
  </si>
  <si>
    <t>Coating Cost</t>
  </si>
  <si>
    <t>Liner Cost</t>
  </si>
  <si>
    <t>BOPP/Paper Cost</t>
  </si>
  <si>
    <t>Back Seam Extrusion Cost</t>
  </si>
  <si>
    <t>Ez Open/Handle/Thread</t>
  </si>
  <si>
    <t>Wastage Cost/Bag</t>
  </si>
  <si>
    <t>Finishing Cost/Bag</t>
  </si>
  <si>
    <t>Flexo Printing Cost/Bag</t>
  </si>
  <si>
    <t>Other</t>
  </si>
  <si>
    <t>Total Cost/Bag</t>
  </si>
  <si>
    <t>Customer Name</t>
  </si>
  <si>
    <t>Print</t>
  </si>
  <si>
    <t>Printed BOPP Film/Paper Cost</t>
  </si>
  <si>
    <t>WC Cost @ 12%</t>
  </si>
  <si>
    <t>Display</t>
  </si>
  <si>
    <t>Bag Quote</t>
  </si>
  <si>
    <t>Bag/Fabric Width</t>
  </si>
  <si>
    <t>Terceirence</t>
  </si>
  <si>
    <t>Ravitalment</t>
  </si>
  <si>
    <t>Jordan Minerals</t>
  </si>
  <si>
    <t>Uma Dutta</t>
  </si>
  <si>
    <t>Akash Wadhwa</t>
  </si>
  <si>
    <t>Gravis Global</t>
  </si>
  <si>
    <t>Nirmal</t>
  </si>
  <si>
    <t>Tisser</t>
  </si>
  <si>
    <t>HL-TopMix</t>
  </si>
  <si>
    <t>Sunil SHarma</t>
  </si>
  <si>
    <t>JGL</t>
  </si>
  <si>
    <t>Kyoson</t>
  </si>
  <si>
    <t>Swastik</t>
  </si>
  <si>
    <t>Amrfeo</t>
  </si>
  <si>
    <t>Kenz Jordan</t>
  </si>
  <si>
    <t>Caspian Ind</t>
  </si>
  <si>
    <t>Material Motion</t>
  </si>
  <si>
    <t>SafeSack</t>
  </si>
  <si>
    <t>Chinguitty Cement</t>
  </si>
  <si>
    <t>Sadlier</t>
  </si>
  <si>
    <t>Exleeir</t>
  </si>
  <si>
    <t>Bluepack</t>
  </si>
  <si>
    <t>Kypson</t>
  </si>
  <si>
    <t>FPS Italy</t>
  </si>
  <si>
    <t>Mam Platre</t>
  </si>
  <si>
    <t>KM Obaly</t>
  </si>
  <si>
    <t>Zaak</t>
  </si>
  <si>
    <t>Norus</t>
  </si>
  <si>
    <t>Sadliers</t>
  </si>
  <si>
    <t>Bharat Carbonates</t>
  </si>
  <si>
    <t>PS2020</t>
  </si>
  <si>
    <t>PS2040</t>
  </si>
  <si>
    <t>PS2030</t>
  </si>
  <si>
    <t>Phosphea</t>
  </si>
  <si>
    <t>Double Colour</t>
  </si>
  <si>
    <t>Single Colour</t>
  </si>
  <si>
    <t>PS-2020</t>
  </si>
  <si>
    <t>PS-2030</t>
  </si>
  <si>
    <t>PS-2040</t>
  </si>
  <si>
    <t>RAK</t>
  </si>
  <si>
    <t>Length</t>
  </si>
  <si>
    <t>Patch</t>
  </si>
  <si>
    <t>Valve Length (Depth)</t>
  </si>
  <si>
    <t>Extended Valve</t>
  </si>
  <si>
    <t>BOPP GSM</t>
  </si>
  <si>
    <t>Open Mouth</t>
  </si>
  <si>
    <t>Printing</t>
  </si>
  <si>
    <t>2/2</t>
  </si>
  <si>
    <t>1/1</t>
  </si>
  <si>
    <t>Bag Weight</t>
  </si>
  <si>
    <t>Total Wt</t>
  </si>
  <si>
    <t>Pcs/Bale</t>
  </si>
  <si>
    <t>Pc/Pallet</t>
  </si>
  <si>
    <t>Conversion INR</t>
  </si>
  <si>
    <t>FOB Cost INR/Kg</t>
  </si>
  <si>
    <t>Sea Freight Kg</t>
  </si>
  <si>
    <t>USD/Pc</t>
  </si>
  <si>
    <t>Euro/Pc</t>
  </si>
  <si>
    <t>moq 50000</t>
  </si>
  <si>
    <t>if 25000</t>
  </si>
  <si>
    <t>Working of Interest on Fixed Assets</t>
  </si>
  <si>
    <t>Land</t>
  </si>
  <si>
    <t>160x80 Meter</t>
  </si>
  <si>
    <t>Building</t>
  </si>
  <si>
    <t>Machines</t>
  </si>
  <si>
    <t>Tape Plant</t>
  </si>
  <si>
    <t>Looms</t>
  </si>
  <si>
    <t>Utility</t>
  </si>
  <si>
    <t>Tuber</t>
  </si>
  <si>
    <t>Printing Machine</t>
  </si>
  <si>
    <t>Bale Press</t>
  </si>
  <si>
    <t>Slitting Machines</t>
  </si>
  <si>
    <t>Web Inspection</t>
  </si>
  <si>
    <t>Metal Detector</t>
  </si>
  <si>
    <t>HVAC</t>
  </si>
  <si>
    <t>Electrical Installation</t>
  </si>
  <si>
    <t>QC Equipments</t>
  </si>
  <si>
    <t>Spectophoto Meter</t>
  </si>
  <si>
    <t>Fire Hydrant</t>
  </si>
  <si>
    <t>CCTV</t>
  </si>
  <si>
    <t>Racking System</t>
  </si>
  <si>
    <t>Cranes</t>
  </si>
  <si>
    <t>Forklift</t>
  </si>
  <si>
    <t>Total Investment</t>
  </si>
  <si>
    <t>Interest @</t>
  </si>
  <si>
    <t>Per Month</t>
  </si>
  <si>
    <t>Packing Cost (Including Incoming Freight)</t>
  </si>
  <si>
    <t>Box</t>
  </si>
  <si>
    <t>Pallet</t>
  </si>
  <si>
    <t>Stretch Film</t>
  </si>
  <si>
    <t>Strap</t>
  </si>
  <si>
    <t>Total</t>
  </si>
  <si>
    <t>Average Wt</t>
  </si>
  <si>
    <t>Per Kg Cost</t>
  </si>
  <si>
    <t>Ez Open - 7 Gram Per Meter</t>
  </si>
  <si>
    <t>Considered Bag Face Width + 50 MM Extra on both side</t>
  </si>
  <si>
    <t>Bag Finishing Cost</t>
  </si>
  <si>
    <t>ManPower Detail</t>
  </si>
  <si>
    <t>HeadCount</t>
  </si>
  <si>
    <t>Salary</t>
  </si>
  <si>
    <t>Capacity/Month</t>
  </si>
  <si>
    <t>Per 1000 Bag</t>
  </si>
  <si>
    <t>Plant Head</t>
  </si>
  <si>
    <t>Assistant Plant Head</t>
  </si>
  <si>
    <t>House Keeping</t>
  </si>
  <si>
    <t>Cylindre Incharge</t>
  </si>
  <si>
    <t>Cylinder Helper/Assistant</t>
  </si>
  <si>
    <t>Operator Slitting</t>
  </si>
  <si>
    <t>Assistant Slitting Machine</t>
  </si>
  <si>
    <t>Web Inspection M/c Op</t>
  </si>
  <si>
    <t>Helper</t>
  </si>
  <si>
    <t>Tuber Operator</t>
  </si>
  <si>
    <t>Stitching Operator</t>
  </si>
  <si>
    <t>Stitching Helper</t>
  </si>
  <si>
    <t>Fitter</t>
  </si>
  <si>
    <t>Qc Checker</t>
  </si>
  <si>
    <t>QC Supervisor</t>
  </si>
  <si>
    <t>Baling Supervision</t>
  </si>
  <si>
    <t>Pallet Packing (250/Pallet)</t>
  </si>
  <si>
    <t>Forklift Driver</t>
  </si>
  <si>
    <t>Total Salary Cost</t>
  </si>
  <si>
    <t>Additional 15% for Bonus/Leave Etc</t>
  </si>
  <si>
    <t>Power Cost</t>
  </si>
  <si>
    <t>Maintanance/Consumables Cost</t>
  </si>
  <si>
    <t>Total Finishing Cost/1000 Bags</t>
  </si>
  <si>
    <t>(If we run on Full Capacity)</t>
  </si>
  <si>
    <t>Thunb Notch - Cost</t>
  </si>
  <si>
    <t>Metal Detection Cost</t>
  </si>
  <si>
    <t>DDU</t>
  </si>
  <si>
    <t>Box/Cartoon</t>
  </si>
  <si>
    <t>RM Price Master</t>
  </si>
  <si>
    <t>Insert Row Before this</t>
  </si>
  <si>
    <t>Name</t>
  </si>
  <si>
    <t>PP Rafia H030SG</t>
  </si>
  <si>
    <t>HD Rafia E52009</t>
  </si>
  <si>
    <t>LDPE 7 MFI 1070LA17</t>
  </si>
  <si>
    <t>LDPE 4 MFI J24FS040</t>
  </si>
  <si>
    <t>Plain BOPP</t>
  </si>
  <si>
    <t>Customer Master</t>
  </si>
  <si>
    <t>S No</t>
  </si>
  <si>
    <t>Export Customers</t>
  </si>
  <si>
    <t>Access Freight Africa (Pty) Ltd</t>
  </si>
  <si>
    <t>ADM Philipines</t>
  </si>
  <si>
    <t>ADM Vietnam</t>
  </si>
  <si>
    <t>ADM China</t>
  </si>
  <si>
    <t>Advanced Flexible Containers, Inc.</t>
  </si>
  <si>
    <t>Adv Flexible</t>
  </si>
  <si>
    <t>Afri Global Trading</t>
  </si>
  <si>
    <t>AGT</t>
  </si>
  <si>
    <t>Adler Grosshandel</t>
  </si>
  <si>
    <t>Agnes International USA</t>
  </si>
  <si>
    <t>Agnes Nick</t>
  </si>
  <si>
    <t>Agon A/s</t>
  </si>
  <si>
    <t>Agon</t>
  </si>
  <si>
    <t>Agro Life SA.</t>
  </si>
  <si>
    <t>Agro Life</t>
  </si>
  <si>
    <t>Agro Perlite SA</t>
  </si>
  <si>
    <t>Agro Perlite</t>
  </si>
  <si>
    <t>Agrotecnica Central, S.R.L</t>
  </si>
  <si>
    <t>Agrotechnica</t>
  </si>
  <si>
    <t xml:space="preserve">Agrolive Group </t>
  </si>
  <si>
    <t>Agroszemek Kft</t>
  </si>
  <si>
    <t>Al Haya Waste Management &amp; Project Co.W.L.L</t>
  </si>
  <si>
    <t>Al Haya</t>
  </si>
  <si>
    <t>Alimentos Cielo S.A.C.</t>
  </si>
  <si>
    <t>Alimentos 4M</t>
  </si>
  <si>
    <t>Yanet-Alimentos</t>
  </si>
  <si>
    <t>Allbags Sp. Z O.O.</t>
  </si>
  <si>
    <t>Alibags</t>
  </si>
  <si>
    <t>Ameriglobe LLC</t>
  </si>
  <si>
    <t>Anagra</t>
  </si>
  <si>
    <t>Anastasio Aronis</t>
  </si>
  <si>
    <t>Arab Qatari Co</t>
  </si>
  <si>
    <t>Arab Qatari</t>
  </si>
  <si>
    <t>Arpa Logistics Sa</t>
  </si>
  <si>
    <t>Arpa</t>
  </si>
  <si>
    <t>Asco Italia Sas</t>
  </si>
  <si>
    <t>Asco Italia</t>
  </si>
  <si>
    <t>Ashapura</t>
  </si>
  <si>
    <t>Astco UK</t>
  </si>
  <si>
    <t>Avant Capital</t>
  </si>
  <si>
    <t>Axpel Made S.R.O.</t>
  </si>
  <si>
    <t>Axpel</t>
  </si>
  <si>
    <t>Bags Us Inc</t>
  </si>
  <si>
    <t>Bags US</t>
  </si>
  <si>
    <t>Balcon Enterprises Inc.</t>
  </si>
  <si>
    <t>Balcon</t>
  </si>
  <si>
    <t>Barneys, Ireland</t>
  </si>
  <si>
    <t>Bathco Limited</t>
  </si>
  <si>
    <t>Bathco</t>
  </si>
  <si>
    <t>Best Bags Industrial Company</t>
  </si>
  <si>
    <t>Best Bags</t>
  </si>
  <si>
    <t>Bluepack A/S</t>
  </si>
  <si>
    <t>Boferm SA Poland</t>
  </si>
  <si>
    <t>Bohemia Bag SRO</t>
  </si>
  <si>
    <t>Bohemia</t>
  </si>
  <si>
    <t>Bolpamur, S.L.</t>
  </si>
  <si>
    <t>Bolmapur</t>
  </si>
  <si>
    <t>Bowie Investment</t>
  </si>
  <si>
    <t>Boxon (Gmbh) Bulk Jumbotainer Verpackungs</t>
  </si>
  <si>
    <t>Boxon Sarl, France</t>
  </si>
  <si>
    <t>Bramco Trading WLL</t>
  </si>
  <si>
    <t>Bramco</t>
  </si>
  <si>
    <t>Bulk Bag Depot</t>
  </si>
  <si>
    <t>BulkBag</t>
  </si>
  <si>
    <t>Bulk Handling Australia Group Pty Ltd</t>
  </si>
  <si>
    <t>BulkHandling</t>
  </si>
  <si>
    <t>Bulk Lift International LLC</t>
  </si>
  <si>
    <t>Bulklift</t>
  </si>
  <si>
    <t>Bulk Motion Fibc Gmbh &amp; Co. Kg</t>
  </si>
  <si>
    <t>Bulk Motion</t>
  </si>
  <si>
    <t>Bulkedge Solutions</t>
  </si>
  <si>
    <t>Bunge Uruguay Agronegocios S A</t>
  </si>
  <si>
    <t>Bunge</t>
  </si>
  <si>
    <t>Calloni Srl</t>
  </si>
  <si>
    <t>Carbognani S.R.L.</t>
  </si>
  <si>
    <t>Carbognani</t>
  </si>
  <si>
    <t>Carlos Sousa Indústria,Lda</t>
  </si>
  <si>
    <t>Carlos Sousa</t>
  </si>
  <si>
    <t>Carlos Moreno -Peru</t>
  </si>
  <si>
    <t>Carmeuse Majan Llc (Sfz)</t>
  </si>
  <si>
    <t>Carretta Tessitura S.R.L.</t>
  </si>
  <si>
    <t>Carretta</t>
  </si>
  <si>
    <t>Central Bag Company</t>
  </si>
  <si>
    <t>Central Bag</t>
  </si>
  <si>
    <t>Cesur Ambalaj Sanayi Ve Ticaret A.S.</t>
  </si>
  <si>
    <t>Cesur Turkey</t>
  </si>
  <si>
    <t>Cesur Latam SAC</t>
  </si>
  <si>
    <t>Cesur Latam</t>
  </si>
  <si>
    <t>Cesur Norway NUF</t>
  </si>
  <si>
    <t>Cesur Norway</t>
  </si>
  <si>
    <t>Cesur Packaging Benelux Bv</t>
  </si>
  <si>
    <t>Cesur Netherland</t>
  </si>
  <si>
    <t>Cesur Packaging Scandinavia AB</t>
  </si>
  <si>
    <t>Cesur Scandinavia</t>
  </si>
  <si>
    <t>Cesur Usa, Llc</t>
  </si>
  <si>
    <t>Chevrox Total Supply Chain Solutions</t>
  </si>
  <si>
    <t>Chevrox</t>
  </si>
  <si>
    <t>CID Products LLP</t>
  </si>
  <si>
    <t>Cielo Azul Cementos Y Calizas S.A.</t>
  </si>
  <si>
    <t>Cielo Azul</t>
  </si>
  <si>
    <t>Cliffe Packaging Ltd</t>
  </si>
  <si>
    <t>CM CIA Mineral Peru</t>
  </si>
  <si>
    <t>CM CIA Peru</t>
  </si>
  <si>
    <t>CM Equilibra</t>
  </si>
  <si>
    <t>CMTP PTY. LTD.</t>
  </si>
  <si>
    <t>CMTP</t>
  </si>
  <si>
    <t>Co.Ri.Sac.S.R.L</t>
  </si>
  <si>
    <t>Cobalt Holdings Ltd</t>
  </si>
  <si>
    <t>Cobalt</t>
  </si>
  <si>
    <t>Coco Hellas-Dimou</t>
  </si>
  <si>
    <t>Coco Hellas</t>
  </si>
  <si>
    <t>Codefine International SA</t>
  </si>
  <si>
    <t>Codefine</t>
  </si>
  <si>
    <t>Combes Trading Bv</t>
  </si>
  <si>
    <t>Combes</t>
  </si>
  <si>
    <t>Comercial Pra Cafe LTDA - Espirito Santos</t>
  </si>
  <si>
    <t>Pra Café</t>
  </si>
  <si>
    <t>Commercial Bag Company</t>
  </si>
  <si>
    <t>Commercial Bag</t>
  </si>
  <si>
    <t>Concord Supply Inc.</t>
  </si>
  <si>
    <t>Condepols, S.A.</t>
  </si>
  <si>
    <t>Conitex Sonoco USA</t>
  </si>
  <si>
    <t>Conitex</t>
  </si>
  <si>
    <t>Conrop S.R.O.</t>
  </si>
  <si>
    <t>Conrop</t>
  </si>
  <si>
    <t>Cooperativa Uniao Agricola, CRL</t>
  </si>
  <si>
    <t>CoopUniao</t>
  </si>
  <si>
    <t>Coresa SA</t>
  </si>
  <si>
    <t>Crown Industies B.S.C</t>
  </si>
  <si>
    <t>Crown</t>
  </si>
  <si>
    <t>Dajusa 2002 S.L.</t>
  </si>
  <si>
    <t>Disaka</t>
  </si>
  <si>
    <t>DM Faden Dariusz Modrak</t>
  </si>
  <si>
    <t>DM Faden</t>
  </si>
  <si>
    <t>Doha Plastic Company</t>
  </si>
  <si>
    <t>Doha Plastic</t>
  </si>
  <si>
    <t>Djamila</t>
  </si>
  <si>
    <t>DS Safety</t>
  </si>
  <si>
    <t xml:space="preserve">Dhwani Shah </t>
  </si>
  <si>
    <t>Edge Tech LLC</t>
  </si>
  <si>
    <t>Edgetech</t>
  </si>
  <si>
    <t>El Dorado Shipping Sack</t>
  </si>
  <si>
    <t>El Dorado</t>
  </si>
  <si>
    <t>El-Fedawy Pack For Import And Export</t>
  </si>
  <si>
    <t>El-Fedawy</t>
  </si>
  <si>
    <t>El Globo Chile</t>
  </si>
  <si>
    <t>Yanet-ElGlobo</t>
  </si>
  <si>
    <t>Elway Industries, Inc</t>
  </si>
  <si>
    <t>Elway</t>
  </si>
  <si>
    <t>Emidan A/s</t>
  </si>
  <si>
    <t>Emidan</t>
  </si>
  <si>
    <t>Emirates Calcium</t>
  </si>
  <si>
    <t>Emirates Cal</t>
  </si>
  <si>
    <t>Emirates Foods</t>
  </si>
  <si>
    <t>Emirates Food</t>
  </si>
  <si>
    <t>Emirates National General Trading Llc</t>
  </si>
  <si>
    <t>Emirates National</t>
  </si>
  <si>
    <t>Enviroplast Inc</t>
  </si>
  <si>
    <t>Enviroplast</t>
  </si>
  <si>
    <t>Eric Storm A/S</t>
  </si>
  <si>
    <t>Eric Storm</t>
  </si>
  <si>
    <t>Estelle Trading</t>
  </si>
  <si>
    <t>Evgheni Moldova</t>
  </si>
  <si>
    <t>Evgheni</t>
  </si>
  <si>
    <t>Exim Handelsonderneming Rotterdam Bv</t>
  </si>
  <si>
    <t>Fertimas SA</t>
  </si>
  <si>
    <t>Fertimas</t>
  </si>
  <si>
    <t>Fameintl</t>
  </si>
  <si>
    <t>Fertiplast S.L.</t>
  </si>
  <si>
    <t>Fertiplast</t>
  </si>
  <si>
    <t>Fiji Sugar Corp</t>
  </si>
  <si>
    <t>Filtisac SA</t>
  </si>
  <si>
    <t>Filtisac</t>
  </si>
  <si>
    <t>Fimlo Group S.R.L.</t>
  </si>
  <si>
    <t>Fimlo Group</t>
  </si>
  <si>
    <t>Fintrading S.L.</t>
  </si>
  <si>
    <t>FIBCO Plastic Industry L.L.C</t>
  </si>
  <si>
    <t>Flexcon Packaging UK Limited</t>
  </si>
  <si>
    <t>Flexcon</t>
  </si>
  <si>
    <t>Flexibox Container Gmbh</t>
  </si>
  <si>
    <t>Flexibox</t>
  </si>
  <si>
    <t>Fortaleza M&amp;M Peru</t>
  </si>
  <si>
    <t>Fortaleza</t>
  </si>
  <si>
    <t>Foshan City Is A New Mstar Technology Ltd.</t>
  </si>
  <si>
    <t>Foshan</t>
  </si>
  <si>
    <t>FPS Flexibles Chile SPA</t>
  </si>
  <si>
    <t>FPS Chile</t>
  </si>
  <si>
    <t>FPS Flexibles France SARL</t>
  </si>
  <si>
    <t>FPS France</t>
  </si>
  <si>
    <t>FPS Flexibles Iberia SA</t>
  </si>
  <si>
    <t>FPS Iberia</t>
  </si>
  <si>
    <t>FPS Flexibles Irelands Ltd</t>
  </si>
  <si>
    <t>FPS Flexibles UK Ltd</t>
  </si>
  <si>
    <t>FPS Flexibles USA Inc</t>
  </si>
  <si>
    <t>FPS USA</t>
  </si>
  <si>
    <t>Frelun S.A.</t>
  </si>
  <si>
    <t>Frelun</t>
  </si>
  <si>
    <t>GI Packaging</t>
  </si>
  <si>
    <t>GI packaging</t>
  </si>
  <si>
    <t>Giovanni Affatato</t>
  </si>
  <si>
    <t>Gelpac Bags Inc.</t>
  </si>
  <si>
    <t>Gelpac</t>
  </si>
  <si>
    <t>Ghaleb Dwaikat</t>
  </si>
  <si>
    <t>Gleco</t>
  </si>
  <si>
    <t>Global Import Poland</t>
  </si>
  <si>
    <t>Global Imp Jakub</t>
  </si>
  <si>
    <t>Global Pak, Inc</t>
  </si>
  <si>
    <t>Growtivation</t>
  </si>
  <si>
    <t>H Polesy &amp; Co Pty Ltd</t>
  </si>
  <si>
    <t>H Polesy</t>
  </si>
  <si>
    <t>Hacom Trading B V</t>
  </si>
  <si>
    <t>Hacom</t>
  </si>
  <si>
    <t>Hallpack</t>
  </si>
  <si>
    <t>Hampidjan Canada Ltd</t>
  </si>
  <si>
    <t>Hanchang Ind. Co., Ltd.</t>
  </si>
  <si>
    <t>Hanchang</t>
  </si>
  <si>
    <t>Hellagro S.A.</t>
  </si>
  <si>
    <t>Hellagro</t>
  </si>
  <si>
    <t>Henry W. Peabody &amp; Co., Inc.</t>
  </si>
  <si>
    <t>Henry W</t>
  </si>
  <si>
    <t>Hidden Gold LLC</t>
  </si>
  <si>
    <t>Hidden</t>
  </si>
  <si>
    <t>Hood Packaging Corporation</t>
  </si>
  <si>
    <t>Hood</t>
  </si>
  <si>
    <t>Hypergrain S A</t>
  </si>
  <si>
    <t>Hypergrain</t>
  </si>
  <si>
    <t>Imballaggi speciali Europa SRL</t>
  </si>
  <si>
    <t>Imballaggi</t>
  </si>
  <si>
    <t>Importadora Nebla S.A.</t>
  </si>
  <si>
    <t>Importadora</t>
  </si>
  <si>
    <t>Indorama Georgia</t>
  </si>
  <si>
    <t>Industria Sulfuria S.A.</t>
  </si>
  <si>
    <t>Isusa</t>
  </si>
  <si>
    <t>Inkabor</t>
  </si>
  <si>
    <t>Inter Polymer, Israel</t>
  </si>
  <si>
    <t>Interpolymer Israel</t>
  </si>
  <si>
    <t>Interpolymer Inc., USA</t>
  </si>
  <si>
    <t>Interpolymer USA</t>
  </si>
  <si>
    <t>Iruna Saic</t>
  </si>
  <si>
    <t>Iruna</t>
  </si>
  <si>
    <t>Inversue EIRL Peru</t>
  </si>
  <si>
    <t>Inversue Peru</t>
  </si>
  <si>
    <t>Itzak Biniahshvili</t>
  </si>
  <si>
    <t>Itzak</t>
  </si>
  <si>
    <t>Jakeco Holdings Inc</t>
  </si>
  <si>
    <t>Jakeco</t>
  </si>
  <si>
    <t>Jiangmen Henghainan Plastics Co. Ltd.</t>
  </si>
  <si>
    <t>Jiangmen</t>
  </si>
  <si>
    <t>Jmj Bulk Packaging</t>
  </si>
  <si>
    <t>Jmj</t>
  </si>
  <si>
    <t>Joao Violas &amp; Filho Lda</t>
  </si>
  <si>
    <t>Joao Violas</t>
  </si>
  <si>
    <t>JTL Packaging Ltd. T/A Interpac</t>
  </si>
  <si>
    <t>JTL</t>
  </si>
  <si>
    <t>Jumbo Sack Corporation</t>
  </si>
  <si>
    <t>Jumbo Sack</t>
  </si>
  <si>
    <t>Jumbo Bags Tunisia</t>
  </si>
  <si>
    <t>Jumbo Tunisia Yousri</t>
  </si>
  <si>
    <t>Jumbostrap Ou</t>
  </si>
  <si>
    <t>Jumbostrap</t>
  </si>
  <si>
    <t>Juta A.S.</t>
  </si>
  <si>
    <t>Kam Group Inc.</t>
  </si>
  <si>
    <t>Kamadur Industrial Knives B.V.</t>
  </si>
  <si>
    <t>Kamadur</t>
  </si>
  <si>
    <t>Kansas City Bag Company, Inc.</t>
  </si>
  <si>
    <t>Kansas</t>
  </si>
  <si>
    <t>Karapatsias Ltd</t>
  </si>
  <si>
    <t>Karl Weiterer Sack- und Planenfabrik GmbH</t>
  </si>
  <si>
    <t>Karl</t>
  </si>
  <si>
    <t>Kew BV</t>
  </si>
  <si>
    <t>Km Obaly S.R.O.</t>
  </si>
  <si>
    <t>Kristen Dixon</t>
  </si>
  <si>
    <t>Kristen</t>
  </si>
  <si>
    <t>Krzysztof Kasperkiewicz Kasp</t>
  </si>
  <si>
    <t>Kuku International Packaging</t>
  </si>
  <si>
    <t>Kuku</t>
  </si>
  <si>
    <t>LDC Paraguay</t>
  </si>
  <si>
    <t>L&amp;M Bag &amp; Supply Co Inc</t>
  </si>
  <si>
    <t>L&amp;M</t>
  </si>
  <si>
    <t>Lafarge Calcinor Maroc</t>
  </si>
  <si>
    <t>Lafarge</t>
  </si>
  <si>
    <t>Lancas Supplies Pty Ltd</t>
  </si>
  <si>
    <t>Lancas</t>
  </si>
  <si>
    <t>LBK Packaging</t>
  </si>
  <si>
    <t>LBK</t>
  </si>
  <si>
    <t>LC Packaging Belgium NV</t>
  </si>
  <si>
    <t>LC Belgium</t>
  </si>
  <si>
    <t>LC Packaging Hungary TPI</t>
  </si>
  <si>
    <t>LC Hungary</t>
  </si>
  <si>
    <t>LC Packaging Ireland Ltd</t>
  </si>
  <si>
    <t>LC Ireland</t>
  </si>
  <si>
    <t>LC Packaging Netherlands Bv</t>
  </si>
  <si>
    <t>LC Netherland</t>
  </si>
  <si>
    <t>LC Packaging SAS, France</t>
  </si>
  <si>
    <t>LC France</t>
  </si>
  <si>
    <t>LC Packaging Sweden</t>
  </si>
  <si>
    <t>LC Sweden</t>
  </si>
  <si>
    <t>LC Packaging Uk Ltd</t>
  </si>
  <si>
    <t>LC UK</t>
  </si>
  <si>
    <t>Lean Packaging LLC</t>
  </si>
  <si>
    <t>Lean</t>
  </si>
  <si>
    <t>Lionel Samson Packaging Co Pty Ltd.</t>
  </si>
  <si>
    <t>Lionel Samson</t>
  </si>
  <si>
    <t>Load Lok Nederland B.V.</t>
  </si>
  <si>
    <t>Loadlok</t>
  </si>
  <si>
    <t>Lorenzati, Ruetsch y Cia SA</t>
  </si>
  <si>
    <t>Lorenzati,</t>
  </si>
  <si>
    <t>Louis Blockx Nv</t>
  </si>
  <si>
    <t>Louis Blokx</t>
  </si>
  <si>
    <t>Luis Alfonso Escobar Bravo</t>
  </si>
  <si>
    <t>Luis Alfonso</t>
  </si>
  <si>
    <t>Melnex International</t>
  </si>
  <si>
    <t>Melnex</t>
  </si>
  <si>
    <t>Madi Sp. z.o.o.</t>
  </si>
  <si>
    <t>Madi</t>
  </si>
  <si>
    <t>Manyan Inc.</t>
  </si>
  <si>
    <t>Manyan</t>
  </si>
  <si>
    <t>Marhill Bvba</t>
  </si>
  <si>
    <t>Marhill</t>
  </si>
  <si>
    <t>Mexim SA</t>
  </si>
  <si>
    <t>Mexim</t>
  </si>
  <si>
    <t>MEDIO BRAND s.r.o</t>
  </si>
  <si>
    <t>MEDIO</t>
  </si>
  <si>
    <t>Mikitos Ind E Com De Gen Alim Do Amazonas LTDA</t>
  </si>
  <si>
    <t>Mikitos</t>
  </si>
  <si>
    <t>Mineracao Belocal Ltda</t>
  </si>
  <si>
    <t>Mineracao</t>
  </si>
  <si>
    <t>Minini Spa</t>
  </si>
  <si>
    <t>Modus Granum LLC</t>
  </si>
  <si>
    <t>Modus</t>
  </si>
  <si>
    <t>MPKI</t>
  </si>
  <si>
    <t>Myrin S.A</t>
  </si>
  <si>
    <t>Myrin</t>
  </si>
  <si>
    <t>Naylor Bag &amp; Supply</t>
  </si>
  <si>
    <t>Naylor</t>
  </si>
  <si>
    <t>NNZ GMBH</t>
  </si>
  <si>
    <t>Nortebag Industria De Embalagens Eireli</t>
  </si>
  <si>
    <t>Nortebag</t>
  </si>
  <si>
    <t>Northstar Equity Inc</t>
  </si>
  <si>
    <t>Northstar</t>
  </si>
  <si>
    <t xml:space="preserve">Notafox S A </t>
  </si>
  <si>
    <t>Notafox</t>
  </si>
  <si>
    <t xml:space="preserve">Nordic Big Bag </t>
  </si>
  <si>
    <t>North Power D.o.o.</t>
  </si>
  <si>
    <t>NPP Group Ltd, Ireland</t>
  </si>
  <si>
    <t>NPP</t>
  </si>
  <si>
    <t>Nuvisrael Company</t>
  </si>
  <si>
    <t>Olam International Limited</t>
  </si>
  <si>
    <t>Olam</t>
  </si>
  <si>
    <t>Olega S A</t>
  </si>
  <si>
    <t>Olega</t>
  </si>
  <si>
    <t>Oliva Garden</t>
  </si>
  <si>
    <t>Oliva</t>
  </si>
  <si>
    <t>Oriental Carbon Chemical</t>
  </si>
  <si>
    <t>OCCL</t>
  </si>
  <si>
    <t>Omnicor - Manufacturas Internacionais De Cordoarias Lda</t>
  </si>
  <si>
    <t>Omnicor</t>
  </si>
  <si>
    <t>Passos &amp; Oliveira, Lda.</t>
  </si>
  <si>
    <t>Paper World</t>
  </si>
  <si>
    <t>Pavitra Jain</t>
  </si>
  <si>
    <t>Pavitra</t>
  </si>
  <si>
    <t>Pedro Maccio Y Cia,S.A</t>
  </si>
  <si>
    <t>Pedro Maccio</t>
  </si>
  <si>
    <t>Pera Plastic</t>
  </si>
  <si>
    <t>Pera</t>
  </si>
  <si>
    <t>PH Big Bags Ltd</t>
  </si>
  <si>
    <t>Ph Bratpol Jerzy Bratkowski</t>
  </si>
  <si>
    <t>Ph Bratpol</t>
  </si>
  <si>
    <t>Pinasz Importacao</t>
  </si>
  <si>
    <t>Plast Eco Sarl</t>
  </si>
  <si>
    <t>Plasteco</t>
  </si>
  <si>
    <t>Plastochem</t>
  </si>
  <si>
    <t>Polypak Plastene Ltd</t>
  </si>
  <si>
    <t>Polypak</t>
  </si>
  <si>
    <t>Polypack Sudan</t>
  </si>
  <si>
    <t>Porastek, LLC</t>
  </si>
  <si>
    <t>Porastek,</t>
  </si>
  <si>
    <t>Potomac Electric Power</t>
  </si>
  <si>
    <t>PPHU Amid (Piotr Mikolajczyk Przedsiebiorstwoprodukcyjno Handlowo Uslugowe Amid)</t>
  </si>
  <si>
    <t>PPHU</t>
  </si>
  <si>
    <t>Procon Pacific Llc</t>
  </si>
  <si>
    <t>Prodeman S.A.</t>
  </si>
  <si>
    <t>Prodeman</t>
  </si>
  <si>
    <t>Qpac Packaging LLP</t>
  </si>
  <si>
    <t>Radcoflex Australia Pty Limited</t>
  </si>
  <si>
    <t>Radcoflex</t>
  </si>
  <si>
    <t>Rafia Industrial S.A.</t>
  </si>
  <si>
    <t>Rafia</t>
  </si>
  <si>
    <t>Raficon Trade Srl</t>
  </si>
  <si>
    <t>Raficon</t>
  </si>
  <si>
    <t>Rapid Packaging Inc</t>
  </si>
  <si>
    <t>Rapid</t>
  </si>
  <si>
    <t>Ravitaillement International Inc.</t>
  </si>
  <si>
    <t>Relianz Ag</t>
  </si>
  <si>
    <t>Relianz</t>
  </si>
  <si>
    <t>Rocheux International</t>
  </si>
  <si>
    <t>Rocheux</t>
  </si>
  <si>
    <t>Rohit Varma</t>
  </si>
  <si>
    <t>Rohit</t>
  </si>
  <si>
    <t>Rossi Imballaggi Srl</t>
  </si>
  <si>
    <t>Rossi Imballaggi</t>
  </si>
  <si>
    <t>Rugo Bags GMBH</t>
  </si>
  <si>
    <t>S.A.S. Baobag</t>
  </si>
  <si>
    <t>Baobag</t>
  </si>
  <si>
    <t>SAAD Somalia</t>
  </si>
  <si>
    <t>Saccheria F.Lli Franceschetti SPA</t>
  </si>
  <si>
    <t>Saccheria Frances</t>
  </si>
  <si>
    <t>Saccheria Reggiana S.R.L.</t>
  </si>
  <si>
    <t>Saccheria Reggiana</t>
  </si>
  <si>
    <t>Sacherie De Pantin</t>
  </si>
  <si>
    <t>Sacherie Pantin</t>
  </si>
  <si>
    <t>Sacos Durcal S.A</t>
  </si>
  <si>
    <t>Sacos Durcal</t>
  </si>
  <si>
    <t>Sacos Martinez</t>
  </si>
  <si>
    <t>Sacos Martinex</t>
  </si>
  <si>
    <t>Sadleirs Packaging</t>
  </si>
  <si>
    <t>Safesack Finland Oy</t>
  </si>
  <si>
    <t>Safesack Fin</t>
  </si>
  <si>
    <t>Safesack Scandinavia Ab</t>
  </si>
  <si>
    <t>Sandax</t>
  </si>
  <si>
    <t>Sandwood Enterprises Inc</t>
  </si>
  <si>
    <t>Sandwood</t>
  </si>
  <si>
    <t>SARL Bazelle</t>
  </si>
  <si>
    <t>Satucesa Europa, S.L.U.</t>
  </si>
  <si>
    <t>Satucesa</t>
  </si>
  <si>
    <t>Serra Sacos Y Gestion Sl</t>
  </si>
  <si>
    <t>Serra Sacos</t>
  </si>
  <si>
    <t>Shree Global Trade</t>
  </si>
  <si>
    <t>Six-Pack Packaging B.V.</t>
  </si>
  <si>
    <t>Six-Pack</t>
  </si>
  <si>
    <t>Smart Pack Limited</t>
  </si>
  <si>
    <t>Sourcio Inc</t>
  </si>
  <si>
    <t>Sourcio</t>
  </si>
  <si>
    <t>Somiyabong Investments (P) Ltd</t>
  </si>
  <si>
    <t>Somiya</t>
  </si>
  <si>
    <t>Somlo-Zsak Kender-Juta Kft</t>
  </si>
  <si>
    <t>Somlo-Zsak</t>
  </si>
  <si>
    <t>Sonvigo International Ltd</t>
  </si>
  <si>
    <t>Sonvigo</t>
  </si>
  <si>
    <t>Southern Packaging</t>
  </si>
  <si>
    <t>Soretrap</t>
  </si>
  <si>
    <t>So New General Trading</t>
  </si>
  <si>
    <t>So New</t>
  </si>
  <si>
    <t>SPL Chile</t>
  </si>
  <si>
    <t>Star 32Tyre Columbia</t>
  </si>
  <si>
    <t>Star32Tyre</t>
  </si>
  <si>
    <t>Stavin Chemical Dubai</t>
  </si>
  <si>
    <t>Stavin</t>
  </si>
  <si>
    <t>Sunbelt Packaging LLC</t>
  </si>
  <si>
    <t>Sunbelt</t>
  </si>
  <si>
    <t>Sunflex Fze</t>
  </si>
  <si>
    <t>Sunflex</t>
  </si>
  <si>
    <t>Superb Packaging Inc.</t>
  </si>
  <si>
    <t>Superb</t>
  </si>
  <si>
    <t>Suwannee Farms</t>
  </si>
  <si>
    <t>Suwannee</t>
  </si>
  <si>
    <t>Tayside Forestry</t>
  </si>
  <si>
    <t>Tayside</t>
  </si>
  <si>
    <t>Technopac Austria Gmbh</t>
  </si>
  <si>
    <t>Technopac Gmbh</t>
  </si>
  <si>
    <t>Tecny Media Trading, S.L.</t>
  </si>
  <si>
    <t>Terceirense De Racoes Sa</t>
  </si>
  <si>
    <t>Thrace Nonwovens &amp; Geosynthetics Sa</t>
  </si>
  <si>
    <t>Thrace Nonwoven</t>
  </si>
  <si>
    <t>Thrace Polyfilms Sa</t>
  </si>
  <si>
    <t>Thrrat Salt</t>
  </si>
  <si>
    <t>Thrrat</t>
  </si>
  <si>
    <t>TIMAB</t>
  </si>
  <si>
    <t>Tolsa Maroc</t>
  </si>
  <si>
    <t>Tolsa</t>
  </si>
  <si>
    <t>Tradecor S.A.</t>
  </si>
  <si>
    <t>Tradecor</t>
  </si>
  <si>
    <t>Tyoga Container Company, Inc.</t>
  </si>
  <si>
    <t>Tyoga</t>
  </si>
  <si>
    <t>TZD Global</t>
  </si>
  <si>
    <t>Uab "4Bik"</t>
  </si>
  <si>
    <t>4BIK</t>
  </si>
  <si>
    <t>Uab Achempak</t>
  </si>
  <si>
    <t>Achempak</t>
  </si>
  <si>
    <t>Uab Packmak Ltd</t>
  </si>
  <si>
    <t>UAB SAGAS</t>
  </si>
  <si>
    <t>USA Dilen</t>
  </si>
  <si>
    <t>Unidex Packaging, Llc.</t>
  </si>
  <si>
    <t>United Bags, Inc</t>
  </si>
  <si>
    <t>United Bag</t>
  </si>
  <si>
    <t>United Source Packaging</t>
  </si>
  <si>
    <t>Upper Trade Importacao E Exportacao Eireli</t>
  </si>
  <si>
    <t>Upper Trade</t>
  </si>
  <si>
    <t>Urban Industries, Inc.</t>
  </si>
  <si>
    <t>Urban</t>
  </si>
  <si>
    <t>Vikraman Pillai</t>
  </si>
  <si>
    <t xml:space="preserve">Vikraman </t>
  </si>
  <si>
    <t>Volta Biotech</t>
  </si>
  <si>
    <t>Volta</t>
  </si>
  <si>
    <t>Wales Industries Pty ltd</t>
  </si>
  <si>
    <t>Wales</t>
  </si>
  <si>
    <t>Warner &amp; Warner Inc.</t>
  </si>
  <si>
    <t>Warner</t>
  </si>
  <si>
    <t>Webro Natursteine Gmbh</t>
  </si>
  <si>
    <t>Webro</t>
  </si>
  <si>
    <t>Werba S.A.</t>
  </si>
  <si>
    <t>Werba</t>
  </si>
  <si>
    <t>Western Grain Trading Inc</t>
  </si>
  <si>
    <t>Western Grain</t>
  </si>
  <si>
    <t>Western Packaging Solutions</t>
  </si>
  <si>
    <t>White Bag Company, Inc</t>
  </si>
  <si>
    <t>Wrightson Pas S.A</t>
  </si>
  <si>
    <t>Wrightson</t>
  </si>
  <si>
    <t>Yuan Da Plastic Fabric Corporation</t>
  </si>
  <si>
    <t>Yuan Da</t>
  </si>
  <si>
    <t>ZenAgro, Russia</t>
  </si>
  <si>
    <t>Polymero, Bulgaria</t>
  </si>
  <si>
    <t>Domectic Customers</t>
  </si>
  <si>
    <t>20 MICRONS LIMITED</t>
  </si>
  <si>
    <t xml:space="preserve">Anay Global Service </t>
  </si>
  <si>
    <t>Ashapura Minechem</t>
  </si>
  <si>
    <t>ADM India</t>
  </si>
  <si>
    <t>Bomgim Courier</t>
  </si>
  <si>
    <t>Bomgim</t>
  </si>
  <si>
    <t>Belgaum Sugars Pvt Ltd</t>
  </si>
  <si>
    <t>BSPL</t>
  </si>
  <si>
    <t>Chirag bhai</t>
  </si>
  <si>
    <t>Fuji Technical Services Pvt. Ltd</t>
  </si>
  <si>
    <t>Fuji</t>
  </si>
  <si>
    <t>Hindustan Gunny Bags</t>
  </si>
  <si>
    <t>Bafnaji</t>
  </si>
  <si>
    <t>Bhavik Industries</t>
  </si>
  <si>
    <t>Gaj Kesari</t>
  </si>
  <si>
    <t>Natural Sugar &amp; Allied</t>
  </si>
  <si>
    <t>Binodji</t>
  </si>
  <si>
    <t>Osia</t>
  </si>
  <si>
    <t>Paramount Rice Mills</t>
  </si>
  <si>
    <t>Maheshji</t>
  </si>
  <si>
    <t>Ramesh Solanki</t>
  </si>
  <si>
    <t>Ramesh</t>
  </si>
  <si>
    <t>Relalia Agrovat</t>
  </si>
  <si>
    <t>Regalia</t>
  </si>
  <si>
    <t>Shree Renuka Sugars</t>
  </si>
  <si>
    <t>Renuka</t>
  </si>
  <si>
    <t>Shreenat Group</t>
  </si>
  <si>
    <t>Shreenath</t>
  </si>
  <si>
    <t>Somany Ceramics</t>
  </si>
  <si>
    <t>Somany</t>
  </si>
  <si>
    <t>Shree Dutt SUgar</t>
  </si>
  <si>
    <t>Shree Dutt</t>
  </si>
  <si>
    <t>Swayam Poly</t>
  </si>
  <si>
    <t>Transfurt Kandla</t>
  </si>
  <si>
    <t>VuraBao Chemical</t>
  </si>
  <si>
    <t>VuraBao</t>
  </si>
  <si>
    <t>Gokul overseas - SEZ</t>
  </si>
  <si>
    <t>Gokul</t>
  </si>
  <si>
    <t>Nuvoco Vista</t>
  </si>
  <si>
    <t>Moglix India Pvt Ltd</t>
  </si>
  <si>
    <t>Moglix</t>
  </si>
  <si>
    <t>Kutch Bentonite</t>
  </si>
  <si>
    <t>Livegreen Clean Tech Pvt Ltd</t>
  </si>
  <si>
    <t>Ones Ltd</t>
  </si>
  <si>
    <t>Ones Minal</t>
  </si>
  <si>
    <t>Quotations Made for Below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</si>
</sst>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_(* #,##0.0000_);_(* \(#,##0.00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04040"/>
      <name val="Comic Sans MS"/>
      <family val="4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8EA9D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shrinkToFit="1"/>
    </xf>
    <xf numFmtId="0" fontId="2" fillId="0" borderId="1" xfId="0" applyFont="1" applyBorder="1" applyAlignment="1">
      <alignment shrinkToFit="1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3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4" xfId="0" applyBorder="1"/>
    <xf numFmtId="2" fontId="0" fillId="0" borderId="1" xfId="0" applyNumberFormat="1" applyBorder="1" applyAlignment="1">
      <alignment shrinkToFit="1"/>
    </xf>
    <xf numFmtId="2" fontId="0" fillId="3" borderId="1" xfId="0" applyNumberFormat="1" applyFill="1" applyBorder="1" applyAlignment="1">
      <alignment shrinkToFit="1"/>
    </xf>
    <xf numFmtId="2" fontId="2" fillId="0" borderId="1" xfId="0" applyNumberFormat="1" applyFont="1" applyBorder="1" applyAlignment="1">
      <alignment shrinkToFit="1"/>
    </xf>
    <xf numFmtId="9" fontId="0" fillId="0" borderId="1" xfId="0" applyNumberFormat="1" applyBorder="1" applyAlignment="1">
      <alignment shrinkToFit="1"/>
    </xf>
    <xf numFmtId="2" fontId="0" fillId="0" borderId="1" xfId="0" quotePrefix="1" applyNumberFormat="1" applyBorder="1" applyAlignment="1">
      <alignment shrinkToFit="1"/>
    </xf>
    <xf numFmtId="164" fontId="0" fillId="0" borderId="1" xfId="0" applyNumberFormat="1" applyBorder="1" applyAlignment="1">
      <alignment shrinkToFit="1"/>
    </xf>
    <xf numFmtId="2" fontId="0" fillId="0" borderId="1" xfId="0" applyNumberFormat="1" applyBorder="1" applyAlignment="1">
      <alignment horizontal="right" shrinkToFit="1"/>
    </xf>
    <xf numFmtId="165" fontId="0" fillId="0" borderId="1" xfId="0" applyNumberFormat="1" applyBorder="1" applyAlignment="1">
      <alignment shrinkToFit="1"/>
    </xf>
    <xf numFmtId="0" fontId="0" fillId="0" borderId="1" xfId="0" applyBorder="1" applyAlignment="1">
      <alignment horizontal="right" shrinkToFit="1"/>
    </xf>
    <xf numFmtId="165" fontId="0" fillId="0" borderId="1" xfId="0" quotePrefix="1" applyNumberFormat="1" applyBorder="1" applyAlignment="1">
      <alignment shrinkToFit="1"/>
    </xf>
    <xf numFmtId="164" fontId="0" fillId="0" borderId="1" xfId="0" applyNumberFormat="1" applyBorder="1" applyAlignment="1">
      <alignment horizontal="right" shrinkToFit="1"/>
    </xf>
    <xf numFmtId="2" fontId="0" fillId="0" borderId="1" xfId="0" quotePrefix="1" applyNumberFormat="1" applyBorder="1" applyAlignment="1">
      <alignment horizontal="right" shrinkToFit="1"/>
    </xf>
    <xf numFmtId="0" fontId="6" fillId="4" borderId="6" xfId="0" applyFont="1" applyFill="1" applyBorder="1"/>
    <xf numFmtId="0" fontId="6" fillId="4" borderId="3" xfId="0" applyFont="1" applyFill="1" applyBorder="1" applyAlignment="1">
      <alignment shrinkToFit="1"/>
    </xf>
    <xf numFmtId="15" fontId="6" fillId="4" borderId="3" xfId="0" applyNumberFormat="1" applyFont="1" applyFill="1" applyBorder="1" applyAlignment="1">
      <alignment horizontal="right" shrinkToFit="1"/>
    </xf>
    <xf numFmtId="0" fontId="0" fillId="0" borderId="9" xfId="0" applyBorder="1" applyAlignment="1">
      <alignment vertical="center" shrinkToFit="1"/>
    </xf>
    <xf numFmtId="15" fontId="6" fillId="5" borderId="3" xfId="0" applyNumberFormat="1" applyFont="1" applyFill="1" applyBorder="1" applyAlignment="1">
      <alignment horizontal="right" shrinkToFit="1"/>
    </xf>
    <xf numFmtId="15" fontId="0" fillId="5" borderId="1" xfId="0" applyNumberFormat="1" applyFill="1" applyBorder="1" applyAlignment="1">
      <alignment horizontal="right" shrinkToFit="1"/>
    </xf>
    <xf numFmtId="0" fontId="0" fillId="5" borderId="1" xfId="0" applyFill="1" applyBorder="1" applyAlignment="1">
      <alignment horizontal="right" shrinkToFit="1"/>
    </xf>
    <xf numFmtId="2" fontId="0" fillId="5" borderId="1" xfId="0" applyNumberFormat="1" applyFill="1" applyBorder="1" applyAlignment="1">
      <alignment shrinkToFit="1"/>
    </xf>
    <xf numFmtId="2" fontId="4" fillId="5" borderId="1" xfId="0" applyNumberFormat="1" applyFont="1" applyFill="1" applyBorder="1" applyAlignment="1">
      <alignment shrinkToFit="1"/>
    </xf>
    <xf numFmtId="0" fontId="0" fillId="5" borderId="1" xfId="0" applyFill="1" applyBorder="1" applyAlignment="1">
      <alignment shrinkToFit="1"/>
    </xf>
    <xf numFmtId="2" fontId="2" fillId="5" borderId="1" xfId="0" applyNumberFormat="1" applyFont="1" applyFill="1" applyBorder="1" applyAlignment="1">
      <alignment shrinkToFit="1"/>
    </xf>
    <xf numFmtId="9" fontId="0" fillId="5" borderId="1" xfId="0" applyNumberFormat="1" applyFill="1" applyBorder="1" applyAlignment="1">
      <alignment shrinkToFit="1"/>
    </xf>
    <xf numFmtId="10" fontId="0" fillId="5" borderId="1" xfId="1" applyNumberFormat="1" applyFont="1" applyFill="1" applyBorder="1" applyAlignment="1">
      <alignment shrinkToFit="1"/>
    </xf>
    <xf numFmtId="2" fontId="0" fillId="5" borderId="1" xfId="0" quotePrefix="1" applyNumberFormat="1" applyFill="1" applyBorder="1" applyAlignment="1">
      <alignment shrinkToFit="1"/>
    </xf>
    <xf numFmtId="2" fontId="3" fillId="5" borderId="1" xfId="0" applyNumberFormat="1" applyFont="1" applyFill="1" applyBorder="1" applyAlignment="1">
      <alignment shrinkToFit="1"/>
    </xf>
    <xf numFmtId="164" fontId="0" fillId="5" borderId="1" xfId="0" applyNumberFormat="1" applyFill="1" applyBorder="1" applyAlignment="1">
      <alignment shrinkToFit="1"/>
    </xf>
    <xf numFmtId="164" fontId="0" fillId="5" borderId="1" xfId="0" applyNumberFormat="1" applyFill="1" applyBorder="1" applyAlignment="1">
      <alignment horizontal="right" shrinkToFit="1"/>
    </xf>
    <xf numFmtId="2" fontId="0" fillId="5" borderId="1" xfId="0" applyNumberFormat="1" applyFill="1" applyBorder="1" applyAlignment="1">
      <alignment horizontal="right" shrinkToFit="1"/>
    </xf>
    <xf numFmtId="165" fontId="0" fillId="5" borderId="1" xfId="0" applyNumberFormat="1" applyFill="1" applyBorder="1" applyAlignment="1">
      <alignment shrinkToFit="1"/>
    </xf>
    <xf numFmtId="0" fontId="0" fillId="5" borderId="9" xfId="0" applyFill="1" applyBorder="1" applyAlignment="1">
      <alignment shrinkToFit="1"/>
    </xf>
    <xf numFmtId="165" fontId="0" fillId="5" borderId="1" xfId="0" quotePrefix="1" applyNumberFormat="1" applyFill="1" applyBorder="1" applyAlignment="1">
      <alignment shrinkToFit="1"/>
    </xf>
    <xf numFmtId="0" fontId="0" fillId="0" borderId="4" xfId="0" applyBorder="1" applyAlignment="1">
      <alignment shrinkToFit="1"/>
    </xf>
    <xf numFmtId="0" fontId="0" fillId="0" borderId="8" xfId="0" applyBorder="1" applyAlignment="1">
      <alignment shrinkToFit="1"/>
    </xf>
    <xf numFmtId="0" fontId="6" fillId="5" borderId="6" xfId="0" applyFont="1" applyFill="1" applyBorder="1"/>
    <xf numFmtId="0" fontId="0" fillId="5" borderId="4" xfId="0" applyFill="1" applyBorder="1" applyAlignment="1">
      <alignment shrinkToFit="1"/>
    </xf>
    <xf numFmtId="0" fontId="0" fillId="5" borderId="8" xfId="0" applyFill="1" applyBorder="1" applyAlignment="1">
      <alignment shrinkToFit="1"/>
    </xf>
    <xf numFmtId="15" fontId="0" fillId="2" borderId="1" xfId="0" applyNumberFormat="1" applyFill="1" applyBorder="1" applyAlignment="1" applyProtection="1">
      <alignment horizontal="right" shrinkToFit="1"/>
      <protection locked="0"/>
    </xf>
    <xf numFmtId="0" fontId="0" fillId="2" borderId="1" xfId="0" applyFill="1" applyBorder="1" applyAlignment="1" applyProtection="1">
      <alignment horizontal="right" shrinkToFit="1"/>
      <protection locked="0"/>
    </xf>
    <xf numFmtId="2" fontId="0" fillId="2" borderId="1" xfId="0" applyNumberFormat="1" applyFill="1" applyBorder="1" applyAlignment="1" applyProtection="1">
      <alignment shrinkToFit="1"/>
      <protection locked="0"/>
    </xf>
    <xf numFmtId="2" fontId="4" fillId="2" borderId="1" xfId="0" applyNumberFormat="1" applyFont="1" applyFill="1" applyBorder="1" applyAlignment="1" applyProtection="1">
      <alignment shrinkToFit="1"/>
      <protection locked="0"/>
    </xf>
    <xf numFmtId="10" fontId="0" fillId="2" borderId="1" xfId="1" applyNumberFormat="1" applyFont="1" applyFill="1" applyBorder="1" applyAlignment="1" applyProtection="1">
      <alignment shrinkToFit="1"/>
      <protection locked="0"/>
    </xf>
    <xf numFmtId="2" fontId="3" fillId="2" borderId="1" xfId="0" applyNumberFormat="1" applyFont="1" applyFill="1" applyBorder="1" applyAlignment="1" applyProtection="1">
      <alignment shrinkToFit="1"/>
      <protection locked="0"/>
    </xf>
    <xf numFmtId="164" fontId="0" fillId="2" borderId="1" xfId="0" applyNumberFormat="1" applyFill="1" applyBorder="1" applyAlignment="1" applyProtection="1">
      <alignment shrinkToFit="1"/>
      <protection locked="0"/>
    </xf>
    <xf numFmtId="164" fontId="0" fillId="2" borderId="1" xfId="0" applyNumberFormat="1" applyFill="1" applyBorder="1" applyAlignment="1" applyProtection="1">
      <alignment horizontal="right" shrinkToFit="1"/>
      <protection locked="0"/>
    </xf>
    <xf numFmtId="0" fontId="0" fillId="2" borderId="1" xfId="0" applyFill="1" applyBorder="1" applyAlignment="1" applyProtection="1">
      <alignment shrinkToFit="1"/>
      <protection locked="0"/>
    </xf>
    <xf numFmtId="0" fontId="0" fillId="2" borderId="9" xfId="0" applyFill="1" applyBorder="1" applyAlignment="1" applyProtection="1">
      <alignment horizontal="right" shrinkToFit="1"/>
      <protection locked="0"/>
    </xf>
    <xf numFmtId="2" fontId="0" fillId="2" borderId="1" xfId="0" applyNumberFormat="1" applyFill="1" applyBorder="1" applyAlignment="1" applyProtection="1">
      <alignment horizontal="right" shrinkToFit="1"/>
      <protection locked="0"/>
    </xf>
    <xf numFmtId="0" fontId="2" fillId="0" borderId="0" xfId="0" applyFont="1"/>
    <xf numFmtId="15" fontId="0" fillId="0" borderId="1" xfId="0" applyNumberFormat="1" applyBorder="1" applyAlignment="1">
      <alignment shrinkToFit="1"/>
    </xf>
    <xf numFmtId="1" fontId="0" fillId="2" borderId="1" xfId="0" applyNumberFormat="1" applyFill="1" applyBorder="1" applyAlignment="1" applyProtection="1">
      <alignment shrinkToFit="1"/>
      <protection locked="0"/>
    </xf>
    <xf numFmtId="2" fontId="4" fillId="0" borderId="1" xfId="0" applyNumberFormat="1" applyFont="1" applyBorder="1" applyAlignment="1" applyProtection="1">
      <alignment shrinkToFit="1"/>
      <protection locked="0"/>
    </xf>
    <xf numFmtId="0" fontId="0" fillId="4" borderId="1" xfId="0" applyFill="1" applyBorder="1"/>
    <xf numFmtId="0" fontId="0" fillId="0" borderId="0" xfId="0" applyProtection="1">
      <protection locked="0"/>
    </xf>
    <xf numFmtId="0" fontId="0" fillId="0" borderId="1" xfId="0" quotePrefix="1" applyBorder="1"/>
    <xf numFmtId="0" fontId="7" fillId="0" borderId="0" xfId="0" applyFont="1"/>
    <xf numFmtId="0" fontId="0" fillId="0" borderId="1" xfId="0" quotePrefix="1" applyBorder="1" applyAlignment="1">
      <alignment shrinkToFit="1"/>
    </xf>
    <xf numFmtId="0" fontId="0" fillId="0" borderId="0" xfId="0" quotePrefix="1" applyAlignment="1">
      <alignment shrinkToFit="1"/>
    </xf>
    <xf numFmtId="2" fontId="4" fillId="0" borderId="1" xfId="0" quotePrefix="1" applyNumberFormat="1" applyFont="1" applyBorder="1" applyAlignment="1" applyProtection="1">
      <alignment shrinkToFit="1"/>
      <protection locked="0"/>
    </xf>
    <xf numFmtId="0" fontId="0" fillId="2" borderId="1" xfId="0" applyFill="1" applyBorder="1" applyAlignment="1" applyProtection="1">
      <alignment horizontal="left" vertical="center" shrinkToFit="1"/>
      <protection locked="0"/>
    </xf>
    <xf numFmtId="0" fontId="8" fillId="0" borderId="0" xfId="0" applyFont="1"/>
    <xf numFmtId="15" fontId="0" fillId="2" borderId="9" xfId="0" applyNumberFormat="1" applyFill="1" applyBorder="1" applyAlignment="1" applyProtection="1">
      <alignment horizontal="right" shrinkToFit="1"/>
      <protection locked="0"/>
    </xf>
    <xf numFmtId="1" fontId="0" fillId="2" borderId="1" xfId="0" quotePrefix="1" applyNumberFormat="1" applyFill="1" applyBorder="1" applyAlignment="1" applyProtection="1">
      <alignment shrinkToFit="1"/>
      <protection locked="0"/>
    </xf>
    <xf numFmtId="164" fontId="0" fillId="0" borderId="0" xfId="0" applyNumberFormat="1"/>
    <xf numFmtId="2" fontId="0" fillId="0" borderId="0" xfId="0" applyNumberFormat="1"/>
    <xf numFmtId="165" fontId="0" fillId="2" borderId="9" xfId="0" quotePrefix="1" applyNumberFormat="1" applyFill="1" applyBorder="1" applyAlignment="1">
      <alignment horizontal="right" shrinkToFit="1"/>
    </xf>
    <xf numFmtId="2" fontId="3" fillId="0" borderId="1" xfId="0" applyNumberFormat="1" applyFont="1" applyBorder="1" applyAlignment="1">
      <alignment shrinkToFit="1"/>
    </xf>
    <xf numFmtId="2" fontId="2" fillId="0" borderId="0" xfId="0" applyNumberFormat="1" applyFont="1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/>
    <xf numFmtId="9" fontId="0" fillId="0" borderId="0" xfId="0" applyNumberFormat="1"/>
    <xf numFmtId="2" fontId="0" fillId="0" borderId="0" xfId="0" quotePrefix="1" applyNumberFormat="1"/>
    <xf numFmtId="2" fontId="3" fillId="0" borderId="1" xfId="0" applyNumberFormat="1" applyFont="1" applyBorder="1" applyAlignment="1" applyProtection="1">
      <alignment shrinkToFit="1"/>
      <protection locked="0"/>
    </xf>
    <xf numFmtId="0" fontId="0" fillId="0" borderId="1" xfId="0" applyBorder="1" applyProtection="1">
      <protection locked="0"/>
    </xf>
    <xf numFmtId="2" fontId="0" fillId="2" borderId="1" xfId="0" applyNumberFormat="1" applyFill="1" applyBorder="1" applyAlignment="1">
      <alignment shrinkToFit="1"/>
    </xf>
    <xf numFmtId="2" fontId="0" fillId="0" borderId="1" xfId="0" applyNumberFormat="1" applyBorder="1" applyAlignment="1" applyProtection="1">
      <alignment shrinkToFit="1"/>
      <protection locked="0"/>
    </xf>
    <xf numFmtId="49" fontId="0" fillId="0" borderId="1" xfId="0" quotePrefix="1" applyNumberFormat="1" applyBorder="1" applyAlignment="1">
      <alignment horizontal="right" shrinkToFit="1"/>
    </xf>
    <xf numFmtId="2" fontId="4" fillId="0" borderId="1" xfId="0" applyNumberFormat="1" applyFont="1" applyBorder="1" applyAlignment="1">
      <alignment horizontal="right" shrinkToFit="1"/>
    </xf>
    <xf numFmtId="2" fontId="2" fillId="0" borderId="1" xfId="0" applyNumberFormat="1" applyFont="1" applyBorder="1" applyAlignment="1">
      <alignment horizontal="right" shrinkToFit="1"/>
    </xf>
    <xf numFmtId="9" fontId="0" fillId="0" borderId="1" xfId="0" applyNumberFormat="1" applyBorder="1" applyAlignment="1">
      <alignment horizontal="right" shrinkToFit="1"/>
    </xf>
    <xf numFmtId="2" fontId="0" fillId="0" borderId="1" xfId="1" applyNumberFormat="1" applyFont="1" applyFill="1" applyBorder="1" applyAlignment="1" applyProtection="1">
      <alignment horizontal="right" shrinkToFit="1"/>
    </xf>
    <xf numFmtId="10" fontId="0" fillId="0" borderId="1" xfId="1" applyNumberFormat="1" applyFont="1" applyFill="1" applyBorder="1" applyAlignment="1" applyProtection="1">
      <alignment horizontal="right" shrinkToFit="1"/>
    </xf>
    <xf numFmtId="2" fontId="3" fillId="0" borderId="1" xfId="0" applyNumberFormat="1" applyFont="1" applyBorder="1" applyAlignment="1">
      <alignment horizontal="right" shrinkToFit="1"/>
    </xf>
    <xf numFmtId="1" fontId="0" fillId="0" borderId="1" xfId="0" applyNumberFormat="1" applyBorder="1" applyAlignment="1">
      <alignment horizontal="right" shrinkToFit="1"/>
    </xf>
    <xf numFmtId="2" fontId="0" fillId="0" borderId="16" xfId="0" applyNumberFormat="1" applyBorder="1" applyAlignment="1">
      <alignment horizontal="right" shrinkToFit="1"/>
    </xf>
    <xf numFmtId="2" fontId="0" fillId="0" borderId="11" xfId="0" applyNumberFormat="1" applyBorder="1" applyAlignment="1">
      <alignment horizontal="right" shrinkToFit="1"/>
    </xf>
    <xf numFmtId="2" fontId="0" fillId="0" borderId="13" xfId="0" applyNumberFormat="1" applyBorder="1" applyAlignment="1">
      <alignment horizontal="right" shrinkToFit="1"/>
    </xf>
    <xf numFmtId="2" fontId="0" fillId="0" borderId="14" xfId="0" applyNumberFormat="1" applyBorder="1" applyAlignment="1">
      <alignment horizontal="right" shrinkToFit="1"/>
    </xf>
    <xf numFmtId="2" fontId="0" fillId="0" borderId="12" xfId="0" applyNumberFormat="1" applyBorder="1" applyAlignment="1">
      <alignment horizontal="right" shrinkToFit="1"/>
    </xf>
    <xf numFmtId="2" fontId="0" fillId="0" borderId="15" xfId="0" applyNumberFormat="1" applyBorder="1" applyAlignment="1">
      <alignment horizontal="right" shrinkToFit="1"/>
    </xf>
    <xf numFmtId="0" fontId="0" fillId="0" borderId="13" xfId="0" applyBorder="1" applyAlignment="1">
      <alignment horizontal="right" shrinkToFit="1"/>
    </xf>
    <xf numFmtId="0" fontId="0" fillId="0" borderId="11" xfId="0" applyBorder="1" applyAlignment="1">
      <alignment horizontal="right" shrinkToFit="1"/>
    </xf>
    <xf numFmtId="0" fontId="0" fillId="6" borderId="1" xfId="0" applyFill="1" applyBorder="1"/>
    <xf numFmtId="2" fontId="3" fillId="6" borderId="1" xfId="0" applyNumberFormat="1" applyFont="1" applyFill="1" applyBorder="1" applyAlignment="1">
      <alignment horizontal="right" shrinkToFit="1"/>
    </xf>
    <xf numFmtId="0" fontId="0" fillId="6" borderId="1" xfId="0" applyFill="1" applyBorder="1" applyAlignment="1">
      <alignment shrinkToFit="1"/>
    </xf>
    <xf numFmtId="2" fontId="0" fillId="6" borderId="1" xfId="0" applyNumberFormat="1" applyFill="1" applyBorder="1" applyAlignment="1">
      <alignment horizontal="right" shrinkToFit="1"/>
    </xf>
    <xf numFmtId="164" fontId="0" fillId="6" borderId="1" xfId="0" applyNumberFormat="1" applyFill="1" applyBorder="1" applyAlignment="1">
      <alignment horizontal="right" shrinkToFit="1"/>
    </xf>
    <xf numFmtId="165" fontId="0" fillId="6" borderId="1" xfId="0" quotePrefix="1" applyNumberFormat="1" applyFill="1" applyBorder="1" applyAlignment="1">
      <alignment horizontal="right" shrinkToFit="1"/>
    </xf>
    <xf numFmtId="0" fontId="0" fillId="6" borderId="1" xfId="0" quotePrefix="1" applyFill="1" applyBorder="1" applyAlignment="1">
      <alignment horizontal="right" shrinkToFit="1"/>
    </xf>
    <xf numFmtId="0" fontId="0" fillId="6" borderId="1" xfId="0" applyFill="1" applyBorder="1" applyAlignment="1">
      <alignment horizontal="right" shrinkToFit="1"/>
    </xf>
    <xf numFmtId="0" fontId="0" fillId="6" borderId="9" xfId="0" applyFill="1" applyBorder="1" applyAlignment="1">
      <alignment shrinkToFit="1"/>
    </xf>
    <xf numFmtId="0" fontId="0" fillId="6" borderId="1" xfId="0" applyFill="1" applyBorder="1" applyAlignment="1">
      <alignment vertical="center" shrinkToFit="1"/>
    </xf>
    <xf numFmtId="2" fontId="0" fillId="6" borderId="9" xfId="0" applyNumberFormat="1" applyFill="1" applyBorder="1" applyAlignment="1">
      <alignment horizontal="right" shrinkToFit="1"/>
    </xf>
    <xf numFmtId="2" fontId="0" fillId="6" borderId="13" xfId="0" applyNumberFormat="1" applyFill="1" applyBorder="1" applyAlignment="1">
      <alignment horizontal="right" shrinkToFit="1"/>
    </xf>
    <xf numFmtId="2" fontId="0" fillId="6" borderId="11" xfId="0" applyNumberFormat="1" applyFill="1" applyBorder="1" applyAlignment="1">
      <alignment horizontal="right" shrinkToFit="1"/>
    </xf>
    <xf numFmtId="0" fontId="0" fillId="7" borderId="1" xfId="0" applyFill="1" applyBorder="1"/>
    <xf numFmtId="165" fontId="0" fillId="7" borderId="1" xfId="0" quotePrefix="1" applyNumberFormat="1" applyFill="1" applyBorder="1" applyAlignment="1">
      <alignment horizontal="right" shrinkToFit="1"/>
    </xf>
    <xf numFmtId="0" fontId="0" fillId="6" borderId="13" xfId="0" applyFill="1" applyBorder="1" applyAlignment="1">
      <alignment horizontal="right" shrinkToFit="1"/>
    </xf>
    <xf numFmtId="0" fontId="0" fillId="6" borderId="11" xfId="0" applyFill="1" applyBorder="1" applyAlignment="1">
      <alignment horizontal="right" shrinkToFit="1"/>
    </xf>
    <xf numFmtId="165" fontId="0" fillId="6" borderId="1" xfId="0" applyNumberFormat="1" applyFill="1" applyBorder="1" applyAlignment="1">
      <alignment horizontal="right" shrinkToFit="1"/>
    </xf>
    <xf numFmtId="165" fontId="0" fillId="6" borderId="13" xfId="0" applyNumberFormat="1" applyFill="1" applyBorder="1" applyAlignment="1">
      <alignment horizontal="right" shrinkToFit="1"/>
    </xf>
    <xf numFmtId="165" fontId="0" fillId="6" borderId="11" xfId="0" applyNumberFormat="1" applyFill="1" applyBorder="1" applyAlignment="1">
      <alignment horizontal="right" shrinkToFit="1"/>
    </xf>
    <xf numFmtId="0" fontId="0" fillId="8" borderId="1" xfId="0" applyFill="1" applyBorder="1"/>
    <xf numFmtId="165" fontId="0" fillId="8" borderId="1" xfId="0" applyNumberFormat="1" applyFill="1" applyBorder="1" applyAlignment="1">
      <alignment horizontal="right" shrinkToFit="1"/>
    </xf>
    <xf numFmtId="165" fontId="0" fillId="8" borderId="13" xfId="0" applyNumberFormat="1" applyFill="1" applyBorder="1" applyAlignment="1">
      <alignment horizontal="right" shrinkToFit="1"/>
    </xf>
    <xf numFmtId="165" fontId="0" fillId="8" borderId="11" xfId="0" applyNumberFormat="1" applyFill="1" applyBorder="1" applyAlignment="1">
      <alignment horizontal="right" shrinkToFit="1"/>
    </xf>
    <xf numFmtId="0" fontId="0" fillId="8" borderId="11" xfId="0" applyFill="1" applyBorder="1" applyAlignment="1">
      <alignment horizontal="right" shrinkToFit="1"/>
    </xf>
    <xf numFmtId="2" fontId="0" fillId="0" borderId="1" xfId="0" quotePrefix="1" applyNumberFormat="1" applyBorder="1" applyAlignment="1" applyProtection="1">
      <alignment shrinkToFit="1"/>
      <protection locked="0"/>
    </xf>
    <xf numFmtId="0" fontId="3" fillId="6" borderId="1" xfId="0" applyFont="1" applyFill="1" applyBorder="1" applyAlignment="1">
      <alignment horizontal="right" shrinkToFit="1"/>
    </xf>
    <xf numFmtId="0" fontId="9" fillId="0" borderId="1" xfId="0" applyFont="1" applyBorder="1"/>
    <xf numFmtId="15" fontId="9" fillId="9" borderId="1" xfId="0" applyNumberFormat="1" applyFont="1" applyFill="1" applyBorder="1" applyAlignment="1">
      <alignment horizontal="right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right"/>
    </xf>
    <xf numFmtId="0" fontId="9" fillId="4" borderId="1" xfId="0" quotePrefix="1" applyFont="1" applyFill="1" applyBorder="1" applyAlignment="1">
      <alignment horizontal="right"/>
    </xf>
    <xf numFmtId="2" fontId="9" fillId="0" borderId="1" xfId="0" applyNumberFormat="1" applyFont="1" applyBorder="1"/>
    <xf numFmtId="2" fontId="9" fillId="4" borderId="1" xfId="0" applyNumberFormat="1" applyFont="1" applyFill="1" applyBorder="1"/>
    <xf numFmtId="165" fontId="9" fillId="0" borderId="1" xfId="0" applyNumberFormat="1" applyFont="1" applyBorder="1"/>
    <xf numFmtId="2" fontId="10" fillId="0" borderId="1" xfId="0" quotePrefix="1" applyNumberFormat="1" applyFont="1" applyBorder="1"/>
    <xf numFmtId="0" fontId="11" fillId="10" borderId="1" xfId="0" applyFont="1" applyFill="1" applyBorder="1"/>
    <xf numFmtId="0" fontId="12" fillId="11" borderId="17" xfId="0" applyFont="1" applyFill="1" applyBorder="1"/>
    <xf numFmtId="0" fontId="12" fillId="11" borderId="1" xfId="0" applyFont="1" applyFill="1" applyBorder="1"/>
    <xf numFmtId="0" fontId="12" fillId="0" borderId="1" xfId="0" applyFont="1" applyBorder="1"/>
    <xf numFmtId="0" fontId="0" fillId="12" borderId="1" xfId="0" applyFill="1" applyBorder="1" applyAlignment="1">
      <alignment horizontal="right"/>
    </xf>
    <xf numFmtId="2" fontId="0" fillId="0" borderId="1" xfId="0" quotePrefix="1" applyNumberFormat="1" applyBorder="1"/>
    <xf numFmtId="0" fontId="13" fillId="0" borderId="0" xfId="0" applyFont="1"/>
    <xf numFmtId="165" fontId="0" fillId="2" borderId="1" xfId="0" quotePrefix="1" applyNumberFormat="1" applyFill="1" applyBorder="1" applyAlignment="1">
      <alignment horizontal="right" shrinkToFit="1"/>
    </xf>
    <xf numFmtId="2" fontId="3" fillId="0" borderId="1" xfId="0" applyNumberFormat="1" applyFont="1" applyBorder="1" applyAlignment="1" applyProtection="1">
      <alignment horizontal="right" shrinkToFit="1"/>
      <protection locked="0"/>
    </xf>
    <xf numFmtId="2" fontId="3" fillId="5" borderId="1" xfId="0" applyNumberFormat="1" applyFont="1" applyFill="1" applyBorder="1" applyAlignment="1">
      <alignment horizontal="right" shrinkToFit="1"/>
    </xf>
    <xf numFmtId="0" fontId="12" fillId="0" borderId="0" xfId="0" applyFont="1"/>
    <xf numFmtId="0" fontId="12" fillId="11" borderId="9" xfId="0" applyFont="1" applyFill="1" applyBorder="1"/>
    <xf numFmtId="2" fontId="0" fillId="5" borderId="1" xfId="0" quotePrefix="1" applyNumberFormat="1" applyFill="1" applyBorder="1"/>
    <xf numFmtId="0" fontId="12" fillId="0" borderId="9" xfId="0" applyFont="1" applyBorder="1"/>
    <xf numFmtId="2" fontId="0" fillId="13" borderId="1" xfId="0" quotePrefix="1" applyNumberFormat="1" applyFill="1" applyBorder="1"/>
    <xf numFmtId="15" fontId="0" fillId="0" borderId="1" xfId="0" quotePrefix="1" applyNumberFormat="1" applyBorder="1" applyAlignment="1">
      <alignment horizontal="left" shrinkToFit="1"/>
    </xf>
    <xf numFmtId="0" fontId="13" fillId="0" borderId="5" xfId="0" applyFont="1" applyBorder="1"/>
    <xf numFmtId="2" fontId="0" fillId="13" borderId="1" xfId="0" applyNumberFormat="1" applyFill="1" applyBorder="1"/>
    <xf numFmtId="2" fontId="10" fillId="0" borderId="1" xfId="0" applyNumberFormat="1" applyFont="1" applyBorder="1"/>
    <xf numFmtId="166" fontId="0" fillId="8" borderId="11" xfId="0" applyNumberFormat="1" applyFill="1" applyBorder="1" applyAlignment="1">
      <alignment horizontal="right" shrinkToFit="1"/>
    </xf>
    <xf numFmtId="165" fontId="0" fillId="2" borderId="1" xfId="0" applyNumberFormat="1" applyFill="1" applyBorder="1" applyAlignment="1" applyProtection="1">
      <alignment shrinkToFit="1"/>
      <protection locked="0"/>
    </xf>
    <xf numFmtId="165" fontId="0" fillId="2" borderId="1" xfId="0" quotePrefix="1" applyNumberFormat="1" applyFill="1" applyBorder="1" applyAlignment="1" applyProtection="1">
      <alignment shrinkToFit="1"/>
      <protection locked="0"/>
    </xf>
    <xf numFmtId="0" fontId="0" fillId="0" borderId="2" xfId="0" applyBorder="1" applyAlignment="1">
      <alignment horizontal="center"/>
    </xf>
  </cellXfs>
  <cellStyles count="2">
    <cellStyle name="Normal" xfId="0" builtinId="0"/>
    <cellStyle name="Percent" xfId="1" builtinId="5"/>
  </cellStyles>
  <dxfs count="59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>
          <fgColor indexed="64"/>
          <bgColor rgb="FFFF0000"/>
        </patternFill>
      </fill>
      <alignment horizontal="right" vertical="bottom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rgb="FFFF0000"/>
        </patternFill>
      </fill>
      <alignment horizontal="general" vertical="bottom" textRotation="0" wrapText="0" indent="0" justifyLastLine="0" shrinkToFit="1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0" formatCode="dd\-mmm\-yy"/>
      <fill>
        <patternFill patternType="solid">
          <fgColor indexed="64"/>
          <bgColor rgb="FFFFFF0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0FC532-9134-49F6-9A0A-F74168B43BF9}" name="DataTable" displayName="DataTable" ref="B4:AX216" totalsRowShown="0" headerRowDxfId="58" headerRowBorderDxfId="57" tableBorderDxfId="56" totalsRowBorderDxfId="55">
  <autoFilter ref="B4:AX216" xr:uid="{B40FC532-9134-49F6-9A0A-F74168B43BF9}"/>
  <tableColumns count="49">
    <tableColumn id="1" xr3:uid="{7CBC8016-AF51-4817-A933-EB8F666E9B5C}" name="Column1" dataDxfId="54"/>
    <tableColumn id="3" xr3:uid="{1A7ABD05-E6CF-40A4-A26C-DA27D5FDFB7A}" name="Column2" dataDxfId="53"/>
    <tableColumn id="2" xr3:uid="{3FD50B74-E35B-45F5-91D4-FCC56A2C4FF7}" name="Column3"/>
    <tableColumn id="1327" xr3:uid="{101D9344-C6A7-4EA2-939F-21A4FF1DF426}" name="Column1791040" dataDxfId="52"/>
    <tableColumn id="1328" xr3:uid="{440516CC-10CF-4366-8748-A8F02D51560E}" name="Column1791041" dataDxfId="51"/>
    <tableColumn id="1313" xr3:uid="{FD251D6B-6F7F-4C74-841A-5F5FE470F109}" name="Column1791026" dataDxfId="50"/>
    <tableColumn id="1314" xr3:uid="{F9541891-F452-44D5-97A8-8E61481B7EC3}" name="Column1791027" dataDxfId="49"/>
    <tableColumn id="1315" xr3:uid="{11AE6EA9-5E41-4E40-B808-E2F764886E25}" name="Column1791028" dataDxfId="48"/>
    <tableColumn id="1316" xr3:uid="{E4121BC0-6674-4A47-9CCD-72720B685329}" name="Column1791029" dataDxfId="47"/>
    <tableColumn id="1317" xr3:uid="{F66199B9-26CA-4F8F-B055-F6B3CAD6D5BB}" name="Column1791030" dataDxfId="46"/>
    <tableColumn id="1318" xr3:uid="{AB5A1271-9D5C-4C26-934A-740F3443A2C8}" name="Column1791031" dataDxfId="45"/>
    <tableColumn id="1319" xr3:uid="{D17D9ECE-AB08-421D-930B-9395AA0670B9}" name="Column1791032" dataDxfId="44"/>
    <tableColumn id="1320" xr3:uid="{0E019C1A-83CD-485F-942C-1BB88E9DE951}" name="Column1791033" dataDxfId="43"/>
    <tableColumn id="1305" xr3:uid="{2BA0136A-3492-44E8-AF71-10169AC40F4A}" name="Column1791018" dataDxfId="42"/>
    <tableColumn id="1306" xr3:uid="{4771B671-987C-4FDF-BB27-29032B6FA5F6}" name="Column1791019" dataDxfId="41"/>
    <tableColumn id="1307" xr3:uid="{748E27D1-2EF0-4DBB-B342-F96342A9ADC3}" name="Column1791020" dataDxfId="40"/>
    <tableColumn id="1308" xr3:uid="{5C86FC4F-5F9D-4713-B995-9CECB2D68284}" name="Column1791021" dataDxfId="39"/>
    <tableColumn id="1309" xr3:uid="{AA47656D-5B84-46FD-BB76-BEC66FD5BFCC}" name="Column1791022" dataDxfId="38"/>
    <tableColumn id="1310" xr3:uid="{BA7518A1-EB89-4B68-93FE-D2A17E19B2CD}" name="Column1791023" dataDxfId="37"/>
    <tableColumn id="1311" xr3:uid="{4EBC30DD-EC99-4D2C-9EF3-4B8CA83BD202}" name="Column1791024" dataDxfId="36"/>
    <tableColumn id="1312" xr3:uid="{24939066-642E-4478-A178-A785BC974DD3}" name="Column1791025" dataDxfId="35"/>
    <tableColumn id="1297" xr3:uid="{E9AA32E3-872E-45A2-9BCE-3BDCB657C4F7}" name="Column1791010" dataDxfId="34"/>
    <tableColumn id="1298" xr3:uid="{9F7BB66B-48E7-4BE5-93F5-E0B6C223EB41}" name="Column1791011" dataDxfId="33"/>
    <tableColumn id="1299" xr3:uid="{F231FABE-1ECA-4002-969F-538DCF5F9412}" name="Column1791012" dataDxfId="32"/>
    <tableColumn id="1300" xr3:uid="{859C39CB-3E79-4B84-A36E-EA6582CAFA0C}" name="Column1791013" dataDxfId="31"/>
    <tableColumn id="1301" xr3:uid="{194C40AF-1766-4E76-B638-B3FE909ACDD5}" name="Column1791014" dataDxfId="30"/>
    <tableColumn id="1302" xr3:uid="{2F4A4A03-076C-4698-82A2-91110F13090E}" name="Column1791015" dataDxfId="29"/>
    <tableColumn id="1303" xr3:uid="{8075FA90-4D01-48E3-9B84-EC6C5F5A64AE}" name="Column1791016" dataDxfId="28"/>
    <tableColumn id="1304" xr3:uid="{373290BC-4132-4483-97C3-5FFFFBF34A80}" name="Column1791017" dataDxfId="27"/>
    <tableColumn id="1289" xr3:uid="{128E7FA7-5B50-4343-ACAF-6BAAC637392F}" name="Column179102" dataDxfId="26"/>
    <tableColumn id="1290" xr3:uid="{215FE171-7C83-468E-9A09-83B4BCF89536}" name="Column179103" dataDxfId="25"/>
    <tableColumn id="1291" xr3:uid="{76F90C6C-99A5-488E-A382-D159E7CDA845}" name="Column179104" dataDxfId="24"/>
    <tableColumn id="1292" xr3:uid="{E29AA260-720A-4018-A57B-C9F911C0E671}" name="Column179105" dataDxfId="23"/>
    <tableColumn id="1293" xr3:uid="{0D503391-C3CF-40E4-B35E-756F64EECB5E}" name="Column179106" dataDxfId="22"/>
    <tableColumn id="1294" xr3:uid="{D893E7D4-7983-4145-BAC4-7B50331A3BA9}" name="Column179107" dataDxfId="21"/>
    <tableColumn id="1295" xr3:uid="{F712EE37-F2A4-47E2-87C7-ED7EE087928F}" name="Column179108" dataDxfId="20"/>
    <tableColumn id="1296" xr3:uid="{BE6296C5-EE00-4F0E-BB4C-D070D38AAB9E}" name="Column179109" dataDxfId="19"/>
    <tableColumn id="1284" xr3:uid="{73191268-9408-49B3-A202-23331F7E0168}" name="Column1799" dataDxfId="18"/>
    <tableColumn id="1283" xr3:uid="{CF3469AD-481B-4A1A-86F3-E7D8045A216C}" name="Column1798" dataDxfId="17"/>
    <tableColumn id="1282" xr3:uid="{B83234A5-C88F-43C4-8A25-3E1607A9F44E}" name="Column1797" dataDxfId="16"/>
    <tableColumn id="1281" xr3:uid="{4A14EE10-2D53-43B1-8DE0-81C3A6F677A0}" name="Column1796" dataDxfId="15"/>
    <tableColumn id="1280" xr3:uid="{377D6315-83C0-4D15-9D67-729A9A23CEFB}" name="Column1795" dataDxfId="14"/>
    <tableColumn id="1279" xr3:uid="{0D3C67AE-7FF2-44BE-AFC6-21138E7C5CDC}" name="Column1794" dataDxfId="13"/>
    <tableColumn id="1278" xr3:uid="{5932D5EF-79EA-48DB-BB70-F951E48A65E4}" name="Column1793" dataDxfId="12"/>
    <tableColumn id="1277" xr3:uid="{E342143A-09B8-4F95-8F6B-A80191AFCA75}" name="Column1792" dataDxfId="11"/>
    <tableColumn id="1261" xr3:uid="{BEC34A86-5414-4095-946A-A93A1189E25F}" name="Column15522221122" dataDxfId="10"/>
    <tableColumn id="1013" xr3:uid="{48712595-16CE-4604-8200-7520A3908A96}" name="Column156" dataDxfId="9"/>
    <tableColumn id="176" xr3:uid="{1DF4EFAD-7EDA-416C-8D37-AB3B0E20E420}" name="Column1492" dataDxfId="8"/>
    <tableColumn id="15" xr3:uid="{D5F6FB07-6063-4181-B1AD-95F72AB977F5}" name="End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34B25D-C7FB-4091-8365-884EBF59A8C4}" name="Table13" displayName="Table13" ref="B2:D340" totalsRowShown="0" headerRowBorderDxfId="6" tableBorderDxfId="5" totalsRowBorderDxfId="4">
  <autoFilter ref="B2:D340" xr:uid="{9D34B25D-C7FB-4091-8365-884EBF59A8C4}"/>
  <sortState xmlns:xlrd2="http://schemas.microsoft.com/office/spreadsheetml/2017/richdata2" ref="B3:D340">
    <sortCondition ref="C3:C341"/>
  </sortState>
  <tableColumns count="3">
    <tableColumn id="1" xr3:uid="{2ADB79CB-7D8F-461B-A9F0-1FF006E4535C}" name="S No" dataDxfId="3">
      <calculatedColumnFormula>ROW(B3)-2</calculatedColumnFormula>
    </tableColumn>
    <tableColumn id="2" xr3:uid="{D4104CDB-17AB-4C90-BD5F-FA2F2C21E8A0}" name="Export Customers" dataDxfId="2"/>
    <tableColumn id="3" xr3:uid="{0703E85E-3079-4F74-91C9-4B87ECDA425D}" name="Expor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EB88-2F76-47E4-97F5-EA223B2C6E3A}">
  <dimension ref="B1:AYW247"/>
  <sheetViews>
    <sheetView tabSelected="1" zoomScale="110" zoomScaleNormal="110" workbookViewId="0">
      <pane xSplit="4" ySplit="9" topLeftCell="E13" activePane="bottomRight" state="frozen"/>
      <selection pane="topRight" activeCell="C1" sqref="C1"/>
      <selection pane="bottomLeft" activeCell="A7" sqref="A7"/>
      <selection pane="bottomRight" activeCell="G7" sqref="G7"/>
    </sheetView>
  </sheetViews>
  <sheetFormatPr defaultRowHeight="15" customHeight="1" x14ac:dyDescent="0.45"/>
  <cols>
    <col min="1" max="1" width="3.1328125" customWidth="1"/>
    <col min="2" max="2" width="2.59765625" customWidth="1"/>
    <col min="3" max="3" width="7.265625" customWidth="1"/>
    <col min="4" max="4" width="21.1328125" customWidth="1"/>
    <col min="5" max="11" width="8.73046875" customWidth="1"/>
    <col min="12" max="13" width="8.73046875" hidden="1" customWidth="1"/>
    <col min="14" max="106" width="8.73046875" customWidth="1"/>
    <col min="352" max="353" width="10" customWidth="1"/>
    <col min="354" max="354" width="10" bestFit="1" customWidth="1"/>
    <col min="358" max="358" width="9.3984375" customWidth="1"/>
    <col min="361" max="361" width="10.1328125" customWidth="1"/>
    <col min="1222" max="1227" width="9" customWidth="1"/>
    <col min="1233" max="1235" width="0" hidden="1" customWidth="1"/>
  </cols>
  <sheetData>
    <row r="1" spans="2:265" ht="9.6" customHeight="1" x14ac:dyDescent="0.45"/>
    <row r="2" spans="2:265" ht="9.6" customHeight="1" x14ac:dyDescent="0.45">
      <c r="JE2" t="s">
        <v>0</v>
      </c>
    </row>
    <row r="3" spans="2:265" ht="6.95" customHeight="1" x14ac:dyDescent="0.45"/>
    <row r="4" spans="2:265" ht="14.25" x14ac:dyDescent="0.45">
      <c r="B4" s="49" t="s">
        <v>1</v>
      </c>
      <c r="C4" s="26" t="s">
        <v>2</v>
      </c>
      <c r="D4" s="27" t="s">
        <v>3</v>
      </c>
      <c r="E4" s="28" t="s">
        <v>4</v>
      </c>
      <c r="F4" s="28" t="s">
        <v>5</v>
      </c>
      <c r="G4" s="28" t="s">
        <v>6</v>
      </c>
      <c r="H4" s="28" t="s">
        <v>7</v>
      </c>
      <c r="I4" s="28" t="s">
        <v>8</v>
      </c>
      <c r="J4" s="28" t="s">
        <v>9</v>
      </c>
      <c r="K4" s="28" t="s">
        <v>10</v>
      </c>
      <c r="L4" s="28" t="s">
        <v>11</v>
      </c>
      <c r="M4" s="28" t="s">
        <v>12</v>
      </c>
      <c r="N4" s="28" t="s">
        <v>13</v>
      </c>
      <c r="O4" s="28" t="s">
        <v>14</v>
      </c>
      <c r="P4" s="28" t="s">
        <v>15</v>
      </c>
      <c r="Q4" s="28" t="s">
        <v>16</v>
      </c>
      <c r="R4" s="28" t="s">
        <v>17</v>
      </c>
      <c r="S4" s="28" t="s">
        <v>18</v>
      </c>
      <c r="T4" s="28" t="s">
        <v>19</v>
      </c>
      <c r="U4" s="28" t="s">
        <v>20</v>
      </c>
      <c r="V4" s="28" t="s">
        <v>21</v>
      </c>
      <c r="W4" s="28" t="s">
        <v>22</v>
      </c>
      <c r="X4" s="28" t="s">
        <v>23</v>
      </c>
      <c r="Y4" s="28" t="s">
        <v>24</v>
      </c>
      <c r="Z4" s="28" t="s">
        <v>25</v>
      </c>
      <c r="AA4" s="28" t="s">
        <v>26</v>
      </c>
      <c r="AB4" s="28" t="s">
        <v>27</v>
      </c>
      <c r="AC4" s="28" t="s">
        <v>28</v>
      </c>
      <c r="AD4" s="28" t="s">
        <v>29</v>
      </c>
      <c r="AE4" s="28" t="s">
        <v>30</v>
      </c>
      <c r="AF4" s="28" t="s">
        <v>31</v>
      </c>
      <c r="AG4" s="28" t="s">
        <v>32</v>
      </c>
      <c r="AH4" s="28" t="s">
        <v>33</v>
      </c>
      <c r="AI4" s="28" t="s">
        <v>34</v>
      </c>
      <c r="AJ4" s="28" t="s">
        <v>35</v>
      </c>
      <c r="AK4" s="28" t="s">
        <v>36</v>
      </c>
      <c r="AL4" s="28" t="s">
        <v>37</v>
      </c>
      <c r="AM4" s="28" t="s">
        <v>38</v>
      </c>
      <c r="AN4" s="28" t="s">
        <v>39</v>
      </c>
      <c r="AO4" s="28" t="s">
        <v>40</v>
      </c>
      <c r="AP4" s="28" t="s">
        <v>41</v>
      </c>
      <c r="AQ4" s="28" t="s">
        <v>42</v>
      </c>
      <c r="AR4" s="28" t="s">
        <v>43</v>
      </c>
      <c r="AS4" s="28" t="s">
        <v>44</v>
      </c>
      <c r="AT4" s="28" t="s">
        <v>45</v>
      </c>
      <c r="AU4" s="28" t="s">
        <v>46</v>
      </c>
      <c r="AV4" s="28" t="s">
        <v>47</v>
      </c>
      <c r="AW4" s="28" t="s">
        <v>48</v>
      </c>
      <c r="AX4" s="30" t="s">
        <v>49</v>
      </c>
      <c r="AY4" s="165"/>
    </row>
    <row r="5" spans="2:265" ht="14.25" x14ac:dyDescent="0.45">
      <c r="B5" s="50">
        <v>0</v>
      </c>
      <c r="C5" s="47" t="s">
        <v>50</v>
      </c>
      <c r="D5" s="3" t="s">
        <v>51</v>
      </c>
      <c r="E5" s="52">
        <v>46161</v>
      </c>
      <c r="F5" s="52">
        <v>46161</v>
      </c>
      <c r="G5" s="52">
        <v>46161</v>
      </c>
      <c r="H5" s="52">
        <v>46161</v>
      </c>
      <c r="I5" s="52">
        <v>46161</v>
      </c>
      <c r="J5" s="52">
        <v>46161</v>
      </c>
      <c r="K5" s="52">
        <v>46161</v>
      </c>
      <c r="L5" s="52">
        <v>46161</v>
      </c>
      <c r="M5" s="52">
        <v>46161</v>
      </c>
      <c r="N5" s="52">
        <v>46161</v>
      </c>
      <c r="O5" s="52">
        <v>46161</v>
      </c>
      <c r="P5" s="52">
        <v>46161</v>
      </c>
      <c r="Q5" s="52">
        <v>46161</v>
      </c>
      <c r="R5" s="52">
        <v>46163</v>
      </c>
      <c r="S5" s="52">
        <v>46163</v>
      </c>
      <c r="T5" s="52">
        <v>46163</v>
      </c>
      <c r="U5" s="52">
        <v>46164</v>
      </c>
      <c r="V5" s="52">
        <v>46167</v>
      </c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31"/>
      <c r="AY5" s="165"/>
    </row>
    <row r="6" spans="2:265" ht="14.25" x14ac:dyDescent="0.45">
      <c r="B6" s="50"/>
      <c r="C6" s="47" t="s">
        <v>50</v>
      </c>
      <c r="D6" s="3" t="s">
        <v>52</v>
      </c>
      <c r="E6" s="53" t="s">
        <v>53</v>
      </c>
      <c r="F6" s="53" t="s">
        <v>53</v>
      </c>
      <c r="G6" s="53" t="s">
        <v>53</v>
      </c>
      <c r="H6" s="53" t="s">
        <v>53</v>
      </c>
      <c r="I6" s="53" t="s">
        <v>53</v>
      </c>
      <c r="J6" s="53" t="s">
        <v>53</v>
      </c>
      <c r="K6" s="53" t="s">
        <v>53</v>
      </c>
      <c r="L6" s="53" t="s">
        <v>53</v>
      </c>
      <c r="M6" s="53" t="s">
        <v>53</v>
      </c>
      <c r="N6" s="53" t="s">
        <v>53</v>
      </c>
      <c r="O6" s="53" t="s">
        <v>53</v>
      </c>
      <c r="P6" s="53" t="s">
        <v>53</v>
      </c>
      <c r="Q6" s="53" t="s">
        <v>53</v>
      </c>
      <c r="R6" s="53" t="s">
        <v>53</v>
      </c>
      <c r="S6" s="53" t="s">
        <v>53</v>
      </c>
      <c r="T6" s="53" t="s">
        <v>53</v>
      </c>
      <c r="U6" s="53" t="s">
        <v>53</v>
      </c>
      <c r="V6" s="53" t="s">
        <v>53</v>
      </c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31"/>
      <c r="AY6" s="165"/>
    </row>
    <row r="7" spans="2:265" ht="14.25" x14ac:dyDescent="0.45">
      <c r="B7" s="50">
        <v>1</v>
      </c>
      <c r="C7" s="47" t="s">
        <v>50</v>
      </c>
      <c r="D7" s="3" t="s">
        <v>55</v>
      </c>
      <c r="E7" s="74" t="s">
        <v>174</v>
      </c>
      <c r="F7" s="74" t="s">
        <v>174</v>
      </c>
      <c r="G7" s="74" t="s">
        <v>171</v>
      </c>
      <c r="H7" s="74" t="s">
        <v>171</v>
      </c>
      <c r="I7" s="74" t="s">
        <v>171</v>
      </c>
      <c r="J7" s="74" t="s">
        <v>171</v>
      </c>
      <c r="K7" s="74" t="s">
        <v>171</v>
      </c>
      <c r="L7" s="74" t="s">
        <v>171</v>
      </c>
      <c r="M7" s="74" t="s">
        <v>171</v>
      </c>
      <c r="N7" s="74" t="s">
        <v>171</v>
      </c>
      <c r="O7" s="74" t="s">
        <v>171</v>
      </c>
      <c r="P7" s="74" t="s">
        <v>171</v>
      </c>
      <c r="Q7" s="74" t="s">
        <v>171</v>
      </c>
      <c r="R7" s="74" t="s">
        <v>63</v>
      </c>
      <c r="S7" s="74" t="s">
        <v>63</v>
      </c>
      <c r="T7" s="74" t="s">
        <v>79</v>
      </c>
      <c r="U7" s="74" t="s">
        <v>175</v>
      </c>
      <c r="V7" s="74" t="s">
        <v>56</v>
      </c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32"/>
      <c r="AY7" s="165"/>
    </row>
    <row r="8" spans="2:265" ht="14.25" x14ac:dyDescent="0.45">
      <c r="B8" s="50"/>
      <c r="C8" s="47" t="s">
        <v>50</v>
      </c>
      <c r="D8" s="3" t="s">
        <v>176</v>
      </c>
      <c r="E8" s="65" t="s">
        <v>184</v>
      </c>
      <c r="F8" s="65" t="s">
        <v>185</v>
      </c>
      <c r="G8" s="65" t="s">
        <v>178</v>
      </c>
      <c r="H8" s="163" t="s">
        <v>178</v>
      </c>
      <c r="I8" s="163" t="s">
        <v>178</v>
      </c>
      <c r="J8" s="163" t="s">
        <v>178</v>
      </c>
      <c r="K8" s="163" t="s">
        <v>181</v>
      </c>
      <c r="L8" s="163" t="s">
        <v>177</v>
      </c>
      <c r="M8" s="163" t="s">
        <v>182</v>
      </c>
      <c r="N8" s="163" t="s">
        <v>180</v>
      </c>
      <c r="O8" s="163" t="s">
        <v>181</v>
      </c>
      <c r="P8" s="163" t="s">
        <v>183</v>
      </c>
      <c r="Q8" s="163" t="s">
        <v>180</v>
      </c>
      <c r="R8" s="163" t="s">
        <v>186</v>
      </c>
      <c r="S8" s="65" t="s">
        <v>179</v>
      </c>
      <c r="T8" s="65" t="s">
        <v>187</v>
      </c>
      <c r="U8" s="65" t="s">
        <v>188</v>
      </c>
      <c r="V8" s="65" t="s">
        <v>189</v>
      </c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77"/>
      <c r="AW8" s="65"/>
      <c r="AX8" s="32"/>
      <c r="AY8" s="165"/>
    </row>
    <row r="9" spans="2:265" ht="14.25" x14ac:dyDescent="0.45">
      <c r="B9" s="50">
        <v>2</v>
      </c>
      <c r="C9" s="47" t="s">
        <v>50</v>
      </c>
      <c r="D9" s="3" t="s">
        <v>190</v>
      </c>
      <c r="E9" s="65" t="s">
        <v>184</v>
      </c>
      <c r="F9" s="65" t="s">
        <v>185</v>
      </c>
      <c r="G9" s="77" t="s">
        <v>193</v>
      </c>
      <c r="H9" s="163">
        <v>3.3003999999999998</v>
      </c>
      <c r="I9" s="164" t="s">
        <v>192</v>
      </c>
      <c r="J9" s="163">
        <v>3.3010999999999999</v>
      </c>
      <c r="K9" s="163">
        <v>3.9001000000000001</v>
      </c>
      <c r="L9" s="163">
        <v>3.9003000000000001</v>
      </c>
      <c r="M9" s="163">
        <v>3.9003999999999999</v>
      </c>
      <c r="N9" s="163">
        <v>3.9005000000000001</v>
      </c>
      <c r="O9" s="163">
        <v>3.9007999999999998</v>
      </c>
      <c r="P9" s="163">
        <v>3.9014000000000002</v>
      </c>
      <c r="Q9" s="163">
        <v>3.9015</v>
      </c>
      <c r="R9" s="163"/>
      <c r="S9" s="65" t="s">
        <v>191</v>
      </c>
      <c r="T9" s="65" t="s">
        <v>194</v>
      </c>
      <c r="U9" s="65" t="s">
        <v>188</v>
      </c>
      <c r="V9" s="65">
        <v>234589</v>
      </c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65"/>
      <c r="AV9" s="77"/>
      <c r="AW9" s="53"/>
      <c r="AX9" s="32"/>
      <c r="AY9" s="165"/>
    </row>
    <row r="10" spans="2:265" ht="14.25" x14ac:dyDescent="0.45">
      <c r="B10" s="50">
        <v>3</v>
      </c>
      <c r="C10" s="47" t="s">
        <v>50</v>
      </c>
      <c r="D10" s="3" t="s">
        <v>195</v>
      </c>
      <c r="E10" s="53" t="s">
        <v>198</v>
      </c>
      <c r="F10" s="53" t="s">
        <v>198</v>
      </c>
      <c r="G10" s="53" t="s">
        <v>198</v>
      </c>
      <c r="H10" s="53" t="s">
        <v>198</v>
      </c>
      <c r="I10" s="53" t="s">
        <v>198</v>
      </c>
      <c r="J10" s="53" t="s">
        <v>198</v>
      </c>
      <c r="K10" s="53" t="s">
        <v>198</v>
      </c>
      <c r="L10" s="53" t="s">
        <v>198</v>
      </c>
      <c r="M10" s="53" t="s">
        <v>198</v>
      </c>
      <c r="N10" s="53" t="s">
        <v>198</v>
      </c>
      <c r="O10" s="53" t="s">
        <v>198</v>
      </c>
      <c r="P10" s="53" t="s">
        <v>198</v>
      </c>
      <c r="Q10" s="53" t="s">
        <v>198</v>
      </c>
      <c r="R10" s="53" t="s">
        <v>198</v>
      </c>
      <c r="S10" s="53" t="s">
        <v>198</v>
      </c>
      <c r="T10" s="53" t="s">
        <v>198</v>
      </c>
      <c r="U10" s="53" t="s">
        <v>199</v>
      </c>
      <c r="V10" s="53" t="s">
        <v>198</v>
      </c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32"/>
      <c r="AY10" s="165"/>
    </row>
    <row r="11" spans="2:265" ht="14.25" x14ac:dyDescent="0.45">
      <c r="B11" s="50">
        <v>4</v>
      </c>
      <c r="C11" s="47" t="s">
        <v>200</v>
      </c>
      <c r="D11" s="3" t="s">
        <v>201</v>
      </c>
      <c r="E11" s="53" t="s">
        <v>205</v>
      </c>
      <c r="F11" s="53" t="s">
        <v>205</v>
      </c>
      <c r="G11" s="53" t="s">
        <v>202</v>
      </c>
      <c r="H11" s="53" t="s">
        <v>202</v>
      </c>
      <c r="I11" s="53" t="s">
        <v>202</v>
      </c>
      <c r="J11" s="53" t="s">
        <v>202</v>
      </c>
      <c r="K11" s="53" t="s">
        <v>202</v>
      </c>
      <c r="L11" s="53" t="s">
        <v>202</v>
      </c>
      <c r="M11" s="53" t="s">
        <v>202</v>
      </c>
      <c r="N11" s="53" t="s">
        <v>202</v>
      </c>
      <c r="O11" s="53" t="s">
        <v>202</v>
      </c>
      <c r="P11" s="53" t="s">
        <v>205</v>
      </c>
      <c r="Q11" s="53" t="s">
        <v>202</v>
      </c>
      <c r="R11" s="53" t="s">
        <v>205</v>
      </c>
      <c r="S11" s="53" t="s">
        <v>202</v>
      </c>
      <c r="T11" s="53" t="s">
        <v>204</v>
      </c>
      <c r="U11" s="53" t="s">
        <v>202</v>
      </c>
      <c r="V11" s="53" t="s">
        <v>202</v>
      </c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32"/>
      <c r="AY11" s="165"/>
    </row>
    <row r="12" spans="2:265" ht="14.25" x14ac:dyDescent="0.45">
      <c r="B12" s="50">
        <v>5</v>
      </c>
      <c r="C12" s="47" t="s">
        <v>200</v>
      </c>
      <c r="D12" s="3" t="s">
        <v>208</v>
      </c>
      <c r="E12" s="54">
        <v>100</v>
      </c>
      <c r="F12" s="54">
        <v>100</v>
      </c>
      <c r="G12" s="54">
        <v>140</v>
      </c>
      <c r="H12" s="54">
        <v>140</v>
      </c>
      <c r="I12" s="54">
        <v>140</v>
      </c>
      <c r="J12" s="54">
        <v>140</v>
      </c>
      <c r="K12" s="54">
        <v>70</v>
      </c>
      <c r="L12" s="54">
        <v>40</v>
      </c>
      <c r="M12" s="54">
        <v>100</v>
      </c>
      <c r="N12" s="54">
        <v>60</v>
      </c>
      <c r="O12" s="54">
        <v>70</v>
      </c>
      <c r="P12" s="54">
        <v>90</v>
      </c>
      <c r="Q12" s="54">
        <v>60</v>
      </c>
      <c r="R12" s="54">
        <v>46</v>
      </c>
      <c r="S12" s="54">
        <v>72</v>
      </c>
      <c r="T12" s="54">
        <v>30</v>
      </c>
      <c r="U12" s="54">
        <v>176.5</v>
      </c>
      <c r="V12" s="54">
        <v>50</v>
      </c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33"/>
      <c r="AY12" s="165"/>
    </row>
    <row r="13" spans="2:265" ht="14.25" x14ac:dyDescent="0.45">
      <c r="B13" s="50">
        <v>6</v>
      </c>
      <c r="C13" s="47" t="s">
        <v>200</v>
      </c>
      <c r="D13" s="3" t="s">
        <v>209</v>
      </c>
      <c r="E13" s="54">
        <v>0</v>
      </c>
      <c r="F13" s="54">
        <v>0</v>
      </c>
      <c r="G13" s="54">
        <v>0</v>
      </c>
      <c r="H13" s="54">
        <v>0</v>
      </c>
      <c r="I13" s="54">
        <v>0</v>
      </c>
      <c r="J13" s="54">
        <v>0</v>
      </c>
      <c r="K13" s="54">
        <v>0</v>
      </c>
      <c r="L13" s="54">
        <v>0</v>
      </c>
      <c r="M13" s="54">
        <v>0</v>
      </c>
      <c r="N13" s="54">
        <v>0</v>
      </c>
      <c r="O13" s="54">
        <v>0</v>
      </c>
      <c r="P13" s="54">
        <v>0</v>
      </c>
      <c r="Q13" s="54">
        <v>0</v>
      </c>
      <c r="R13" s="54">
        <v>0</v>
      </c>
      <c r="S13" s="54">
        <v>0</v>
      </c>
      <c r="T13" s="54">
        <v>10</v>
      </c>
      <c r="U13" s="54"/>
      <c r="V13" s="54">
        <v>0</v>
      </c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33"/>
      <c r="AY13" s="165"/>
    </row>
    <row r="14" spans="2:265" ht="14.25" x14ac:dyDescent="0.45">
      <c r="B14" s="50">
        <v>7</v>
      </c>
      <c r="C14" s="47" t="s">
        <v>200</v>
      </c>
      <c r="D14" s="3" t="s">
        <v>210</v>
      </c>
      <c r="E14" s="54">
        <v>155</v>
      </c>
      <c r="F14" s="54">
        <v>160</v>
      </c>
      <c r="G14" s="54">
        <v>220</v>
      </c>
      <c r="H14" s="54">
        <v>220</v>
      </c>
      <c r="I14" s="54">
        <v>220</v>
      </c>
      <c r="J14" s="54">
        <v>220</v>
      </c>
      <c r="K14" s="54">
        <v>110</v>
      </c>
      <c r="L14" s="54">
        <v>60</v>
      </c>
      <c r="M14" s="54">
        <v>150</v>
      </c>
      <c r="N14" s="54">
        <v>100</v>
      </c>
      <c r="O14" s="54">
        <v>110</v>
      </c>
      <c r="P14" s="54">
        <v>130</v>
      </c>
      <c r="Q14" s="54">
        <v>100</v>
      </c>
      <c r="R14" s="54">
        <v>75</v>
      </c>
      <c r="S14" s="54">
        <v>110</v>
      </c>
      <c r="T14" s="54">
        <v>70</v>
      </c>
      <c r="U14" s="54">
        <v>115</v>
      </c>
      <c r="V14" s="54">
        <v>80</v>
      </c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33"/>
      <c r="AY14" s="165"/>
    </row>
    <row r="15" spans="2:265" ht="14.25" x14ac:dyDescent="0.45">
      <c r="B15" s="50">
        <v>8</v>
      </c>
      <c r="C15" s="47" t="s">
        <v>200</v>
      </c>
      <c r="D15" s="3" t="s">
        <v>211</v>
      </c>
      <c r="E15" s="53" t="s">
        <v>214</v>
      </c>
      <c r="F15" s="53" t="s">
        <v>214</v>
      </c>
      <c r="G15" s="53" t="s">
        <v>214</v>
      </c>
      <c r="H15" s="53" t="s">
        <v>214</v>
      </c>
      <c r="I15" s="53" t="s">
        <v>214</v>
      </c>
      <c r="J15" s="53" t="s">
        <v>214</v>
      </c>
      <c r="K15" s="53" t="s">
        <v>214</v>
      </c>
      <c r="L15" s="53" t="s">
        <v>214</v>
      </c>
      <c r="M15" s="53" t="s">
        <v>214</v>
      </c>
      <c r="N15" s="53" t="s">
        <v>214</v>
      </c>
      <c r="O15" s="53" t="s">
        <v>214</v>
      </c>
      <c r="P15" s="53" t="s">
        <v>214</v>
      </c>
      <c r="Q15" s="53" t="s">
        <v>214</v>
      </c>
      <c r="R15" s="53" t="s">
        <v>214</v>
      </c>
      <c r="S15" s="53" t="s">
        <v>214</v>
      </c>
      <c r="T15" s="53" t="s">
        <v>215</v>
      </c>
      <c r="U15" s="53" t="s">
        <v>212</v>
      </c>
      <c r="V15" s="53" t="s">
        <v>214</v>
      </c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32"/>
      <c r="AY15" s="165"/>
    </row>
    <row r="16" spans="2:265" ht="14.25" x14ac:dyDescent="0.45">
      <c r="B16" s="50">
        <v>103</v>
      </c>
      <c r="C16" s="13"/>
      <c r="D16" s="3" t="s">
        <v>216</v>
      </c>
      <c r="E16" s="81" cm="1">
        <f t="array" ref="E16">IF(E15="","",_xlfn.IFS(E15="Heat Cut",E14+5,E15="Hemmed",E14+8,E15="Ez Open",E14,E15="No Fold",E14+0))</f>
        <v>163</v>
      </c>
      <c r="F16" s="81" cm="1">
        <f t="array" ref="F16">IF(F15="","",_xlfn.IFS(F15="Heat Cut",F14+5,F15="Hemmed",F14+8,F15="Ez Open",F14,F15="No Fold",F14+0))</f>
        <v>168</v>
      </c>
      <c r="G16" s="81" cm="1">
        <f t="array" ref="G16">IF(G15="","",_xlfn.IFS(G15="Heat Cut",G14+5,G15="Hemmed",G14+8,G15="Ez Open",G14,G15="No Fold",G14+0))</f>
        <v>228</v>
      </c>
      <c r="H16" s="81" cm="1">
        <f t="array" ref="H16">IF(H15="","",_xlfn.IFS(H15="Heat Cut",H14+5,H15="Hemmed",H14+8,H15="Ez Open",H14,H15="No Fold",H14+0))</f>
        <v>228</v>
      </c>
      <c r="I16" s="81" cm="1">
        <f t="array" ref="I16">IF(I15="","",_xlfn.IFS(I15="Heat Cut",I14+5,I15="Hemmed",I14+8,I15="Ez Open",I14,I15="No Fold",I14+0))</f>
        <v>228</v>
      </c>
      <c r="J16" s="81" cm="1">
        <f t="array" ref="J16">IF(J15="","",_xlfn.IFS(J15="Heat Cut",J14+5,J15="Hemmed",J14+8,J15="Ez Open",J14,J15="No Fold",J14+0))</f>
        <v>228</v>
      </c>
      <c r="K16" s="81" cm="1">
        <f t="array" ref="K16">IF(K15="","",_xlfn.IFS(K15="Heat Cut",K14+5,K15="Hemmed",K14+8,K15="Ez Open",K14,K15="No Fold",K14+0))</f>
        <v>118</v>
      </c>
      <c r="L16" s="81" cm="1">
        <f t="array" ref="L16">IF(L15="","",_xlfn.IFS(L15="Heat Cut",L14+5,L15="Hemmed",L14+8,L15="Ez Open",L14,L15="No Fold",L14+0))</f>
        <v>68</v>
      </c>
      <c r="M16" s="81" cm="1">
        <f t="array" ref="M16">IF(M15="","",_xlfn.IFS(M15="Heat Cut",M14+5,M15="Hemmed",M14+8,M15="Ez Open",M14,M15="No Fold",M14+0))</f>
        <v>158</v>
      </c>
      <c r="N16" s="81" cm="1">
        <f t="array" ref="N16">IF(N15="","",_xlfn.IFS(N15="Heat Cut",N14+5,N15="Hemmed",N14+8,N15="Ez Open",N14,N15="No Fold",N14+0))</f>
        <v>108</v>
      </c>
      <c r="O16" s="81" cm="1">
        <f t="array" ref="O16">IF(O15="","",_xlfn.IFS(O15="Heat Cut",O14+5,O15="Hemmed",O14+8,O15="Ez Open",O14,O15="No Fold",O14+0))</f>
        <v>118</v>
      </c>
      <c r="P16" s="81" cm="1">
        <f t="array" ref="P16">IF(P15="","",_xlfn.IFS(P15="Heat Cut",P14+5,P15="Hemmed",P14+8,P15="Ez Open",P14,P15="No Fold",P14+0))</f>
        <v>138</v>
      </c>
      <c r="Q16" s="81" cm="1">
        <f t="array" ref="Q16">IF(Q15="","",_xlfn.IFS(Q15="Heat Cut",Q14+5,Q15="Hemmed",Q14+8,Q15="Ez Open",Q14,Q15="No Fold",Q14+0))</f>
        <v>108</v>
      </c>
      <c r="R16" s="81" cm="1">
        <f t="array" ref="R16">IF(R15="","",_xlfn.IFS(R15="Heat Cut",R14+5,R15="Hemmed",R14+8,R15="Ez Open",R14,R15="No Fold",R14+0))</f>
        <v>83</v>
      </c>
      <c r="S16" s="81" cm="1">
        <f t="array" ref="S16">IF(S15="","",_xlfn.IFS(S15="Heat Cut",S14+5,S15="Hemmed",S14+8,S15="Ez Open",S14,S15="No Fold",S14+0))</f>
        <v>118</v>
      </c>
      <c r="T16" s="81" cm="1">
        <f t="array" ref="T16">IF(T15="","",_xlfn.IFS(T15="Heat Cut",T14+5,T15="Hemmed",T14+8,T15="Ez Open",T14,T15="No Fold",T14+0))</f>
        <v>75</v>
      </c>
      <c r="U16" s="81" cm="1">
        <f t="array" ref="U16">IF(U15="","",_xlfn.IFS(U15="Heat Cut",U14+5,U15="Hemmed",U14+8,U15="Ez Open",U14,U15="No Fold",U14+0))</f>
        <v>115</v>
      </c>
      <c r="V16" s="81" cm="1">
        <f t="array" ref="V16">IF(V15="","",_xlfn.IFS(V15="Heat Cut",V14+5,V15="Hemmed",V14+8,V15="Ez Open",V14,V15="No Fold",V14+0))</f>
        <v>88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33"/>
      <c r="AY16" s="165"/>
    </row>
    <row r="17" spans="2:51" ht="14.25" x14ac:dyDescent="0.45">
      <c r="B17" s="50">
        <v>9</v>
      </c>
      <c r="C17" s="47" t="s">
        <v>200</v>
      </c>
      <c r="D17" s="3" t="s">
        <v>217</v>
      </c>
      <c r="E17" s="54">
        <v>273</v>
      </c>
      <c r="F17" s="54">
        <v>377.74</v>
      </c>
      <c r="G17" s="54">
        <v>673.27</v>
      </c>
      <c r="H17" s="54">
        <v>609.42999999999995</v>
      </c>
      <c r="I17" s="54">
        <v>539.42999999999995</v>
      </c>
      <c r="J17" s="54">
        <v>409.93</v>
      </c>
      <c r="K17" s="54">
        <v>114.56</v>
      </c>
      <c r="L17" s="54">
        <v>46.61</v>
      </c>
      <c r="M17" s="54">
        <v>274.58</v>
      </c>
      <c r="N17" s="54">
        <v>88.71</v>
      </c>
      <c r="O17" s="54">
        <v>148.55000000000001</v>
      </c>
      <c r="P17" s="54">
        <v>219.25</v>
      </c>
      <c r="Q17" s="54">
        <v>80.709999999999994</v>
      </c>
      <c r="R17" s="54">
        <v>63.73</v>
      </c>
      <c r="S17" s="54">
        <v>160</v>
      </c>
      <c r="T17" s="54">
        <v>49.59</v>
      </c>
      <c r="U17" s="54">
        <f>U19</f>
        <v>1096.0650000000001</v>
      </c>
      <c r="V17" s="54">
        <f>V19</f>
        <v>59.659016393442627</v>
      </c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33"/>
      <c r="AY17" s="165"/>
    </row>
    <row r="18" spans="2:51" ht="17.25" customHeight="1" x14ac:dyDescent="0.45">
      <c r="B18" s="50"/>
      <c r="C18" s="47"/>
      <c r="D18" s="3" t="s">
        <v>218</v>
      </c>
      <c r="E18" s="54">
        <v>58</v>
      </c>
      <c r="F18" s="54">
        <v>58</v>
      </c>
      <c r="G18" s="54">
        <v>70</v>
      </c>
      <c r="H18" s="54">
        <v>60</v>
      </c>
      <c r="I18" s="54">
        <v>60</v>
      </c>
      <c r="J18" s="54">
        <v>60</v>
      </c>
      <c r="K18" s="54">
        <v>60</v>
      </c>
      <c r="L18" s="54">
        <v>60</v>
      </c>
      <c r="M18" s="54">
        <v>60</v>
      </c>
      <c r="N18" s="54">
        <v>60</v>
      </c>
      <c r="O18" s="54">
        <v>60</v>
      </c>
      <c r="P18" s="54">
        <v>60</v>
      </c>
      <c r="Q18" s="54">
        <v>60</v>
      </c>
      <c r="R18" s="54">
        <v>70</v>
      </c>
      <c r="S18" s="54">
        <v>62.5</v>
      </c>
      <c r="T18" s="54">
        <v>60</v>
      </c>
      <c r="U18" s="54">
        <v>270</v>
      </c>
      <c r="V18" s="54">
        <v>65</v>
      </c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33"/>
      <c r="AY18" s="165"/>
    </row>
    <row r="19" spans="2:51" ht="14.25" x14ac:dyDescent="0.45">
      <c r="B19" s="50"/>
      <c r="C19" s="47"/>
      <c r="D19" s="3" t="s">
        <v>219</v>
      </c>
      <c r="E19" s="90" cm="1">
        <f t="array" ref="E19">_xlfn.IFS(E18="",0,E10="Back Seam Bag",(E12+E13+2.5)*2*E16*E18/10000+SUM(E31:E43),E10="Tubular Bag",(E12+E13)*2*E16*E18/10000+SUM(E31:E43),E10="Tubular Fabric",(E12+E13)*2*E16*E18/10000+SUM(E31:E43),E10="Flat Fabric",(E12+E13)*2*E16*E18/10000+SUM(E31:E43))</f>
        <v>272.65851278688524</v>
      </c>
      <c r="F19" s="90" cm="1">
        <f t="array" ref="F19">_xlfn.IFS(F18="",0,F10="Back Seam Bag",(F12+F13+2.5)*2*F16*F18/10000+SUM(F31:F43),F10="Tubular Bag",(F12+F13)*2*F16*F18/10000+SUM(F31:F43),F10="Tubular Fabric",(F12+F13)*2*F16*F18/10000+SUM(F31:F43),F10="Flat Fabric",(F12+F13)*2*F16*F18/10000+SUM(F31:F43))</f>
        <v>377.74123278688523</v>
      </c>
      <c r="G19" s="90" cm="1">
        <f t="array" ref="G19">_xlfn.IFS(G18="",0,G10="Back Seam Bag",(G12+G13+2.5)*2*G16*G18/10000+SUM(G31:G43),G10="Tubular Bag",(G12+G13)*2*G16*G18/10000+SUM(G31:G43),G10="Tubular Fabric",(G12+G13)*2*G16*G18/10000+SUM(G31:G43),G10="Flat Fabric",(G12+G13)*2*G16*G18/10000+SUM(G31:G43))</f>
        <v>673.26924590163935</v>
      </c>
      <c r="H19" s="90" cm="1">
        <f t="array" ref="H19">_xlfn.IFS(H18="",0,H10="Back Seam Bag",(H12+H13+2.5)*2*H16*H18/10000+SUM(H31:H43),H10="Tubular Bag",(H12+H13)*2*H16*H18/10000+SUM(H31:H43),H10="Tubular Fabric",(H12+H13)*2*H16*H18/10000+SUM(H31:H43),H10="Flat Fabric",(H12+H13)*2*H16*H18/10000+SUM(H31:H43))</f>
        <v>609.42924590163932</v>
      </c>
      <c r="I19" s="90" cm="1">
        <f t="array" ref="I19">_xlfn.IFS(I18="",0,I10="Back Seam Bag",(I12+I13+2.5)*2*I16*I18/10000+SUM(I31:I43),I10="Tubular Bag",(I12+I13)*2*I16*I18/10000+SUM(I31:I43),I10="Tubular Fabric",(I12+I13)*2*I16*I18/10000+SUM(I31:I43),I10="Flat Fabric",(I12+I13)*2*I16*I18/10000+SUM(I31:I43))</f>
        <v>539.42924590163932</v>
      </c>
      <c r="J19" s="90" cm="1">
        <f t="array" ref="J19">_xlfn.IFS(J18="",0,J10="Back Seam Bag",(J12+J13+2.5)*2*J16*J18/10000+SUM(J31:J43),J10="Tubular Bag",(J12+J13)*2*J16*J18/10000+SUM(J31:J43),J10="Tubular Fabric",(J12+J13)*2*J16*J18/10000+SUM(J31:J43),J10="Flat Fabric",(J12+J13)*2*J16*J18/10000+SUM(J31:J43))</f>
        <v>409.92524590163936</v>
      </c>
      <c r="K19" s="90" cm="1">
        <f t="array" ref="K19">_xlfn.IFS(K18="",0,K10="Back Seam Bag",(K12+K13+2.5)*2*K16*K18/10000+SUM(K31:K43),K10="Tubular Bag",(K12+K13)*2*K16*K18/10000+SUM(K31:K43),K10="Tubular Fabric",(K12+K13)*2*K16*K18/10000+SUM(K31:K43),K10="Flat Fabric",(K12+K13)*2*K16*K18/10000+SUM(K31:K43))</f>
        <v>114.56262295081967</v>
      </c>
      <c r="L19" s="90" cm="1">
        <f t="array" ref="L19">_xlfn.IFS(L18="",0,L10="Back Seam Bag",(L12+L13+2.5)*2*L16*L18/10000+SUM(L31:L43),L10="Tubular Bag",(L12+L13)*2*L16*L18/10000+SUM(L31:L43),L10="Tubular Fabric",(L12+L13)*2*L16*L18/10000+SUM(L31:L43),L10="Flat Fabric",(L12+L13)*2*L16*L18/10000+SUM(L31:L43))</f>
        <v>46.607213114754103</v>
      </c>
      <c r="M19" s="90" cm="1">
        <f t="array" ref="M19">_xlfn.IFS(M18="",0,M10="Back Seam Bag",(M12+M13+2.5)*2*M16*M18/10000+SUM(M31:M43),M10="Tubular Bag",(M12+M13)*2*M16*M18/10000+SUM(M31:M43),M10="Tubular Fabric",(M12+M13)*2*M16*M18/10000+SUM(M31:M43),M10="Flat Fabric",(M12+M13)*2*M16*M18/10000+SUM(M31:M43))</f>
        <v>274.58203278688524</v>
      </c>
      <c r="N19" s="90" cm="1">
        <f t="array" ref="N19">_xlfn.IFS(N18="",0,N10="Back Seam Bag",(N12+N13+2.5)*2*N16*N18/10000+SUM(N31:N43),N10="Tubular Bag",(N12+N13)*2*N16*N18/10000+SUM(N31:N43),N10="Tubular Fabric",(N12+N13)*2*N16*N18/10000+SUM(N31:N43),N10="Flat Fabric",(N12+N13)*2*N16*N18/10000+SUM(N31:N43))</f>
        <v>88.710819672131151</v>
      </c>
      <c r="O19" s="90" cm="1">
        <f t="array" ref="O19">_xlfn.IFS(O18="",0,O10="Back Seam Bag",(O12+O13+2.5)*2*O16*O18/10000+SUM(O31:O43),O10="Tubular Bag",(O12+O13)*2*O16*O18/10000+SUM(O31:O43),O10="Tubular Fabric",(O12+O13)*2*O16*O18/10000+SUM(O31:O43),O10="Flat Fabric",(O12+O13)*2*O16*O18/10000+SUM(O31:O43))</f>
        <v>148.54662295081968</v>
      </c>
      <c r="P19" s="90" cm="1">
        <f t="array" ref="P19">_xlfn.IFS(P18="",0,P10="Back Seam Bag",(P12+P13+2.5)*2*P16*P18/10000+SUM(P31:P43),P10="Tubular Bag",(P12+P13)*2*P16*P18/10000+SUM(P31:P43),P10="Tubular Fabric",(P12+P13)*2*P16*P18/10000+SUM(P31:P43),P10="Flat Fabric",(P12+P13)*2*P16*P18/10000+SUM(P31:P43))</f>
        <v>219.25022950819672</v>
      </c>
      <c r="Q19" s="90" cm="1">
        <f t="array" ref="Q19">_xlfn.IFS(Q18="",0,Q10="Back Seam Bag",(Q12+Q13+2.5)*2*Q16*Q18/10000+SUM(Q31:Q43),Q10="Tubular Bag",(Q12+Q13)*2*Q16*Q18/10000+SUM(Q31:Q43),Q10="Tubular Fabric",(Q12+Q13)*2*Q16*Q18/10000+SUM(Q31:Q43),Q10="Flat Fabric",(Q12+Q13)*2*Q16*Q18/10000+SUM(Q31:Q43))</f>
        <v>80.710819672131151</v>
      </c>
      <c r="R19" s="90" cm="1">
        <f t="array" ref="R19">_xlfn.IFS(R18="",0,R10="Back Seam Bag",(R12+R13+2.5)*2*R16*R18/10000+SUM(R31:R43),R10="Tubular Bag",(R12+R13)*2*R16*R18/10000+SUM(R31:R43),R10="Tubular Fabric",(R12+R13)*2*R16*R18/10000+SUM(R31:R43),R10="Flat Fabric",(R12+R13)*2*R16*R18/10000+SUM(R31:R43))</f>
        <v>63.714295081967208</v>
      </c>
      <c r="S19" s="90" cm="1">
        <f t="array" ref="S19">_xlfn.IFS(S18="",0,S10="Back Seam Bag",(S12+S13+2.5)*2*S16*S18/10000+SUM(S31:S43),S10="Tubular Bag",(S12+S13)*2*S16*S18/10000+SUM(S31:S43),S10="Tubular Fabric",(S12+S13)*2*S16*S18/10000+SUM(S31:S43),S10="Flat Fabric",(S12+S13)*2*S16*S18/10000+SUM(S31:S43))</f>
        <v>159.98402360655737</v>
      </c>
      <c r="T19" s="90" cm="1">
        <f t="array" ref="T19">_xlfn.IFS(T18="",0,T10="Back Seam Bag",(T12+T13+2.5)*2*T16*T18/10000+SUM(T31:T43),T10="Tubular Bag",(T12+T13)*2*T16*T18/10000+SUM(T31:T43),T10="Tubular Fabric",(T12+T13)*2*T16*T18/10000+SUM(T31:T43),T10="Flat Fabric",(T12+T13)*2*T16*T18/10000+SUM(T31:T43))</f>
        <v>49.583606557377053</v>
      </c>
      <c r="U19" s="90" cm="1">
        <f t="array" ref="U19">_xlfn.IFS(U18="",0,U10="Back Seam Bag",(U12+U13+2.5)*2*U16*U18/10000+SUM(U31:U43),U10="Tubular Bag",(U12+U13)*2*U16*U18/10000+SUM(U31:U43),U10="Tubular Fabric",(U12+U13)*2*U16*U18/10000+SUM(U31:U43),U10="Flat Fabric",(U12+U13)*2*U16*U18/10000+SUM(U31:U43))</f>
        <v>1096.0650000000001</v>
      </c>
      <c r="V19" s="132" cm="1">
        <f t="array" ref="V19">_xlfn.IFS(V18="",0,V10="Back Seam Bag",(V12+V13+2.5)*2*V16*V18/10000+SUM(V31:V43),V10="Tubular Bag",(V12+V13)*2*V16*V18/10000+SUM(V31:V43),V10="Tubular Fabric",(V12+V13)*2*V16*V18/10000+SUM(V31:V43),V10="Flat Fabric",(V12+V13)*2*V16*V18/10000+SUM(V31:V43))</f>
        <v>59.659016393442627</v>
      </c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33"/>
      <c r="AY19" s="165"/>
    </row>
    <row r="20" spans="2:51" ht="14.25" x14ac:dyDescent="0.45">
      <c r="B20" s="50">
        <f>B16+1</f>
        <v>104</v>
      </c>
      <c r="C20" s="13"/>
      <c r="D20" s="3" t="s">
        <v>220</v>
      </c>
      <c r="E20" s="14">
        <f>IF(E10="","",IF(E10="Back Seam Bag",E12+E13+2.5,E12+E13))</f>
        <v>100</v>
      </c>
      <c r="F20" s="14">
        <f>IF(F10="","",IF(F10="Back Seam Bag",F12+F13+2.5,F12+F13))</f>
        <v>100</v>
      </c>
      <c r="G20" s="14">
        <f>IF(G10="","",IF(G10="Back Seam Bag",G12+G13+2.5,G12+G13))</f>
        <v>140</v>
      </c>
      <c r="H20" s="14">
        <f t="shared" ref="H20:J20" si="0">IF(H10="","",IF(H10="Back Seam Bag",H12+H13+2.5,H12+H13))</f>
        <v>140</v>
      </c>
      <c r="I20" s="14">
        <f t="shared" si="0"/>
        <v>140</v>
      </c>
      <c r="J20" s="14">
        <f t="shared" si="0"/>
        <v>140</v>
      </c>
      <c r="K20" s="14">
        <f t="shared" ref="K20:O20" si="1">IF(K10="","",IF(K10="Back Seam Bag",K12+K13+2.5,K12+K13))</f>
        <v>70</v>
      </c>
      <c r="L20" s="14">
        <f t="shared" si="1"/>
        <v>40</v>
      </c>
      <c r="M20" s="14">
        <f t="shared" si="1"/>
        <v>100</v>
      </c>
      <c r="N20" s="14">
        <f t="shared" si="1"/>
        <v>60</v>
      </c>
      <c r="O20" s="14">
        <f t="shared" si="1"/>
        <v>70</v>
      </c>
      <c r="P20" s="14">
        <f t="shared" ref="P20:Q20" si="2">IF(P10="","",IF(P10="Back Seam Bag",P12+P13+2.5,P12+P13))</f>
        <v>90</v>
      </c>
      <c r="Q20" s="14">
        <f t="shared" si="2"/>
        <v>60</v>
      </c>
      <c r="R20" s="14">
        <f t="shared" ref="R20" si="3">IF(R10="","",IF(R10="Back Seam Bag",R12+R13+2.5,R12+R13))</f>
        <v>46</v>
      </c>
      <c r="S20" s="14">
        <f>IF(S10="","",IF(S10="Back Seam Bag",S12+S13+2.5,S12+S13))</f>
        <v>72</v>
      </c>
      <c r="T20" s="14">
        <f>IF(T10="","",IF(T10="Back Seam Bag",T12+T13+2.5,T12+T13))</f>
        <v>40</v>
      </c>
      <c r="U20" s="14">
        <f t="shared" ref="U20:V20" si="4">IF(U10="","",IF(U10="Back Seam Bag",U12+U13+2.5,U12+U13))</f>
        <v>176.5</v>
      </c>
      <c r="V20" s="14">
        <f t="shared" si="4"/>
        <v>50</v>
      </c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33"/>
      <c r="AY20" s="165"/>
    </row>
    <row r="21" spans="2:51" ht="14.25" x14ac:dyDescent="0.45">
      <c r="B21" s="50">
        <v>10</v>
      </c>
      <c r="C21" s="47" t="s">
        <v>200</v>
      </c>
      <c r="D21" s="3" t="s">
        <v>221</v>
      </c>
      <c r="E21" s="54">
        <v>20</v>
      </c>
      <c r="F21" s="54">
        <v>50</v>
      </c>
      <c r="G21" s="54">
        <v>0</v>
      </c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>
        <v>30</v>
      </c>
      <c r="T21" s="54">
        <v>0</v>
      </c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33"/>
      <c r="AY21" s="165"/>
    </row>
    <row r="22" spans="2:51" ht="14.25" x14ac:dyDescent="0.45">
      <c r="B22" s="50">
        <v>11</v>
      </c>
      <c r="C22" s="47" t="s">
        <v>200</v>
      </c>
      <c r="D22" s="3" t="s">
        <v>222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33"/>
      <c r="AY22" s="165"/>
    </row>
    <row r="23" spans="2:51" ht="14.25" x14ac:dyDescent="0.45">
      <c r="B23" s="50">
        <v>12</v>
      </c>
      <c r="C23" s="47" t="s">
        <v>200</v>
      </c>
      <c r="D23" s="3" t="s">
        <v>223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33"/>
      <c r="AY23" s="165"/>
    </row>
    <row r="24" spans="2:51" ht="14.25" x14ac:dyDescent="0.45">
      <c r="B24" s="50">
        <v>13</v>
      </c>
      <c r="C24" s="47" t="s">
        <v>200</v>
      </c>
      <c r="D24" s="3" t="s">
        <v>224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33"/>
      <c r="AY24" s="165"/>
    </row>
    <row r="25" spans="2:51" ht="14.25" x14ac:dyDescent="0.45">
      <c r="B25" s="50"/>
      <c r="C25" s="47"/>
      <c r="D25" s="3" t="s">
        <v>225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33"/>
      <c r="AY25" s="165"/>
    </row>
    <row r="26" spans="2:51" ht="14.25" x14ac:dyDescent="0.45">
      <c r="B26" s="50"/>
      <c r="C26" s="47"/>
      <c r="D26" s="3" t="s">
        <v>226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33"/>
      <c r="AY26" s="165"/>
    </row>
    <row r="27" spans="2:51" ht="14.25" x14ac:dyDescent="0.45">
      <c r="B27" s="50">
        <v>14</v>
      </c>
      <c r="C27" s="47" t="s">
        <v>200</v>
      </c>
      <c r="D27" s="3" t="s">
        <v>227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33"/>
      <c r="AY27" s="165"/>
    </row>
    <row r="28" spans="2:51" ht="14.25" x14ac:dyDescent="0.45">
      <c r="B28" s="50">
        <v>15</v>
      </c>
      <c r="C28" s="47" t="s">
        <v>200</v>
      </c>
      <c r="D28" s="3" t="s">
        <v>228</v>
      </c>
      <c r="E28" s="54">
        <v>0</v>
      </c>
      <c r="F28" s="54">
        <v>0</v>
      </c>
      <c r="G28" s="54">
        <v>0</v>
      </c>
      <c r="H28" s="54">
        <v>0</v>
      </c>
      <c r="I28" s="54">
        <v>0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  <c r="O28" s="54">
        <v>0</v>
      </c>
      <c r="P28" s="54">
        <v>0</v>
      </c>
      <c r="Q28" s="54">
        <v>0</v>
      </c>
      <c r="R28" s="54">
        <v>0</v>
      </c>
      <c r="S28" s="54">
        <v>0</v>
      </c>
      <c r="T28" s="54">
        <v>0</v>
      </c>
      <c r="U28" s="54">
        <v>0</v>
      </c>
      <c r="V28" s="54">
        <v>0</v>
      </c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33"/>
      <c r="AY28" s="165"/>
    </row>
    <row r="29" spans="2:51" ht="14.25" x14ac:dyDescent="0.45">
      <c r="B29" s="50">
        <v>105</v>
      </c>
      <c r="C29" s="13"/>
      <c r="D29" s="3" t="s">
        <v>229</v>
      </c>
      <c r="E29" s="14">
        <f>IF(E$5="","",IF(E10="Back Seam Bag",2,0))</f>
        <v>0</v>
      </c>
      <c r="F29" s="14">
        <f>IF(F$5="","",IF(F10="Back Seam Bag",2,0))</f>
        <v>0</v>
      </c>
      <c r="G29" s="14">
        <f>IF(G$5="","",IF(G10="Back Seam Bag",2,0))</f>
        <v>0</v>
      </c>
      <c r="H29" s="14">
        <f t="shared" ref="H29:J29" si="5">IF(H$5="","",IF(H10="Back Seam Bag",2,0))</f>
        <v>0</v>
      </c>
      <c r="I29" s="14">
        <f t="shared" si="5"/>
        <v>0</v>
      </c>
      <c r="J29" s="14">
        <f t="shared" si="5"/>
        <v>0</v>
      </c>
      <c r="K29" s="14">
        <f t="shared" ref="K29:O29" si="6">IF(K$5="","",IF(K10="Back Seam Bag",2,0))</f>
        <v>0</v>
      </c>
      <c r="L29" s="14">
        <f t="shared" si="6"/>
        <v>0</v>
      </c>
      <c r="M29" s="14">
        <f t="shared" si="6"/>
        <v>0</v>
      </c>
      <c r="N29" s="14">
        <f t="shared" si="6"/>
        <v>0</v>
      </c>
      <c r="O29" s="14">
        <f t="shared" si="6"/>
        <v>0</v>
      </c>
      <c r="P29" s="14">
        <f t="shared" ref="P29:Q29" si="7">IF(P$5="","",IF(P10="Back Seam Bag",2,0))</f>
        <v>0</v>
      </c>
      <c r="Q29" s="14">
        <f t="shared" si="7"/>
        <v>0</v>
      </c>
      <c r="R29" s="14">
        <f t="shared" ref="R29" si="8">IF(R$5="","",IF(R10="Back Seam Bag",2,0))</f>
        <v>0</v>
      </c>
      <c r="S29" s="14">
        <f>IF(S$5="","",IF(S10="Back Seam Bag",2,0))</f>
        <v>0</v>
      </c>
      <c r="T29" s="14">
        <f>IF(T$5="","",IF(T10="Back Seam Bag",2,0))</f>
        <v>0</v>
      </c>
      <c r="U29" s="14">
        <f t="shared" ref="U29:V29" si="9">IF(U$5="","",IF(U10="Back Seam Bag",2,0))</f>
        <v>0</v>
      </c>
      <c r="V29" s="14">
        <f t="shared" si="9"/>
        <v>0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33"/>
      <c r="AY29" s="165"/>
    </row>
    <row r="30" spans="2:51" ht="16.5" customHeight="1" x14ac:dyDescent="0.45">
      <c r="B30" s="50">
        <v>16</v>
      </c>
      <c r="C30" s="47" t="s">
        <v>200</v>
      </c>
      <c r="D30" s="3" t="s">
        <v>230</v>
      </c>
      <c r="E30" s="54">
        <v>0</v>
      </c>
      <c r="F30" s="54">
        <v>0</v>
      </c>
      <c r="G30" s="54">
        <v>20</v>
      </c>
      <c r="H30" s="54">
        <v>20</v>
      </c>
      <c r="I30" s="54">
        <v>20</v>
      </c>
      <c r="J30" s="54">
        <v>0</v>
      </c>
      <c r="K30" s="54">
        <v>0</v>
      </c>
      <c r="L30" s="54">
        <v>0</v>
      </c>
      <c r="M30" s="54">
        <v>20</v>
      </c>
      <c r="N30" s="54">
        <v>0</v>
      </c>
      <c r="O30" s="54">
        <v>20</v>
      </c>
      <c r="P30" s="54">
        <v>20</v>
      </c>
      <c r="Q30" s="54">
        <v>0</v>
      </c>
      <c r="R30" s="54">
        <v>0</v>
      </c>
      <c r="S30" s="54"/>
      <c r="T30" s="54">
        <v>20</v>
      </c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33"/>
      <c r="AY30" s="165"/>
    </row>
    <row r="31" spans="2:51" ht="14.25" x14ac:dyDescent="0.45">
      <c r="B31" s="50">
        <v>17</v>
      </c>
      <c r="C31" s="47" t="s">
        <v>200</v>
      </c>
      <c r="D31" s="3" t="s">
        <v>231</v>
      </c>
      <c r="E31" s="54">
        <v>15.6</v>
      </c>
      <c r="F31" s="54">
        <v>15.6</v>
      </c>
      <c r="G31" s="54">
        <v>90</v>
      </c>
      <c r="H31" s="54">
        <v>90</v>
      </c>
      <c r="I31" s="54">
        <v>20</v>
      </c>
      <c r="J31" s="54">
        <v>20</v>
      </c>
      <c r="K31" s="54">
        <v>12</v>
      </c>
      <c r="L31" s="54">
        <v>12</v>
      </c>
      <c r="M31" s="54">
        <v>15.6</v>
      </c>
      <c r="N31" s="54">
        <v>8</v>
      </c>
      <c r="O31" s="54">
        <v>12</v>
      </c>
      <c r="P31" s="54">
        <v>15</v>
      </c>
      <c r="Q31" s="54">
        <v>0</v>
      </c>
      <c r="R31" s="54">
        <v>8</v>
      </c>
      <c r="S31" s="54">
        <v>0</v>
      </c>
      <c r="T31" s="54">
        <v>0</v>
      </c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33"/>
      <c r="AY31" s="165"/>
    </row>
    <row r="32" spans="2:51" ht="14.25" x14ac:dyDescent="0.45">
      <c r="B32" s="50">
        <v>106</v>
      </c>
      <c r="C32" s="13"/>
      <c r="D32" s="3" t="s">
        <v>232</v>
      </c>
      <c r="E32" s="14">
        <f>IF(E5="","",IF(E15="Ez Open",7/100*(E12+10),0))</f>
        <v>0</v>
      </c>
      <c r="F32" s="14">
        <f>IF(F5="","",IF(F15="Ez Open",7/100*(F12+10),0))</f>
        <v>0</v>
      </c>
      <c r="G32" s="14">
        <f>IF(G5="","",IF(G15="Ez Open",7/100*(G12+10),0))</f>
        <v>0</v>
      </c>
      <c r="H32" s="14">
        <f t="shared" ref="H32:J32" si="10">IF(H5="","",IF(H15="Ez Open",7/100*(H12+10),0))</f>
        <v>0</v>
      </c>
      <c r="I32" s="14">
        <f t="shared" si="10"/>
        <v>0</v>
      </c>
      <c r="J32" s="14">
        <f t="shared" si="10"/>
        <v>0</v>
      </c>
      <c r="K32" s="14">
        <f t="shared" ref="K32:O32" si="11">IF(K5="","",IF(K15="Ez Open",7/100*(K12+10),0))</f>
        <v>0</v>
      </c>
      <c r="L32" s="14">
        <f t="shared" si="11"/>
        <v>0</v>
      </c>
      <c r="M32" s="14">
        <f t="shared" si="11"/>
        <v>0</v>
      </c>
      <c r="N32" s="14">
        <f t="shared" si="11"/>
        <v>0</v>
      </c>
      <c r="O32" s="14">
        <f t="shared" si="11"/>
        <v>0</v>
      </c>
      <c r="P32" s="14">
        <f t="shared" ref="P32:Q32" si="12">IF(P5="","",IF(P15="Ez Open",7/100*(P12+10),0))</f>
        <v>0</v>
      </c>
      <c r="Q32" s="14">
        <f t="shared" si="12"/>
        <v>0</v>
      </c>
      <c r="R32" s="14">
        <f t="shared" ref="R32" si="13">IF(R5="","",IF(R15="Ez Open",7/100*(R12+10),0))</f>
        <v>0</v>
      </c>
      <c r="S32" s="14">
        <f>IF(S5="","",IF(S15="Ez Open",7/100*(S12+10),0))</f>
        <v>0</v>
      </c>
      <c r="T32" s="14">
        <f>IF(T5="","",IF(T15="Ez Open",7/100*(T12+10),0))</f>
        <v>0</v>
      </c>
      <c r="U32" s="14">
        <f t="shared" ref="U32:V32" si="14">IF(U5="","",IF(U15="Ez Open",7/100*(U12+10),0))</f>
        <v>0</v>
      </c>
      <c r="V32" s="14">
        <f t="shared" si="14"/>
        <v>0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33"/>
      <c r="AY32" s="165"/>
    </row>
    <row r="33" spans="2:51" ht="14.25" x14ac:dyDescent="0.45">
      <c r="B33" s="50">
        <f>B32+1</f>
        <v>107</v>
      </c>
      <c r="C33" s="13"/>
      <c r="D33" s="3" t="s">
        <v>233</v>
      </c>
      <c r="E33" s="14">
        <f>IFERROR((E$12+E$13+2)*2*(E$16+5)/10000*E21*0.92,"")</f>
        <v>63.060479999999998</v>
      </c>
      <c r="F33" s="14">
        <f>IFERROR((F$12+F$13+2)*2*(F$16+5)/10000*F21*0.92,"")</f>
        <v>162.34320000000002</v>
      </c>
      <c r="G33" s="14">
        <f>IFERROR((G$12+G$13+2)*2*(G$16+5)/10000*G21*0.92,"")</f>
        <v>0</v>
      </c>
      <c r="H33" s="14">
        <f t="shared" ref="H33:J33" si="15">IFERROR((H$12+H$13+2)*2*(H$16+5)/10000*H21*0.92,"")</f>
        <v>0</v>
      </c>
      <c r="I33" s="14">
        <f t="shared" si="15"/>
        <v>0</v>
      </c>
      <c r="J33" s="14">
        <f t="shared" si="15"/>
        <v>0</v>
      </c>
      <c r="K33" s="14">
        <f t="shared" ref="K33:O33" si="16">IFERROR((K$12+K$13+2)*2*(K$16+5)/10000*K21*0.92,"")</f>
        <v>0</v>
      </c>
      <c r="L33" s="14">
        <f t="shared" si="16"/>
        <v>0</v>
      </c>
      <c r="M33" s="14">
        <f t="shared" si="16"/>
        <v>0</v>
      </c>
      <c r="N33" s="14">
        <f t="shared" si="16"/>
        <v>0</v>
      </c>
      <c r="O33" s="14">
        <f t="shared" si="16"/>
        <v>0</v>
      </c>
      <c r="P33" s="14">
        <f t="shared" ref="P33:Q33" si="17">IFERROR((P$12+P$13+2)*2*(P$16+5)/10000*P21*0.92,"")</f>
        <v>0</v>
      </c>
      <c r="Q33" s="14">
        <f t="shared" si="17"/>
        <v>0</v>
      </c>
      <c r="R33" s="14">
        <f t="shared" ref="R33" si="18">IFERROR((R$12+R$13+2)*2*(R$16+5)/10000*R21*0.92,"")</f>
        <v>0</v>
      </c>
      <c r="S33" s="14">
        <f>IFERROR((S$12+S$13+2)*2*(S$16+5)/10000*S21*0.92,"")</f>
        <v>50.243040000000001</v>
      </c>
      <c r="T33" s="14">
        <f>IFERROR((T$12+T$13+2)*2*(T$16+5)/10000*T21*0.92,"")</f>
        <v>0</v>
      </c>
      <c r="U33" s="14">
        <f t="shared" ref="U33:V33" si="19">IFERROR((U$12+U$13+2)*2*(U$16+5)/10000*U21*0.92,"")</f>
        <v>0</v>
      </c>
      <c r="V33" s="14">
        <f t="shared" si="19"/>
        <v>0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33"/>
      <c r="AY33" s="165"/>
    </row>
    <row r="34" spans="2:51" ht="14.25" x14ac:dyDescent="0.45">
      <c r="B34" s="50">
        <f t="shared" ref="B34:B44" si="20">B33+1</f>
        <v>108</v>
      </c>
      <c r="C34" s="13"/>
      <c r="D34" s="3" t="s">
        <v>234</v>
      </c>
      <c r="E34" s="14">
        <f t="shared" ref="E34:G36" si="21">IFERROR((E$12+E$13+1.5)*2*E$16/10000*E22*0.92,"")</f>
        <v>0</v>
      </c>
      <c r="F34" s="14">
        <f t="shared" si="21"/>
        <v>0</v>
      </c>
      <c r="G34" s="14">
        <f t="shared" si="21"/>
        <v>0</v>
      </c>
      <c r="H34" s="14">
        <f t="shared" ref="H34:J34" si="22">IFERROR((H$12+H$13+1.5)*2*H$16/10000*H22*0.92,"")</f>
        <v>0</v>
      </c>
      <c r="I34" s="14">
        <f t="shared" si="22"/>
        <v>0</v>
      </c>
      <c r="J34" s="14">
        <f t="shared" si="22"/>
        <v>0</v>
      </c>
      <c r="K34" s="14">
        <f t="shared" ref="K34:O34" si="23">IFERROR((K$12+K$13+1.5)*2*K$16/10000*K22*0.92,"")</f>
        <v>0</v>
      </c>
      <c r="L34" s="14">
        <f t="shared" si="23"/>
        <v>0</v>
      </c>
      <c r="M34" s="14">
        <f t="shared" si="23"/>
        <v>0</v>
      </c>
      <c r="N34" s="14">
        <f t="shared" si="23"/>
        <v>0</v>
      </c>
      <c r="O34" s="14">
        <f t="shared" si="23"/>
        <v>0</v>
      </c>
      <c r="P34" s="14">
        <f t="shared" ref="P34:Q34" si="24">IFERROR((P$12+P$13+1.5)*2*P$16/10000*P22*0.92,"")</f>
        <v>0</v>
      </c>
      <c r="Q34" s="14">
        <f t="shared" si="24"/>
        <v>0</v>
      </c>
      <c r="R34" s="14">
        <f t="shared" ref="R34" si="25">IFERROR((R$12+R$13+1.5)*2*R$16/10000*R22*0.92,"")</f>
        <v>0</v>
      </c>
      <c r="S34" s="14">
        <f t="shared" ref="S34:T36" si="26">IFERROR((S$12+S$13+1.5)*2*S$16/10000*S22*0.92,"")</f>
        <v>0</v>
      </c>
      <c r="T34" s="14">
        <f t="shared" si="26"/>
        <v>0</v>
      </c>
      <c r="U34" s="14">
        <f t="shared" ref="U34:V36" si="27">IFERROR((U$12+U$13+1.5)*2*U$16/10000*U22*0.92,"")</f>
        <v>0</v>
      </c>
      <c r="V34" s="14">
        <f t="shared" si="27"/>
        <v>0</v>
      </c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33"/>
      <c r="AY34" s="165"/>
    </row>
    <row r="35" spans="2:51" ht="14.25" x14ac:dyDescent="0.45">
      <c r="B35" s="50">
        <f t="shared" si="20"/>
        <v>109</v>
      </c>
      <c r="C35" s="13"/>
      <c r="D35" s="3" t="s">
        <v>235</v>
      </c>
      <c r="E35" s="14">
        <f t="shared" si="21"/>
        <v>0</v>
      </c>
      <c r="F35" s="14">
        <f t="shared" si="21"/>
        <v>0</v>
      </c>
      <c r="G35" s="14">
        <f t="shared" si="21"/>
        <v>0</v>
      </c>
      <c r="H35" s="14">
        <f t="shared" ref="H35:J35" si="28">IFERROR((H$12+H$13+1.5)*2*H$16/10000*H23*0.92,"")</f>
        <v>0</v>
      </c>
      <c r="I35" s="14">
        <f t="shared" si="28"/>
        <v>0</v>
      </c>
      <c r="J35" s="14">
        <f t="shared" si="28"/>
        <v>0</v>
      </c>
      <c r="K35" s="14">
        <f t="shared" ref="K35:O35" si="29">IFERROR((K$12+K$13+1.5)*2*K$16/10000*K23*0.92,"")</f>
        <v>0</v>
      </c>
      <c r="L35" s="14">
        <f t="shared" si="29"/>
        <v>0</v>
      </c>
      <c r="M35" s="14">
        <f t="shared" si="29"/>
        <v>0</v>
      </c>
      <c r="N35" s="14">
        <f t="shared" si="29"/>
        <v>0</v>
      </c>
      <c r="O35" s="14">
        <f t="shared" si="29"/>
        <v>0</v>
      </c>
      <c r="P35" s="14">
        <f t="shared" ref="P35:Q35" si="30">IFERROR((P$12+P$13+1.5)*2*P$16/10000*P23*0.92,"")</f>
        <v>0</v>
      </c>
      <c r="Q35" s="14">
        <f t="shared" si="30"/>
        <v>0</v>
      </c>
      <c r="R35" s="14">
        <f t="shared" ref="R35" si="31">IFERROR((R$12+R$13+1.5)*2*R$16/10000*R23*0.92,"")</f>
        <v>0</v>
      </c>
      <c r="S35" s="14">
        <f t="shared" si="26"/>
        <v>0</v>
      </c>
      <c r="T35" s="14">
        <f t="shared" si="26"/>
        <v>0</v>
      </c>
      <c r="U35" s="14">
        <f t="shared" ref="U35" si="32">IFERROR((U$12+U$13+1.5)*2*U$16/10000*U23*0.92,"")</f>
        <v>0</v>
      </c>
      <c r="V35" s="14">
        <f t="shared" si="27"/>
        <v>0</v>
      </c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33"/>
      <c r="AY35" s="165"/>
    </row>
    <row r="36" spans="2:51" ht="14.25" x14ac:dyDescent="0.45">
      <c r="B36" s="50">
        <f t="shared" si="20"/>
        <v>110</v>
      </c>
      <c r="C36" s="13"/>
      <c r="D36" s="3" t="s">
        <v>236</v>
      </c>
      <c r="E36" s="14">
        <f t="shared" si="21"/>
        <v>0</v>
      </c>
      <c r="F36" s="14">
        <f t="shared" si="21"/>
        <v>0</v>
      </c>
      <c r="G36" s="14">
        <f t="shared" si="21"/>
        <v>0</v>
      </c>
      <c r="H36" s="14">
        <f t="shared" ref="H36:J36" si="33">IFERROR((H$12+H$13+1.5)*2*H$16/10000*H24*0.92,"")</f>
        <v>0</v>
      </c>
      <c r="I36" s="14">
        <f t="shared" si="33"/>
        <v>0</v>
      </c>
      <c r="J36" s="14">
        <f t="shared" si="33"/>
        <v>0</v>
      </c>
      <c r="K36" s="14">
        <f t="shared" ref="K36:O36" si="34">IFERROR((K$12+K$13+1.5)*2*K$16/10000*K24*0.92,"")</f>
        <v>0</v>
      </c>
      <c r="L36" s="14">
        <f t="shared" si="34"/>
        <v>0</v>
      </c>
      <c r="M36" s="14">
        <f t="shared" si="34"/>
        <v>0</v>
      </c>
      <c r="N36" s="14">
        <f t="shared" si="34"/>
        <v>0</v>
      </c>
      <c r="O36" s="14">
        <f t="shared" si="34"/>
        <v>0</v>
      </c>
      <c r="P36" s="14">
        <f t="shared" ref="P36:Q36" si="35">IFERROR((P$12+P$13+1.5)*2*P$16/10000*P24*0.92,"")</f>
        <v>0</v>
      </c>
      <c r="Q36" s="14">
        <f t="shared" si="35"/>
        <v>0</v>
      </c>
      <c r="R36" s="14">
        <f t="shared" ref="R36" si="36">IFERROR((R$12+R$13+1.5)*2*R$16/10000*R24*0.92,"")</f>
        <v>0</v>
      </c>
      <c r="S36" s="14">
        <f t="shared" si="26"/>
        <v>0</v>
      </c>
      <c r="T36" s="14">
        <f t="shared" si="26"/>
        <v>0</v>
      </c>
      <c r="U36" s="14">
        <f t="shared" ref="U36" si="37">IFERROR((U$12+U$13+1.5)*2*U$16/10000*U24*0.92,"")</f>
        <v>0</v>
      </c>
      <c r="V36" s="14">
        <f t="shared" si="27"/>
        <v>0</v>
      </c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33"/>
      <c r="AY36" s="165"/>
    </row>
    <row r="37" spans="2:51" ht="14.25" x14ac:dyDescent="0.45">
      <c r="B37" s="50"/>
      <c r="C37" s="13"/>
      <c r="D37" s="3" t="s">
        <v>237</v>
      </c>
      <c r="E37" s="14">
        <f t="shared" ref="E37:G38" si="38">IFERROR((E$12+E$13+1.5)*2*E$16/10000*E25,"")</f>
        <v>0</v>
      </c>
      <c r="F37" s="14">
        <f t="shared" si="38"/>
        <v>0</v>
      </c>
      <c r="G37" s="14">
        <f t="shared" si="38"/>
        <v>0</v>
      </c>
      <c r="H37" s="14">
        <f t="shared" ref="H37:J37" si="39">IFERROR((H$12+H$13+1.5)*2*H$16/10000*H25,"")</f>
        <v>0</v>
      </c>
      <c r="I37" s="14">
        <f t="shared" si="39"/>
        <v>0</v>
      </c>
      <c r="J37" s="14">
        <f t="shared" si="39"/>
        <v>0</v>
      </c>
      <c r="K37" s="14">
        <f t="shared" ref="K37:O37" si="40">IFERROR((K$12+K$13+1.5)*2*K$16/10000*K25,"")</f>
        <v>0</v>
      </c>
      <c r="L37" s="14">
        <f t="shared" si="40"/>
        <v>0</v>
      </c>
      <c r="M37" s="14">
        <f t="shared" si="40"/>
        <v>0</v>
      </c>
      <c r="N37" s="14">
        <f t="shared" si="40"/>
        <v>0</v>
      </c>
      <c r="O37" s="14">
        <f t="shared" si="40"/>
        <v>0</v>
      </c>
      <c r="P37" s="14">
        <f t="shared" ref="P37:Q37" si="41">IFERROR((P$12+P$13+1.5)*2*P$16/10000*P25,"")</f>
        <v>0</v>
      </c>
      <c r="Q37" s="14">
        <f t="shared" si="41"/>
        <v>0</v>
      </c>
      <c r="R37" s="14">
        <f t="shared" ref="R37" si="42">IFERROR((R$12+R$13+1.5)*2*R$16/10000*R25,"")</f>
        <v>0</v>
      </c>
      <c r="S37" s="14">
        <f>IFERROR((S$12+S$13+1.5)*2*S$16/10000*S25,"")</f>
        <v>0</v>
      </c>
      <c r="T37" s="14">
        <f>IFERROR((T$12+T$13+1.5)*2*T$16/10000*T25,"")</f>
        <v>0</v>
      </c>
      <c r="U37" s="14">
        <f t="shared" ref="U37:V38" si="43">IFERROR((U$12+U$13+1.5)*2*U$16/10000*U25,"")</f>
        <v>0</v>
      </c>
      <c r="V37" s="18">
        <f t="shared" si="43"/>
        <v>0</v>
      </c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8"/>
      <c r="AV37" s="14"/>
      <c r="AW37" s="14"/>
      <c r="AX37" s="33"/>
      <c r="AY37" s="165"/>
    </row>
    <row r="38" spans="2:51" ht="14.25" x14ac:dyDescent="0.45">
      <c r="B38" s="50"/>
      <c r="C38" s="13"/>
      <c r="D38" s="3" t="s">
        <v>238</v>
      </c>
      <c r="E38" s="14">
        <f t="shared" si="38"/>
        <v>0</v>
      </c>
      <c r="F38" s="14">
        <f t="shared" si="38"/>
        <v>0</v>
      </c>
      <c r="G38" s="14">
        <f t="shared" si="38"/>
        <v>0</v>
      </c>
      <c r="H38" s="14">
        <f t="shared" ref="H38:J38" si="44">IFERROR((H$12+H$13+1.5)*2*H$16/10000*H26,"")</f>
        <v>0</v>
      </c>
      <c r="I38" s="14">
        <f t="shared" si="44"/>
        <v>0</v>
      </c>
      <c r="J38" s="14">
        <f t="shared" si="44"/>
        <v>0</v>
      </c>
      <c r="K38" s="14">
        <f t="shared" ref="K38:O38" si="45">IFERROR((K$12+K$13+1.5)*2*K$16/10000*K26,"")</f>
        <v>0</v>
      </c>
      <c r="L38" s="14">
        <f t="shared" si="45"/>
        <v>0</v>
      </c>
      <c r="M38" s="14">
        <f t="shared" si="45"/>
        <v>0</v>
      </c>
      <c r="N38" s="14">
        <f t="shared" si="45"/>
        <v>0</v>
      </c>
      <c r="O38" s="14">
        <f t="shared" si="45"/>
        <v>0</v>
      </c>
      <c r="P38" s="14">
        <f t="shared" ref="P38:Q38" si="46">IFERROR((P$12+P$13+1.5)*2*P$16/10000*P26,"")</f>
        <v>0</v>
      </c>
      <c r="Q38" s="14">
        <f t="shared" si="46"/>
        <v>0</v>
      </c>
      <c r="R38" s="14">
        <f t="shared" ref="R38" si="47">IFERROR((R$12+R$13+1.5)*2*R$16/10000*R26,"")</f>
        <v>0</v>
      </c>
      <c r="S38" s="14">
        <f>IFERROR((S$12+S$13+1.5)*2*S$16/10000*S26,"")</f>
        <v>0</v>
      </c>
      <c r="T38" s="14">
        <f>IFERROR((T$12+T$13+1.5)*2*T$16/10000*T26,"")</f>
        <v>0</v>
      </c>
      <c r="U38" s="14">
        <f t="shared" ref="U38" si="48">IFERROR((U$12+U$13+1.5)*2*U$16/10000*U26,"")</f>
        <v>0</v>
      </c>
      <c r="V38" s="18">
        <f t="shared" si="43"/>
        <v>0</v>
      </c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8"/>
      <c r="AV38" s="14"/>
      <c r="AW38" s="14"/>
      <c r="AX38" s="33"/>
      <c r="AY38" s="165"/>
    </row>
    <row r="39" spans="2:51" ht="14.25" x14ac:dyDescent="0.45">
      <c r="B39" s="50">
        <f>B36+1</f>
        <v>111</v>
      </c>
      <c r="C39" s="13"/>
      <c r="D39" s="3" t="s">
        <v>239</v>
      </c>
      <c r="E39" s="14">
        <f>IFERROR((E$12+E$13+1.5)*2*E$16/10000*E27*0.92,"")</f>
        <v>0</v>
      </c>
      <c r="F39" s="14">
        <f>IFERROR((F$12+F$13+1.5)*2*F$16/10000*F27*0.92,"")</f>
        <v>0</v>
      </c>
      <c r="G39" s="14">
        <f>IFERROR((G$12+G$13+1.5)*2*G$16/10000*G27*0.92,"")</f>
        <v>0</v>
      </c>
      <c r="H39" s="14">
        <f t="shared" ref="H39:J39" si="49">IFERROR((H$12+H$13+1.5)*2*H$16/10000*H27*0.92,"")</f>
        <v>0</v>
      </c>
      <c r="I39" s="14">
        <f t="shared" si="49"/>
        <v>0</v>
      </c>
      <c r="J39" s="14">
        <f t="shared" si="49"/>
        <v>0</v>
      </c>
      <c r="K39" s="14">
        <f t="shared" ref="K39:O39" si="50">IFERROR((K$12+K$13+1.5)*2*K$16/10000*K27*0.92,"")</f>
        <v>0</v>
      </c>
      <c r="L39" s="14">
        <f t="shared" si="50"/>
        <v>0</v>
      </c>
      <c r="M39" s="14">
        <f t="shared" si="50"/>
        <v>0</v>
      </c>
      <c r="N39" s="14">
        <f t="shared" si="50"/>
        <v>0</v>
      </c>
      <c r="O39" s="14">
        <f t="shared" si="50"/>
        <v>0</v>
      </c>
      <c r="P39" s="14">
        <f t="shared" ref="P39:Q39" si="51">IFERROR((P$12+P$13+1.5)*2*P$16/10000*P27*0.92,"")</f>
        <v>0</v>
      </c>
      <c r="Q39" s="14">
        <f t="shared" si="51"/>
        <v>0</v>
      </c>
      <c r="R39" s="14">
        <f t="shared" ref="R39" si="52">IFERROR((R$12+R$13+1.5)*2*R$16/10000*R27*0.92,"")</f>
        <v>0</v>
      </c>
      <c r="S39" s="14">
        <f>IFERROR((S$12+S$13+1.5)*2*S$16/10000*S27*0.92,"")</f>
        <v>0</v>
      </c>
      <c r="T39" s="14">
        <f>IFERROR((T$12+T$13+1.5)*2*T$16/10000*T27*0.92,"")</f>
        <v>0</v>
      </c>
      <c r="U39" s="14">
        <f t="shared" ref="U39:V39" si="53">IFERROR((U$12+U$13+1.5)*2*U$16/10000*U27*0.92,"")</f>
        <v>0</v>
      </c>
      <c r="V39" s="14">
        <f t="shared" si="53"/>
        <v>0</v>
      </c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33"/>
      <c r="AY39" s="165"/>
    </row>
    <row r="40" spans="2:51" ht="14.25" x14ac:dyDescent="0.45">
      <c r="B40" s="50">
        <f t="shared" si="20"/>
        <v>112</v>
      </c>
      <c r="C40" s="13"/>
      <c r="D40" s="3" t="s">
        <v>240</v>
      </c>
      <c r="E40" s="14">
        <f>IFERROR((E$12+E$13+1.5)*2*E$16/10000*E28,"")</f>
        <v>0</v>
      </c>
      <c r="F40" s="14">
        <f>IFERROR((F$12+F$13+1.5)*2*F$16/10000*F28,"")</f>
        <v>0</v>
      </c>
      <c r="G40" s="14">
        <f>IFERROR((G$12+G$13+1.5)*2*G$16/10000*G28,"")</f>
        <v>0</v>
      </c>
      <c r="H40" s="14">
        <f t="shared" ref="H40:J40" si="54">IFERROR((H$12+H$13+1.5)*2*H$16/10000*H28,"")</f>
        <v>0</v>
      </c>
      <c r="I40" s="14">
        <f t="shared" si="54"/>
        <v>0</v>
      </c>
      <c r="J40" s="14">
        <f t="shared" si="54"/>
        <v>0</v>
      </c>
      <c r="K40" s="14">
        <f t="shared" ref="K40:O40" si="55">IFERROR((K$12+K$13+1.5)*2*K$16/10000*K28,"")</f>
        <v>0</v>
      </c>
      <c r="L40" s="14">
        <f t="shared" si="55"/>
        <v>0</v>
      </c>
      <c r="M40" s="14">
        <f t="shared" si="55"/>
        <v>0</v>
      </c>
      <c r="N40" s="14">
        <f t="shared" si="55"/>
        <v>0</v>
      </c>
      <c r="O40" s="14">
        <f t="shared" si="55"/>
        <v>0</v>
      </c>
      <c r="P40" s="14">
        <f t="shared" ref="P40:Q40" si="56">IFERROR((P$12+P$13+1.5)*2*P$16/10000*P28,"")</f>
        <v>0</v>
      </c>
      <c r="Q40" s="14">
        <f t="shared" si="56"/>
        <v>0</v>
      </c>
      <c r="R40" s="14">
        <f t="shared" ref="R40" si="57">IFERROR((R$12+R$13+1.5)*2*R$16/10000*R28,"")</f>
        <v>0</v>
      </c>
      <c r="S40" s="14">
        <f>IFERROR((S$12+S$13+1.5)*2*S$16/10000*S28,"")</f>
        <v>0</v>
      </c>
      <c r="T40" s="14">
        <f>IFERROR((T$12+T$13+1.5)*2*T$16/10000*T28,"")</f>
        <v>0</v>
      </c>
      <c r="U40" s="14">
        <f t="shared" ref="U40:V40" si="58">IFERROR((U$12+U$13+1.5)*2*U$16/10000*U28,"")</f>
        <v>0</v>
      </c>
      <c r="V40" s="14">
        <f t="shared" si="58"/>
        <v>0</v>
      </c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33"/>
      <c r="AY40" s="165"/>
    </row>
    <row r="41" spans="2:51" ht="14.25" x14ac:dyDescent="0.45">
      <c r="B41" s="50">
        <f t="shared" si="20"/>
        <v>113</v>
      </c>
      <c r="C41" s="13"/>
      <c r="D41" s="3" t="s">
        <v>241</v>
      </c>
      <c r="E41" s="14">
        <f>IFERROR(E29*E16/100,"")</f>
        <v>0</v>
      </c>
      <c r="F41" s="14">
        <f>IFERROR(F29*F16/100,"")</f>
        <v>0</v>
      </c>
      <c r="G41" s="14">
        <f>IFERROR(G29*G16/100,"")</f>
        <v>0</v>
      </c>
      <c r="H41" s="14">
        <f t="shared" ref="H41:J41" si="59">IFERROR(H29*H16/100,"")</f>
        <v>0</v>
      </c>
      <c r="I41" s="14">
        <f t="shared" si="59"/>
        <v>0</v>
      </c>
      <c r="J41" s="14">
        <f t="shared" si="59"/>
        <v>0</v>
      </c>
      <c r="K41" s="14">
        <f t="shared" ref="K41:O41" si="60">IFERROR(K29*K16/100,"")</f>
        <v>0</v>
      </c>
      <c r="L41" s="14">
        <f t="shared" si="60"/>
        <v>0</v>
      </c>
      <c r="M41" s="14">
        <f t="shared" si="60"/>
        <v>0</v>
      </c>
      <c r="N41" s="14">
        <f t="shared" si="60"/>
        <v>0</v>
      </c>
      <c r="O41" s="14">
        <f t="shared" si="60"/>
        <v>0</v>
      </c>
      <c r="P41" s="14">
        <f t="shared" ref="P41:Q41" si="61">IFERROR(P29*P16/100,"")</f>
        <v>0</v>
      </c>
      <c r="Q41" s="14">
        <f t="shared" si="61"/>
        <v>0</v>
      </c>
      <c r="R41" s="14">
        <f t="shared" ref="R41" si="62">IFERROR(R29*R16/100,"")</f>
        <v>0</v>
      </c>
      <c r="S41" s="14">
        <f>IFERROR(S29*S16/100,"")</f>
        <v>0</v>
      </c>
      <c r="T41" s="14">
        <f>IFERROR(T29*T16/100,"")</f>
        <v>0</v>
      </c>
      <c r="U41" s="14">
        <f t="shared" ref="U41:V41" si="63">IFERROR(U29*U16/100,"")</f>
        <v>0</v>
      </c>
      <c r="V41" s="14">
        <f t="shared" si="63"/>
        <v>0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33"/>
      <c r="AY41" s="165"/>
    </row>
    <row r="42" spans="2:51" ht="14.25" x14ac:dyDescent="0.45">
      <c r="B42" s="50">
        <f t="shared" si="20"/>
        <v>114</v>
      </c>
      <c r="C42" s="13"/>
      <c r="D42" s="3" t="s">
        <v>242</v>
      </c>
      <c r="E42" s="14">
        <f>IFERROR((E$12+E$13+2)*2*E$16/10000*E30,"")</f>
        <v>0</v>
      </c>
      <c r="F42" s="14">
        <f>IFERROR((F$12+F$13+2)*2*F$16/10000*F30,"")</f>
        <v>0</v>
      </c>
      <c r="G42" s="14">
        <f>IFERROR((G$12+G$13+2)*2*G$16/10000*G30,"")</f>
        <v>129.50399999999999</v>
      </c>
      <c r="H42" s="14">
        <f t="shared" ref="H42:J42" si="64">IFERROR((H$12+H$13+2)*2*H$16/10000*H30,"")</f>
        <v>129.50399999999999</v>
      </c>
      <c r="I42" s="14">
        <f t="shared" si="64"/>
        <v>129.50399999999999</v>
      </c>
      <c r="J42" s="14">
        <f t="shared" si="64"/>
        <v>0</v>
      </c>
      <c r="K42" s="14">
        <f t="shared" ref="K42:O42" si="65">IFERROR((K$12+K$13+2)*2*K$16/10000*K30,"")</f>
        <v>0</v>
      </c>
      <c r="L42" s="14">
        <f t="shared" si="65"/>
        <v>0</v>
      </c>
      <c r="M42" s="14">
        <f t="shared" si="65"/>
        <v>64.463999999999999</v>
      </c>
      <c r="N42" s="14">
        <f t="shared" si="65"/>
        <v>0</v>
      </c>
      <c r="O42" s="14">
        <f t="shared" si="65"/>
        <v>33.984000000000002</v>
      </c>
      <c r="P42" s="14">
        <f t="shared" ref="P42:Q42" si="66">IFERROR((P$12+P$13+2)*2*P$16/10000*P30,"")</f>
        <v>50.784000000000006</v>
      </c>
      <c r="Q42" s="14">
        <f t="shared" si="66"/>
        <v>0</v>
      </c>
      <c r="R42" s="14">
        <f t="shared" ref="R42" si="67">IFERROR((R$12+R$13+2)*2*R$16/10000*R30,"")</f>
        <v>0</v>
      </c>
      <c r="S42" s="14">
        <f>IFERROR((S$12+S$13+2)*2*S$16/10000*S30,"")</f>
        <v>0</v>
      </c>
      <c r="T42" s="14">
        <f>IFERROR((T$12+T$13+2)*2*T$16/10000*T30,"")</f>
        <v>12.6</v>
      </c>
      <c r="U42" s="14">
        <f t="shared" ref="U42:V42" si="68">IFERROR((U$12+U$13+2)*2*U$16/10000*U30,"")</f>
        <v>0</v>
      </c>
      <c r="V42" s="14">
        <f t="shared" si="68"/>
        <v>0</v>
      </c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33"/>
      <c r="AY42" s="165"/>
    </row>
    <row r="43" spans="2:51" ht="14.25" x14ac:dyDescent="0.45">
      <c r="B43" s="50">
        <f t="shared" si="20"/>
        <v>115</v>
      </c>
      <c r="C43" s="13"/>
      <c r="D43" s="3" t="s">
        <v>243</v>
      </c>
      <c r="E43" s="14" cm="1">
        <f t="array" ref="E43">IF(E5="","",IFERROR(IF(OR(E10="Tubular Bag",E10="Back Seam Bag"),_xlfn.IFS(E15="Hemmed",3/61*E12,E15="Heat Cut",2/61*E12,E15="Ez Open",1.2/61*(E12+10)),0),0))</f>
        <v>4.918032786885246</v>
      </c>
      <c r="F43" s="14" cm="1">
        <f t="array" ref="F43">IF(F5="","",IFERROR(IF(OR(F10="Tubular Bag",F10="Back Seam Bag"),_xlfn.IFS(F15="Hemmed",3/61*F12,F15="Heat Cut",2/61*F12,F15="Ez Open",1.2/61*(F12+10)),0),0))</f>
        <v>4.918032786885246</v>
      </c>
      <c r="G43" s="14" cm="1">
        <f t="array" ref="G43">IF(G5="","",IFERROR(IF(OR(G10="Tubular Bag",G10="Back Seam Bag"),_xlfn.IFS(G15="Hemmed",3/61*G12,G15="Heat Cut",2/61*G12,G15="Ez Open",1.2/61*(G12+10)),0),0))</f>
        <v>6.8852459016393439</v>
      </c>
      <c r="H43" s="14" cm="1">
        <f t="array" ref="H43">IF(H5="","",IFERROR(IF(OR(H10="Tubular Bag",H10="Back Seam Bag"),_xlfn.IFS(H15="Hemmed",3/61*H12,H15="Heat Cut",2/61*H12,H15="Ez Open",1.2/61*(H12+10)),0),0))</f>
        <v>6.8852459016393439</v>
      </c>
      <c r="I43" s="14" cm="1">
        <f t="array" ref="I43">IF(I5="","",IFERROR(IF(OR(I10="Tubular Bag",I10="Back Seam Bag"),_xlfn.IFS(I15="Hemmed",3/61*I12,I15="Heat Cut",2/61*I12,I15="Ez Open",1.2/61*(I12+10)),0),0))</f>
        <v>6.8852459016393439</v>
      </c>
      <c r="J43" s="14" cm="1">
        <f t="array" ref="J43">IF(J5="","",IFERROR(IF(OR(J10="Tubular Bag",J10="Back Seam Bag"),_xlfn.IFS(J15="Hemmed",3/61*J12,J15="Heat Cut",2/61*J12,J15="Ez Open",1.2/61*(J12+10)),0),0))</f>
        <v>6.8852459016393439</v>
      </c>
      <c r="K43" s="14" cm="1">
        <f t="array" ref="K43">IF(K5="","",IFERROR(IF(OR(K10="Tubular Bag",K10="Back Seam Bag"),_xlfn.IFS(K15="Hemmed",3/61*K12,K15="Heat Cut",2/61*K12,K15="Ez Open",1.2/61*(K12+10)),0),0))</f>
        <v>3.442622950819672</v>
      </c>
      <c r="L43" s="14" cm="1">
        <f t="array" ref="L43">IF(L5="","",IFERROR(IF(OR(L10="Tubular Bag",L10="Back Seam Bag"),_xlfn.IFS(L15="Hemmed",3/61*L12,L15="Heat Cut",2/61*L12,L15="Ez Open",1.2/61*(L12+10)),0),0))</f>
        <v>1.9672131147540983</v>
      </c>
      <c r="M43" s="14" cm="1">
        <f t="array" ref="M43">IF(M5="","",IFERROR(IF(OR(M10="Tubular Bag",M10="Back Seam Bag"),_xlfn.IFS(M15="Hemmed",3/61*M12,M15="Heat Cut",2/61*M12,M15="Ez Open",1.2/61*(M12+10)),0),0))</f>
        <v>4.918032786885246</v>
      </c>
      <c r="N43" s="14" cm="1">
        <f t="array" ref="N43">IF(N5="","",IFERROR(IF(OR(N10="Tubular Bag",N10="Back Seam Bag"),_xlfn.IFS(N15="Hemmed",3/61*N12,N15="Heat Cut",2/61*N12,N15="Ez Open",1.2/61*(N12+10)),0),0))</f>
        <v>2.9508196721311473</v>
      </c>
      <c r="O43" s="14" cm="1">
        <f t="array" ref="O43">IF(O5="","",IFERROR(IF(OR(O10="Tubular Bag",O10="Back Seam Bag"),_xlfn.IFS(O15="Hemmed",3/61*O12,O15="Heat Cut",2/61*O12,O15="Ez Open",1.2/61*(O12+10)),0),0))</f>
        <v>3.442622950819672</v>
      </c>
      <c r="P43" s="14" cm="1">
        <f t="array" ref="P43">IF(P5="","",IFERROR(IF(OR(P10="Tubular Bag",P10="Back Seam Bag"),_xlfn.IFS(P15="Hemmed",3/61*P12,P15="Heat Cut",2/61*P12,P15="Ez Open",1.2/61*(P12+10)),0),0))</f>
        <v>4.4262295081967213</v>
      </c>
      <c r="Q43" s="14" cm="1">
        <f t="array" ref="Q43">IF(Q5="","",IFERROR(IF(OR(Q10="Tubular Bag",Q10="Back Seam Bag"),_xlfn.IFS(Q15="Hemmed",3/61*Q12,Q15="Heat Cut",2/61*Q12,Q15="Ez Open",1.2/61*(Q12+10)),0),0))</f>
        <v>2.9508196721311473</v>
      </c>
      <c r="R43" s="14" cm="1">
        <f t="array" ref="R43">IF(R5="","",IFERROR(IF(OR(R10="Tubular Bag",R10="Back Seam Bag"),_xlfn.IFS(R15="Hemmed",3/61*R12,R15="Heat Cut",2/61*R12,R15="Ez Open",1.2/61*(R12+10)),0),0))</f>
        <v>2.262295081967213</v>
      </c>
      <c r="S43" s="14" cm="1">
        <f t="array" ref="S43">IF(S5="","",IFERROR(IF(OR(S10="Tubular Bag",S10="Back Seam Bag"),_xlfn.IFS(S15="Hemmed",3/61*S12,S15="Heat Cut",2/61*S12,S15="Ez Open",1.2/61*(S12+10)),0),0))</f>
        <v>3.540983606557377</v>
      </c>
      <c r="T43" s="14" cm="1">
        <f t="array" ref="T43">IF(T5="","",IFERROR(IF(OR(T10="Tubular Bag",T10="Back Seam Bag"),_xlfn.IFS(T15="Hemmed",3/61*T12,T15="Heat Cut",2/61*T12,T15="Ez Open",1.2/61*(T12+10)),0),0))</f>
        <v>0.98360655737704927</v>
      </c>
      <c r="U43" s="14" cm="1">
        <f t="array" ref="U43">IF(U5="","",IFERROR(IF(OR(U10="Tubular Bag",U10="Back Seam Bag"),_xlfn.IFS(U15="Hemmed",3/61*U12,U15="Heat Cut",2/61*U12,U15="Ez Open",1.2/61*(U12+10)),0),0))</f>
        <v>0</v>
      </c>
      <c r="V43" s="14" cm="1">
        <f t="array" ref="V43">IF(V5="","",IFERROR(IF(OR(V10="Tubular Bag",V10="Back Seam Bag"),_xlfn.IFS(V15="Hemmed",3/61*V12,V15="Heat Cut",2/61*V12,V15="Ez Open",1.2/61*(V12+10)),0),0))</f>
        <v>2.459016393442623</v>
      </c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33"/>
      <c r="AY43" s="165"/>
    </row>
    <row r="44" spans="2:51" ht="14.25" x14ac:dyDescent="0.45">
      <c r="B44" s="50">
        <f t="shared" si="20"/>
        <v>116</v>
      </c>
      <c r="C44" s="13"/>
      <c r="D44" s="3" t="s">
        <v>244</v>
      </c>
      <c r="E44" s="14">
        <f>IF(E$5="","",IFERROR(E17-SUM(E31:E43),""))</f>
        <v>189.42148721311474</v>
      </c>
      <c r="F44" s="14">
        <f>IF(F$5="","",IFERROR(F17-SUM(F31:F43),""))</f>
        <v>194.87876721311474</v>
      </c>
      <c r="G44" s="14">
        <f>IF(G$5="","",IFERROR(G17-SUM(G31:G43),""))</f>
        <v>446.88075409836063</v>
      </c>
      <c r="H44" s="14">
        <f t="shared" ref="H44:J44" si="69">IF(H$5="","",IFERROR(H17-SUM(H31:H43),""))</f>
        <v>383.04075409836059</v>
      </c>
      <c r="I44" s="14">
        <f t="shared" si="69"/>
        <v>383.04075409836059</v>
      </c>
      <c r="J44" s="14">
        <f t="shared" si="69"/>
        <v>383.04475409836067</v>
      </c>
      <c r="K44" s="14">
        <f t="shared" ref="K44:O44" si="70">IF(K$5="","",IFERROR(K17-SUM(K31:K43),""))</f>
        <v>99.117377049180334</v>
      </c>
      <c r="L44" s="14">
        <f t="shared" si="70"/>
        <v>32.642786885245897</v>
      </c>
      <c r="M44" s="14">
        <f t="shared" si="70"/>
        <v>189.59796721311474</v>
      </c>
      <c r="N44" s="14">
        <f t="shared" si="70"/>
        <v>77.759180327868847</v>
      </c>
      <c r="O44" s="14">
        <f t="shared" si="70"/>
        <v>99.123377049180334</v>
      </c>
      <c r="P44" s="14">
        <f t="shared" ref="P44:Q44" si="71">IF(P$5="","",IFERROR(P17-SUM(P31:P43),""))</f>
        <v>149.03977049180327</v>
      </c>
      <c r="Q44" s="14">
        <f t="shared" si="71"/>
        <v>77.759180327868847</v>
      </c>
      <c r="R44" s="14">
        <f t="shared" ref="R44" si="72">IF(R$5="","",IFERROR(R17-SUM(R31:R43),""))</f>
        <v>53.46770491803278</v>
      </c>
      <c r="S44" s="14">
        <f>IF(S$5="","",IFERROR(S17-SUM(S31:S43),""))</f>
        <v>106.21597639344262</v>
      </c>
      <c r="T44" s="14">
        <f>IF(T$5="","",IFERROR(T17-SUM(T31:T43),""))</f>
        <v>36.006393442622951</v>
      </c>
      <c r="U44" s="14">
        <f t="shared" ref="U44:V44" si="73">IF(U$5="","",IFERROR(U17-SUM(U31:U43),""))</f>
        <v>1096.0650000000001</v>
      </c>
      <c r="V44" s="14">
        <f t="shared" si="73"/>
        <v>57.2</v>
      </c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33"/>
      <c r="AY44" s="165"/>
    </row>
    <row r="45" spans="2:51" ht="14.25" x14ac:dyDescent="0.45">
      <c r="B45" s="50"/>
      <c r="C45" s="13"/>
      <c r="D45" s="3" t="s">
        <v>245</v>
      </c>
      <c r="E45" s="15">
        <f>IFERROR(ROUND(E44/(E20*2*E16/10000),2),"")</f>
        <v>58.1</v>
      </c>
      <c r="F45" s="15">
        <f>IFERROR(ROUND(F44/(F20*2*F16/10000),2),"")</f>
        <v>58</v>
      </c>
      <c r="G45" s="15">
        <f>IFERROR(ROUND(G44/(G20*2*G16/10000),2),"")</f>
        <v>70</v>
      </c>
      <c r="H45" s="15">
        <f t="shared" ref="H45:J45" si="74">IFERROR(ROUND(H44/(H20*2*H16/10000),2),"")</f>
        <v>60</v>
      </c>
      <c r="I45" s="15">
        <f t="shared" si="74"/>
        <v>60</v>
      </c>
      <c r="J45" s="15">
        <f t="shared" si="74"/>
        <v>60</v>
      </c>
      <c r="K45" s="15">
        <f t="shared" ref="K45:O45" si="75">IFERROR(ROUND(K44/(K20*2*K16/10000),2),"")</f>
        <v>60</v>
      </c>
      <c r="L45" s="15">
        <f t="shared" si="75"/>
        <v>60.01</v>
      </c>
      <c r="M45" s="15">
        <f t="shared" si="75"/>
        <v>60</v>
      </c>
      <c r="N45" s="15">
        <f t="shared" si="75"/>
        <v>60</v>
      </c>
      <c r="O45" s="15">
        <f t="shared" si="75"/>
        <v>60</v>
      </c>
      <c r="P45" s="15">
        <f t="shared" ref="P45:Q45" si="76">IFERROR(ROUND(P44/(P20*2*P16/10000),2),"")</f>
        <v>60</v>
      </c>
      <c r="Q45" s="15">
        <f t="shared" si="76"/>
        <v>60</v>
      </c>
      <c r="R45" s="15">
        <f t="shared" ref="R45" si="77">IFERROR(ROUND(R44/(R20*2*R16/10000),2),"")</f>
        <v>70.02</v>
      </c>
      <c r="S45" s="15">
        <f>IFERROR(ROUND(S44/(S20*2*S16/10000),2),"")</f>
        <v>62.51</v>
      </c>
      <c r="T45" s="15">
        <f>IFERROR(ROUND(T44/(T20*2*T16/10000),2),"")</f>
        <v>60.01</v>
      </c>
      <c r="U45" s="15">
        <f t="shared" ref="U45:V45" si="78">IFERROR(ROUND(U44/(U20*2*U16/10000),2),"")</f>
        <v>270</v>
      </c>
      <c r="V45" s="15">
        <f t="shared" si="78"/>
        <v>65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33"/>
      <c r="AY45" s="165"/>
    </row>
    <row r="46" spans="2:51" ht="14.25" x14ac:dyDescent="0.45">
      <c r="B46" s="50">
        <v>18</v>
      </c>
      <c r="C46" s="47" t="s">
        <v>246</v>
      </c>
      <c r="D46" s="3" t="s">
        <v>247</v>
      </c>
      <c r="E46" s="66" cm="1">
        <f t="array" ref="E46">IF(E$5="","",_xlfn.IFS(E$6="Export",LOOKUP(E$5,'RM Prices'!$C$4:$BJ$4,'RM Prices'!$C5:$BJ5),E$6="Domestic",LOOKUP(E$5,'RM Prices'!$C$31:$BJ$31,'RM Prices'!$C32:$BJ32)))</f>
        <v>133.274</v>
      </c>
      <c r="F46" s="66" cm="1">
        <f t="array" ref="F46">IF(F$5="","",_xlfn.IFS(F$6="Export",LOOKUP(F$5,'RM Prices'!$C$4:$BJ$4,'RM Prices'!$C5:$BJ5),F$6="Domestic",LOOKUP(F$5,'RM Prices'!$C$31:$BJ$31,'RM Prices'!$C32:$BJ32)))</f>
        <v>133.274</v>
      </c>
      <c r="G46" s="66" cm="1">
        <f t="array" ref="G46">IF(G$5="","",_xlfn.IFS(G$6="Export",LOOKUP(G$5,'RM Prices'!$C$4:$BJ$4,'RM Prices'!$C5:$BJ5),G$6="Domestic",LOOKUP(G$5,'RM Prices'!$C$31:$BJ$31,'RM Prices'!$C32:$BJ32)))</f>
        <v>133.274</v>
      </c>
      <c r="H46" s="66" cm="1">
        <f t="array" ref="H46">IF(H$5="","",_xlfn.IFS(H$6="Export",LOOKUP(H$5,'RM Prices'!$C$4:$BJ$4,'RM Prices'!$C5:$BJ5),H$6="Domestic",LOOKUP(H$5,'RM Prices'!$C$31:$BJ$31,'RM Prices'!$C32:$BJ32)))</f>
        <v>133.274</v>
      </c>
      <c r="I46" s="66" cm="1">
        <f t="array" ref="I46">IF(I$5="","",_xlfn.IFS(I$6="Export",LOOKUP(I$5,'RM Prices'!$C$4:$BJ$4,'RM Prices'!$C5:$BJ5),I$6="Domestic",LOOKUP(I$5,'RM Prices'!$C$31:$BJ$31,'RM Prices'!$C32:$BJ32)))</f>
        <v>133.274</v>
      </c>
      <c r="J46" s="66" cm="1">
        <f t="array" ref="J46">IF(J$5="","",_xlfn.IFS(J$6="Export",LOOKUP(J$5,'RM Prices'!$C$4:$BJ$4,'RM Prices'!$C5:$BJ5),J$6="Domestic",LOOKUP(J$5,'RM Prices'!$C$31:$BJ$31,'RM Prices'!$C32:$BJ32)))</f>
        <v>133.274</v>
      </c>
      <c r="K46" s="66" cm="1">
        <f t="array" ref="K46">IF(K$5="","",_xlfn.IFS(K$6="Export",LOOKUP(K$5,'RM Prices'!$C$4:$BJ$4,'RM Prices'!$C5:$BJ5),K$6="Domestic",LOOKUP(K$5,'RM Prices'!$C$31:$BJ$31,'RM Prices'!$C32:$BJ32)))</f>
        <v>133.274</v>
      </c>
      <c r="L46" s="66" cm="1">
        <f t="array" ref="L46">IF(L$5="","",_xlfn.IFS(L$6="Export",LOOKUP(L$5,'RM Prices'!$C$4:$BJ$4,'RM Prices'!$C5:$BJ5),L$6="Domestic",LOOKUP(L$5,'RM Prices'!$C$31:$BJ$31,'RM Prices'!$C32:$BJ32)))</f>
        <v>133.274</v>
      </c>
      <c r="M46" s="66" cm="1">
        <f t="array" ref="M46">IF(M$5="","",_xlfn.IFS(M$6="Export",LOOKUP(M$5,'RM Prices'!$C$4:$BJ$4,'RM Prices'!$C5:$BJ5),M$6="Domestic",LOOKUP(M$5,'RM Prices'!$C$31:$BJ$31,'RM Prices'!$C32:$BJ32)))</f>
        <v>133.274</v>
      </c>
      <c r="N46" s="66" cm="1">
        <f t="array" ref="N46">IF(N$5="","",_xlfn.IFS(N$6="Export",LOOKUP(N$5,'RM Prices'!$C$4:$BJ$4,'RM Prices'!$C5:$BJ5),N$6="Domestic",LOOKUP(N$5,'RM Prices'!$C$31:$BJ$31,'RM Prices'!$C32:$BJ32)))</f>
        <v>133.274</v>
      </c>
      <c r="O46" s="66" cm="1">
        <f t="array" ref="O46">IF(O$5="","",_xlfn.IFS(O$6="Export",LOOKUP(O$5,'RM Prices'!$C$4:$BJ$4,'RM Prices'!$C5:$BJ5),O$6="Domestic",LOOKUP(O$5,'RM Prices'!$C$31:$BJ$31,'RM Prices'!$C32:$BJ32)))</f>
        <v>133.274</v>
      </c>
      <c r="P46" s="66" cm="1">
        <f t="array" ref="P46">IF(P$5="","",_xlfn.IFS(P$6="Export",LOOKUP(P$5,'RM Prices'!$C$4:$BJ$4,'RM Prices'!$C5:$BJ5),P$6="Domestic",LOOKUP(P$5,'RM Prices'!$C$31:$BJ$31,'RM Prices'!$C32:$BJ32)))</f>
        <v>133.274</v>
      </c>
      <c r="Q46" s="66" cm="1">
        <f t="array" ref="Q46">IF(Q$5="","",_xlfn.IFS(Q$6="Export",LOOKUP(Q$5,'RM Prices'!$C$4:$BJ$4,'RM Prices'!$C5:$BJ5),Q$6="Domestic",LOOKUP(Q$5,'RM Prices'!$C$31:$BJ$31,'RM Prices'!$C32:$BJ32)))</f>
        <v>133.274</v>
      </c>
      <c r="R46" s="66" cm="1">
        <f t="array" ref="R46">IF(R$5="","",_xlfn.IFS(R$6="Export",LOOKUP(R$5,'RM Prices'!$C$4:$BJ$4,'RM Prices'!$C5:$BJ5),R$6="Domestic",LOOKUP(R$5,'RM Prices'!$C$31:$BJ$31,'RM Prices'!$C32:$BJ32)))</f>
        <v>133.274</v>
      </c>
      <c r="S46" s="66" cm="1">
        <f t="array" ref="S46">IF(S$5="","",_xlfn.IFS(S$6="Export",LOOKUP(S$5,'RM Prices'!$C$4:$BJ$4,'RM Prices'!$C5:$BJ5),S$6="Domestic",LOOKUP(S$5,'RM Prices'!$C$31:$BJ$31,'RM Prices'!$C32:$BJ32)))</f>
        <v>133.274</v>
      </c>
      <c r="T46" s="66" cm="1">
        <f t="array" ref="T46">IF(T$5="","",_xlfn.IFS(T$6="Export",LOOKUP(T$5,'RM Prices'!$C$4:$BJ$4,'RM Prices'!$C5:$BJ5),T$6="Domestic",LOOKUP(T$5,'RM Prices'!$C$31:$BJ$31,'RM Prices'!$C32:$BJ32)))</f>
        <v>133.274</v>
      </c>
      <c r="U46" s="66" cm="1">
        <f t="array" ref="U46">IF(U$5="","",_xlfn.IFS(U$6="Export",LOOKUP(U$5,'RM Prices'!$C$4:$BJ$4,'RM Prices'!$C5:$BJ5),U$6="Domestic",LOOKUP(U$5,'RM Prices'!$C$31:$BJ$31,'RM Prices'!$C32:$BJ32)))</f>
        <v>133.274</v>
      </c>
      <c r="V46" s="73" cm="1">
        <f t="array" ref="V46">IF(V$5="","",_xlfn.IFS(V$6="Export",LOOKUP(V$5,'RM Prices'!$C$4:$BJ$4,'RM Prices'!$C5:$BJ5),V$6="Domestic",LOOKUP(V$5,'RM Prices'!$C$31:$BJ$31,'RM Prices'!$C32:$BJ32)))</f>
        <v>133.274</v>
      </c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73"/>
      <c r="AV46" s="66"/>
      <c r="AW46" s="66"/>
      <c r="AX46" s="34"/>
      <c r="AY46" s="165"/>
    </row>
    <row r="47" spans="2:51" ht="14.25" x14ac:dyDescent="0.45">
      <c r="B47" s="50">
        <v>19</v>
      </c>
      <c r="C47" s="47" t="s">
        <v>246</v>
      </c>
      <c r="D47" s="3" t="s">
        <v>248</v>
      </c>
      <c r="E47" s="66" cm="1">
        <f t="array" ref="E47">IF(E$5="","",_xlfn.IFS(E$6="Export",LOOKUP(E$5,'RM Prices'!$C$4:$BJ$4,'RM Prices'!$C6:$BJ6),E$6="Domestic",LOOKUP(E$5,'RM Prices'!$C$31:$BJ$31,'RM Prices'!$C33:$BJ33)))</f>
        <v>155.83699999999999</v>
      </c>
      <c r="F47" s="66" cm="1">
        <f t="array" ref="F47">IF(F$5="","",_xlfn.IFS(F$6="Export",LOOKUP(F$5,'RM Prices'!$C$4:$BJ$4,'RM Prices'!$C6:$BJ6),F$6="Domestic",LOOKUP(F$5,'RM Prices'!$C$31:$BJ$31,'RM Prices'!$C33:$BJ33)))</f>
        <v>155.83699999999999</v>
      </c>
      <c r="G47" s="66" cm="1">
        <f t="array" ref="G47">IF(G$5="","",_xlfn.IFS(G$6="Export",LOOKUP(G$5,'RM Prices'!$C$4:$BJ$4,'RM Prices'!$C6:$BJ6),G$6="Domestic",LOOKUP(G$5,'RM Prices'!$C$31:$BJ$31,'RM Prices'!$C33:$BJ33)))</f>
        <v>155.83699999999999</v>
      </c>
      <c r="H47" s="66" cm="1">
        <f t="array" ref="H47">IF(H$5="","",_xlfn.IFS(H$6="Export",LOOKUP(H$5,'RM Prices'!$C$4:$BJ$4,'RM Prices'!$C6:$BJ6),H$6="Domestic",LOOKUP(H$5,'RM Prices'!$C$31:$BJ$31,'RM Prices'!$C33:$BJ33)))</f>
        <v>155.83699999999999</v>
      </c>
      <c r="I47" s="66" cm="1">
        <f t="array" ref="I47">IF(I$5="","",_xlfn.IFS(I$6="Export",LOOKUP(I$5,'RM Prices'!$C$4:$BJ$4,'RM Prices'!$C6:$BJ6),I$6="Domestic",LOOKUP(I$5,'RM Prices'!$C$31:$BJ$31,'RM Prices'!$C33:$BJ33)))</f>
        <v>155.83699999999999</v>
      </c>
      <c r="J47" s="66" cm="1">
        <f t="array" ref="J47">IF(J$5="","",_xlfn.IFS(J$6="Export",LOOKUP(J$5,'RM Prices'!$C$4:$BJ$4,'RM Prices'!$C6:$BJ6),J$6="Domestic",LOOKUP(J$5,'RM Prices'!$C$31:$BJ$31,'RM Prices'!$C33:$BJ33)))</f>
        <v>155.83699999999999</v>
      </c>
      <c r="K47" s="66" cm="1">
        <f t="array" ref="K47">IF(K$5="","",_xlfn.IFS(K$6="Export",LOOKUP(K$5,'RM Prices'!$C$4:$BJ$4,'RM Prices'!$C6:$BJ6),K$6="Domestic",LOOKUP(K$5,'RM Prices'!$C$31:$BJ$31,'RM Prices'!$C33:$BJ33)))</f>
        <v>155.83699999999999</v>
      </c>
      <c r="L47" s="66" cm="1">
        <f t="array" ref="L47">IF(L$5="","",_xlfn.IFS(L$6="Export",LOOKUP(L$5,'RM Prices'!$C$4:$BJ$4,'RM Prices'!$C6:$BJ6),L$6="Domestic",LOOKUP(L$5,'RM Prices'!$C$31:$BJ$31,'RM Prices'!$C33:$BJ33)))</f>
        <v>155.83699999999999</v>
      </c>
      <c r="M47" s="66" cm="1">
        <f t="array" ref="M47">IF(M$5="","",_xlfn.IFS(M$6="Export",LOOKUP(M$5,'RM Prices'!$C$4:$BJ$4,'RM Prices'!$C6:$BJ6),M$6="Domestic",LOOKUP(M$5,'RM Prices'!$C$31:$BJ$31,'RM Prices'!$C33:$BJ33)))</f>
        <v>155.83699999999999</v>
      </c>
      <c r="N47" s="66" cm="1">
        <f t="array" ref="N47">IF(N$5="","",_xlfn.IFS(N$6="Export",LOOKUP(N$5,'RM Prices'!$C$4:$BJ$4,'RM Prices'!$C6:$BJ6),N$6="Domestic",LOOKUP(N$5,'RM Prices'!$C$31:$BJ$31,'RM Prices'!$C33:$BJ33)))</f>
        <v>155.83699999999999</v>
      </c>
      <c r="O47" s="66" cm="1">
        <f t="array" ref="O47">IF(O$5="","",_xlfn.IFS(O$6="Export",LOOKUP(O$5,'RM Prices'!$C$4:$BJ$4,'RM Prices'!$C6:$BJ6),O$6="Domestic",LOOKUP(O$5,'RM Prices'!$C$31:$BJ$31,'RM Prices'!$C33:$BJ33)))</f>
        <v>155.83699999999999</v>
      </c>
      <c r="P47" s="66" cm="1">
        <f t="array" ref="P47">IF(P$5="","",_xlfn.IFS(P$6="Export",LOOKUP(P$5,'RM Prices'!$C$4:$BJ$4,'RM Prices'!$C6:$BJ6),P$6="Domestic",LOOKUP(P$5,'RM Prices'!$C$31:$BJ$31,'RM Prices'!$C33:$BJ33)))</f>
        <v>155.83699999999999</v>
      </c>
      <c r="Q47" s="66" cm="1">
        <f t="array" ref="Q47">IF(Q$5="","",_xlfn.IFS(Q$6="Export",LOOKUP(Q$5,'RM Prices'!$C$4:$BJ$4,'RM Prices'!$C6:$BJ6),Q$6="Domestic",LOOKUP(Q$5,'RM Prices'!$C$31:$BJ$31,'RM Prices'!$C33:$BJ33)))</f>
        <v>155.83699999999999</v>
      </c>
      <c r="R47" s="66" cm="1">
        <f t="array" ref="R47">IF(R$5="","",_xlfn.IFS(R$6="Export",LOOKUP(R$5,'RM Prices'!$C$4:$BJ$4,'RM Prices'!$C6:$BJ6),R$6="Domestic",LOOKUP(R$5,'RM Prices'!$C$31:$BJ$31,'RM Prices'!$C33:$BJ33)))</f>
        <v>155.83699999999999</v>
      </c>
      <c r="S47" s="66" cm="1">
        <f t="array" ref="S47">IF(S$5="","",_xlfn.IFS(S$6="Export",LOOKUP(S$5,'RM Prices'!$C$4:$BJ$4,'RM Prices'!$C6:$BJ6),S$6="Domestic",LOOKUP(S$5,'RM Prices'!$C$31:$BJ$31,'RM Prices'!$C33:$BJ33)))</f>
        <v>155.83699999999999</v>
      </c>
      <c r="T47" s="66" cm="1">
        <f t="array" ref="T47">IF(T$5="","",_xlfn.IFS(T$6="Export",LOOKUP(T$5,'RM Prices'!$C$4:$BJ$4,'RM Prices'!$C6:$BJ6),T$6="Domestic",LOOKUP(T$5,'RM Prices'!$C$31:$BJ$31,'RM Prices'!$C33:$BJ33)))</f>
        <v>155.83699999999999</v>
      </c>
      <c r="U47" s="66" cm="1">
        <f t="array" ref="U47">IF(U$5="","",_xlfn.IFS(U$6="Export",LOOKUP(U$5,'RM Prices'!$C$4:$BJ$4,'RM Prices'!$C6:$BJ6),U$6="Domestic",LOOKUP(U$5,'RM Prices'!$C$31:$BJ$31,'RM Prices'!$C33:$BJ33)))</f>
        <v>155.83699999999999</v>
      </c>
      <c r="V47" s="73" cm="1">
        <f t="array" ref="V47">IF(V$5="","",_xlfn.IFS(V$6="Export",LOOKUP(V$5,'RM Prices'!$C$4:$BJ$4,'RM Prices'!$C6:$BJ6),V$6="Domestic",LOOKUP(V$5,'RM Prices'!$C$31:$BJ$31,'RM Prices'!$C33:$BJ33)))</f>
        <v>155.83699999999999</v>
      </c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73"/>
      <c r="AV47" s="66"/>
      <c r="AW47" s="66"/>
      <c r="AX47" s="34"/>
      <c r="AY47" s="165"/>
    </row>
    <row r="48" spans="2:51" ht="14.25" x14ac:dyDescent="0.45">
      <c r="B48" s="50">
        <v>20</v>
      </c>
      <c r="C48" s="47" t="s">
        <v>246</v>
      </c>
      <c r="D48" s="3" t="s">
        <v>249</v>
      </c>
      <c r="E48" s="66" cm="1">
        <f t="array" ref="E48">IF(E$5="","",_xlfn.IFS(E$6="Export",LOOKUP(E$5,'RM Prices'!$C$4:$BJ$4,'RM Prices'!$C7:$BJ7),E$6="Domestic",LOOKUP(E$5,'RM Prices'!$C$31:$BJ$31,'RM Prices'!$C34:$BJ34)))</f>
        <v>141.084</v>
      </c>
      <c r="F48" s="66" cm="1">
        <f t="array" ref="F48">IF(F$5="","",_xlfn.IFS(F$6="Export",LOOKUP(F$5,'RM Prices'!$C$4:$BJ$4,'RM Prices'!$C7:$BJ7),F$6="Domestic",LOOKUP(F$5,'RM Prices'!$C$31:$BJ$31,'RM Prices'!$C34:$BJ34)))</f>
        <v>141.084</v>
      </c>
      <c r="G48" s="66" cm="1">
        <f t="array" ref="G48">IF(G$5="","",_xlfn.IFS(G$6="Export",LOOKUP(G$5,'RM Prices'!$C$4:$BJ$4,'RM Prices'!$C7:$BJ7),G$6="Domestic",LOOKUP(G$5,'RM Prices'!$C$31:$BJ$31,'RM Prices'!$C34:$BJ34)))</f>
        <v>141.084</v>
      </c>
      <c r="H48" s="66" cm="1">
        <f t="array" ref="H48">IF(H$5="","",_xlfn.IFS(H$6="Export",LOOKUP(H$5,'RM Prices'!$C$4:$BJ$4,'RM Prices'!$C7:$BJ7),H$6="Domestic",LOOKUP(H$5,'RM Prices'!$C$31:$BJ$31,'RM Prices'!$C34:$BJ34)))</f>
        <v>141.084</v>
      </c>
      <c r="I48" s="66" cm="1">
        <f t="array" ref="I48">IF(I$5="","",_xlfn.IFS(I$6="Export",LOOKUP(I$5,'RM Prices'!$C$4:$BJ$4,'RM Prices'!$C7:$BJ7),I$6="Domestic",LOOKUP(I$5,'RM Prices'!$C$31:$BJ$31,'RM Prices'!$C34:$BJ34)))</f>
        <v>141.084</v>
      </c>
      <c r="J48" s="66" cm="1">
        <f t="array" ref="J48">IF(J$5="","",_xlfn.IFS(J$6="Export",LOOKUP(J$5,'RM Prices'!$C$4:$BJ$4,'RM Prices'!$C7:$BJ7),J$6="Domestic",LOOKUP(J$5,'RM Prices'!$C$31:$BJ$31,'RM Prices'!$C34:$BJ34)))</f>
        <v>141.084</v>
      </c>
      <c r="K48" s="66" cm="1">
        <f t="array" ref="K48">IF(K$5="","",_xlfn.IFS(K$6="Export",LOOKUP(K$5,'RM Prices'!$C$4:$BJ$4,'RM Prices'!$C7:$BJ7),K$6="Domestic",LOOKUP(K$5,'RM Prices'!$C$31:$BJ$31,'RM Prices'!$C34:$BJ34)))</f>
        <v>141.084</v>
      </c>
      <c r="L48" s="66" cm="1">
        <f t="array" ref="L48">IF(L$5="","",_xlfn.IFS(L$6="Export",LOOKUP(L$5,'RM Prices'!$C$4:$BJ$4,'RM Prices'!$C7:$BJ7),L$6="Domestic",LOOKUP(L$5,'RM Prices'!$C$31:$BJ$31,'RM Prices'!$C34:$BJ34)))</f>
        <v>141.084</v>
      </c>
      <c r="M48" s="66" cm="1">
        <f t="array" ref="M48">IF(M$5="","",_xlfn.IFS(M$6="Export",LOOKUP(M$5,'RM Prices'!$C$4:$BJ$4,'RM Prices'!$C7:$BJ7),M$6="Domestic",LOOKUP(M$5,'RM Prices'!$C$31:$BJ$31,'RM Prices'!$C34:$BJ34)))</f>
        <v>141.084</v>
      </c>
      <c r="N48" s="66" cm="1">
        <f t="array" ref="N48">IF(N$5="","",_xlfn.IFS(N$6="Export",LOOKUP(N$5,'RM Prices'!$C$4:$BJ$4,'RM Prices'!$C7:$BJ7),N$6="Domestic",LOOKUP(N$5,'RM Prices'!$C$31:$BJ$31,'RM Prices'!$C34:$BJ34)))</f>
        <v>141.084</v>
      </c>
      <c r="O48" s="66" cm="1">
        <f t="array" ref="O48">IF(O$5="","",_xlfn.IFS(O$6="Export",LOOKUP(O$5,'RM Prices'!$C$4:$BJ$4,'RM Prices'!$C7:$BJ7),O$6="Domestic",LOOKUP(O$5,'RM Prices'!$C$31:$BJ$31,'RM Prices'!$C34:$BJ34)))</f>
        <v>141.084</v>
      </c>
      <c r="P48" s="66" cm="1">
        <f t="array" ref="P48">IF(P$5="","",_xlfn.IFS(P$6="Export",LOOKUP(P$5,'RM Prices'!$C$4:$BJ$4,'RM Prices'!$C7:$BJ7),P$6="Domestic",LOOKUP(P$5,'RM Prices'!$C$31:$BJ$31,'RM Prices'!$C34:$BJ34)))</f>
        <v>141.084</v>
      </c>
      <c r="Q48" s="66" cm="1">
        <f t="array" ref="Q48">IF(Q$5="","",_xlfn.IFS(Q$6="Export",LOOKUP(Q$5,'RM Prices'!$C$4:$BJ$4,'RM Prices'!$C7:$BJ7),Q$6="Domestic",LOOKUP(Q$5,'RM Prices'!$C$31:$BJ$31,'RM Prices'!$C34:$BJ34)))</f>
        <v>141.084</v>
      </c>
      <c r="R48" s="66" cm="1">
        <f t="array" ref="R48">IF(R$5="","",_xlfn.IFS(R$6="Export",LOOKUP(R$5,'RM Prices'!$C$4:$BJ$4,'RM Prices'!$C7:$BJ7),R$6="Domestic",LOOKUP(R$5,'RM Prices'!$C$31:$BJ$31,'RM Prices'!$C34:$BJ34)))</f>
        <v>141.084</v>
      </c>
      <c r="S48" s="66" cm="1">
        <f t="array" ref="S48">IF(S$5="","",_xlfn.IFS(S$6="Export",LOOKUP(S$5,'RM Prices'!$C$4:$BJ$4,'RM Prices'!$C7:$BJ7),S$6="Domestic",LOOKUP(S$5,'RM Prices'!$C$31:$BJ$31,'RM Prices'!$C34:$BJ34)))</f>
        <v>141.084</v>
      </c>
      <c r="T48" s="66" cm="1">
        <f t="array" ref="T48">IF(T$5="","",_xlfn.IFS(T$6="Export",LOOKUP(T$5,'RM Prices'!$C$4:$BJ$4,'RM Prices'!$C7:$BJ7),T$6="Domestic",LOOKUP(T$5,'RM Prices'!$C$31:$BJ$31,'RM Prices'!$C34:$BJ34)))</f>
        <v>141.084</v>
      </c>
      <c r="U48" s="66" cm="1">
        <f t="array" ref="U48">IF(U$5="","",_xlfn.IFS(U$6="Export",LOOKUP(U$5,'RM Prices'!$C$4:$BJ$4,'RM Prices'!$C7:$BJ7),U$6="Domestic",LOOKUP(U$5,'RM Prices'!$C$31:$BJ$31,'RM Prices'!$C34:$BJ34)))</f>
        <v>141.084</v>
      </c>
      <c r="V48" s="73" cm="1">
        <f t="array" ref="V48">IF(V$5="","",_xlfn.IFS(V$6="Export",LOOKUP(V$5,'RM Prices'!$C$4:$BJ$4,'RM Prices'!$C7:$BJ7),V$6="Domestic",LOOKUP(V$5,'RM Prices'!$C$31:$BJ$31,'RM Prices'!$C34:$BJ34)))</f>
        <v>141.084</v>
      </c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73"/>
      <c r="AV48" s="66"/>
      <c r="AW48" s="66"/>
      <c r="AX48" s="34"/>
      <c r="AY48" s="165"/>
    </row>
    <row r="49" spans="2:51" ht="14.25" x14ac:dyDescent="0.45">
      <c r="B49" s="50">
        <v>21</v>
      </c>
      <c r="C49" s="47" t="s">
        <v>246</v>
      </c>
      <c r="D49" s="3" t="s">
        <v>250</v>
      </c>
      <c r="E49" s="66" cm="1">
        <f t="array" ref="E49">IF(E$5="","",_xlfn.IFS(E$6="Export",LOOKUP(E$5,'RM Prices'!$C$4:$BJ$4,'RM Prices'!$C8:$BJ8),E$6="Domestic",LOOKUP(E$5,'RM Prices'!$C$31:$BJ$31,'RM Prices'!$C35:$BJ35)))</f>
        <v>170.88399999999999</v>
      </c>
      <c r="F49" s="66" cm="1">
        <f t="array" ref="F49">IF(F$5="","",_xlfn.IFS(F$6="Export",LOOKUP(F$5,'RM Prices'!$C$4:$BJ$4,'RM Prices'!$C8:$BJ8),F$6="Domestic",LOOKUP(F$5,'RM Prices'!$C$31:$BJ$31,'RM Prices'!$C35:$BJ35)))</f>
        <v>170.88399999999999</v>
      </c>
      <c r="G49" s="66" cm="1">
        <f t="array" ref="G49">IF(G$5="","",_xlfn.IFS(G$6="Export",LOOKUP(G$5,'RM Prices'!$C$4:$BJ$4,'RM Prices'!$C8:$BJ8),G$6="Domestic",LOOKUP(G$5,'RM Prices'!$C$31:$BJ$31,'RM Prices'!$C35:$BJ35)))</f>
        <v>170.88399999999999</v>
      </c>
      <c r="H49" s="66" cm="1">
        <f t="array" ref="H49">IF(H$5="","",_xlfn.IFS(H$6="Export",LOOKUP(H$5,'RM Prices'!$C$4:$BJ$4,'RM Prices'!$C8:$BJ8),H$6="Domestic",LOOKUP(H$5,'RM Prices'!$C$31:$BJ$31,'RM Prices'!$C35:$BJ35)))</f>
        <v>170.88399999999999</v>
      </c>
      <c r="I49" s="66" cm="1">
        <f t="array" ref="I49">IF(I$5="","",_xlfn.IFS(I$6="Export",LOOKUP(I$5,'RM Prices'!$C$4:$BJ$4,'RM Prices'!$C8:$BJ8),I$6="Domestic",LOOKUP(I$5,'RM Prices'!$C$31:$BJ$31,'RM Prices'!$C35:$BJ35)))</f>
        <v>170.88399999999999</v>
      </c>
      <c r="J49" s="66" cm="1">
        <f t="array" ref="J49">IF(J$5="","",_xlfn.IFS(J$6="Export",LOOKUP(J$5,'RM Prices'!$C$4:$BJ$4,'RM Prices'!$C8:$BJ8),J$6="Domestic",LOOKUP(J$5,'RM Prices'!$C$31:$BJ$31,'RM Prices'!$C35:$BJ35)))</f>
        <v>170.88399999999999</v>
      </c>
      <c r="K49" s="66" cm="1">
        <f t="array" ref="K49">IF(K$5="","",_xlfn.IFS(K$6="Export",LOOKUP(K$5,'RM Prices'!$C$4:$BJ$4,'RM Prices'!$C8:$BJ8),K$6="Domestic",LOOKUP(K$5,'RM Prices'!$C$31:$BJ$31,'RM Prices'!$C35:$BJ35)))</f>
        <v>170.88399999999999</v>
      </c>
      <c r="L49" s="66" cm="1">
        <f t="array" ref="L49">IF(L$5="","",_xlfn.IFS(L$6="Export",LOOKUP(L$5,'RM Prices'!$C$4:$BJ$4,'RM Prices'!$C8:$BJ8),L$6="Domestic",LOOKUP(L$5,'RM Prices'!$C$31:$BJ$31,'RM Prices'!$C35:$BJ35)))</f>
        <v>170.88399999999999</v>
      </c>
      <c r="M49" s="66" cm="1">
        <f t="array" ref="M49">IF(M$5="","",_xlfn.IFS(M$6="Export",LOOKUP(M$5,'RM Prices'!$C$4:$BJ$4,'RM Prices'!$C8:$BJ8),M$6="Domestic",LOOKUP(M$5,'RM Prices'!$C$31:$BJ$31,'RM Prices'!$C35:$BJ35)))</f>
        <v>170.88399999999999</v>
      </c>
      <c r="N49" s="66" cm="1">
        <f t="array" ref="N49">IF(N$5="","",_xlfn.IFS(N$6="Export",LOOKUP(N$5,'RM Prices'!$C$4:$BJ$4,'RM Prices'!$C8:$BJ8),N$6="Domestic",LOOKUP(N$5,'RM Prices'!$C$31:$BJ$31,'RM Prices'!$C35:$BJ35)))</f>
        <v>170.88399999999999</v>
      </c>
      <c r="O49" s="66" cm="1">
        <f t="array" ref="O49">IF(O$5="","",_xlfn.IFS(O$6="Export",LOOKUP(O$5,'RM Prices'!$C$4:$BJ$4,'RM Prices'!$C8:$BJ8),O$6="Domestic",LOOKUP(O$5,'RM Prices'!$C$31:$BJ$31,'RM Prices'!$C35:$BJ35)))</f>
        <v>170.88399999999999</v>
      </c>
      <c r="P49" s="66" cm="1">
        <f t="array" ref="P49">IF(P$5="","",_xlfn.IFS(P$6="Export",LOOKUP(P$5,'RM Prices'!$C$4:$BJ$4,'RM Prices'!$C8:$BJ8),P$6="Domestic",LOOKUP(P$5,'RM Prices'!$C$31:$BJ$31,'RM Prices'!$C35:$BJ35)))</f>
        <v>170.88399999999999</v>
      </c>
      <c r="Q49" s="66" cm="1">
        <f t="array" ref="Q49">IF(Q$5="","",_xlfn.IFS(Q$6="Export",LOOKUP(Q$5,'RM Prices'!$C$4:$BJ$4,'RM Prices'!$C8:$BJ8),Q$6="Domestic",LOOKUP(Q$5,'RM Prices'!$C$31:$BJ$31,'RM Prices'!$C35:$BJ35)))</f>
        <v>170.88399999999999</v>
      </c>
      <c r="R49" s="66" cm="1">
        <f t="array" ref="R49">IF(R$5="","",_xlfn.IFS(R$6="Export",LOOKUP(R$5,'RM Prices'!$C$4:$BJ$4,'RM Prices'!$C8:$BJ8),R$6="Domestic",LOOKUP(R$5,'RM Prices'!$C$31:$BJ$31,'RM Prices'!$C35:$BJ35)))</f>
        <v>170.88399999999999</v>
      </c>
      <c r="S49" s="66" cm="1">
        <f t="array" ref="S49">IF(S$5="","",_xlfn.IFS(S$6="Export",LOOKUP(S$5,'RM Prices'!$C$4:$BJ$4,'RM Prices'!$C8:$BJ8),S$6="Domestic",LOOKUP(S$5,'RM Prices'!$C$31:$BJ$31,'RM Prices'!$C35:$BJ35)))</f>
        <v>170.88399999999999</v>
      </c>
      <c r="T49" s="66" cm="1">
        <f t="array" ref="T49">IF(T$5="","",_xlfn.IFS(T$6="Export",LOOKUP(T$5,'RM Prices'!$C$4:$BJ$4,'RM Prices'!$C8:$BJ8),T$6="Domestic",LOOKUP(T$5,'RM Prices'!$C$31:$BJ$31,'RM Prices'!$C35:$BJ35)))</f>
        <v>170.88399999999999</v>
      </c>
      <c r="U49" s="66" cm="1">
        <f t="array" ref="U49">IF(U$5="","",_xlfn.IFS(U$6="Export",LOOKUP(U$5,'RM Prices'!$C$4:$BJ$4,'RM Prices'!$C8:$BJ8),U$6="Domestic",LOOKUP(U$5,'RM Prices'!$C$31:$BJ$31,'RM Prices'!$C35:$BJ35)))</f>
        <v>170.88399999999999</v>
      </c>
      <c r="V49" s="73" cm="1">
        <f t="array" ref="V49">IF(V$5="","",_xlfn.IFS(V$6="Export",LOOKUP(V$5,'RM Prices'!$C$4:$BJ$4,'RM Prices'!$C8:$BJ8),V$6="Domestic",LOOKUP(V$5,'RM Prices'!$C$31:$BJ$31,'RM Prices'!$C35:$BJ35)))</f>
        <v>170.88399999999999</v>
      </c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73"/>
      <c r="AV49" s="66"/>
      <c r="AW49" s="66"/>
      <c r="AX49" s="34"/>
      <c r="AY49" s="165"/>
    </row>
    <row r="50" spans="2:51" ht="14.25" x14ac:dyDescent="0.45">
      <c r="B50" s="50">
        <v>22</v>
      </c>
      <c r="C50" s="47" t="s">
        <v>246</v>
      </c>
      <c r="D50" s="3" t="s">
        <v>251</v>
      </c>
      <c r="E50" s="66" cm="1">
        <f t="array" ref="E50">IF(E$5="","",_xlfn.IFS(E$6="Export",LOOKUP(E$5,'RM Prices'!$C$4:$BJ$4,'RM Prices'!$C9:$BJ9),E$6="Domestic",LOOKUP(E$5,'RM Prices'!$C$31:$BJ$31,'RM Prices'!$C36:$BJ36)))</f>
        <v>173.63200000000001</v>
      </c>
      <c r="F50" s="66" cm="1">
        <f t="array" ref="F50">IF(F$5="","",_xlfn.IFS(F$6="Export",LOOKUP(F$5,'RM Prices'!$C$4:$BJ$4,'RM Prices'!$C9:$BJ9),F$6="Domestic",LOOKUP(F$5,'RM Prices'!$C$31:$BJ$31,'RM Prices'!$C36:$BJ36)))</f>
        <v>173.63200000000001</v>
      </c>
      <c r="G50" s="66" cm="1">
        <f t="array" ref="G50">IF(G$5="","",_xlfn.IFS(G$6="Export",LOOKUP(G$5,'RM Prices'!$C$4:$BJ$4,'RM Prices'!$C9:$BJ9),G$6="Domestic",LOOKUP(G$5,'RM Prices'!$C$31:$BJ$31,'RM Prices'!$C36:$BJ36)))</f>
        <v>173.63200000000001</v>
      </c>
      <c r="H50" s="66" cm="1">
        <f t="array" ref="H50">IF(H$5="","",_xlfn.IFS(H$6="Export",LOOKUP(H$5,'RM Prices'!$C$4:$BJ$4,'RM Prices'!$C9:$BJ9),H$6="Domestic",LOOKUP(H$5,'RM Prices'!$C$31:$BJ$31,'RM Prices'!$C36:$BJ36)))</f>
        <v>173.63200000000001</v>
      </c>
      <c r="I50" s="66" cm="1">
        <f t="array" ref="I50">IF(I$5="","",_xlfn.IFS(I$6="Export",LOOKUP(I$5,'RM Prices'!$C$4:$BJ$4,'RM Prices'!$C9:$BJ9),I$6="Domestic",LOOKUP(I$5,'RM Prices'!$C$31:$BJ$31,'RM Prices'!$C36:$BJ36)))</f>
        <v>173.63200000000001</v>
      </c>
      <c r="J50" s="66" cm="1">
        <f t="array" ref="J50">IF(J$5="","",_xlfn.IFS(J$6="Export",LOOKUP(J$5,'RM Prices'!$C$4:$BJ$4,'RM Prices'!$C9:$BJ9),J$6="Domestic",LOOKUP(J$5,'RM Prices'!$C$31:$BJ$31,'RM Prices'!$C36:$BJ36)))</f>
        <v>173.63200000000001</v>
      </c>
      <c r="K50" s="66" cm="1">
        <f t="array" ref="K50">IF(K$5="","",_xlfn.IFS(K$6="Export",LOOKUP(K$5,'RM Prices'!$C$4:$BJ$4,'RM Prices'!$C9:$BJ9),K$6="Domestic",LOOKUP(K$5,'RM Prices'!$C$31:$BJ$31,'RM Prices'!$C36:$BJ36)))</f>
        <v>173.63200000000001</v>
      </c>
      <c r="L50" s="66" cm="1">
        <f t="array" ref="L50">IF(L$5="","",_xlfn.IFS(L$6="Export",LOOKUP(L$5,'RM Prices'!$C$4:$BJ$4,'RM Prices'!$C9:$BJ9),L$6="Domestic",LOOKUP(L$5,'RM Prices'!$C$31:$BJ$31,'RM Prices'!$C36:$BJ36)))</f>
        <v>173.63200000000001</v>
      </c>
      <c r="M50" s="66" cm="1">
        <f t="array" ref="M50">IF(M$5="","",_xlfn.IFS(M$6="Export",LOOKUP(M$5,'RM Prices'!$C$4:$BJ$4,'RM Prices'!$C9:$BJ9),M$6="Domestic",LOOKUP(M$5,'RM Prices'!$C$31:$BJ$31,'RM Prices'!$C36:$BJ36)))</f>
        <v>173.63200000000001</v>
      </c>
      <c r="N50" s="66" cm="1">
        <f t="array" ref="N50">IF(N$5="","",_xlfn.IFS(N$6="Export",LOOKUP(N$5,'RM Prices'!$C$4:$BJ$4,'RM Prices'!$C9:$BJ9),N$6="Domestic",LOOKUP(N$5,'RM Prices'!$C$31:$BJ$31,'RM Prices'!$C36:$BJ36)))</f>
        <v>173.63200000000001</v>
      </c>
      <c r="O50" s="66" cm="1">
        <f t="array" ref="O50">IF(O$5="","",_xlfn.IFS(O$6="Export",LOOKUP(O$5,'RM Prices'!$C$4:$BJ$4,'RM Prices'!$C9:$BJ9),O$6="Domestic",LOOKUP(O$5,'RM Prices'!$C$31:$BJ$31,'RM Prices'!$C36:$BJ36)))</f>
        <v>173.63200000000001</v>
      </c>
      <c r="P50" s="66" cm="1">
        <f t="array" ref="P50">IF(P$5="","",_xlfn.IFS(P$6="Export",LOOKUP(P$5,'RM Prices'!$C$4:$BJ$4,'RM Prices'!$C9:$BJ9),P$6="Domestic",LOOKUP(P$5,'RM Prices'!$C$31:$BJ$31,'RM Prices'!$C36:$BJ36)))</f>
        <v>173.63200000000001</v>
      </c>
      <c r="Q50" s="66" cm="1">
        <f t="array" ref="Q50">IF(Q$5="","",_xlfn.IFS(Q$6="Export",LOOKUP(Q$5,'RM Prices'!$C$4:$BJ$4,'RM Prices'!$C9:$BJ9),Q$6="Domestic",LOOKUP(Q$5,'RM Prices'!$C$31:$BJ$31,'RM Prices'!$C36:$BJ36)))</f>
        <v>173.63200000000001</v>
      </c>
      <c r="R50" s="66" cm="1">
        <f t="array" ref="R50">IF(R$5="","",_xlfn.IFS(R$6="Export",LOOKUP(R$5,'RM Prices'!$C$4:$BJ$4,'RM Prices'!$C9:$BJ9),R$6="Domestic",LOOKUP(R$5,'RM Prices'!$C$31:$BJ$31,'RM Prices'!$C36:$BJ36)))</f>
        <v>173.63200000000001</v>
      </c>
      <c r="S50" s="66" cm="1">
        <f t="array" ref="S50">IF(S$5="","",_xlfn.IFS(S$6="Export",LOOKUP(S$5,'RM Prices'!$C$4:$BJ$4,'RM Prices'!$C9:$BJ9),S$6="Domestic",LOOKUP(S$5,'RM Prices'!$C$31:$BJ$31,'RM Prices'!$C36:$BJ36)))</f>
        <v>173.63200000000001</v>
      </c>
      <c r="T50" s="66" cm="1">
        <f t="array" ref="T50">IF(T$5="","",_xlfn.IFS(T$6="Export",LOOKUP(T$5,'RM Prices'!$C$4:$BJ$4,'RM Prices'!$C9:$BJ9),T$6="Domestic",LOOKUP(T$5,'RM Prices'!$C$31:$BJ$31,'RM Prices'!$C36:$BJ36)))</f>
        <v>173.63200000000001</v>
      </c>
      <c r="U50" s="66" cm="1">
        <f t="array" ref="U50">IF(U$5="","",_xlfn.IFS(U$6="Export",LOOKUP(U$5,'RM Prices'!$C$4:$BJ$4,'RM Prices'!$C9:$BJ9),U$6="Domestic",LOOKUP(U$5,'RM Prices'!$C$31:$BJ$31,'RM Prices'!$C36:$BJ36)))</f>
        <v>173.63200000000001</v>
      </c>
      <c r="V50" s="73" cm="1">
        <f t="array" ref="V50">IF(V$5="","",_xlfn.IFS(V$6="Export",LOOKUP(V$5,'RM Prices'!$C$4:$BJ$4,'RM Prices'!$C9:$BJ9),V$6="Domestic",LOOKUP(V$5,'RM Prices'!$C$31:$BJ$31,'RM Prices'!$C36:$BJ36)))</f>
        <v>173.63200000000001</v>
      </c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73"/>
      <c r="AV50" s="66"/>
      <c r="AW50" s="66"/>
      <c r="AX50" s="34"/>
      <c r="AY50" s="165"/>
    </row>
    <row r="51" spans="2:51" ht="14.25" x14ac:dyDescent="0.45">
      <c r="B51" s="50">
        <v>23</v>
      </c>
      <c r="C51" s="47" t="s">
        <v>246</v>
      </c>
      <c r="D51" s="3" t="s">
        <v>252</v>
      </c>
      <c r="E51" s="66" cm="1">
        <f t="array" ref="E51">IF(E$5="","",_xlfn.IFS(E$6="Export",LOOKUP(E$5,'RM Prices'!$C$4:$BJ$4,'RM Prices'!$C10:$BJ10),E$6="Domestic",LOOKUP(E$5,'RM Prices'!$C$31:$BJ$31,'RM Prices'!$C37:$BJ37)))</f>
        <v>134.56399999999999</v>
      </c>
      <c r="F51" s="66" cm="1">
        <f t="array" ref="F51">IF(F$5="","",_xlfn.IFS(F$6="Export",LOOKUP(F$5,'RM Prices'!$C$4:$BJ$4,'RM Prices'!$C10:$BJ10),F$6="Domestic",LOOKUP(F$5,'RM Prices'!$C$31:$BJ$31,'RM Prices'!$C37:$BJ37)))</f>
        <v>134.56399999999999</v>
      </c>
      <c r="G51" s="66" cm="1">
        <f t="array" ref="G51">IF(G$5="","",_xlfn.IFS(G$6="Export",LOOKUP(G$5,'RM Prices'!$C$4:$BJ$4,'RM Prices'!$C10:$BJ10),G$6="Domestic",LOOKUP(G$5,'RM Prices'!$C$31:$BJ$31,'RM Prices'!$C37:$BJ37)))</f>
        <v>134.56399999999999</v>
      </c>
      <c r="H51" s="66" cm="1">
        <f t="array" ref="H51">IF(H$5="","",_xlfn.IFS(H$6="Export",LOOKUP(H$5,'RM Prices'!$C$4:$BJ$4,'RM Prices'!$C10:$BJ10),H$6="Domestic",LOOKUP(H$5,'RM Prices'!$C$31:$BJ$31,'RM Prices'!$C37:$BJ37)))</f>
        <v>134.56399999999999</v>
      </c>
      <c r="I51" s="66" cm="1">
        <f t="array" ref="I51">IF(I$5="","",_xlfn.IFS(I$6="Export",LOOKUP(I$5,'RM Prices'!$C$4:$BJ$4,'RM Prices'!$C10:$BJ10),I$6="Domestic",LOOKUP(I$5,'RM Prices'!$C$31:$BJ$31,'RM Prices'!$C37:$BJ37)))</f>
        <v>134.56399999999999</v>
      </c>
      <c r="J51" s="66" cm="1">
        <f t="array" ref="J51">IF(J$5="","",_xlfn.IFS(J$6="Export",LOOKUP(J$5,'RM Prices'!$C$4:$BJ$4,'RM Prices'!$C10:$BJ10),J$6="Domestic",LOOKUP(J$5,'RM Prices'!$C$31:$BJ$31,'RM Prices'!$C37:$BJ37)))</f>
        <v>134.56399999999999</v>
      </c>
      <c r="K51" s="66" cm="1">
        <f t="array" ref="K51">IF(K$5="","",_xlfn.IFS(K$6="Export",LOOKUP(K$5,'RM Prices'!$C$4:$BJ$4,'RM Prices'!$C10:$BJ10),K$6="Domestic",LOOKUP(K$5,'RM Prices'!$C$31:$BJ$31,'RM Prices'!$C37:$BJ37)))</f>
        <v>134.56399999999999</v>
      </c>
      <c r="L51" s="66" cm="1">
        <f t="array" ref="L51">IF(L$5="","",_xlfn.IFS(L$6="Export",LOOKUP(L$5,'RM Prices'!$C$4:$BJ$4,'RM Prices'!$C10:$BJ10),L$6="Domestic",LOOKUP(L$5,'RM Prices'!$C$31:$BJ$31,'RM Prices'!$C37:$BJ37)))</f>
        <v>134.56399999999999</v>
      </c>
      <c r="M51" s="66" cm="1">
        <f t="array" ref="M51">IF(M$5="","",_xlfn.IFS(M$6="Export",LOOKUP(M$5,'RM Prices'!$C$4:$BJ$4,'RM Prices'!$C10:$BJ10),M$6="Domestic",LOOKUP(M$5,'RM Prices'!$C$31:$BJ$31,'RM Prices'!$C37:$BJ37)))</f>
        <v>134.56399999999999</v>
      </c>
      <c r="N51" s="66" cm="1">
        <f t="array" ref="N51">IF(N$5="","",_xlfn.IFS(N$6="Export",LOOKUP(N$5,'RM Prices'!$C$4:$BJ$4,'RM Prices'!$C10:$BJ10),N$6="Domestic",LOOKUP(N$5,'RM Prices'!$C$31:$BJ$31,'RM Prices'!$C37:$BJ37)))</f>
        <v>134.56399999999999</v>
      </c>
      <c r="O51" s="66" cm="1">
        <f t="array" ref="O51">IF(O$5="","",_xlfn.IFS(O$6="Export",LOOKUP(O$5,'RM Prices'!$C$4:$BJ$4,'RM Prices'!$C10:$BJ10),O$6="Domestic",LOOKUP(O$5,'RM Prices'!$C$31:$BJ$31,'RM Prices'!$C37:$BJ37)))</f>
        <v>134.56399999999999</v>
      </c>
      <c r="P51" s="66" cm="1">
        <f t="array" ref="P51">IF(P$5="","",_xlfn.IFS(P$6="Export",LOOKUP(P$5,'RM Prices'!$C$4:$BJ$4,'RM Prices'!$C10:$BJ10),P$6="Domestic",LOOKUP(P$5,'RM Prices'!$C$31:$BJ$31,'RM Prices'!$C37:$BJ37)))</f>
        <v>134.56399999999999</v>
      </c>
      <c r="Q51" s="66" cm="1">
        <f t="array" ref="Q51">IF(Q$5="","",_xlfn.IFS(Q$6="Export",LOOKUP(Q$5,'RM Prices'!$C$4:$BJ$4,'RM Prices'!$C10:$BJ10),Q$6="Domestic",LOOKUP(Q$5,'RM Prices'!$C$31:$BJ$31,'RM Prices'!$C37:$BJ37)))</f>
        <v>134.56399999999999</v>
      </c>
      <c r="R51" s="66" cm="1">
        <f t="array" ref="R51">IF(R$5="","",_xlfn.IFS(R$6="Export",LOOKUP(R$5,'RM Prices'!$C$4:$BJ$4,'RM Prices'!$C10:$BJ10),R$6="Domestic",LOOKUP(R$5,'RM Prices'!$C$31:$BJ$31,'RM Prices'!$C37:$BJ37)))</f>
        <v>134.56399999999999</v>
      </c>
      <c r="S51" s="66" cm="1">
        <f t="array" ref="S51">IF(S$5="","",_xlfn.IFS(S$6="Export",LOOKUP(S$5,'RM Prices'!$C$4:$BJ$4,'RM Prices'!$C10:$BJ10),S$6="Domestic",LOOKUP(S$5,'RM Prices'!$C$31:$BJ$31,'RM Prices'!$C37:$BJ37)))</f>
        <v>134.56399999999999</v>
      </c>
      <c r="T51" s="66" cm="1">
        <f t="array" ref="T51">IF(T$5="","",_xlfn.IFS(T$6="Export",LOOKUP(T$5,'RM Prices'!$C$4:$BJ$4,'RM Prices'!$C10:$BJ10),T$6="Domestic",LOOKUP(T$5,'RM Prices'!$C$31:$BJ$31,'RM Prices'!$C37:$BJ37)))</f>
        <v>134.56399999999999</v>
      </c>
      <c r="U51" s="66" cm="1">
        <f t="array" ref="U51">IF(U$5="","",_xlfn.IFS(U$6="Export",LOOKUP(U$5,'RM Prices'!$C$4:$BJ$4,'RM Prices'!$C10:$BJ10),U$6="Domestic",LOOKUP(U$5,'RM Prices'!$C$31:$BJ$31,'RM Prices'!$C37:$BJ37)))</f>
        <v>134.56399999999999</v>
      </c>
      <c r="V51" s="73" cm="1">
        <f t="array" ref="V51">IF(V$5="","",_xlfn.IFS(V$6="Export",LOOKUP(V$5,'RM Prices'!$C$4:$BJ$4,'RM Prices'!$C10:$BJ10),V$6="Domestic",LOOKUP(V$5,'RM Prices'!$C$31:$BJ$31,'RM Prices'!$C37:$BJ37)))</f>
        <v>134.56399999999999</v>
      </c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73"/>
      <c r="AV51" s="66"/>
      <c r="AW51" s="66"/>
      <c r="AX51" s="34"/>
      <c r="AY51" s="165"/>
    </row>
    <row r="52" spans="2:51" ht="14.25" x14ac:dyDescent="0.45">
      <c r="B52" s="50">
        <v>24</v>
      </c>
      <c r="C52" s="47" t="s">
        <v>246</v>
      </c>
      <c r="D52" s="3" t="s">
        <v>253</v>
      </c>
      <c r="E52" s="66" cm="1">
        <f t="array" ref="E52">IF(E$5="","",_xlfn.IFS(E$6="Export",LOOKUP(E$5,'RM Prices'!$C$4:$BJ$4,'RM Prices'!$C11:$BJ11),E$6="Domestic",LOOKUP(E$5,'RM Prices'!$C$31:$BJ$31,'RM Prices'!$C38:$BJ38)))</f>
        <v>170.88399999999999</v>
      </c>
      <c r="F52" s="66" cm="1">
        <f t="array" ref="F52">IF(F$5="","",_xlfn.IFS(F$6="Export",LOOKUP(F$5,'RM Prices'!$C$4:$BJ$4,'RM Prices'!$C11:$BJ11),F$6="Domestic",LOOKUP(F$5,'RM Prices'!$C$31:$BJ$31,'RM Prices'!$C38:$BJ38)))</f>
        <v>170.88399999999999</v>
      </c>
      <c r="G52" s="66" cm="1">
        <f t="array" ref="G52">IF(G$5="","",_xlfn.IFS(G$6="Export",LOOKUP(G$5,'RM Prices'!$C$4:$BJ$4,'RM Prices'!$C11:$BJ11),G$6="Domestic",LOOKUP(G$5,'RM Prices'!$C$31:$BJ$31,'RM Prices'!$C38:$BJ38)))</f>
        <v>170.88399999999999</v>
      </c>
      <c r="H52" s="66" cm="1">
        <f t="array" ref="H52">IF(H$5="","",_xlfn.IFS(H$6="Export",LOOKUP(H$5,'RM Prices'!$C$4:$BJ$4,'RM Prices'!$C11:$BJ11),H$6="Domestic",LOOKUP(H$5,'RM Prices'!$C$31:$BJ$31,'RM Prices'!$C38:$BJ38)))</f>
        <v>170.88399999999999</v>
      </c>
      <c r="I52" s="66" cm="1">
        <f t="array" ref="I52">IF(I$5="","",_xlfn.IFS(I$6="Export",LOOKUP(I$5,'RM Prices'!$C$4:$BJ$4,'RM Prices'!$C11:$BJ11),I$6="Domestic",LOOKUP(I$5,'RM Prices'!$C$31:$BJ$31,'RM Prices'!$C38:$BJ38)))</f>
        <v>170.88399999999999</v>
      </c>
      <c r="J52" s="66" cm="1">
        <f t="array" ref="J52">IF(J$5="","",_xlfn.IFS(J$6="Export",LOOKUP(J$5,'RM Prices'!$C$4:$BJ$4,'RM Prices'!$C11:$BJ11),J$6="Domestic",LOOKUP(J$5,'RM Prices'!$C$31:$BJ$31,'RM Prices'!$C38:$BJ38)))</f>
        <v>170.88399999999999</v>
      </c>
      <c r="K52" s="66" cm="1">
        <f t="array" ref="K52">IF(K$5="","",_xlfn.IFS(K$6="Export",LOOKUP(K$5,'RM Prices'!$C$4:$BJ$4,'RM Prices'!$C11:$BJ11),K$6="Domestic",LOOKUP(K$5,'RM Prices'!$C$31:$BJ$31,'RM Prices'!$C38:$BJ38)))</f>
        <v>170.88399999999999</v>
      </c>
      <c r="L52" s="66" cm="1">
        <f t="array" ref="L52">IF(L$5="","",_xlfn.IFS(L$6="Export",LOOKUP(L$5,'RM Prices'!$C$4:$BJ$4,'RM Prices'!$C11:$BJ11),L$6="Domestic",LOOKUP(L$5,'RM Prices'!$C$31:$BJ$31,'RM Prices'!$C38:$BJ38)))</f>
        <v>170.88399999999999</v>
      </c>
      <c r="M52" s="66" cm="1">
        <f t="array" ref="M52">IF(M$5="","",_xlfn.IFS(M$6="Export",LOOKUP(M$5,'RM Prices'!$C$4:$BJ$4,'RM Prices'!$C11:$BJ11),M$6="Domestic",LOOKUP(M$5,'RM Prices'!$C$31:$BJ$31,'RM Prices'!$C38:$BJ38)))</f>
        <v>170.88399999999999</v>
      </c>
      <c r="N52" s="66" cm="1">
        <f t="array" ref="N52">IF(N$5="","",_xlfn.IFS(N$6="Export",LOOKUP(N$5,'RM Prices'!$C$4:$BJ$4,'RM Prices'!$C11:$BJ11),N$6="Domestic",LOOKUP(N$5,'RM Prices'!$C$31:$BJ$31,'RM Prices'!$C38:$BJ38)))</f>
        <v>170.88399999999999</v>
      </c>
      <c r="O52" s="66" cm="1">
        <f t="array" ref="O52">IF(O$5="","",_xlfn.IFS(O$6="Export",LOOKUP(O$5,'RM Prices'!$C$4:$BJ$4,'RM Prices'!$C11:$BJ11),O$6="Domestic",LOOKUP(O$5,'RM Prices'!$C$31:$BJ$31,'RM Prices'!$C38:$BJ38)))</f>
        <v>170.88399999999999</v>
      </c>
      <c r="P52" s="66" cm="1">
        <f t="array" ref="P52">IF(P$5="","",_xlfn.IFS(P$6="Export",LOOKUP(P$5,'RM Prices'!$C$4:$BJ$4,'RM Prices'!$C11:$BJ11),P$6="Domestic",LOOKUP(P$5,'RM Prices'!$C$31:$BJ$31,'RM Prices'!$C38:$BJ38)))</f>
        <v>170.88399999999999</v>
      </c>
      <c r="Q52" s="66" cm="1">
        <f t="array" ref="Q52">IF(Q$5="","",_xlfn.IFS(Q$6="Export",LOOKUP(Q$5,'RM Prices'!$C$4:$BJ$4,'RM Prices'!$C11:$BJ11),Q$6="Domestic",LOOKUP(Q$5,'RM Prices'!$C$31:$BJ$31,'RM Prices'!$C38:$BJ38)))</f>
        <v>170.88399999999999</v>
      </c>
      <c r="R52" s="66" cm="1">
        <f t="array" ref="R52">IF(R$5="","",_xlfn.IFS(R$6="Export",LOOKUP(R$5,'RM Prices'!$C$4:$BJ$4,'RM Prices'!$C11:$BJ11),R$6="Domestic",LOOKUP(R$5,'RM Prices'!$C$31:$BJ$31,'RM Prices'!$C38:$BJ38)))</f>
        <v>170.88399999999999</v>
      </c>
      <c r="S52" s="66" cm="1">
        <f t="array" ref="S52">IF(S$5="","",_xlfn.IFS(S$6="Export",LOOKUP(S$5,'RM Prices'!$C$4:$BJ$4,'RM Prices'!$C11:$BJ11),S$6="Domestic",LOOKUP(S$5,'RM Prices'!$C$31:$BJ$31,'RM Prices'!$C38:$BJ38)))</f>
        <v>170.88399999999999</v>
      </c>
      <c r="T52" s="66" cm="1">
        <f t="array" ref="T52">IF(T$5="","",_xlfn.IFS(T$6="Export",LOOKUP(T$5,'RM Prices'!$C$4:$BJ$4,'RM Prices'!$C11:$BJ11),T$6="Domestic",LOOKUP(T$5,'RM Prices'!$C$31:$BJ$31,'RM Prices'!$C38:$BJ38)))</f>
        <v>170.88399999999999</v>
      </c>
      <c r="U52" s="66" cm="1">
        <f t="array" ref="U52">IF(U$5="","",_xlfn.IFS(U$6="Export",LOOKUP(U$5,'RM Prices'!$C$4:$BJ$4,'RM Prices'!$C11:$BJ11),U$6="Domestic",LOOKUP(U$5,'RM Prices'!$C$31:$BJ$31,'RM Prices'!$C38:$BJ38)))</f>
        <v>170.88399999999999</v>
      </c>
      <c r="V52" s="73" cm="1">
        <f t="array" ref="V52">IF(V$5="","",_xlfn.IFS(V$6="Export",LOOKUP(V$5,'RM Prices'!$C$4:$BJ$4,'RM Prices'!$C11:$BJ11),V$6="Domestic",LOOKUP(V$5,'RM Prices'!$C$31:$BJ$31,'RM Prices'!$C38:$BJ38)))</f>
        <v>170.88399999999999</v>
      </c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73"/>
      <c r="AV52" s="66"/>
      <c r="AW52" s="66"/>
      <c r="AX52" s="34"/>
      <c r="AY52" s="165"/>
    </row>
    <row r="53" spans="2:51" ht="14.25" x14ac:dyDescent="0.45">
      <c r="B53" s="50">
        <v>25</v>
      </c>
      <c r="C53" s="47" t="s">
        <v>246</v>
      </c>
      <c r="D53" s="3" t="s">
        <v>254</v>
      </c>
      <c r="E53" s="66" cm="1">
        <f t="array" ref="E53">IF(E$5="","",_xlfn.IFS(E$6="Export",LOOKUP(E$5,'RM Prices'!$C$4:$BJ$4,'RM Prices'!$C12:$BJ12),E$6="Domestic",LOOKUP(E$5,'RM Prices'!$C$31:$BJ$31,'RM Prices'!$C39:$BJ39)))</f>
        <v>70</v>
      </c>
      <c r="F53" s="66" cm="1">
        <f t="array" ref="F53">IF(F$5="","",_xlfn.IFS(F$6="Export",LOOKUP(F$5,'RM Prices'!$C$4:$BJ$4,'RM Prices'!$C12:$BJ12),F$6="Domestic",LOOKUP(F$5,'RM Prices'!$C$31:$BJ$31,'RM Prices'!$C39:$BJ39)))</f>
        <v>70</v>
      </c>
      <c r="G53" s="66" cm="1">
        <f t="array" ref="G53">IF(G$5="","",_xlfn.IFS(G$6="Export",LOOKUP(G$5,'RM Prices'!$C$4:$BJ$4,'RM Prices'!$C12:$BJ12),G$6="Domestic",LOOKUP(G$5,'RM Prices'!$C$31:$BJ$31,'RM Prices'!$C39:$BJ39)))</f>
        <v>70</v>
      </c>
      <c r="H53" s="66" cm="1">
        <f t="array" ref="H53">IF(H$5="","",_xlfn.IFS(H$6="Export",LOOKUP(H$5,'RM Prices'!$C$4:$BJ$4,'RM Prices'!$C12:$BJ12),H$6="Domestic",LOOKUP(H$5,'RM Prices'!$C$31:$BJ$31,'RM Prices'!$C39:$BJ39)))</f>
        <v>70</v>
      </c>
      <c r="I53" s="66" cm="1">
        <f t="array" ref="I53">IF(I$5="","",_xlfn.IFS(I$6="Export",LOOKUP(I$5,'RM Prices'!$C$4:$BJ$4,'RM Prices'!$C12:$BJ12),I$6="Domestic",LOOKUP(I$5,'RM Prices'!$C$31:$BJ$31,'RM Prices'!$C39:$BJ39)))</f>
        <v>70</v>
      </c>
      <c r="J53" s="66" cm="1">
        <f t="array" ref="J53">IF(J$5="","",_xlfn.IFS(J$6="Export",LOOKUP(J$5,'RM Prices'!$C$4:$BJ$4,'RM Prices'!$C12:$BJ12),J$6="Domestic",LOOKUP(J$5,'RM Prices'!$C$31:$BJ$31,'RM Prices'!$C39:$BJ39)))</f>
        <v>70</v>
      </c>
      <c r="K53" s="66" cm="1">
        <f t="array" ref="K53">IF(K$5="","",_xlfn.IFS(K$6="Export",LOOKUP(K$5,'RM Prices'!$C$4:$BJ$4,'RM Prices'!$C12:$BJ12),K$6="Domestic",LOOKUP(K$5,'RM Prices'!$C$31:$BJ$31,'RM Prices'!$C39:$BJ39)))</f>
        <v>70</v>
      </c>
      <c r="L53" s="66" cm="1">
        <f t="array" ref="L53">IF(L$5="","",_xlfn.IFS(L$6="Export",LOOKUP(L$5,'RM Prices'!$C$4:$BJ$4,'RM Prices'!$C12:$BJ12),L$6="Domestic",LOOKUP(L$5,'RM Prices'!$C$31:$BJ$31,'RM Prices'!$C39:$BJ39)))</f>
        <v>70</v>
      </c>
      <c r="M53" s="66" cm="1">
        <f t="array" ref="M53">IF(M$5="","",_xlfn.IFS(M$6="Export",LOOKUP(M$5,'RM Prices'!$C$4:$BJ$4,'RM Prices'!$C12:$BJ12),M$6="Domestic",LOOKUP(M$5,'RM Prices'!$C$31:$BJ$31,'RM Prices'!$C39:$BJ39)))</f>
        <v>70</v>
      </c>
      <c r="N53" s="66" cm="1">
        <f t="array" ref="N53">IF(N$5="","",_xlfn.IFS(N$6="Export",LOOKUP(N$5,'RM Prices'!$C$4:$BJ$4,'RM Prices'!$C12:$BJ12),N$6="Domestic",LOOKUP(N$5,'RM Prices'!$C$31:$BJ$31,'RM Prices'!$C39:$BJ39)))</f>
        <v>70</v>
      </c>
      <c r="O53" s="66" cm="1">
        <f t="array" ref="O53">IF(O$5="","",_xlfn.IFS(O$6="Export",LOOKUP(O$5,'RM Prices'!$C$4:$BJ$4,'RM Prices'!$C12:$BJ12),O$6="Domestic",LOOKUP(O$5,'RM Prices'!$C$31:$BJ$31,'RM Prices'!$C39:$BJ39)))</f>
        <v>70</v>
      </c>
      <c r="P53" s="66" cm="1">
        <f t="array" ref="P53">IF(P$5="","",_xlfn.IFS(P$6="Export",LOOKUP(P$5,'RM Prices'!$C$4:$BJ$4,'RM Prices'!$C12:$BJ12),P$6="Domestic",LOOKUP(P$5,'RM Prices'!$C$31:$BJ$31,'RM Prices'!$C39:$BJ39)))</f>
        <v>70</v>
      </c>
      <c r="Q53" s="66" cm="1">
        <f t="array" ref="Q53">IF(Q$5="","",_xlfn.IFS(Q$6="Export",LOOKUP(Q$5,'RM Prices'!$C$4:$BJ$4,'RM Prices'!$C12:$BJ12),Q$6="Domestic",LOOKUP(Q$5,'RM Prices'!$C$31:$BJ$31,'RM Prices'!$C39:$BJ39)))</f>
        <v>70</v>
      </c>
      <c r="R53" s="66" cm="1">
        <f t="array" ref="R53">IF(R$5="","",_xlfn.IFS(R$6="Export",LOOKUP(R$5,'RM Prices'!$C$4:$BJ$4,'RM Prices'!$C12:$BJ12),R$6="Domestic",LOOKUP(R$5,'RM Prices'!$C$31:$BJ$31,'RM Prices'!$C39:$BJ39)))</f>
        <v>70</v>
      </c>
      <c r="S53" s="66" cm="1">
        <f t="array" ref="S53">IF(S$5="","",_xlfn.IFS(S$6="Export",LOOKUP(S$5,'RM Prices'!$C$4:$BJ$4,'RM Prices'!$C12:$BJ12),S$6="Domestic",LOOKUP(S$5,'RM Prices'!$C$31:$BJ$31,'RM Prices'!$C39:$BJ39)))</f>
        <v>70</v>
      </c>
      <c r="T53" s="66" cm="1">
        <f t="array" ref="T53">IF(T$5="","",_xlfn.IFS(T$6="Export",LOOKUP(T$5,'RM Prices'!$C$4:$BJ$4,'RM Prices'!$C12:$BJ12),T$6="Domestic",LOOKUP(T$5,'RM Prices'!$C$31:$BJ$31,'RM Prices'!$C39:$BJ39)))</f>
        <v>70</v>
      </c>
      <c r="U53" s="66" cm="1">
        <f t="array" ref="U53">IF(U$5="","",_xlfn.IFS(U$6="Export",LOOKUP(U$5,'RM Prices'!$C$4:$BJ$4,'RM Prices'!$C12:$BJ12),U$6="Domestic",LOOKUP(U$5,'RM Prices'!$C$31:$BJ$31,'RM Prices'!$C39:$BJ39)))</f>
        <v>70</v>
      </c>
      <c r="V53" s="73" cm="1">
        <f t="array" ref="V53">IF(V$5="","",_xlfn.IFS(V$6="Export",LOOKUP(V$5,'RM Prices'!$C$4:$BJ$4,'RM Prices'!$C12:$BJ12),V$6="Domestic",LOOKUP(V$5,'RM Prices'!$C$31:$BJ$31,'RM Prices'!$C39:$BJ39)))</f>
        <v>70</v>
      </c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73"/>
      <c r="AV53" s="66"/>
      <c r="AW53" s="66"/>
      <c r="AX53" s="34"/>
      <c r="AY53" s="165"/>
    </row>
    <row r="54" spans="2:51" ht="14.25" x14ac:dyDescent="0.45">
      <c r="B54" s="50">
        <v>26</v>
      </c>
      <c r="C54" s="47" t="s">
        <v>246</v>
      </c>
      <c r="D54" s="3" t="s">
        <v>255</v>
      </c>
      <c r="E54" s="66" cm="1">
        <f t="array" ref="E54">IF(E$5="","",_xlfn.IFS(E$6="Export",LOOKUP(E$5,'RM Prices'!$C$4:$BJ$4,'RM Prices'!$C13:$BJ13),E$6="Domestic",LOOKUP(E$5,'RM Prices'!$C$31:$BJ$31,'RM Prices'!$C40:$BJ40)))</f>
        <v>40</v>
      </c>
      <c r="F54" s="66" cm="1">
        <f t="array" ref="F54">IF(F$5="","",_xlfn.IFS(F$6="Export",LOOKUP(F$5,'RM Prices'!$C$4:$BJ$4,'RM Prices'!$C13:$BJ13),F$6="Domestic",LOOKUP(F$5,'RM Prices'!$C$31:$BJ$31,'RM Prices'!$C40:$BJ40)))</f>
        <v>40</v>
      </c>
      <c r="G54" s="66" cm="1">
        <f t="array" ref="G54">IF(G$5="","",_xlfn.IFS(G$6="Export",LOOKUP(G$5,'RM Prices'!$C$4:$BJ$4,'RM Prices'!$C13:$BJ13),G$6="Domestic",LOOKUP(G$5,'RM Prices'!$C$31:$BJ$31,'RM Prices'!$C40:$BJ40)))</f>
        <v>40</v>
      </c>
      <c r="H54" s="66" cm="1">
        <f t="array" ref="H54">IF(H$5="","",_xlfn.IFS(H$6="Export",LOOKUP(H$5,'RM Prices'!$C$4:$BJ$4,'RM Prices'!$C13:$BJ13),H$6="Domestic",LOOKUP(H$5,'RM Prices'!$C$31:$BJ$31,'RM Prices'!$C40:$BJ40)))</f>
        <v>40</v>
      </c>
      <c r="I54" s="66" cm="1">
        <f t="array" ref="I54">IF(I$5="","",_xlfn.IFS(I$6="Export",LOOKUP(I$5,'RM Prices'!$C$4:$BJ$4,'RM Prices'!$C13:$BJ13),I$6="Domestic",LOOKUP(I$5,'RM Prices'!$C$31:$BJ$31,'RM Prices'!$C40:$BJ40)))</f>
        <v>40</v>
      </c>
      <c r="J54" s="66" cm="1">
        <f t="array" ref="J54">IF(J$5="","",_xlfn.IFS(J$6="Export",LOOKUP(J$5,'RM Prices'!$C$4:$BJ$4,'RM Prices'!$C13:$BJ13),J$6="Domestic",LOOKUP(J$5,'RM Prices'!$C$31:$BJ$31,'RM Prices'!$C40:$BJ40)))</f>
        <v>40</v>
      </c>
      <c r="K54" s="66" cm="1">
        <f t="array" ref="K54">IF(K$5="","",_xlfn.IFS(K$6="Export",LOOKUP(K$5,'RM Prices'!$C$4:$BJ$4,'RM Prices'!$C13:$BJ13),K$6="Domestic",LOOKUP(K$5,'RM Prices'!$C$31:$BJ$31,'RM Prices'!$C40:$BJ40)))</f>
        <v>40</v>
      </c>
      <c r="L54" s="66" cm="1">
        <f t="array" ref="L54">IF(L$5="","",_xlfn.IFS(L$6="Export",LOOKUP(L$5,'RM Prices'!$C$4:$BJ$4,'RM Prices'!$C13:$BJ13),L$6="Domestic",LOOKUP(L$5,'RM Prices'!$C$31:$BJ$31,'RM Prices'!$C40:$BJ40)))</f>
        <v>40</v>
      </c>
      <c r="M54" s="66" cm="1">
        <f t="array" ref="M54">IF(M$5="","",_xlfn.IFS(M$6="Export",LOOKUP(M$5,'RM Prices'!$C$4:$BJ$4,'RM Prices'!$C13:$BJ13),M$6="Domestic",LOOKUP(M$5,'RM Prices'!$C$31:$BJ$31,'RM Prices'!$C40:$BJ40)))</f>
        <v>40</v>
      </c>
      <c r="N54" s="66" cm="1">
        <f t="array" ref="N54">IF(N$5="","",_xlfn.IFS(N$6="Export",LOOKUP(N$5,'RM Prices'!$C$4:$BJ$4,'RM Prices'!$C13:$BJ13),N$6="Domestic",LOOKUP(N$5,'RM Prices'!$C$31:$BJ$31,'RM Prices'!$C40:$BJ40)))</f>
        <v>40</v>
      </c>
      <c r="O54" s="66" cm="1">
        <f t="array" ref="O54">IF(O$5="","",_xlfn.IFS(O$6="Export",LOOKUP(O$5,'RM Prices'!$C$4:$BJ$4,'RM Prices'!$C13:$BJ13),O$6="Domestic",LOOKUP(O$5,'RM Prices'!$C$31:$BJ$31,'RM Prices'!$C40:$BJ40)))</f>
        <v>40</v>
      </c>
      <c r="P54" s="66" cm="1">
        <f t="array" ref="P54">IF(P$5="","",_xlfn.IFS(P$6="Export",LOOKUP(P$5,'RM Prices'!$C$4:$BJ$4,'RM Prices'!$C13:$BJ13),P$6="Domestic",LOOKUP(P$5,'RM Prices'!$C$31:$BJ$31,'RM Prices'!$C40:$BJ40)))</f>
        <v>40</v>
      </c>
      <c r="Q54" s="66" cm="1">
        <f t="array" ref="Q54">IF(Q$5="","",_xlfn.IFS(Q$6="Export",LOOKUP(Q$5,'RM Prices'!$C$4:$BJ$4,'RM Prices'!$C13:$BJ13),Q$6="Domestic",LOOKUP(Q$5,'RM Prices'!$C$31:$BJ$31,'RM Prices'!$C40:$BJ40)))</f>
        <v>40</v>
      </c>
      <c r="R54" s="66" cm="1">
        <f t="array" ref="R54">IF(R$5="","",_xlfn.IFS(R$6="Export",LOOKUP(R$5,'RM Prices'!$C$4:$BJ$4,'RM Prices'!$C13:$BJ13),R$6="Domestic",LOOKUP(R$5,'RM Prices'!$C$31:$BJ$31,'RM Prices'!$C40:$BJ40)))</f>
        <v>40</v>
      </c>
      <c r="S54" s="66" cm="1">
        <f t="array" ref="S54">IF(S$5="","",_xlfn.IFS(S$6="Export",LOOKUP(S$5,'RM Prices'!$C$4:$BJ$4,'RM Prices'!$C13:$BJ13),S$6="Domestic",LOOKUP(S$5,'RM Prices'!$C$31:$BJ$31,'RM Prices'!$C40:$BJ40)))</f>
        <v>40</v>
      </c>
      <c r="T54" s="66" cm="1">
        <f t="array" ref="T54">IF(T$5="","",_xlfn.IFS(T$6="Export",LOOKUP(T$5,'RM Prices'!$C$4:$BJ$4,'RM Prices'!$C13:$BJ13),T$6="Domestic",LOOKUP(T$5,'RM Prices'!$C$31:$BJ$31,'RM Prices'!$C40:$BJ40)))</f>
        <v>40</v>
      </c>
      <c r="U54" s="66" cm="1">
        <f t="array" ref="U54">IF(U$5="","",_xlfn.IFS(U$6="Export",LOOKUP(U$5,'RM Prices'!$C$4:$BJ$4,'RM Prices'!$C13:$BJ13),U$6="Domestic",LOOKUP(U$5,'RM Prices'!$C$31:$BJ$31,'RM Prices'!$C40:$BJ40)))</f>
        <v>40</v>
      </c>
      <c r="V54" s="73" cm="1">
        <f t="array" ref="V54">IF(V$5="","",_xlfn.IFS(V$6="Export",LOOKUP(V$5,'RM Prices'!$C$4:$BJ$4,'RM Prices'!$C13:$BJ13),V$6="Domestic",LOOKUP(V$5,'RM Prices'!$C$31:$BJ$31,'RM Prices'!$C40:$BJ40)))</f>
        <v>40</v>
      </c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73"/>
      <c r="AV54" s="66"/>
      <c r="AW54" s="66"/>
      <c r="AX54" s="34"/>
      <c r="AY54" s="165"/>
    </row>
    <row r="55" spans="2:51" ht="14.25" x14ac:dyDescent="0.45">
      <c r="B55" s="50">
        <v>27</v>
      </c>
      <c r="C55" s="47" t="s">
        <v>246</v>
      </c>
      <c r="D55" s="3" t="s">
        <v>256</v>
      </c>
      <c r="E55" s="66" cm="1">
        <f t="array" ref="E55">IF(E$5="","",_xlfn.IFS(E$6="Export",LOOKUP(E$5,'RM Prices'!$C$4:$BJ$4,'RM Prices'!$C14:$BJ14),E$6="Domestic",LOOKUP(E$5,'RM Prices'!$C$31:$BJ$31,'RM Prices'!$C41:$BJ41)))</f>
        <v>56</v>
      </c>
      <c r="F55" s="66" cm="1">
        <f t="array" ref="F55">IF(F$5="","",_xlfn.IFS(F$6="Export",LOOKUP(F$5,'RM Prices'!$C$4:$BJ$4,'RM Prices'!$C14:$BJ14),F$6="Domestic",LOOKUP(F$5,'RM Prices'!$C$31:$BJ$31,'RM Prices'!$C41:$BJ41)))</f>
        <v>56</v>
      </c>
      <c r="G55" s="66" cm="1">
        <f t="array" ref="G55">IF(G$5="","",_xlfn.IFS(G$6="Export",LOOKUP(G$5,'RM Prices'!$C$4:$BJ$4,'RM Prices'!$C14:$BJ14),G$6="Domestic",LOOKUP(G$5,'RM Prices'!$C$31:$BJ$31,'RM Prices'!$C41:$BJ41)))</f>
        <v>56</v>
      </c>
      <c r="H55" s="66" cm="1">
        <f t="array" ref="H55">IF(H$5="","",_xlfn.IFS(H$6="Export",LOOKUP(H$5,'RM Prices'!$C$4:$BJ$4,'RM Prices'!$C14:$BJ14),H$6="Domestic",LOOKUP(H$5,'RM Prices'!$C$31:$BJ$31,'RM Prices'!$C41:$BJ41)))</f>
        <v>56</v>
      </c>
      <c r="I55" s="66" cm="1">
        <f t="array" ref="I55">IF(I$5="","",_xlfn.IFS(I$6="Export",LOOKUP(I$5,'RM Prices'!$C$4:$BJ$4,'RM Prices'!$C14:$BJ14),I$6="Domestic",LOOKUP(I$5,'RM Prices'!$C$31:$BJ$31,'RM Prices'!$C41:$BJ41)))</f>
        <v>56</v>
      </c>
      <c r="J55" s="66" cm="1">
        <f t="array" ref="J55">IF(J$5="","",_xlfn.IFS(J$6="Export",LOOKUP(J$5,'RM Prices'!$C$4:$BJ$4,'RM Prices'!$C14:$BJ14),J$6="Domestic",LOOKUP(J$5,'RM Prices'!$C$31:$BJ$31,'RM Prices'!$C41:$BJ41)))</f>
        <v>56</v>
      </c>
      <c r="K55" s="66" cm="1">
        <f t="array" ref="K55">IF(K$5="","",_xlfn.IFS(K$6="Export",LOOKUP(K$5,'RM Prices'!$C$4:$BJ$4,'RM Prices'!$C14:$BJ14),K$6="Domestic",LOOKUP(K$5,'RM Prices'!$C$31:$BJ$31,'RM Prices'!$C41:$BJ41)))</f>
        <v>56</v>
      </c>
      <c r="L55" s="66" cm="1">
        <f t="array" ref="L55">IF(L$5="","",_xlfn.IFS(L$6="Export",LOOKUP(L$5,'RM Prices'!$C$4:$BJ$4,'RM Prices'!$C14:$BJ14),L$6="Domestic",LOOKUP(L$5,'RM Prices'!$C$31:$BJ$31,'RM Prices'!$C41:$BJ41)))</f>
        <v>56</v>
      </c>
      <c r="M55" s="66" cm="1">
        <f t="array" ref="M55">IF(M$5="","",_xlfn.IFS(M$6="Export",LOOKUP(M$5,'RM Prices'!$C$4:$BJ$4,'RM Prices'!$C14:$BJ14),M$6="Domestic",LOOKUP(M$5,'RM Prices'!$C$31:$BJ$31,'RM Prices'!$C41:$BJ41)))</f>
        <v>56</v>
      </c>
      <c r="N55" s="66" cm="1">
        <f t="array" ref="N55">IF(N$5="","",_xlfn.IFS(N$6="Export",LOOKUP(N$5,'RM Prices'!$C$4:$BJ$4,'RM Prices'!$C14:$BJ14),N$6="Domestic",LOOKUP(N$5,'RM Prices'!$C$31:$BJ$31,'RM Prices'!$C41:$BJ41)))</f>
        <v>56</v>
      </c>
      <c r="O55" s="66" cm="1">
        <f t="array" ref="O55">IF(O$5="","",_xlfn.IFS(O$6="Export",LOOKUP(O$5,'RM Prices'!$C$4:$BJ$4,'RM Prices'!$C14:$BJ14),O$6="Domestic",LOOKUP(O$5,'RM Prices'!$C$31:$BJ$31,'RM Prices'!$C41:$BJ41)))</f>
        <v>56</v>
      </c>
      <c r="P55" s="66" cm="1">
        <f t="array" ref="P55">IF(P$5="","",_xlfn.IFS(P$6="Export",LOOKUP(P$5,'RM Prices'!$C$4:$BJ$4,'RM Prices'!$C14:$BJ14),P$6="Domestic",LOOKUP(P$5,'RM Prices'!$C$31:$BJ$31,'RM Prices'!$C41:$BJ41)))</f>
        <v>56</v>
      </c>
      <c r="Q55" s="66" cm="1">
        <f t="array" ref="Q55">IF(Q$5="","",_xlfn.IFS(Q$6="Export",LOOKUP(Q$5,'RM Prices'!$C$4:$BJ$4,'RM Prices'!$C14:$BJ14),Q$6="Domestic",LOOKUP(Q$5,'RM Prices'!$C$31:$BJ$31,'RM Prices'!$C41:$BJ41)))</f>
        <v>56</v>
      </c>
      <c r="R55" s="66" cm="1">
        <f t="array" ref="R55">IF(R$5="","",_xlfn.IFS(R$6="Export",LOOKUP(R$5,'RM Prices'!$C$4:$BJ$4,'RM Prices'!$C14:$BJ14),R$6="Domestic",LOOKUP(R$5,'RM Prices'!$C$31:$BJ$31,'RM Prices'!$C41:$BJ41)))</f>
        <v>56</v>
      </c>
      <c r="S55" s="66" cm="1">
        <f t="array" ref="S55">IF(S$5="","",_xlfn.IFS(S$6="Export",LOOKUP(S$5,'RM Prices'!$C$4:$BJ$4,'RM Prices'!$C14:$BJ14),S$6="Domestic",LOOKUP(S$5,'RM Prices'!$C$31:$BJ$31,'RM Prices'!$C41:$BJ41)))</f>
        <v>56</v>
      </c>
      <c r="T55" s="66" cm="1">
        <f t="array" ref="T55">IF(T$5="","",_xlfn.IFS(T$6="Export",LOOKUP(T$5,'RM Prices'!$C$4:$BJ$4,'RM Prices'!$C14:$BJ14),T$6="Domestic",LOOKUP(T$5,'RM Prices'!$C$31:$BJ$31,'RM Prices'!$C41:$BJ41)))</f>
        <v>56</v>
      </c>
      <c r="U55" s="66" cm="1">
        <f t="array" ref="U55">IF(U$5="","",_xlfn.IFS(U$6="Export",LOOKUP(U$5,'RM Prices'!$C$4:$BJ$4,'RM Prices'!$C14:$BJ14),U$6="Domestic",LOOKUP(U$5,'RM Prices'!$C$31:$BJ$31,'RM Prices'!$C41:$BJ41)))</f>
        <v>56</v>
      </c>
      <c r="V55" s="73" cm="1">
        <f t="array" ref="V55">IF(V$5="","",_xlfn.IFS(V$6="Export",LOOKUP(V$5,'RM Prices'!$C$4:$BJ$4,'RM Prices'!$C14:$BJ14),V$6="Domestic",LOOKUP(V$5,'RM Prices'!$C$31:$BJ$31,'RM Prices'!$C41:$BJ41)))</f>
        <v>56</v>
      </c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73"/>
      <c r="AV55" s="66"/>
      <c r="AW55" s="66"/>
      <c r="AX55" s="34"/>
      <c r="AY55" s="165"/>
    </row>
    <row r="56" spans="2:51" ht="14.25" x14ac:dyDescent="0.45">
      <c r="B56" s="50">
        <v>28</v>
      </c>
      <c r="C56" s="47" t="s">
        <v>246</v>
      </c>
      <c r="D56" s="3" t="s">
        <v>257</v>
      </c>
      <c r="E56" s="66" cm="1">
        <f t="array" ref="E56">IF(E$5="","",_xlfn.IFS(E$6="Export",LOOKUP(E$5,'RM Prices'!$C$4:$BJ$4,'RM Prices'!$C15:$BJ15),E$6="Domestic",LOOKUP(E$5,'RM Prices'!$C$31:$BJ$31,'RM Prices'!$C42:$BJ42)))</f>
        <v>280</v>
      </c>
      <c r="F56" s="66" cm="1">
        <f t="array" ref="F56">IF(F$5="","",_xlfn.IFS(F$6="Export",LOOKUP(F$5,'RM Prices'!$C$4:$BJ$4,'RM Prices'!$C15:$BJ15),F$6="Domestic",LOOKUP(F$5,'RM Prices'!$C$31:$BJ$31,'RM Prices'!$C42:$BJ42)))</f>
        <v>280</v>
      </c>
      <c r="G56" s="66" cm="1">
        <f t="array" ref="G56">IF(G$5="","",_xlfn.IFS(G$6="Export",LOOKUP(G$5,'RM Prices'!$C$4:$BJ$4,'RM Prices'!$C15:$BJ15),G$6="Domestic",LOOKUP(G$5,'RM Prices'!$C$31:$BJ$31,'RM Prices'!$C42:$BJ42)))</f>
        <v>280</v>
      </c>
      <c r="H56" s="66" cm="1">
        <f t="array" ref="H56">IF(H$5="","",_xlfn.IFS(H$6="Export",LOOKUP(H$5,'RM Prices'!$C$4:$BJ$4,'RM Prices'!$C15:$BJ15),H$6="Domestic",LOOKUP(H$5,'RM Prices'!$C$31:$BJ$31,'RM Prices'!$C42:$BJ42)))</f>
        <v>280</v>
      </c>
      <c r="I56" s="66" cm="1">
        <f t="array" ref="I56">IF(I$5="","",_xlfn.IFS(I$6="Export",LOOKUP(I$5,'RM Prices'!$C$4:$BJ$4,'RM Prices'!$C15:$BJ15),I$6="Domestic",LOOKUP(I$5,'RM Prices'!$C$31:$BJ$31,'RM Prices'!$C42:$BJ42)))</f>
        <v>280</v>
      </c>
      <c r="J56" s="66" cm="1">
        <f t="array" ref="J56">IF(J$5="","",_xlfn.IFS(J$6="Export",LOOKUP(J$5,'RM Prices'!$C$4:$BJ$4,'RM Prices'!$C15:$BJ15),J$6="Domestic",LOOKUP(J$5,'RM Prices'!$C$31:$BJ$31,'RM Prices'!$C42:$BJ42)))</f>
        <v>280</v>
      </c>
      <c r="K56" s="66" cm="1">
        <f t="array" ref="K56">IF(K$5="","",_xlfn.IFS(K$6="Export",LOOKUP(K$5,'RM Prices'!$C$4:$BJ$4,'RM Prices'!$C15:$BJ15),K$6="Domestic",LOOKUP(K$5,'RM Prices'!$C$31:$BJ$31,'RM Prices'!$C42:$BJ42)))</f>
        <v>280</v>
      </c>
      <c r="L56" s="66" cm="1">
        <f t="array" ref="L56">IF(L$5="","",_xlfn.IFS(L$6="Export",LOOKUP(L$5,'RM Prices'!$C$4:$BJ$4,'RM Prices'!$C15:$BJ15),L$6="Domestic",LOOKUP(L$5,'RM Prices'!$C$31:$BJ$31,'RM Prices'!$C42:$BJ42)))</f>
        <v>280</v>
      </c>
      <c r="M56" s="66" cm="1">
        <f t="array" ref="M56">IF(M$5="","",_xlfn.IFS(M$6="Export",LOOKUP(M$5,'RM Prices'!$C$4:$BJ$4,'RM Prices'!$C15:$BJ15),M$6="Domestic",LOOKUP(M$5,'RM Prices'!$C$31:$BJ$31,'RM Prices'!$C42:$BJ42)))</f>
        <v>280</v>
      </c>
      <c r="N56" s="66" cm="1">
        <f t="array" ref="N56">IF(N$5="","",_xlfn.IFS(N$6="Export",LOOKUP(N$5,'RM Prices'!$C$4:$BJ$4,'RM Prices'!$C15:$BJ15),N$6="Domestic",LOOKUP(N$5,'RM Prices'!$C$31:$BJ$31,'RM Prices'!$C42:$BJ42)))</f>
        <v>280</v>
      </c>
      <c r="O56" s="66" cm="1">
        <f t="array" ref="O56">IF(O$5="","",_xlfn.IFS(O$6="Export",LOOKUP(O$5,'RM Prices'!$C$4:$BJ$4,'RM Prices'!$C15:$BJ15),O$6="Domestic",LOOKUP(O$5,'RM Prices'!$C$31:$BJ$31,'RM Prices'!$C42:$BJ42)))</f>
        <v>280</v>
      </c>
      <c r="P56" s="66" cm="1">
        <f t="array" ref="P56">IF(P$5="","",_xlfn.IFS(P$6="Export",LOOKUP(P$5,'RM Prices'!$C$4:$BJ$4,'RM Prices'!$C15:$BJ15),P$6="Domestic",LOOKUP(P$5,'RM Prices'!$C$31:$BJ$31,'RM Prices'!$C42:$BJ42)))</f>
        <v>280</v>
      </c>
      <c r="Q56" s="66" cm="1">
        <f t="array" ref="Q56">IF(Q$5="","",_xlfn.IFS(Q$6="Export",LOOKUP(Q$5,'RM Prices'!$C$4:$BJ$4,'RM Prices'!$C15:$BJ15),Q$6="Domestic",LOOKUP(Q$5,'RM Prices'!$C$31:$BJ$31,'RM Prices'!$C42:$BJ42)))</f>
        <v>280</v>
      </c>
      <c r="R56" s="66" cm="1">
        <f t="array" ref="R56">IF(R$5="","",_xlfn.IFS(R$6="Export",LOOKUP(R$5,'RM Prices'!$C$4:$BJ$4,'RM Prices'!$C15:$BJ15),R$6="Domestic",LOOKUP(R$5,'RM Prices'!$C$31:$BJ$31,'RM Prices'!$C42:$BJ42)))</f>
        <v>280</v>
      </c>
      <c r="S56" s="66" cm="1">
        <f t="array" ref="S56">IF(S$5="","",_xlfn.IFS(S$6="Export",LOOKUP(S$5,'RM Prices'!$C$4:$BJ$4,'RM Prices'!$C15:$BJ15),S$6="Domestic",LOOKUP(S$5,'RM Prices'!$C$31:$BJ$31,'RM Prices'!$C42:$BJ42)))</f>
        <v>280</v>
      </c>
      <c r="T56" s="66" cm="1">
        <f t="array" ref="T56">IF(T$5="","",_xlfn.IFS(T$6="Export",LOOKUP(T$5,'RM Prices'!$C$4:$BJ$4,'RM Prices'!$C15:$BJ15),T$6="Domestic",LOOKUP(T$5,'RM Prices'!$C$31:$BJ$31,'RM Prices'!$C42:$BJ42)))</f>
        <v>280</v>
      </c>
      <c r="U56" s="66" cm="1">
        <f t="array" ref="U56">IF(U$5="","",_xlfn.IFS(U$6="Export",LOOKUP(U$5,'RM Prices'!$C$4:$BJ$4,'RM Prices'!$C15:$BJ15),U$6="Domestic",LOOKUP(U$5,'RM Prices'!$C$31:$BJ$31,'RM Prices'!$C42:$BJ42)))</f>
        <v>280</v>
      </c>
      <c r="V56" s="73" cm="1">
        <f t="array" ref="V56">IF(V$5="","",_xlfn.IFS(V$6="Export",LOOKUP(V$5,'RM Prices'!$C$4:$BJ$4,'RM Prices'!$C15:$BJ15),V$6="Domestic",LOOKUP(V$5,'RM Prices'!$C$31:$BJ$31,'RM Prices'!$C42:$BJ42)))</f>
        <v>280</v>
      </c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73"/>
      <c r="AV56" s="66"/>
      <c r="AW56" s="66"/>
      <c r="AX56" s="34"/>
      <c r="AY56" s="165"/>
    </row>
    <row r="57" spans="2:51" ht="14.25" x14ac:dyDescent="0.45">
      <c r="B57" s="50">
        <v>29</v>
      </c>
      <c r="C57" s="47" t="s">
        <v>246</v>
      </c>
      <c r="D57" s="3" t="s">
        <v>258</v>
      </c>
      <c r="E57" s="66" cm="1">
        <f t="array" ref="E57">IF(E$5="","",_xlfn.IFS(E$6="Export",LOOKUP(E$5,'RM Prices'!$C$4:$BJ$4,'RM Prices'!$C16:$BJ16),E$6="Domestic",LOOKUP(E$5,'RM Prices'!$C$31:$BJ$31,'RM Prices'!$C43:$BJ43)))</f>
        <v>250</v>
      </c>
      <c r="F57" s="66" cm="1">
        <f t="array" ref="F57">IF(F$5="","",_xlfn.IFS(F$6="Export",LOOKUP(F$5,'RM Prices'!$C$4:$BJ$4,'RM Prices'!$C16:$BJ16),F$6="Domestic",LOOKUP(F$5,'RM Prices'!$C$31:$BJ$31,'RM Prices'!$C43:$BJ43)))</f>
        <v>250</v>
      </c>
      <c r="G57" s="66" cm="1">
        <f t="array" ref="G57">IF(G$5="","",_xlfn.IFS(G$6="Export",LOOKUP(G$5,'RM Prices'!$C$4:$BJ$4,'RM Prices'!$C16:$BJ16),G$6="Domestic",LOOKUP(G$5,'RM Prices'!$C$31:$BJ$31,'RM Prices'!$C43:$BJ43)))</f>
        <v>250</v>
      </c>
      <c r="H57" s="66" cm="1">
        <f t="array" ref="H57">IF(H$5="","",_xlfn.IFS(H$6="Export",LOOKUP(H$5,'RM Prices'!$C$4:$BJ$4,'RM Prices'!$C16:$BJ16),H$6="Domestic",LOOKUP(H$5,'RM Prices'!$C$31:$BJ$31,'RM Prices'!$C43:$BJ43)))</f>
        <v>250</v>
      </c>
      <c r="I57" s="66" cm="1">
        <f t="array" ref="I57">IF(I$5="","",_xlfn.IFS(I$6="Export",LOOKUP(I$5,'RM Prices'!$C$4:$BJ$4,'RM Prices'!$C16:$BJ16),I$6="Domestic",LOOKUP(I$5,'RM Prices'!$C$31:$BJ$31,'RM Prices'!$C43:$BJ43)))</f>
        <v>250</v>
      </c>
      <c r="J57" s="66" cm="1">
        <f t="array" ref="J57">IF(J$5="","",_xlfn.IFS(J$6="Export",LOOKUP(J$5,'RM Prices'!$C$4:$BJ$4,'RM Prices'!$C16:$BJ16),J$6="Domestic",LOOKUP(J$5,'RM Prices'!$C$31:$BJ$31,'RM Prices'!$C43:$BJ43)))</f>
        <v>250</v>
      </c>
      <c r="K57" s="66" cm="1">
        <f t="array" ref="K57">IF(K$5="","",_xlfn.IFS(K$6="Export",LOOKUP(K$5,'RM Prices'!$C$4:$BJ$4,'RM Prices'!$C16:$BJ16),K$6="Domestic",LOOKUP(K$5,'RM Prices'!$C$31:$BJ$31,'RM Prices'!$C43:$BJ43)))</f>
        <v>250</v>
      </c>
      <c r="L57" s="66" cm="1">
        <f t="array" ref="L57">IF(L$5="","",_xlfn.IFS(L$6="Export",LOOKUP(L$5,'RM Prices'!$C$4:$BJ$4,'RM Prices'!$C16:$BJ16),L$6="Domestic",LOOKUP(L$5,'RM Prices'!$C$31:$BJ$31,'RM Prices'!$C43:$BJ43)))</f>
        <v>250</v>
      </c>
      <c r="M57" s="66" cm="1">
        <f t="array" ref="M57">IF(M$5="","",_xlfn.IFS(M$6="Export",LOOKUP(M$5,'RM Prices'!$C$4:$BJ$4,'RM Prices'!$C16:$BJ16),M$6="Domestic",LOOKUP(M$5,'RM Prices'!$C$31:$BJ$31,'RM Prices'!$C43:$BJ43)))</f>
        <v>250</v>
      </c>
      <c r="N57" s="66" cm="1">
        <f t="array" ref="N57">IF(N$5="","",_xlfn.IFS(N$6="Export",LOOKUP(N$5,'RM Prices'!$C$4:$BJ$4,'RM Prices'!$C16:$BJ16),N$6="Domestic",LOOKUP(N$5,'RM Prices'!$C$31:$BJ$31,'RM Prices'!$C43:$BJ43)))</f>
        <v>250</v>
      </c>
      <c r="O57" s="66" cm="1">
        <f t="array" ref="O57">IF(O$5="","",_xlfn.IFS(O$6="Export",LOOKUP(O$5,'RM Prices'!$C$4:$BJ$4,'RM Prices'!$C16:$BJ16),O$6="Domestic",LOOKUP(O$5,'RM Prices'!$C$31:$BJ$31,'RM Prices'!$C43:$BJ43)))</f>
        <v>250</v>
      </c>
      <c r="P57" s="66" cm="1">
        <f t="array" ref="P57">IF(P$5="","",_xlfn.IFS(P$6="Export",LOOKUP(P$5,'RM Prices'!$C$4:$BJ$4,'RM Prices'!$C16:$BJ16),P$6="Domestic",LOOKUP(P$5,'RM Prices'!$C$31:$BJ$31,'RM Prices'!$C43:$BJ43)))</f>
        <v>250</v>
      </c>
      <c r="Q57" s="66" cm="1">
        <f t="array" ref="Q57">IF(Q$5="","",_xlfn.IFS(Q$6="Export",LOOKUP(Q$5,'RM Prices'!$C$4:$BJ$4,'RM Prices'!$C16:$BJ16),Q$6="Domestic",LOOKUP(Q$5,'RM Prices'!$C$31:$BJ$31,'RM Prices'!$C43:$BJ43)))</f>
        <v>250</v>
      </c>
      <c r="R57" s="66" cm="1">
        <f t="array" ref="R57">IF(R$5="","",_xlfn.IFS(R$6="Export",LOOKUP(R$5,'RM Prices'!$C$4:$BJ$4,'RM Prices'!$C16:$BJ16),R$6="Domestic",LOOKUP(R$5,'RM Prices'!$C$31:$BJ$31,'RM Prices'!$C43:$BJ43)))</f>
        <v>250</v>
      </c>
      <c r="S57" s="66" cm="1">
        <f t="array" ref="S57">IF(S$5="","",_xlfn.IFS(S$6="Export",LOOKUP(S$5,'RM Prices'!$C$4:$BJ$4,'RM Prices'!$C16:$BJ16),S$6="Domestic",LOOKUP(S$5,'RM Prices'!$C$31:$BJ$31,'RM Prices'!$C43:$BJ43)))</f>
        <v>250</v>
      </c>
      <c r="T57" s="66" cm="1">
        <f t="array" ref="T57">IF(T$5="","",_xlfn.IFS(T$6="Export",LOOKUP(T$5,'RM Prices'!$C$4:$BJ$4,'RM Prices'!$C16:$BJ16),T$6="Domestic",LOOKUP(T$5,'RM Prices'!$C$31:$BJ$31,'RM Prices'!$C43:$BJ43)))</f>
        <v>250</v>
      </c>
      <c r="U57" s="66" cm="1">
        <f t="array" ref="U57">IF(U$5="","",_xlfn.IFS(U$6="Export",LOOKUP(U$5,'RM Prices'!$C$4:$BJ$4,'RM Prices'!$C16:$BJ16),U$6="Domestic",LOOKUP(U$5,'RM Prices'!$C$31:$BJ$31,'RM Prices'!$C43:$BJ43)))</f>
        <v>250</v>
      </c>
      <c r="V57" s="73" cm="1">
        <f t="array" ref="V57">IF(V$5="","",_xlfn.IFS(V$6="Export",LOOKUP(V$5,'RM Prices'!$C$4:$BJ$4,'RM Prices'!$C16:$BJ16),V$6="Domestic",LOOKUP(V$5,'RM Prices'!$C$31:$BJ$31,'RM Prices'!$C43:$BJ43)))</f>
        <v>250</v>
      </c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73"/>
      <c r="AV57" s="66"/>
      <c r="AW57" s="66"/>
      <c r="AX57" s="34"/>
      <c r="AY57" s="165"/>
    </row>
    <row r="58" spans="2:51" ht="14.25" x14ac:dyDescent="0.45">
      <c r="B58" s="50">
        <v>30</v>
      </c>
      <c r="C58" s="47" t="s">
        <v>246</v>
      </c>
      <c r="D58" s="3" t="s">
        <v>259</v>
      </c>
      <c r="E58" s="66" cm="1">
        <f t="array" ref="E58">IF(E$5="","",_xlfn.IFS(E$6="Export",LOOKUP(E$5,'RM Prices'!$C$4:$BJ$4,'RM Prices'!$C17:$BJ17),E$6="Domestic",LOOKUP(E$5,'RM Prices'!$C$31:$BJ$31,'RM Prices'!$C44:$BJ44)))</f>
        <v>160</v>
      </c>
      <c r="F58" s="66" cm="1">
        <f t="array" ref="F58">IF(F$5="","",_xlfn.IFS(F$6="Export",LOOKUP(F$5,'RM Prices'!$C$4:$BJ$4,'RM Prices'!$C17:$BJ17),F$6="Domestic",LOOKUP(F$5,'RM Prices'!$C$31:$BJ$31,'RM Prices'!$C44:$BJ44)))</f>
        <v>160</v>
      </c>
      <c r="G58" s="66" cm="1">
        <f t="array" ref="G58">IF(G$5="","",_xlfn.IFS(G$6="Export",LOOKUP(G$5,'RM Prices'!$C$4:$BJ$4,'RM Prices'!$C17:$BJ17),G$6="Domestic",LOOKUP(G$5,'RM Prices'!$C$31:$BJ$31,'RM Prices'!$C44:$BJ44)))</f>
        <v>160</v>
      </c>
      <c r="H58" s="66" cm="1">
        <f t="array" ref="H58">IF(H$5="","",_xlfn.IFS(H$6="Export",LOOKUP(H$5,'RM Prices'!$C$4:$BJ$4,'RM Prices'!$C17:$BJ17),H$6="Domestic",LOOKUP(H$5,'RM Prices'!$C$31:$BJ$31,'RM Prices'!$C44:$BJ44)))</f>
        <v>160</v>
      </c>
      <c r="I58" s="66" cm="1">
        <f t="array" ref="I58">IF(I$5="","",_xlfn.IFS(I$6="Export",LOOKUP(I$5,'RM Prices'!$C$4:$BJ$4,'RM Prices'!$C17:$BJ17),I$6="Domestic",LOOKUP(I$5,'RM Prices'!$C$31:$BJ$31,'RM Prices'!$C44:$BJ44)))</f>
        <v>160</v>
      </c>
      <c r="J58" s="66" cm="1">
        <f t="array" ref="J58">IF(J$5="","",_xlfn.IFS(J$6="Export",LOOKUP(J$5,'RM Prices'!$C$4:$BJ$4,'RM Prices'!$C17:$BJ17),J$6="Domestic",LOOKUP(J$5,'RM Prices'!$C$31:$BJ$31,'RM Prices'!$C44:$BJ44)))</f>
        <v>160</v>
      </c>
      <c r="K58" s="66" cm="1">
        <f t="array" ref="K58">IF(K$5="","",_xlfn.IFS(K$6="Export",LOOKUP(K$5,'RM Prices'!$C$4:$BJ$4,'RM Prices'!$C17:$BJ17),K$6="Domestic",LOOKUP(K$5,'RM Prices'!$C$31:$BJ$31,'RM Prices'!$C44:$BJ44)))</f>
        <v>160</v>
      </c>
      <c r="L58" s="66" cm="1">
        <f t="array" ref="L58">IF(L$5="","",_xlfn.IFS(L$6="Export",LOOKUP(L$5,'RM Prices'!$C$4:$BJ$4,'RM Prices'!$C17:$BJ17),L$6="Domestic",LOOKUP(L$5,'RM Prices'!$C$31:$BJ$31,'RM Prices'!$C44:$BJ44)))</f>
        <v>160</v>
      </c>
      <c r="M58" s="66" cm="1">
        <f t="array" ref="M58">IF(M$5="","",_xlfn.IFS(M$6="Export",LOOKUP(M$5,'RM Prices'!$C$4:$BJ$4,'RM Prices'!$C17:$BJ17),M$6="Domestic",LOOKUP(M$5,'RM Prices'!$C$31:$BJ$31,'RM Prices'!$C44:$BJ44)))</f>
        <v>160</v>
      </c>
      <c r="N58" s="66" cm="1">
        <f t="array" ref="N58">IF(N$5="","",_xlfn.IFS(N$6="Export",LOOKUP(N$5,'RM Prices'!$C$4:$BJ$4,'RM Prices'!$C17:$BJ17),N$6="Domestic",LOOKUP(N$5,'RM Prices'!$C$31:$BJ$31,'RM Prices'!$C44:$BJ44)))</f>
        <v>160</v>
      </c>
      <c r="O58" s="66" cm="1">
        <f t="array" ref="O58">IF(O$5="","",_xlfn.IFS(O$6="Export",LOOKUP(O$5,'RM Prices'!$C$4:$BJ$4,'RM Prices'!$C17:$BJ17),O$6="Domestic",LOOKUP(O$5,'RM Prices'!$C$31:$BJ$31,'RM Prices'!$C44:$BJ44)))</f>
        <v>160</v>
      </c>
      <c r="P58" s="66" cm="1">
        <f t="array" ref="P58">IF(P$5="","",_xlfn.IFS(P$6="Export",LOOKUP(P$5,'RM Prices'!$C$4:$BJ$4,'RM Prices'!$C17:$BJ17),P$6="Domestic",LOOKUP(P$5,'RM Prices'!$C$31:$BJ$31,'RM Prices'!$C44:$BJ44)))</f>
        <v>160</v>
      </c>
      <c r="Q58" s="66" cm="1">
        <f t="array" ref="Q58">IF(Q$5="","",_xlfn.IFS(Q$6="Export",LOOKUP(Q$5,'RM Prices'!$C$4:$BJ$4,'RM Prices'!$C17:$BJ17),Q$6="Domestic",LOOKUP(Q$5,'RM Prices'!$C$31:$BJ$31,'RM Prices'!$C44:$BJ44)))</f>
        <v>160</v>
      </c>
      <c r="R58" s="66" cm="1">
        <f t="array" ref="R58">IF(R$5="","",_xlfn.IFS(R$6="Export",LOOKUP(R$5,'RM Prices'!$C$4:$BJ$4,'RM Prices'!$C17:$BJ17),R$6="Domestic",LOOKUP(R$5,'RM Prices'!$C$31:$BJ$31,'RM Prices'!$C44:$BJ44)))</f>
        <v>160</v>
      </c>
      <c r="S58" s="66" cm="1">
        <f t="array" ref="S58">IF(S$5="","",_xlfn.IFS(S$6="Export",LOOKUP(S$5,'RM Prices'!$C$4:$BJ$4,'RM Prices'!$C17:$BJ17),S$6="Domestic",LOOKUP(S$5,'RM Prices'!$C$31:$BJ$31,'RM Prices'!$C44:$BJ44)))</f>
        <v>160</v>
      </c>
      <c r="T58" s="66" cm="1">
        <f t="array" ref="T58">IF(T$5="","",_xlfn.IFS(T$6="Export",LOOKUP(T$5,'RM Prices'!$C$4:$BJ$4,'RM Prices'!$C17:$BJ17),T$6="Domestic",LOOKUP(T$5,'RM Prices'!$C$31:$BJ$31,'RM Prices'!$C44:$BJ44)))</f>
        <v>160</v>
      </c>
      <c r="U58" s="66" cm="1">
        <f t="array" ref="U58">IF(U$5="","",_xlfn.IFS(U$6="Export",LOOKUP(U$5,'RM Prices'!$C$4:$BJ$4,'RM Prices'!$C17:$BJ17),U$6="Domestic",LOOKUP(U$5,'RM Prices'!$C$31:$BJ$31,'RM Prices'!$C44:$BJ44)))</f>
        <v>160</v>
      </c>
      <c r="V58" s="73" cm="1">
        <f t="array" ref="V58">IF(V$5="","",_xlfn.IFS(V$6="Export",LOOKUP(V$5,'RM Prices'!$C$4:$BJ$4,'RM Prices'!$C17:$BJ17),V$6="Domestic",LOOKUP(V$5,'RM Prices'!$C$31:$BJ$31,'RM Prices'!$C44:$BJ44)))</f>
        <v>160</v>
      </c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73"/>
      <c r="AV58" s="66"/>
      <c r="AW58" s="66"/>
      <c r="AX58" s="34"/>
      <c r="AY58" s="165"/>
    </row>
    <row r="59" spans="2:51" ht="14.25" x14ac:dyDescent="0.45">
      <c r="B59" s="50">
        <v>31</v>
      </c>
      <c r="C59" s="47" t="s">
        <v>246</v>
      </c>
      <c r="D59" s="3" t="s">
        <v>260</v>
      </c>
      <c r="E59" s="66" cm="1">
        <f t="array" ref="E59">IF(E$5="","",_xlfn.IFS(E$6="Export",LOOKUP(E$5,'RM Prices'!$C$4:$BJ$4,'RM Prices'!$C18:$BJ18),E$6="Domestic",LOOKUP(E$5,'RM Prices'!$C$31:$BJ$31,'RM Prices'!$C45:$BJ45)))</f>
        <v>600</v>
      </c>
      <c r="F59" s="66" cm="1">
        <f t="array" ref="F59">IF(F$5="","",_xlfn.IFS(F$6="Export",LOOKUP(F$5,'RM Prices'!$C$4:$BJ$4,'RM Prices'!$C18:$BJ18),F$6="Domestic",LOOKUP(F$5,'RM Prices'!$C$31:$BJ$31,'RM Prices'!$C45:$BJ45)))</f>
        <v>600</v>
      </c>
      <c r="G59" s="66" cm="1">
        <f t="array" ref="G59">IF(G$5="","",_xlfn.IFS(G$6="Export",LOOKUP(G$5,'RM Prices'!$C$4:$BJ$4,'RM Prices'!$C18:$BJ18),G$6="Domestic",LOOKUP(G$5,'RM Prices'!$C$31:$BJ$31,'RM Prices'!$C45:$BJ45)))</f>
        <v>600</v>
      </c>
      <c r="H59" s="66" cm="1">
        <f t="array" ref="H59">IF(H$5="","",_xlfn.IFS(H$6="Export",LOOKUP(H$5,'RM Prices'!$C$4:$BJ$4,'RM Prices'!$C18:$BJ18),H$6="Domestic",LOOKUP(H$5,'RM Prices'!$C$31:$BJ$31,'RM Prices'!$C45:$BJ45)))</f>
        <v>600</v>
      </c>
      <c r="I59" s="66" cm="1">
        <f t="array" ref="I59">IF(I$5="","",_xlfn.IFS(I$6="Export",LOOKUP(I$5,'RM Prices'!$C$4:$BJ$4,'RM Prices'!$C18:$BJ18),I$6="Domestic",LOOKUP(I$5,'RM Prices'!$C$31:$BJ$31,'RM Prices'!$C45:$BJ45)))</f>
        <v>600</v>
      </c>
      <c r="J59" s="66" cm="1">
        <f t="array" ref="J59">IF(J$5="","",_xlfn.IFS(J$6="Export",LOOKUP(J$5,'RM Prices'!$C$4:$BJ$4,'RM Prices'!$C18:$BJ18),J$6="Domestic",LOOKUP(J$5,'RM Prices'!$C$31:$BJ$31,'RM Prices'!$C45:$BJ45)))</f>
        <v>600</v>
      </c>
      <c r="K59" s="66" cm="1">
        <f t="array" ref="K59">IF(K$5="","",_xlfn.IFS(K$6="Export",LOOKUP(K$5,'RM Prices'!$C$4:$BJ$4,'RM Prices'!$C18:$BJ18),K$6="Domestic",LOOKUP(K$5,'RM Prices'!$C$31:$BJ$31,'RM Prices'!$C45:$BJ45)))</f>
        <v>600</v>
      </c>
      <c r="L59" s="66" cm="1">
        <f t="array" ref="L59">IF(L$5="","",_xlfn.IFS(L$6="Export",LOOKUP(L$5,'RM Prices'!$C$4:$BJ$4,'RM Prices'!$C18:$BJ18),L$6="Domestic",LOOKUP(L$5,'RM Prices'!$C$31:$BJ$31,'RM Prices'!$C45:$BJ45)))</f>
        <v>600</v>
      </c>
      <c r="M59" s="66" cm="1">
        <f t="array" ref="M59">IF(M$5="","",_xlfn.IFS(M$6="Export",LOOKUP(M$5,'RM Prices'!$C$4:$BJ$4,'RM Prices'!$C18:$BJ18),M$6="Domestic",LOOKUP(M$5,'RM Prices'!$C$31:$BJ$31,'RM Prices'!$C45:$BJ45)))</f>
        <v>600</v>
      </c>
      <c r="N59" s="66" cm="1">
        <f t="array" ref="N59">IF(N$5="","",_xlfn.IFS(N$6="Export",LOOKUP(N$5,'RM Prices'!$C$4:$BJ$4,'RM Prices'!$C18:$BJ18),N$6="Domestic",LOOKUP(N$5,'RM Prices'!$C$31:$BJ$31,'RM Prices'!$C45:$BJ45)))</f>
        <v>600</v>
      </c>
      <c r="O59" s="66" cm="1">
        <f t="array" ref="O59">IF(O$5="","",_xlfn.IFS(O$6="Export",LOOKUP(O$5,'RM Prices'!$C$4:$BJ$4,'RM Prices'!$C18:$BJ18),O$6="Domestic",LOOKUP(O$5,'RM Prices'!$C$31:$BJ$31,'RM Prices'!$C45:$BJ45)))</f>
        <v>600</v>
      </c>
      <c r="P59" s="66" cm="1">
        <f t="array" ref="P59">IF(P$5="","",_xlfn.IFS(P$6="Export",LOOKUP(P$5,'RM Prices'!$C$4:$BJ$4,'RM Prices'!$C18:$BJ18),P$6="Domestic",LOOKUP(P$5,'RM Prices'!$C$31:$BJ$31,'RM Prices'!$C45:$BJ45)))</f>
        <v>600</v>
      </c>
      <c r="Q59" s="66" cm="1">
        <f t="array" ref="Q59">IF(Q$5="","",_xlfn.IFS(Q$6="Export",LOOKUP(Q$5,'RM Prices'!$C$4:$BJ$4,'RM Prices'!$C18:$BJ18),Q$6="Domestic",LOOKUP(Q$5,'RM Prices'!$C$31:$BJ$31,'RM Prices'!$C45:$BJ45)))</f>
        <v>600</v>
      </c>
      <c r="R59" s="66" cm="1">
        <f t="array" ref="R59">IF(R$5="","",_xlfn.IFS(R$6="Export",LOOKUP(R$5,'RM Prices'!$C$4:$BJ$4,'RM Prices'!$C18:$BJ18),R$6="Domestic",LOOKUP(R$5,'RM Prices'!$C$31:$BJ$31,'RM Prices'!$C45:$BJ45)))</f>
        <v>600</v>
      </c>
      <c r="S59" s="66" cm="1">
        <f t="array" ref="S59">IF(S$5="","",_xlfn.IFS(S$6="Export",LOOKUP(S$5,'RM Prices'!$C$4:$BJ$4,'RM Prices'!$C18:$BJ18),S$6="Domestic",LOOKUP(S$5,'RM Prices'!$C$31:$BJ$31,'RM Prices'!$C45:$BJ45)))</f>
        <v>600</v>
      </c>
      <c r="T59" s="66" cm="1">
        <f t="array" ref="T59">IF(T$5="","",_xlfn.IFS(T$6="Export",LOOKUP(T$5,'RM Prices'!$C$4:$BJ$4,'RM Prices'!$C18:$BJ18),T$6="Domestic",LOOKUP(T$5,'RM Prices'!$C$31:$BJ$31,'RM Prices'!$C45:$BJ45)))</f>
        <v>600</v>
      </c>
      <c r="U59" s="66" cm="1">
        <f t="array" ref="U59">IF(U$5="","",_xlfn.IFS(U$6="Export",LOOKUP(U$5,'RM Prices'!$C$4:$BJ$4,'RM Prices'!$C18:$BJ18),U$6="Domestic",LOOKUP(U$5,'RM Prices'!$C$31:$BJ$31,'RM Prices'!$C45:$BJ45)))</f>
        <v>600</v>
      </c>
      <c r="V59" s="73" cm="1">
        <f t="array" ref="V59">IF(V$5="","",_xlfn.IFS(V$6="Export",LOOKUP(V$5,'RM Prices'!$C$4:$BJ$4,'RM Prices'!$C18:$BJ18),V$6="Domestic",LOOKUP(V$5,'RM Prices'!$C$31:$BJ$31,'RM Prices'!$C45:$BJ45)))</f>
        <v>600</v>
      </c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73"/>
      <c r="AV59" s="66"/>
      <c r="AW59" s="66"/>
      <c r="AX59" s="34"/>
      <c r="AY59" s="165"/>
    </row>
    <row r="60" spans="2:51" ht="14.25" x14ac:dyDescent="0.45">
      <c r="B60" s="50">
        <v>32</v>
      </c>
      <c r="C60" s="47" t="s">
        <v>246</v>
      </c>
      <c r="D60" s="3" t="s">
        <v>261</v>
      </c>
      <c r="E60" s="66" cm="1">
        <f t="array" ref="E60">IF(E$5="","",_xlfn.IFS(E$6="Export",LOOKUP(E$5,'RM Prices'!$C$4:$BJ$4,'RM Prices'!$C19:$BJ19),E$6="Domestic",LOOKUP(E$5,'RM Prices'!$C$31:$BJ$31,'RM Prices'!$C46:$BJ46)))</f>
        <v>150.55619999999999</v>
      </c>
      <c r="F60" s="66" cm="1">
        <f t="array" ref="F60">IF(F$5="","",_xlfn.IFS(F$6="Export",LOOKUP(F$5,'RM Prices'!$C$4:$BJ$4,'RM Prices'!$C19:$BJ19),F$6="Domestic",LOOKUP(F$5,'RM Prices'!$C$31:$BJ$31,'RM Prices'!$C46:$BJ46)))</f>
        <v>150.55619999999999</v>
      </c>
      <c r="G60" s="66" cm="1">
        <f t="array" ref="G60">IF(G$5="","",_xlfn.IFS(G$6="Export",LOOKUP(G$5,'RM Prices'!$C$4:$BJ$4,'RM Prices'!$C19:$BJ19),G$6="Domestic",LOOKUP(G$5,'RM Prices'!$C$31:$BJ$31,'RM Prices'!$C46:$BJ46)))</f>
        <v>150.55619999999999</v>
      </c>
      <c r="H60" s="66" cm="1">
        <f t="array" ref="H60">IF(H$5="","",_xlfn.IFS(H$6="Export",LOOKUP(H$5,'RM Prices'!$C$4:$BJ$4,'RM Prices'!$C19:$BJ19),H$6="Domestic",LOOKUP(H$5,'RM Prices'!$C$31:$BJ$31,'RM Prices'!$C46:$BJ46)))</f>
        <v>150.55619999999999</v>
      </c>
      <c r="I60" s="66" cm="1">
        <f t="array" ref="I60">IF(I$5="","",_xlfn.IFS(I$6="Export",LOOKUP(I$5,'RM Prices'!$C$4:$BJ$4,'RM Prices'!$C19:$BJ19),I$6="Domestic",LOOKUP(I$5,'RM Prices'!$C$31:$BJ$31,'RM Prices'!$C46:$BJ46)))</f>
        <v>150.55619999999999</v>
      </c>
      <c r="J60" s="66" cm="1">
        <f t="array" ref="J60">IF(J$5="","",_xlfn.IFS(J$6="Export",LOOKUP(J$5,'RM Prices'!$C$4:$BJ$4,'RM Prices'!$C19:$BJ19),J$6="Domestic",LOOKUP(J$5,'RM Prices'!$C$31:$BJ$31,'RM Prices'!$C46:$BJ46)))</f>
        <v>150.55619999999999</v>
      </c>
      <c r="K60" s="66" cm="1">
        <f t="array" ref="K60">IF(K$5="","",_xlfn.IFS(K$6="Export",LOOKUP(K$5,'RM Prices'!$C$4:$BJ$4,'RM Prices'!$C19:$BJ19),K$6="Domestic",LOOKUP(K$5,'RM Prices'!$C$31:$BJ$31,'RM Prices'!$C46:$BJ46)))</f>
        <v>150.55619999999999</v>
      </c>
      <c r="L60" s="66" cm="1">
        <f t="array" ref="L60">IF(L$5="","",_xlfn.IFS(L$6="Export",LOOKUP(L$5,'RM Prices'!$C$4:$BJ$4,'RM Prices'!$C19:$BJ19),L$6="Domestic",LOOKUP(L$5,'RM Prices'!$C$31:$BJ$31,'RM Prices'!$C46:$BJ46)))</f>
        <v>150.55619999999999</v>
      </c>
      <c r="M60" s="66" cm="1">
        <f t="array" ref="M60">IF(M$5="","",_xlfn.IFS(M$6="Export",LOOKUP(M$5,'RM Prices'!$C$4:$BJ$4,'RM Prices'!$C19:$BJ19),M$6="Domestic",LOOKUP(M$5,'RM Prices'!$C$31:$BJ$31,'RM Prices'!$C46:$BJ46)))</f>
        <v>150.55619999999999</v>
      </c>
      <c r="N60" s="66" cm="1">
        <f t="array" ref="N60">IF(N$5="","",_xlfn.IFS(N$6="Export",LOOKUP(N$5,'RM Prices'!$C$4:$BJ$4,'RM Prices'!$C19:$BJ19),N$6="Domestic",LOOKUP(N$5,'RM Prices'!$C$31:$BJ$31,'RM Prices'!$C46:$BJ46)))</f>
        <v>150.55619999999999</v>
      </c>
      <c r="O60" s="66" cm="1">
        <f t="array" ref="O60">IF(O$5="","",_xlfn.IFS(O$6="Export",LOOKUP(O$5,'RM Prices'!$C$4:$BJ$4,'RM Prices'!$C19:$BJ19),O$6="Domestic",LOOKUP(O$5,'RM Prices'!$C$31:$BJ$31,'RM Prices'!$C46:$BJ46)))</f>
        <v>150.55619999999999</v>
      </c>
      <c r="P60" s="66" cm="1">
        <f t="array" ref="P60">IF(P$5="","",_xlfn.IFS(P$6="Export",LOOKUP(P$5,'RM Prices'!$C$4:$BJ$4,'RM Prices'!$C19:$BJ19),P$6="Domestic",LOOKUP(P$5,'RM Prices'!$C$31:$BJ$31,'RM Prices'!$C46:$BJ46)))</f>
        <v>150.55619999999999</v>
      </c>
      <c r="Q60" s="66" cm="1">
        <f t="array" ref="Q60">IF(Q$5="","",_xlfn.IFS(Q$6="Export",LOOKUP(Q$5,'RM Prices'!$C$4:$BJ$4,'RM Prices'!$C19:$BJ19),Q$6="Domestic",LOOKUP(Q$5,'RM Prices'!$C$31:$BJ$31,'RM Prices'!$C46:$BJ46)))</f>
        <v>150.55619999999999</v>
      </c>
      <c r="R60" s="66" cm="1">
        <f t="array" ref="R60">IF(R$5="","",_xlfn.IFS(R$6="Export",LOOKUP(R$5,'RM Prices'!$C$4:$BJ$4,'RM Prices'!$C19:$BJ19),R$6="Domestic",LOOKUP(R$5,'RM Prices'!$C$31:$BJ$31,'RM Prices'!$C46:$BJ46)))</f>
        <v>150.55619999999999</v>
      </c>
      <c r="S60" s="66" cm="1">
        <f t="array" ref="S60">IF(S$5="","",_xlfn.IFS(S$6="Export",LOOKUP(S$5,'RM Prices'!$C$4:$BJ$4,'RM Prices'!$C19:$BJ19),S$6="Domestic",LOOKUP(S$5,'RM Prices'!$C$31:$BJ$31,'RM Prices'!$C46:$BJ46)))</f>
        <v>150.55619999999999</v>
      </c>
      <c r="T60" s="66" cm="1">
        <f t="array" ref="T60">IF(T$5="","",_xlfn.IFS(T$6="Export",LOOKUP(T$5,'RM Prices'!$C$4:$BJ$4,'RM Prices'!$C19:$BJ19),T$6="Domestic",LOOKUP(T$5,'RM Prices'!$C$31:$BJ$31,'RM Prices'!$C46:$BJ46)))</f>
        <v>150.55619999999999</v>
      </c>
      <c r="U60" s="66" cm="1">
        <f t="array" ref="U60">IF(U$5="","",_xlfn.IFS(U$6="Export",LOOKUP(U$5,'RM Prices'!$C$4:$BJ$4,'RM Prices'!$C19:$BJ19),U$6="Domestic",LOOKUP(U$5,'RM Prices'!$C$31:$BJ$31,'RM Prices'!$C46:$BJ46)))</f>
        <v>150.55619999999999</v>
      </c>
      <c r="V60" s="73" cm="1">
        <f t="array" ref="V60">IF(V$5="","",_xlfn.IFS(V$6="Export",LOOKUP(V$5,'RM Prices'!$C$4:$BJ$4,'RM Prices'!$C19:$BJ19),V$6="Domestic",LOOKUP(V$5,'RM Prices'!$C$31:$BJ$31,'RM Prices'!$C46:$BJ46)))</f>
        <v>150.55619999999999</v>
      </c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73"/>
      <c r="AV60" s="66"/>
      <c r="AW60" s="66"/>
      <c r="AX60" s="34"/>
      <c r="AY60" s="165"/>
    </row>
    <row r="61" spans="2:51" ht="14.25" x14ac:dyDescent="0.45">
      <c r="B61" s="50"/>
      <c r="C61" s="47" t="s">
        <v>246</v>
      </c>
      <c r="D61" s="3" t="s">
        <v>262</v>
      </c>
      <c r="E61" s="66" cm="1">
        <f t="array" ref="E61">IF(E$5="","",_xlfn.IFS(E$6="Export",LOOKUP(E$5,'RM Prices'!$C$4:$BJ$4,'RM Prices'!$C20:$BJ20),E$6="Domestic",LOOKUP(E$5,'RM Prices'!$C$31:$BJ$31,'RM Prices'!$C47:$BJ47)))</f>
        <v>83</v>
      </c>
      <c r="F61" s="66" cm="1">
        <f t="array" ref="F61">IF(F$5="","",_xlfn.IFS(F$6="Export",LOOKUP(F$5,'RM Prices'!$C$4:$BJ$4,'RM Prices'!$C20:$BJ20),F$6="Domestic",LOOKUP(F$5,'RM Prices'!$C$31:$BJ$31,'RM Prices'!$C47:$BJ47)))</f>
        <v>83</v>
      </c>
      <c r="G61" s="66" cm="1">
        <f t="array" ref="G61">IF(G$5="","",_xlfn.IFS(G$6="Export",LOOKUP(G$5,'RM Prices'!$C$4:$BJ$4,'RM Prices'!$C20:$BJ20),G$6="Domestic",LOOKUP(G$5,'RM Prices'!$C$31:$BJ$31,'RM Prices'!$C47:$BJ47)))</f>
        <v>83</v>
      </c>
      <c r="H61" s="66" cm="1">
        <f t="array" ref="H61">IF(H$5="","",_xlfn.IFS(H$6="Export",LOOKUP(H$5,'RM Prices'!$C$4:$BJ$4,'RM Prices'!$C20:$BJ20),H$6="Domestic",LOOKUP(H$5,'RM Prices'!$C$31:$BJ$31,'RM Prices'!$C47:$BJ47)))</f>
        <v>83</v>
      </c>
      <c r="I61" s="66" cm="1">
        <f t="array" ref="I61">IF(I$5="","",_xlfn.IFS(I$6="Export",LOOKUP(I$5,'RM Prices'!$C$4:$BJ$4,'RM Prices'!$C20:$BJ20),I$6="Domestic",LOOKUP(I$5,'RM Prices'!$C$31:$BJ$31,'RM Prices'!$C47:$BJ47)))</f>
        <v>83</v>
      </c>
      <c r="J61" s="66" cm="1">
        <f t="array" ref="J61">IF(J$5="","",_xlfn.IFS(J$6="Export",LOOKUP(J$5,'RM Prices'!$C$4:$BJ$4,'RM Prices'!$C20:$BJ20),J$6="Domestic",LOOKUP(J$5,'RM Prices'!$C$31:$BJ$31,'RM Prices'!$C47:$BJ47)))</f>
        <v>83</v>
      </c>
      <c r="K61" s="66" cm="1">
        <f t="array" ref="K61">IF(K$5="","",_xlfn.IFS(K$6="Export",LOOKUP(K$5,'RM Prices'!$C$4:$BJ$4,'RM Prices'!$C20:$BJ20),K$6="Domestic",LOOKUP(K$5,'RM Prices'!$C$31:$BJ$31,'RM Prices'!$C47:$BJ47)))</f>
        <v>83</v>
      </c>
      <c r="L61" s="66" cm="1">
        <f t="array" ref="L61">IF(L$5="","",_xlfn.IFS(L$6="Export",LOOKUP(L$5,'RM Prices'!$C$4:$BJ$4,'RM Prices'!$C20:$BJ20),L$6="Domestic",LOOKUP(L$5,'RM Prices'!$C$31:$BJ$31,'RM Prices'!$C47:$BJ47)))</f>
        <v>83</v>
      </c>
      <c r="M61" s="66" cm="1">
        <f t="array" ref="M61">IF(M$5="","",_xlfn.IFS(M$6="Export",LOOKUP(M$5,'RM Prices'!$C$4:$BJ$4,'RM Prices'!$C20:$BJ20),M$6="Domestic",LOOKUP(M$5,'RM Prices'!$C$31:$BJ$31,'RM Prices'!$C47:$BJ47)))</f>
        <v>83</v>
      </c>
      <c r="N61" s="66" cm="1">
        <f t="array" ref="N61">IF(N$5="","",_xlfn.IFS(N$6="Export",LOOKUP(N$5,'RM Prices'!$C$4:$BJ$4,'RM Prices'!$C20:$BJ20),N$6="Domestic",LOOKUP(N$5,'RM Prices'!$C$31:$BJ$31,'RM Prices'!$C47:$BJ47)))</f>
        <v>83</v>
      </c>
      <c r="O61" s="66" cm="1">
        <f t="array" ref="O61">IF(O$5="","",_xlfn.IFS(O$6="Export",LOOKUP(O$5,'RM Prices'!$C$4:$BJ$4,'RM Prices'!$C20:$BJ20),O$6="Domestic",LOOKUP(O$5,'RM Prices'!$C$31:$BJ$31,'RM Prices'!$C47:$BJ47)))</f>
        <v>83</v>
      </c>
      <c r="P61" s="66" cm="1">
        <f t="array" ref="P61">IF(P$5="","",_xlfn.IFS(P$6="Export",LOOKUP(P$5,'RM Prices'!$C$4:$BJ$4,'RM Prices'!$C20:$BJ20),P$6="Domestic",LOOKUP(P$5,'RM Prices'!$C$31:$BJ$31,'RM Prices'!$C47:$BJ47)))</f>
        <v>83</v>
      </c>
      <c r="Q61" s="66" cm="1">
        <f t="array" ref="Q61">IF(Q$5="","",_xlfn.IFS(Q$6="Export",LOOKUP(Q$5,'RM Prices'!$C$4:$BJ$4,'RM Prices'!$C20:$BJ20),Q$6="Domestic",LOOKUP(Q$5,'RM Prices'!$C$31:$BJ$31,'RM Prices'!$C47:$BJ47)))</f>
        <v>83</v>
      </c>
      <c r="R61" s="66" cm="1">
        <f t="array" ref="R61">IF(R$5="","",_xlfn.IFS(R$6="Export",LOOKUP(R$5,'RM Prices'!$C$4:$BJ$4,'RM Prices'!$C20:$BJ20),R$6="Domestic",LOOKUP(R$5,'RM Prices'!$C$31:$BJ$31,'RM Prices'!$C47:$BJ47)))</f>
        <v>83</v>
      </c>
      <c r="S61" s="66" cm="1">
        <f t="array" ref="S61">IF(S$5="","",_xlfn.IFS(S$6="Export",LOOKUP(S$5,'RM Prices'!$C$4:$BJ$4,'RM Prices'!$C20:$BJ20),S$6="Domestic",LOOKUP(S$5,'RM Prices'!$C$31:$BJ$31,'RM Prices'!$C47:$BJ47)))</f>
        <v>83</v>
      </c>
      <c r="T61" s="66" cm="1">
        <f t="array" ref="T61">IF(T$5="","",_xlfn.IFS(T$6="Export",LOOKUP(T$5,'RM Prices'!$C$4:$BJ$4,'RM Prices'!$C20:$BJ20),T$6="Domestic",LOOKUP(T$5,'RM Prices'!$C$31:$BJ$31,'RM Prices'!$C47:$BJ47)))</f>
        <v>83</v>
      </c>
      <c r="U61" s="66" cm="1">
        <f t="array" ref="U61">IF(U$5="","",_xlfn.IFS(U$6="Export",LOOKUP(U$5,'RM Prices'!$C$4:$BJ$4,'RM Prices'!$C20:$BJ20),U$6="Domestic",LOOKUP(U$5,'RM Prices'!$C$31:$BJ$31,'RM Prices'!$C47:$BJ47)))</f>
        <v>83</v>
      </c>
      <c r="V61" s="73" cm="1">
        <f t="array" ref="V61">IF(V$5="","",_xlfn.IFS(V$6="Export",LOOKUP(V$5,'RM Prices'!$C$4:$BJ$4,'RM Prices'!$C20:$BJ20),V$6="Domestic",LOOKUP(V$5,'RM Prices'!$C$31:$BJ$31,'RM Prices'!$C47:$BJ47)))</f>
        <v>83</v>
      </c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73"/>
      <c r="AV61" s="66"/>
      <c r="AW61" s="66"/>
      <c r="AX61" s="34"/>
      <c r="AY61" s="165"/>
    </row>
    <row r="62" spans="2:51" ht="14.25" x14ac:dyDescent="0.45">
      <c r="B62" s="50"/>
      <c r="C62" s="47" t="s">
        <v>246</v>
      </c>
      <c r="D62" s="3" t="s">
        <v>263</v>
      </c>
      <c r="E62" s="66" cm="1">
        <f t="array" ref="E62">IF(E$5="","",_xlfn.IFS(E$6="Export",LOOKUP(E$5,'RM Prices'!$C$4:$BJ$4,'RM Prices'!$C21:$BJ21),E$6="Domestic",LOOKUP(E$5,'RM Prices'!$C$31:$BJ$31,'RM Prices'!$C48:$BJ48)))</f>
        <v>80</v>
      </c>
      <c r="F62" s="66" cm="1">
        <f t="array" ref="F62">IF(F$5="","",_xlfn.IFS(F$6="Export",LOOKUP(F$5,'RM Prices'!$C$4:$BJ$4,'RM Prices'!$C21:$BJ21),F$6="Domestic",LOOKUP(F$5,'RM Prices'!$C$31:$BJ$31,'RM Prices'!$C48:$BJ48)))</f>
        <v>80</v>
      </c>
      <c r="G62" s="66" cm="1">
        <f t="array" ref="G62">IF(G$5="","",_xlfn.IFS(G$6="Export",LOOKUP(G$5,'RM Prices'!$C$4:$BJ$4,'RM Prices'!$C21:$BJ21),G$6="Domestic",LOOKUP(G$5,'RM Prices'!$C$31:$BJ$31,'RM Prices'!$C48:$BJ48)))</f>
        <v>80</v>
      </c>
      <c r="H62" s="66" cm="1">
        <f t="array" ref="H62">IF(H$5="","",_xlfn.IFS(H$6="Export",LOOKUP(H$5,'RM Prices'!$C$4:$BJ$4,'RM Prices'!$C21:$BJ21),H$6="Domestic",LOOKUP(H$5,'RM Prices'!$C$31:$BJ$31,'RM Prices'!$C48:$BJ48)))</f>
        <v>80</v>
      </c>
      <c r="I62" s="66" cm="1">
        <f t="array" ref="I62">IF(I$5="","",_xlfn.IFS(I$6="Export",LOOKUP(I$5,'RM Prices'!$C$4:$BJ$4,'RM Prices'!$C21:$BJ21),I$6="Domestic",LOOKUP(I$5,'RM Prices'!$C$31:$BJ$31,'RM Prices'!$C48:$BJ48)))</f>
        <v>80</v>
      </c>
      <c r="J62" s="66" cm="1">
        <f t="array" ref="J62">IF(J$5="","",_xlfn.IFS(J$6="Export",LOOKUP(J$5,'RM Prices'!$C$4:$BJ$4,'RM Prices'!$C21:$BJ21),J$6="Domestic",LOOKUP(J$5,'RM Prices'!$C$31:$BJ$31,'RM Prices'!$C48:$BJ48)))</f>
        <v>80</v>
      </c>
      <c r="K62" s="66" cm="1">
        <f t="array" ref="K62">IF(K$5="","",_xlfn.IFS(K$6="Export",LOOKUP(K$5,'RM Prices'!$C$4:$BJ$4,'RM Prices'!$C21:$BJ21),K$6="Domestic",LOOKUP(K$5,'RM Prices'!$C$31:$BJ$31,'RM Prices'!$C48:$BJ48)))</f>
        <v>80</v>
      </c>
      <c r="L62" s="66" cm="1">
        <f t="array" ref="L62">IF(L$5="","",_xlfn.IFS(L$6="Export",LOOKUP(L$5,'RM Prices'!$C$4:$BJ$4,'RM Prices'!$C21:$BJ21),L$6="Domestic",LOOKUP(L$5,'RM Prices'!$C$31:$BJ$31,'RM Prices'!$C48:$BJ48)))</f>
        <v>80</v>
      </c>
      <c r="M62" s="66" cm="1">
        <f t="array" ref="M62">IF(M$5="","",_xlfn.IFS(M$6="Export",LOOKUP(M$5,'RM Prices'!$C$4:$BJ$4,'RM Prices'!$C21:$BJ21),M$6="Domestic",LOOKUP(M$5,'RM Prices'!$C$31:$BJ$31,'RM Prices'!$C48:$BJ48)))</f>
        <v>80</v>
      </c>
      <c r="N62" s="66" cm="1">
        <f t="array" ref="N62">IF(N$5="","",_xlfn.IFS(N$6="Export",LOOKUP(N$5,'RM Prices'!$C$4:$BJ$4,'RM Prices'!$C21:$BJ21),N$6="Domestic",LOOKUP(N$5,'RM Prices'!$C$31:$BJ$31,'RM Prices'!$C48:$BJ48)))</f>
        <v>80</v>
      </c>
      <c r="O62" s="66" cm="1">
        <f t="array" ref="O62">IF(O$5="","",_xlfn.IFS(O$6="Export",LOOKUP(O$5,'RM Prices'!$C$4:$BJ$4,'RM Prices'!$C21:$BJ21),O$6="Domestic",LOOKUP(O$5,'RM Prices'!$C$31:$BJ$31,'RM Prices'!$C48:$BJ48)))</f>
        <v>80</v>
      </c>
      <c r="P62" s="66" cm="1">
        <f t="array" ref="P62">IF(P$5="","",_xlfn.IFS(P$6="Export",LOOKUP(P$5,'RM Prices'!$C$4:$BJ$4,'RM Prices'!$C21:$BJ21),P$6="Domestic",LOOKUP(P$5,'RM Prices'!$C$31:$BJ$31,'RM Prices'!$C48:$BJ48)))</f>
        <v>80</v>
      </c>
      <c r="Q62" s="66" cm="1">
        <f t="array" ref="Q62">IF(Q$5="","",_xlfn.IFS(Q$6="Export",LOOKUP(Q$5,'RM Prices'!$C$4:$BJ$4,'RM Prices'!$C21:$BJ21),Q$6="Domestic",LOOKUP(Q$5,'RM Prices'!$C$31:$BJ$31,'RM Prices'!$C48:$BJ48)))</f>
        <v>80</v>
      </c>
      <c r="R62" s="66" cm="1">
        <f t="array" ref="R62">IF(R$5="","",_xlfn.IFS(R$6="Export",LOOKUP(R$5,'RM Prices'!$C$4:$BJ$4,'RM Prices'!$C21:$BJ21),R$6="Domestic",LOOKUP(R$5,'RM Prices'!$C$31:$BJ$31,'RM Prices'!$C48:$BJ48)))</f>
        <v>80</v>
      </c>
      <c r="S62" s="66" cm="1">
        <f t="array" ref="S62">IF(S$5="","",_xlfn.IFS(S$6="Export",LOOKUP(S$5,'RM Prices'!$C$4:$BJ$4,'RM Prices'!$C21:$BJ21),S$6="Domestic",LOOKUP(S$5,'RM Prices'!$C$31:$BJ$31,'RM Prices'!$C48:$BJ48)))</f>
        <v>80</v>
      </c>
      <c r="T62" s="66" cm="1">
        <f t="array" ref="T62">IF(T$5="","",_xlfn.IFS(T$6="Export",LOOKUP(T$5,'RM Prices'!$C$4:$BJ$4,'RM Prices'!$C21:$BJ21),T$6="Domestic",LOOKUP(T$5,'RM Prices'!$C$31:$BJ$31,'RM Prices'!$C48:$BJ48)))</f>
        <v>80</v>
      </c>
      <c r="U62" s="66" cm="1">
        <f t="array" ref="U62">IF(U$5="","",_xlfn.IFS(U$6="Export",LOOKUP(U$5,'RM Prices'!$C$4:$BJ$4,'RM Prices'!$C21:$BJ21),U$6="Domestic",LOOKUP(U$5,'RM Prices'!$C$31:$BJ$31,'RM Prices'!$C48:$BJ48)))</f>
        <v>80</v>
      </c>
      <c r="V62" s="73" cm="1">
        <f t="array" ref="V62">IF(V$5="","",_xlfn.IFS(V$6="Export",LOOKUP(V$5,'RM Prices'!$C$4:$BJ$4,'RM Prices'!$C21:$BJ21),V$6="Domestic",LOOKUP(V$5,'RM Prices'!$C$31:$BJ$31,'RM Prices'!$C48:$BJ48)))</f>
        <v>80</v>
      </c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73"/>
      <c r="AV62" s="66"/>
      <c r="AW62" s="66"/>
      <c r="AX62" s="34"/>
      <c r="AY62" s="165"/>
    </row>
    <row r="63" spans="2:51" ht="14.25" x14ac:dyDescent="0.45">
      <c r="B63" s="50">
        <v>33</v>
      </c>
      <c r="C63" s="47" t="s">
        <v>246</v>
      </c>
      <c r="D63" s="3" t="s">
        <v>264</v>
      </c>
      <c r="E63" s="66" cm="1">
        <f t="array" ref="E63">IF(E$5="","",_xlfn.IFS(E$6="Export",LOOKUP(E$5,'RM Prices'!$C$4:$BJ$4,'RM Prices'!$C22:$BJ22),E$6="Domestic",LOOKUP(E$5,'RM Prices'!$C$31:$BJ$31,'RM Prices'!$C49:$BJ49)))</f>
        <v>230</v>
      </c>
      <c r="F63" s="66" cm="1">
        <f t="array" ref="F63">IF(F$5="","",_xlfn.IFS(F$6="Export",LOOKUP(F$5,'RM Prices'!$C$4:$BJ$4,'RM Prices'!$C22:$BJ22),F$6="Domestic",LOOKUP(F$5,'RM Prices'!$C$31:$BJ$31,'RM Prices'!$C49:$BJ49)))</f>
        <v>230</v>
      </c>
      <c r="G63" s="66" cm="1">
        <f t="array" ref="G63">IF(G$5="","",_xlfn.IFS(G$6="Export",LOOKUP(G$5,'RM Prices'!$C$4:$BJ$4,'RM Prices'!$C22:$BJ22),G$6="Domestic",LOOKUP(G$5,'RM Prices'!$C$31:$BJ$31,'RM Prices'!$C49:$BJ49)))</f>
        <v>230</v>
      </c>
      <c r="H63" s="66" cm="1">
        <f t="array" ref="H63">IF(H$5="","",_xlfn.IFS(H$6="Export",LOOKUP(H$5,'RM Prices'!$C$4:$BJ$4,'RM Prices'!$C22:$BJ22),H$6="Domestic",LOOKUP(H$5,'RM Prices'!$C$31:$BJ$31,'RM Prices'!$C49:$BJ49)))</f>
        <v>230</v>
      </c>
      <c r="I63" s="66" cm="1">
        <f t="array" ref="I63">IF(I$5="","",_xlfn.IFS(I$6="Export",LOOKUP(I$5,'RM Prices'!$C$4:$BJ$4,'RM Prices'!$C22:$BJ22),I$6="Domestic",LOOKUP(I$5,'RM Prices'!$C$31:$BJ$31,'RM Prices'!$C49:$BJ49)))</f>
        <v>230</v>
      </c>
      <c r="J63" s="66" cm="1">
        <f t="array" ref="J63">IF(J$5="","",_xlfn.IFS(J$6="Export",LOOKUP(J$5,'RM Prices'!$C$4:$BJ$4,'RM Prices'!$C22:$BJ22),J$6="Domestic",LOOKUP(J$5,'RM Prices'!$C$31:$BJ$31,'RM Prices'!$C49:$BJ49)))</f>
        <v>230</v>
      </c>
      <c r="K63" s="66" cm="1">
        <f t="array" ref="K63">IF(K$5="","",_xlfn.IFS(K$6="Export",LOOKUP(K$5,'RM Prices'!$C$4:$BJ$4,'RM Prices'!$C22:$BJ22),K$6="Domestic",LOOKUP(K$5,'RM Prices'!$C$31:$BJ$31,'RM Prices'!$C49:$BJ49)))</f>
        <v>230</v>
      </c>
      <c r="L63" s="66" cm="1">
        <f t="array" ref="L63">IF(L$5="","",_xlfn.IFS(L$6="Export",LOOKUP(L$5,'RM Prices'!$C$4:$BJ$4,'RM Prices'!$C22:$BJ22),L$6="Domestic",LOOKUP(L$5,'RM Prices'!$C$31:$BJ$31,'RM Prices'!$C49:$BJ49)))</f>
        <v>230</v>
      </c>
      <c r="M63" s="66" cm="1">
        <f t="array" ref="M63">IF(M$5="","",_xlfn.IFS(M$6="Export",LOOKUP(M$5,'RM Prices'!$C$4:$BJ$4,'RM Prices'!$C22:$BJ22),M$6="Domestic",LOOKUP(M$5,'RM Prices'!$C$31:$BJ$31,'RM Prices'!$C49:$BJ49)))</f>
        <v>230</v>
      </c>
      <c r="N63" s="66" cm="1">
        <f t="array" ref="N63">IF(N$5="","",_xlfn.IFS(N$6="Export",LOOKUP(N$5,'RM Prices'!$C$4:$BJ$4,'RM Prices'!$C22:$BJ22),N$6="Domestic",LOOKUP(N$5,'RM Prices'!$C$31:$BJ$31,'RM Prices'!$C49:$BJ49)))</f>
        <v>230</v>
      </c>
      <c r="O63" s="66" cm="1">
        <f t="array" ref="O63">IF(O$5="","",_xlfn.IFS(O$6="Export",LOOKUP(O$5,'RM Prices'!$C$4:$BJ$4,'RM Prices'!$C22:$BJ22),O$6="Domestic",LOOKUP(O$5,'RM Prices'!$C$31:$BJ$31,'RM Prices'!$C49:$BJ49)))</f>
        <v>230</v>
      </c>
      <c r="P63" s="66" cm="1">
        <f t="array" ref="P63">IF(P$5="","",_xlfn.IFS(P$6="Export",LOOKUP(P$5,'RM Prices'!$C$4:$BJ$4,'RM Prices'!$C22:$BJ22),P$6="Domestic",LOOKUP(P$5,'RM Prices'!$C$31:$BJ$31,'RM Prices'!$C49:$BJ49)))</f>
        <v>230</v>
      </c>
      <c r="Q63" s="66" cm="1">
        <f t="array" ref="Q63">IF(Q$5="","",_xlfn.IFS(Q$6="Export",LOOKUP(Q$5,'RM Prices'!$C$4:$BJ$4,'RM Prices'!$C22:$BJ22),Q$6="Domestic",LOOKUP(Q$5,'RM Prices'!$C$31:$BJ$31,'RM Prices'!$C49:$BJ49)))</f>
        <v>230</v>
      </c>
      <c r="R63" s="66" cm="1">
        <f t="array" ref="R63">IF(R$5="","",_xlfn.IFS(R$6="Export",LOOKUP(R$5,'RM Prices'!$C$4:$BJ$4,'RM Prices'!$C22:$BJ22),R$6="Domestic",LOOKUP(R$5,'RM Prices'!$C$31:$BJ$31,'RM Prices'!$C49:$BJ49)))</f>
        <v>230</v>
      </c>
      <c r="S63" s="66" cm="1">
        <f t="array" ref="S63">IF(S$5="","",_xlfn.IFS(S$6="Export",LOOKUP(S$5,'RM Prices'!$C$4:$BJ$4,'RM Prices'!$C22:$BJ22),S$6="Domestic",LOOKUP(S$5,'RM Prices'!$C$31:$BJ$31,'RM Prices'!$C49:$BJ49)))</f>
        <v>230</v>
      </c>
      <c r="T63" s="66" cm="1">
        <f t="array" ref="T63">IF(T$5="","",_xlfn.IFS(T$6="Export",LOOKUP(T$5,'RM Prices'!$C$4:$BJ$4,'RM Prices'!$C22:$BJ22),T$6="Domestic",LOOKUP(T$5,'RM Prices'!$C$31:$BJ$31,'RM Prices'!$C49:$BJ49)))</f>
        <v>230</v>
      </c>
      <c r="U63" s="66" cm="1">
        <f t="array" ref="U63">IF(U$5="","",_xlfn.IFS(U$6="Export",LOOKUP(U$5,'RM Prices'!$C$4:$BJ$4,'RM Prices'!$C22:$BJ22),U$6="Domestic",LOOKUP(U$5,'RM Prices'!$C$31:$BJ$31,'RM Prices'!$C49:$BJ49)))</f>
        <v>230</v>
      </c>
      <c r="V63" s="73" cm="1">
        <f t="array" ref="V63">IF(V$5="","",_xlfn.IFS(V$6="Export",LOOKUP(V$5,'RM Prices'!$C$4:$BJ$4,'RM Prices'!$C22:$BJ22),V$6="Domestic",LOOKUP(V$5,'RM Prices'!$C$31:$BJ$31,'RM Prices'!$C49:$BJ49)))</f>
        <v>230</v>
      </c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73"/>
      <c r="AV63" s="66"/>
      <c r="AW63" s="66"/>
      <c r="AX63" s="34"/>
      <c r="AY63" s="165"/>
    </row>
    <row r="64" spans="2:51" ht="14.25" x14ac:dyDescent="0.45">
      <c r="B64" s="50">
        <v>34</v>
      </c>
      <c r="C64" s="47" t="s">
        <v>246</v>
      </c>
      <c r="D64" s="3" t="s">
        <v>265</v>
      </c>
      <c r="E64" s="66" cm="1">
        <f t="array" ref="E64">IF(E$5="","",_xlfn.IFS(E$6="Export",LOOKUP(E$5,'RM Prices'!$C$4:$BJ$4,'RM Prices'!$C23:$BJ23),E$6="Domestic",LOOKUP(E$5,'RM Prices'!$C$31:$BJ$31,'RM Prices'!$C50:$BJ50)))</f>
        <v>250</v>
      </c>
      <c r="F64" s="66" cm="1">
        <f t="array" ref="F64">IF(F$5="","",_xlfn.IFS(F$6="Export",LOOKUP(F$5,'RM Prices'!$C$4:$BJ$4,'RM Prices'!$C23:$BJ23),F$6="Domestic",LOOKUP(F$5,'RM Prices'!$C$31:$BJ$31,'RM Prices'!$C50:$BJ50)))</f>
        <v>250</v>
      </c>
      <c r="G64" s="66" cm="1">
        <f t="array" ref="G64">IF(G$5="","",_xlfn.IFS(G$6="Export",LOOKUP(G$5,'RM Prices'!$C$4:$BJ$4,'RM Prices'!$C23:$BJ23),G$6="Domestic",LOOKUP(G$5,'RM Prices'!$C$31:$BJ$31,'RM Prices'!$C50:$BJ50)))</f>
        <v>250</v>
      </c>
      <c r="H64" s="66" cm="1">
        <f t="array" ref="H64">IF(H$5="","",_xlfn.IFS(H$6="Export",LOOKUP(H$5,'RM Prices'!$C$4:$BJ$4,'RM Prices'!$C23:$BJ23),H$6="Domestic",LOOKUP(H$5,'RM Prices'!$C$31:$BJ$31,'RM Prices'!$C50:$BJ50)))</f>
        <v>250</v>
      </c>
      <c r="I64" s="66" cm="1">
        <f t="array" ref="I64">IF(I$5="","",_xlfn.IFS(I$6="Export",LOOKUP(I$5,'RM Prices'!$C$4:$BJ$4,'RM Prices'!$C23:$BJ23),I$6="Domestic",LOOKUP(I$5,'RM Prices'!$C$31:$BJ$31,'RM Prices'!$C50:$BJ50)))</f>
        <v>250</v>
      </c>
      <c r="J64" s="66" cm="1">
        <f t="array" ref="J64">IF(J$5="","",_xlfn.IFS(J$6="Export",LOOKUP(J$5,'RM Prices'!$C$4:$BJ$4,'RM Prices'!$C23:$BJ23),J$6="Domestic",LOOKUP(J$5,'RM Prices'!$C$31:$BJ$31,'RM Prices'!$C50:$BJ50)))</f>
        <v>250</v>
      </c>
      <c r="K64" s="66" cm="1">
        <f t="array" ref="K64">IF(K$5="","",_xlfn.IFS(K$6="Export",LOOKUP(K$5,'RM Prices'!$C$4:$BJ$4,'RM Prices'!$C23:$BJ23),K$6="Domestic",LOOKUP(K$5,'RM Prices'!$C$31:$BJ$31,'RM Prices'!$C50:$BJ50)))</f>
        <v>250</v>
      </c>
      <c r="L64" s="66" cm="1">
        <f t="array" ref="L64">IF(L$5="","",_xlfn.IFS(L$6="Export",LOOKUP(L$5,'RM Prices'!$C$4:$BJ$4,'RM Prices'!$C23:$BJ23),L$6="Domestic",LOOKUP(L$5,'RM Prices'!$C$31:$BJ$31,'RM Prices'!$C50:$BJ50)))</f>
        <v>250</v>
      </c>
      <c r="M64" s="66" cm="1">
        <f t="array" ref="M64">IF(M$5="","",_xlfn.IFS(M$6="Export",LOOKUP(M$5,'RM Prices'!$C$4:$BJ$4,'RM Prices'!$C23:$BJ23),M$6="Domestic",LOOKUP(M$5,'RM Prices'!$C$31:$BJ$31,'RM Prices'!$C50:$BJ50)))</f>
        <v>250</v>
      </c>
      <c r="N64" s="66" cm="1">
        <f t="array" ref="N64">IF(N$5="","",_xlfn.IFS(N$6="Export",LOOKUP(N$5,'RM Prices'!$C$4:$BJ$4,'RM Prices'!$C23:$BJ23),N$6="Domestic",LOOKUP(N$5,'RM Prices'!$C$31:$BJ$31,'RM Prices'!$C50:$BJ50)))</f>
        <v>250</v>
      </c>
      <c r="O64" s="66" cm="1">
        <f t="array" ref="O64">IF(O$5="","",_xlfn.IFS(O$6="Export",LOOKUP(O$5,'RM Prices'!$C$4:$BJ$4,'RM Prices'!$C23:$BJ23),O$6="Domestic",LOOKUP(O$5,'RM Prices'!$C$31:$BJ$31,'RM Prices'!$C50:$BJ50)))</f>
        <v>250</v>
      </c>
      <c r="P64" s="66" cm="1">
        <f t="array" ref="P64">IF(P$5="","",_xlfn.IFS(P$6="Export",LOOKUP(P$5,'RM Prices'!$C$4:$BJ$4,'RM Prices'!$C23:$BJ23),P$6="Domestic",LOOKUP(P$5,'RM Prices'!$C$31:$BJ$31,'RM Prices'!$C50:$BJ50)))</f>
        <v>250</v>
      </c>
      <c r="Q64" s="66" cm="1">
        <f t="array" ref="Q64">IF(Q$5="","",_xlfn.IFS(Q$6="Export",LOOKUP(Q$5,'RM Prices'!$C$4:$BJ$4,'RM Prices'!$C23:$BJ23),Q$6="Domestic",LOOKUP(Q$5,'RM Prices'!$C$31:$BJ$31,'RM Prices'!$C50:$BJ50)))</f>
        <v>250</v>
      </c>
      <c r="R64" s="66" cm="1">
        <f t="array" ref="R64">IF(R$5="","",_xlfn.IFS(R$6="Export",LOOKUP(R$5,'RM Prices'!$C$4:$BJ$4,'RM Prices'!$C23:$BJ23),R$6="Domestic",LOOKUP(R$5,'RM Prices'!$C$31:$BJ$31,'RM Prices'!$C50:$BJ50)))</f>
        <v>250</v>
      </c>
      <c r="S64" s="66" cm="1">
        <f t="array" ref="S64">IF(S$5="","",_xlfn.IFS(S$6="Export",LOOKUP(S$5,'RM Prices'!$C$4:$BJ$4,'RM Prices'!$C23:$BJ23),S$6="Domestic",LOOKUP(S$5,'RM Prices'!$C$31:$BJ$31,'RM Prices'!$C50:$BJ50)))</f>
        <v>250</v>
      </c>
      <c r="T64" s="66" cm="1">
        <f t="array" ref="T64">IF(T$5="","",_xlfn.IFS(T$6="Export",LOOKUP(T$5,'RM Prices'!$C$4:$BJ$4,'RM Prices'!$C23:$BJ23),T$6="Domestic",LOOKUP(T$5,'RM Prices'!$C$31:$BJ$31,'RM Prices'!$C50:$BJ50)))</f>
        <v>250</v>
      </c>
      <c r="U64" s="66" cm="1">
        <f t="array" ref="U64">IF(U$5="","",_xlfn.IFS(U$6="Export",LOOKUP(U$5,'RM Prices'!$C$4:$BJ$4,'RM Prices'!$C23:$BJ23),U$6="Domestic",LOOKUP(U$5,'RM Prices'!$C$31:$BJ$31,'RM Prices'!$C50:$BJ50)))</f>
        <v>250</v>
      </c>
      <c r="V64" s="73" cm="1">
        <f t="array" ref="V64">IF(V$5="","",_xlfn.IFS(V$6="Export",LOOKUP(V$5,'RM Prices'!$C$4:$BJ$4,'RM Prices'!$C23:$BJ23),V$6="Domestic",LOOKUP(V$5,'RM Prices'!$C$31:$BJ$31,'RM Prices'!$C50:$BJ50)))</f>
        <v>250</v>
      </c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73"/>
      <c r="AV64" s="66"/>
      <c r="AW64" s="66"/>
      <c r="AX64" s="34"/>
      <c r="AY64" s="165"/>
    </row>
    <row r="65" spans="2:51" ht="14.25" x14ac:dyDescent="0.45">
      <c r="B65" s="50">
        <v>35</v>
      </c>
      <c r="C65" s="47" t="s">
        <v>246</v>
      </c>
      <c r="D65" s="3" t="s">
        <v>266</v>
      </c>
      <c r="E65" s="66" cm="1">
        <f t="array" ref="E65">IF(E$5="","",_xlfn.IFS(E$6="Export",LOOKUP(E$5,'RM Prices'!$C$4:$BJ$4,'RM Prices'!$C24:$BJ24),E$6="Domestic",LOOKUP(E$5,'RM Prices'!$C$31:$BJ$31,'RM Prices'!$C51:$BJ51)))</f>
        <v>250</v>
      </c>
      <c r="F65" s="66" cm="1">
        <f t="array" ref="F65">IF(F$5="","",_xlfn.IFS(F$6="Export",LOOKUP(F$5,'RM Prices'!$C$4:$BJ$4,'RM Prices'!$C24:$BJ24),F$6="Domestic",LOOKUP(F$5,'RM Prices'!$C$31:$BJ$31,'RM Prices'!$C51:$BJ51)))</f>
        <v>250</v>
      </c>
      <c r="G65" s="66" cm="1">
        <f t="array" ref="G65">IF(G$5="","",_xlfn.IFS(G$6="Export",LOOKUP(G$5,'RM Prices'!$C$4:$BJ$4,'RM Prices'!$C24:$BJ24),G$6="Domestic",LOOKUP(G$5,'RM Prices'!$C$31:$BJ$31,'RM Prices'!$C51:$BJ51)))</f>
        <v>250</v>
      </c>
      <c r="H65" s="66" cm="1">
        <f t="array" ref="H65">IF(H$5="","",_xlfn.IFS(H$6="Export",LOOKUP(H$5,'RM Prices'!$C$4:$BJ$4,'RM Prices'!$C24:$BJ24),H$6="Domestic",LOOKUP(H$5,'RM Prices'!$C$31:$BJ$31,'RM Prices'!$C51:$BJ51)))</f>
        <v>250</v>
      </c>
      <c r="I65" s="66" cm="1">
        <f t="array" ref="I65">IF(I$5="","",_xlfn.IFS(I$6="Export",LOOKUP(I$5,'RM Prices'!$C$4:$BJ$4,'RM Prices'!$C24:$BJ24),I$6="Domestic",LOOKUP(I$5,'RM Prices'!$C$31:$BJ$31,'RM Prices'!$C51:$BJ51)))</f>
        <v>250</v>
      </c>
      <c r="J65" s="66" cm="1">
        <f t="array" ref="J65">IF(J$5="","",_xlfn.IFS(J$6="Export",LOOKUP(J$5,'RM Prices'!$C$4:$BJ$4,'RM Prices'!$C24:$BJ24),J$6="Domestic",LOOKUP(J$5,'RM Prices'!$C$31:$BJ$31,'RM Prices'!$C51:$BJ51)))</f>
        <v>250</v>
      </c>
      <c r="K65" s="66" cm="1">
        <f t="array" ref="K65">IF(K$5="","",_xlfn.IFS(K$6="Export",LOOKUP(K$5,'RM Prices'!$C$4:$BJ$4,'RM Prices'!$C24:$BJ24),K$6="Domestic",LOOKUP(K$5,'RM Prices'!$C$31:$BJ$31,'RM Prices'!$C51:$BJ51)))</f>
        <v>250</v>
      </c>
      <c r="L65" s="66" cm="1">
        <f t="array" ref="L65">IF(L$5="","",_xlfn.IFS(L$6="Export",LOOKUP(L$5,'RM Prices'!$C$4:$BJ$4,'RM Prices'!$C24:$BJ24),L$6="Domestic",LOOKUP(L$5,'RM Prices'!$C$31:$BJ$31,'RM Prices'!$C51:$BJ51)))</f>
        <v>250</v>
      </c>
      <c r="M65" s="66" cm="1">
        <f t="array" ref="M65">IF(M$5="","",_xlfn.IFS(M$6="Export",LOOKUP(M$5,'RM Prices'!$C$4:$BJ$4,'RM Prices'!$C24:$BJ24),M$6="Domestic",LOOKUP(M$5,'RM Prices'!$C$31:$BJ$31,'RM Prices'!$C51:$BJ51)))</f>
        <v>250</v>
      </c>
      <c r="N65" s="66" cm="1">
        <f t="array" ref="N65">IF(N$5="","",_xlfn.IFS(N$6="Export",LOOKUP(N$5,'RM Prices'!$C$4:$BJ$4,'RM Prices'!$C24:$BJ24),N$6="Domestic",LOOKUP(N$5,'RM Prices'!$C$31:$BJ$31,'RM Prices'!$C51:$BJ51)))</f>
        <v>250</v>
      </c>
      <c r="O65" s="66" cm="1">
        <f t="array" ref="O65">IF(O$5="","",_xlfn.IFS(O$6="Export",LOOKUP(O$5,'RM Prices'!$C$4:$BJ$4,'RM Prices'!$C24:$BJ24),O$6="Domestic",LOOKUP(O$5,'RM Prices'!$C$31:$BJ$31,'RM Prices'!$C51:$BJ51)))</f>
        <v>250</v>
      </c>
      <c r="P65" s="66" cm="1">
        <f t="array" ref="P65">IF(P$5="","",_xlfn.IFS(P$6="Export",LOOKUP(P$5,'RM Prices'!$C$4:$BJ$4,'RM Prices'!$C24:$BJ24),P$6="Domestic",LOOKUP(P$5,'RM Prices'!$C$31:$BJ$31,'RM Prices'!$C51:$BJ51)))</f>
        <v>250</v>
      </c>
      <c r="Q65" s="66" cm="1">
        <f t="array" ref="Q65">IF(Q$5="","",_xlfn.IFS(Q$6="Export",LOOKUP(Q$5,'RM Prices'!$C$4:$BJ$4,'RM Prices'!$C24:$BJ24),Q$6="Domestic",LOOKUP(Q$5,'RM Prices'!$C$31:$BJ$31,'RM Prices'!$C51:$BJ51)))</f>
        <v>250</v>
      </c>
      <c r="R65" s="66" cm="1">
        <f t="array" ref="R65">IF(R$5="","",_xlfn.IFS(R$6="Export",LOOKUP(R$5,'RM Prices'!$C$4:$BJ$4,'RM Prices'!$C24:$BJ24),R$6="Domestic",LOOKUP(R$5,'RM Prices'!$C$31:$BJ$31,'RM Prices'!$C51:$BJ51)))</f>
        <v>250</v>
      </c>
      <c r="S65" s="66" cm="1">
        <f t="array" ref="S65">IF(S$5="","",_xlfn.IFS(S$6="Export",LOOKUP(S$5,'RM Prices'!$C$4:$BJ$4,'RM Prices'!$C24:$BJ24),S$6="Domestic",LOOKUP(S$5,'RM Prices'!$C$31:$BJ$31,'RM Prices'!$C51:$BJ51)))</f>
        <v>250</v>
      </c>
      <c r="T65" s="66" cm="1">
        <f t="array" ref="T65">IF(T$5="","",_xlfn.IFS(T$6="Export",LOOKUP(T$5,'RM Prices'!$C$4:$BJ$4,'RM Prices'!$C24:$BJ24),T$6="Domestic",LOOKUP(T$5,'RM Prices'!$C$31:$BJ$31,'RM Prices'!$C51:$BJ51)))</f>
        <v>250</v>
      </c>
      <c r="U65" s="66" cm="1">
        <f t="array" ref="U65">IF(U$5="","",_xlfn.IFS(U$6="Export",LOOKUP(U$5,'RM Prices'!$C$4:$BJ$4,'RM Prices'!$C24:$BJ24),U$6="Domestic",LOOKUP(U$5,'RM Prices'!$C$31:$BJ$31,'RM Prices'!$C51:$BJ51)))</f>
        <v>250</v>
      </c>
      <c r="V65" s="73" cm="1">
        <f t="array" ref="V65">IF(V$5="","",_xlfn.IFS(V$6="Export",LOOKUP(V$5,'RM Prices'!$C$4:$BJ$4,'RM Prices'!$C24:$BJ24),V$6="Domestic",LOOKUP(V$5,'RM Prices'!$C$31:$BJ$31,'RM Prices'!$C51:$BJ51)))</f>
        <v>250</v>
      </c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73"/>
      <c r="AV65" s="66"/>
      <c r="AW65" s="66"/>
      <c r="AX65" s="34"/>
      <c r="AY65" s="165"/>
    </row>
    <row r="66" spans="2:51" ht="14.25" x14ac:dyDescent="0.45">
      <c r="B66" s="50">
        <v>36</v>
      </c>
      <c r="C66" s="47" t="s">
        <v>246</v>
      </c>
      <c r="D66" s="3" t="s">
        <v>267</v>
      </c>
      <c r="E66" s="66" cm="1">
        <f t="array" ref="E66">IF(E$5="","",_xlfn.IFS(E$6="Export",LOOKUP(E$5,'RM Prices'!$C$4:$BJ$4,'RM Prices'!$C25:$BJ25),E$6="Domestic",LOOKUP(E$5,'RM Prices'!$C$31:$BJ$31,'RM Prices'!$C52:$BJ52)))</f>
        <v>320</v>
      </c>
      <c r="F66" s="66" cm="1">
        <f t="array" ref="F66">IF(F$5="","",_xlfn.IFS(F$6="Export",LOOKUP(F$5,'RM Prices'!$C$4:$BJ$4,'RM Prices'!$C25:$BJ25),F$6="Domestic",LOOKUP(F$5,'RM Prices'!$C$31:$BJ$31,'RM Prices'!$C52:$BJ52)))</f>
        <v>320</v>
      </c>
      <c r="G66" s="66" cm="1">
        <f t="array" ref="G66">IF(G$5="","",_xlfn.IFS(G$6="Export",LOOKUP(G$5,'RM Prices'!$C$4:$BJ$4,'RM Prices'!$C25:$BJ25),G$6="Domestic",LOOKUP(G$5,'RM Prices'!$C$31:$BJ$31,'RM Prices'!$C52:$BJ52)))</f>
        <v>320</v>
      </c>
      <c r="H66" s="66" cm="1">
        <f t="array" ref="H66">IF(H$5="","",_xlfn.IFS(H$6="Export",LOOKUP(H$5,'RM Prices'!$C$4:$BJ$4,'RM Prices'!$C25:$BJ25),H$6="Domestic",LOOKUP(H$5,'RM Prices'!$C$31:$BJ$31,'RM Prices'!$C52:$BJ52)))</f>
        <v>320</v>
      </c>
      <c r="I66" s="66" cm="1">
        <f t="array" ref="I66">IF(I$5="","",_xlfn.IFS(I$6="Export",LOOKUP(I$5,'RM Prices'!$C$4:$BJ$4,'RM Prices'!$C25:$BJ25),I$6="Domestic",LOOKUP(I$5,'RM Prices'!$C$31:$BJ$31,'RM Prices'!$C52:$BJ52)))</f>
        <v>320</v>
      </c>
      <c r="J66" s="66" cm="1">
        <f t="array" ref="J66">IF(J$5="","",_xlfn.IFS(J$6="Export",LOOKUP(J$5,'RM Prices'!$C$4:$BJ$4,'RM Prices'!$C25:$BJ25),J$6="Domestic",LOOKUP(J$5,'RM Prices'!$C$31:$BJ$31,'RM Prices'!$C52:$BJ52)))</f>
        <v>320</v>
      </c>
      <c r="K66" s="66" cm="1">
        <f t="array" ref="K66">IF(K$5="","",_xlfn.IFS(K$6="Export",LOOKUP(K$5,'RM Prices'!$C$4:$BJ$4,'RM Prices'!$C25:$BJ25),K$6="Domestic",LOOKUP(K$5,'RM Prices'!$C$31:$BJ$31,'RM Prices'!$C52:$BJ52)))</f>
        <v>320</v>
      </c>
      <c r="L66" s="66" cm="1">
        <f t="array" ref="L66">IF(L$5="","",_xlfn.IFS(L$6="Export",LOOKUP(L$5,'RM Prices'!$C$4:$BJ$4,'RM Prices'!$C25:$BJ25),L$6="Domestic",LOOKUP(L$5,'RM Prices'!$C$31:$BJ$31,'RM Prices'!$C52:$BJ52)))</f>
        <v>320</v>
      </c>
      <c r="M66" s="66" cm="1">
        <f t="array" ref="M66">IF(M$5="","",_xlfn.IFS(M$6="Export",LOOKUP(M$5,'RM Prices'!$C$4:$BJ$4,'RM Prices'!$C25:$BJ25),M$6="Domestic",LOOKUP(M$5,'RM Prices'!$C$31:$BJ$31,'RM Prices'!$C52:$BJ52)))</f>
        <v>320</v>
      </c>
      <c r="N66" s="66" cm="1">
        <f t="array" ref="N66">IF(N$5="","",_xlfn.IFS(N$6="Export",LOOKUP(N$5,'RM Prices'!$C$4:$BJ$4,'RM Prices'!$C25:$BJ25),N$6="Domestic",LOOKUP(N$5,'RM Prices'!$C$31:$BJ$31,'RM Prices'!$C52:$BJ52)))</f>
        <v>320</v>
      </c>
      <c r="O66" s="66" cm="1">
        <f t="array" ref="O66">IF(O$5="","",_xlfn.IFS(O$6="Export",LOOKUP(O$5,'RM Prices'!$C$4:$BJ$4,'RM Prices'!$C25:$BJ25),O$6="Domestic",LOOKUP(O$5,'RM Prices'!$C$31:$BJ$31,'RM Prices'!$C52:$BJ52)))</f>
        <v>320</v>
      </c>
      <c r="P66" s="66" cm="1">
        <f t="array" ref="P66">IF(P$5="","",_xlfn.IFS(P$6="Export",LOOKUP(P$5,'RM Prices'!$C$4:$BJ$4,'RM Prices'!$C25:$BJ25),P$6="Domestic",LOOKUP(P$5,'RM Prices'!$C$31:$BJ$31,'RM Prices'!$C52:$BJ52)))</f>
        <v>320</v>
      </c>
      <c r="Q66" s="66" cm="1">
        <f t="array" ref="Q66">IF(Q$5="","",_xlfn.IFS(Q$6="Export",LOOKUP(Q$5,'RM Prices'!$C$4:$BJ$4,'RM Prices'!$C25:$BJ25),Q$6="Domestic",LOOKUP(Q$5,'RM Prices'!$C$31:$BJ$31,'RM Prices'!$C52:$BJ52)))</f>
        <v>320</v>
      </c>
      <c r="R66" s="66" cm="1">
        <f t="array" ref="R66">IF(R$5="","",_xlfn.IFS(R$6="Export",LOOKUP(R$5,'RM Prices'!$C$4:$BJ$4,'RM Prices'!$C25:$BJ25),R$6="Domestic",LOOKUP(R$5,'RM Prices'!$C$31:$BJ$31,'RM Prices'!$C52:$BJ52)))</f>
        <v>320</v>
      </c>
      <c r="S66" s="66" cm="1">
        <f t="array" ref="S66">IF(S$5="","",_xlfn.IFS(S$6="Export",LOOKUP(S$5,'RM Prices'!$C$4:$BJ$4,'RM Prices'!$C25:$BJ25),S$6="Domestic",LOOKUP(S$5,'RM Prices'!$C$31:$BJ$31,'RM Prices'!$C52:$BJ52)))</f>
        <v>320</v>
      </c>
      <c r="T66" s="66" cm="1">
        <f t="array" ref="T66">IF(T$5="","",_xlfn.IFS(T$6="Export",LOOKUP(T$5,'RM Prices'!$C$4:$BJ$4,'RM Prices'!$C25:$BJ25),T$6="Domestic",LOOKUP(T$5,'RM Prices'!$C$31:$BJ$31,'RM Prices'!$C52:$BJ52)))</f>
        <v>320</v>
      </c>
      <c r="U66" s="66" cm="1">
        <f t="array" ref="U66">IF(U$5="","",_xlfn.IFS(U$6="Export",LOOKUP(U$5,'RM Prices'!$C$4:$BJ$4,'RM Prices'!$C25:$BJ25),U$6="Domestic",LOOKUP(U$5,'RM Prices'!$C$31:$BJ$31,'RM Prices'!$C52:$BJ52)))</f>
        <v>320</v>
      </c>
      <c r="V66" s="73" cm="1">
        <f t="array" ref="V66">IF(V$5="","",_xlfn.IFS(V$6="Export",LOOKUP(V$5,'RM Prices'!$C$4:$BJ$4,'RM Prices'!$C25:$BJ25),V$6="Domestic",LOOKUP(V$5,'RM Prices'!$C$31:$BJ$31,'RM Prices'!$C52:$BJ52)))</f>
        <v>320</v>
      </c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73"/>
      <c r="AV66" s="66"/>
      <c r="AW66" s="66"/>
      <c r="AX66" s="34"/>
      <c r="AY66" s="165"/>
    </row>
    <row r="67" spans="2:51" ht="14.25" x14ac:dyDescent="0.45">
      <c r="B67" s="50">
        <v>37</v>
      </c>
      <c r="C67" s="47" t="s">
        <v>246</v>
      </c>
      <c r="D67" s="3" t="s">
        <v>268</v>
      </c>
      <c r="E67" s="66" cm="1">
        <f t="array" ref="E67">IF(E$5="","",_xlfn.IFS(E$6="Export",LOOKUP(E$5,'RM Prices'!$C$4:$BJ$4,'RM Prices'!$C26:$BJ26),E$6="Domestic",LOOKUP(E$5,'RM Prices'!$C$31:$BJ$31,'RM Prices'!$C53:$BJ53)))</f>
        <v>1600</v>
      </c>
      <c r="F67" s="66" cm="1">
        <f t="array" ref="F67">IF(F$5="","",_xlfn.IFS(F$6="Export",LOOKUP(F$5,'RM Prices'!$C$4:$BJ$4,'RM Prices'!$C26:$BJ26),F$6="Domestic",LOOKUP(F$5,'RM Prices'!$C$31:$BJ$31,'RM Prices'!$C53:$BJ53)))</f>
        <v>1600</v>
      </c>
      <c r="G67" s="66" cm="1">
        <f t="array" ref="G67">IF(G$5="","",_xlfn.IFS(G$6="Export",LOOKUP(G$5,'RM Prices'!$C$4:$BJ$4,'RM Prices'!$C26:$BJ26),G$6="Domestic",LOOKUP(G$5,'RM Prices'!$C$31:$BJ$31,'RM Prices'!$C53:$BJ53)))</f>
        <v>1600</v>
      </c>
      <c r="H67" s="66" cm="1">
        <f t="array" ref="H67">IF(H$5="","",_xlfn.IFS(H$6="Export",LOOKUP(H$5,'RM Prices'!$C$4:$BJ$4,'RM Prices'!$C26:$BJ26),H$6="Domestic",LOOKUP(H$5,'RM Prices'!$C$31:$BJ$31,'RM Prices'!$C53:$BJ53)))</f>
        <v>1600</v>
      </c>
      <c r="I67" s="66" cm="1">
        <f t="array" ref="I67">IF(I$5="","",_xlfn.IFS(I$6="Export",LOOKUP(I$5,'RM Prices'!$C$4:$BJ$4,'RM Prices'!$C26:$BJ26),I$6="Domestic",LOOKUP(I$5,'RM Prices'!$C$31:$BJ$31,'RM Prices'!$C53:$BJ53)))</f>
        <v>1600</v>
      </c>
      <c r="J67" s="66" cm="1">
        <f t="array" ref="J67">IF(J$5="","",_xlfn.IFS(J$6="Export",LOOKUP(J$5,'RM Prices'!$C$4:$BJ$4,'RM Prices'!$C26:$BJ26),J$6="Domestic",LOOKUP(J$5,'RM Prices'!$C$31:$BJ$31,'RM Prices'!$C53:$BJ53)))</f>
        <v>1600</v>
      </c>
      <c r="K67" s="66" cm="1">
        <f t="array" ref="K67">IF(K$5="","",_xlfn.IFS(K$6="Export",LOOKUP(K$5,'RM Prices'!$C$4:$BJ$4,'RM Prices'!$C26:$BJ26),K$6="Domestic",LOOKUP(K$5,'RM Prices'!$C$31:$BJ$31,'RM Prices'!$C53:$BJ53)))</f>
        <v>1600</v>
      </c>
      <c r="L67" s="66" cm="1">
        <f t="array" ref="L67">IF(L$5="","",_xlfn.IFS(L$6="Export",LOOKUP(L$5,'RM Prices'!$C$4:$BJ$4,'RM Prices'!$C26:$BJ26),L$6="Domestic",LOOKUP(L$5,'RM Prices'!$C$31:$BJ$31,'RM Prices'!$C53:$BJ53)))</f>
        <v>1600</v>
      </c>
      <c r="M67" s="66" cm="1">
        <f t="array" ref="M67">IF(M$5="","",_xlfn.IFS(M$6="Export",LOOKUP(M$5,'RM Prices'!$C$4:$BJ$4,'RM Prices'!$C26:$BJ26),M$6="Domestic",LOOKUP(M$5,'RM Prices'!$C$31:$BJ$31,'RM Prices'!$C53:$BJ53)))</f>
        <v>1600</v>
      </c>
      <c r="N67" s="66" cm="1">
        <f t="array" ref="N67">IF(N$5="","",_xlfn.IFS(N$6="Export",LOOKUP(N$5,'RM Prices'!$C$4:$BJ$4,'RM Prices'!$C26:$BJ26),N$6="Domestic",LOOKUP(N$5,'RM Prices'!$C$31:$BJ$31,'RM Prices'!$C53:$BJ53)))</f>
        <v>1600</v>
      </c>
      <c r="O67" s="66" cm="1">
        <f t="array" ref="O67">IF(O$5="","",_xlfn.IFS(O$6="Export",LOOKUP(O$5,'RM Prices'!$C$4:$BJ$4,'RM Prices'!$C26:$BJ26),O$6="Domestic",LOOKUP(O$5,'RM Prices'!$C$31:$BJ$31,'RM Prices'!$C53:$BJ53)))</f>
        <v>1600</v>
      </c>
      <c r="P67" s="66" cm="1">
        <f t="array" ref="P67">IF(P$5="","",_xlfn.IFS(P$6="Export",LOOKUP(P$5,'RM Prices'!$C$4:$BJ$4,'RM Prices'!$C26:$BJ26),P$6="Domestic",LOOKUP(P$5,'RM Prices'!$C$31:$BJ$31,'RM Prices'!$C53:$BJ53)))</f>
        <v>1600</v>
      </c>
      <c r="Q67" s="66" cm="1">
        <f t="array" ref="Q67">IF(Q$5="","",_xlfn.IFS(Q$6="Export",LOOKUP(Q$5,'RM Prices'!$C$4:$BJ$4,'RM Prices'!$C26:$BJ26),Q$6="Domestic",LOOKUP(Q$5,'RM Prices'!$C$31:$BJ$31,'RM Prices'!$C53:$BJ53)))</f>
        <v>1600</v>
      </c>
      <c r="R67" s="66" cm="1">
        <f t="array" ref="R67">IF(R$5="","",_xlfn.IFS(R$6="Export",LOOKUP(R$5,'RM Prices'!$C$4:$BJ$4,'RM Prices'!$C26:$BJ26),R$6="Domestic",LOOKUP(R$5,'RM Prices'!$C$31:$BJ$31,'RM Prices'!$C53:$BJ53)))</f>
        <v>1600</v>
      </c>
      <c r="S67" s="66" cm="1">
        <f t="array" ref="S67">IF(S$5="","",_xlfn.IFS(S$6="Export",LOOKUP(S$5,'RM Prices'!$C$4:$BJ$4,'RM Prices'!$C26:$BJ26),S$6="Domestic",LOOKUP(S$5,'RM Prices'!$C$31:$BJ$31,'RM Prices'!$C53:$BJ53)))</f>
        <v>1600</v>
      </c>
      <c r="T67" s="66" cm="1">
        <f t="array" ref="T67">IF(T$5="","",_xlfn.IFS(T$6="Export",LOOKUP(T$5,'RM Prices'!$C$4:$BJ$4,'RM Prices'!$C26:$BJ26),T$6="Domestic",LOOKUP(T$5,'RM Prices'!$C$31:$BJ$31,'RM Prices'!$C53:$BJ53)))</f>
        <v>1600</v>
      </c>
      <c r="U67" s="66" cm="1">
        <f t="array" ref="U67">IF(U$5="","",_xlfn.IFS(U$6="Export",LOOKUP(U$5,'RM Prices'!$C$4:$BJ$4,'RM Prices'!$C26:$BJ26),U$6="Domestic",LOOKUP(U$5,'RM Prices'!$C$31:$BJ$31,'RM Prices'!$C53:$BJ53)))</f>
        <v>1600</v>
      </c>
      <c r="V67" s="73" cm="1">
        <f t="array" ref="V67">IF(V$5="","",_xlfn.IFS(V$6="Export",LOOKUP(V$5,'RM Prices'!$C$4:$BJ$4,'RM Prices'!$C26:$BJ26),V$6="Domestic",LOOKUP(V$5,'RM Prices'!$C$31:$BJ$31,'RM Prices'!$C53:$BJ53)))</f>
        <v>1600</v>
      </c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73"/>
      <c r="AV67" s="66"/>
      <c r="AW67" s="66"/>
      <c r="AX67" s="34"/>
      <c r="AY67" s="165"/>
    </row>
    <row r="68" spans="2:51" ht="14.25" x14ac:dyDescent="0.45">
      <c r="B68" s="50">
        <v>38</v>
      </c>
      <c r="C68" s="47" t="s">
        <v>246</v>
      </c>
      <c r="D68" s="3" t="s">
        <v>269</v>
      </c>
      <c r="E68" s="66" cm="1">
        <f t="array" ref="E68">IF(E$5="","",_xlfn.IFS(E$6="Export",LOOKUP(E$5,'RM Prices'!$C$4:$BJ$4,'RM Prices'!$C27:$BJ27),E$6="Domestic",LOOKUP(E$5,'RM Prices'!$C$31:$BJ$31,'RM Prices'!$C54:$BJ54)))</f>
        <v>170</v>
      </c>
      <c r="F68" s="66" cm="1">
        <f t="array" ref="F68">IF(F$5="","",_xlfn.IFS(F$6="Export",LOOKUP(F$5,'RM Prices'!$C$4:$BJ$4,'RM Prices'!$C27:$BJ27),F$6="Domestic",LOOKUP(F$5,'RM Prices'!$C$31:$BJ$31,'RM Prices'!$C54:$BJ54)))</f>
        <v>170</v>
      </c>
      <c r="G68" s="66" cm="1">
        <f t="array" ref="G68">IF(G$5="","",_xlfn.IFS(G$6="Export",LOOKUP(G$5,'RM Prices'!$C$4:$BJ$4,'RM Prices'!$C27:$BJ27),G$6="Domestic",LOOKUP(G$5,'RM Prices'!$C$31:$BJ$31,'RM Prices'!$C54:$BJ54)))</f>
        <v>170</v>
      </c>
      <c r="H68" s="66" cm="1">
        <f t="array" ref="H68">IF(H$5="","",_xlfn.IFS(H$6="Export",LOOKUP(H$5,'RM Prices'!$C$4:$BJ$4,'RM Prices'!$C27:$BJ27),H$6="Domestic",LOOKUP(H$5,'RM Prices'!$C$31:$BJ$31,'RM Prices'!$C54:$BJ54)))</f>
        <v>170</v>
      </c>
      <c r="I68" s="66" cm="1">
        <f t="array" ref="I68">IF(I$5="","",_xlfn.IFS(I$6="Export",LOOKUP(I$5,'RM Prices'!$C$4:$BJ$4,'RM Prices'!$C27:$BJ27),I$6="Domestic",LOOKUP(I$5,'RM Prices'!$C$31:$BJ$31,'RM Prices'!$C54:$BJ54)))</f>
        <v>170</v>
      </c>
      <c r="J68" s="66" cm="1">
        <f t="array" ref="J68">IF(J$5="","",_xlfn.IFS(J$6="Export",LOOKUP(J$5,'RM Prices'!$C$4:$BJ$4,'RM Prices'!$C27:$BJ27),J$6="Domestic",LOOKUP(J$5,'RM Prices'!$C$31:$BJ$31,'RM Prices'!$C54:$BJ54)))</f>
        <v>170</v>
      </c>
      <c r="K68" s="66" cm="1">
        <f t="array" ref="K68">IF(K$5="","",_xlfn.IFS(K$6="Export",LOOKUP(K$5,'RM Prices'!$C$4:$BJ$4,'RM Prices'!$C27:$BJ27),K$6="Domestic",LOOKUP(K$5,'RM Prices'!$C$31:$BJ$31,'RM Prices'!$C54:$BJ54)))</f>
        <v>170</v>
      </c>
      <c r="L68" s="66" cm="1">
        <f t="array" ref="L68">IF(L$5="","",_xlfn.IFS(L$6="Export",LOOKUP(L$5,'RM Prices'!$C$4:$BJ$4,'RM Prices'!$C27:$BJ27),L$6="Domestic",LOOKUP(L$5,'RM Prices'!$C$31:$BJ$31,'RM Prices'!$C54:$BJ54)))</f>
        <v>170</v>
      </c>
      <c r="M68" s="66" cm="1">
        <f t="array" ref="M68">IF(M$5="","",_xlfn.IFS(M$6="Export",LOOKUP(M$5,'RM Prices'!$C$4:$BJ$4,'RM Prices'!$C27:$BJ27),M$6="Domestic",LOOKUP(M$5,'RM Prices'!$C$31:$BJ$31,'RM Prices'!$C54:$BJ54)))</f>
        <v>170</v>
      </c>
      <c r="N68" s="66" cm="1">
        <f t="array" ref="N68">IF(N$5="","",_xlfn.IFS(N$6="Export",LOOKUP(N$5,'RM Prices'!$C$4:$BJ$4,'RM Prices'!$C27:$BJ27),N$6="Domestic",LOOKUP(N$5,'RM Prices'!$C$31:$BJ$31,'RM Prices'!$C54:$BJ54)))</f>
        <v>170</v>
      </c>
      <c r="O68" s="66" cm="1">
        <f t="array" ref="O68">IF(O$5="","",_xlfn.IFS(O$6="Export",LOOKUP(O$5,'RM Prices'!$C$4:$BJ$4,'RM Prices'!$C27:$BJ27),O$6="Domestic",LOOKUP(O$5,'RM Prices'!$C$31:$BJ$31,'RM Prices'!$C54:$BJ54)))</f>
        <v>170</v>
      </c>
      <c r="P68" s="66" cm="1">
        <f t="array" ref="P68">IF(P$5="","",_xlfn.IFS(P$6="Export",LOOKUP(P$5,'RM Prices'!$C$4:$BJ$4,'RM Prices'!$C27:$BJ27),P$6="Domestic",LOOKUP(P$5,'RM Prices'!$C$31:$BJ$31,'RM Prices'!$C54:$BJ54)))</f>
        <v>170</v>
      </c>
      <c r="Q68" s="66" cm="1">
        <f t="array" ref="Q68">IF(Q$5="","",_xlfn.IFS(Q$6="Export",LOOKUP(Q$5,'RM Prices'!$C$4:$BJ$4,'RM Prices'!$C27:$BJ27),Q$6="Domestic",LOOKUP(Q$5,'RM Prices'!$C$31:$BJ$31,'RM Prices'!$C54:$BJ54)))</f>
        <v>170</v>
      </c>
      <c r="R68" s="66" cm="1">
        <f t="array" ref="R68">IF(R$5="","",_xlfn.IFS(R$6="Export",LOOKUP(R$5,'RM Prices'!$C$4:$BJ$4,'RM Prices'!$C27:$BJ27),R$6="Domestic",LOOKUP(R$5,'RM Prices'!$C$31:$BJ$31,'RM Prices'!$C54:$BJ54)))</f>
        <v>170</v>
      </c>
      <c r="S68" s="66" cm="1">
        <f t="array" ref="S68">IF(S$5="","",_xlfn.IFS(S$6="Export",LOOKUP(S$5,'RM Prices'!$C$4:$BJ$4,'RM Prices'!$C27:$BJ27),S$6="Domestic",LOOKUP(S$5,'RM Prices'!$C$31:$BJ$31,'RM Prices'!$C54:$BJ54)))</f>
        <v>170</v>
      </c>
      <c r="T68" s="66" cm="1">
        <f t="array" ref="T68">IF(T$5="","",_xlfn.IFS(T$6="Export",LOOKUP(T$5,'RM Prices'!$C$4:$BJ$4,'RM Prices'!$C27:$BJ27),T$6="Domestic",LOOKUP(T$5,'RM Prices'!$C$31:$BJ$31,'RM Prices'!$C54:$BJ54)))</f>
        <v>170</v>
      </c>
      <c r="U68" s="66" cm="1">
        <f t="array" ref="U68">IF(U$5="","",_xlfn.IFS(U$6="Export",LOOKUP(U$5,'RM Prices'!$C$4:$BJ$4,'RM Prices'!$C27:$BJ27),U$6="Domestic",LOOKUP(U$5,'RM Prices'!$C$31:$BJ$31,'RM Prices'!$C54:$BJ54)))</f>
        <v>170</v>
      </c>
      <c r="V68" s="73" cm="1">
        <f t="array" ref="V68">IF(V$5="","",_xlfn.IFS(V$6="Export",LOOKUP(V$5,'RM Prices'!$C$4:$BJ$4,'RM Prices'!$C27:$BJ27),V$6="Domestic",LOOKUP(V$5,'RM Prices'!$C$31:$BJ$31,'RM Prices'!$C54:$BJ54)))</f>
        <v>170</v>
      </c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73"/>
      <c r="AV68" s="66"/>
      <c r="AW68" s="66"/>
      <c r="AX68" s="34"/>
      <c r="AY68" s="165"/>
    </row>
    <row r="69" spans="2:51" ht="14.25" x14ac:dyDescent="0.45">
      <c r="B69" s="50"/>
      <c r="C69" s="13"/>
      <c r="D69" s="4" t="s">
        <v>270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5"/>
      <c r="AY69" s="165"/>
    </row>
    <row r="70" spans="2:51" ht="14.25" x14ac:dyDescent="0.45">
      <c r="B70" s="50">
        <v>39</v>
      </c>
      <c r="C70" s="47" t="s">
        <v>271</v>
      </c>
      <c r="D70" s="3" t="s">
        <v>247</v>
      </c>
      <c r="E70" s="54">
        <v>92</v>
      </c>
      <c r="F70" s="54">
        <v>92</v>
      </c>
      <c r="G70" s="54">
        <v>92</v>
      </c>
      <c r="H70" s="54">
        <v>92</v>
      </c>
      <c r="I70" s="54">
        <v>92</v>
      </c>
      <c r="J70" s="54">
        <v>92</v>
      </c>
      <c r="K70" s="54">
        <v>92</v>
      </c>
      <c r="L70" s="54">
        <v>92</v>
      </c>
      <c r="M70" s="54">
        <v>92</v>
      </c>
      <c r="N70" s="54">
        <v>92</v>
      </c>
      <c r="O70" s="54">
        <v>92</v>
      </c>
      <c r="P70" s="54">
        <v>92</v>
      </c>
      <c r="Q70" s="54">
        <v>92</v>
      </c>
      <c r="R70" s="54">
        <v>90</v>
      </c>
      <c r="S70" s="54">
        <v>92</v>
      </c>
      <c r="T70" s="54">
        <v>97</v>
      </c>
      <c r="U70" s="54">
        <v>91</v>
      </c>
      <c r="V70" s="54">
        <v>92</v>
      </c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33"/>
      <c r="AY70" s="165"/>
    </row>
    <row r="71" spans="2:51" ht="14.25" x14ac:dyDescent="0.45">
      <c r="B71" s="50">
        <v>40</v>
      </c>
      <c r="C71" s="47" t="s">
        <v>271</v>
      </c>
      <c r="D71" s="3" t="s">
        <v>248</v>
      </c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33"/>
      <c r="AY71" s="165"/>
    </row>
    <row r="72" spans="2:51" ht="14.25" x14ac:dyDescent="0.45">
      <c r="B72" s="50">
        <v>41</v>
      </c>
      <c r="C72" s="47" t="s">
        <v>271</v>
      </c>
      <c r="D72" s="3" t="s">
        <v>249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33"/>
      <c r="AY72" s="165"/>
    </row>
    <row r="73" spans="2:51" ht="14.25" x14ac:dyDescent="0.45">
      <c r="B73" s="50">
        <v>42</v>
      </c>
      <c r="C73" s="47" t="s">
        <v>271</v>
      </c>
      <c r="D73" s="3" t="s">
        <v>250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33"/>
      <c r="AY73" s="165"/>
    </row>
    <row r="74" spans="2:51" ht="14.25" x14ac:dyDescent="0.45">
      <c r="B74" s="50"/>
      <c r="C74" s="13"/>
      <c r="D74" s="3" t="s">
        <v>251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33"/>
      <c r="AY74" s="165"/>
    </row>
    <row r="75" spans="2:51" ht="14.25" x14ac:dyDescent="0.45">
      <c r="B75" s="50"/>
      <c r="C75" s="13"/>
      <c r="D75" s="3" t="s">
        <v>252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33"/>
      <c r="AY75" s="165"/>
    </row>
    <row r="76" spans="2:51" ht="14.25" x14ac:dyDescent="0.45">
      <c r="B76" s="50"/>
      <c r="C76" s="13"/>
      <c r="D76" s="3" t="s">
        <v>253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33"/>
      <c r="AY76" s="165"/>
    </row>
    <row r="77" spans="2:51" ht="14.25" x14ac:dyDescent="0.45">
      <c r="B77" s="50">
        <v>43</v>
      </c>
      <c r="C77" s="47" t="s">
        <v>271</v>
      </c>
      <c r="D77" s="3" t="s">
        <v>254</v>
      </c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33"/>
      <c r="AY77" s="165"/>
    </row>
    <row r="78" spans="2:51" ht="15.75" customHeight="1" x14ac:dyDescent="0.45">
      <c r="B78" s="50">
        <v>44</v>
      </c>
      <c r="C78" s="47" t="s">
        <v>271</v>
      </c>
      <c r="D78" s="3" t="s">
        <v>255</v>
      </c>
      <c r="E78" s="54">
        <v>5</v>
      </c>
      <c r="F78" s="54">
        <v>5</v>
      </c>
      <c r="G78" s="54">
        <v>5</v>
      </c>
      <c r="H78" s="54">
        <v>5</v>
      </c>
      <c r="I78" s="54">
        <v>5</v>
      </c>
      <c r="J78" s="54">
        <v>5</v>
      </c>
      <c r="K78" s="54">
        <v>5</v>
      </c>
      <c r="L78" s="54">
        <v>5</v>
      </c>
      <c r="M78" s="54">
        <v>5</v>
      </c>
      <c r="N78" s="54">
        <v>5</v>
      </c>
      <c r="O78" s="54">
        <v>5</v>
      </c>
      <c r="P78" s="54">
        <v>2</v>
      </c>
      <c r="Q78" s="54">
        <v>5</v>
      </c>
      <c r="R78" s="54">
        <v>4</v>
      </c>
      <c r="S78" s="54">
        <v>8</v>
      </c>
      <c r="T78" s="54">
        <v>0</v>
      </c>
      <c r="U78" s="54">
        <v>6</v>
      </c>
      <c r="V78" s="54">
        <v>8</v>
      </c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33"/>
      <c r="AY78" s="165"/>
    </row>
    <row r="79" spans="2:51" ht="14.25" x14ac:dyDescent="0.45">
      <c r="B79" s="50">
        <v>45</v>
      </c>
      <c r="C79" s="47" t="s">
        <v>271</v>
      </c>
      <c r="D79" s="3" t="s">
        <v>256</v>
      </c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33"/>
      <c r="AY79" s="165"/>
    </row>
    <row r="80" spans="2:51" ht="14.25" x14ac:dyDescent="0.45">
      <c r="B80" s="50">
        <v>46</v>
      </c>
      <c r="C80" s="47" t="s">
        <v>271</v>
      </c>
      <c r="D80" s="3" t="s">
        <v>257</v>
      </c>
      <c r="E80" s="54">
        <v>0</v>
      </c>
      <c r="F80" s="54">
        <v>0</v>
      </c>
      <c r="G80" s="54">
        <v>3</v>
      </c>
      <c r="H80" s="54">
        <v>3</v>
      </c>
      <c r="I80" s="54">
        <v>3</v>
      </c>
      <c r="J80" s="54">
        <v>3</v>
      </c>
      <c r="K80" s="54">
        <v>3</v>
      </c>
      <c r="L80" s="54">
        <v>3</v>
      </c>
      <c r="M80" s="54">
        <v>3</v>
      </c>
      <c r="N80" s="54">
        <v>3</v>
      </c>
      <c r="O80" s="54">
        <v>3</v>
      </c>
      <c r="P80" s="54">
        <v>3</v>
      </c>
      <c r="Q80" s="54">
        <v>3</v>
      </c>
      <c r="R80" s="54">
        <v>3</v>
      </c>
      <c r="S80" s="54">
        <v>0</v>
      </c>
      <c r="T80" s="54">
        <v>3</v>
      </c>
      <c r="U80" s="54">
        <v>3</v>
      </c>
      <c r="V80" s="54">
        <v>0</v>
      </c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33"/>
      <c r="AY80" s="165"/>
    </row>
    <row r="81" spans="2:51" ht="14.25" x14ac:dyDescent="0.45">
      <c r="B81" s="50">
        <v>47</v>
      </c>
      <c r="C81" s="47" t="s">
        <v>271</v>
      </c>
      <c r="D81" s="3" t="s">
        <v>258</v>
      </c>
      <c r="E81" s="54">
        <v>3</v>
      </c>
      <c r="F81" s="54">
        <v>3</v>
      </c>
      <c r="G81" s="54">
        <v>0</v>
      </c>
      <c r="H81" s="54">
        <v>0</v>
      </c>
      <c r="I81" s="54">
        <v>0</v>
      </c>
      <c r="J81" s="54">
        <v>0</v>
      </c>
      <c r="K81" s="54">
        <v>0</v>
      </c>
      <c r="L81" s="54">
        <v>0</v>
      </c>
      <c r="M81" s="54">
        <v>0</v>
      </c>
      <c r="N81" s="54">
        <v>0</v>
      </c>
      <c r="O81" s="54">
        <v>0</v>
      </c>
      <c r="P81" s="54">
        <v>3</v>
      </c>
      <c r="Q81" s="54">
        <v>0</v>
      </c>
      <c r="R81" s="54">
        <v>3</v>
      </c>
      <c r="S81" s="54">
        <v>0</v>
      </c>
      <c r="T81" s="54">
        <v>0</v>
      </c>
      <c r="U81" s="54"/>
      <c r="V81" s="54">
        <v>0</v>
      </c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33"/>
      <c r="AY81" s="165"/>
    </row>
    <row r="82" spans="2:51" ht="14.25" x14ac:dyDescent="0.45">
      <c r="B82" s="50">
        <v>48</v>
      </c>
      <c r="C82" s="47" t="s">
        <v>271</v>
      </c>
      <c r="D82" s="3" t="s">
        <v>259</v>
      </c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33"/>
      <c r="AY82" s="165"/>
    </row>
    <row r="83" spans="2:51" ht="14.25" x14ac:dyDescent="0.45">
      <c r="B83" s="50">
        <v>49</v>
      </c>
      <c r="C83" s="47" t="s">
        <v>271</v>
      </c>
      <c r="D83" s="3" t="s">
        <v>260</v>
      </c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33"/>
      <c r="AY83" s="165"/>
    </row>
    <row r="84" spans="2:51" ht="14.25" x14ac:dyDescent="0.45">
      <c r="B84" s="50"/>
      <c r="C84" s="13" t="s">
        <v>272</v>
      </c>
      <c r="D84" s="4" t="s">
        <v>272</v>
      </c>
      <c r="E84" s="16" cm="1">
        <f t="array" ref="E84">IF(E$5="","",IFERROR(SUMPRODUCT(E70:E83*E46:E59)/SUM(E70:E83),0))</f>
        <v>132.11207999999999</v>
      </c>
      <c r="F84" s="16" cm="1">
        <f t="array" ref="F84">IF(F$5="","",IFERROR(SUMPRODUCT(F70:F83*F46:F59)/SUM(F70:F83),0))</f>
        <v>132.11207999999999</v>
      </c>
      <c r="G84" s="16" cm="1">
        <f t="array" ref="G84">IF(G$5="","",IFERROR(SUMPRODUCT(G70:G83*G46:G59)/SUM(G70:G83),0))</f>
        <v>133.01208</v>
      </c>
      <c r="H84" s="16" cm="1">
        <f t="array" ref="H84">IF(H$5="","",IFERROR(SUMPRODUCT(H70:H83*H46:H59)/SUM(H70:H83),0))</f>
        <v>133.01208</v>
      </c>
      <c r="I84" s="16" cm="1">
        <f t="array" ref="I84">IF(I$5="","",IFERROR(SUMPRODUCT(I70:I83*I46:I59)/SUM(I70:I83),0))</f>
        <v>133.01208</v>
      </c>
      <c r="J84" s="16" cm="1">
        <f t="array" ref="J84">IF(J$5="","",IFERROR(SUMPRODUCT(J70:J83*J46:J59)/SUM(J70:J83),0))</f>
        <v>133.01208</v>
      </c>
      <c r="K84" s="16" cm="1">
        <f t="array" ref="K84">IF(K$5="","",IFERROR(SUMPRODUCT(K70:K83*K46:K59)/SUM(K70:K83),0))</f>
        <v>133.01208</v>
      </c>
      <c r="L84" s="16" cm="1">
        <f t="array" ref="L84">IF(L$5="","",IFERROR(SUMPRODUCT(L70:L83*L46:L59)/SUM(L70:L83),0))</f>
        <v>133.01208</v>
      </c>
      <c r="M84" s="16" cm="1">
        <f t="array" ref="M84">IF(M$5="","",IFERROR(SUMPRODUCT(M70:M83*M46:M59)/SUM(M70:M83),0))</f>
        <v>133.01208</v>
      </c>
      <c r="N84" s="16" cm="1">
        <f t="array" ref="N84">IF(N$5="","",IFERROR(SUMPRODUCT(N70:N83*N46:N59)/SUM(N70:N83),0))</f>
        <v>133.01208</v>
      </c>
      <c r="O84" s="16" cm="1">
        <f t="array" ref="O84">IF(O$5="","",IFERROR(SUMPRODUCT(O70:O83*O46:O59)/SUM(O70:O83),0))</f>
        <v>133.01208</v>
      </c>
      <c r="P84" s="16" cm="1">
        <f t="array" ref="P84">IF(P$5="","",IFERROR(SUMPRODUCT(P70:P83*P46:P59)/SUM(P70:P83),0))</f>
        <v>139.31208000000001</v>
      </c>
      <c r="Q84" s="16" cm="1">
        <f t="array" ref="Q84">IF(Q$5="","",IFERROR(SUMPRODUCT(Q70:Q83*Q46:Q59)/SUM(Q70:Q83),0))</f>
        <v>133.01208</v>
      </c>
      <c r="R84" s="16" cm="1">
        <f t="array" ref="R84">IF(R$5="","",IFERROR(SUMPRODUCT(R70:R83*R46:R59)/SUM(R70:R83),0))</f>
        <v>137.44659999999999</v>
      </c>
      <c r="S84" s="16" cm="1">
        <f t="array" ref="S84">IF(S$5="","",IFERROR(SUMPRODUCT(S70:S83*S46:S59)/SUM(S70:S83),0))</f>
        <v>125.81208000000001</v>
      </c>
      <c r="T84" s="16" cm="1">
        <f t="array" ref="T84">IF(T$5="","",IFERROR(SUMPRODUCT(T70:T83*T46:T59)/SUM(T70:T83),0))</f>
        <v>137.67578</v>
      </c>
      <c r="U84" s="16" cm="1">
        <f t="array" ref="U84">IF(U$5="","",IFERROR(SUMPRODUCT(U70:U83*U46:U59)/SUM(U70:U83),0))</f>
        <v>132.07934</v>
      </c>
      <c r="V84" s="16" cm="1">
        <f t="array" ref="V84">IF(V$5="","",IFERROR(SUMPRODUCT(V70:V83*V46:V59)/SUM(V70:V83),0))</f>
        <v>125.81208000000001</v>
      </c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36"/>
      <c r="AY84" s="165"/>
    </row>
    <row r="85" spans="2:51" ht="14.25" x14ac:dyDescent="0.45">
      <c r="B85" s="50"/>
      <c r="C85" s="13"/>
      <c r="D85" s="4" t="s">
        <v>273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5"/>
      <c r="AY85" s="165"/>
    </row>
    <row r="86" spans="2:51" ht="14.25" x14ac:dyDescent="0.45">
      <c r="B86" s="50"/>
      <c r="C86" s="13"/>
      <c r="D86" s="3" t="s">
        <v>247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33"/>
      <c r="AY86" s="165"/>
    </row>
    <row r="87" spans="2:51" ht="14.25" x14ac:dyDescent="0.45">
      <c r="B87" s="50"/>
      <c r="C87" s="13"/>
      <c r="D87" s="3" t="s">
        <v>248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33"/>
      <c r="AY87" s="165"/>
    </row>
    <row r="88" spans="2:51" ht="14.25" x14ac:dyDescent="0.45">
      <c r="B88" s="50"/>
      <c r="C88" s="13"/>
      <c r="D88" s="3" t="s">
        <v>249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33"/>
      <c r="AY88" s="165"/>
    </row>
    <row r="89" spans="2:51" ht="14.25" x14ac:dyDescent="0.45">
      <c r="B89" s="50"/>
      <c r="C89" s="13"/>
      <c r="D89" s="3" t="s">
        <v>250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33"/>
      <c r="AY89" s="165"/>
    </row>
    <row r="90" spans="2:51" ht="14.25" x14ac:dyDescent="0.45">
      <c r="B90" s="50">
        <v>50</v>
      </c>
      <c r="C90" s="47" t="s">
        <v>274</v>
      </c>
      <c r="D90" s="3" t="s">
        <v>251</v>
      </c>
      <c r="E90" s="54">
        <v>20</v>
      </c>
      <c r="F90" s="54">
        <v>20</v>
      </c>
      <c r="G90" s="54">
        <v>25</v>
      </c>
      <c r="H90" s="54">
        <v>25</v>
      </c>
      <c r="I90" s="54">
        <v>25</v>
      </c>
      <c r="J90" s="54">
        <v>25</v>
      </c>
      <c r="K90" s="54">
        <v>25</v>
      </c>
      <c r="L90" s="54">
        <v>25</v>
      </c>
      <c r="M90" s="54">
        <v>25</v>
      </c>
      <c r="N90" s="54">
        <v>25</v>
      </c>
      <c r="O90" s="54">
        <v>25</v>
      </c>
      <c r="P90" s="54">
        <v>25</v>
      </c>
      <c r="Q90" s="54">
        <v>25</v>
      </c>
      <c r="R90" s="54">
        <v>25</v>
      </c>
      <c r="S90" s="54">
        <v>18</v>
      </c>
      <c r="T90" s="54">
        <v>18</v>
      </c>
      <c r="U90" s="54">
        <v>25</v>
      </c>
      <c r="V90" s="54">
        <v>25</v>
      </c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33"/>
      <c r="AY90" s="165"/>
    </row>
    <row r="91" spans="2:51" ht="14.25" x14ac:dyDescent="0.45">
      <c r="B91" s="50">
        <v>51</v>
      </c>
      <c r="C91" s="47" t="s">
        <v>274</v>
      </c>
      <c r="D91" s="3" t="s">
        <v>252</v>
      </c>
      <c r="E91" s="54">
        <v>80</v>
      </c>
      <c r="F91" s="54">
        <v>80</v>
      </c>
      <c r="G91" s="54">
        <v>73</v>
      </c>
      <c r="H91" s="54">
        <v>73</v>
      </c>
      <c r="I91" s="54">
        <v>73</v>
      </c>
      <c r="J91" s="54">
        <v>73</v>
      </c>
      <c r="K91" s="54">
        <v>73</v>
      </c>
      <c r="L91" s="54">
        <v>73</v>
      </c>
      <c r="M91" s="54">
        <v>73</v>
      </c>
      <c r="N91" s="54">
        <v>73</v>
      </c>
      <c r="O91" s="54">
        <v>73</v>
      </c>
      <c r="P91" s="54">
        <v>73</v>
      </c>
      <c r="Q91" s="54">
        <v>73</v>
      </c>
      <c r="R91" s="54">
        <v>73</v>
      </c>
      <c r="S91" s="54">
        <v>82</v>
      </c>
      <c r="T91" s="54">
        <v>82</v>
      </c>
      <c r="U91" s="54">
        <v>73</v>
      </c>
      <c r="V91" s="54">
        <v>70</v>
      </c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33"/>
      <c r="AY91" s="165"/>
    </row>
    <row r="92" spans="2:51" ht="14.25" x14ac:dyDescent="0.45">
      <c r="B92" s="50">
        <v>52</v>
      </c>
      <c r="C92" s="47" t="s">
        <v>274</v>
      </c>
      <c r="D92" s="3" t="s">
        <v>253</v>
      </c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33"/>
      <c r="AY92" s="165"/>
    </row>
    <row r="93" spans="2:51" ht="14.25" x14ac:dyDescent="0.45">
      <c r="B93" s="50">
        <v>53</v>
      </c>
      <c r="C93" s="47" t="s">
        <v>274</v>
      </c>
      <c r="D93" s="3" t="s">
        <v>254</v>
      </c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33"/>
      <c r="AY93" s="165"/>
    </row>
    <row r="94" spans="2:51" ht="14.25" x14ac:dyDescent="0.45">
      <c r="B94" s="50">
        <v>54</v>
      </c>
      <c r="C94" s="47" t="s">
        <v>274</v>
      </c>
      <c r="D94" s="3" t="s">
        <v>255</v>
      </c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33"/>
      <c r="AY94" s="165"/>
    </row>
    <row r="95" spans="2:51" ht="14.25" x14ac:dyDescent="0.45">
      <c r="B95" s="50">
        <v>55</v>
      </c>
      <c r="C95" s="47" t="s">
        <v>274</v>
      </c>
      <c r="D95" s="3" t="s">
        <v>256</v>
      </c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33"/>
      <c r="AY95" s="165"/>
    </row>
    <row r="96" spans="2:51" ht="14.25" x14ac:dyDescent="0.45">
      <c r="B96" s="50">
        <v>56</v>
      </c>
      <c r="C96" s="47" t="s">
        <v>274</v>
      </c>
      <c r="D96" s="3" t="s">
        <v>275</v>
      </c>
      <c r="E96" s="54"/>
      <c r="F96" s="54"/>
      <c r="G96" s="54">
        <v>2</v>
      </c>
      <c r="H96" s="54">
        <v>2</v>
      </c>
      <c r="I96" s="54">
        <v>2</v>
      </c>
      <c r="J96" s="54">
        <v>2</v>
      </c>
      <c r="K96" s="54">
        <v>2</v>
      </c>
      <c r="L96" s="54">
        <v>2</v>
      </c>
      <c r="M96" s="54">
        <v>2</v>
      </c>
      <c r="N96" s="54">
        <v>2</v>
      </c>
      <c r="O96" s="54">
        <v>2</v>
      </c>
      <c r="P96" s="54">
        <v>2</v>
      </c>
      <c r="Q96" s="54">
        <v>2</v>
      </c>
      <c r="R96" s="54">
        <v>2</v>
      </c>
      <c r="S96" s="54"/>
      <c r="T96" s="54"/>
      <c r="U96" s="54"/>
      <c r="V96" s="54">
        <v>5</v>
      </c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33"/>
      <c r="AY96" s="165"/>
    </row>
    <row r="97" spans="2:51" ht="14.25" x14ac:dyDescent="0.45">
      <c r="B97" s="50">
        <v>57</v>
      </c>
      <c r="C97" s="47" t="s">
        <v>274</v>
      </c>
      <c r="D97" s="3" t="s">
        <v>258</v>
      </c>
      <c r="E97" s="54">
        <v>0</v>
      </c>
      <c r="F97" s="54">
        <v>0</v>
      </c>
      <c r="G97" s="54">
        <v>0</v>
      </c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>
        <v>0</v>
      </c>
      <c r="T97" s="54">
        <v>0</v>
      </c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33"/>
      <c r="AY97" s="165"/>
    </row>
    <row r="98" spans="2:51" ht="14.25" x14ac:dyDescent="0.45">
      <c r="B98" s="50">
        <v>58</v>
      </c>
      <c r="C98" s="47" t="s">
        <v>274</v>
      </c>
      <c r="D98" s="3" t="s">
        <v>259</v>
      </c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33"/>
      <c r="AY98" s="165"/>
    </row>
    <row r="99" spans="2:51" ht="14.25" x14ac:dyDescent="0.45">
      <c r="B99" s="50"/>
      <c r="C99" s="13"/>
      <c r="D99" s="3" t="s">
        <v>276</v>
      </c>
      <c r="E99" s="16" cm="1">
        <f t="array" ref="E99">IF(E$5="","",IFERROR(SUMPRODUCT(E86:E98*E46:E58)/SUM(E86:E98),0))</f>
        <v>142.37759999999997</v>
      </c>
      <c r="F99" s="16" cm="1">
        <f t="array" ref="F99">IF(F$5="","",IFERROR(SUMPRODUCT(F86:F98*F46:F58)/SUM(F86:F98),0))</f>
        <v>142.37759999999997</v>
      </c>
      <c r="G99" s="16" cm="1">
        <f t="array" ref="G99">IF(G$5="","",IFERROR(SUMPRODUCT(G86:G98*G46:G58)/SUM(G86:G98),0))</f>
        <v>147.23971999999998</v>
      </c>
      <c r="H99" s="16" cm="1">
        <f t="array" ref="H99">IF(H$5="","",IFERROR(SUMPRODUCT(H86:H98*H46:H58)/SUM(H86:H98),0))</f>
        <v>147.23971999999998</v>
      </c>
      <c r="I99" s="16" cm="1">
        <f t="array" ref="I99">IF(I$5="","",IFERROR(SUMPRODUCT(I86:I98*I46:I58)/SUM(I86:I98),0))</f>
        <v>147.23971999999998</v>
      </c>
      <c r="J99" s="16" cm="1">
        <f t="array" ref="J99">IF(J$5="","",IFERROR(SUMPRODUCT(J86:J98*J46:J58)/SUM(J86:J98),0))</f>
        <v>147.23971999999998</v>
      </c>
      <c r="K99" s="16" cm="1">
        <f t="array" ref="K99">IF(K$5="","",IFERROR(SUMPRODUCT(K86:K98*K46:K58)/SUM(K86:K98),0))</f>
        <v>147.23971999999998</v>
      </c>
      <c r="L99" s="16" cm="1">
        <f t="array" ref="L99">IF(L$5="","",IFERROR(SUMPRODUCT(L86:L98*L46:L58)/SUM(L86:L98),0))</f>
        <v>147.23971999999998</v>
      </c>
      <c r="M99" s="16" cm="1">
        <f t="array" ref="M99">IF(M$5="","",IFERROR(SUMPRODUCT(M86:M98*M46:M58)/SUM(M86:M98),0))</f>
        <v>147.23971999999998</v>
      </c>
      <c r="N99" s="16" cm="1">
        <f t="array" ref="N99">IF(N$5="","",IFERROR(SUMPRODUCT(N86:N98*N46:N58)/SUM(N86:N98),0))</f>
        <v>147.23971999999998</v>
      </c>
      <c r="O99" s="16" cm="1">
        <f t="array" ref="O99">IF(O$5="","",IFERROR(SUMPRODUCT(O86:O98*O46:O58)/SUM(O86:O98),0))</f>
        <v>147.23971999999998</v>
      </c>
      <c r="P99" s="16" cm="1">
        <f t="array" ref="P99">IF(P$5="","",IFERROR(SUMPRODUCT(P86:P98*P46:P58)/SUM(P86:P98),0))</f>
        <v>147.23971999999998</v>
      </c>
      <c r="Q99" s="16" cm="1">
        <f t="array" ref="Q99">IF(Q$5="","",IFERROR(SUMPRODUCT(Q86:Q98*Q46:Q58)/SUM(Q86:Q98),0))</f>
        <v>147.23971999999998</v>
      </c>
      <c r="R99" s="16" cm="1">
        <f t="array" ref="R99">IF(R$5="","",IFERROR(SUMPRODUCT(R86:R98*R46:R58)/SUM(R86:R98),0))</f>
        <v>147.23971999999998</v>
      </c>
      <c r="S99" s="16" cm="1">
        <f t="array" ref="S99">IF(S$5="","",IFERROR(SUMPRODUCT(S86:S98*S46:S58)/SUM(S86:S98),0))</f>
        <v>141.59623999999999</v>
      </c>
      <c r="T99" s="16" cm="1">
        <f t="array" ref="T99">IF(T$5="","",IFERROR(SUMPRODUCT(T86:T98*T46:T58)/SUM(T86:T98),0))</f>
        <v>141.59623999999999</v>
      </c>
      <c r="U99" s="16" cm="1">
        <f t="array" ref="U99">IF(U$5="","",IFERROR(SUMPRODUCT(U86:U98*U46:U58)/SUM(U86:U98),0))</f>
        <v>144.53032653061223</v>
      </c>
      <c r="V99" s="16" cm="1">
        <f t="array" ref="V99">IF(V$5="","",IFERROR(SUMPRODUCT(V86:V98*V46:V58)/SUM(V86:V98),0))</f>
        <v>151.6028</v>
      </c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36"/>
      <c r="AY99" s="165"/>
    </row>
    <row r="100" spans="2:51" ht="14.25" x14ac:dyDescent="0.45">
      <c r="B100" s="50"/>
      <c r="C100" s="13"/>
      <c r="D100" s="4" t="s">
        <v>277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5"/>
      <c r="AY100" s="165"/>
    </row>
    <row r="101" spans="2:51" ht="14.25" x14ac:dyDescent="0.45">
      <c r="B101" s="50">
        <v>59</v>
      </c>
      <c r="C101" s="47" t="s">
        <v>278</v>
      </c>
      <c r="D101" s="3" t="s">
        <v>249</v>
      </c>
      <c r="E101" s="54">
        <v>90</v>
      </c>
      <c r="F101" s="54">
        <v>90</v>
      </c>
      <c r="G101" s="54">
        <v>90</v>
      </c>
      <c r="H101" s="54">
        <v>90</v>
      </c>
      <c r="I101" s="54">
        <v>90</v>
      </c>
      <c r="J101" s="54">
        <v>90</v>
      </c>
      <c r="K101" s="54">
        <v>90</v>
      </c>
      <c r="L101" s="54">
        <v>90</v>
      </c>
      <c r="M101" s="54">
        <v>90</v>
      </c>
      <c r="N101" s="54">
        <v>90</v>
      </c>
      <c r="O101" s="54">
        <v>90</v>
      </c>
      <c r="P101" s="54">
        <v>90</v>
      </c>
      <c r="Q101" s="54">
        <v>90</v>
      </c>
      <c r="R101" s="54">
        <v>90</v>
      </c>
      <c r="S101" s="54">
        <v>90</v>
      </c>
      <c r="T101" s="54">
        <v>90</v>
      </c>
      <c r="U101" s="54">
        <v>90</v>
      </c>
      <c r="V101" s="54">
        <v>90</v>
      </c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33"/>
      <c r="AY101" s="165"/>
    </row>
    <row r="102" spans="2:51" ht="14.25" x14ac:dyDescent="0.45">
      <c r="B102" s="50">
        <v>60</v>
      </c>
      <c r="C102" s="47" t="s">
        <v>278</v>
      </c>
      <c r="D102" s="3" t="s">
        <v>250</v>
      </c>
      <c r="E102" s="54">
        <v>10</v>
      </c>
      <c r="F102" s="54">
        <v>10</v>
      </c>
      <c r="G102" s="54">
        <v>10</v>
      </c>
      <c r="H102" s="54">
        <v>10</v>
      </c>
      <c r="I102" s="54">
        <v>10</v>
      </c>
      <c r="J102" s="54">
        <v>10</v>
      </c>
      <c r="K102" s="54">
        <v>10</v>
      </c>
      <c r="L102" s="54">
        <v>10</v>
      </c>
      <c r="M102" s="54">
        <v>10</v>
      </c>
      <c r="N102" s="54">
        <v>10</v>
      </c>
      <c r="O102" s="54">
        <v>10</v>
      </c>
      <c r="P102" s="54">
        <v>10</v>
      </c>
      <c r="Q102" s="54">
        <v>10</v>
      </c>
      <c r="R102" s="54">
        <v>10</v>
      </c>
      <c r="S102" s="54">
        <v>10</v>
      </c>
      <c r="T102" s="54">
        <v>10</v>
      </c>
      <c r="U102" s="54">
        <v>10</v>
      </c>
      <c r="V102" s="54">
        <v>10</v>
      </c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33"/>
      <c r="AY102" s="165"/>
    </row>
    <row r="103" spans="2:51" ht="14.25" x14ac:dyDescent="0.45">
      <c r="B103" s="50"/>
      <c r="C103" s="13"/>
      <c r="D103" s="3" t="s">
        <v>251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33"/>
      <c r="AY103" s="165"/>
    </row>
    <row r="104" spans="2:51" ht="14.25" x14ac:dyDescent="0.45">
      <c r="B104" s="50"/>
      <c r="C104" s="13"/>
      <c r="D104" s="3" t="s">
        <v>252</v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33"/>
      <c r="AY104" s="165"/>
    </row>
    <row r="105" spans="2:51" ht="14.25" x14ac:dyDescent="0.45">
      <c r="B105" s="50"/>
      <c r="C105" s="13"/>
      <c r="D105" s="3" t="s">
        <v>253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33"/>
      <c r="AY105" s="165"/>
    </row>
    <row r="106" spans="2:51" ht="14.25" x14ac:dyDescent="0.45">
      <c r="B106" s="50">
        <v>61</v>
      </c>
      <c r="C106" s="47" t="s">
        <v>278</v>
      </c>
      <c r="D106" s="3" t="s">
        <v>254</v>
      </c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33"/>
      <c r="AY106" s="165"/>
    </row>
    <row r="107" spans="2:51" ht="14.25" x14ac:dyDescent="0.45">
      <c r="B107" s="50">
        <v>62</v>
      </c>
      <c r="C107" s="47" t="s">
        <v>278</v>
      </c>
      <c r="D107" s="3" t="s">
        <v>255</v>
      </c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  <c r="AX107" s="33"/>
      <c r="AY107" s="165"/>
    </row>
    <row r="108" spans="2:51" ht="14.25" x14ac:dyDescent="0.45">
      <c r="B108" s="50">
        <v>63</v>
      </c>
      <c r="C108" s="47" t="s">
        <v>278</v>
      </c>
      <c r="D108" s="3" t="s">
        <v>256</v>
      </c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33"/>
      <c r="AY108" s="165"/>
    </row>
    <row r="109" spans="2:51" ht="14.25" x14ac:dyDescent="0.45">
      <c r="B109" s="50">
        <v>64</v>
      </c>
      <c r="C109" s="47" t="s">
        <v>278</v>
      </c>
      <c r="D109" s="3" t="s">
        <v>257</v>
      </c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33"/>
      <c r="AY109" s="165"/>
    </row>
    <row r="110" spans="2:51" ht="14.25" x14ac:dyDescent="0.45">
      <c r="B110" s="50">
        <v>65</v>
      </c>
      <c r="C110" s="47" t="s">
        <v>278</v>
      </c>
      <c r="D110" s="3" t="s">
        <v>258</v>
      </c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33"/>
      <c r="AY110" s="165"/>
    </row>
    <row r="111" spans="2:51" ht="14.25" x14ac:dyDescent="0.45">
      <c r="B111" s="50">
        <v>66</v>
      </c>
      <c r="C111" s="47" t="s">
        <v>278</v>
      </c>
      <c r="D111" s="3" t="s">
        <v>259</v>
      </c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33"/>
      <c r="AY111" s="165"/>
    </row>
    <row r="112" spans="2:51" ht="14.25" x14ac:dyDescent="0.45">
      <c r="B112" s="50"/>
      <c r="C112" s="13"/>
      <c r="D112" s="3" t="s">
        <v>279</v>
      </c>
      <c r="E112" s="16" cm="1">
        <f t="array" ref="E112">IF(E$5="","",IFERROR(SUMPRODUCT(E101:E111*E48:E58)/SUM(E101:E111),0))</f>
        <v>144.06399999999999</v>
      </c>
      <c r="F112" s="16" cm="1">
        <f t="array" ref="F112">IF(F$5="","",IFERROR(SUMPRODUCT(F101:F111*F48:F58)/SUM(F101:F111),0))</f>
        <v>144.06399999999999</v>
      </c>
      <c r="G112" s="16" cm="1">
        <f t="array" ref="G112">IF(G$5="","",IFERROR(SUMPRODUCT(G101:G111*G48:G58)/SUM(G101:G111),0))</f>
        <v>144.06399999999999</v>
      </c>
      <c r="H112" s="16" cm="1">
        <f t="array" ref="H112">IF(H$5="","",IFERROR(SUMPRODUCT(H101:H111*H48:H58)/SUM(H101:H111),0))</f>
        <v>144.06399999999999</v>
      </c>
      <c r="I112" s="16" cm="1">
        <f t="array" ref="I112">IF(I$5="","",IFERROR(SUMPRODUCT(I101:I111*I48:I58)/SUM(I101:I111),0))</f>
        <v>144.06399999999999</v>
      </c>
      <c r="J112" s="16" cm="1">
        <f t="array" ref="J112">IF(J$5="","",IFERROR(SUMPRODUCT(J101:J111*J48:J58)/SUM(J101:J111),0))</f>
        <v>144.06399999999999</v>
      </c>
      <c r="K112" s="16" cm="1">
        <f t="array" ref="K112">IF(K$5="","",IFERROR(SUMPRODUCT(K101:K111*K48:K58)/SUM(K101:K111),0))</f>
        <v>144.06399999999999</v>
      </c>
      <c r="L112" s="16" cm="1">
        <f t="array" ref="L112">IF(L$5="","",IFERROR(SUMPRODUCT(L101:L111*L48:L58)/SUM(L101:L111),0))</f>
        <v>144.06399999999999</v>
      </c>
      <c r="M112" s="16" cm="1">
        <f t="array" ref="M112">IF(M$5="","",IFERROR(SUMPRODUCT(M101:M111*M48:M58)/SUM(M101:M111),0))</f>
        <v>144.06399999999999</v>
      </c>
      <c r="N112" s="16" cm="1">
        <f t="array" ref="N112">IF(N$5="","",IFERROR(SUMPRODUCT(N101:N111*N48:N58)/SUM(N101:N111),0))</f>
        <v>144.06399999999999</v>
      </c>
      <c r="O112" s="16" cm="1">
        <f t="array" ref="O112">IF(O$5="","",IFERROR(SUMPRODUCT(O101:O111*O48:O58)/SUM(O101:O111),0))</f>
        <v>144.06399999999999</v>
      </c>
      <c r="P112" s="16" cm="1">
        <f t="array" ref="P112">IF(P$5="","",IFERROR(SUMPRODUCT(P101:P111*P48:P58)/SUM(P101:P111),0))</f>
        <v>144.06399999999999</v>
      </c>
      <c r="Q112" s="16" cm="1">
        <f t="array" ref="Q112">IF(Q$5="","",IFERROR(SUMPRODUCT(Q101:Q111*Q48:Q58)/SUM(Q101:Q111),0))</f>
        <v>144.06399999999999</v>
      </c>
      <c r="R112" s="16" cm="1">
        <f t="array" ref="R112">IF(R$5="","",IFERROR(SUMPRODUCT(R101:R111*R48:R58)/SUM(R101:R111),0))</f>
        <v>144.06399999999999</v>
      </c>
      <c r="S112" s="16" cm="1">
        <f t="array" ref="S112">IF(S$5="","",IFERROR(SUMPRODUCT(S101:S111*S48:S58)/SUM(S101:S111),0))</f>
        <v>144.06399999999999</v>
      </c>
      <c r="T112" s="16" cm="1">
        <f t="array" ref="T112">IF(T$5="","",IFERROR(SUMPRODUCT(T101:T111*T48:T58)/SUM(T101:T111),0))</f>
        <v>144.06399999999999</v>
      </c>
      <c r="U112" s="16" cm="1">
        <f t="array" ref="U112">IF(U$5="","",IFERROR(SUMPRODUCT(U101:U111*U48:U58)/SUM(U101:U111),0))</f>
        <v>144.06399999999999</v>
      </c>
      <c r="V112" s="16" cm="1">
        <f t="array" ref="V112">IF(V$5="","",IFERROR(SUMPRODUCT(V101:V111*V48:V58)/SUM(V101:V111),0))</f>
        <v>144.06399999999999</v>
      </c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36"/>
      <c r="AY112" s="165"/>
    </row>
    <row r="113" spans="2:51" ht="14.25" x14ac:dyDescent="0.45">
      <c r="B113" s="50"/>
      <c r="C113" s="13"/>
      <c r="D113" s="4" t="s">
        <v>280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5"/>
      <c r="AY113" s="165"/>
    </row>
    <row r="114" spans="2:51" ht="14.25" x14ac:dyDescent="0.45">
      <c r="B114" s="50"/>
      <c r="C114" s="13" t="s">
        <v>281</v>
      </c>
      <c r="D114" s="3" t="s">
        <v>237</v>
      </c>
      <c r="E114" s="14">
        <f t="shared" ref="E114:G115" si="79">E37</f>
        <v>0</v>
      </c>
      <c r="F114" s="14">
        <f t="shared" si="79"/>
        <v>0</v>
      </c>
      <c r="G114" s="14">
        <f t="shared" si="79"/>
        <v>0</v>
      </c>
      <c r="H114" s="14">
        <f t="shared" ref="H114:J114" si="80">H37</f>
        <v>0</v>
      </c>
      <c r="I114" s="14">
        <f t="shared" si="80"/>
        <v>0</v>
      </c>
      <c r="J114" s="14">
        <f t="shared" si="80"/>
        <v>0</v>
      </c>
      <c r="K114" s="14">
        <f t="shared" ref="K114:O114" si="81">K37</f>
        <v>0</v>
      </c>
      <c r="L114" s="14">
        <f t="shared" si="81"/>
        <v>0</v>
      </c>
      <c r="M114" s="14">
        <f t="shared" si="81"/>
        <v>0</v>
      </c>
      <c r="N114" s="14">
        <f t="shared" si="81"/>
        <v>0</v>
      </c>
      <c r="O114" s="14">
        <f t="shared" si="81"/>
        <v>0</v>
      </c>
      <c r="P114" s="14">
        <f t="shared" ref="P114:Q114" si="82">P37</f>
        <v>0</v>
      </c>
      <c r="Q114" s="14">
        <f t="shared" si="82"/>
        <v>0</v>
      </c>
      <c r="R114" s="14">
        <f t="shared" ref="R114" si="83">R37</f>
        <v>0</v>
      </c>
      <c r="S114" s="14">
        <f>S37</f>
        <v>0</v>
      </c>
      <c r="T114" s="14">
        <f>T37</f>
        <v>0</v>
      </c>
      <c r="U114" s="14">
        <f t="shared" ref="U114:V115" si="84">U37</f>
        <v>0</v>
      </c>
      <c r="V114" s="14">
        <f t="shared" si="84"/>
        <v>0</v>
      </c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5"/>
      <c r="AY114" s="165"/>
    </row>
    <row r="115" spans="2:51" ht="14.25" x14ac:dyDescent="0.45">
      <c r="B115" s="50"/>
      <c r="C115" s="13" t="s">
        <v>281</v>
      </c>
      <c r="D115" s="3" t="s">
        <v>238</v>
      </c>
      <c r="E115" s="14">
        <f t="shared" si="79"/>
        <v>0</v>
      </c>
      <c r="F115" s="14">
        <f t="shared" si="79"/>
        <v>0</v>
      </c>
      <c r="G115" s="14">
        <f t="shared" si="79"/>
        <v>0</v>
      </c>
      <c r="H115" s="14">
        <f t="shared" ref="H115:J115" si="85">H38</f>
        <v>0</v>
      </c>
      <c r="I115" s="14">
        <f t="shared" si="85"/>
        <v>0</v>
      </c>
      <c r="J115" s="14">
        <f t="shared" si="85"/>
        <v>0</v>
      </c>
      <c r="K115" s="14">
        <f t="shared" ref="K115:O115" si="86">K38</f>
        <v>0</v>
      </c>
      <c r="L115" s="14">
        <f t="shared" si="86"/>
        <v>0</v>
      </c>
      <c r="M115" s="14">
        <f t="shared" si="86"/>
        <v>0</v>
      </c>
      <c r="N115" s="14">
        <f t="shared" si="86"/>
        <v>0</v>
      </c>
      <c r="O115" s="14">
        <f t="shared" si="86"/>
        <v>0</v>
      </c>
      <c r="P115" s="14">
        <f t="shared" ref="P115:Q115" si="87">P38</f>
        <v>0</v>
      </c>
      <c r="Q115" s="14">
        <f t="shared" si="87"/>
        <v>0</v>
      </c>
      <c r="R115" s="14">
        <f t="shared" ref="R115" si="88">R38</f>
        <v>0</v>
      </c>
      <c r="S115" s="14">
        <f>S38</f>
        <v>0</v>
      </c>
      <c r="T115" s="14">
        <f>T38</f>
        <v>0</v>
      </c>
      <c r="U115" s="14">
        <f t="shared" ref="U115" si="89">U38</f>
        <v>0</v>
      </c>
      <c r="V115" s="14">
        <f t="shared" si="84"/>
        <v>0</v>
      </c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5"/>
      <c r="AY115" s="165"/>
    </row>
    <row r="116" spans="2:51" ht="14.25" x14ac:dyDescent="0.45">
      <c r="B116" s="50"/>
      <c r="C116" s="13" t="s">
        <v>281</v>
      </c>
      <c r="D116" s="3" t="s">
        <v>234</v>
      </c>
      <c r="E116" s="14">
        <f t="shared" ref="E116:G118" si="90">E34</f>
        <v>0</v>
      </c>
      <c r="F116" s="14">
        <f t="shared" si="90"/>
        <v>0</v>
      </c>
      <c r="G116" s="14">
        <f t="shared" si="90"/>
        <v>0</v>
      </c>
      <c r="H116" s="14">
        <f t="shared" ref="H116:J116" si="91">H34</f>
        <v>0</v>
      </c>
      <c r="I116" s="14">
        <f t="shared" si="91"/>
        <v>0</v>
      </c>
      <c r="J116" s="14">
        <f t="shared" si="91"/>
        <v>0</v>
      </c>
      <c r="K116" s="14">
        <f t="shared" ref="K116:O116" si="92">K34</f>
        <v>0</v>
      </c>
      <c r="L116" s="14">
        <f t="shared" si="92"/>
        <v>0</v>
      </c>
      <c r="M116" s="14">
        <f t="shared" si="92"/>
        <v>0</v>
      </c>
      <c r="N116" s="14">
        <f t="shared" si="92"/>
        <v>0</v>
      </c>
      <c r="O116" s="14">
        <f t="shared" si="92"/>
        <v>0</v>
      </c>
      <c r="P116" s="14">
        <f t="shared" ref="P116:Q116" si="93">P34</f>
        <v>0</v>
      </c>
      <c r="Q116" s="14">
        <f t="shared" si="93"/>
        <v>0</v>
      </c>
      <c r="R116" s="14">
        <f t="shared" ref="R116" si="94">R34</f>
        <v>0</v>
      </c>
      <c r="S116" s="14">
        <f t="shared" ref="S116:T118" si="95">S34</f>
        <v>0</v>
      </c>
      <c r="T116" s="14">
        <f t="shared" si="95"/>
        <v>0</v>
      </c>
      <c r="U116" s="14">
        <f t="shared" ref="U116:V118" si="96">U34</f>
        <v>0</v>
      </c>
      <c r="V116" s="14">
        <f t="shared" si="96"/>
        <v>0</v>
      </c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33"/>
      <c r="AY116" s="165"/>
    </row>
    <row r="117" spans="2:51" ht="14.25" x14ac:dyDescent="0.45">
      <c r="B117" s="50"/>
      <c r="C117" s="13" t="s">
        <v>281</v>
      </c>
      <c r="D117" s="3" t="s">
        <v>235</v>
      </c>
      <c r="E117" s="14">
        <f t="shared" si="90"/>
        <v>0</v>
      </c>
      <c r="F117" s="14">
        <f t="shared" si="90"/>
        <v>0</v>
      </c>
      <c r="G117" s="14">
        <f t="shared" si="90"/>
        <v>0</v>
      </c>
      <c r="H117" s="14">
        <f t="shared" ref="H117:J117" si="97">H35</f>
        <v>0</v>
      </c>
      <c r="I117" s="14">
        <f t="shared" si="97"/>
        <v>0</v>
      </c>
      <c r="J117" s="14">
        <f t="shared" si="97"/>
        <v>0</v>
      </c>
      <c r="K117" s="14">
        <f t="shared" ref="K117:O117" si="98">K35</f>
        <v>0</v>
      </c>
      <c r="L117" s="14">
        <f t="shared" si="98"/>
        <v>0</v>
      </c>
      <c r="M117" s="14">
        <f t="shared" si="98"/>
        <v>0</v>
      </c>
      <c r="N117" s="14">
        <f t="shared" si="98"/>
        <v>0</v>
      </c>
      <c r="O117" s="14">
        <f t="shared" si="98"/>
        <v>0</v>
      </c>
      <c r="P117" s="14">
        <f t="shared" ref="P117:Q117" si="99">P35</f>
        <v>0</v>
      </c>
      <c r="Q117" s="14">
        <f t="shared" si="99"/>
        <v>0</v>
      </c>
      <c r="R117" s="14">
        <f t="shared" ref="R117" si="100">R35</f>
        <v>0</v>
      </c>
      <c r="S117" s="14">
        <f t="shared" si="95"/>
        <v>0</v>
      </c>
      <c r="T117" s="14">
        <f t="shared" si="95"/>
        <v>0</v>
      </c>
      <c r="U117" s="14">
        <f t="shared" ref="U117" si="101">U35</f>
        <v>0</v>
      </c>
      <c r="V117" s="14">
        <f t="shared" si="96"/>
        <v>0</v>
      </c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33"/>
      <c r="AY117" s="165"/>
    </row>
    <row r="118" spans="2:51" ht="14.25" x14ac:dyDescent="0.45">
      <c r="B118" s="50"/>
      <c r="C118" s="13" t="s">
        <v>281</v>
      </c>
      <c r="D118" s="3" t="s">
        <v>236</v>
      </c>
      <c r="E118" s="14">
        <f t="shared" si="90"/>
        <v>0</v>
      </c>
      <c r="F118" s="14">
        <f t="shared" si="90"/>
        <v>0</v>
      </c>
      <c r="G118" s="14">
        <f t="shared" si="90"/>
        <v>0</v>
      </c>
      <c r="H118" s="14">
        <f t="shared" ref="H118:J118" si="102">H36</f>
        <v>0</v>
      </c>
      <c r="I118" s="14">
        <f t="shared" si="102"/>
        <v>0</v>
      </c>
      <c r="J118" s="14">
        <f t="shared" si="102"/>
        <v>0</v>
      </c>
      <c r="K118" s="14">
        <f t="shared" ref="K118:O118" si="103">K36</f>
        <v>0</v>
      </c>
      <c r="L118" s="14">
        <f t="shared" si="103"/>
        <v>0</v>
      </c>
      <c r="M118" s="14">
        <f t="shared" si="103"/>
        <v>0</v>
      </c>
      <c r="N118" s="14">
        <f t="shared" si="103"/>
        <v>0</v>
      </c>
      <c r="O118" s="14">
        <f t="shared" si="103"/>
        <v>0</v>
      </c>
      <c r="P118" s="14">
        <f t="shared" ref="P118:Q118" si="104">P36</f>
        <v>0</v>
      </c>
      <c r="Q118" s="14">
        <f t="shared" si="104"/>
        <v>0</v>
      </c>
      <c r="R118" s="14">
        <f t="shared" ref="R118" si="105">R36</f>
        <v>0</v>
      </c>
      <c r="S118" s="14">
        <f t="shared" si="95"/>
        <v>0</v>
      </c>
      <c r="T118" s="14">
        <f t="shared" si="95"/>
        <v>0</v>
      </c>
      <c r="U118" s="14">
        <f t="shared" ref="U118" si="106">U36</f>
        <v>0</v>
      </c>
      <c r="V118" s="14">
        <f t="shared" si="96"/>
        <v>0</v>
      </c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33"/>
      <c r="AY118" s="165"/>
    </row>
    <row r="119" spans="2:51" ht="14.25" x14ac:dyDescent="0.45">
      <c r="B119" s="50"/>
      <c r="C119" s="13" t="s">
        <v>281</v>
      </c>
      <c r="D119" s="3" t="s">
        <v>239</v>
      </c>
      <c r="E119" s="14">
        <f t="shared" ref="E119:G120" si="107">E39</f>
        <v>0</v>
      </c>
      <c r="F119" s="14">
        <f t="shared" si="107"/>
        <v>0</v>
      </c>
      <c r="G119" s="14">
        <f t="shared" si="107"/>
        <v>0</v>
      </c>
      <c r="H119" s="14">
        <f t="shared" ref="H119:J119" si="108">H39</f>
        <v>0</v>
      </c>
      <c r="I119" s="14">
        <f t="shared" si="108"/>
        <v>0</v>
      </c>
      <c r="J119" s="14">
        <f t="shared" si="108"/>
        <v>0</v>
      </c>
      <c r="K119" s="14">
        <f t="shared" ref="K119:O119" si="109">K39</f>
        <v>0</v>
      </c>
      <c r="L119" s="14">
        <f t="shared" si="109"/>
        <v>0</v>
      </c>
      <c r="M119" s="14">
        <f t="shared" si="109"/>
        <v>0</v>
      </c>
      <c r="N119" s="14">
        <f t="shared" si="109"/>
        <v>0</v>
      </c>
      <c r="O119" s="14">
        <f t="shared" si="109"/>
        <v>0</v>
      </c>
      <c r="P119" s="14">
        <f t="shared" ref="P119:Q119" si="110">P39</f>
        <v>0</v>
      </c>
      <c r="Q119" s="14">
        <f t="shared" si="110"/>
        <v>0</v>
      </c>
      <c r="R119" s="14">
        <f t="shared" ref="R119" si="111">R39</f>
        <v>0</v>
      </c>
      <c r="S119" s="14">
        <f>S39</f>
        <v>0</v>
      </c>
      <c r="T119" s="14">
        <f>T39</f>
        <v>0</v>
      </c>
      <c r="U119" s="14">
        <f t="shared" ref="U119:V120" si="112">U39</f>
        <v>0</v>
      </c>
      <c r="V119" s="14">
        <f t="shared" si="112"/>
        <v>0</v>
      </c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33"/>
      <c r="AY119" s="165"/>
    </row>
    <row r="120" spans="2:51" ht="14.25" x14ac:dyDescent="0.45">
      <c r="B120" s="50"/>
      <c r="C120" s="13" t="s">
        <v>281</v>
      </c>
      <c r="D120" s="3" t="s">
        <v>282</v>
      </c>
      <c r="E120" s="14">
        <f t="shared" si="107"/>
        <v>0</v>
      </c>
      <c r="F120" s="14">
        <f t="shared" si="107"/>
        <v>0</v>
      </c>
      <c r="G120" s="14">
        <f t="shared" si="107"/>
        <v>0</v>
      </c>
      <c r="H120" s="14">
        <f t="shared" ref="H120:J120" si="113">H40</f>
        <v>0</v>
      </c>
      <c r="I120" s="14">
        <f t="shared" si="113"/>
        <v>0</v>
      </c>
      <c r="J120" s="14">
        <f t="shared" si="113"/>
        <v>0</v>
      </c>
      <c r="K120" s="14">
        <f t="shared" ref="K120:O120" si="114">K40</f>
        <v>0</v>
      </c>
      <c r="L120" s="14">
        <f t="shared" si="114"/>
        <v>0</v>
      </c>
      <c r="M120" s="14">
        <f t="shared" si="114"/>
        <v>0</v>
      </c>
      <c r="N120" s="14">
        <f t="shared" si="114"/>
        <v>0</v>
      </c>
      <c r="O120" s="14">
        <f t="shared" si="114"/>
        <v>0</v>
      </c>
      <c r="P120" s="14">
        <f t="shared" ref="P120:Q120" si="115">P40</f>
        <v>0</v>
      </c>
      <c r="Q120" s="14">
        <f t="shared" si="115"/>
        <v>0</v>
      </c>
      <c r="R120" s="14">
        <f t="shared" ref="R120" si="116">R40</f>
        <v>0</v>
      </c>
      <c r="S120" s="14">
        <f>S40</f>
        <v>0</v>
      </c>
      <c r="T120" s="14">
        <f>T40</f>
        <v>0</v>
      </c>
      <c r="U120" s="14">
        <f t="shared" ref="U120" si="117">U40</f>
        <v>0</v>
      </c>
      <c r="V120" s="14">
        <f t="shared" si="112"/>
        <v>0</v>
      </c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33"/>
      <c r="AY120" s="165"/>
    </row>
    <row r="121" spans="2:51" ht="14.25" x14ac:dyDescent="0.45">
      <c r="B121" s="50"/>
      <c r="C121" s="13" t="s">
        <v>281</v>
      </c>
      <c r="D121" s="3" t="s">
        <v>283</v>
      </c>
      <c r="E121" s="14">
        <f>IFERROR(IF(E120=0,0,E120*2),"")</f>
        <v>0</v>
      </c>
      <c r="F121" s="14">
        <f>IFERROR(IF(F120=0,0,F120*2),"")</f>
        <v>0</v>
      </c>
      <c r="G121" s="14">
        <f>IFERROR(IF(G120=0,0,G120*2),"")</f>
        <v>0</v>
      </c>
      <c r="H121" s="14">
        <f t="shared" ref="H121:J121" si="118">IFERROR(IF(H120=0,0,H120*2),"")</f>
        <v>0</v>
      </c>
      <c r="I121" s="14">
        <f t="shared" si="118"/>
        <v>0</v>
      </c>
      <c r="J121" s="14">
        <f t="shared" si="118"/>
        <v>0</v>
      </c>
      <c r="K121" s="14">
        <f t="shared" ref="K121:O121" si="119">IFERROR(IF(K120=0,0,K120*2),"")</f>
        <v>0</v>
      </c>
      <c r="L121" s="14">
        <f t="shared" si="119"/>
        <v>0</v>
      </c>
      <c r="M121" s="14">
        <f t="shared" si="119"/>
        <v>0</v>
      </c>
      <c r="N121" s="14">
        <f t="shared" si="119"/>
        <v>0</v>
      </c>
      <c r="O121" s="14">
        <f t="shared" si="119"/>
        <v>0</v>
      </c>
      <c r="P121" s="14">
        <f t="shared" ref="P121:Q121" si="120">IFERROR(IF(P120=0,0,P120*2),"")</f>
        <v>0</v>
      </c>
      <c r="Q121" s="14">
        <f t="shared" si="120"/>
        <v>0</v>
      </c>
      <c r="R121" s="14">
        <f t="shared" ref="R121" si="121">IFERROR(IF(R120=0,0,R120*2),"")</f>
        <v>0</v>
      </c>
      <c r="S121" s="14">
        <f>IFERROR(IF(S120=0,0,S120*2),"")</f>
        <v>0</v>
      </c>
      <c r="T121" s="14">
        <f>IFERROR(IF(T120=0,0,T120*2),"")</f>
        <v>0</v>
      </c>
      <c r="U121" s="14">
        <f t="shared" ref="U121:V121" si="122">IFERROR(IF(U120=0,0,U120*2),"")</f>
        <v>0</v>
      </c>
      <c r="V121" s="14">
        <f t="shared" si="122"/>
        <v>0</v>
      </c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33"/>
      <c r="AY121" s="165"/>
    </row>
    <row r="122" spans="2:51" ht="14.25" x14ac:dyDescent="0.45">
      <c r="B122" s="50"/>
      <c r="C122" s="13" t="s">
        <v>281</v>
      </c>
      <c r="D122" s="3" t="s">
        <v>284</v>
      </c>
      <c r="E122" s="17">
        <f>IF(E28&gt;0,5%,0%)</f>
        <v>0</v>
      </c>
      <c r="F122" s="17">
        <f>IF(F28&gt;0,5%,0%)</f>
        <v>0</v>
      </c>
      <c r="G122" s="17">
        <f>IF(G28&gt;0,5%,0%)</f>
        <v>0</v>
      </c>
      <c r="H122" s="17">
        <f t="shared" ref="H122:J122" si="123">IF(H28&gt;0,5%,0%)</f>
        <v>0</v>
      </c>
      <c r="I122" s="17">
        <f t="shared" si="123"/>
        <v>0</v>
      </c>
      <c r="J122" s="17">
        <f t="shared" si="123"/>
        <v>0</v>
      </c>
      <c r="K122" s="17">
        <f t="shared" ref="K122:O122" si="124">IF(K28&gt;0,5%,0%)</f>
        <v>0</v>
      </c>
      <c r="L122" s="17">
        <f t="shared" si="124"/>
        <v>0</v>
      </c>
      <c r="M122" s="17">
        <f t="shared" si="124"/>
        <v>0</v>
      </c>
      <c r="N122" s="17">
        <f t="shared" si="124"/>
        <v>0</v>
      </c>
      <c r="O122" s="17">
        <f t="shared" si="124"/>
        <v>0</v>
      </c>
      <c r="P122" s="17">
        <f t="shared" ref="P122:Q122" si="125">IF(P28&gt;0,5%,0%)</f>
        <v>0</v>
      </c>
      <c r="Q122" s="17">
        <f t="shared" si="125"/>
        <v>0</v>
      </c>
      <c r="R122" s="17">
        <f t="shared" ref="R122" si="126">IF(R28&gt;0,5%,0%)</f>
        <v>0</v>
      </c>
      <c r="S122" s="17">
        <f>IF(S28&gt;0,5%,0%)</f>
        <v>0</v>
      </c>
      <c r="T122" s="17">
        <f>IF(T28&gt;0,5%,0%)</f>
        <v>0</v>
      </c>
      <c r="U122" s="17">
        <f t="shared" ref="U122:V122" si="127">IF(U28&gt;0,5%,0%)</f>
        <v>0</v>
      </c>
      <c r="V122" s="17">
        <f t="shared" si="127"/>
        <v>0</v>
      </c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37"/>
      <c r="AY122" s="165"/>
    </row>
    <row r="123" spans="2:51" ht="14.25" x14ac:dyDescent="0.45">
      <c r="B123" s="50"/>
      <c r="C123" s="13" t="s">
        <v>281</v>
      </c>
      <c r="D123" s="3" t="s">
        <v>285</v>
      </c>
      <c r="E123" s="16" cm="1">
        <f t="array" ref="E123">IFERROR(IF(SUM(E114:E121)=0,0,SUMPRODUCT(E114:E121*E61:E68)/SUM(E114:E120)+SUMPRODUCT(E114:E121*E61:E68)/SUM(E114:E120)*E122),"")</f>
        <v>0</v>
      </c>
      <c r="F123" s="16" cm="1">
        <f t="array" ref="F123">IFERROR(IF(SUM(F114:F121)=0,0,SUMPRODUCT(F114:F121*F61:F68)/SUM(F114:F120)+SUMPRODUCT(F114:F121*F61:F68)/SUM(F114:F120)*F122),"")</f>
        <v>0</v>
      </c>
      <c r="G123" s="16" cm="1">
        <f t="array" ref="G123">IFERROR(IF(SUM(G114:G121)=0,0,SUMPRODUCT(G114:G121*G61:G68)/SUM(G114:G120)+SUMPRODUCT(G114:G121*G61:G68)/SUM(G114:G120)*G122),"")</f>
        <v>0</v>
      </c>
      <c r="H123" s="16" cm="1">
        <f t="array" ref="H123">IFERROR(IF(SUM(H114:H121)=0,0,SUMPRODUCT(H114:H121*H61:H68)/SUM(H114:H120)+SUMPRODUCT(H114:H121*H61:H68)/SUM(H114:H120)*H122),"")</f>
        <v>0</v>
      </c>
      <c r="I123" s="16" cm="1">
        <f t="array" ref="I123">IFERROR(IF(SUM(I114:I121)=0,0,SUMPRODUCT(I114:I121*I61:I68)/SUM(I114:I120)+SUMPRODUCT(I114:I121*I61:I68)/SUM(I114:I120)*I122),"")</f>
        <v>0</v>
      </c>
      <c r="J123" s="16" cm="1">
        <f t="array" ref="J123">IFERROR(IF(SUM(J114:J121)=0,0,SUMPRODUCT(J114:J121*J61:J68)/SUM(J114:J120)+SUMPRODUCT(J114:J121*J61:J68)/SUM(J114:J120)*J122),"")</f>
        <v>0</v>
      </c>
      <c r="K123" s="16" cm="1">
        <f t="array" ref="K123">IFERROR(IF(SUM(K114:K121)=0,0,SUMPRODUCT(K114:K121*K61:K68)/SUM(K114:K120)+SUMPRODUCT(K114:K121*K61:K68)/SUM(K114:K120)*K122),"")</f>
        <v>0</v>
      </c>
      <c r="L123" s="16" cm="1">
        <f t="array" ref="L123">IFERROR(IF(SUM(L114:L121)=0,0,SUMPRODUCT(L114:L121*L61:L68)/SUM(L114:L120)+SUMPRODUCT(L114:L121*L61:L68)/SUM(L114:L120)*L122),"")</f>
        <v>0</v>
      </c>
      <c r="M123" s="16" cm="1">
        <f t="array" ref="M123">IFERROR(IF(SUM(M114:M121)=0,0,SUMPRODUCT(M114:M121*M61:M68)/SUM(M114:M120)+SUMPRODUCT(M114:M121*M61:M68)/SUM(M114:M120)*M122),"")</f>
        <v>0</v>
      </c>
      <c r="N123" s="16" cm="1">
        <f t="array" ref="N123">IFERROR(IF(SUM(N114:N121)=0,0,SUMPRODUCT(N114:N121*N61:N68)/SUM(N114:N120)+SUMPRODUCT(N114:N121*N61:N68)/SUM(N114:N120)*N122),"")</f>
        <v>0</v>
      </c>
      <c r="O123" s="16" cm="1">
        <f t="array" ref="O123">IFERROR(IF(SUM(O114:O121)=0,0,SUMPRODUCT(O114:O121*O61:O68)/SUM(O114:O120)+SUMPRODUCT(O114:O121*O61:O68)/SUM(O114:O120)*O122),"")</f>
        <v>0</v>
      </c>
      <c r="P123" s="16" cm="1">
        <f t="array" ref="P123">IFERROR(IF(SUM(P114:P121)=0,0,SUMPRODUCT(P114:P121*P61:P68)/SUM(P114:P120)+SUMPRODUCT(P114:P121*P61:P68)/SUM(P114:P120)*P122),"")</f>
        <v>0</v>
      </c>
      <c r="Q123" s="16" cm="1">
        <f t="array" ref="Q123">IFERROR(IF(SUM(Q114:Q121)=0,0,SUMPRODUCT(Q114:Q121*Q61:Q68)/SUM(Q114:Q120)+SUMPRODUCT(Q114:Q121*Q61:Q68)/SUM(Q114:Q120)*Q122),"")</f>
        <v>0</v>
      </c>
      <c r="R123" s="16" cm="1">
        <f t="array" ref="R123">IFERROR(IF(SUM(R114:R121)=0,0,SUMPRODUCT(R114:R121*R61:R68)/SUM(R114:R120)+SUMPRODUCT(R114:R121*R61:R68)/SUM(R114:R120)*R122),"")</f>
        <v>0</v>
      </c>
      <c r="S123" s="16" cm="1">
        <f t="array" ref="S123">IFERROR(IF(SUM(S114:S121)=0,0,SUMPRODUCT(S114:S121*S61:S68)/SUM(S114:S120)+SUMPRODUCT(S114:S121*S61:S68)/SUM(S114:S120)*S122),"")</f>
        <v>0</v>
      </c>
      <c r="T123" s="16" cm="1">
        <f t="array" ref="T123">IFERROR(IF(SUM(T114:T121)=0,0,SUMPRODUCT(T114:T121*T61:T68)/SUM(T114:T120)+SUMPRODUCT(T114:T121*T61:T68)/SUM(T114:T120)*T122),"")</f>
        <v>0</v>
      </c>
      <c r="U123" s="16" cm="1">
        <f t="array" ref="U123">IFERROR(IF(SUM(U114:U121)=0,0,SUMPRODUCT(U114:U121*U61:U68)/SUM(U114:U120)+SUMPRODUCT(U114:U121*U61:U68)/SUM(U114:U120)*U122),"")</f>
        <v>0</v>
      </c>
      <c r="V123" s="16" cm="1">
        <f t="array" ref="V123">IFERROR(IF(SUM(V114:V121)=0,0,SUMPRODUCT(V114:V121*V61:V68)/SUM(V114:V120)+SUMPRODUCT(V114:V121*V61:V68)/SUM(V114:V120)*V122),"")</f>
        <v>0</v>
      </c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36"/>
      <c r="AY123" s="165"/>
    </row>
    <row r="124" spans="2:51" ht="14.25" x14ac:dyDescent="0.45">
      <c r="B124" s="50"/>
      <c r="C124" s="13" t="s">
        <v>286</v>
      </c>
      <c r="D124" s="3" t="s">
        <v>287</v>
      </c>
      <c r="E124" s="14">
        <f>IF(E$5="","",IFERROR(E44,0))</f>
        <v>189.42148721311474</v>
      </c>
      <c r="F124" s="14">
        <f>IF(F$5="","",IFERROR(F44,0))</f>
        <v>194.87876721311474</v>
      </c>
      <c r="G124" s="14">
        <f>IF(G$5="","",IFERROR(G44,0))</f>
        <v>446.88075409836063</v>
      </c>
      <c r="H124" s="14">
        <f t="shared" ref="H124:J124" si="128">IF(H$5="","",IFERROR(H44,0))</f>
        <v>383.04075409836059</v>
      </c>
      <c r="I124" s="14">
        <f t="shared" si="128"/>
        <v>383.04075409836059</v>
      </c>
      <c r="J124" s="14">
        <f t="shared" si="128"/>
        <v>383.04475409836067</v>
      </c>
      <c r="K124" s="14">
        <f t="shared" ref="K124:O124" si="129">IF(K$5="","",IFERROR(K44,0))</f>
        <v>99.117377049180334</v>
      </c>
      <c r="L124" s="14">
        <f t="shared" si="129"/>
        <v>32.642786885245897</v>
      </c>
      <c r="M124" s="14">
        <f t="shared" si="129"/>
        <v>189.59796721311474</v>
      </c>
      <c r="N124" s="14">
        <f t="shared" si="129"/>
        <v>77.759180327868847</v>
      </c>
      <c r="O124" s="14">
        <f t="shared" si="129"/>
        <v>99.123377049180334</v>
      </c>
      <c r="P124" s="14">
        <f t="shared" ref="P124:Q124" si="130">IF(P$5="","",IFERROR(P44,0))</f>
        <v>149.03977049180327</v>
      </c>
      <c r="Q124" s="14">
        <f t="shared" si="130"/>
        <v>77.759180327868847</v>
      </c>
      <c r="R124" s="14">
        <f t="shared" ref="R124" si="131">IF(R$5="","",IFERROR(R44,0))</f>
        <v>53.46770491803278</v>
      </c>
      <c r="S124" s="14">
        <f>IF(S$5="","",IFERROR(S44,0))</f>
        <v>106.21597639344262</v>
      </c>
      <c r="T124" s="14">
        <f>IF(T$5="","",IFERROR(T44,0))</f>
        <v>36.006393442622951</v>
      </c>
      <c r="U124" s="14">
        <f t="shared" ref="U124:V124" si="132">IF(U$5="","",IFERROR(U44,0))</f>
        <v>1096.0650000000001</v>
      </c>
      <c r="V124" s="14">
        <f t="shared" si="132"/>
        <v>57.2</v>
      </c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33"/>
      <c r="AY124" s="165"/>
    </row>
    <row r="125" spans="2:51" ht="14.25" x14ac:dyDescent="0.45">
      <c r="B125" s="50"/>
      <c r="C125" s="13" t="s">
        <v>286</v>
      </c>
      <c r="D125" s="3" t="s">
        <v>288</v>
      </c>
      <c r="E125" s="14">
        <f>E42</f>
        <v>0</v>
      </c>
      <c r="F125" s="14">
        <f>F42</f>
        <v>0</v>
      </c>
      <c r="G125" s="14">
        <f>G42</f>
        <v>129.50399999999999</v>
      </c>
      <c r="H125" s="14">
        <f t="shared" ref="H125:J125" si="133">H42</f>
        <v>129.50399999999999</v>
      </c>
      <c r="I125" s="14">
        <f t="shared" si="133"/>
        <v>129.50399999999999</v>
      </c>
      <c r="J125" s="14">
        <f t="shared" si="133"/>
        <v>0</v>
      </c>
      <c r="K125" s="14">
        <f t="shared" ref="K125:O125" si="134">K42</f>
        <v>0</v>
      </c>
      <c r="L125" s="14">
        <f t="shared" si="134"/>
        <v>0</v>
      </c>
      <c r="M125" s="14">
        <f t="shared" si="134"/>
        <v>64.463999999999999</v>
      </c>
      <c r="N125" s="14">
        <f t="shared" si="134"/>
        <v>0</v>
      </c>
      <c r="O125" s="14">
        <f t="shared" si="134"/>
        <v>33.984000000000002</v>
      </c>
      <c r="P125" s="14">
        <f t="shared" ref="P125:Q125" si="135">P42</f>
        <v>50.784000000000006</v>
      </c>
      <c r="Q125" s="14">
        <f t="shared" si="135"/>
        <v>0</v>
      </c>
      <c r="R125" s="14">
        <f t="shared" ref="R125" si="136">R42</f>
        <v>0</v>
      </c>
      <c r="S125" s="14">
        <f>S42</f>
        <v>0</v>
      </c>
      <c r="T125" s="14">
        <f>T42</f>
        <v>12.6</v>
      </c>
      <c r="U125" s="14">
        <f t="shared" ref="U125:V125" si="137">U42</f>
        <v>0</v>
      </c>
      <c r="V125" s="14">
        <f t="shared" si="137"/>
        <v>0</v>
      </c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33"/>
      <c r="AY125" s="165"/>
    </row>
    <row r="126" spans="2:51" ht="14.25" x14ac:dyDescent="0.45">
      <c r="B126" s="50"/>
      <c r="C126" s="13" t="s">
        <v>286</v>
      </c>
      <c r="D126" s="3" t="s">
        <v>289</v>
      </c>
      <c r="E126" s="14">
        <f>E33</f>
        <v>63.060479999999998</v>
      </c>
      <c r="F126" s="14">
        <f>F33</f>
        <v>162.34320000000002</v>
      </c>
      <c r="G126" s="14">
        <f>G33</f>
        <v>0</v>
      </c>
      <c r="H126" s="14">
        <f t="shared" ref="H126:J126" si="138">H33</f>
        <v>0</v>
      </c>
      <c r="I126" s="14">
        <f t="shared" si="138"/>
        <v>0</v>
      </c>
      <c r="J126" s="14">
        <f t="shared" si="138"/>
        <v>0</v>
      </c>
      <c r="K126" s="14">
        <f t="shared" ref="K126:O126" si="139">K33</f>
        <v>0</v>
      </c>
      <c r="L126" s="14">
        <f t="shared" si="139"/>
        <v>0</v>
      </c>
      <c r="M126" s="14">
        <f t="shared" si="139"/>
        <v>0</v>
      </c>
      <c r="N126" s="14">
        <f t="shared" si="139"/>
        <v>0</v>
      </c>
      <c r="O126" s="14">
        <f t="shared" si="139"/>
        <v>0</v>
      </c>
      <c r="P126" s="14">
        <f t="shared" ref="P126:Q126" si="140">P33</f>
        <v>0</v>
      </c>
      <c r="Q126" s="14">
        <f t="shared" si="140"/>
        <v>0</v>
      </c>
      <c r="R126" s="14">
        <f t="shared" ref="R126" si="141">R33</f>
        <v>0</v>
      </c>
      <c r="S126" s="14">
        <f>S33</f>
        <v>50.243040000000001</v>
      </c>
      <c r="T126" s="14">
        <f>T33</f>
        <v>0</v>
      </c>
      <c r="U126" s="14">
        <f t="shared" ref="U126:V126" si="142">U33</f>
        <v>0</v>
      </c>
      <c r="V126" s="14">
        <f t="shared" si="142"/>
        <v>0</v>
      </c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33"/>
      <c r="AY126" s="165"/>
    </row>
    <row r="127" spans="2:51" ht="14.25" x14ac:dyDescent="0.45">
      <c r="B127" s="50"/>
      <c r="C127" s="13" t="s">
        <v>286</v>
      </c>
      <c r="D127" s="3" t="s">
        <v>290</v>
      </c>
      <c r="E127" s="14">
        <f>E41</f>
        <v>0</v>
      </c>
      <c r="F127" s="14">
        <f>F41</f>
        <v>0</v>
      </c>
      <c r="G127" s="14">
        <f>G41</f>
        <v>0</v>
      </c>
      <c r="H127" s="14">
        <f t="shared" ref="H127:J127" si="143">H41</f>
        <v>0</v>
      </c>
      <c r="I127" s="14">
        <f t="shared" si="143"/>
        <v>0</v>
      </c>
      <c r="J127" s="14">
        <f t="shared" si="143"/>
        <v>0</v>
      </c>
      <c r="K127" s="14">
        <f t="shared" ref="K127:O127" si="144">K41</f>
        <v>0</v>
      </c>
      <c r="L127" s="14">
        <f t="shared" si="144"/>
        <v>0</v>
      </c>
      <c r="M127" s="14">
        <f t="shared" si="144"/>
        <v>0</v>
      </c>
      <c r="N127" s="14">
        <f t="shared" si="144"/>
        <v>0</v>
      </c>
      <c r="O127" s="14">
        <f t="shared" si="144"/>
        <v>0</v>
      </c>
      <c r="P127" s="14">
        <f t="shared" ref="P127:Q127" si="145">P41</f>
        <v>0</v>
      </c>
      <c r="Q127" s="14">
        <f t="shared" si="145"/>
        <v>0</v>
      </c>
      <c r="R127" s="14">
        <f t="shared" ref="R127" si="146">R41</f>
        <v>0</v>
      </c>
      <c r="S127" s="14">
        <f>S41</f>
        <v>0</v>
      </c>
      <c r="T127" s="14">
        <f>T41</f>
        <v>0</v>
      </c>
      <c r="U127" s="14">
        <f t="shared" ref="U127:V127" si="147">U41</f>
        <v>0</v>
      </c>
      <c r="V127" s="14">
        <f t="shared" si="147"/>
        <v>0</v>
      </c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33"/>
      <c r="AY127" s="165"/>
    </row>
    <row r="128" spans="2:51" ht="14.25" x14ac:dyDescent="0.45">
      <c r="B128" s="50"/>
      <c r="C128" s="13" t="s">
        <v>286</v>
      </c>
      <c r="D128" s="3" t="s">
        <v>291</v>
      </c>
      <c r="E128" s="14">
        <f>IF(E$5="","",SUM(E114:E120))</f>
        <v>0</v>
      </c>
      <c r="F128" s="14">
        <f>IF(F$5="","",SUM(F114:F120))</f>
        <v>0</v>
      </c>
      <c r="G128" s="14">
        <f>IF(G$5="","",SUM(G114:G120))</f>
        <v>0</v>
      </c>
      <c r="H128" s="14">
        <f t="shared" ref="H128:J128" si="148">IF(H$5="","",SUM(H114:H120))</f>
        <v>0</v>
      </c>
      <c r="I128" s="14">
        <f t="shared" si="148"/>
        <v>0</v>
      </c>
      <c r="J128" s="14">
        <f t="shared" si="148"/>
        <v>0</v>
      </c>
      <c r="K128" s="14">
        <f t="shared" ref="K128:O128" si="149">IF(K$5="","",SUM(K114:K120))</f>
        <v>0</v>
      </c>
      <c r="L128" s="14">
        <f t="shared" si="149"/>
        <v>0</v>
      </c>
      <c r="M128" s="14">
        <f t="shared" si="149"/>
        <v>0</v>
      </c>
      <c r="N128" s="14">
        <f t="shared" si="149"/>
        <v>0</v>
      </c>
      <c r="O128" s="14">
        <f t="shared" si="149"/>
        <v>0</v>
      </c>
      <c r="P128" s="14">
        <f t="shared" ref="P128:Q128" si="150">IF(P$5="","",SUM(P114:P120))</f>
        <v>0</v>
      </c>
      <c r="Q128" s="14">
        <f t="shared" si="150"/>
        <v>0</v>
      </c>
      <c r="R128" s="14">
        <f t="shared" ref="R128" si="151">IF(R$5="","",SUM(R114:R120))</f>
        <v>0</v>
      </c>
      <c r="S128" s="14">
        <f>IF(S$5="","",SUM(S114:S120))</f>
        <v>0</v>
      </c>
      <c r="T128" s="14">
        <f>IF(T$5="","",SUM(T114:T120))</f>
        <v>0</v>
      </c>
      <c r="U128" s="14">
        <f t="shared" ref="U128:V128" si="152">IF(U$5="","",SUM(U114:U120))</f>
        <v>0</v>
      </c>
      <c r="V128" s="14">
        <f t="shared" si="152"/>
        <v>0</v>
      </c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33"/>
      <c r="AY128" s="165"/>
    </row>
    <row r="129" spans="2:51" ht="14.25" x14ac:dyDescent="0.45">
      <c r="B129" s="50"/>
      <c r="C129" s="13" t="s">
        <v>286</v>
      </c>
      <c r="D129" s="3" t="s">
        <v>292</v>
      </c>
      <c r="E129" s="14">
        <f>E31+E32+E43</f>
        <v>20.518032786885247</v>
      </c>
      <c r="F129" s="14">
        <f>F31+F32+F43</f>
        <v>20.518032786885247</v>
      </c>
      <c r="G129" s="14">
        <f>G31+G32+G43</f>
        <v>96.885245901639337</v>
      </c>
      <c r="H129" s="14">
        <f t="shared" ref="H129:J129" si="153">H31+H32+H43</f>
        <v>96.885245901639337</v>
      </c>
      <c r="I129" s="14">
        <f t="shared" si="153"/>
        <v>26.885245901639344</v>
      </c>
      <c r="J129" s="14">
        <f t="shared" si="153"/>
        <v>26.885245901639344</v>
      </c>
      <c r="K129" s="14">
        <f t="shared" ref="K129:O129" si="154">K31+K32+K43</f>
        <v>15.442622950819672</v>
      </c>
      <c r="L129" s="14">
        <f t="shared" si="154"/>
        <v>13.967213114754099</v>
      </c>
      <c r="M129" s="14">
        <f t="shared" si="154"/>
        <v>20.518032786885247</v>
      </c>
      <c r="N129" s="14">
        <f t="shared" si="154"/>
        <v>10.950819672131146</v>
      </c>
      <c r="O129" s="14">
        <f t="shared" si="154"/>
        <v>15.442622950819672</v>
      </c>
      <c r="P129" s="14">
        <f t="shared" ref="P129:Q129" si="155">P31+P32+P43</f>
        <v>19.42622950819672</v>
      </c>
      <c r="Q129" s="14">
        <f t="shared" si="155"/>
        <v>2.9508196721311473</v>
      </c>
      <c r="R129" s="14">
        <f t="shared" ref="R129" si="156">R31+R32+R43</f>
        <v>10.262295081967213</v>
      </c>
      <c r="S129" s="14">
        <f>S31+S32+S43</f>
        <v>3.540983606557377</v>
      </c>
      <c r="T129" s="14">
        <f>T31+T32+T43</f>
        <v>0.98360655737704927</v>
      </c>
      <c r="U129" s="14">
        <f t="shared" ref="U129:V129" si="157">U31+U32+U43</f>
        <v>0</v>
      </c>
      <c r="V129" s="14">
        <f t="shared" si="157"/>
        <v>2.459016393442623</v>
      </c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33"/>
      <c r="AY129" s="165"/>
    </row>
    <row r="130" spans="2:51" ht="14.25" x14ac:dyDescent="0.45">
      <c r="B130" s="50"/>
      <c r="C130" s="13" t="s">
        <v>286</v>
      </c>
      <c r="D130" s="3" t="s">
        <v>293</v>
      </c>
      <c r="E130" s="14">
        <f>IF(E$5="","",SUM(E124:E129))</f>
        <v>273</v>
      </c>
      <c r="F130" s="14">
        <f>IF(F$5="","",SUM(F124:F129))</f>
        <v>377.74000000000007</v>
      </c>
      <c r="G130" s="14">
        <f>IF(G$5="","",SUM(G124:G129))</f>
        <v>673.27</v>
      </c>
      <c r="H130" s="14">
        <f t="shared" ref="H130:J130" si="158">IF(H$5="","",SUM(H124:H129))</f>
        <v>609.42999999999995</v>
      </c>
      <c r="I130" s="14">
        <f t="shared" si="158"/>
        <v>539.42999999999995</v>
      </c>
      <c r="J130" s="14">
        <f t="shared" si="158"/>
        <v>409.93</v>
      </c>
      <c r="K130" s="14">
        <f t="shared" ref="K130:O130" si="159">IF(K$5="","",SUM(K124:K129))</f>
        <v>114.56</v>
      </c>
      <c r="L130" s="14">
        <f t="shared" si="159"/>
        <v>46.61</v>
      </c>
      <c r="M130" s="14">
        <f t="shared" si="159"/>
        <v>274.58</v>
      </c>
      <c r="N130" s="14">
        <f t="shared" si="159"/>
        <v>88.71</v>
      </c>
      <c r="O130" s="14">
        <f t="shared" si="159"/>
        <v>148.55000000000001</v>
      </c>
      <c r="P130" s="14">
        <f t="shared" ref="P130:Q130" si="160">IF(P$5="","",SUM(P124:P129))</f>
        <v>219.24999999999997</v>
      </c>
      <c r="Q130" s="14">
        <f t="shared" si="160"/>
        <v>80.709999999999994</v>
      </c>
      <c r="R130" s="14">
        <f t="shared" ref="R130" si="161">IF(R$5="","",SUM(R124:R129))</f>
        <v>63.72999999999999</v>
      </c>
      <c r="S130" s="14">
        <f>IF(S$5="","",SUM(S124:S129))</f>
        <v>160</v>
      </c>
      <c r="T130" s="14">
        <f>IF(T$5="","",SUM(T124:T129))</f>
        <v>49.59</v>
      </c>
      <c r="U130" s="14">
        <f t="shared" ref="U130:V130" si="162">IF(U$5="","",SUM(U124:U129))</f>
        <v>1096.0650000000001</v>
      </c>
      <c r="V130" s="14">
        <f t="shared" si="162"/>
        <v>59.659016393442627</v>
      </c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33"/>
      <c r="AY130" s="165"/>
    </row>
    <row r="131" spans="2:51" ht="14.25" x14ac:dyDescent="0.45">
      <c r="B131" s="50"/>
      <c r="C131" s="13"/>
      <c r="D131" s="4" t="s">
        <v>294</v>
      </c>
      <c r="E131" s="16">
        <f>IFERROR((E124*E84+E125*E99+E126*E112+E127*E60+E128*E123+E129*E56)/E130,"")</f>
        <v>145.98776865738409</v>
      </c>
      <c r="F131" s="16">
        <f>IFERROR((F124*F84+F125*F99+F126*F112+F127*F60+F128*F123+F129*F56)/F130,"")</f>
        <v>145.28167318655227</v>
      </c>
      <c r="G131" s="16">
        <f>IFERROR((G124*G84+G125*G99+G126*G112+G127*G60+G128*G123+G129*G56)/G130,"")</f>
        <v>156.90070872893563</v>
      </c>
      <c r="H131" s="16">
        <f t="shared" ref="H131:J131" si="163">IFERROR((H124*H84+H125*H99+H126*H112+H127*H60+H128*H123+H129*H56)/H130,"")</f>
        <v>159.4031291185706</v>
      </c>
      <c r="I131" s="16">
        <f t="shared" si="163"/>
        <v>143.75368255145335</v>
      </c>
      <c r="J131" s="16">
        <f t="shared" si="163"/>
        <v>142.65227801861414</v>
      </c>
      <c r="K131" s="16">
        <f t="shared" ref="K131:O131" si="164">IFERROR((K124*K84+K125*K99+K126*K112+K127*K60+K128*K123+K129*K56)/K130,"")</f>
        <v>152.82596815367708</v>
      </c>
      <c r="L131" s="16">
        <f t="shared" si="164"/>
        <v>177.058670944742</v>
      </c>
      <c r="M131" s="16">
        <f t="shared" si="164"/>
        <v>147.33604222156043</v>
      </c>
      <c r="N131" s="16">
        <f t="shared" si="164"/>
        <v>151.15702652126748</v>
      </c>
      <c r="O131" s="16">
        <f t="shared" si="164"/>
        <v>151.54719373036181</v>
      </c>
      <c r="P131" s="16">
        <f t="shared" ref="P131:Q131" si="165">IFERROR((P124*P84+P125*P99+P126*P112+P127*P60+P128*P123+P129*P56)/P130,"")</f>
        <v>153.61371326207902</v>
      </c>
      <c r="Q131" s="16">
        <f t="shared" si="165"/>
        <v>138.38607140009464</v>
      </c>
      <c r="R131" s="16">
        <f t="shared" ref="R131" si="166">IFERROR((R124*R84+R125*R99+R126*R112+R127*R60+R128*R123+R129*R56)/R130,"")</f>
        <v>160.40164559450346</v>
      </c>
      <c r="S131" s="16">
        <f>IFERROR((S124*S84+S125*S99+S126*S112+S127*S60+S128*S123+S129*S56)/S130,"")</f>
        <v>134.95588527303738</v>
      </c>
      <c r="T131" s="16">
        <f>IFERROR((T124*T84+T125*T99+T126*T112+T127*T60+T128*T123+T129*T56)/T130,"")</f>
        <v>141.49487320559737</v>
      </c>
      <c r="U131" s="16">
        <f t="shared" ref="U131:V131" si="167">IFERROR((U124*U84+U125*U99+U126*U112+U127*U60+U128*U123+U129*U56)/U130,"")</f>
        <v>132.07934</v>
      </c>
      <c r="V131" s="16">
        <f t="shared" si="167"/>
        <v>132.16737457023524</v>
      </c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36"/>
      <c r="AY131" s="165"/>
    </row>
    <row r="132" spans="2:51" ht="14.25" x14ac:dyDescent="0.45">
      <c r="B132" s="50">
        <v>67</v>
      </c>
      <c r="C132" s="47" t="s">
        <v>295</v>
      </c>
      <c r="D132" s="3" t="s">
        <v>296</v>
      </c>
      <c r="E132" s="54">
        <v>25</v>
      </c>
      <c r="F132" s="54">
        <v>25</v>
      </c>
      <c r="G132" s="54">
        <v>28</v>
      </c>
      <c r="H132" s="54">
        <v>28</v>
      </c>
      <c r="I132" s="54">
        <v>28</v>
      </c>
      <c r="J132" s="54">
        <v>28</v>
      </c>
      <c r="K132" s="54">
        <v>25</v>
      </c>
      <c r="L132" s="54">
        <v>25</v>
      </c>
      <c r="M132" s="54">
        <v>25</v>
      </c>
      <c r="N132" s="54">
        <v>25</v>
      </c>
      <c r="O132" s="54">
        <v>25</v>
      </c>
      <c r="P132" s="54">
        <v>25</v>
      </c>
      <c r="Q132" s="54">
        <v>25</v>
      </c>
      <c r="R132" s="54">
        <v>25</v>
      </c>
      <c r="S132" s="54">
        <v>20</v>
      </c>
      <c r="T132" s="54">
        <v>25</v>
      </c>
      <c r="U132" s="54">
        <v>35</v>
      </c>
      <c r="V132" s="54">
        <v>22</v>
      </c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33"/>
      <c r="AY132" s="165"/>
    </row>
    <row r="133" spans="2:51" ht="14.25" x14ac:dyDescent="0.45">
      <c r="B133" s="50">
        <v>68</v>
      </c>
      <c r="C133" s="47" t="s">
        <v>295</v>
      </c>
      <c r="D133" s="3" t="s">
        <v>297</v>
      </c>
      <c r="E133" s="54">
        <v>14</v>
      </c>
      <c r="F133" s="54">
        <v>14</v>
      </c>
      <c r="G133" s="54">
        <v>14</v>
      </c>
      <c r="H133" s="54">
        <v>20</v>
      </c>
      <c r="I133" s="54">
        <v>20</v>
      </c>
      <c r="J133" s="54">
        <v>20</v>
      </c>
      <c r="K133" s="54">
        <v>20</v>
      </c>
      <c r="L133" s="54">
        <v>20</v>
      </c>
      <c r="M133" s="54">
        <v>20</v>
      </c>
      <c r="N133" s="54">
        <v>20</v>
      </c>
      <c r="O133" s="54">
        <v>20</v>
      </c>
      <c r="P133" s="54">
        <v>20</v>
      </c>
      <c r="Q133" s="54">
        <v>20</v>
      </c>
      <c r="R133" s="54">
        <v>20</v>
      </c>
      <c r="S133" s="54">
        <v>14</v>
      </c>
      <c r="T133" s="54">
        <v>20</v>
      </c>
      <c r="U133" s="54">
        <v>20</v>
      </c>
      <c r="V133" s="54">
        <v>20</v>
      </c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33"/>
      <c r="AY133" s="165"/>
    </row>
    <row r="134" spans="2:51" ht="14.25" x14ac:dyDescent="0.45">
      <c r="B134" s="50">
        <v>69</v>
      </c>
      <c r="C134" s="47" t="s">
        <v>295</v>
      </c>
      <c r="D134" s="3" t="s">
        <v>298</v>
      </c>
      <c r="E134" s="54">
        <v>14</v>
      </c>
      <c r="F134" s="54">
        <v>14</v>
      </c>
      <c r="G134" s="54">
        <v>14</v>
      </c>
      <c r="H134" s="54">
        <v>14</v>
      </c>
      <c r="I134" s="54">
        <v>14</v>
      </c>
      <c r="J134" s="54">
        <v>14</v>
      </c>
      <c r="K134" s="54">
        <v>14</v>
      </c>
      <c r="L134" s="54">
        <v>14</v>
      </c>
      <c r="M134" s="54">
        <v>14</v>
      </c>
      <c r="N134" s="54">
        <v>14</v>
      </c>
      <c r="O134" s="54">
        <v>14</v>
      </c>
      <c r="P134" s="54">
        <v>14</v>
      </c>
      <c r="Q134" s="54">
        <v>14</v>
      </c>
      <c r="R134" s="54">
        <v>14</v>
      </c>
      <c r="S134" s="54">
        <v>14</v>
      </c>
      <c r="T134" s="54">
        <v>14</v>
      </c>
      <c r="U134" s="54">
        <v>14</v>
      </c>
      <c r="V134" s="54">
        <v>14</v>
      </c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33"/>
      <c r="AY134" s="165"/>
    </row>
    <row r="135" spans="2:51" ht="14.25" x14ac:dyDescent="0.45">
      <c r="B135" s="50">
        <v>70</v>
      </c>
      <c r="C135" s="47" t="s">
        <v>295</v>
      </c>
      <c r="D135" s="3" t="s">
        <v>299</v>
      </c>
      <c r="E135" s="90" cm="1">
        <f t="array" ref="E135">_xlfn.IFS(AND(E28&gt;0,SUM(E25:E26)&gt;0),10,AND(E28&gt;0,SUM(E22:E24)&gt;0),40,E28=0,0)</f>
        <v>0</v>
      </c>
      <c r="F135" s="90" cm="1">
        <f t="array" ref="F135">_xlfn.IFS(AND(F28&gt;0,SUM(F25:F26)&gt;0),10,AND(F28&gt;0,SUM(F22:F24)&gt;0),40,F28=0,0)</f>
        <v>0</v>
      </c>
      <c r="G135" s="90" cm="1">
        <f t="array" ref="G135">_xlfn.IFS(AND(G28&gt;0,SUM(G25:G26)&gt;0),10,AND(G28&gt;0,SUM(G22:G24)&gt;0),40,G28=0,0)</f>
        <v>0</v>
      </c>
      <c r="H135" s="90" cm="1">
        <f t="array" ref="H135">_xlfn.IFS(AND(H28&gt;0,SUM(H25:H26)&gt;0),10,AND(H28&gt;0,SUM(H22:H24)&gt;0),40,H28=0,0)</f>
        <v>0</v>
      </c>
      <c r="I135" s="90" cm="1">
        <f t="array" ref="I135">_xlfn.IFS(AND(I28&gt;0,SUM(I25:I26)&gt;0),10,AND(I28&gt;0,SUM(I22:I24)&gt;0),40,I28=0,0)</f>
        <v>0</v>
      </c>
      <c r="J135" s="90" cm="1">
        <f t="array" ref="J135">_xlfn.IFS(AND(J28&gt;0,SUM(J25:J26)&gt;0),10,AND(J28&gt;0,SUM(J22:J24)&gt;0),40,J28=0,0)</f>
        <v>0</v>
      </c>
      <c r="K135" s="90" cm="1">
        <f t="array" ref="K135">_xlfn.IFS(AND(K28&gt;0,SUM(K25:K26)&gt;0),10,AND(K28&gt;0,SUM(K22:K24)&gt;0),40,K28=0,0)</f>
        <v>0</v>
      </c>
      <c r="L135" s="90" cm="1">
        <f t="array" ref="L135">_xlfn.IFS(AND(L28&gt;0,SUM(L25:L26)&gt;0),10,AND(L28&gt;0,SUM(L22:L24)&gt;0),40,L28=0,0)</f>
        <v>0</v>
      </c>
      <c r="M135" s="90" cm="1">
        <f t="array" ref="M135">_xlfn.IFS(AND(M28&gt;0,SUM(M25:M26)&gt;0),10,AND(M28&gt;0,SUM(M22:M24)&gt;0),40,M28=0,0)</f>
        <v>0</v>
      </c>
      <c r="N135" s="90" cm="1">
        <f t="array" ref="N135">_xlfn.IFS(AND(N28&gt;0,SUM(N25:N26)&gt;0),10,AND(N28&gt;0,SUM(N22:N24)&gt;0),40,N28=0,0)</f>
        <v>0</v>
      </c>
      <c r="O135" s="90" cm="1">
        <f t="array" ref="O135">_xlfn.IFS(AND(O28&gt;0,SUM(O25:O26)&gt;0),10,AND(O28&gt;0,SUM(O22:O24)&gt;0),40,O28=0,0)</f>
        <v>0</v>
      </c>
      <c r="P135" s="90" cm="1">
        <f t="array" ref="P135">_xlfn.IFS(AND(P28&gt;0,SUM(P25:P26)&gt;0),10,AND(P28&gt;0,SUM(P22:P24)&gt;0),40,P28=0,0)</f>
        <v>0</v>
      </c>
      <c r="Q135" s="90" cm="1">
        <f t="array" ref="Q135">_xlfn.IFS(AND(Q28&gt;0,SUM(Q25:Q26)&gt;0),10,AND(Q28&gt;0,SUM(Q22:Q24)&gt;0),40,Q28=0,0)</f>
        <v>0</v>
      </c>
      <c r="R135" s="90" cm="1">
        <f t="array" ref="R135">_xlfn.IFS(AND(R28&gt;0,SUM(R25:R26)&gt;0),10,AND(R28&gt;0,SUM(R22:R24)&gt;0),40,R28=0,0)</f>
        <v>0</v>
      </c>
      <c r="S135" s="90" cm="1">
        <f t="array" ref="S135">_xlfn.IFS(AND(S28&gt;0,SUM(S25:S26)&gt;0),10,AND(S28&gt;0,SUM(S22:S24)&gt;0),40,S28=0,0)</f>
        <v>0</v>
      </c>
      <c r="T135" s="90" cm="1">
        <f t="array" ref="T135">_xlfn.IFS(AND(T28&gt;0,SUM(T25:T26)&gt;0),10,AND(T28&gt;0,SUM(T22:T24)&gt;0),40,T28=0,0)</f>
        <v>0</v>
      </c>
      <c r="U135" s="90" cm="1">
        <f t="array" ref="U135">_xlfn.IFS(AND(U28&gt;0,SUM(U25:U26)&gt;0),10,AND(U28&gt;0,SUM(U22:U24)&gt;0),40,U28=0,0)</f>
        <v>0</v>
      </c>
      <c r="V135" s="90" cm="1">
        <f t="array" ref="V135">_xlfn.IFS(AND(V28&gt;0,SUM(V25:V26)&gt;0),10,AND(V28&gt;0,SUM(V22:V24)&gt;0),40,V28=0,0)</f>
        <v>0</v>
      </c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33"/>
      <c r="AY135" s="165"/>
    </row>
    <row r="136" spans="2:51" ht="14.25" x14ac:dyDescent="0.45">
      <c r="B136" s="50">
        <v>71</v>
      </c>
      <c r="C136" s="47" t="s">
        <v>300</v>
      </c>
      <c r="D136" s="3" t="s">
        <v>301</v>
      </c>
      <c r="E136" s="56">
        <v>0.05</v>
      </c>
      <c r="F136" s="56">
        <v>0.05</v>
      </c>
      <c r="G136" s="56">
        <v>0.05</v>
      </c>
      <c r="H136" s="56">
        <v>0.05</v>
      </c>
      <c r="I136" s="56">
        <v>0.05</v>
      </c>
      <c r="J136" s="56">
        <v>0.05</v>
      </c>
      <c r="K136" s="56">
        <v>0.05</v>
      </c>
      <c r="L136" s="56">
        <v>0.05</v>
      </c>
      <c r="M136" s="56">
        <v>0.05</v>
      </c>
      <c r="N136" s="56">
        <v>0.05</v>
      </c>
      <c r="O136" s="56">
        <v>0.05</v>
      </c>
      <c r="P136" s="56">
        <v>0.05</v>
      </c>
      <c r="Q136" s="56">
        <v>0.05</v>
      </c>
      <c r="R136" s="56">
        <v>0.1</v>
      </c>
      <c r="S136" s="56">
        <v>0.05</v>
      </c>
      <c r="T136" s="56">
        <v>0.05</v>
      </c>
      <c r="U136" s="56">
        <v>7.0000000000000007E-2</v>
      </c>
      <c r="V136" s="56">
        <v>0.05</v>
      </c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38"/>
      <c r="AY136" s="165"/>
    </row>
    <row r="137" spans="2:51" ht="14.25" x14ac:dyDescent="0.45">
      <c r="B137" s="50">
        <v>72</v>
      </c>
      <c r="C137" s="47" t="s">
        <v>300</v>
      </c>
      <c r="D137" s="3" t="s">
        <v>302</v>
      </c>
      <c r="E137" s="56">
        <f>IF(E30=0,0,IF(OR(E10="Tubular Bag",E10="Tubular Fabric"),(1.75/((E12+E13)*2))+0.75%,(3.75/((E12+E13)*2))+0.75%))</f>
        <v>0</v>
      </c>
      <c r="F137" s="56">
        <f>IF(F30=0,0,IF(OR(F10="Tubular Bag",F10="Tubular Fabric"),(1.75/((F12+F13)*2))+0.75%,(3.75/((F12+F13)*2))+0.75%))</f>
        <v>0</v>
      </c>
      <c r="G137" s="56">
        <f>IF(G30=0,0,IF(OR(G10="Tubular Bag",G10="Tubular Fabric"),(1.75/((G12+G13)*2))+0.75%,(3.75/((G12+G13)*2))+0.75%))</f>
        <v>1.375E-2</v>
      </c>
      <c r="H137" s="56">
        <f t="shared" ref="H137:J137" si="168">IF(H30=0,0,IF(OR(H10="Tubular Bag",H10="Tubular Fabric"),(1.75/((H12+H13)*2))+0.75%,(3.75/((H12+H13)*2))+0.75%))</f>
        <v>1.375E-2</v>
      </c>
      <c r="I137" s="56">
        <f t="shared" si="168"/>
        <v>1.375E-2</v>
      </c>
      <c r="J137" s="56">
        <f t="shared" si="168"/>
        <v>0</v>
      </c>
      <c r="K137" s="56">
        <f t="shared" ref="K137:O137" si="169">IF(K30=0,0,IF(OR(K10="Tubular Bag",K10="Tubular Fabric"),(1.75/((K12+K13)*2))+0.75%,(3.75/((K12+K13)*2))+0.75%))</f>
        <v>0</v>
      </c>
      <c r="L137" s="56">
        <f t="shared" si="169"/>
        <v>0</v>
      </c>
      <c r="M137" s="56">
        <f t="shared" si="169"/>
        <v>1.6250000000000001E-2</v>
      </c>
      <c r="N137" s="56">
        <f t="shared" si="169"/>
        <v>0</v>
      </c>
      <c r="O137" s="56">
        <f t="shared" si="169"/>
        <v>0.02</v>
      </c>
      <c r="P137" s="56">
        <f t="shared" ref="P137:Q137" si="170">IF(P30=0,0,IF(OR(P10="Tubular Bag",P10="Tubular Fabric"),(1.75/((P12+P13)*2))+0.75%,(3.75/((P12+P13)*2))+0.75%))</f>
        <v>1.7222222222222222E-2</v>
      </c>
      <c r="Q137" s="56">
        <f t="shared" si="170"/>
        <v>0</v>
      </c>
      <c r="R137" s="56">
        <f t="shared" ref="R137" si="171">IF(R30=0,0,IF(OR(R10="Tubular Bag",R10="Tubular Fabric"),(1.75/((R12+R13)*2))+0.75%,(3.75/((R12+R13)*2))+0.75%))</f>
        <v>0</v>
      </c>
      <c r="S137" s="56">
        <f>IF(S30=0,0,IF(OR(S10="Tubular Bag",S10="Tubular Fabric"),(1.75/((S12+S13)*2))+0.75%,(3.75/((S12+S13)*2))+0.75%))</f>
        <v>0</v>
      </c>
      <c r="T137" s="56">
        <f>IF(T30=0,0,IF(OR(T10="Tubular Bag",T10="Tubular Fabric"),(1.75/((T12+T13)*2))+0.75%,(3.75/((T12+T13)*2))+0.75%))</f>
        <v>2.9374999999999998E-2</v>
      </c>
      <c r="U137" s="56">
        <f t="shared" ref="U137:V137" si="172">IF(U30=0,0,IF(OR(U10="Tubular Bag",U10="Tubular Fabric"),(1.75/((U12+U13)*2))+0.75%,(3.75/((U12+U13)*2))+0.75%))</f>
        <v>0</v>
      </c>
      <c r="V137" s="56">
        <f t="shared" si="172"/>
        <v>0</v>
      </c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38"/>
      <c r="AY137" s="165"/>
    </row>
    <row r="138" spans="2:51" ht="14.25" x14ac:dyDescent="0.45">
      <c r="B138" s="50">
        <v>73</v>
      </c>
      <c r="C138" s="47" t="s">
        <v>300</v>
      </c>
      <c r="D138" s="3" t="s">
        <v>303</v>
      </c>
      <c r="E138" s="56">
        <v>0.02</v>
      </c>
      <c r="F138" s="56">
        <v>0.02</v>
      </c>
      <c r="G138" s="56">
        <v>0.02</v>
      </c>
      <c r="H138" s="56">
        <v>0.02</v>
      </c>
      <c r="I138" s="56">
        <v>0.02</v>
      </c>
      <c r="J138" s="56">
        <v>0.02</v>
      </c>
      <c r="K138" s="56">
        <v>0.02</v>
      </c>
      <c r="L138" s="56">
        <v>0.02</v>
      </c>
      <c r="M138" s="56">
        <v>0.02</v>
      </c>
      <c r="N138" s="56">
        <v>0.02</v>
      </c>
      <c r="O138" s="56">
        <v>0.02</v>
      </c>
      <c r="P138" s="56">
        <v>0.02</v>
      </c>
      <c r="Q138" s="56">
        <v>0.02</v>
      </c>
      <c r="R138" s="56">
        <v>0.02</v>
      </c>
      <c r="S138" s="56">
        <v>0.02</v>
      </c>
      <c r="T138" s="56">
        <v>0.02</v>
      </c>
      <c r="U138" s="56">
        <v>0.02</v>
      </c>
      <c r="V138" s="56">
        <v>0</v>
      </c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38"/>
      <c r="AY138" s="165"/>
    </row>
    <row r="139" spans="2:51" ht="14.25" x14ac:dyDescent="0.45">
      <c r="B139" s="50">
        <v>75</v>
      </c>
      <c r="C139" s="47" t="s">
        <v>300</v>
      </c>
      <c r="D139" s="3" t="s">
        <v>304</v>
      </c>
      <c r="E139" s="56">
        <v>0.03</v>
      </c>
      <c r="F139" s="56">
        <v>0.03</v>
      </c>
      <c r="G139" s="56">
        <v>0.03</v>
      </c>
      <c r="H139" s="56">
        <v>0.02</v>
      </c>
      <c r="I139" s="56">
        <v>0.02</v>
      </c>
      <c r="J139" s="56">
        <v>0.02</v>
      </c>
      <c r="K139" s="56">
        <v>0.02</v>
      </c>
      <c r="L139" s="56">
        <v>0.02</v>
      </c>
      <c r="M139" s="56">
        <v>0.02</v>
      </c>
      <c r="N139" s="56">
        <v>0.02</v>
      </c>
      <c r="O139" s="56">
        <v>0.02</v>
      </c>
      <c r="P139" s="56">
        <v>0.02</v>
      </c>
      <c r="Q139" s="56">
        <v>0.02</v>
      </c>
      <c r="R139" s="56">
        <v>0.02</v>
      </c>
      <c r="S139" s="56">
        <v>0.05</v>
      </c>
      <c r="T139" s="56">
        <v>0.05</v>
      </c>
      <c r="U139" s="56">
        <v>0.05</v>
      </c>
      <c r="V139" s="56">
        <v>0.03</v>
      </c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38"/>
      <c r="AY139" s="165"/>
    </row>
    <row r="140" spans="2:51" ht="14.25" x14ac:dyDescent="0.45">
      <c r="B140" s="50">
        <v>76</v>
      </c>
      <c r="C140" s="47" t="s">
        <v>300</v>
      </c>
      <c r="D140" s="3" t="s">
        <v>305</v>
      </c>
      <c r="E140" s="54">
        <v>50</v>
      </c>
      <c r="F140" s="54">
        <v>50</v>
      </c>
      <c r="G140" s="54">
        <v>50</v>
      </c>
      <c r="H140" s="54">
        <v>50</v>
      </c>
      <c r="I140" s="54">
        <v>50</v>
      </c>
      <c r="J140" s="54">
        <v>50</v>
      </c>
      <c r="K140" s="54">
        <v>50</v>
      </c>
      <c r="L140" s="54">
        <v>50</v>
      </c>
      <c r="M140" s="54">
        <v>50</v>
      </c>
      <c r="N140" s="54">
        <v>50</v>
      </c>
      <c r="O140" s="54">
        <v>50</v>
      </c>
      <c r="P140" s="54">
        <v>50</v>
      </c>
      <c r="Q140" s="54">
        <v>50</v>
      </c>
      <c r="R140" s="54">
        <v>50</v>
      </c>
      <c r="S140" s="54">
        <v>50</v>
      </c>
      <c r="T140" s="54">
        <v>50</v>
      </c>
      <c r="U140" s="54">
        <v>40</v>
      </c>
      <c r="V140" s="54">
        <v>60</v>
      </c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33"/>
      <c r="AY140" s="165"/>
    </row>
    <row r="141" spans="2:51" ht="14.25" x14ac:dyDescent="0.45">
      <c r="B141" s="50">
        <v>77</v>
      </c>
      <c r="C141" s="47" t="s">
        <v>300</v>
      </c>
      <c r="D141" s="3" t="s">
        <v>306</v>
      </c>
      <c r="E141" s="90">
        <f>IF((E25+E26)&gt;0,0,35)</f>
        <v>35</v>
      </c>
      <c r="F141" s="90">
        <f>IF((F25+F26)&gt;0,0,35)</f>
        <v>35</v>
      </c>
      <c r="G141" s="90">
        <f>IF((G25+G26)&gt;0,0,35)</f>
        <v>35</v>
      </c>
      <c r="H141" s="90">
        <f t="shared" ref="H141:J141" si="173">IF((H25+H26)&gt;0,0,35)</f>
        <v>35</v>
      </c>
      <c r="I141" s="90">
        <f t="shared" si="173"/>
        <v>35</v>
      </c>
      <c r="J141" s="90">
        <f t="shared" si="173"/>
        <v>35</v>
      </c>
      <c r="K141" s="90">
        <f t="shared" ref="K141:O141" si="174">IF((K25+K26)&gt;0,0,35)</f>
        <v>35</v>
      </c>
      <c r="L141" s="90">
        <f t="shared" si="174"/>
        <v>35</v>
      </c>
      <c r="M141" s="90">
        <f t="shared" si="174"/>
        <v>35</v>
      </c>
      <c r="N141" s="90">
        <f t="shared" si="174"/>
        <v>35</v>
      </c>
      <c r="O141" s="90">
        <f t="shared" si="174"/>
        <v>35</v>
      </c>
      <c r="P141" s="90">
        <f t="shared" ref="P141:Q141" si="175">IF((P25+P26)&gt;0,0,35)</f>
        <v>35</v>
      </c>
      <c r="Q141" s="90">
        <f t="shared" si="175"/>
        <v>35</v>
      </c>
      <c r="R141" s="90">
        <f t="shared" ref="R141" si="176">IF((R25+R26)&gt;0,0,35)</f>
        <v>35</v>
      </c>
      <c r="S141" s="90">
        <f>IF((S25+S26)&gt;0,0,35)</f>
        <v>35</v>
      </c>
      <c r="T141" s="90">
        <f>IF((T25+T26)&gt;0,0,35)</f>
        <v>35</v>
      </c>
      <c r="U141" s="90">
        <f t="shared" ref="U141:V141" si="177">IF((U25+U26)&gt;0,0,35)</f>
        <v>35</v>
      </c>
      <c r="V141" s="90">
        <f t="shared" si="177"/>
        <v>35</v>
      </c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0"/>
      <c r="AP141" s="90"/>
      <c r="AQ141" s="90"/>
      <c r="AR141" s="90"/>
      <c r="AS141" s="90"/>
      <c r="AT141" s="90"/>
      <c r="AU141" s="90"/>
      <c r="AV141" s="90"/>
      <c r="AW141" s="90"/>
      <c r="AX141" s="33"/>
      <c r="AY141" s="165"/>
    </row>
    <row r="142" spans="2:51" ht="14.25" x14ac:dyDescent="0.45">
      <c r="B142" s="50">
        <v>78</v>
      </c>
      <c r="C142" s="47" t="s">
        <v>300</v>
      </c>
      <c r="D142" s="3" t="s">
        <v>307</v>
      </c>
      <c r="E142" s="54">
        <v>40</v>
      </c>
      <c r="F142" s="54">
        <v>40</v>
      </c>
      <c r="G142" s="54">
        <v>50</v>
      </c>
      <c r="H142" s="54">
        <v>50</v>
      </c>
      <c r="I142" s="54">
        <v>50</v>
      </c>
      <c r="J142" s="54">
        <v>50</v>
      </c>
      <c r="K142" s="54">
        <v>50</v>
      </c>
      <c r="L142" s="54">
        <v>50</v>
      </c>
      <c r="M142" s="54">
        <v>50</v>
      </c>
      <c r="N142" s="54">
        <v>50</v>
      </c>
      <c r="O142" s="54">
        <v>50</v>
      </c>
      <c r="P142" s="54">
        <v>40</v>
      </c>
      <c r="Q142" s="54">
        <v>50</v>
      </c>
      <c r="R142" s="54">
        <v>40</v>
      </c>
      <c r="S142" s="54">
        <v>50</v>
      </c>
      <c r="T142" s="54">
        <v>50</v>
      </c>
      <c r="U142" s="54">
        <v>50</v>
      </c>
      <c r="V142" s="54">
        <v>50</v>
      </c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33"/>
      <c r="AY142" s="165"/>
    </row>
    <row r="143" spans="2:51" ht="14.25" x14ac:dyDescent="0.45">
      <c r="B143" s="50">
        <v>80</v>
      </c>
      <c r="C143" s="47" t="s">
        <v>300</v>
      </c>
      <c r="D143" s="3" t="s">
        <v>308</v>
      </c>
      <c r="E143" s="90">
        <f>IF((E25+E26)&gt;0,8,35)</f>
        <v>35</v>
      </c>
      <c r="F143" s="90">
        <f>IF((F25+F26)&gt;0,8,35)</f>
        <v>35</v>
      </c>
      <c r="G143" s="90">
        <f>IF((G25+G26)&gt;0,8,35)</f>
        <v>35</v>
      </c>
      <c r="H143" s="90">
        <f t="shared" ref="H143:J143" si="178">IF((H25+H26)&gt;0,8,35)</f>
        <v>35</v>
      </c>
      <c r="I143" s="90">
        <f t="shared" si="178"/>
        <v>35</v>
      </c>
      <c r="J143" s="90">
        <f t="shared" si="178"/>
        <v>35</v>
      </c>
      <c r="K143" s="90">
        <f t="shared" ref="K143:O143" si="179">IF((K25+K26)&gt;0,8,35)</f>
        <v>35</v>
      </c>
      <c r="L143" s="90">
        <f t="shared" si="179"/>
        <v>35</v>
      </c>
      <c r="M143" s="90">
        <f t="shared" si="179"/>
        <v>35</v>
      </c>
      <c r="N143" s="90">
        <f t="shared" si="179"/>
        <v>35</v>
      </c>
      <c r="O143" s="90">
        <f t="shared" si="179"/>
        <v>35</v>
      </c>
      <c r="P143" s="90">
        <f t="shared" ref="P143:Q143" si="180">IF((P25+P26)&gt;0,8,35)</f>
        <v>35</v>
      </c>
      <c r="Q143" s="90">
        <f t="shared" si="180"/>
        <v>35</v>
      </c>
      <c r="R143" s="90">
        <f t="shared" ref="R143" si="181">IF((R25+R26)&gt;0,8,35)</f>
        <v>35</v>
      </c>
      <c r="S143" s="90">
        <f>IF((S25+S26)&gt;0,8,35)</f>
        <v>35</v>
      </c>
      <c r="T143" s="90">
        <f>IF((T25+T26)&gt;0,8,35)</f>
        <v>35</v>
      </c>
      <c r="U143" s="90">
        <f t="shared" ref="U143:V143" si="182">IF((U25+U26)&gt;0,8,35)</f>
        <v>35</v>
      </c>
      <c r="V143" s="90">
        <f t="shared" si="182"/>
        <v>35</v>
      </c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0"/>
      <c r="AP143" s="90"/>
      <c r="AQ143" s="90"/>
      <c r="AR143" s="90"/>
      <c r="AS143" s="90"/>
      <c r="AT143" s="90"/>
      <c r="AU143" s="90"/>
      <c r="AV143" s="90"/>
      <c r="AW143" s="90"/>
      <c r="AX143" s="33"/>
      <c r="AY143" s="165"/>
    </row>
    <row r="144" spans="2:51" ht="14.25" x14ac:dyDescent="0.45">
      <c r="B144" s="50"/>
      <c r="C144" s="13"/>
      <c r="D144" s="3" t="s">
        <v>309</v>
      </c>
      <c r="E144" s="84">
        <f>(E84+E132-E140)*E136*E124/1000+IF(E30="",0,(E99+E133-E141)*E130*E137/1000)+(E112+E134-E142)*E126*E138/1000+((E131+(E124*E132/1000+E125*E133/1000+E126*E134/1000+E128*E135/1000+SUM(E146:E150))/E130*1000)-E143)*E139*E130/1000</f>
        <v>2.3009112671327179</v>
      </c>
      <c r="F144" s="84">
        <f>(F84+F132-F140)*F136*F124/1000+IF(F30="",0,(F99+F133-F141)*F130*F137/1000)+(F112+F134-F142)*F126*F138/1000+((F131+(F124*F132/1000+F125*F133/1000+F126*F134/1000+F128*F135/1000+SUM(F146:F150))/F130*1000)-F143)*F139*F130/1000</f>
        <v>2.9511084527921101</v>
      </c>
      <c r="G144" s="84">
        <f>(G84+G132-G140)*G136*G124/1000+IF(G30="",0,(G99+G133-G141)*G130*G137/1000)+(G112+G134-G142)*G126*G138/1000+((G131+(G124*G132/1000+G125*G133/1000+G126*G134/1000+G128*G135/1000+SUM(G146:G150))/G130*1000)-G143)*G139*G130/1000</f>
        <v>7.0510517935524133</v>
      </c>
      <c r="H144" s="84">
        <f t="shared" ref="H144:J144" si="183">(H84+H132-H140)*H136*H124/1000+IF(H30="",0,(H99+H133-H141)*H130*H137/1000)+(H112+H134-H142)*H126*H138/1000+((H131+(H124*H132/1000+H125*H133/1000+H126*H134/1000+H128*H135/1000+SUM(H146:H150))/H130*1000)-H143)*H139*H130/1000</f>
        <v>5.3568361664255679</v>
      </c>
      <c r="I144" s="84">
        <f t="shared" si="183"/>
        <v>4.886555435925569</v>
      </c>
      <c r="J144" s="84">
        <f t="shared" si="183"/>
        <v>3.5632327731358693</v>
      </c>
      <c r="K144" s="84">
        <f t="shared" ref="K144:O144" si="184">(K84+K132-K140)*K136*K124/1000+IF(K30="",0,(K99+K133-K141)*K130*K137/1000)+(K112+K134-K142)*K126*K138/1000+((K131+(K124*K132/1000+K125*K133/1000+K126*K134/1000+K128*K135/1000+SUM(K146:K150))/K130*1000)-K143)*K139*K130/1000</f>
        <v>0.88081524971960667</v>
      </c>
      <c r="L144" s="84">
        <f t="shared" si="184"/>
        <v>0.33703925192091799</v>
      </c>
      <c r="M144" s="84">
        <f t="shared" si="184"/>
        <v>2.3934764458544948</v>
      </c>
      <c r="N144" s="84">
        <f t="shared" si="184"/>
        <v>0.68691192693337699</v>
      </c>
      <c r="O144" s="84">
        <f t="shared" si="184"/>
        <v>1.3696273158028067</v>
      </c>
      <c r="P144" s="84">
        <f t="shared" ref="P144:Q144" si="185">(P84+P132-P140)*P136*P124/1000+IF(P30="",0,(P99+P133-P141)*P130*P137/1000)+(P112+P134-P142)*P126*P138/1000+((P131+(P124*P132/1000+P125*P133/1000+P126*P134/1000+P128*P135/1000+SUM(P146:P150))/P130*1000)-P143)*P139*P130/1000</f>
        <v>1.9921404356765953</v>
      </c>
      <c r="Q144" s="84">
        <f t="shared" si="185"/>
        <v>0.64171192693337709</v>
      </c>
      <c r="R144" s="84">
        <f t="shared" ref="R144" si="186">(R84+R132-R140)*R136*R124/1000+IF(R30="",0,(R99+R133-R141)*R130*R137/1000)+(R112+R134-R142)*R126*R138/1000+((R131+(R124*R132/1000+R125*R133/1000+R126*R134/1000+R128*R135/1000+SUM(R146:R150))/R130*1000)-R143)*R139*R130/1000</f>
        <v>0.80379695271737694</v>
      </c>
      <c r="S144" s="84">
        <f>(S84+S132-S140)*S136*S124/1000+IF(S30="",0,(S99+S133-S141)*S130*S137/1000)+(S112+S134-S142)*S126*S138/1000+((S131+(S124*S132/1000+S125*S133/1000+S126*S134/1000+S128*S135/1000+SUM(S146:S150))/S130*1000)-S143)*S139*S130/1000</f>
        <v>1.5984611454432733</v>
      </c>
      <c r="T144" s="84">
        <f>(T84+T132-T140)*T136*T124/1000+IF(T30="",0,(T99+T133-T141)*T130*T137/1000)+(T112+T134-T142)*T126*T138/1000+((T131+(T124*T132/1000+T125*T133/1000+T126*T134/1000+T128*T135/1000+SUM(T146:T150))/T130*1000)-T143)*T139*T130/1000</f>
        <v>0.76392798725777866</v>
      </c>
      <c r="U144" s="84">
        <f t="shared" ref="U144:V144" si="187">(U84+U132-U140)*U136*U124/1000+IF(U30="",0,(U99+U133-U141)*U130*U137/1000)+(U112+U134-U142)*U126*U138/1000+((U131+(U124*U132/1000+U125*U133/1000+U126*U134/1000+U128*U135/1000+SUM(U146:U150))/U130*1000)-U143)*U139*U130/1000</f>
        <v>17.238482265652003</v>
      </c>
      <c r="V144" s="84">
        <f t="shared" si="187"/>
        <v>0.48980184857180342</v>
      </c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8"/>
      <c r="AV144" s="14"/>
      <c r="AW144" s="18"/>
      <c r="AX144" s="39"/>
      <c r="AY144" s="165"/>
    </row>
    <row r="145" spans="2:51" ht="14.25" x14ac:dyDescent="0.45">
      <c r="B145" s="50"/>
      <c r="C145" s="13"/>
      <c r="D145" s="3" t="s">
        <v>310</v>
      </c>
      <c r="E145" s="14">
        <f>IFERROR(E144/E17*1000,"")</f>
        <v>8.4282463997535455</v>
      </c>
      <c r="F145" s="14">
        <f>IFERROR(F144/F17*1000,"")</f>
        <v>7.8125389230478905</v>
      </c>
      <c r="G145" s="14">
        <f>IFERROR(G144/G17*1000,"")</f>
        <v>10.472844168836296</v>
      </c>
      <c r="H145" s="14">
        <f t="shared" ref="H145:J145" si="188">IFERROR(H144/H17*1000,"")</f>
        <v>8.7899121579600088</v>
      </c>
      <c r="I145" s="14">
        <f t="shared" si="188"/>
        <v>9.0587387351937583</v>
      </c>
      <c r="J145" s="14">
        <f t="shared" si="188"/>
        <v>8.692295692278849</v>
      </c>
      <c r="K145" s="14">
        <f t="shared" ref="K145:O145" si="189">IFERROR(K144/K17*1000,"")</f>
        <v>7.6886806016027123</v>
      </c>
      <c r="L145" s="14">
        <f t="shared" si="189"/>
        <v>7.2310502450314953</v>
      </c>
      <c r="M145" s="14">
        <f t="shared" si="189"/>
        <v>8.716863740456315</v>
      </c>
      <c r="N145" s="14">
        <f t="shared" si="189"/>
        <v>7.7433426550938682</v>
      </c>
      <c r="O145" s="14">
        <f t="shared" si="189"/>
        <v>9.2199751989418139</v>
      </c>
      <c r="P145" s="14">
        <f t="shared" ref="P145:Q145" si="190">IFERROR(P144/P17*1000,"")</f>
        <v>9.0861593417404567</v>
      </c>
      <c r="Q145" s="14">
        <f t="shared" si="190"/>
        <v>7.950835422294352</v>
      </c>
      <c r="R145" s="14">
        <f t="shared" ref="R145" si="191">IFERROR(R144/R17*1000,"")</f>
        <v>12.612536524672478</v>
      </c>
      <c r="S145" s="14">
        <f>IFERROR(S144/S17*1000,"")</f>
        <v>9.9903821590204593</v>
      </c>
      <c r="T145" s="14">
        <f>IFERROR(T144/T17*1000,"")</f>
        <v>15.404879759180854</v>
      </c>
      <c r="U145" s="14">
        <f t="shared" ref="U145:V145" si="192">IFERROR(U144/U17*1000,"")</f>
        <v>15.727609462624939</v>
      </c>
      <c r="V145" s="14">
        <f t="shared" si="192"/>
        <v>8.2100221924818655</v>
      </c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33"/>
      <c r="AY145" s="165"/>
    </row>
    <row r="146" spans="2:51" ht="14.25" x14ac:dyDescent="0.45">
      <c r="B146" s="50">
        <v>81</v>
      </c>
      <c r="C146" s="47" t="s">
        <v>311</v>
      </c>
      <c r="D146" s="3" t="s">
        <v>312</v>
      </c>
      <c r="E146" s="57">
        <v>1.4</v>
      </c>
      <c r="F146" s="57">
        <v>1.4</v>
      </c>
      <c r="G146" s="57">
        <v>13</v>
      </c>
      <c r="H146" s="57">
        <v>13</v>
      </c>
      <c r="I146" s="57">
        <v>13</v>
      </c>
      <c r="J146" s="57">
        <v>13</v>
      </c>
      <c r="K146" s="57">
        <v>1.3</v>
      </c>
      <c r="L146" s="57">
        <v>0.6</v>
      </c>
      <c r="M146" s="57">
        <v>1.5</v>
      </c>
      <c r="N146" s="57">
        <v>1.1000000000000001</v>
      </c>
      <c r="O146" s="57">
        <v>1.1000000000000001</v>
      </c>
      <c r="P146" s="57">
        <v>1.3</v>
      </c>
      <c r="Q146" s="57">
        <v>0.8</v>
      </c>
      <c r="R146" s="57">
        <v>0.8</v>
      </c>
      <c r="S146" s="57">
        <v>0.8</v>
      </c>
      <c r="T146" s="57">
        <v>0.5</v>
      </c>
      <c r="U146" s="57">
        <v>0</v>
      </c>
      <c r="V146" s="57">
        <v>0.5</v>
      </c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X146" s="40"/>
      <c r="AY146" s="165"/>
    </row>
    <row r="147" spans="2:51" ht="14.25" x14ac:dyDescent="0.45">
      <c r="B147" s="50"/>
      <c r="C147" s="47" t="s">
        <v>311</v>
      </c>
      <c r="D147" s="3" t="s">
        <v>313</v>
      </c>
      <c r="E147" s="87">
        <f>IF(E187="Yes",0.4,0)</f>
        <v>0</v>
      </c>
      <c r="F147" s="87">
        <f>IF(F187="Yes",0.4,0)</f>
        <v>0</v>
      </c>
      <c r="G147" s="87">
        <f>IF(G187="Yes",0.4,0)</f>
        <v>0</v>
      </c>
      <c r="H147" s="87">
        <f t="shared" ref="H147:J147" si="193">IF(H187="Yes",0.4,0)</f>
        <v>0</v>
      </c>
      <c r="I147" s="87">
        <f t="shared" si="193"/>
        <v>0</v>
      </c>
      <c r="J147" s="87">
        <f t="shared" si="193"/>
        <v>0</v>
      </c>
      <c r="K147" s="87">
        <f t="shared" ref="K147:O147" si="194">IF(K187="Yes",0.4,0)</f>
        <v>0</v>
      </c>
      <c r="L147" s="87">
        <f t="shared" si="194"/>
        <v>0</v>
      </c>
      <c r="M147" s="87">
        <f t="shared" si="194"/>
        <v>0</v>
      </c>
      <c r="N147" s="87">
        <f t="shared" si="194"/>
        <v>0</v>
      </c>
      <c r="O147" s="87">
        <f t="shared" si="194"/>
        <v>0</v>
      </c>
      <c r="P147" s="87">
        <f t="shared" ref="P147:Q147" si="195">IF(P187="Yes",0.4,0)</f>
        <v>0</v>
      </c>
      <c r="Q147" s="87">
        <f t="shared" si="195"/>
        <v>0</v>
      </c>
      <c r="R147" s="87">
        <f t="shared" ref="R147" si="196">IF(R187="Yes",0.4,0)</f>
        <v>0</v>
      </c>
      <c r="S147" s="87">
        <f>IF(S187="Yes",0.4,0)</f>
        <v>0</v>
      </c>
      <c r="T147" s="87">
        <f>IF(T187="Yes",0.4,0)</f>
        <v>0</v>
      </c>
      <c r="U147" s="87">
        <f t="shared" ref="U147:V147" si="197">IF(U187="Yes",0.4,0)</f>
        <v>0</v>
      </c>
      <c r="V147" s="87">
        <f t="shared" si="197"/>
        <v>0</v>
      </c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40"/>
      <c r="AY147" s="165"/>
    </row>
    <row r="148" spans="2:51" ht="14.25" x14ac:dyDescent="0.45">
      <c r="B148" s="50"/>
      <c r="C148" s="47" t="s">
        <v>311</v>
      </c>
      <c r="D148" s="3" t="s">
        <v>314</v>
      </c>
      <c r="E148" s="87">
        <f>IF(E188="Yes",0.3,0)</f>
        <v>0</v>
      </c>
      <c r="F148" s="87">
        <f>IF(F188="Yes",0.3,0)</f>
        <v>0</v>
      </c>
      <c r="G148" s="87">
        <f>IF(G188="Yes",0.3,0)</f>
        <v>0</v>
      </c>
      <c r="H148" s="87">
        <f t="shared" ref="H148:J148" si="198">IF(H188="Yes",0.3,0)</f>
        <v>0</v>
      </c>
      <c r="I148" s="87">
        <f t="shared" si="198"/>
        <v>0</v>
      </c>
      <c r="J148" s="87">
        <f t="shared" si="198"/>
        <v>0</v>
      </c>
      <c r="K148" s="87">
        <f t="shared" ref="K148:O148" si="199">IF(K188="Yes",0.3,0)</f>
        <v>0</v>
      </c>
      <c r="L148" s="87">
        <f t="shared" si="199"/>
        <v>0</v>
      </c>
      <c r="M148" s="87">
        <f t="shared" si="199"/>
        <v>0</v>
      </c>
      <c r="N148" s="87">
        <f t="shared" si="199"/>
        <v>0</v>
      </c>
      <c r="O148" s="87">
        <f t="shared" si="199"/>
        <v>0</v>
      </c>
      <c r="P148" s="87">
        <f t="shared" ref="P148:Q148" si="200">IF(P188="Yes",0.3,0)</f>
        <v>0</v>
      </c>
      <c r="Q148" s="87">
        <f t="shared" si="200"/>
        <v>0</v>
      </c>
      <c r="R148" s="87">
        <f t="shared" ref="R148" si="201">IF(R188="Yes",0.3,0)</f>
        <v>0</v>
      </c>
      <c r="S148" s="87">
        <f>IF(S188="Yes",0.3,0)</f>
        <v>0</v>
      </c>
      <c r="T148" s="87">
        <f>IF(T188="Yes",0.3,0)</f>
        <v>0</v>
      </c>
      <c r="U148" s="87">
        <f t="shared" ref="U148:V148" si="202">IF(U188="Yes",0.3,0)</f>
        <v>0</v>
      </c>
      <c r="V148" s="87">
        <f t="shared" si="202"/>
        <v>0</v>
      </c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40"/>
      <c r="AY148" s="165"/>
    </row>
    <row r="149" spans="2:51" ht="14.25" x14ac:dyDescent="0.45">
      <c r="B149" s="50"/>
      <c r="C149" s="47" t="s">
        <v>311</v>
      </c>
      <c r="D149" s="3" t="s">
        <v>315</v>
      </c>
      <c r="E149" s="87">
        <f>IF(E189="Yes",0.2,0)</f>
        <v>0</v>
      </c>
      <c r="F149" s="87">
        <f>IF(F189="Yes",0.2,0)</f>
        <v>0</v>
      </c>
      <c r="G149" s="87">
        <f>IF(G189="Yes",0.2,0)</f>
        <v>0</v>
      </c>
      <c r="H149" s="87">
        <f t="shared" ref="H149:J149" si="203">IF(H189="Yes",0.2,0)</f>
        <v>0</v>
      </c>
      <c r="I149" s="87">
        <f t="shared" si="203"/>
        <v>0</v>
      </c>
      <c r="J149" s="87">
        <f t="shared" si="203"/>
        <v>0</v>
      </c>
      <c r="K149" s="87">
        <f t="shared" ref="K149:O149" si="204">IF(K189="Yes",0.2,0)</f>
        <v>0</v>
      </c>
      <c r="L149" s="87">
        <f t="shared" si="204"/>
        <v>0</v>
      </c>
      <c r="M149" s="87">
        <f t="shared" si="204"/>
        <v>0</v>
      </c>
      <c r="N149" s="87">
        <f t="shared" si="204"/>
        <v>0</v>
      </c>
      <c r="O149" s="87">
        <f t="shared" si="204"/>
        <v>0</v>
      </c>
      <c r="P149" s="87">
        <f t="shared" ref="P149:Q149" si="205">IF(P189="Yes",0.2,0)</f>
        <v>0</v>
      </c>
      <c r="Q149" s="87">
        <f t="shared" si="205"/>
        <v>0</v>
      </c>
      <c r="R149" s="87">
        <f t="shared" ref="R149" si="206">IF(R189="Yes",0.2,0)</f>
        <v>0</v>
      </c>
      <c r="S149" s="87">
        <f>IF(S189="Yes",0.2,0)</f>
        <v>0</v>
      </c>
      <c r="T149" s="87">
        <f>IF(T189="Yes",0.2,0)</f>
        <v>0.2</v>
      </c>
      <c r="U149" s="87">
        <f t="shared" ref="U149:V149" si="207">IF(U189="Yes",0.2,0)</f>
        <v>0</v>
      </c>
      <c r="V149" s="87">
        <f t="shared" si="207"/>
        <v>0</v>
      </c>
      <c r="W149" s="151"/>
      <c r="X149" s="151"/>
      <c r="Y149" s="151"/>
      <c r="Z149" s="151"/>
      <c r="AA149" s="151"/>
      <c r="AB149" s="151"/>
      <c r="AC149" s="151"/>
      <c r="AD149" s="151"/>
      <c r="AE149" s="151"/>
      <c r="AF149" s="151"/>
      <c r="AG149" s="151"/>
      <c r="AH149" s="151"/>
      <c r="AI149" s="151"/>
      <c r="AJ149" s="151"/>
      <c r="AK149" s="151"/>
      <c r="AL149" s="151"/>
      <c r="AM149" s="151"/>
      <c r="AN149" s="151"/>
      <c r="AO149" s="151"/>
      <c r="AP149" s="151"/>
      <c r="AQ149" s="151"/>
      <c r="AR149" s="151"/>
      <c r="AS149" s="151"/>
      <c r="AT149" s="151"/>
      <c r="AU149" s="151"/>
      <c r="AV149" s="151"/>
      <c r="AW149" s="151"/>
      <c r="AX149" s="152"/>
      <c r="AY149" s="165"/>
    </row>
    <row r="150" spans="2:51" ht="14.25" x14ac:dyDescent="0.45">
      <c r="B150" s="50">
        <v>82</v>
      </c>
      <c r="C150" s="47" t="s">
        <v>311</v>
      </c>
      <c r="D150" s="3" t="s">
        <v>316</v>
      </c>
      <c r="E150" s="57">
        <v>0.6</v>
      </c>
      <c r="F150" s="57">
        <v>0.6</v>
      </c>
      <c r="G150" s="57">
        <v>4</v>
      </c>
      <c r="H150" s="57">
        <v>4</v>
      </c>
      <c r="I150" s="57">
        <v>4</v>
      </c>
      <c r="J150" s="57">
        <v>4</v>
      </c>
      <c r="K150" s="57">
        <v>0</v>
      </c>
      <c r="L150" s="57">
        <v>0</v>
      </c>
      <c r="M150" s="57">
        <v>0.6</v>
      </c>
      <c r="N150" s="57">
        <v>0</v>
      </c>
      <c r="O150" s="57">
        <v>0.5</v>
      </c>
      <c r="P150" s="57">
        <v>0</v>
      </c>
      <c r="Q150" s="57">
        <v>0</v>
      </c>
      <c r="R150" s="57">
        <v>0</v>
      </c>
      <c r="S150" s="57">
        <v>0</v>
      </c>
      <c r="T150" s="57">
        <v>0.4</v>
      </c>
      <c r="U150" s="57">
        <v>5</v>
      </c>
      <c r="V150" s="57">
        <v>0.4</v>
      </c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  <c r="AS150" s="57"/>
      <c r="AT150" s="57"/>
      <c r="AU150" s="57"/>
      <c r="AV150" s="57"/>
      <c r="AW150" s="57"/>
      <c r="AX150" s="40"/>
      <c r="AY150" s="165"/>
    </row>
    <row r="151" spans="2:51" ht="14.25" x14ac:dyDescent="0.45">
      <c r="B151" s="50">
        <v>83</v>
      </c>
      <c r="C151" s="47" t="s">
        <v>311</v>
      </c>
      <c r="D151" s="3" t="s">
        <v>317</v>
      </c>
      <c r="E151" s="57">
        <v>0</v>
      </c>
      <c r="F151" s="57">
        <v>0</v>
      </c>
      <c r="G151" s="57">
        <v>0</v>
      </c>
      <c r="H151" s="57">
        <v>0</v>
      </c>
      <c r="I151" s="57">
        <v>0</v>
      </c>
      <c r="J151" s="57">
        <v>0</v>
      </c>
      <c r="K151" s="57">
        <v>0</v>
      </c>
      <c r="L151" s="57">
        <v>0</v>
      </c>
      <c r="M151" s="57">
        <v>0</v>
      </c>
      <c r="N151" s="57">
        <v>0</v>
      </c>
      <c r="O151" s="57">
        <v>0</v>
      </c>
      <c r="P151" s="57">
        <v>0</v>
      </c>
      <c r="Q151" s="57">
        <v>0</v>
      </c>
      <c r="R151" s="57">
        <v>0</v>
      </c>
      <c r="S151" s="57">
        <v>0</v>
      </c>
      <c r="T151" s="57">
        <v>0</v>
      </c>
      <c r="U151" s="57">
        <v>0</v>
      </c>
      <c r="V151" s="57">
        <v>0</v>
      </c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  <c r="AS151" s="57"/>
      <c r="AT151" s="57"/>
      <c r="AU151" s="57"/>
      <c r="AV151" s="57"/>
      <c r="AW151" s="57"/>
      <c r="AX151" s="40"/>
      <c r="AY151" s="165"/>
    </row>
    <row r="152" spans="2:51" ht="14.25" x14ac:dyDescent="0.45">
      <c r="B152" s="50">
        <v>84</v>
      </c>
      <c r="C152" s="47" t="s">
        <v>311</v>
      </c>
      <c r="D152" s="3" t="s">
        <v>318</v>
      </c>
      <c r="E152" s="57">
        <v>1</v>
      </c>
      <c r="F152" s="57">
        <v>1</v>
      </c>
      <c r="G152" s="57">
        <v>2</v>
      </c>
      <c r="H152" s="57">
        <v>2</v>
      </c>
      <c r="I152" s="57">
        <v>2</v>
      </c>
      <c r="J152" s="57">
        <v>2</v>
      </c>
      <c r="K152" s="57">
        <v>1</v>
      </c>
      <c r="L152" s="57">
        <v>1</v>
      </c>
      <c r="M152" s="57">
        <v>1</v>
      </c>
      <c r="N152" s="57">
        <v>1</v>
      </c>
      <c r="O152" s="57">
        <v>1</v>
      </c>
      <c r="P152" s="57">
        <v>1</v>
      </c>
      <c r="Q152" s="57">
        <v>1</v>
      </c>
      <c r="R152" s="57">
        <v>1</v>
      </c>
      <c r="S152" s="57">
        <v>1</v>
      </c>
      <c r="T152" s="57">
        <v>1</v>
      </c>
      <c r="U152" s="57">
        <v>5</v>
      </c>
      <c r="V152" s="57">
        <v>1</v>
      </c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  <c r="AS152" s="57"/>
      <c r="AT152" s="57"/>
      <c r="AU152" s="57"/>
      <c r="AV152" s="57"/>
      <c r="AW152" s="57"/>
      <c r="AX152" s="40"/>
      <c r="AY152" s="165"/>
    </row>
    <row r="153" spans="2:51" ht="14.25" x14ac:dyDescent="0.45">
      <c r="B153" s="50">
        <v>85</v>
      </c>
      <c r="C153" s="47" t="s">
        <v>311</v>
      </c>
      <c r="D153" s="3" t="s">
        <v>319</v>
      </c>
      <c r="E153" s="57">
        <v>4</v>
      </c>
      <c r="F153" s="57">
        <v>4</v>
      </c>
      <c r="G153" s="57">
        <v>0</v>
      </c>
      <c r="H153" s="57">
        <v>0</v>
      </c>
      <c r="I153" s="57">
        <v>0</v>
      </c>
      <c r="J153" s="57">
        <v>0</v>
      </c>
      <c r="K153" s="57">
        <v>0</v>
      </c>
      <c r="L153" s="57">
        <v>0</v>
      </c>
      <c r="M153" s="57">
        <v>0</v>
      </c>
      <c r="N153" s="57">
        <v>0</v>
      </c>
      <c r="O153" s="57">
        <v>0</v>
      </c>
      <c r="P153" s="57">
        <v>0</v>
      </c>
      <c r="Q153" s="57">
        <v>0</v>
      </c>
      <c r="R153" s="57">
        <v>4</v>
      </c>
      <c r="S153" s="57">
        <v>4</v>
      </c>
      <c r="T153" s="57">
        <v>3</v>
      </c>
      <c r="U153" s="57">
        <v>4</v>
      </c>
      <c r="V153" s="57">
        <v>3</v>
      </c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  <c r="AS153" s="57"/>
      <c r="AT153" s="57"/>
      <c r="AU153" s="57"/>
      <c r="AV153" s="57"/>
      <c r="AW153" s="57"/>
      <c r="AX153" s="40"/>
      <c r="AY153" s="165"/>
    </row>
    <row r="154" spans="2:51" ht="14.25" x14ac:dyDescent="0.45">
      <c r="B154" s="50">
        <v>86</v>
      </c>
      <c r="C154" s="47" t="s">
        <v>320</v>
      </c>
      <c r="D154" s="3" t="s">
        <v>321</v>
      </c>
      <c r="E154" s="57">
        <v>3.5</v>
      </c>
      <c r="F154" s="57">
        <v>3.5</v>
      </c>
      <c r="G154" s="57">
        <v>3.5</v>
      </c>
      <c r="H154" s="57">
        <v>3.5</v>
      </c>
      <c r="I154" s="57">
        <v>3.5</v>
      </c>
      <c r="J154" s="57">
        <v>3.5</v>
      </c>
      <c r="K154" s="57">
        <v>3.5</v>
      </c>
      <c r="L154" s="57">
        <v>3.5</v>
      </c>
      <c r="M154" s="57">
        <v>3.5</v>
      </c>
      <c r="N154" s="57">
        <v>3.5</v>
      </c>
      <c r="O154" s="57">
        <v>3.5</v>
      </c>
      <c r="P154" s="57">
        <v>3.5</v>
      </c>
      <c r="Q154" s="57">
        <v>3.5</v>
      </c>
      <c r="R154" s="57">
        <v>3.5</v>
      </c>
      <c r="S154" s="57">
        <v>3.5</v>
      </c>
      <c r="T154" s="57">
        <v>3.5</v>
      </c>
      <c r="U154" s="57">
        <v>3.5</v>
      </c>
      <c r="V154" s="57">
        <v>3.5</v>
      </c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  <c r="AS154" s="57"/>
      <c r="AT154" s="57"/>
      <c r="AU154" s="57"/>
      <c r="AV154" s="57"/>
      <c r="AW154" s="57"/>
      <c r="AX154" s="40"/>
      <c r="AY154" s="165"/>
    </row>
    <row r="155" spans="2:51" ht="14.25" x14ac:dyDescent="0.45">
      <c r="B155" s="50"/>
      <c r="C155" s="13"/>
      <c r="D155" s="3" t="s">
        <v>322</v>
      </c>
      <c r="E155" s="14">
        <f>IFERROR((E84+E132)*E124/1000+(E99+E133)*E125/1000+(E112+E134)*E126/1000+(E60*E127/1000)+(E123+E135)*E128/1000+E129*E56/1000+E144+SUM(E146:E150)+SUM(E151:E154)*E130/1000,"")</f>
        <v>52.094456010926443</v>
      </c>
      <c r="F155" s="14">
        <f>IFERROR((F84+F132)*F124/1000+(F99+F133)*F125/1000+(F112+F134)*F126/1000+(F60*F127/1000)+(F123+F135)*F128/1000+F129*F56/1000+F144+SUM(F146:F150)+SUM(F151:F154)*F130/1000,"")</f>
        <v>70.185371662608247</v>
      </c>
      <c r="G155" s="14">
        <f>IFERROR((G84+G132)*G124/1000+(G99+G133)*G125/1000+(G112+G134)*G126/1000+(G60*G127/1000)+(G123+G135)*G128/1000+G129*G56/1000+G144+SUM(G146:G150)+SUM(G151:G154)*G130/1000,"")</f>
        <v>147.716294074237</v>
      </c>
      <c r="H155" s="14">
        <f t="shared" ref="H155:J155" si="208">IFERROR((H84+H132)*H124/1000+(H99+H133)*H125/1000+(H112+H134)*H126/1000+(H60*H127/1000)+(H123+H135)*H128/1000+H129*H56/1000+H144+SUM(H146:H150)+SUM(H151:H154)*H130/1000,"")</f>
        <v>136.16897125991014</v>
      </c>
      <c r="I155" s="14">
        <f t="shared" si="208"/>
        <v>115.71369052941016</v>
      </c>
      <c r="J155" s="14">
        <f t="shared" si="208"/>
        <v>92.020549216060459</v>
      </c>
      <c r="K155" s="14">
        <f t="shared" ref="K155:O155" si="209">IFERROR((K84+K132)*K124/1000+(K99+K133)*K125/1000+(K112+K134)*K126/1000+(K60*K127/1000)+(K123+K135)*K128/1000+K129*K56/1000+K144+SUM(K146:K150)+SUM(K151:K154)*K130/1000,"")</f>
        <v>22.682012587634361</v>
      </c>
      <c r="L155" s="14">
        <f t="shared" si="209"/>
        <v>10.215558576786492</v>
      </c>
      <c r="M155" s="14">
        <f t="shared" si="209"/>
        <v>52.213846099378429</v>
      </c>
      <c r="N155" s="14">
        <f t="shared" si="209"/>
        <v>17.539226257831736</v>
      </c>
      <c r="O155" s="14">
        <f t="shared" si="209"/>
        <v>29.308202370677559</v>
      </c>
      <c r="P155" s="14">
        <f t="shared" ref="P155:Q155" si="210">IFERROR((P84+P132)*P124/1000+(P99+P133)*P125/1000+(P112+P134)*P126/1000+(P60*P127/1000)+(P123+P135)*P128/1000+P129*P56/1000+P144+SUM(P146:P150)+SUM(P151:P154)*P130/1000,"")</f>
        <v>42.700246330682489</v>
      </c>
      <c r="Q155" s="14">
        <f t="shared" si="210"/>
        <v>14.918026257831738</v>
      </c>
      <c r="R155" s="14">
        <f t="shared" ref="R155" si="211">IFERROR((R84+R132)*R124/1000+(R99+R133)*R125/1000+(R112+R134)*R126/1000+(R60*R127/1000)+(R123+R135)*R128/1000+R129*R56/1000+R144+SUM(R146:R150)+SUM(R151:R154)*R130/1000,"")</f>
        <v>13.704591449405902</v>
      </c>
      <c r="S155" s="14">
        <f>IFERROR((S84+S132)*S124/1000+(S99+S133)*S125/1000+(S112+S134)*S126/1000+(S60*S127/1000)+(S123+S135)*S128/1000+S129*S56/1000+S144+SUM(S146:S150)+SUM(S151:S154)*S130/1000,"")</f>
        <v>28.179124876998106</v>
      </c>
      <c r="T155" s="14">
        <f>IFERROR((T84+T132)*T124/1000+(T99+T133)*T125/1000+(T112+T134)*T126/1000+(T60*T127/1000)+(T123+T135)*T128/1000+T129*T56/1000+T144+SUM(T146:T150)+SUM(T151:T154)*T130/1000,"")</f>
        <v>10.404743585588925</v>
      </c>
      <c r="U155" s="14">
        <f t="shared" ref="U155:V155" si="212">IFERROR((U84+U132)*U124/1000+(U99+U133)*U125/1000+(U112+U134)*U126/1000+(U60*U127/1000)+(U123+U135)*U128/1000+U129*U56/1000+U144+SUM(U146:U150)+SUM(U151:U154)*U130/1000,"")</f>
        <v>219.06911156275203</v>
      </c>
      <c r="V155" s="18">
        <f t="shared" si="212"/>
        <v>10.98062003768656</v>
      </c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4"/>
      <c r="AW155" s="14"/>
      <c r="AX155" s="33"/>
      <c r="AY155" s="165"/>
    </row>
    <row r="156" spans="2:51" ht="14.25" x14ac:dyDescent="0.45">
      <c r="B156" s="50"/>
      <c r="C156" s="13"/>
      <c r="D156" s="3" t="s">
        <v>323</v>
      </c>
      <c r="E156" s="14">
        <f>IFERROR(E155/E130*1000,"")</f>
        <v>190.82218319020674</v>
      </c>
      <c r="F156" s="14">
        <f>IFERROR(F155/F130*1000,"")</f>
        <v>185.80338768096635</v>
      </c>
      <c r="G156" s="14">
        <f>IFERROR(G155/G130*1000,"")</f>
        <v>219.40127151697982</v>
      </c>
      <c r="H156" s="14">
        <f t="shared" ref="H156:J156" si="213">IFERROR(H155/H130*1000,"")</f>
        <v>223.43660676354978</v>
      </c>
      <c r="I156" s="14">
        <f t="shared" si="213"/>
        <v>214.51104041193514</v>
      </c>
      <c r="J156" s="14">
        <f t="shared" si="213"/>
        <v>224.47868957153773</v>
      </c>
      <c r="K156" s="14">
        <f t="shared" ref="K156:O156" si="214">IFERROR(K155/K130*1000,"")</f>
        <v>197.99242831384743</v>
      </c>
      <c r="L156" s="14">
        <f t="shared" si="214"/>
        <v>219.17096281455679</v>
      </c>
      <c r="M156" s="14">
        <f t="shared" si="214"/>
        <v>190.15895585759498</v>
      </c>
      <c r="N156" s="14">
        <f t="shared" si="214"/>
        <v>197.71419521848424</v>
      </c>
      <c r="O156" s="14">
        <f t="shared" si="214"/>
        <v>197.29520276457461</v>
      </c>
      <c r="P156" s="14">
        <f t="shared" ref="P156:Q156" si="215">IFERROR(P155/P130*1000,"")</f>
        <v>194.75596958122006</v>
      </c>
      <c r="Q156" s="14">
        <f t="shared" si="215"/>
        <v>184.83491832278204</v>
      </c>
      <c r="R156" s="14">
        <f t="shared" ref="R156" si="216">IFERROR(R155/R130*1000,"")</f>
        <v>215.04144750362317</v>
      </c>
      <c r="S156" s="14">
        <f>IFERROR(S155/S130*1000,"")</f>
        <v>176.11953048123814</v>
      </c>
      <c r="T156" s="14">
        <f>IFERROR(T155/T130*1000,"")</f>
        <v>209.81535764446306</v>
      </c>
      <c r="U156" s="14">
        <f t="shared" ref="U156:V156" si="217">IFERROR(U155/U130*1000,"")</f>
        <v>199.86872271512365</v>
      </c>
      <c r="V156" s="14">
        <f t="shared" si="217"/>
        <v>184.05633718918446</v>
      </c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33"/>
      <c r="AY156" s="165"/>
    </row>
    <row r="157" spans="2:51" ht="14.25" x14ac:dyDescent="0.45">
      <c r="B157" s="50">
        <v>87</v>
      </c>
      <c r="C157" s="47" t="s">
        <v>324</v>
      </c>
      <c r="D157" s="3" t="s">
        <v>325</v>
      </c>
      <c r="E157" s="65">
        <v>30</v>
      </c>
      <c r="F157" s="65">
        <v>30</v>
      </c>
      <c r="G157" s="65">
        <v>30</v>
      </c>
      <c r="H157" s="65">
        <v>30</v>
      </c>
      <c r="I157" s="65">
        <v>30</v>
      </c>
      <c r="J157" s="65">
        <v>30</v>
      </c>
      <c r="K157" s="65">
        <v>30</v>
      </c>
      <c r="L157" s="65">
        <v>30</v>
      </c>
      <c r="M157" s="65">
        <v>30</v>
      </c>
      <c r="N157" s="65">
        <v>30</v>
      </c>
      <c r="O157" s="65">
        <v>30</v>
      </c>
      <c r="P157" s="65">
        <v>30</v>
      </c>
      <c r="Q157" s="65">
        <v>30</v>
      </c>
      <c r="R157" s="65">
        <v>60</v>
      </c>
      <c r="S157" s="65">
        <v>60</v>
      </c>
      <c r="T157" s="65">
        <v>60</v>
      </c>
      <c r="U157" s="65">
        <v>60</v>
      </c>
      <c r="V157" s="65">
        <v>60</v>
      </c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33"/>
      <c r="AY157" s="165"/>
    </row>
    <row r="158" spans="2:51" ht="14.25" x14ac:dyDescent="0.45">
      <c r="B158" s="50"/>
      <c r="C158" s="13"/>
      <c r="D158" s="3" t="s">
        <v>326</v>
      </c>
      <c r="E158" s="14">
        <f t="shared" ref="E158:G158" si="218">IFERROR(E156*(30+E157)/365*0.125,"")</f>
        <v>3.9210037641823301</v>
      </c>
      <c r="F158" s="14">
        <f t="shared" si="218"/>
        <v>3.8178778290609525</v>
      </c>
      <c r="G158" s="14">
        <f t="shared" si="218"/>
        <v>4.5082453051434213</v>
      </c>
      <c r="H158" s="14">
        <f t="shared" ref="H158:J158" si="219">IFERROR(H156*(30+H157)/365*0.125,"")</f>
        <v>4.5911631526756809</v>
      </c>
      <c r="I158" s="14">
        <f t="shared" si="219"/>
        <v>4.4077611043548321</v>
      </c>
      <c r="J158" s="14">
        <f t="shared" si="219"/>
        <v>4.6125758131137884</v>
      </c>
      <c r="K158" s="14">
        <f t="shared" ref="K158:O158" si="220">IFERROR(K156*(30+K157)/365*0.125,"")</f>
        <v>4.0683375680927556</v>
      </c>
      <c r="L158" s="14">
        <f t="shared" si="220"/>
        <v>4.5035129345456877</v>
      </c>
      <c r="M158" s="14">
        <f t="shared" si="220"/>
        <v>3.907375805293047</v>
      </c>
      <c r="N158" s="14">
        <f t="shared" si="220"/>
        <v>4.0626204496948812</v>
      </c>
      <c r="O158" s="14">
        <f t="shared" si="220"/>
        <v>4.0540110157104374</v>
      </c>
      <c r="P158" s="14">
        <f t="shared" ref="P158:Q158" si="221">IFERROR(P156*(30+P157)/365*0.125,"")</f>
        <v>4.0018349913949329</v>
      </c>
      <c r="Q158" s="14">
        <f t="shared" si="221"/>
        <v>3.7979777737557954</v>
      </c>
      <c r="R158" s="14">
        <f t="shared" ref="R158" si="222">IFERROR(R156*(30+R157)/365*0.125,"")</f>
        <v>6.6279898203171523</v>
      </c>
      <c r="S158" s="14">
        <f>IFERROR(S156*(30+S157)/365*0.125,"")</f>
        <v>5.4283416929148745</v>
      </c>
      <c r="T158" s="14">
        <f>IFERROR(T156*(30+T157)/365*0.125,"")</f>
        <v>6.4669117082197527</v>
      </c>
      <c r="U158" s="14">
        <f t="shared" ref="U158" si="223">IFERROR(U156*(30+U157)/365*0.125,"")</f>
        <v>6.1603373439592906</v>
      </c>
      <c r="V158" s="14">
        <f>IFERROR(V156*(30+V157)/365*0.125,"")</f>
        <v>5.6729692969269188</v>
      </c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33"/>
      <c r="AY158" s="165"/>
    </row>
    <row r="159" spans="2:51" ht="14.25" x14ac:dyDescent="0.45">
      <c r="B159" s="50"/>
      <c r="C159" s="13"/>
      <c r="D159" s="3" t="s">
        <v>327</v>
      </c>
      <c r="E159" s="14">
        <v>13.14</v>
      </c>
      <c r="F159" s="14">
        <v>13.14</v>
      </c>
      <c r="G159" s="14">
        <v>13.14</v>
      </c>
      <c r="H159" s="14">
        <v>13.14</v>
      </c>
      <c r="I159" s="14">
        <v>13.14</v>
      </c>
      <c r="J159" s="14">
        <v>13.14</v>
      </c>
      <c r="K159" s="14">
        <v>13.14</v>
      </c>
      <c r="L159" s="14">
        <v>13.14</v>
      </c>
      <c r="M159" s="14">
        <v>13.14</v>
      </c>
      <c r="N159" s="14">
        <v>13.14</v>
      </c>
      <c r="O159" s="14">
        <v>13.14</v>
      </c>
      <c r="P159" s="14">
        <v>13.14</v>
      </c>
      <c r="Q159" s="14">
        <v>13.14</v>
      </c>
      <c r="R159" s="14">
        <v>13.14</v>
      </c>
      <c r="S159" s="14">
        <v>13.14</v>
      </c>
      <c r="T159" s="14">
        <v>13.14</v>
      </c>
      <c r="U159" s="14">
        <v>13.14</v>
      </c>
      <c r="V159" s="14">
        <v>13.14</v>
      </c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33"/>
      <c r="AY159" s="165"/>
    </row>
    <row r="160" spans="2:51" ht="14.25" x14ac:dyDescent="0.45">
      <c r="B160" s="50"/>
      <c r="C160" s="13"/>
      <c r="D160" s="3" t="s">
        <v>328</v>
      </c>
      <c r="E160" s="89">
        <v>8</v>
      </c>
      <c r="F160" s="89">
        <v>8</v>
      </c>
      <c r="G160" s="89">
        <v>5</v>
      </c>
      <c r="H160" s="89">
        <v>5</v>
      </c>
      <c r="I160" s="89">
        <v>5</v>
      </c>
      <c r="J160" s="89">
        <v>5</v>
      </c>
      <c r="K160" s="89">
        <v>5</v>
      </c>
      <c r="L160" s="89">
        <v>5</v>
      </c>
      <c r="M160" s="89">
        <v>5</v>
      </c>
      <c r="N160" s="89">
        <v>5</v>
      </c>
      <c r="O160" s="89">
        <v>5</v>
      </c>
      <c r="P160" s="89">
        <v>5</v>
      </c>
      <c r="Q160" s="89">
        <v>5</v>
      </c>
      <c r="R160" s="89">
        <v>8</v>
      </c>
      <c r="S160" s="89">
        <v>5</v>
      </c>
      <c r="T160" s="89">
        <v>5</v>
      </c>
      <c r="U160" s="89">
        <v>6</v>
      </c>
      <c r="V160" s="89">
        <v>5</v>
      </c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G160" s="89"/>
      <c r="AH160" s="89"/>
      <c r="AI160" s="89"/>
      <c r="AJ160" s="89"/>
      <c r="AK160" s="89"/>
      <c r="AL160" s="89"/>
      <c r="AM160" s="89"/>
      <c r="AN160" s="89"/>
      <c r="AO160" s="89"/>
      <c r="AP160" s="89"/>
      <c r="AQ160" s="89"/>
      <c r="AR160" s="89"/>
      <c r="AS160" s="89"/>
      <c r="AT160" s="89"/>
      <c r="AU160" s="89"/>
      <c r="AV160" s="89"/>
      <c r="AW160" s="89"/>
      <c r="AX160" s="33"/>
      <c r="AY160" s="165"/>
    </row>
    <row r="161" spans="2:51" ht="14.25" x14ac:dyDescent="0.45">
      <c r="B161" s="50">
        <v>88</v>
      </c>
      <c r="C161" s="47" t="s">
        <v>329</v>
      </c>
      <c r="D161" s="3" t="s">
        <v>330</v>
      </c>
      <c r="E161" s="90">
        <f>(E156+E158+E159)*E160/100</f>
        <v>16.630654956351126</v>
      </c>
      <c r="F161" s="90">
        <f>(F156+F158+F159)*F160/100</f>
        <v>16.220901240802185</v>
      </c>
      <c r="G161" s="90">
        <f>(G156+G158+G159)*G160/100</f>
        <v>11.852475841106161</v>
      </c>
      <c r="H161" s="90">
        <f t="shared" ref="H161:J161" si="224">(H156+H158+H159)*H160/100</f>
        <v>12.058388495811274</v>
      </c>
      <c r="I161" s="90">
        <f t="shared" si="224"/>
        <v>11.6029400758145</v>
      </c>
      <c r="J161" s="90">
        <f t="shared" si="224"/>
        <v>12.111563269232576</v>
      </c>
      <c r="K161" s="90">
        <f t="shared" ref="K161:O161" si="225">(K156+K158+K159)*K160/100</f>
        <v>10.76003829409701</v>
      </c>
      <c r="L161" s="90">
        <f t="shared" si="225"/>
        <v>11.840723787455124</v>
      </c>
      <c r="M161" s="90">
        <f t="shared" si="225"/>
        <v>10.360316583144401</v>
      </c>
      <c r="N161" s="90">
        <f t="shared" si="225"/>
        <v>10.745840783408958</v>
      </c>
      <c r="O161" s="90">
        <f t="shared" si="225"/>
        <v>10.724460689014254</v>
      </c>
      <c r="P161" s="90">
        <f t="shared" ref="P161:Q161" si="226">(P156+P158+P159)*P160/100</f>
        <v>10.594890228630748</v>
      </c>
      <c r="Q161" s="90">
        <f t="shared" si="226"/>
        <v>10.088644804826892</v>
      </c>
      <c r="R161" s="90">
        <f t="shared" ref="R161" si="227">(R156+R158+R159)*R160/100</f>
        <v>18.784754985915225</v>
      </c>
      <c r="S161" s="90">
        <f>(S156+S158+S159)*S160/100</f>
        <v>9.7343936087076504</v>
      </c>
      <c r="T161" s="90">
        <f>(T156+T158+T159)*T160/100</f>
        <v>11.47111346763414</v>
      </c>
      <c r="U161" s="90">
        <f t="shared" ref="U161:V161" si="228">(U156+U158+U159)*U160/100</f>
        <v>13.150143603544976</v>
      </c>
      <c r="V161" s="90">
        <f t="shared" si="228"/>
        <v>10.143465324305568</v>
      </c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0"/>
      <c r="AP161" s="90"/>
      <c r="AQ161" s="90"/>
      <c r="AR161" s="90"/>
      <c r="AS161" s="90"/>
      <c r="AT161" s="90"/>
      <c r="AU161" s="90"/>
      <c r="AV161" s="90"/>
      <c r="AW161" s="90"/>
      <c r="AX161" s="33"/>
      <c r="AY161" s="165"/>
    </row>
    <row r="162" spans="2:51" ht="14.25" x14ac:dyDescent="0.45">
      <c r="B162" s="50"/>
      <c r="C162" s="13"/>
      <c r="D162" s="3" t="s">
        <v>331</v>
      </c>
      <c r="E162" s="14">
        <f t="shared" ref="E162:G162" si="229">IF(E$5="","",IFERROR(SUM(E156:E161)-E157-E160,0))</f>
        <v>224.51384191074021</v>
      </c>
      <c r="F162" s="14">
        <f t="shared" si="229"/>
        <v>218.98216675082949</v>
      </c>
      <c r="G162" s="14">
        <f t="shared" si="229"/>
        <v>248.90199266322941</v>
      </c>
      <c r="H162" s="14">
        <f t="shared" ref="H162:J162" si="230">IF(H$5="","",IFERROR(SUM(H156:H161)-H157-H160,0))</f>
        <v>253.22615841203674</v>
      </c>
      <c r="I162" s="14">
        <f t="shared" si="230"/>
        <v>243.66174159210448</v>
      </c>
      <c r="J162" s="14">
        <f t="shared" si="230"/>
        <v>254.34282865388411</v>
      </c>
      <c r="K162" s="14">
        <f t="shared" ref="K162:O162" si="231">IF(K$5="","",IFERROR(SUM(K156:K161)-K157-K160,0))</f>
        <v>225.96080417603719</v>
      </c>
      <c r="L162" s="14">
        <f t="shared" si="231"/>
        <v>248.65519953655763</v>
      </c>
      <c r="M162" s="14">
        <f t="shared" si="231"/>
        <v>217.56664824603243</v>
      </c>
      <c r="N162" s="14">
        <f t="shared" si="231"/>
        <v>225.66265645158808</v>
      </c>
      <c r="O162" s="14">
        <f t="shared" si="231"/>
        <v>225.21367446929935</v>
      </c>
      <c r="P162" s="14">
        <f t="shared" ref="P162:Q162" si="232">IF(P$5="","",IFERROR(SUM(P156:P161)-P157-P160,0))</f>
        <v>222.4926948012457</v>
      </c>
      <c r="Q162" s="14">
        <f t="shared" si="232"/>
        <v>211.86154090136475</v>
      </c>
      <c r="R162" s="14">
        <f t="shared" ref="R162" si="233">IF(R$5="","",IFERROR(SUM(R156:R161)-R157-R160,0))</f>
        <v>253.5941923098556</v>
      </c>
      <c r="S162" s="14">
        <f>IF(S$5="","",IFERROR(SUM(S156:S161)-S157-S160,0))</f>
        <v>204.42226578286068</v>
      </c>
      <c r="T162" s="14">
        <f>IF(T$5="","",IFERROR(SUM(T156:T161)-T157-T160,0))</f>
        <v>240.89338282031696</v>
      </c>
      <c r="U162" s="14">
        <f t="shared" ref="U162" si="234">IF(U$5="","",IFERROR(SUM(U156:U161)-U157-U160,0))</f>
        <v>232.3192036626279</v>
      </c>
      <c r="V162" s="14">
        <f>IF(V$5="","",IFERROR(SUM(V156:V161)-V157-V160,0))</f>
        <v>213.01277181041695</v>
      </c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33"/>
      <c r="AY162" s="165"/>
    </row>
    <row r="163" spans="2:51" ht="14.25" x14ac:dyDescent="0.45">
      <c r="B163" s="50">
        <v>89</v>
      </c>
      <c r="C163" s="47" t="s">
        <v>332</v>
      </c>
      <c r="D163" s="3" t="s">
        <v>333</v>
      </c>
      <c r="E163" s="54">
        <v>88</v>
      </c>
      <c r="F163" s="54">
        <v>88</v>
      </c>
      <c r="G163" s="54">
        <v>88</v>
      </c>
      <c r="H163" s="54">
        <v>88</v>
      </c>
      <c r="I163" s="54">
        <v>88</v>
      </c>
      <c r="J163" s="54">
        <v>88</v>
      </c>
      <c r="K163" s="54">
        <v>88</v>
      </c>
      <c r="L163" s="54">
        <v>88</v>
      </c>
      <c r="M163" s="54">
        <v>88</v>
      </c>
      <c r="N163" s="54">
        <v>88</v>
      </c>
      <c r="O163" s="54">
        <v>88</v>
      </c>
      <c r="P163" s="54">
        <v>88</v>
      </c>
      <c r="Q163" s="54">
        <v>88</v>
      </c>
      <c r="R163" s="54">
        <v>88</v>
      </c>
      <c r="S163" s="54">
        <v>85</v>
      </c>
      <c r="T163" s="54">
        <v>88</v>
      </c>
      <c r="U163" s="54">
        <v>90</v>
      </c>
      <c r="V163" s="54">
        <v>88</v>
      </c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33"/>
      <c r="AY163" s="165"/>
    </row>
    <row r="164" spans="2:51" ht="14.25" x14ac:dyDescent="0.45">
      <c r="B164" s="50">
        <v>90</v>
      </c>
      <c r="C164" s="47" t="s">
        <v>332</v>
      </c>
      <c r="D164" s="3" t="s">
        <v>334</v>
      </c>
      <c r="E164" s="54">
        <v>1.05</v>
      </c>
      <c r="F164" s="54">
        <v>1.05</v>
      </c>
      <c r="G164" s="54">
        <v>1.05</v>
      </c>
      <c r="H164" s="54">
        <v>1.1000000000000001</v>
      </c>
      <c r="I164" s="54">
        <v>1.1000000000000001</v>
      </c>
      <c r="J164" s="54">
        <v>1.1000000000000001</v>
      </c>
      <c r="K164" s="54">
        <v>1.1000000000000001</v>
      </c>
      <c r="L164" s="54">
        <v>1.1000000000000001</v>
      </c>
      <c r="M164" s="54">
        <v>1.1000000000000001</v>
      </c>
      <c r="N164" s="54">
        <v>1.1000000000000001</v>
      </c>
      <c r="O164" s="54">
        <v>1.1000000000000001</v>
      </c>
      <c r="P164" s="54">
        <v>1.1000000000000001</v>
      </c>
      <c r="Q164" s="54">
        <v>1.1000000000000001</v>
      </c>
      <c r="R164" s="54">
        <v>1.1000000000000001</v>
      </c>
      <c r="S164" s="54">
        <v>1.05</v>
      </c>
      <c r="T164" s="54">
        <v>1.05</v>
      </c>
      <c r="U164" s="54">
        <v>1.1499999999999999</v>
      </c>
      <c r="V164" s="54">
        <v>1.1499999999999999</v>
      </c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33"/>
      <c r="AY164" s="165"/>
    </row>
    <row r="165" spans="2:51" ht="14.25" x14ac:dyDescent="0.45">
      <c r="B165" s="50">
        <v>91</v>
      </c>
      <c r="C165" s="47" t="s">
        <v>332</v>
      </c>
      <c r="D165" s="3" t="s">
        <v>335</v>
      </c>
      <c r="E165" s="54">
        <v>1.23</v>
      </c>
      <c r="F165" s="54">
        <v>1.23</v>
      </c>
      <c r="G165" s="54">
        <v>1.23</v>
      </c>
      <c r="H165" s="54">
        <v>1.23</v>
      </c>
      <c r="I165" s="54">
        <v>1.23</v>
      </c>
      <c r="J165" s="54">
        <v>1.23</v>
      </c>
      <c r="K165" s="54">
        <v>1.23</v>
      </c>
      <c r="L165" s="54">
        <v>1.23</v>
      </c>
      <c r="M165" s="54">
        <v>1.23</v>
      </c>
      <c r="N165" s="54">
        <v>1.23</v>
      </c>
      <c r="O165" s="54">
        <v>1.23</v>
      </c>
      <c r="P165" s="54">
        <v>1.23</v>
      </c>
      <c r="Q165" s="54">
        <v>1.23</v>
      </c>
      <c r="R165" s="54">
        <v>1.23</v>
      </c>
      <c r="S165" s="54">
        <v>1.23</v>
      </c>
      <c r="T165" s="54">
        <v>1.23</v>
      </c>
      <c r="U165" s="54">
        <v>1.23</v>
      </c>
      <c r="V165" s="54">
        <v>1.22</v>
      </c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33"/>
      <c r="AY165" s="165"/>
    </row>
    <row r="166" spans="2:51" ht="14.25" x14ac:dyDescent="0.45">
      <c r="B166" s="50"/>
      <c r="C166" s="13"/>
      <c r="D166" s="1" t="s">
        <v>336</v>
      </c>
      <c r="E166" s="19">
        <f>IFERROR(E162/E163,"")+E170</f>
        <v>2.5512936580765935</v>
      </c>
      <c r="F166" s="19">
        <f>IFERROR(F162/F163,"")+F170</f>
        <v>2.4884337130776077</v>
      </c>
      <c r="G166" s="19">
        <f>IFERROR(G162/G163,"")+G170</f>
        <v>2.828431734809425</v>
      </c>
      <c r="H166" s="19">
        <f t="shared" ref="H166:J166" si="235">IFERROR(H162/H163,"")+H170</f>
        <v>2.8775699819549629</v>
      </c>
      <c r="I166" s="19">
        <f t="shared" si="235"/>
        <v>2.7688834271830056</v>
      </c>
      <c r="J166" s="19">
        <f t="shared" si="235"/>
        <v>2.8902594165214102</v>
      </c>
      <c r="K166" s="19">
        <f t="shared" ref="K166:O166" si="236">IFERROR(K162/K163,"")+K170</f>
        <v>2.5677364110913317</v>
      </c>
      <c r="L166" s="19">
        <f t="shared" si="236"/>
        <v>2.8256272674608822</v>
      </c>
      <c r="M166" s="19">
        <f t="shared" si="236"/>
        <v>2.4723482755230957</v>
      </c>
      <c r="N166" s="19">
        <f t="shared" si="236"/>
        <v>2.5643483687680462</v>
      </c>
      <c r="O166" s="19">
        <f t="shared" si="236"/>
        <v>2.5592463007874926</v>
      </c>
      <c r="P166" s="19">
        <f t="shared" ref="P166:Q166" si="237">IFERROR(P162/P163,"")+P170</f>
        <v>2.528326077286883</v>
      </c>
      <c r="Q166" s="19">
        <f t="shared" si="237"/>
        <v>2.4075175102427813</v>
      </c>
      <c r="R166" s="19">
        <f t="shared" ref="R166" si="238">IFERROR(R162/R163,"")+R170</f>
        <v>2.881752185339268</v>
      </c>
      <c r="S166" s="19">
        <f>IFERROR(S162/S163,"")+S170</f>
        <v>2.4049678327395374</v>
      </c>
      <c r="T166" s="19">
        <f>IFERROR(T162/T163,"")+T170</f>
        <v>2.737424804776329</v>
      </c>
      <c r="U166" s="19">
        <f t="shared" ref="U166:V166" si="239">IFERROR(U162/U163,"")+U170</f>
        <v>2.5813244851403101</v>
      </c>
      <c r="V166" s="19">
        <f t="shared" si="239"/>
        <v>2.4205996796638289</v>
      </c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41"/>
      <c r="AY166" s="165"/>
    </row>
    <row r="167" spans="2:51" ht="14.25" x14ac:dyDescent="0.45">
      <c r="B167" s="50"/>
      <c r="C167" s="13"/>
      <c r="D167" s="1" t="s">
        <v>337</v>
      </c>
      <c r="E167" s="19">
        <f>IFERROR(E166/E164,"")</f>
        <v>2.4298034838824698</v>
      </c>
      <c r="F167" s="19">
        <f>IFERROR(F166/F164,"")</f>
        <v>2.3699368695977214</v>
      </c>
      <c r="G167" s="19">
        <f>IFERROR(G166/G164,"")</f>
        <v>2.6937445093423094</v>
      </c>
      <c r="H167" s="19">
        <f t="shared" ref="H167:J167" si="240">IFERROR(H166/H164,"")</f>
        <v>2.6159727108681481</v>
      </c>
      <c r="I167" s="19">
        <f t="shared" si="240"/>
        <v>2.5171667519845502</v>
      </c>
      <c r="J167" s="19">
        <f t="shared" si="240"/>
        <v>2.6275085604740092</v>
      </c>
      <c r="K167" s="19">
        <f t="shared" ref="K167:O167" si="241">IFERROR(K166/K164,"")</f>
        <v>2.3343058282648466</v>
      </c>
      <c r="L167" s="19">
        <f t="shared" si="241"/>
        <v>2.5687520613280745</v>
      </c>
      <c r="M167" s="19">
        <f t="shared" si="241"/>
        <v>2.2475893413846322</v>
      </c>
      <c r="N167" s="19">
        <f t="shared" si="241"/>
        <v>2.3312257897891326</v>
      </c>
      <c r="O167" s="19">
        <f t="shared" si="241"/>
        <v>2.3265875461704475</v>
      </c>
      <c r="P167" s="19">
        <f t="shared" ref="P167:Q167" si="242">IFERROR(P166/P164,"")</f>
        <v>2.2984782520789842</v>
      </c>
      <c r="Q167" s="19">
        <f t="shared" si="242"/>
        <v>2.1886522820388921</v>
      </c>
      <c r="R167" s="19">
        <f t="shared" ref="R167" si="243">IFERROR(R166/R164,"")</f>
        <v>2.6197747139447891</v>
      </c>
      <c r="S167" s="19">
        <f>IFERROR(S166/S164,"")</f>
        <v>2.2904455549900353</v>
      </c>
      <c r="T167" s="19">
        <f>IFERROR(T166/T164,"")</f>
        <v>2.6070712426441229</v>
      </c>
      <c r="U167" s="19">
        <f t="shared" ref="U167:V167" si="244">IFERROR(U166/U164,"")</f>
        <v>2.2446299870785307</v>
      </c>
      <c r="V167" s="19">
        <f t="shared" si="244"/>
        <v>2.1048692866641994</v>
      </c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41"/>
      <c r="AY167" s="165"/>
    </row>
    <row r="168" spans="2:51" ht="14.25" x14ac:dyDescent="0.45">
      <c r="B168" s="50"/>
      <c r="C168" s="13"/>
      <c r="D168" s="1" t="s">
        <v>338</v>
      </c>
      <c r="E168" s="19">
        <f>IFERROR(E166/E165,"")</f>
        <v>2.0742224862411329</v>
      </c>
      <c r="F168" s="19">
        <f>IFERROR(F166/F165,"")</f>
        <v>2.023116839900494</v>
      </c>
      <c r="G168" s="19">
        <f>IFERROR(G166/G165,"")</f>
        <v>2.2995379957800202</v>
      </c>
      <c r="H168" s="19">
        <f t="shared" ref="H168:J168" si="245">IFERROR(H166/H165,"")</f>
        <v>2.3394877902072868</v>
      </c>
      <c r="I168" s="19">
        <f t="shared" si="245"/>
        <v>2.2511247375471592</v>
      </c>
      <c r="J168" s="19">
        <f t="shared" si="245"/>
        <v>2.3498044036759431</v>
      </c>
      <c r="K168" s="19">
        <f t="shared" ref="K168:O168" si="246">IFERROR(K166/K165,"")</f>
        <v>2.0875905781230339</v>
      </c>
      <c r="L168" s="19">
        <f t="shared" si="246"/>
        <v>2.2972579410251077</v>
      </c>
      <c r="M168" s="19">
        <f t="shared" si="246"/>
        <v>2.0100392483927609</v>
      </c>
      <c r="N168" s="19">
        <f t="shared" si="246"/>
        <v>2.0848360721691432</v>
      </c>
      <c r="O168" s="19">
        <f t="shared" si="246"/>
        <v>2.0806880494207256</v>
      </c>
      <c r="P168" s="19">
        <f t="shared" ref="P168:Q168" si="247">IFERROR(P166/P165,"")</f>
        <v>2.0555496563307991</v>
      </c>
      <c r="Q168" s="19">
        <f t="shared" si="247"/>
        <v>1.9573313091404727</v>
      </c>
      <c r="R168" s="19">
        <f t="shared" ref="R168" si="248">IFERROR(R166/R165,"")</f>
        <v>2.3428879555603803</v>
      </c>
      <c r="S168" s="19">
        <f>IFERROR(S166/S165,"")</f>
        <v>1.9552584006012499</v>
      </c>
      <c r="T168" s="19">
        <f>IFERROR(T166/T165,"")</f>
        <v>2.2255486217693732</v>
      </c>
      <c r="U168" s="19">
        <f t="shared" ref="U168:V168" si="249">IFERROR(U166/U165,"")</f>
        <v>2.0986377927970001</v>
      </c>
      <c r="V168" s="19">
        <f t="shared" si="249"/>
        <v>1.9840980980851057</v>
      </c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41"/>
      <c r="AY168" s="165"/>
    </row>
    <row r="169" spans="2:51" ht="14.25" x14ac:dyDescent="0.45">
      <c r="B169" s="50">
        <v>92</v>
      </c>
      <c r="C169" s="47" t="s">
        <v>320</v>
      </c>
      <c r="D169" s="3" t="s">
        <v>339</v>
      </c>
      <c r="E169" s="58">
        <v>0</v>
      </c>
      <c r="F169" s="58">
        <v>0</v>
      </c>
      <c r="G169" s="58">
        <v>0</v>
      </c>
      <c r="H169" s="58">
        <v>0</v>
      </c>
      <c r="I169" s="58">
        <v>0</v>
      </c>
      <c r="J169" s="58">
        <v>0</v>
      </c>
      <c r="K169" s="58">
        <v>0</v>
      </c>
      <c r="L169" s="58">
        <v>0</v>
      </c>
      <c r="M169" s="58">
        <v>0</v>
      </c>
      <c r="N169" s="58">
        <v>0</v>
      </c>
      <c r="O169" s="58">
        <v>0</v>
      </c>
      <c r="P169" s="58">
        <v>0</v>
      </c>
      <c r="Q169" s="58">
        <v>0</v>
      </c>
      <c r="R169" s="58">
        <v>0</v>
      </c>
      <c r="S169" s="58">
        <v>0</v>
      </c>
      <c r="T169" s="58">
        <v>0</v>
      </c>
      <c r="U169" s="58">
        <f>0.1</f>
        <v>0.1</v>
      </c>
      <c r="V169" s="58">
        <v>0</v>
      </c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41"/>
      <c r="AY169" s="165"/>
    </row>
    <row r="170" spans="2:51" ht="14.25" x14ac:dyDescent="0.45">
      <c r="B170" s="50"/>
      <c r="C170" s="3"/>
      <c r="D170" s="3" t="s">
        <v>340</v>
      </c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42"/>
      <c r="AY170" s="165"/>
    </row>
    <row r="171" spans="2:51" ht="14.25" x14ac:dyDescent="0.45">
      <c r="B171" s="50"/>
      <c r="C171" s="47"/>
      <c r="D171" s="3" t="s">
        <v>341</v>
      </c>
      <c r="E171" s="14">
        <f>IFERROR((E166+E169+E170)*E163,"")</f>
        <v>224.51384191074021</v>
      </c>
      <c r="F171" s="14">
        <f>IFERROR((F166+F169+F170)*F163,"")</f>
        <v>218.98216675082949</v>
      </c>
      <c r="G171" s="14">
        <f>IFERROR((G166+G169+G170)*G163,"")</f>
        <v>248.90199266322941</v>
      </c>
      <c r="H171" s="14">
        <f t="shared" ref="H171:J171" si="250">IFERROR((H166+H169+H170)*H163,"")</f>
        <v>253.22615841203674</v>
      </c>
      <c r="I171" s="14">
        <f t="shared" si="250"/>
        <v>243.66174159210451</v>
      </c>
      <c r="J171" s="14">
        <f t="shared" si="250"/>
        <v>254.34282865388408</v>
      </c>
      <c r="K171" s="14">
        <f t="shared" ref="K171:O171" si="251">IFERROR((K166+K169+K170)*K163,"")</f>
        <v>225.96080417603719</v>
      </c>
      <c r="L171" s="14">
        <f t="shared" si="251"/>
        <v>248.65519953655763</v>
      </c>
      <c r="M171" s="14">
        <f t="shared" si="251"/>
        <v>217.56664824603243</v>
      </c>
      <c r="N171" s="14">
        <f t="shared" si="251"/>
        <v>225.66265645158808</v>
      </c>
      <c r="O171" s="14">
        <f t="shared" si="251"/>
        <v>225.21367446929935</v>
      </c>
      <c r="P171" s="14">
        <f t="shared" ref="P171:Q171" si="252">IFERROR((P166+P169+P170)*P163,"")</f>
        <v>222.4926948012457</v>
      </c>
      <c r="Q171" s="14">
        <f t="shared" si="252"/>
        <v>211.86154090136475</v>
      </c>
      <c r="R171" s="14">
        <f t="shared" ref="R171" si="253">IFERROR((R166+R169+R170)*R163,"")</f>
        <v>253.5941923098556</v>
      </c>
      <c r="S171" s="14">
        <f>IFERROR((S166+S169+S170)*S163,"")</f>
        <v>204.42226578286068</v>
      </c>
      <c r="T171" s="14">
        <f>IFERROR((T166+T169+T170)*T163,"")</f>
        <v>240.89338282031696</v>
      </c>
      <c r="U171" s="14">
        <f t="shared" ref="U171:V171" si="254">IFERROR((U166+U169+U170)*U163,"")</f>
        <v>241.31920366262793</v>
      </c>
      <c r="V171" s="18">
        <f t="shared" si="254"/>
        <v>213.01277181041695</v>
      </c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8"/>
      <c r="AV171" s="14"/>
      <c r="AW171" s="18"/>
      <c r="AX171" s="41"/>
      <c r="AY171" s="165"/>
    </row>
    <row r="172" spans="2:51" ht="14.25" x14ac:dyDescent="0.45">
      <c r="B172" s="50"/>
      <c r="C172" s="13"/>
      <c r="D172" s="1" t="s">
        <v>342</v>
      </c>
      <c r="E172" s="19">
        <f>IFERROR(E166+E169+E170,"")</f>
        <v>2.5512936580765935</v>
      </c>
      <c r="F172" s="19">
        <f>IFERROR(F166+F169+F170,"")</f>
        <v>2.4884337130776077</v>
      </c>
      <c r="G172" s="19">
        <f>IFERROR(G166+G169+G170,"")</f>
        <v>2.828431734809425</v>
      </c>
      <c r="H172" s="19">
        <f t="shared" ref="H172:J172" si="255">IFERROR(H166+H169+H170,"")</f>
        <v>2.8775699819549629</v>
      </c>
      <c r="I172" s="19">
        <f t="shared" si="255"/>
        <v>2.7688834271830056</v>
      </c>
      <c r="J172" s="19">
        <f t="shared" si="255"/>
        <v>2.8902594165214102</v>
      </c>
      <c r="K172" s="19">
        <f t="shared" ref="K172:O172" si="256">IFERROR(K166+K169+K170,"")</f>
        <v>2.5677364110913317</v>
      </c>
      <c r="L172" s="19">
        <f t="shared" si="256"/>
        <v>2.8256272674608822</v>
      </c>
      <c r="M172" s="19">
        <f t="shared" si="256"/>
        <v>2.4723482755230957</v>
      </c>
      <c r="N172" s="19">
        <f t="shared" si="256"/>
        <v>2.5643483687680462</v>
      </c>
      <c r="O172" s="19">
        <f t="shared" si="256"/>
        <v>2.5592463007874926</v>
      </c>
      <c r="P172" s="19">
        <f t="shared" ref="P172:Q172" si="257">IFERROR(P166+P169+P170,"")</f>
        <v>2.528326077286883</v>
      </c>
      <c r="Q172" s="19">
        <f t="shared" si="257"/>
        <v>2.4075175102427813</v>
      </c>
      <c r="R172" s="19">
        <f t="shared" ref="R172" si="258">IFERROR(R166+R169+R170,"")</f>
        <v>2.881752185339268</v>
      </c>
      <c r="S172" s="19">
        <f>IFERROR(S166+S169+S170,"")</f>
        <v>2.4049678327395374</v>
      </c>
      <c r="T172" s="19">
        <f>IFERROR(T166+T169+T170,"")</f>
        <v>2.737424804776329</v>
      </c>
      <c r="U172" s="19">
        <f t="shared" ref="U172:V172" si="259">IFERROR(U166+U169+U170,"")</f>
        <v>2.6813244851403102</v>
      </c>
      <c r="V172" s="19">
        <f t="shared" si="259"/>
        <v>2.4205996796638289</v>
      </c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41"/>
      <c r="AY172" s="165"/>
    </row>
    <row r="173" spans="2:51" ht="14.25" x14ac:dyDescent="0.45">
      <c r="B173" s="50"/>
      <c r="C173" s="13"/>
      <c r="D173" s="1" t="s">
        <v>343</v>
      </c>
      <c r="E173" s="19">
        <f>IFERROR(E172/E164,"")</f>
        <v>2.4298034838824698</v>
      </c>
      <c r="F173" s="19">
        <f>IFERROR(F172/F164,"")</f>
        <v>2.3699368695977214</v>
      </c>
      <c r="G173" s="19">
        <f>IFERROR(G172/G164,"")</f>
        <v>2.6937445093423094</v>
      </c>
      <c r="H173" s="19">
        <f t="shared" ref="H173:J173" si="260">IFERROR(H172/H164,"")</f>
        <v>2.6159727108681481</v>
      </c>
      <c r="I173" s="19">
        <f t="shared" si="260"/>
        <v>2.5171667519845502</v>
      </c>
      <c r="J173" s="19">
        <f t="shared" si="260"/>
        <v>2.6275085604740092</v>
      </c>
      <c r="K173" s="19">
        <f t="shared" ref="K173:O173" si="261">IFERROR(K172/K164,"")</f>
        <v>2.3343058282648466</v>
      </c>
      <c r="L173" s="19">
        <f t="shared" si="261"/>
        <v>2.5687520613280745</v>
      </c>
      <c r="M173" s="19">
        <f t="shared" si="261"/>
        <v>2.2475893413846322</v>
      </c>
      <c r="N173" s="19">
        <f t="shared" si="261"/>
        <v>2.3312257897891326</v>
      </c>
      <c r="O173" s="19">
        <f t="shared" si="261"/>
        <v>2.3265875461704475</v>
      </c>
      <c r="P173" s="19">
        <f t="shared" ref="P173:Q173" si="262">IFERROR(P172/P164,"")</f>
        <v>2.2984782520789842</v>
      </c>
      <c r="Q173" s="19">
        <f t="shared" si="262"/>
        <v>2.1886522820388921</v>
      </c>
      <c r="R173" s="19">
        <f t="shared" ref="R173" si="263">IFERROR(R172/R164,"")</f>
        <v>2.6197747139447891</v>
      </c>
      <c r="S173" s="19">
        <f>IFERROR(S172/S164,"")</f>
        <v>2.2904455549900353</v>
      </c>
      <c r="T173" s="19">
        <f>IFERROR(T172/T164,"")</f>
        <v>2.6070712426441229</v>
      </c>
      <c r="U173" s="19">
        <f t="shared" ref="U173:V173" si="264">IFERROR(U172/U164,"")</f>
        <v>2.3315865088176611</v>
      </c>
      <c r="V173" s="19">
        <f t="shared" si="264"/>
        <v>2.1048692866641994</v>
      </c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41"/>
      <c r="AY173" s="165"/>
    </row>
    <row r="174" spans="2:51" ht="14.25" x14ac:dyDescent="0.45">
      <c r="B174" s="50"/>
      <c r="C174" s="13"/>
      <c r="D174" s="1" t="s">
        <v>344</v>
      </c>
      <c r="E174" s="19">
        <f>IFERROR(E172/E165,"")</f>
        <v>2.0742224862411329</v>
      </c>
      <c r="F174" s="19">
        <f>IFERROR(F172/F165,"")</f>
        <v>2.023116839900494</v>
      </c>
      <c r="G174" s="19">
        <f>IFERROR(G172/G165,"")</f>
        <v>2.2995379957800202</v>
      </c>
      <c r="H174" s="19">
        <f t="shared" ref="H174:J174" si="265">IFERROR(H172/H165,"")</f>
        <v>2.3394877902072868</v>
      </c>
      <c r="I174" s="19">
        <f t="shared" si="265"/>
        <v>2.2511247375471592</v>
      </c>
      <c r="J174" s="19">
        <f t="shared" si="265"/>
        <v>2.3498044036759431</v>
      </c>
      <c r="K174" s="19">
        <f t="shared" ref="K174:O174" si="266">IFERROR(K172/K165,"")</f>
        <v>2.0875905781230339</v>
      </c>
      <c r="L174" s="19">
        <f t="shared" si="266"/>
        <v>2.2972579410251077</v>
      </c>
      <c r="M174" s="19">
        <f t="shared" si="266"/>
        <v>2.0100392483927609</v>
      </c>
      <c r="N174" s="19">
        <f t="shared" si="266"/>
        <v>2.0848360721691432</v>
      </c>
      <c r="O174" s="19">
        <f t="shared" si="266"/>
        <v>2.0806880494207256</v>
      </c>
      <c r="P174" s="19">
        <f t="shared" ref="P174:Q174" si="267">IFERROR(P172/P165,"")</f>
        <v>2.0555496563307991</v>
      </c>
      <c r="Q174" s="19">
        <f t="shared" si="267"/>
        <v>1.9573313091404727</v>
      </c>
      <c r="R174" s="19">
        <f t="shared" ref="R174" si="268">IFERROR(R172/R165,"")</f>
        <v>2.3428879555603803</v>
      </c>
      <c r="S174" s="19">
        <f>IFERROR(S172/S165,"")</f>
        <v>1.9552584006012499</v>
      </c>
      <c r="T174" s="19">
        <f>IFERROR(T172/T165,"")</f>
        <v>2.2255486217693732</v>
      </c>
      <c r="U174" s="19">
        <f t="shared" ref="U174:V174" si="269">IFERROR(U172/U165,"")</f>
        <v>2.1799386058051304</v>
      </c>
      <c r="V174" s="19">
        <f t="shared" si="269"/>
        <v>1.9840980980851057</v>
      </c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41"/>
      <c r="AY174" s="165"/>
    </row>
    <row r="175" spans="2:51" ht="14.25" x14ac:dyDescent="0.45">
      <c r="B175" s="50"/>
      <c r="C175" s="13"/>
      <c r="D175" s="1" t="s">
        <v>190</v>
      </c>
      <c r="E175" s="22" t="str">
        <f>IF(E$5="","",E9)</f>
        <v>100X155</v>
      </c>
      <c r="F175" s="22" t="str">
        <f>IF(F$5="","",F9)</f>
        <v>100X160</v>
      </c>
      <c r="G175" s="22" t="str">
        <f>IF(G$5="","",G9)</f>
        <v>3.3002</v>
      </c>
      <c r="H175" s="22">
        <f t="shared" ref="H175:J175" si="270">IF(H$5="","",H9)</f>
        <v>3.3003999999999998</v>
      </c>
      <c r="I175" s="22" t="str">
        <f t="shared" si="270"/>
        <v>3.3006</v>
      </c>
      <c r="J175" s="22">
        <f t="shared" si="270"/>
        <v>3.3010999999999999</v>
      </c>
      <c r="K175" s="22">
        <f t="shared" ref="K175:O175" si="271">IF(K$5="","",K9)</f>
        <v>3.9001000000000001</v>
      </c>
      <c r="L175" s="22">
        <f t="shared" si="271"/>
        <v>3.9003000000000001</v>
      </c>
      <c r="M175" s="22">
        <f t="shared" si="271"/>
        <v>3.9003999999999999</v>
      </c>
      <c r="N175" s="22">
        <f t="shared" si="271"/>
        <v>3.9005000000000001</v>
      </c>
      <c r="O175" s="22">
        <f t="shared" si="271"/>
        <v>3.9007999999999998</v>
      </c>
      <c r="P175" s="22">
        <f t="shared" ref="P175:Q175" si="272">IF(P$5="","",P9)</f>
        <v>3.9014000000000002</v>
      </c>
      <c r="Q175" s="22">
        <f t="shared" si="272"/>
        <v>3.9015</v>
      </c>
      <c r="R175" s="22">
        <f t="shared" ref="R175" si="273">IF(R$5="","",R9)</f>
        <v>0</v>
      </c>
      <c r="S175" s="22" t="str">
        <f>IF(S$5="","",S9)</f>
        <v>ART58961</v>
      </c>
      <c r="T175" s="22" t="str">
        <f>IF(T$5="","",T9)</f>
        <v>30+10X70</v>
      </c>
      <c r="U175" s="22" t="str">
        <f t="shared" ref="U175:V175" si="274">IF(U$5="","",U9)</f>
        <v>176.5x115</v>
      </c>
      <c r="V175" s="22">
        <f t="shared" si="274"/>
        <v>234589</v>
      </c>
      <c r="W175" s="22" t="str">
        <f t="shared" ref="W175:AM175" si="275">IF(W$5="","",IF(W42=0,"",W9))</f>
        <v/>
      </c>
      <c r="X175" s="22" t="str">
        <f t="shared" si="275"/>
        <v/>
      </c>
      <c r="Y175" s="22" t="str">
        <f t="shared" si="275"/>
        <v/>
      </c>
      <c r="Z175" s="22" t="str">
        <f t="shared" si="275"/>
        <v/>
      </c>
      <c r="AA175" s="22" t="str">
        <f t="shared" si="275"/>
        <v/>
      </c>
      <c r="AB175" s="22" t="str">
        <f t="shared" si="275"/>
        <v/>
      </c>
      <c r="AC175" s="22" t="str">
        <f t="shared" si="275"/>
        <v/>
      </c>
      <c r="AD175" s="22" t="str">
        <f t="shared" si="275"/>
        <v/>
      </c>
      <c r="AE175" s="22" t="str">
        <f t="shared" si="275"/>
        <v/>
      </c>
      <c r="AF175" s="22" t="str">
        <f t="shared" si="275"/>
        <v/>
      </c>
      <c r="AG175" s="22" t="str">
        <f t="shared" si="275"/>
        <v/>
      </c>
      <c r="AH175" s="22" t="str">
        <f t="shared" si="275"/>
        <v/>
      </c>
      <c r="AI175" s="22" t="str">
        <f t="shared" si="275"/>
        <v/>
      </c>
      <c r="AJ175" s="22" t="str">
        <f t="shared" si="275"/>
        <v/>
      </c>
      <c r="AK175" s="22" t="str">
        <f t="shared" si="275"/>
        <v/>
      </c>
      <c r="AL175" s="22" t="str">
        <f t="shared" si="275"/>
        <v/>
      </c>
      <c r="AM175" s="22" t="str">
        <f t="shared" si="275"/>
        <v/>
      </c>
      <c r="AN175" s="22" t="str">
        <f t="shared" ref="AN175:AW175" si="276">IF(AN$5="","",IF(AN42=0,"",AN9))</f>
        <v/>
      </c>
      <c r="AO175" s="22" t="str">
        <f t="shared" si="276"/>
        <v/>
      </c>
      <c r="AP175" s="22" t="str">
        <f t="shared" si="276"/>
        <v/>
      </c>
      <c r="AQ175" s="22" t="str">
        <f t="shared" si="276"/>
        <v/>
      </c>
      <c r="AR175" s="22" t="str">
        <f t="shared" si="276"/>
        <v/>
      </c>
      <c r="AS175" s="22" t="str">
        <f t="shared" si="276"/>
        <v/>
      </c>
      <c r="AT175" s="22" t="str">
        <f t="shared" si="276"/>
        <v/>
      </c>
      <c r="AU175" s="22" t="str">
        <f t="shared" si="276"/>
        <v/>
      </c>
      <c r="AV175" s="22" t="str">
        <f t="shared" si="276"/>
        <v/>
      </c>
      <c r="AW175" s="22" t="str">
        <f t="shared" si="276"/>
        <v/>
      </c>
      <c r="AX175" s="41"/>
      <c r="AY175" s="165"/>
    </row>
    <row r="176" spans="2:51" ht="14.25" x14ac:dyDescent="0.45">
      <c r="B176" s="50">
        <v>93</v>
      </c>
      <c r="C176" s="47" t="s">
        <v>345</v>
      </c>
      <c r="D176" s="3" t="s">
        <v>346</v>
      </c>
      <c r="E176" s="59" t="s">
        <v>348</v>
      </c>
      <c r="F176" s="59" t="s">
        <v>348</v>
      </c>
      <c r="G176" s="59" t="s">
        <v>348</v>
      </c>
      <c r="H176" s="59" t="s">
        <v>348</v>
      </c>
      <c r="I176" s="59" t="s">
        <v>348</v>
      </c>
      <c r="J176" s="59" t="s">
        <v>348</v>
      </c>
      <c r="K176" s="59" t="s">
        <v>348</v>
      </c>
      <c r="L176" s="59" t="s">
        <v>348</v>
      </c>
      <c r="M176" s="59" t="s">
        <v>348</v>
      </c>
      <c r="N176" s="59" t="s">
        <v>348</v>
      </c>
      <c r="O176" s="59" t="s">
        <v>348</v>
      </c>
      <c r="P176" s="59" t="s">
        <v>348</v>
      </c>
      <c r="Q176" s="59" t="s">
        <v>348</v>
      </c>
      <c r="R176" s="59" t="s">
        <v>348</v>
      </c>
      <c r="S176" s="59" t="s">
        <v>348</v>
      </c>
      <c r="T176" s="59" t="s">
        <v>348</v>
      </c>
      <c r="U176" s="59" t="s">
        <v>348</v>
      </c>
      <c r="V176" s="59" t="s">
        <v>347</v>
      </c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42"/>
      <c r="AY176" s="165"/>
    </row>
    <row r="177" spans="2:51" ht="14.25" x14ac:dyDescent="0.45">
      <c r="B177" s="50"/>
      <c r="C177" s="13"/>
      <c r="D177" s="1" t="s">
        <v>349</v>
      </c>
      <c r="E177" s="14">
        <f>IF(E$5="","",IF(E44=0,"",IF(E176="Inch",IF(E10="flat Fabric",E12/2.54*2,E12/2.54),IF(E10="flat Fabric",E12*2,E12))))</f>
        <v>100</v>
      </c>
      <c r="F177" s="14">
        <f>IF(F$5="","",IF(F44=0,"",IF(F176="Inch",IF(F10="flat Fabric",F12/2.54*2,F12/2.54),IF(F10="flat Fabric",F12*2,F12))))</f>
        <v>100</v>
      </c>
      <c r="G177" s="14">
        <f>IF(G$5="","",IF(G44=0,"",IF(G176="Inch",IF(G10="flat Fabric",G12/2.54*2,G12/2.54),IF(G10="flat Fabric",G12*2,G12))))</f>
        <v>140</v>
      </c>
      <c r="H177" s="14">
        <f t="shared" ref="H177:J177" si="277">IF(H$5="","",IF(H44=0,"",IF(H176="Inch",IF(H10="flat Fabric",H12/2.54*2,H12/2.54),IF(H10="flat Fabric",H12*2,H12))))</f>
        <v>140</v>
      </c>
      <c r="I177" s="14">
        <f t="shared" si="277"/>
        <v>140</v>
      </c>
      <c r="J177" s="14">
        <f t="shared" si="277"/>
        <v>140</v>
      </c>
      <c r="K177" s="14">
        <f t="shared" ref="K177:O177" si="278">IF(K$5="","",IF(K44=0,"",IF(K176="Inch",IF(K10="flat Fabric",K12/2.54*2,K12/2.54),IF(K10="flat Fabric",K12*2,K12))))</f>
        <v>70</v>
      </c>
      <c r="L177" s="14">
        <f t="shared" si="278"/>
        <v>40</v>
      </c>
      <c r="M177" s="14">
        <f t="shared" si="278"/>
        <v>100</v>
      </c>
      <c r="N177" s="14">
        <f t="shared" si="278"/>
        <v>60</v>
      </c>
      <c r="O177" s="14">
        <f t="shared" si="278"/>
        <v>70</v>
      </c>
      <c r="P177" s="14">
        <f t="shared" ref="P177:Q177" si="279">IF(P$5="","",IF(P44=0,"",IF(P176="Inch",IF(P10="flat Fabric",P12/2.54*2,P12/2.54),IF(P10="flat Fabric",P12*2,P12))))</f>
        <v>90</v>
      </c>
      <c r="Q177" s="14">
        <f t="shared" si="279"/>
        <v>60</v>
      </c>
      <c r="R177" s="14">
        <f t="shared" ref="R177" si="280">IF(R$5="","",IF(R44=0,"",IF(R176="Inch",IF(R10="flat Fabric",R12/2.54*2,R12/2.54),IF(R10="flat Fabric",R12*2,R12))))</f>
        <v>46</v>
      </c>
      <c r="S177" s="14">
        <f>IF(S$5="","",IF(S44=0,"",IF(S176="Inch",IF(S10="flat Fabric",S12/2.54*2,S12/2.54),IF(S10="flat Fabric",S12*2,S12))))</f>
        <v>72</v>
      </c>
      <c r="T177" s="14">
        <f>IF(T$5="","",IF(T44=0,"",IF(T176="Inch",IF(T10="flat Fabric",T12/2.54*2,T12/2.54),IF(T10="flat Fabric",T12*2,T12))))</f>
        <v>30</v>
      </c>
      <c r="U177" s="14">
        <f t="shared" ref="U177:V177" si="281">IF(U$5="","",IF(U44=0,"",IF(U176="Inch",IF(U10="flat Fabric",U12/2.54*2,U12/2.54),IF(U10="flat Fabric",U12*2,U12))))</f>
        <v>176.5</v>
      </c>
      <c r="V177" s="18">
        <f t="shared" si="281"/>
        <v>19.685039370078741</v>
      </c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8"/>
      <c r="AV177" s="14"/>
      <c r="AW177" s="18"/>
      <c r="AX177" s="39"/>
      <c r="AY177" s="165"/>
    </row>
    <row r="178" spans="2:51" ht="14.25" x14ac:dyDescent="0.45">
      <c r="B178" s="50"/>
      <c r="C178" s="13"/>
      <c r="D178" s="1" t="s">
        <v>350</v>
      </c>
      <c r="E178" s="14">
        <f>IF(E$5="","",IF(E44=0,"",IF(E176="Inch",E13/2.54,E13)))</f>
        <v>0</v>
      </c>
      <c r="F178" s="14">
        <f>IF(F$5="","",IF(F44=0,"",IF(F176="Inch",F13/2.54,F13)))</f>
        <v>0</v>
      </c>
      <c r="G178" s="14">
        <f>IF(G$5="","",IF(G44=0,"",IF(G176="Inch",G13/2.54,G13)))</f>
        <v>0</v>
      </c>
      <c r="H178" s="14">
        <f t="shared" ref="H178:J178" si="282">IF(H$5="","",IF(H44=0,"",IF(H176="Inch",H13/2.54,H13)))</f>
        <v>0</v>
      </c>
      <c r="I178" s="14">
        <f t="shared" si="282"/>
        <v>0</v>
      </c>
      <c r="J178" s="14">
        <f t="shared" si="282"/>
        <v>0</v>
      </c>
      <c r="K178" s="14">
        <f t="shared" ref="K178:O178" si="283">IF(K$5="","",IF(K44=0,"",IF(K176="Inch",K13/2.54,K13)))</f>
        <v>0</v>
      </c>
      <c r="L178" s="14">
        <f t="shared" si="283"/>
        <v>0</v>
      </c>
      <c r="M178" s="14">
        <f t="shared" si="283"/>
        <v>0</v>
      </c>
      <c r="N178" s="14">
        <f t="shared" si="283"/>
        <v>0</v>
      </c>
      <c r="O178" s="14">
        <f t="shared" si="283"/>
        <v>0</v>
      </c>
      <c r="P178" s="14">
        <f t="shared" ref="P178:Q178" si="284">IF(P$5="","",IF(P44=0,"",IF(P176="Inch",P13/2.54,P13)))</f>
        <v>0</v>
      </c>
      <c r="Q178" s="14">
        <f t="shared" si="284"/>
        <v>0</v>
      </c>
      <c r="R178" s="14">
        <f t="shared" ref="R178" si="285">IF(R$5="","",IF(R44=0,"",IF(R176="Inch",R13/2.54,R13)))</f>
        <v>0</v>
      </c>
      <c r="S178" s="14">
        <f>IF(S$5="","",IF(S44=0,"",IF(S176="Inch",S13/2.54,S13)))</f>
        <v>0</v>
      </c>
      <c r="T178" s="14">
        <f>IF(T$5="","",IF(T44=0,"",IF(T176="Inch",T13/2.54,T13)))</f>
        <v>10</v>
      </c>
      <c r="U178" s="14">
        <f t="shared" ref="U178:V178" si="286">IF(U$5="","",IF(U44=0,"",IF(U176="Inch",U13/2.54,U13)))</f>
        <v>0</v>
      </c>
      <c r="V178" s="18">
        <f t="shared" si="286"/>
        <v>0</v>
      </c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8"/>
      <c r="AV178" s="14"/>
      <c r="AW178" s="18"/>
      <c r="AX178" s="39"/>
      <c r="AY178" s="165"/>
    </row>
    <row r="179" spans="2:51" ht="14.25" x14ac:dyDescent="0.45">
      <c r="B179" s="50"/>
      <c r="C179" s="13"/>
      <c r="D179" s="1" t="s">
        <v>351</v>
      </c>
      <c r="E179" s="14">
        <f>IF(E$5="","",IF(E44=0,"",IF(E176="Inch",E14/2.54,E14)))</f>
        <v>155</v>
      </c>
      <c r="F179" s="14">
        <f>IF(F$5="","",IF(F44=0,"",IF(F176="Inch",F14/2.54,F14)))</f>
        <v>160</v>
      </c>
      <c r="G179" s="14">
        <f>IF(G$5="","",IF(G44=0,"",IF(G176="Inch",G14/2.54,G14)))</f>
        <v>220</v>
      </c>
      <c r="H179" s="14">
        <f t="shared" ref="H179:J179" si="287">IF(H$5="","",IF(H44=0,"",IF(H176="Inch",H14/2.54,H14)))</f>
        <v>220</v>
      </c>
      <c r="I179" s="14">
        <f t="shared" si="287"/>
        <v>220</v>
      </c>
      <c r="J179" s="14">
        <f t="shared" si="287"/>
        <v>220</v>
      </c>
      <c r="K179" s="14">
        <f t="shared" ref="K179:O179" si="288">IF(K$5="","",IF(K44=0,"",IF(K176="Inch",K14/2.54,K14)))</f>
        <v>110</v>
      </c>
      <c r="L179" s="14">
        <f t="shared" si="288"/>
        <v>60</v>
      </c>
      <c r="M179" s="14">
        <f t="shared" si="288"/>
        <v>150</v>
      </c>
      <c r="N179" s="14">
        <f t="shared" si="288"/>
        <v>100</v>
      </c>
      <c r="O179" s="14">
        <f t="shared" si="288"/>
        <v>110</v>
      </c>
      <c r="P179" s="14">
        <f t="shared" ref="P179:Q179" si="289">IF(P$5="","",IF(P44=0,"",IF(P176="Inch",P14/2.54,P14)))</f>
        <v>130</v>
      </c>
      <c r="Q179" s="14">
        <f t="shared" si="289"/>
        <v>100</v>
      </c>
      <c r="R179" s="14">
        <f t="shared" ref="R179" si="290">IF(R$5="","",IF(R44=0,"",IF(R176="Inch",R14/2.54,R14)))</f>
        <v>75</v>
      </c>
      <c r="S179" s="14">
        <f>IF(S$5="","",IF(S44=0,"",IF(S176="Inch",S14/2.54,S14)))</f>
        <v>110</v>
      </c>
      <c r="T179" s="14">
        <f>IF(T$5="","",IF(T44=0,"",IF(T176="Inch",T14/2.54,T14)))</f>
        <v>70</v>
      </c>
      <c r="U179" s="14">
        <f t="shared" ref="U179:V179" si="291">IF(U$5="","",IF(U44=0,"",IF(U176="Inch",U14/2.54,U14)))</f>
        <v>115</v>
      </c>
      <c r="V179" s="18">
        <f t="shared" si="291"/>
        <v>31.496062992125985</v>
      </c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8"/>
      <c r="AV179" s="14"/>
      <c r="AW179" s="18"/>
      <c r="AX179" s="39"/>
      <c r="AY179" s="165"/>
    </row>
    <row r="180" spans="2:51" ht="14.25" x14ac:dyDescent="0.45">
      <c r="B180" s="50"/>
      <c r="C180" s="13"/>
      <c r="D180" s="1" t="s">
        <v>352</v>
      </c>
      <c r="E180" s="14">
        <f>IF(E$5="","",IF(E44=0,"",E17))</f>
        <v>273</v>
      </c>
      <c r="F180" s="14">
        <f>IF(F$5="","",IF(F44=0,"",F17))</f>
        <v>377.74</v>
      </c>
      <c r="G180" s="14">
        <f>IF(G$5="","",IF(G44=0,"",G17))</f>
        <v>673.27</v>
      </c>
      <c r="H180" s="14">
        <f t="shared" ref="H180:J180" si="292">IF(H$5="","",IF(H44=0,"",H17))</f>
        <v>609.42999999999995</v>
      </c>
      <c r="I180" s="14">
        <f t="shared" si="292"/>
        <v>539.42999999999995</v>
      </c>
      <c r="J180" s="14">
        <f t="shared" si="292"/>
        <v>409.93</v>
      </c>
      <c r="K180" s="14">
        <f t="shared" ref="K180:O180" si="293">IF(K$5="","",IF(K44=0,"",K17))</f>
        <v>114.56</v>
      </c>
      <c r="L180" s="14">
        <f t="shared" si="293"/>
        <v>46.61</v>
      </c>
      <c r="M180" s="14">
        <f t="shared" si="293"/>
        <v>274.58</v>
      </c>
      <c r="N180" s="14">
        <f t="shared" si="293"/>
        <v>88.71</v>
      </c>
      <c r="O180" s="14">
        <f t="shared" si="293"/>
        <v>148.55000000000001</v>
      </c>
      <c r="P180" s="14">
        <f t="shared" ref="P180:Q180" si="294">IF(P$5="","",IF(P44=0,"",P17))</f>
        <v>219.25</v>
      </c>
      <c r="Q180" s="14">
        <f t="shared" si="294"/>
        <v>80.709999999999994</v>
      </c>
      <c r="R180" s="14">
        <f t="shared" ref="R180" si="295">IF(R$5="","",IF(R44=0,"",R17))</f>
        <v>63.73</v>
      </c>
      <c r="S180" s="14">
        <f>IF(S$5="","",IF(S44=0,"",S17))</f>
        <v>160</v>
      </c>
      <c r="T180" s="14">
        <f>IF(T$5="","",IF(T44=0,"",T17))</f>
        <v>49.59</v>
      </c>
      <c r="U180" s="14">
        <f t="shared" ref="U180:V180" si="296">IF(U$5="","",IF(U44=0,"",U17))</f>
        <v>1096.0650000000001</v>
      </c>
      <c r="V180" s="14">
        <f t="shared" si="296"/>
        <v>59.659016393442627</v>
      </c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33"/>
      <c r="AY180" s="165"/>
    </row>
    <row r="181" spans="2:51" ht="14.25" x14ac:dyDescent="0.45">
      <c r="B181" s="50"/>
      <c r="C181" s="13"/>
      <c r="D181" s="1" t="s">
        <v>353</v>
      </c>
      <c r="E181" s="20" t="str">
        <f>IF(E$5="","",IF(E44=0,"",IF(E42&gt;0,"Yes","No")))</f>
        <v>No</v>
      </c>
      <c r="F181" s="20" t="str">
        <f>IF(F$5="","",IF(F44=0,"",IF(F42&gt;0,"Yes","No")))</f>
        <v>No</v>
      </c>
      <c r="G181" s="20" t="str">
        <f>IF(G$5="","",IF(G44=0,"",IF(G42&gt;0,"Yes","No")))</f>
        <v>Yes</v>
      </c>
      <c r="H181" s="20" t="str">
        <f t="shared" ref="H181:J181" si="297">IF(H$5="","",IF(H44=0,"",IF(H42&gt;0,"Yes","No")))</f>
        <v>Yes</v>
      </c>
      <c r="I181" s="20" t="str">
        <f t="shared" si="297"/>
        <v>Yes</v>
      </c>
      <c r="J181" s="20" t="str">
        <f t="shared" si="297"/>
        <v>No</v>
      </c>
      <c r="K181" s="20" t="str">
        <f t="shared" ref="K181:O181" si="298">IF(K$5="","",IF(K44=0,"",IF(K42&gt;0,"Yes","No")))</f>
        <v>No</v>
      </c>
      <c r="L181" s="20" t="str">
        <f t="shared" si="298"/>
        <v>No</v>
      </c>
      <c r="M181" s="20" t="str">
        <f t="shared" si="298"/>
        <v>Yes</v>
      </c>
      <c r="N181" s="20" t="str">
        <f t="shared" si="298"/>
        <v>No</v>
      </c>
      <c r="O181" s="20" t="str">
        <f t="shared" si="298"/>
        <v>Yes</v>
      </c>
      <c r="P181" s="20" t="str">
        <f t="shared" ref="P181:Q181" si="299">IF(P$5="","",IF(P44=0,"",IF(P42&gt;0,"Yes","No")))</f>
        <v>Yes</v>
      </c>
      <c r="Q181" s="20" t="str">
        <f t="shared" si="299"/>
        <v>No</v>
      </c>
      <c r="R181" s="20" t="str">
        <f t="shared" ref="R181" si="300">IF(R$5="","",IF(R44=0,"",IF(R42&gt;0,"Yes","No")))</f>
        <v>No</v>
      </c>
      <c r="S181" s="20" t="str">
        <f>IF(S$5="","",IF(S44=0,"",IF(S42&gt;0,"Yes","No")))</f>
        <v>No</v>
      </c>
      <c r="T181" s="20" t="str">
        <f>IF(T$5="","",IF(T44=0,"",IF(T42&gt;0,"Yes","No")))</f>
        <v>Yes</v>
      </c>
      <c r="U181" s="20" t="str">
        <f t="shared" ref="U181:V181" si="301">IF(U$5="","",IF(U44=0,"",IF(U42&gt;0,"Yes","No")))</f>
        <v>No</v>
      </c>
      <c r="V181" s="20" t="str">
        <f t="shared" si="301"/>
        <v>No</v>
      </c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43"/>
      <c r="AY181" s="165"/>
    </row>
    <row r="182" spans="2:51" ht="14.25" x14ac:dyDescent="0.45">
      <c r="B182" s="50"/>
      <c r="C182" s="13"/>
      <c r="D182" s="1" t="s">
        <v>354</v>
      </c>
      <c r="E182" s="20" t="str">
        <f>IF(E$5="","",IF(E44=0,"",IF(E80&gt;0,"Yes","No")))</f>
        <v>No</v>
      </c>
      <c r="F182" s="20" t="str">
        <f>IF(F$5="","",IF(F44=0,"",IF(F80&gt;0,"Yes","No")))</f>
        <v>No</v>
      </c>
      <c r="G182" s="20" t="str">
        <f>IF(G$5="","",IF(G44=0,"",IF(G80&gt;0,"Yes","No")))</f>
        <v>Yes</v>
      </c>
      <c r="H182" s="20" t="str">
        <f t="shared" ref="H182:J182" si="302">IF(H$5="","",IF(H44=0,"",IF(H80&gt;0,"Yes","No")))</f>
        <v>Yes</v>
      </c>
      <c r="I182" s="20" t="str">
        <f t="shared" si="302"/>
        <v>Yes</v>
      </c>
      <c r="J182" s="20" t="str">
        <f t="shared" si="302"/>
        <v>Yes</v>
      </c>
      <c r="K182" s="20" t="str">
        <f t="shared" ref="K182:O182" si="303">IF(K$5="","",IF(K44=0,"",IF(K80&gt;0,"Yes","No")))</f>
        <v>Yes</v>
      </c>
      <c r="L182" s="20" t="str">
        <f t="shared" si="303"/>
        <v>Yes</v>
      </c>
      <c r="M182" s="20" t="str">
        <f t="shared" si="303"/>
        <v>Yes</v>
      </c>
      <c r="N182" s="20" t="str">
        <f t="shared" si="303"/>
        <v>Yes</v>
      </c>
      <c r="O182" s="20" t="str">
        <f t="shared" si="303"/>
        <v>Yes</v>
      </c>
      <c r="P182" s="20" t="str">
        <f t="shared" ref="P182:Q182" si="304">IF(P$5="","",IF(P44=0,"",IF(P80&gt;0,"Yes","No")))</f>
        <v>Yes</v>
      </c>
      <c r="Q182" s="20" t="str">
        <f t="shared" si="304"/>
        <v>Yes</v>
      </c>
      <c r="R182" s="20" t="str">
        <f t="shared" ref="R182" si="305">IF(R$5="","",IF(R44=0,"",IF(R80&gt;0,"Yes","No")))</f>
        <v>Yes</v>
      </c>
      <c r="S182" s="20" t="str">
        <f>IF(S$5="","",IF(S44=0,"",IF(S80&gt;0,"Yes","No")))</f>
        <v>No</v>
      </c>
      <c r="T182" s="20" t="str">
        <f>IF(T$5="","",IF(T44=0,"",IF(T80&gt;0,"Yes","No")))</f>
        <v>Yes</v>
      </c>
      <c r="U182" s="20" t="str">
        <f t="shared" ref="U182:V182" si="306">IF(U$5="","",IF(U44=0,"",IF(U80&gt;0,"Yes","No")))</f>
        <v>Yes</v>
      </c>
      <c r="V182" s="20" t="str">
        <f t="shared" si="306"/>
        <v>No</v>
      </c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43"/>
      <c r="AY182" s="165"/>
    </row>
    <row r="183" spans="2:51" ht="14.25" x14ac:dyDescent="0.45">
      <c r="B183" s="50"/>
      <c r="C183" s="13"/>
      <c r="D183" s="1" t="s">
        <v>355</v>
      </c>
      <c r="E183" s="20" t="str">
        <f>IF(E5="","",E11)</f>
        <v>Coloured</v>
      </c>
      <c r="F183" s="20" t="str">
        <f>IF(F5="","",F11)</f>
        <v>Coloured</v>
      </c>
      <c r="G183" s="20" t="str">
        <f>IF(G5="","",G11)</f>
        <v>MW</v>
      </c>
      <c r="H183" s="20" t="str">
        <f t="shared" ref="H183:J183" si="307">IF(H5="","",H11)</f>
        <v>MW</v>
      </c>
      <c r="I183" s="20" t="str">
        <f t="shared" si="307"/>
        <v>MW</v>
      </c>
      <c r="J183" s="20" t="str">
        <f t="shared" si="307"/>
        <v>MW</v>
      </c>
      <c r="K183" s="20" t="str">
        <f t="shared" ref="K183:O183" si="308">IF(K5="","",K11)</f>
        <v>MW</v>
      </c>
      <c r="L183" s="20" t="str">
        <f t="shared" si="308"/>
        <v>MW</v>
      </c>
      <c r="M183" s="20" t="str">
        <f t="shared" si="308"/>
        <v>MW</v>
      </c>
      <c r="N183" s="20" t="str">
        <f t="shared" si="308"/>
        <v>MW</v>
      </c>
      <c r="O183" s="20" t="str">
        <f t="shared" si="308"/>
        <v>MW</v>
      </c>
      <c r="P183" s="20" t="str">
        <f t="shared" ref="P183:Q183" si="309">IF(P5="","",P11)</f>
        <v>Coloured</v>
      </c>
      <c r="Q183" s="20" t="str">
        <f t="shared" si="309"/>
        <v>MW</v>
      </c>
      <c r="R183" s="20" t="str">
        <f t="shared" ref="R183" si="310">IF(R5="","",R11)</f>
        <v>Coloured</v>
      </c>
      <c r="S183" s="20" t="str">
        <f>IF(S5="","",S11)</f>
        <v>MW</v>
      </c>
      <c r="T183" s="20" t="str">
        <f>IF(T5="","",T11)</f>
        <v>Transparent</v>
      </c>
      <c r="U183" s="20" t="str">
        <f t="shared" ref="U183:V183" si="311">IF(U5="","",U11)</f>
        <v>MW</v>
      </c>
      <c r="V183" s="20" t="str">
        <f t="shared" si="311"/>
        <v>MW</v>
      </c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43"/>
      <c r="AY183" s="165"/>
    </row>
    <row r="184" spans="2:51" ht="14.25" x14ac:dyDescent="0.45">
      <c r="B184" s="50"/>
      <c r="C184" s="13"/>
      <c r="D184" s="1" t="s">
        <v>356</v>
      </c>
      <c r="E184" s="20" t="str" cm="1">
        <f t="array" ref="E184">IF(E5&lt;&gt;"",_xlfn.IFS(AND(E28&gt;0,E22&gt;0),"Printed Glossy BOPP",AND(E28&gt;0,E23&gt;0),"Printed Matte BOPP",AND(E28&gt;0,E24&gt;0),"Printed Metalised BOPP",(AND(E28&gt;0,SUM(E25:E26)&gt;0)),"Printed Paper",E150&gt;0,"Yes",E150&lt;=0,"No"),"")</f>
        <v>Yes</v>
      </c>
      <c r="F184" s="20" t="str" cm="1">
        <f t="array" ref="F184">IF(F5&lt;&gt;"",_xlfn.IFS(AND(F28&gt;0,F22&gt;0),"Printed Glossy BOPP",AND(F28&gt;0,F23&gt;0),"Printed Matte BOPP",AND(F28&gt;0,F24&gt;0),"Printed Metalised BOPP",(AND(F28&gt;0,SUM(F25:F26)&gt;0)),"Printed Paper",F150&gt;0,"Yes",F150&lt;=0,"No"),"")</f>
        <v>Yes</v>
      </c>
      <c r="G184" s="20" t="str" cm="1">
        <f t="array" ref="G184">IF(G5&lt;&gt;"",_xlfn.IFS(AND(G28&gt;0,G22&gt;0),"Printed Glossy BOPP",AND(G28&gt;0,G23&gt;0),"Printed Matte BOPP",AND(G28&gt;0,G24&gt;0),"Printed Metalised BOPP",(AND(G28&gt;0,SUM(G25:G26)&gt;0)),"Printed Paper",G150&gt;0,"Yes",G150&lt;=0,"No"),"")</f>
        <v>Yes</v>
      </c>
      <c r="H184" s="20" t="str" cm="1">
        <f t="array" ref="H184">IF(H5&lt;&gt;"",_xlfn.IFS(AND(H28&gt;0,H22&gt;0),"Printed Glossy BOPP",AND(H28&gt;0,H23&gt;0),"Printed Matte BOPP",AND(H28&gt;0,H24&gt;0),"Printed Metalised BOPP",(AND(H28&gt;0,SUM(H25:H26)&gt;0)),"Printed Paper",H150&gt;0,"Yes",H150&lt;=0,"No"),"")</f>
        <v>Yes</v>
      </c>
      <c r="I184" s="20" t="str" cm="1">
        <f t="array" ref="I184">IF(I5&lt;&gt;"",_xlfn.IFS(AND(I28&gt;0,I22&gt;0),"Printed Glossy BOPP",AND(I28&gt;0,I23&gt;0),"Printed Matte BOPP",AND(I28&gt;0,I24&gt;0),"Printed Metalised BOPP",(AND(I28&gt;0,SUM(I25:I26)&gt;0)),"Printed Paper",I150&gt;0,"Yes",I150&lt;=0,"No"),"")</f>
        <v>Yes</v>
      </c>
      <c r="J184" s="20" t="str" cm="1">
        <f t="array" ref="J184">IF(J5&lt;&gt;"",_xlfn.IFS(AND(J28&gt;0,J22&gt;0),"Printed Glossy BOPP",AND(J28&gt;0,J23&gt;0),"Printed Matte BOPP",AND(J28&gt;0,J24&gt;0),"Printed Metalised BOPP",(AND(J28&gt;0,SUM(J25:J26)&gt;0)),"Printed Paper",J150&gt;0,"Yes",J150&lt;=0,"No"),"")</f>
        <v>Yes</v>
      </c>
      <c r="K184" s="20" t="str" cm="1">
        <f t="array" ref="K184">IF(K5&lt;&gt;"",_xlfn.IFS(AND(K28&gt;0,K22&gt;0),"Printed Glossy BOPP",AND(K28&gt;0,K23&gt;0),"Printed Matte BOPP",AND(K28&gt;0,K24&gt;0),"Printed Metalised BOPP",(AND(K28&gt;0,SUM(K25:K26)&gt;0)),"Printed Paper",K150&gt;0,"Yes",K150&lt;=0,"No"),"")</f>
        <v>No</v>
      </c>
      <c r="L184" s="20" t="str" cm="1">
        <f t="array" ref="L184">IF(L5&lt;&gt;"",_xlfn.IFS(AND(L28&gt;0,L22&gt;0),"Printed Glossy BOPP",AND(L28&gt;0,L23&gt;0),"Printed Matte BOPP",AND(L28&gt;0,L24&gt;0),"Printed Metalised BOPP",(AND(L28&gt;0,SUM(L25:L26)&gt;0)),"Printed Paper",L150&gt;0,"Yes",L150&lt;=0,"No"),"")</f>
        <v>No</v>
      </c>
      <c r="M184" s="20" t="str" cm="1">
        <f t="array" ref="M184">IF(M5&lt;&gt;"",_xlfn.IFS(AND(M28&gt;0,M22&gt;0),"Printed Glossy BOPP",AND(M28&gt;0,M23&gt;0),"Printed Matte BOPP",AND(M28&gt;0,M24&gt;0),"Printed Metalised BOPP",(AND(M28&gt;0,SUM(M25:M26)&gt;0)),"Printed Paper",M150&gt;0,"Yes",M150&lt;=0,"No"),"")</f>
        <v>Yes</v>
      </c>
      <c r="N184" s="20" t="str" cm="1">
        <f t="array" ref="N184">IF(N5&lt;&gt;"",_xlfn.IFS(AND(N28&gt;0,N22&gt;0),"Printed Glossy BOPP",AND(N28&gt;0,N23&gt;0),"Printed Matte BOPP",AND(N28&gt;0,N24&gt;0),"Printed Metalised BOPP",(AND(N28&gt;0,SUM(N25:N26)&gt;0)),"Printed Paper",N150&gt;0,"Yes",N150&lt;=0,"No"),"")</f>
        <v>No</v>
      </c>
      <c r="O184" s="20" t="str" cm="1">
        <f t="array" ref="O184">IF(O5&lt;&gt;"",_xlfn.IFS(AND(O28&gt;0,O22&gt;0),"Printed Glossy BOPP",AND(O28&gt;0,O23&gt;0),"Printed Matte BOPP",AND(O28&gt;0,O24&gt;0),"Printed Metalised BOPP",(AND(O28&gt;0,SUM(O25:O26)&gt;0)),"Printed Paper",O150&gt;0,"Yes",O150&lt;=0,"No"),"")</f>
        <v>Yes</v>
      </c>
      <c r="P184" s="20" t="str" cm="1">
        <f t="array" ref="P184">IF(P5&lt;&gt;"",_xlfn.IFS(AND(P28&gt;0,P22&gt;0),"Printed Glossy BOPP",AND(P28&gt;0,P23&gt;0),"Printed Matte BOPP",AND(P28&gt;0,P24&gt;0),"Printed Metalised BOPP",(AND(P28&gt;0,SUM(P25:P26)&gt;0)),"Printed Paper",P150&gt;0,"Yes",P150&lt;=0,"No"),"")</f>
        <v>No</v>
      </c>
      <c r="Q184" s="20" t="str" cm="1">
        <f t="array" ref="Q184">IF(Q5&lt;&gt;"",_xlfn.IFS(AND(Q28&gt;0,Q22&gt;0),"Printed Glossy BOPP",AND(Q28&gt;0,Q23&gt;0),"Printed Matte BOPP",AND(Q28&gt;0,Q24&gt;0),"Printed Metalised BOPP",(AND(Q28&gt;0,SUM(Q25:Q26)&gt;0)),"Printed Paper",Q150&gt;0,"Yes",Q150&lt;=0,"No"),"")</f>
        <v>No</v>
      </c>
      <c r="R184" s="20" t="str" cm="1">
        <f t="array" ref="R184">IF(R5&lt;&gt;"",_xlfn.IFS(AND(R28&gt;0,R22&gt;0),"Printed Glossy BOPP",AND(R28&gt;0,R23&gt;0),"Printed Matte BOPP",AND(R28&gt;0,R24&gt;0),"Printed Metalised BOPP",(AND(R28&gt;0,SUM(R25:R26)&gt;0)),"Printed Paper",R150&gt;0,"Yes",R150&lt;=0,"No"),"")</f>
        <v>No</v>
      </c>
      <c r="S184" s="20" t="str" cm="1">
        <f t="array" ref="S184">IF(S5&lt;&gt;"",_xlfn.IFS(AND(S28&gt;0,S22&gt;0),"Printed Glossy BOPP",AND(S28&gt;0,S23&gt;0),"Printed Matte BOPP",AND(S28&gt;0,S24&gt;0),"Printed Metalised BOPP",(AND(S28&gt;0,SUM(S25:S26)&gt;0)),"Printed Paper",S150&gt;0,"Yes",S150&lt;=0,"No"),"")</f>
        <v>No</v>
      </c>
      <c r="T184" s="20" t="str" cm="1">
        <f t="array" ref="T184">IF(T5&lt;&gt;"",_xlfn.IFS(AND(T28&gt;0,T22&gt;0),"Printed Glossy BOPP",AND(T28&gt;0,T23&gt;0),"Printed Matte BOPP",AND(T28&gt;0,T24&gt;0),"Printed Metalised BOPP",(AND(T28&gt;0,SUM(T25:T26)&gt;0)),"Printed Paper",T150&gt;0,"Yes",T150&lt;=0,"No"),"")</f>
        <v>Yes</v>
      </c>
      <c r="U184" s="20" t="str" cm="1">
        <f t="array" ref="U184">IF(U5&lt;&gt;"",_xlfn.IFS(AND(U28&gt;0,U22&gt;0),"Printed Glossy BOPP",AND(U28&gt;0,U23&gt;0),"Printed Matte BOPP",AND(U28&gt;0,U24&gt;0),"Printed Metalised BOPP",(AND(U28&gt;0,SUM(U25:U26)&gt;0)),"Printed Paper",U150&gt;0,"Yes",U150&lt;=0,"No"),"")</f>
        <v>Yes</v>
      </c>
      <c r="V184" s="25" t="str" cm="1">
        <f t="array" ref="V184">IF(V5&lt;&gt;"",_xlfn.IFS(AND(V28&gt;0,V22&gt;0),"Printed Glossy BOPP",AND(V28&gt;0,V23&gt;0),"Printed Matte BOPP",AND(V28&gt;0,V24&gt;0),"Printed Metalised BOPP",(AND(V28&gt;0,SUM(V25:V26)&gt;0)),"Printed Paper",V150&gt;0,"Yes",V150&lt;=0,"No"),"")</f>
        <v>Yes</v>
      </c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5"/>
      <c r="AV184" s="20"/>
      <c r="AW184" s="25"/>
      <c r="AX184" s="43"/>
      <c r="AY184" s="165"/>
    </row>
    <row r="185" spans="2:51" ht="14.25" x14ac:dyDescent="0.45">
      <c r="B185" s="50"/>
      <c r="C185" s="13"/>
      <c r="D185" s="1" t="s">
        <v>357</v>
      </c>
      <c r="E185" s="20" t="str">
        <f>IF(E5="","",IF(E21&gt;0,"Yes","No"))</f>
        <v>Yes</v>
      </c>
      <c r="F185" s="20" t="str">
        <f>IF(F5="","",IF(F21&gt;0,"Yes","No"))</f>
        <v>Yes</v>
      </c>
      <c r="G185" s="20" t="str">
        <f>IF(G5="","",IF(G21&gt;0,"Yes","No"))</f>
        <v>No</v>
      </c>
      <c r="H185" s="20" t="str">
        <f t="shared" ref="H185:J185" si="312">IF(H5="","",IF(H21&gt;0,"Yes","No"))</f>
        <v>No</v>
      </c>
      <c r="I185" s="20" t="str">
        <f t="shared" si="312"/>
        <v>No</v>
      </c>
      <c r="J185" s="20" t="str">
        <f t="shared" si="312"/>
        <v>No</v>
      </c>
      <c r="K185" s="20" t="str">
        <f t="shared" ref="K185:O185" si="313">IF(K5="","",IF(K21&gt;0,"Yes","No"))</f>
        <v>No</v>
      </c>
      <c r="L185" s="20" t="str">
        <f t="shared" si="313"/>
        <v>No</v>
      </c>
      <c r="M185" s="20" t="str">
        <f t="shared" si="313"/>
        <v>No</v>
      </c>
      <c r="N185" s="20" t="str">
        <f t="shared" si="313"/>
        <v>No</v>
      </c>
      <c r="O185" s="20" t="str">
        <f t="shared" si="313"/>
        <v>No</v>
      </c>
      <c r="P185" s="20" t="str">
        <f t="shared" ref="P185:Q185" si="314">IF(P5="","",IF(P21&gt;0,"Yes","No"))</f>
        <v>No</v>
      </c>
      <c r="Q185" s="20" t="str">
        <f t="shared" si="314"/>
        <v>No</v>
      </c>
      <c r="R185" s="20" t="str">
        <f t="shared" ref="R185" si="315">IF(R5="","",IF(R21&gt;0,"Yes","No"))</f>
        <v>No</v>
      </c>
      <c r="S185" s="20" t="str">
        <f>IF(S5="","",IF(S21&gt;0,"Yes","No"))</f>
        <v>Yes</v>
      </c>
      <c r="T185" s="20" t="str">
        <f>IF(T5="","",IF(T21&gt;0,"Yes","No"))</f>
        <v>No</v>
      </c>
      <c r="U185" s="20" t="str">
        <f t="shared" ref="U185:V185" si="316">IF(U5="","",IF(U21&gt;0,"Yes","No"))</f>
        <v>No</v>
      </c>
      <c r="V185" s="25" t="str">
        <f t="shared" si="316"/>
        <v>No</v>
      </c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5"/>
      <c r="AV185" s="20"/>
      <c r="AW185" s="25"/>
      <c r="AX185" s="43"/>
      <c r="AY185" s="165"/>
    </row>
    <row r="186" spans="2:51" ht="14.25" x14ac:dyDescent="0.45">
      <c r="B186" s="50"/>
      <c r="C186" s="13"/>
      <c r="D186" s="1" t="s">
        <v>211</v>
      </c>
      <c r="E186" s="20" t="str">
        <f>IF(E5="","",E15)</f>
        <v>Hemmed</v>
      </c>
      <c r="F186" s="20" t="str">
        <f>IF(F5="","",F15)</f>
        <v>Hemmed</v>
      </c>
      <c r="G186" s="20" t="str">
        <f>IF(G5="","",G15)</f>
        <v>Hemmed</v>
      </c>
      <c r="H186" s="20" t="str">
        <f t="shared" ref="H186:J186" si="317">IF(H5="","",H15)</f>
        <v>Hemmed</v>
      </c>
      <c r="I186" s="20" t="str">
        <f t="shared" si="317"/>
        <v>Hemmed</v>
      </c>
      <c r="J186" s="20" t="str">
        <f t="shared" si="317"/>
        <v>Hemmed</v>
      </c>
      <c r="K186" s="20" t="str">
        <f t="shared" ref="K186:O186" si="318">IF(K5="","",K15)</f>
        <v>Hemmed</v>
      </c>
      <c r="L186" s="20" t="str">
        <f t="shared" si="318"/>
        <v>Hemmed</v>
      </c>
      <c r="M186" s="20" t="str">
        <f t="shared" si="318"/>
        <v>Hemmed</v>
      </c>
      <c r="N186" s="20" t="str">
        <f t="shared" si="318"/>
        <v>Hemmed</v>
      </c>
      <c r="O186" s="20" t="str">
        <f t="shared" si="318"/>
        <v>Hemmed</v>
      </c>
      <c r="P186" s="20" t="str">
        <f t="shared" ref="P186:Q186" si="319">IF(P5="","",P15)</f>
        <v>Hemmed</v>
      </c>
      <c r="Q186" s="20" t="str">
        <f t="shared" si="319"/>
        <v>Hemmed</v>
      </c>
      <c r="R186" s="20" t="str">
        <f t="shared" ref="R186" si="320">IF(R5="","",R15)</f>
        <v>Hemmed</v>
      </c>
      <c r="S186" s="20" t="str">
        <f>IF(S5="","",S15)</f>
        <v>Hemmed</v>
      </c>
      <c r="T186" s="20" t="str">
        <f>IF(T5="","",T15)</f>
        <v>Heat Cut</v>
      </c>
      <c r="U186" s="20" t="str">
        <f t="shared" ref="U186:V186" si="321">IF(U5="","",U15)</f>
        <v>No Fold</v>
      </c>
      <c r="V186" s="20" t="str">
        <f t="shared" si="321"/>
        <v>Hemmed</v>
      </c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43"/>
      <c r="AY186" s="165"/>
    </row>
    <row r="187" spans="2:51" ht="14.25" x14ac:dyDescent="0.45">
      <c r="B187" s="50"/>
      <c r="C187" s="13"/>
      <c r="D187" s="1" t="s">
        <v>313</v>
      </c>
      <c r="E187" s="80" t="s">
        <v>359</v>
      </c>
      <c r="F187" s="80" t="s">
        <v>359</v>
      </c>
      <c r="G187" s="80" t="s">
        <v>359</v>
      </c>
      <c r="H187" s="80" t="s">
        <v>359</v>
      </c>
      <c r="I187" s="80" t="s">
        <v>359</v>
      </c>
      <c r="J187" s="80" t="s">
        <v>359</v>
      </c>
      <c r="K187" s="80" t="s">
        <v>359</v>
      </c>
      <c r="L187" s="80" t="s">
        <v>359</v>
      </c>
      <c r="M187" s="80" t="s">
        <v>359</v>
      </c>
      <c r="N187" s="80" t="s">
        <v>359</v>
      </c>
      <c r="O187" s="80" t="s">
        <v>359</v>
      </c>
      <c r="P187" s="80" t="s">
        <v>359</v>
      </c>
      <c r="Q187" s="80" t="s">
        <v>359</v>
      </c>
      <c r="R187" s="80" t="s">
        <v>359</v>
      </c>
      <c r="S187" s="80" t="s">
        <v>359</v>
      </c>
      <c r="T187" s="80" t="s">
        <v>359</v>
      </c>
      <c r="U187" s="80" t="s">
        <v>359</v>
      </c>
      <c r="V187" s="80" t="s">
        <v>359</v>
      </c>
      <c r="W187" s="80"/>
      <c r="X187" s="80"/>
      <c r="Y187" s="80"/>
      <c r="Z187" s="80"/>
      <c r="AA187" s="80"/>
      <c r="AB187" s="80"/>
      <c r="AC187" s="80"/>
      <c r="AD187" s="80"/>
      <c r="AE187" s="80"/>
      <c r="AF187" s="80"/>
      <c r="AG187" s="80"/>
      <c r="AH187" s="80"/>
      <c r="AI187" s="80"/>
      <c r="AJ187" s="80"/>
      <c r="AK187" s="80"/>
      <c r="AL187" s="80"/>
      <c r="AM187" s="80"/>
      <c r="AN187" s="80"/>
      <c r="AO187" s="80"/>
      <c r="AP187" s="80"/>
      <c r="AQ187" s="80"/>
      <c r="AR187" s="80"/>
      <c r="AS187" s="80"/>
      <c r="AT187" s="80"/>
      <c r="AU187" s="80"/>
      <c r="AV187" s="80"/>
      <c r="AW187" s="80"/>
      <c r="AX187" s="43"/>
      <c r="AY187" s="165"/>
    </row>
    <row r="188" spans="2:51" ht="14.25" x14ac:dyDescent="0.45">
      <c r="B188" s="50"/>
      <c r="C188" s="13"/>
      <c r="D188" s="1" t="s">
        <v>314</v>
      </c>
      <c r="E188" s="80" t="s">
        <v>359</v>
      </c>
      <c r="F188" s="80" t="s">
        <v>359</v>
      </c>
      <c r="G188" s="80" t="s">
        <v>359</v>
      </c>
      <c r="H188" s="80" t="s">
        <v>359</v>
      </c>
      <c r="I188" s="80" t="s">
        <v>359</v>
      </c>
      <c r="J188" s="80" t="s">
        <v>359</v>
      </c>
      <c r="K188" s="80" t="s">
        <v>359</v>
      </c>
      <c r="L188" s="80" t="s">
        <v>359</v>
      </c>
      <c r="M188" s="80" t="s">
        <v>359</v>
      </c>
      <c r="N188" s="80" t="s">
        <v>359</v>
      </c>
      <c r="O188" s="80" t="s">
        <v>359</v>
      </c>
      <c r="P188" s="80" t="s">
        <v>359</v>
      </c>
      <c r="Q188" s="80" t="s">
        <v>359</v>
      </c>
      <c r="R188" s="80" t="s">
        <v>359</v>
      </c>
      <c r="S188" s="80" t="s">
        <v>359</v>
      </c>
      <c r="T188" s="80" t="s">
        <v>359</v>
      </c>
      <c r="U188" s="80" t="s">
        <v>359</v>
      </c>
      <c r="V188" s="80" t="s">
        <v>359</v>
      </c>
      <c r="W188" s="80"/>
      <c r="X188" s="80"/>
      <c r="Y188" s="80"/>
      <c r="Z188" s="80"/>
      <c r="AA188" s="80"/>
      <c r="AB188" s="80"/>
      <c r="AC188" s="80"/>
      <c r="AD188" s="80"/>
      <c r="AE188" s="80"/>
      <c r="AF188" s="80"/>
      <c r="AG188" s="80"/>
      <c r="AH188" s="80"/>
      <c r="AI188" s="80"/>
      <c r="AJ188" s="80"/>
      <c r="AK188" s="80"/>
      <c r="AL188" s="80"/>
      <c r="AM188" s="80"/>
      <c r="AN188" s="80"/>
      <c r="AO188" s="80"/>
      <c r="AP188" s="80"/>
      <c r="AQ188" s="80"/>
      <c r="AR188" s="80"/>
      <c r="AS188" s="80"/>
      <c r="AT188" s="80"/>
      <c r="AU188" s="80"/>
      <c r="AV188" s="80"/>
      <c r="AW188" s="80"/>
      <c r="AX188" s="43"/>
      <c r="AY188" s="165"/>
    </row>
    <row r="189" spans="2:51" ht="14.25" x14ac:dyDescent="0.45">
      <c r="B189" s="50"/>
      <c r="C189" s="1"/>
      <c r="D189" s="1" t="s">
        <v>315</v>
      </c>
      <c r="E189" s="150" t="s">
        <v>359</v>
      </c>
      <c r="F189" s="150" t="s">
        <v>359</v>
      </c>
      <c r="G189" s="150" t="s">
        <v>359</v>
      </c>
      <c r="H189" s="150" t="s">
        <v>359</v>
      </c>
      <c r="I189" s="150" t="s">
        <v>359</v>
      </c>
      <c r="J189" s="150" t="s">
        <v>359</v>
      </c>
      <c r="K189" s="150" t="s">
        <v>359</v>
      </c>
      <c r="L189" s="150" t="s">
        <v>359</v>
      </c>
      <c r="M189" s="150" t="s">
        <v>359</v>
      </c>
      <c r="N189" s="150" t="s">
        <v>359</v>
      </c>
      <c r="O189" s="150" t="s">
        <v>359</v>
      </c>
      <c r="P189" s="150" t="s">
        <v>359</v>
      </c>
      <c r="Q189" s="150" t="s">
        <v>359</v>
      </c>
      <c r="R189" s="150" t="s">
        <v>359</v>
      </c>
      <c r="S189" s="150" t="s">
        <v>359</v>
      </c>
      <c r="T189" s="150" t="s">
        <v>358</v>
      </c>
      <c r="U189" s="150" t="s">
        <v>359</v>
      </c>
      <c r="V189" s="150" t="s">
        <v>359</v>
      </c>
      <c r="W189" s="150"/>
      <c r="X189" s="150"/>
      <c r="Y189" s="150"/>
      <c r="Z189" s="150"/>
      <c r="AA189" s="150"/>
      <c r="AB189" s="150"/>
      <c r="AC189" s="150"/>
      <c r="AD189" s="150"/>
      <c r="AE189" s="150"/>
      <c r="AF189" s="150"/>
      <c r="AG189" s="150"/>
      <c r="AH189" s="150"/>
      <c r="AI189" s="150"/>
      <c r="AJ189" s="150"/>
      <c r="AK189" s="150"/>
      <c r="AL189" s="150"/>
      <c r="AM189" s="150"/>
      <c r="AN189" s="150"/>
      <c r="AO189" s="150"/>
      <c r="AP189" s="150"/>
      <c r="AQ189" s="150"/>
      <c r="AR189" s="150"/>
      <c r="AS189" s="150"/>
      <c r="AT189" s="150"/>
      <c r="AU189" s="150"/>
      <c r="AV189" s="150"/>
      <c r="AW189" s="150"/>
      <c r="AX189" s="43"/>
      <c r="AY189" s="165"/>
    </row>
    <row r="190" spans="2:51" ht="14.25" x14ac:dyDescent="0.45">
      <c r="B190" s="50">
        <v>94</v>
      </c>
      <c r="C190" s="47" t="s">
        <v>345</v>
      </c>
      <c r="D190" s="3" t="s">
        <v>360</v>
      </c>
      <c r="E190" s="53" t="s">
        <v>361</v>
      </c>
      <c r="F190" s="53" t="s">
        <v>361</v>
      </c>
      <c r="G190" s="53" t="s">
        <v>361</v>
      </c>
      <c r="H190" s="53" t="s">
        <v>361</v>
      </c>
      <c r="I190" s="53" t="s">
        <v>361</v>
      </c>
      <c r="J190" s="53" t="s">
        <v>361</v>
      </c>
      <c r="K190" s="53" t="s">
        <v>361</v>
      </c>
      <c r="L190" s="53" t="s">
        <v>361</v>
      </c>
      <c r="M190" s="53" t="s">
        <v>361</v>
      </c>
      <c r="N190" s="53" t="s">
        <v>361</v>
      </c>
      <c r="O190" s="53" t="s">
        <v>361</v>
      </c>
      <c r="P190" s="53" t="s">
        <v>361</v>
      </c>
      <c r="Q190" s="53" t="s">
        <v>361</v>
      </c>
      <c r="R190" s="53" t="s">
        <v>361</v>
      </c>
      <c r="S190" s="53" t="s">
        <v>361</v>
      </c>
      <c r="T190" s="53" t="s">
        <v>361</v>
      </c>
      <c r="U190" s="53" t="s">
        <v>362</v>
      </c>
      <c r="V190" s="53" t="s">
        <v>361</v>
      </c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32"/>
      <c r="AY190" s="165"/>
    </row>
    <row r="191" spans="2:51" ht="14.25" x14ac:dyDescent="0.45">
      <c r="B191" s="50">
        <v>95</v>
      </c>
      <c r="C191" s="47" t="s">
        <v>345</v>
      </c>
      <c r="D191" s="3" t="s">
        <v>365</v>
      </c>
      <c r="E191" s="53" t="s">
        <v>366</v>
      </c>
      <c r="F191" s="53" t="s">
        <v>366</v>
      </c>
      <c r="G191" s="53" t="s">
        <v>366</v>
      </c>
      <c r="H191" s="53" t="s">
        <v>366</v>
      </c>
      <c r="I191" s="53" t="s">
        <v>366</v>
      </c>
      <c r="J191" s="53" t="s">
        <v>366</v>
      </c>
      <c r="K191" s="53" t="s">
        <v>366</v>
      </c>
      <c r="L191" s="53" t="s">
        <v>366</v>
      </c>
      <c r="M191" s="53" t="s">
        <v>366</v>
      </c>
      <c r="N191" s="53" t="s">
        <v>366</v>
      </c>
      <c r="O191" s="53" t="s">
        <v>366</v>
      </c>
      <c r="P191" s="53" t="s">
        <v>366</v>
      </c>
      <c r="Q191" s="53" t="s">
        <v>366</v>
      </c>
      <c r="R191" s="53" t="s">
        <v>366</v>
      </c>
      <c r="S191" s="53" t="s">
        <v>366</v>
      </c>
      <c r="T191" s="53" t="s">
        <v>366</v>
      </c>
      <c r="U191" s="53" t="s">
        <v>367</v>
      </c>
      <c r="V191" s="53" t="s">
        <v>366</v>
      </c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32"/>
      <c r="AY191" s="165"/>
    </row>
    <row r="192" spans="2:51" ht="14.25" x14ac:dyDescent="0.45">
      <c r="B192" s="50">
        <v>96</v>
      </c>
      <c r="C192" s="47" t="s">
        <v>345</v>
      </c>
      <c r="D192" s="3" t="s">
        <v>368</v>
      </c>
      <c r="E192" s="53" t="s">
        <v>369</v>
      </c>
      <c r="F192" s="53" t="s">
        <v>369</v>
      </c>
      <c r="G192" s="53" t="s">
        <v>369</v>
      </c>
      <c r="H192" s="53" t="s">
        <v>369</v>
      </c>
      <c r="I192" s="53" t="s">
        <v>369</v>
      </c>
      <c r="J192" s="53" t="s">
        <v>369</v>
      </c>
      <c r="K192" s="53" t="s">
        <v>369</v>
      </c>
      <c r="L192" s="53" t="s">
        <v>369</v>
      </c>
      <c r="M192" s="53" t="s">
        <v>369</v>
      </c>
      <c r="N192" s="53" t="s">
        <v>369</v>
      </c>
      <c r="O192" s="53" t="s">
        <v>369</v>
      </c>
      <c r="P192" s="53" t="s">
        <v>369</v>
      </c>
      <c r="Q192" s="53" t="s">
        <v>369</v>
      </c>
      <c r="R192" s="53" t="s">
        <v>369</v>
      </c>
      <c r="S192" s="53" t="s">
        <v>369</v>
      </c>
      <c r="T192" s="53" t="s">
        <v>369</v>
      </c>
      <c r="U192" s="53" t="s">
        <v>371</v>
      </c>
      <c r="V192" s="53" t="s">
        <v>369</v>
      </c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32"/>
      <c r="AY192" s="165"/>
    </row>
    <row r="193" spans="2:51" ht="14.25" x14ac:dyDescent="0.45">
      <c r="B193" s="50"/>
      <c r="C193" s="13"/>
      <c r="D193" s="1" t="s">
        <v>373</v>
      </c>
      <c r="E193" s="21" cm="1">
        <f t="array" ref="E193">IF(E5="","",_xlfn.IFS(E192="","",E192="USD",IF(E190="FOB",E166*E17/1000,E172*E17/1000),E192="Euro",IF(E190="FOB",E167*E17/1000,E173*E17/1000),E192="GBP",IF(E190="FOB",E168*E17/1000,E174*E17/1000),E192="INR",IF(E190="Ex Works",E162*E17/1000,E171*E17/1000)))</f>
        <v>0.69650316865491002</v>
      </c>
      <c r="F193" s="21" cm="1">
        <f t="array" ref="F193">IF(F5="","",_xlfn.IFS(F192="","",F192="USD",IF(F190="FOB",F166*F17/1000,F172*F17/1000),F192="Euro",IF(F190="FOB",F167*F17/1000,F173*F17/1000),F192="GBP",IF(F190="FOB",F168*F17/1000,F174*F17/1000),F192="INR",IF(F190="Ex Works",F162*F17/1000,F171*F17/1000)))</f>
        <v>0.93998095077793564</v>
      </c>
      <c r="G193" s="21" cm="1">
        <f t="array" ref="G193">IF(G5="","",_xlfn.IFS(G192="","",G192="USD",IF(G190="FOB",G166*G17/1000,G172*G17/1000),G192="Euro",IF(G190="FOB",G167*G17/1000,G173*G17/1000),G192="GBP",IF(G190="FOB",G168*G17/1000,G174*G17/1000),G192="INR",IF(G190="Ex Works",G162*G17/1000,G171*G17/1000)))</f>
        <v>1.9042982340951413</v>
      </c>
      <c r="H193" s="21" cm="1">
        <f t="array" ref="H193">IF(H5="","",_xlfn.IFS(H192="","",H192="USD",IF(H190="FOB",H166*H17/1000,H172*H17/1000),H192="Euro",IF(H190="FOB",H167*H17/1000,H173*H17/1000),H192="GBP",IF(H190="FOB",H168*H17/1000,H174*H17/1000),H192="INR",IF(H190="Ex Works",H162*H17/1000,H171*H17/1000)))</f>
        <v>1.7536774741028129</v>
      </c>
      <c r="I193" s="21" cm="1">
        <f t="array" ref="I193">IF(I5="","",_xlfn.IFS(I192="","",I192="USD",IF(I190="FOB",I166*I17/1000,I172*I17/1000),I192="Euro",IF(I190="FOB",I167*I17/1000,I173*I17/1000),I192="GBP",IF(I190="FOB",I168*I17/1000,I174*I17/1000),I192="INR",IF(I190="Ex Works",I162*I17/1000,I171*I17/1000)))</f>
        <v>1.4936187871253286</v>
      </c>
      <c r="J193" s="21" cm="1">
        <f t="array" ref="J193">IF(J5="","",_xlfn.IFS(J192="","",J192="USD",IF(J190="FOB",J166*J17/1000,J172*J17/1000),J192="Euro",IF(J190="FOB",J167*J17/1000,J173*J17/1000),J192="GBP",IF(J190="FOB",J168*J17/1000,J174*J17/1000),J192="INR",IF(J190="Ex Works",J162*J17/1000,J171*J17/1000)))</f>
        <v>1.1848040426146218</v>
      </c>
      <c r="K193" s="21" cm="1">
        <f t="array" ref="K193">IF(K5="","",_xlfn.IFS(K192="","",K192="USD",IF(K190="FOB",K166*K17/1000,K172*K17/1000),K192="Euro",IF(K190="FOB",K167*K17/1000,K173*K17/1000),K192="GBP",IF(K190="FOB",K168*K17/1000,K174*K17/1000),K192="INR",IF(K190="Ex Works",K162*K17/1000,K171*K17/1000)))</f>
        <v>0.29415988325462294</v>
      </c>
      <c r="L193" s="21" cm="1">
        <f t="array" ref="L193">IF(L5="","",_xlfn.IFS(L192="","",L192="USD",IF(L190="FOB",L166*L17/1000,L172*L17/1000),L192="Euro",IF(L190="FOB",L167*L17/1000,L173*L17/1000),L192="GBP",IF(L190="FOB",L168*L17/1000,L174*L17/1000),L192="INR",IF(L190="Ex Works",L162*L17/1000,L171*L17/1000)))</f>
        <v>0.13170248693635173</v>
      </c>
      <c r="M193" s="21" cm="1">
        <f t="array" ref="M193">IF(M5="","",_xlfn.IFS(M192="","",M192="USD",IF(M190="FOB",M166*M17/1000,M172*M17/1000),M192="Euro",IF(M190="FOB",M167*M17/1000,M173*M17/1000),M192="GBP",IF(M190="FOB",M168*M17/1000,M174*M17/1000),M192="INR",IF(M190="Ex Works",M162*M17/1000,M171*M17/1000)))</f>
        <v>0.67885738949313157</v>
      </c>
      <c r="N193" s="21" cm="1">
        <f t="array" ref="N193">IF(N5="","",_xlfn.IFS(N192="","",N192="USD",IF(N190="FOB",N166*N17/1000,N172*N17/1000),N192="Euro",IF(N190="FOB",N167*N17/1000,N173*N17/1000),N192="GBP",IF(N190="FOB",N168*N17/1000,N174*N17/1000),N192="INR",IF(N190="Ex Works",N162*N17/1000,N171*N17/1000)))</f>
        <v>0.22748334379341337</v>
      </c>
      <c r="O193" s="21" cm="1">
        <f t="array" ref="O193">IF(O5="","",_xlfn.IFS(O192="","",O192="USD",IF(O190="FOB",O166*O17/1000,O172*O17/1000),O192="Euro",IF(O190="FOB",O167*O17/1000,O173*O17/1000),O192="GBP",IF(O190="FOB",O168*O17/1000,O174*O17/1000),O192="INR",IF(O190="Ex Works",O162*O17/1000,O171*O17/1000)))</f>
        <v>0.38017603798198207</v>
      </c>
      <c r="P193" s="21" cm="1">
        <f t="array" ref="P193">IF(P5="","",_xlfn.IFS(P192="","",P192="USD",IF(P190="FOB",P166*P17/1000,P172*P17/1000),P192="Euro",IF(P190="FOB",P167*P17/1000,P173*P17/1000),P192="GBP",IF(P190="FOB",P168*P17/1000,P174*P17/1000),P192="INR",IF(P190="Ex Works",P162*P17/1000,P171*P17/1000)))</f>
        <v>0.55433549244514901</v>
      </c>
      <c r="Q193" s="21" cm="1">
        <f t="array" ref="Q193">IF(Q5="","",_xlfn.IFS(Q192="","",Q192="USD",IF(Q190="FOB",Q166*Q17/1000,Q172*Q17/1000),Q192="Euro",IF(Q190="FOB",Q167*Q17/1000,Q173*Q17/1000),Q192="GBP",IF(Q190="FOB",Q168*Q17/1000,Q174*Q17/1000),Q192="INR",IF(Q190="Ex Works",Q162*Q17/1000,Q171*Q17/1000)))</f>
        <v>0.19431073825169487</v>
      </c>
      <c r="R193" s="21" cm="1">
        <f t="array" ref="R193">IF(R5="","",_xlfn.IFS(R192="","",R192="USD",IF(R190="FOB",R166*R17/1000,R172*R17/1000),R192="Euro",IF(R190="FOB",R167*R17/1000,R173*R17/1000),R192="GBP",IF(R190="FOB",R168*R17/1000,R174*R17/1000),R192="INR",IF(R190="Ex Works",R162*R17/1000,R171*R17/1000)))</f>
        <v>0.18365406677167156</v>
      </c>
      <c r="S193" s="21" cm="1">
        <f t="array" ref="S193">IF(S5="","",_xlfn.IFS(S192="","",S192="USD",IF(S190="FOB",S166*S17/1000,S172*S17/1000),S192="Euro",IF(S190="FOB",S167*S17/1000,S173*S17/1000),S192="GBP",IF(S190="FOB",S168*S17/1000,S174*S17/1000),S192="INR",IF(S190="Ex Works",S162*S17/1000,S171*S17/1000)))</f>
        <v>0.38479485323832596</v>
      </c>
      <c r="T193" s="21" cm="1">
        <f t="array" ref="T193">IF(T5="","",_xlfn.IFS(T192="","",T192="USD",IF(T190="FOB",T166*T17/1000,T172*T17/1000),T192="Euro",IF(T190="FOB",T167*T17/1000,T173*T17/1000),T192="GBP",IF(T190="FOB",T168*T17/1000,T174*T17/1000),T192="INR",IF(T190="Ex Works",T162*T17/1000,T171*T17/1000)))</f>
        <v>0.13574889606885815</v>
      </c>
      <c r="U193" s="21" cm="1">
        <f t="array" ref="U193">IF(U5="","",_xlfn.IFS(U192="","",U192="USD",IF(U190="FOB",U166*U17/1000,U172*U17/1000),U192="Euro",IF(U190="FOB",U167*U17/1000,U173*U17/1000),U192="GBP",IF(U190="FOB",U168*U17/1000,U174*U17/1000),U192="INR",IF(U190="Ex Works",U162*U17/1000,U171*U17/1000)))</f>
        <v>2.5555703667872298</v>
      </c>
      <c r="V193" s="21" cm="1">
        <f t="array" ref="V193">IF(V5="","",_xlfn.IFS(V192="","",V192="USD",IF(V190="FOB",V166*V17/1000,V172*V17/1000),V192="Euro",IF(V190="FOB",V167*V17/1000,V173*V17/1000),V192="GBP",IF(V190="FOB",V168*V17/1000,V174*V17/1000),V192="INR",IF(V190="Ex Works",V162*V17/1000,V171*V17/1000)))</f>
        <v>0.14441059597102635</v>
      </c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44"/>
      <c r="AY193" s="165"/>
    </row>
    <row r="194" spans="2:51" ht="14.25" x14ac:dyDescent="0.45">
      <c r="B194" s="50">
        <v>97</v>
      </c>
      <c r="C194" s="47" t="s">
        <v>345</v>
      </c>
      <c r="D194" s="3" t="s">
        <v>374</v>
      </c>
      <c r="E194" s="53" t="s">
        <v>376</v>
      </c>
      <c r="F194" s="53" t="s">
        <v>376</v>
      </c>
      <c r="G194" s="53" t="s">
        <v>376</v>
      </c>
      <c r="H194" s="53" t="s">
        <v>376</v>
      </c>
      <c r="I194" s="53" t="s">
        <v>376</v>
      </c>
      <c r="J194" s="53" t="s">
        <v>376</v>
      </c>
      <c r="K194" s="53" t="s">
        <v>376</v>
      </c>
      <c r="L194" s="53" t="s">
        <v>376</v>
      </c>
      <c r="M194" s="53" t="s">
        <v>376</v>
      </c>
      <c r="N194" s="53" t="s">
        <v>376</v>
      </c>
      <c r="O194" s="53" t="s">
        <v>376</v>
      </c>
      <c r="P194" s="53" t="s">
        <v>376</v>
      </c>
      <c r="Q194" s="53" t="s">
        <v>376</v>
      </c>
      <c r="R194" s="53" t="s">
        <v>375</v>
      </c>
      <c r="S194" s="53" t="s">
        <v>375</v>
      </c>
      <c r="T194" s="53" t="s">
        <v>375</v>
      </c>
      <c r="U194" s="53" t="s">
        <v>375</v>
      </c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35"/>
      <c r="AY194" s="165"/>
    </row>
    <row r="195" spans="2:51" ht="14.25" x14ac:dyDescent="0.45">
      <c r="B195" s="50">
        <v>98</v>
      </c>
      <c r="C195" s="47" t="s">
        <v>345</v>
      </c>
      <c r="D195" s="3" t="s">
        <v>377</v>
      </c>
      <c r="E195" s="60">
        <v>500</v>
      </c>
      <c r="F195" s="60">
        <v>500</v>
      </c>
      <c r="G195" s="60">
        <v>500</v>
      </c>
      <c r="H195" s="60">
        <v>500</v>
      </c>
      <c r="I195" s="60">
        <v>500</v>
      </c>
      <c r="J195" s="60">
        <v>500</v>
      </c>
      <c r="K195" s="60">
        <v>1000</v>
      </c>
      <c r="L195" s="60">
        <v>1000</v>
      </c>
      <c r="M195" s="60">
        <v>1000</v>
      </c>
      <c r="N195" s="60">
        <v>1000</v>
      </c>
      <c r="O195" s="60">
        <v>1000</v>
      </c>
      <c r="P195" s="60">
        <v>1000</v>
      </c>
      <c r="Q195" s="60">
        <v>1000</v>
      </c>
      <c r="R195" s="60">
        <v>1000</v>
      </c>
      <c r="S195" s="60">
        <v>500</v>
      </c>
      <c r="T195" s="60">
        <v>1000</v>
      </c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35"/>
      <c r="AY195" s="165"/>
    </row>
    <row r="196" spans="2:51" ht="14.25" x14ac:dyDescent="0.45">
      <c r="B196" s="50">
        <v>99</v>
      </c>
      <c r="C196" s="47" t="s">
        <v>345</v>
      </c>
      <c r="D196" s="3" t="s">
        <v>378</v>
      </c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 t="s">
        <v>379</v>
      </c>
      <c r="U196" s="60"/>
      <c r="V196" s="60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60"/>
      <c r="AV196" s="60"/>
      <c r="AW196" s="60"/>
      <c r="AX196" s="35"/>
      <c r="AY196" s="165"/>
    </row>
    <row r="197" spans="2:51" ht="14.25" x14ac:dyDescent="0.45">
      <c r="B197" s="50"/>
      <c r="C197" s="47" t="s">
        <v>345</v>
      </c>
      <c r="D197" s="3" t="s">
        <v>380</v>
      </c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>
        <v>6000</v>
      </c>
      <c r="S197" s="60">
        <v>2500</v>
      </c>
      <c r="T197" s="60">
        <v>8000</v>
      </c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35"/>
      <c r="AY197" s="165"/>
    </row>
    <row r="198" spans="2:51" ht="14.25" x14ac:dyDescent="0.45">
      <c r="B198" s="50">
        <v>100</v>
      </c>
      <c r="C198" s="47" t="s">
        <v>345</v>
      </c>
      <c r="D198" s="3" t="s">
        <v>381</v>
      </c>
      <c r="E198" s="54"/>
      <c r="F198" s="54"/>
      <c r="G198" s="54" t="s">
        <v>382</v>
      </c>
      <c r="H198" s="54" t="s">
        <v>382</v>
      </c>
      <c r="I198" s="54" t="s">
        <v>382</v>
      </c>
      <c r="J198" s="54" t="s">
        <v>382</v>
      </c>
      <c r="K198" s="54"/>
      <c r="L198" s="54"/>
      <c r="M198" s="54" t="s">
        <v>382</v>
      </c>
      <c r="N198" s="54"/>
      <c r="O198" s="54" t="s">
        <v>382</v>
      </c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33"/>
      <c r="AY198" s="165"/>
    </row>
    <row r="199" spans="2:51" ht="14.25" x14ac:dyDescent="0.45">
      <c r="B199" s="51">
        <v>101</v>
      </c>
      <c r="C199" s="48" t="s">
        <v>345</v>
      </c>
      <c r="D199" s="29" t="s">
        <v>383</v>
      </c>
      <c r="E199" s="61"/>
      <c r="F199" s="61"/>
      <c r="G199" s="61" t="s">
        <v>384</v>
      </c>
      <c r="H199" s="61" t="s">
        <v>384</v>
      </c>
      <c r="I199" s="61" t="s">
        <v>384</v>
      </c>
      <c r="J199" s="61" t="s">
        <v>384</v>
      </c>
      <c r="K199" s="61" t="s">
        <v>384</v>
      </c>
      <c r="L199" s="61" t="s">
        <v>384</v>
      </c>
      <c r="M199" s="61" t="s">
        <v>384</v>
      </c>
      <c r="N199" s="61" t="s">
        <v>384</v>
      </c>
      <c r="O199" s="61" t="s">
        <v>384</v>
      </c>
      <c r="P199" s="61" t="s">
        <v>384</v>
      </c>
      <c r="Q199" s="61" t="s">
        <v>384</v>
      </c>
      <c r="R199" s="61" t="s">
        <v>384</v>
      </c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45"/>
      <c r="AY199" s="165"/>
    </row>
    <row r="200" spans="2:51" ht="14.25" x14ac:dyDescent="0.45">
      <c r="B200" s="35"/>
      <c r="C200" s="1"/>
      <c r="D200" s="1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5"/>
      <c r="AY200" s="165"/>
    </row>
    <row r="201" spans="2:51" ht="14.25" x14ac:dyDescent="0.45">
      <c r="B201" s="35"/>
      <c r="C201" s="1"/>
      <c r="D201" s="1" t="s">
        <v>385</v>
      </c>
      <c r="E201" s="24" t="str">
        <f>IF(E5="","",E176)</f>
        <v>CM</v>
      </c>
      <c r="F201" s="24" t="str">
        <f>IF(F5="","",F176)</f>
        <v>CM</v>
      </c>
      <c r="G201" s="24" t="str">
        <f>IF(G5="","",G176)</f>
        <v>CM</v>
      </c>
      <c r="H201" s="24" t="str">
        <f t="shared" ref="H201:J201" si="322">IF(H5="","",H176)</f>
        <v>CM</v>
      </c>
      <c r="I201" s="24" t="str">
        <f t="shared" si="322"/>
        <v>CM</v>
      </c>
      <c r="J201" s="24" t="str">
        <f t="shared" si="322"/>
        <v>CM</v>
      </c>
      <c r="K201" s="24" t="str">
        <f t="shared" ref="K201:O201" si="323">IF(K5="","",K176)</f>
        <v>CM</v>
      </c>
      <c r="L201" s="24" t="str">
        <f t="shared" si="323"/>
        <v>CM</v>
      </c>
      <c r="M201" s="24" t="str">
        <f t="shared" si="323"/>
        <v>CM</v>
      </c>
      <c r="N201" s="24" t="str">
        <f t="shared" si="323"/>
        <v>CM</v>
      </c>
      <c r="O201" s="24" t="str">
        <f t="shared" si="323"/>
        <v>CM</v>
      </c>
      <c r="P201" s="24" t="str">
        <f t="shared" ref="P201:Q201" si="324">IF(P5="","",P176)</f>
        <v>CM</v>
      </c>
      <c r="Q201" s="24" t="str">
        <f t="shared" si="324"/>
        <v>CM</v>
      </c>
      <c r="R201" s="24" t="str">
        <f t="shared" ref="R201" si="325">IF(R5="","",R176)</f>
        <v>CM</v>
      </c>
      <c r="S201" s="24" t="str">
        <f>IF(S5="","",S176)</f>
        <v>CM</v>
      </c>
      <c r="T201" s="24" t="str">
        <f>IF(T5="","",T176)</f>
        <v>CM</v>
      </c>
      <c r="U201" s="24" t="str">
        <f t="shared" ref="U201:V201" si="326">IF(U5="","",U176)</f>
        <v>CM</v>
      </c>
      <c r="V201" s="24" t="str">
        <f t="shared" si="326"/>
        <v>Inch</v>
      </c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35"/>
      <c r="AY201" s="165"/>
    </row>
    <row r="202" spans="2:51" ht="14.25" x14ac:dyDescent="0.45">
      <c r="B202" s="35"/>
      <c r="C202" s="1"/>
      <c r="D202" s="1" t="s">
        <v>190</v>
      </c>
      <c r="E202" s="24" t="str">
        <f>IF(E5="","",E9)</f>
        <v>100X155</v>
      </c>
      <c r="F202" s="24" t="str">
        <f>IF(F5="","",F9)</f>
        <v>100X160</v>
      </c>
      <c r="G202" s="24" t="str">
        <f>IF(G5="","",G9)</f>
        <v>3.3002</v>
      </c>
      <c r="H202" s="24">
        <f t="shared" ref="H202:J202" si="327">IF(H5="","",H9)</f>
        <v>3.3003999999999998</v>
      </c>
      <c r="I202" s="24" t="str">
        <f t="shared" si="327"/>
        <v>3.3006</v>
      </c>
      <c r="J202" s="24">
        <f t="shared" si="327"/>
        <v>3.3010999999999999</v>
      </c>
      <c r="K202" s="24">
        <f t="shared" ref="K202:O202" si="328">IF(K5="","",K9)</f>
        <v>3.9001000000000001</v>
      </c>
      <c r="L202" s="24">
        <f t="shared" si="328"/>
        <v>3.9003000000000001</v>
      </c>
      <c r="M202" s="24">
        <f t="shared" si="328"/>
        <v>3.9003999999999999</v>
      </c>
      <c r="N202" s="24">
        <f t="shared" si="328"/>
        <v>3.9005000000000001</v>
      </c>
      <c r="O202" s="24">
        <f t="shared" si="328"/>
        <v>3.9007999999999998</v>
      </c>
      <c r="P202" s="24">
        <f t="shared" ref="P202:Q202" si="329">IF(P5="","",P9)</f>
        <v>3.9014000000000002</v>
      </c>
      <c r="Q202" s="24">
        <f t="shared" si="329"/>
        <v>3.9015</v>
      </c>
      <c r="R202" s="24">
        <f t="shared" ref="R202" si="330">IF(R5="","",R9)</f>
        <v>0</v>
      </c>
      <c r="S202" s="24" t="str">
        <f>IF(S5="","",S9)</f>
        <v>ART58961</v>
      </c>
      <c r="T202" s="24" t="str">
        <f>IF(T5="","",T9)</f>
        <v>30+10X70</v>
      </c>
      <c r="U202" s="24" t="str">
        <f t="shared" ref="U202:V202" si="331">IF(U5="","",U9)</f>
        <v>176.5x115</v>
      </c>
      <c r="V202" s="24">
        <f t="shared" si="331"/>
        <v>234589</v>
      </c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35"/>
      <c r="AY202" s="165"/>
    </row>
    <row r="203" spans="2:51" ht="14.25" x14ac:dyDescent="0.45">
      <c r="B203" s="35"/>
      <c r="C203" s="1"/>
      <c r="D203" s="1" t="s">
        <v>386</v>
      </c>
      <c r="E203" s="14">
        <f>IF(E$5="","",E177)</f>
        <v>100</v>
      </c>
      <c r="F203" s="14">
        <f>IF(F$5="","",F177)</f>
        <v>100</v>
      </c>
      <c r="G203" s="14">
        <f>IF(G$5="","",G177)</f>
        <v>140</v>
      </c>
      <c r="H203" s="14">
        <f t="shared" ref="H203:J203" si="332">IF(H$5="","",H177)</f>
        <v>140</v>
      </c>
      <c r="I203" s="14">
        <f t="shared" si="332"/>
        <v>140</v>
      </c>
      <c r="J203" s="14">
        <f t="shared" si="332"/>
        <v>140</v>
      </c>
      <c r="K203" s="14">
        <f t="shared" ref="K203:O203" si="333">IF(K$5="","",K177)</f>
        <v>70</v>
      </c>
      <c r="L203" s="14">
        <f t="shared" si="333"/>
        <v>40</v>
      </c>
      <c r="M203" s="14">
        <f t="shared" si="333"/>
        <v>100</v>
      </c>
      <c r="N203" s="14">
        <f t="shared" si="333"/>
        <v>60</v>
      </c>
      <c r="O203" s="14">
        <f t="shared" si="333"/>
        <v>70</v>
      </c>
      <c r="P203" s="14">
        <f t="shared" ref="P203:Q203" si="334">IF(P$5="","",P177)</f>
        <v>90</v>
      </c>
      <c r="Q203" s="14">
        <f t="shared" si="334"/>
        <v>60</v>
      </c>
      <c r="R203" s="14">
        <f t="shared" ref="R203" si="335">IF(R$5="","",R177)</f>
        <v>46</v>
      </c>
      <c r="S203" s="14">
        <f>IF(S$5="","",S177)</f>
        <v>72</v>
      </c>
      <c r="T203" s="14">
        <f>IF(T$5="","",T177)</f>
        <v>30</v>
      </c>
      <c r="U203" s="14">
        <f t="shared" ref="U203:V203" si="336">IF(U$5="","",U177)</f>
        <v>176.5</v>
      </c>
      <c r="V203" s="14">
        <f t="shared" si="336"/>
        <v>19.685039370078741</v>
      </c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35"/>
      <c r="AY203" s="165"/>
    </row>
    <row r="204" spans="2:51" ht="14.25" x14ac:dyDescent="0.45">
      <c r="B204" s="35"/>
      <c r="C204" s="1"/>
      <c r="D204" s="1" t="s">
        <v>387</v>
      </c>
      <c r="E204" s="14">
        <f>IF(E$5="",0,E178)</f>
        <v>0</v>
      </c>
      <c r="F204" s="14">
        <f>IF(F$5="",0,F178)</f>
        <v>0</v>
      </c>
      <c r="G204" s="14">
        <f>IF(G$5="",0,G178)</f>
        <v>0</v>
      </c>
      <c r="H204" s="14">
        <f t="shared" ref="H204:J204" si="337">IF(H$5="",0,H178)</f>
        <v>0</v>
      </c>
      <c r="I204" s="14">
        <f t="shared" si="337"/>
        <v>0</v>
      </c>
      <c r="J204" s="14">
        <f t="shared" si="337"/>
        <v>0</v>
      </c>
      <c r="K204" s="14">
        <f t="shared" ref="K204:O204" si="338">IF(K$5="",0,K178)</f>
        <v>0</v>
      </c>
      <c r="L204" s="14">
        <f t="shared" si="338"/>
        <v>0</v>
      </c>
      <c r="M204" s="14">
        <f t="shared" si="338"/>
        <v>0</v>
      </c>
      <c r="N204" s="14">
        <f t="shared" si="338"/>
        <v>0</v>
      </c>
      <c r="O204" s="14">
        <f t="shared" si="338"/>
        <v>0</v>
      </c>
      <c r="P204" s="14">
        <f t="shared" ref="P204:Q204" si="339">IF(P$5="",0,P178)</f>
        <v>0</v>
      </c>
      <c r="Q204" s="14">
        <f t="shared" si="339"/>
        <v>0</v>
      </c>
      <c r="R204" s="14">
        <f t="shared" ref="R204" si="340">IF(R$5="",0,R178)</f>
        <v>0</v>
      </c>
      <c r="S204" s="14">
        <f>IF(S$5="",0,S178)</f>
        <v>0</v>
      </c>
      <c r="T204" s="14">
        <f>IF(T$5="",0,T178)</f>
        <v>10</v>
      </c>
      <c r="U204" s="14">
        <f t="shared" ref="U204:V204" si="341">IF(U$5="",0,U178)</f>
        <v>0</v>
      </c>
      <c r="V204" s="14">
        <f t="shared" si="341"/>
        <v>0</v>
      </c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35"/>
      <c r="AY204" s="165"/>
    </row>
    <row r="205" spans="2:51" ht="14.25" x14ac:dyDescent="0.45">
      <c r="B205" s="35"/>
      <c r="C205" s="1"/>
      <c r="D205" s="1" t="s">
        <v>388</v>
      </c>
      <c r="E205" s="14">
        <f>IF(E5="","",E203+E204)</f>
        <v>100</v>
      </c>
      <c r="F205" s="14">
        <f>IF(F5="","",F203+F204)</f>
        <v>100</v>
      </c>
      <c r="G205" s="14">
        <f>IF(G5="","",G203+G204)</f>
        <v>140</v>
      </c>
      <c r="H205" s="14">
        <f t="shared" ref="H205:J205" si="342">IF(H5="","",H203+H204)</f>
        <v>140</v>
      </c>
      <c r="I205" s="14">
        <f t="shared" si="342"/>
        <v>140</v>
      </c>
      <c r="J205" s="14">
        <f t="shared" si="342"/>
        <v>140</v>
      </c>
      <c r="K205" s="14">
        <f t="shared" ref="K205:O205" si="343">IF(K5="","",K203+K204)</f>
        <v>70</v>
      </c>
      <c r="L205" s="14">
        <f t="shared" si="343"/>
        <v>40</v>
      </c>
      <c r="M205" s="14">
        <f t="shared" si="343"/>
        <v>100</v>
      </c>
      <c r="N205" s="14">
        <f t="shared" si="343"/>
        <v>60</v>
      </c>
      <c r="O205" s="14">
        <f t="shared" si="343"/>
        <v>70</v>
      </c>
      <c r="P205" s="14">
        <f t="shared" ref="P205:Q205" si="344">IF(P5="","",P203+P204)</f>
        <v>90</v>
      </c>
      <c r="Q205" s="14">
        <f t="shared" si="344"/>
        <v>60</v>
      </c>
      <c r="R205" s="14">
        <f t="shared" ref="R205" si="345">IF(R5="","",R203+R204)</f>
        <v>46</v>
      </c>
      <c r="S205" s="14">
        <f>IF(S5="","",S203+S204)</f>
        <v>72</v>
      </c>
      <c r="T205" s="14">
        <f>IF(T5="","",T203+T204)</f>
        <v>40</v>
      </c>
      <c r="U205" s="14">
        <f t="shared" ref="U205:V205" si="346">IF(U5="","",U203+U204)</f>
        <v>176.5</v>
      </c>
      <c r="V205" s="14">
        <f t="shared" si="346"/>
        <v>19.685039370078741</v>
      </c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35"/>
      <c r="AY205" s="165"/>
    </row>
    <row r="206" spans="2:51" ht="14.25" x14ac:dyDescent="0.45">
      <c r="B206" s="35"/>
      <c r="C206" s="1"/>
      <c r="D206" s="1" t="s">
        <v>389</v>
      </c>
      <c r="E206" s="22" t="str" cm="1">
        <f t="array" ref="E206">IFERROR(_xlfn.IFS(E10="Flat Fabric","Flat",E10="Tubular Fabric","Tube"),"")</f>
        <v/>
      </c>
      <c r="F206" s="22" t="str" cm="1">
        <f t="array" ref="F206">IFERROR(_xlfn.IFS(F10="Flat Fabric","Flat",F10="Tubular Fabric","Tube"),"")</f>
        <v/>
      </c>
      <c r="G206" s="22" t="str" cm="1">
        <f t="array" ref="G206">IFERROR(_xlfn.IFS(G10="Flat Fabric","Flat",G10="Tubular Fabric","Tube"),"")</f>
        <v/>
      </c>
      <c r="H206" s="22" t="str" cm="1">
        <f t="array" ref="H206">IFERROR(_xlfn.IFS(H10="Flat Fabric","Flat",H10="Tubular Fabric","Tube"),"")</f>
        <v/>
      </c>
      <c r="I206" s="22" t="str" cm="1">
        <f t="array" ref="I206">IFERROR(_xlfn.IFS(I10="Flat Fabric","Flat",I10="Tubular Fabric","Tube"),"")</f>
        <v/>
      </c>
      <c r="J206" s="22" t="str" cm="1">
        <f t="array" ref="J206">IFERROR(_xlfn.IFS(J10="Flat Fabric","Flat",J10="Tubular Fabric","Tube"),"")</f>
        <v/>
      </c>
      <c r="K206" s="22" t="str" cm="1">
        <f t="array" ref="K206">IFERROR(_xlfn.IFS(K10="Flat Fabric","Flat",K10="Tubular Fabric","Tube"),"")</f>
        <v/>
      </c>
      <c r="L206" s="22" t="str" cm="1">
        <f t="array" ref="L206">IFERROR(_xlfn.IFS(L10="Flat Fabric","Flat",L10="Tubular Fabric","Tube"),"")</f>
        <v/>
      </c>
      <c r="M206" s="22" t="str" cm="1">
        <f t="array" ref="M206">IFERROR(_xlfn.IFS(M10="Flat Fabric","Flat",M10="Tubular Fabric","Tube"),"")</f>
        <v/>
      </c>
      <c r="N206" s="22" t="str" cm="1">
        <f t="array" ref="N206">IFERROR(_xlfn.IFS(N10="Flat Fabric","Flat",N10="Tubular Fabric","Tube"),"")</f>
        <v/>
      </c>
      <c r="O206" s="22" t="str" cm="1">
        <f t="array" ref="O206">IFERROR(_xlfn.IFS(O10="Flat Fabric","Flat",O10="Tubular Fabric","Tube"),"")</f>
        <v/>
      </c>
      <c r="P206" s="22" t="str" cm="1">
        <f t="array" ref="P206">IFERROR(_xlfn.IFS(P10="Flat Fabric","Flat",P10="Tubular Fabric","Tube"),"")</f>
        <v/>
      </c>
      <c r="Q206" s="22" t="str" cm="1">
        <f t="array" ref="Q206">IFERROR(_xlfn.IFS(Q10="Flat Fabric","Flat",Q10="Tubular Fabric","Tube"),"")</f>
        <v/>
      </c>
      <c r="R206" s="22" t="str" cm="1">
        <f t="array" ref="R206">IFERROR(_xlfn.IFS(R10="Flat Fabric","Flat",R10="Tubular Fabric","Tube"),"")</f>
        <v/>
      </c>
      <c r="S206" s="22" t="str" cm="1">
        <f t="array" ref="S206">IFERROR(_xlfn.IFS(S10="Flat Fabric","Flat",S10="Tubular Fabric","Tube"),"")</f>
        <v/>
      </c>
      <c r="T206" s="22" t="str" cm="1">
        <f t="array" ref="T206">IFERROR(_xlfn.IFS(T10="Flat Fabric","Flat",T10="Tubular Fabric","Tube"),"")</f>
        <v/>
      </c>
      <c r="U206" s="22" t="str" cm="1">
        <f t="array" ref="U206">IFERROR(_xlfn.IFS(U10="Flat Fabric","Flat",U10="Tubular Fabric","Tube"),"")</f>
        <v>Tube</v>
      </c>
      <c r="V206" s="22" t="str" cm="1">
        <f t="array" ref="V206">IFERROR(_xlfn.IFS(V10="Flat Fabric","Flat",V10="Tubular Fabric","Tube"),"")</f>
        <v/>
      </c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35"/>
      <c r="AY206" s="165"/>
    </row>
    <row r="207" spans="2:51" ht="14.25" x14ac:dyDescent="0.45">
      <c r="B207" s="35">
        <v>102</v>
      </c>
      <c r="C207" s="3" t="s">
        <v>390</v>
      </c>
      <c r="D207" s="3" t="s">
        <v>391</v>
      </c>
      <c r="E207" s="62">
        <v>58</v>
      </c>
      <c r="F207" s="62">
        <v>58</v>
      </c>
      <c r="G207" s="62" t="s">
        <v>393</v>
      </c>
      <c r="H207" s="62" t="s">
        <v>392</v>
      </c>
      <c r="I207" s="62" t="s">
        <v>392</v>
      </c>
      <c r="J207" s="62">
        <v>60</v>
      </c>
      <c r="K207" s="62">
        <v>60</v>
      </c>
      <c r="L207" s="62">
        <v>60</v>
      </c>
      <c r="M207" s="62" t="s">
        <v>392</v>
      </c>
      <c r="N207" s="62">
        <v>60</v>
      </c>
      <c r="O207" s="62" t="s">
        <v>392</v>
      </c>
      <c r="P207" s="62" t="s">
        <v>392</v>
      </c>
      <c r="Q207" s="62">
        <v>60</v>
      </c>
      <c r="R207" s="62">
        <v>70</v>
      </c>
      <c r="S207" s="62">
        <v>70</v>
      </c>
      <c r="T207" s="62" t="s">
        <v>392</v>
      </c>
      <c r="U207" s="62">
        <v>270</v>
      </c>
      <c r="V207" s="62" t="s">
        <v>394</v>
      </c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35"/>
      <c r="AY207" s="165"/>
    </row>
    <row r="208" spans="2:51" ht="14.25" x14ac:dyDescent="0.45">
      <c r="B208" s="35">
        <v>103</v>
      </c>
      <c r="C208" s="3" t="s">
        <v>395</v>
      </c>
      <c r="D208" s="3" t="s">
        <v>396</v>
      </c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35"/>
      <c r="AY208" s="165"/>
    </row>
    <row r="209" spans="2:794 1050:1134" ht="14.25" x14ac:dyDescent="0.45">
      <c r="B209" s="35"/>
      <c r="C209" s="1"/>
      <c r="D209" s="1" t="s">
        <v>355</v>
      </c>
      <c r="E209" s="22" t="str">
        <f>IF(E5="","",E11)</f>
        <v>Coloured</v>
      </c>
      <c r="F209" s="22" t="str">
        <f>IF(F5="","",F11)</f>
        <v>Coloured</v>
      </c>
      <c r="G209" s="22" t="str">
        <f>IF(G5="","",G11)</f>
        <v>MW</v>
      </c>
      <c r="H209" s="22" t="str">
        <f t="shared" ref="H209:J209" si="347">IF(H5="","",H11)</f>
        <v>MW</v>
      </c>
      <c r="I209" s="22" t="str">
        <f t="shared" si="347"/>
        <v>MW</v>
      </c>
      <c r="J209" s="22" t="str">
        <f t="shared" si="347"/>
        <v>MW</v>
      </c>
      <c r="K209" s="22" t="str">
        <f t="shared" ref="K209:O209" si="348">IF(K5="","",K11)</f>
        <v>MW</v>
      </c>
      <c r="L209" s="22" t="str">
        <f t="shared" si="348"/>
        <v>MW</v>
      </c>
      <c r="M209" s="22" t="str">
        <f t="shared" si="348"/>
        <v>MW</v>
      </c>
      <c r="N209" s="22" t="str">
        <f t="shared" si="348"/>
        <v>MW</v>
      </c>
      <c r="O209" s="22" t="str">
        <f t="shared" si="348"/>
        <v>MW</v>
      </c>
      <c r="P209" s="22" t="str">
        <f t="shared" ref="P209:Q209" si="349">IF(P5="","",P11)</f>
        <v>Coloured</v>
      </c>
      <c r="Q209" s="22" t="str">
        <f t="shared" si="349"/>
        <v>MW</v>
      </c>
      <c r="R209" s="22" t="str">
        <f t="shared" ref="R209" si="350">IF(R5="","",R11)</f>
        <v>Coloured</v>
      </c>
      <c r="S209" s="22" t="str">
        <f>IF(S5="","",S11)</f>
        <v>MW</v>
      </c>
      <c r="T209" s="22" t="str">
        <f>IF(T5="","",T11)</f>
        <v>Transparent</v>
      </c>
      <c r="U209" s="22" t="str">
        <f t="shared" ref="U209:V209" si="351">IF(U5="","",U11)</f>
        <v>MW</v>
      </c>
      <c r="V209" s="22" t="str">
        <f t="shared" si="351"/>
        <v>MW</v>
      </c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32"/>
      <c r="AY209" s="165"/>
    </row>
    <row r="210" spans="2:794 1050:1134" ht="14.25" x14ac:dyDescent="0.45">
      <c r="B210" s="35"/>
      <c r="C210" s="1"/>
      <c r="D210" s="1" t="s">
        <v>354</v>
      </c>
      <c r="E210" s="20" t="str">
        <f>IF(E5="","",IF(E80&gt;0,"Yes","No"))</f>
        <v>No</v>
      </c>
      <c r="F210" s="20" t="str">
        <f>IF(F5="","",IF(F80&gt;0,"Yes","No"))</f>
        <v>No</v>
      </c>
      <c r="G210" s="20" t="str">
        <f>IF(G5="","",IF(G80&gt;0,"Yes","No"))</f>
        <v>Yes</v>
      </c>
      <c r="H210" s="20" t="str">
        <f t="shared" ref="H210:J210" si="352">IF(H5="","",IF(H80&gt;0,"Yes","No"))</f>
        <v>Yes</v>
      </c>
      <c r="I210" s="20" t="str">
        <f t="shared" si="352"/>
        <v>Yes</v>
      </c>
      <c r="J210" s="20" t="str">
        <f t="shared" si="352"/>
        <v>Yes</v>
      </c>
      <c r="K210" s="20" t="str">
        <f t="shared" ref="K210:O210" si="353">IF(K5="","",IF(K80&gt;0,"Yes","No"))</f>
        <v>Yes</v>
      </c>
      <c r="L210" s="20" t="str">
        <f t="shared" si="353"/>
        <v>Yes</v>
      </c>
      <c r="M210" s="20" t="str">
        <f t="shared" si="353"/>
        <v>Yes</v>
      </c>
      <c r="N210" s="20" t="str">
        <f t="shared" si="353"/>
        <v>Yes</v>
      </c>
      <c r="O210" s="20" t="str">
        <f t="shared" si="353"/>
        <v>Yes</v>
      </c>
      <c r="P210" s="20" t="str">
        <f t="shared" ref="P210:Q210" si="354">IF(P5="","",IF(P80&gt;0,"Yes","No"))</f>
        <v>Yes</v>
      </c>
      <c r="Q210" s="20" t="str">
        <f t="shared" si="354"/>
        <v>Yes</v>
      </c>
      <c r="R210" s="20" t="str">
        <f t="shared" ref="R210" si="355">IF(R5="","",IF(R80&gt;0,"Yes","No"))</f>
        <v>Yes</v>
      </c>
      <c r="S210" s="20" t="str">
        <f>IF(S5="","",IF(S80&gt;0,"Yes","No"))</f>
        <v>No</v>
      </c>
      <c r="T210" s="20" t="str">
        <f>IF(T5="","",IF(T80&gt;0,"Yes","No"))</f>
        <v>Yes</v>
      </c>
      <c r="U210" s="20" t="str">
        <f t="shared" ref="U210:V210" si="356">IF(U5="","",IF(U80&gt;0,"Yes","No"))</f>
        <v>Yes</v>
      </c>
      <c r="V210" s="25" t="str">
        <f t="shared" si="356"/>
        <v>No</v>
      </c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5"/>
      <c r="AV210" s="20"/>
      <c r="AW210" s="25"/>
      <c r="AX210" s="32"/>
      <c r="AY210" s="165"/>
    </row>
    <row r="211" spans="2:794 1050:1134" ht="14.25" x14ac:dyDescent="0.45">
      <c r="B211" s="35"/>
      <c r="C211" s="1"/>
      <c r="D211" s="3" t="s">
        <v>374</v>
      </c>
      <c r="E211" s="20" t="str">
        <f>IF(E194="","",E194)</f>
        <v>Floor Loaded</v>
      </c>
      <c r="F211" s="20" t="str">
        <f>IF(F194="","",F194)</f>
        <v>Floor Loaded</v>
      </c>
      <c r="G211" s="20" t="str">
        <f>IF(G194="","",G194)</f>
        <v>Floor Loaded</v>
      </c>
      <c r="H211" s="20" t="str">
        <f t="shared" ref="H211:J211" si="357">IF(H194="","",H194)</f>
        <v>Floor Loaded</v>
      </c>
      <c r="I211" s="20" t="str">
        <f t="shared" si="357"/>
        <v>Floor Loaded</v>
      </c>
      <c r="J211" s="20" t="str">
        <f t="shared" si="357"/>
        <v>Floor Loaded</v>
      </c>
      <c r="K211" s="20" t="str">
        <f t="shared" ref="K211:O211" si="358">IF(K194="","",K194)</f>
        <v>Floor Loaded</v>
      </c>
      <c r="L211" s="20" t="str">
        <f t="shared" si="358"/>
        <v>Floor Loaded</v>
      </c>
      <c r="M211" s="20" t="str">
        <f t="shared" si="358"/>
        <v>Floor Loaded</v>
      </c>
      <c r="N211" s="20" t="str">
        <f t="shared" si="358"/>
        <v>Floor Loaded</v>
      </c>
      <c r="O211" s="20" t="str">
        <f t="shared" si="358"/>
        <v>Floor Loaded</v>
      </c>
      <c r="P211" s="20" t="str">
        <f t="shared" ref="P211:Q211" si="359">IF(P194="","",P194)</f>
        <v>Floor Loaded</v>
      </c>
      <c r="Q211" s="20" t="str">
        <f t="shared" si="359"/>
        <v>Floor Loaded</v>
      </c>
      <c r="R211" s="20" t="str">
        <f t="shared" ref="R211" si="360">IF(R194="","",R194)</f>
        <v>Palletised</v>
      </c>
      <c r="S211" s="20" t="str">
        <f>IF(S194="","",S194)</f>
        <v>Palletised</v>
      </c>
      <c r="T211" s="20" t="str">
        <f>IF(T194="","",T194)</f>
        <v>Palletised</v>
      </c>
      <c r="U211" s="20" t="str">
        <f t="shared" ref="U211:V211" si="361">IF(U194="","",U194)</f>
        <v>Palletised</v>
      </c>
      <c r="V211" s="25" t="str">
        <f t="shared" si="361"/>
        <v/>
      </c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5"/>
      <c r="AV211" s="20"/>
      <c r="AW211" s="25"/>
      <c r="AX211" s="32"/>
      <c r="AY211" s="165"/>
    </row>
    <row r="212" spans="2:794 1050:1134" ht="14.25" x14ac:dyDescent="0.45">
      <c r="B212" s="35"/>
      <c r="C212" s="1"/>
      <c r="D212" s="3" t="s">
        <v>397</v>
      </c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32"/>
      <c r="AY212" s="165"/>
    </row>
    <row r="213" spans="2:794 1050:1134" ht="14.25" x14ac:dyDescent="0.45">
      <c r="B213" s="35"/>
      <c r="C213" s="1"/>
      <c r="D213" s="1" t="s">
        <v>360</v>
      </c>
      <c r="E213" s="22" t="str">
        <f t="shared" ref="E213:G215" si="362">IF(E$5="","",E190)</f>
        <v>FOB</v>
      </c>
      <c r="F213" s="22" t="str">
        <f t="shared" si="362"/>
        <v>FOB</v>
      </c>
      <c r="G213" s="22" t="str">
        <f t="shared" si="362"/>
        <v>FOB</v>
      </c>
      <c r="H213" s="22" t="str">
        <f t="shared" ref="H213:J213" si="363">IF(H$5="","",H190)</f>
        <v>FOB</v>
      </c>
      <c r="I213" s="22" t="str">
        <f t="shared" si="363"/>
        <v>FOB</v>
      </c>
      <c r="J213" s="22" t="str">
        <f t="shared" si="363"/>
        <v>FOB</v>
      </c>
      <c r="K213" s="22" t="str">
        <f t="shared" ref="K213:O213" si="364">IF(K$5="","",K190)</f>
        <v>FOB</v>
      </c>
      <c r="L213" s="22" t="str">
        <f t="shared" si="364"/>
        <v>FOB</v>
      </c>
      <c r="M213" s="22" t="str">
        <f t="shared" si="364"/>
        <v>FOB</v>
      </c>
      <c r="N213" s="22" t="str">
        <f t="shared" si="364"/>
        <v>FOB</v>
      </c>
      <c r="O213" s="22" t="str">
        <f t="shared" si="364"/>
        <v>FOB</v>
      </c>
      <c r="P213" s="22" t="str">
        <f t="shared" ref="P213:Q213" si="365">IF(P$5="","",P190)</f>
        <v>FOB</v>
      </c>
      <c r="Q213" s="22" t="str">
        <f t="shared" si="365"/>
        <v>FOB</v>
      </c>
      <c r="R213" s="22" t="str">
        <f t="shared" ref="R213" si="366">IF(R$5="","",R190)</f>
        <v>FOB</v>
      </c>
      <c r="S213" s="22" t="str">
        <f t="shared" ref="S213:T215" si="367">IF(S$5="","",S190)</f>
        <v>FOB</v>
      </c>
      <c r="T213" s="22" t="str">
        <f t="shared" si="367"/>
        <v>FOB</v>
      </c>
      <c r="U213" s="22" t="str">
        <f t="shared" ref="U213:V215" si="368">IF(U$5="","",U190)</f>
        <v>CIF</v>
      </c>
      <c r="V213" s="22" t="str">
        <f t="shared" si="368"/>
        <v>FOB</v>
      </c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32"/>
      <c r="AY213" s="165"/>
    </row>
    <row r="214" spans="2:794 1050:1134" ht="14.25" x14ac:dyDescent="0.45">
      <c r="B214" s="35"/>
      <c r="C214" s="1"/>
      <c r="D214" s="1" t="s">
        <v>365</v>
      </c>
      <c r="E214" s="22" t="str">
        <f t="shared" si="362"/>
        <v>Mundra</v>
      </c>
      <c r="F214" s="22" t="str">
        <f t="shared" si="362"/>
        <v>Mundra</v>
      </c>
      <c r="G214" s="22" t="str">
        <f t="shared" si="362"/>
        <v>Mundra</v>
      </c>
      <c r="H214" s="22" t="str">
        <f t="shared" ref="H214:J214" si="369">IF(H$5="","",H191)</f>
        <v>Mundra</v>
      </c>
      <c r="I214" s="22" t="str">
        <f t="shared" si="369"/>
        <v>Mundra</v>
      </c>
      <c r="J214" s="22" t="str">
        <f t="shared" si="369"/>
        <v>Mundra</v>
      </c>
      <c r="K214" s="22" t="str">
        <f t="shared" ref="K214:O214" si="370">IF(K$5="","",K191)</f>
        <v>Mundra</v>
      </c>
      <c r="L214" s="22" t="str">
        <f t="shared" si="370"/>
        <v>Mundra</v>
      </c>
      <c r="M214" s="22" t="str">
        <f t="shared" si="370"/>
        <v>Mundra</v>
      </c>
      <c r="N214" s="22" t="str">
        <f t="shared" si="370"/>
        <v>Mundra</v>
      </c>
      <c r="O214" s="22" t="str">
        <f t="shared" si="370"/>
        <v>Mundra</v>
      </c>
      <c r="P214" s="22" t="str">
        <f t="shared" ref="P214:Q214" si="371">IF(P$5="","",P191)</f>
        <v>Mundra</v>
      </c>
      <c r="Q214" s="22" t="str">
        <f t="shared" si="371"/>
        <v>Mundra</v>
      </c>
      <c r="R214" s="22" t="str">
        <f t="shared" ref="R214" si="372">IF(R$5="","",R191)</f>
        <v>Mundra</v>
      </c>
      <c r="S214" s="22" t="str">
        <f t="shared" si="367"/>
        <v>Mundra</v>
      </c>
      <c r="T214" s="22" t="str">
        <f t="shared" si="367"/>
        <v>Mundra</v>
      </c>
      <c r="U214" s="22" t="str">
        <f t="shared" ref="U214" si="373">IF(U$5="","",U191)</f>
        <v>Barcelona</v>
      </c>
      <c r="V214" s="22" t="str">
        <f t="shared" si="368"/>
        <v>Mundra</v>
      </c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32"/>
      <c r="AY214" s="165"/>
    </row>
    <row r="215" spans="2:794 1050:1134" ht="14.25" x14ac:dyDescent="0.45">
      <c r="B215" s="35"/>
      <c r="C215" s="1"/>
      <c r="D215" s="1" t="s">
        <v>368</v>
      </c>
      <c r="E215" s="22" t="str">
        <f t="shared" si="362"/>
        <v>USD</v>
      </c>
      <c r="F215" s="22" t="str">
        <f t="shared" si="362"/>
        <v>USD</v>
      </c>
      <c r="G215" s="22" t="str">
        <f t="shared" si="362"/>
        <v>USD</v>
      </c>
      <c r="H215" s="22" t="str">
        <f t="shared" ref="H215:J215" si="374">IF(H$5="","",H192)</f>
        <v>USD</v>
      </c>
      <c r="I215" s="22" t="str">
        <f t="shared" si="374"/>
        <v>USD</v>
      </c>
      <c r="J215" s="22" t="str">
        <f t="shared" si="374"/>
        <v>USD</v>
      </c>
      <c r="K215" s="22" t="str">
        <f t="shared" ref="K215:O215" si="375">IF(K$5="","",K192)</f>
        <v>USD</v>
      </c>
      <c r="L215" s="22" t="str">
        <f t="shared" si="375"/>
        <v>USD</v>
      </c>
      <c r="M215" s="22" t="str">
        <f t="shared" si="375"/>
        <v>USD</v>
      </c>
      <c r="N215" s="22" t="str">
        <f t="shared" si="375"/>
        <v>USD</v>
      </c>
      <c r="O215" s="22" t="str">
        <f t="shared" si="375"/>
        <v>USD</v>
      </c>
      <c r="P215" s="22" t="str">
        <f t="shared" ref="P215:Q215" si="376">IF(P$5="","",P192)</f>
        <v>USD</v>
      </c>
      <c r="Q215" s="22" t="str">
        <f t="shared" si="376"/>
        <v>USD</v>
      </c>
      <c r="R215" s="22" t="str">
        <f t="shared" ref="R215" si="377">IF(R$5="","",R192)</f>
        <v>USD</v>
      </c>
      <c r="S215" s="22" t="str">
        <f t="shared" si="367"/>
        <v>USD</v>
      </c>
      <c r="T215" s="22" t="str">
        <f t="shared" si="367"/>
        <v>USD</v>
      </c>
      <c r="U215" s="22" t="str">
        <f t="shared" ref="U215" si="378">IF(U$5="","",U192)</f>
        <v>Euro</v>
      </c>
      <c r="V215" s="22" t="str">
        <f t="shared" si="368"/>
        <v>USD</v>
      </c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32"/>
      <c r="AY215" s="165"/>
    </row>
    <row r="216" spans="2:794 1050:1134" ht="14.25" x14ac:dyDescent="0.45">
      <c r="B216" s="35"/>
      <c r="C216" s="1"/>
      <c r="D216" s="1" t="s">
        <v>398</v>
      </c>
      <c r="E216" s="21" cm="1">
        <f t="array" ref="E216">IFERROR(_xlfn.IFS(E192="USD",IF(E190="FOB",E166*E17/1000,E172*E17/1000),E192="Euro",IF(E190="FOB",E167*E17/1000,E173*E17/1000),E192="GBP",IF(E190="FOB",E168*E17/1000,E174*E17/1000)),"")</f>
        <v>0.69650316865491002</v>
      </c>
      <c r="F216" s="21" cm="1">
        <f t="array" ref="F216">IFERROR(_xlfn.IFS(F192="USD",IF(F190="FOB",F166*F17/1000,F172*F17/1000),F192="Euro",IF(F190="FOB",F167*F17/1000,F173*F17/1000),F192="GBP",IF(F190="FOB",F168*F17/1000,F174*F17/1000)),"")</f>
        <v>0.93998095077793564</v>
      </c>
      <c r="G216" s="21" cm="1">
        <f t="array" ref="G216">IFERROR(_xlfn.IFS(G192="USD",IF(G190="FOB",G166*G17/1000,G172*G17/1000),G192="Euro",IF(G190="FOB",G167*G17/1000,G173*G17/1000),G192="GBP",IF(G190="FOB",G168*G17/1000,G174*G17/1000)),"")</f>
        <v>1.9042982340951413</v>
      </c>
      <c r="H216" s="21" cm="1">
        <f t="array" ref="H216">IFERROR(_xlfn.IFS(H192="USD",IF(H190="FOB",H166*H17/1000,H172*H17/1000),H192="Euro",IF(H190="FOB",H167*H17/1000,H173*H17/1000),H192="GBP",IF(H190="FOB",H168*H17/1000,H174*H17/1000)),"")</f>
        <v>1.7536774741028129</v>
      </c>
      <c r="I216" s="21" cm="1">
        <f t="array" ref="I216">IFERROR(_xlfn.IFS(I192="USD",IF(I190="FOB",I166*I17/1000,I172*I17/1000),I192="Euro",IF(I190="FOB",I167*I17/1000,I173*I17/1000),I192="GBP",IF(I190="FOB",I168*I17/1000,I174*I17/1000)),"")</f>
        <v>1.4936187871253286</v>
      </c>
      <c r="J216" s="21" cm="1">
        <f t="array" ref="J216">IFERROR(_xlfn.IFS(J192="USD",IF(J190="FOB",J166*J17/1000,J172*J17/1000),J192="Euro",IF(J190="FOB",J167*J17/1000,J173*J17/1000),J192="GBP",IF(J190="FOB",J168*J17/1000,J174*J17/1000)),"")</f>
        <v>1.1848040426146218</v>
      </c>
      <c r="K216" s="21" cm="1">
        <f t="array" ref="K216">IFERROR(_xlfn.IFS(K192="USD",IF(K190="FOB",K166*K17/1000,K172*K17/1000),K192="Euro",IF(K190="FOB",K167*K17/1000,K173*K17/1000),K192="GBP",IF(K190="FOB",K168*K17/1000,K174*K17/1000)),"")</f>
        <v>0.29415988325462294</v>
      </c>
      <c r="L216" s="21" cm="1">
        <f t="array" ref="L216">IFERROR(_xlfn.IFS(L192="USD",IF(L190="FOB",L166*L17/1000,L172*L17/1000),L192="Euro",IF(L190="FOB",L167*L17/1000,L173*L17/1000),L192="GBP",IF(L190="FOB",L168*L17/1000,L174*L17/1000)),"")</f>
        <v>0.13170248693635173</v>
      </c>
      <c r="M216" s="21" cm="1">
        <f t="array" ref="M216">IFERROR(_xlfn.IFS(M192="USD",IF(M190="FOB",M166*M17/1000,M172*M17/1000),M192="Euro",IF(M190="FOB",M167*M17/1000,M173*M17/1000),M192="GBP",IF(M190="FOB",M168*M17/1000,M174*M17/1000)),"")</f>
        <v>0.67885738949313157</v>
      </c>
      <c r="N216" s="21" cm="1">
        <f t="array" ref="N216">IFERROR(_xlfn.IFS(N192="USD",IF(N190="FOB",N166*N17/1000,N172*N17/1000),N192="Euro",IF(N190="FOB",N167*N17/1000,N173*N17/1000),N192="GBP",IF(N190="FOB",N168*N17/1000,N174*N17/1000)),"")</f>
        <v>0.22748334379341337</v>
      </c>
      <c r="O216" s="21" cm="1">
        <f t="array" ref="O216">IFERROR(_xlfn.IFS(O192="USD",IF(O190="FOB",O166*O17/1000,O172*O17/1000),O192="Euro",IF(O190="FOB",O167*O17/1000,O173*O17/1000),O192="GBP",IF(O190="FOB",O168*O17/1000,O174*O17/1000)),"")</f>
        <v>0.38017603798198207</v>
      </c>
      <c r="P216" s="21" cm="1">
        <f t="array" ref="P216">IFERROR(_xlfn.IFS(P192="USD",IF(P190="FOB",P166*P17/1000,P172*P17/1000),P192="Euro",IF(P190="FOB",P167*P17/1000,P173*P17/1000),P192="GBP",IF(P190="FOB",P168*P17/1000,P174*P17/1000)),"")</f>
        <v>0.55433549244514901</v>
      </c>
      <c r="Q216" s="21" cm="1">
        <f t="array" ref="Q216">IFERROR(_xlfn.IFS(Q192="USD",IF(Q190="FOB",Q166*Q17/1000,Q172*Q17/1000),Q192="Euro",IF(Q190="FOB",Q167*Q17/1000,Q173*Q17/1000),Q192="GBP",IF(Q190="FOB",Q168*Q17/1000,Q174*Q17/1000)),"")</f>
        <v>0.19431073825169487</v>
      </c>
      <c r="R216" s="21" cm="1">
        <f t="array" ref="R216">IFERROR(_xlfn.IFS(R192="USD",IF(R190="FOB",R166*R17/1000,R172*R17/1000),R192="Euro",IF(R190="FOB",R167*R17/1000,R173*R17/1000),R192="GBP",IF(R190="FOB",R168*R17/1000,R174*R17/1000)),"")</f>
        <v>0.18365406677167156</v>
      </c>
      <c r="S216" s="21" cm="1">
        <f t="array" ref="S216">IFERROR(_xlfn.IFS(S192="USD",IF(S190="FOB",S166*S17/1000,S172*S17/1000),S192="Euro",IF(S190="FOB",S167*S17/1000,S173*S17/1000),S192="GBP",IF(S190="FOB",S168*S17/1000,S174*S17/1000)),"")</f>
        <v>0.38479485323832596</v>
      </c>
      <c r="T216" s="21" cm="1">
        <f t="array" ref="T216">IFERROR(_xlfn.IFS(T192="USD",IF(T190="FOB",T166*T17/1000,T172*T17/1000),T192="Euro",IF(T190="FOB",T167*T17/1000,T173*T17/1000),T192="GBP",IF(T190="FOB",T168*T17/1000,T174*T17/1000)),"")</f>
        <v>0.13574889606885815</v>
      </c>
      <c r="U216" s="21" cm="1">
        <f t="array" ref="U216">IFERROR(_xlfn.IFS(U192="USD",IF(U190="FOB",U166*U17/1000,U172*U17/1000),U192="Euro",IF(U190="FOB",U167*U17/1000,U173*U17/1000),U192="GBP",IF(U190="FOB",U168*U17/1000,U174*U17/1000)),"")</f>
        <v>2.5555703667872298</v>
      </c>
      <c r="V216" s="23" cm="1">
        <f t="array" ref="V216">IFERROR(_xlfn.IFS(V192="USD",IF(V190="FOB",V166*V17/1000,V172*V17/1000),V192="Euro",IF(V190="FOB",V167*V17/1000,V173*V17/1000),V192="GBP",IF(V190="FOB",V168*V17/1000,V174*V17/1000)),"")</f>
        <v>0.14441059597102635</v>
      </c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3"/>
      <c r="AV216" s="21"/>
      <c r="AW216" s="23"/>
      <c r="AX216" s="46"/>
      <c r="AY216" s="165"/>
    </row>
    <row r="217" spans="2:794 1050:1134" ht="14.25" x14ac:dyDescent="0.45">
      <c r="AQP217" s="165"/>
    </row>
    <row r="218" spans="2:794 1050:1134" ht="14.25" x14ac:dyDescent="0.45">
      <c r="N218" t="e">
        <f>#REF!*#REF!</f>
        <v>#REF!</v>
      </c>
      <c r="WW218" t="s">
        <v>399</v>
      </c>
      <c r="WX218" t="s">
        <v>400</v>
      </c>
      <c r="WY218" t="s">
        <v>401</v>
      </c>
      <c r="XA218" t="s">
        <v>402</v>
      </c>
      <c r="XC218" t="s">
        <v>403</v>
      </c>
      <c r="ACX218" s="79" t="e">
        <f>#REF!*30.5</f>
        <v>#REF!</v>
      </c>
      <c r="ACY218" s="79"/>
      <c r="ACZ218" s="79"/>
      <c r="ADA218" s="79"/>
      <c r="ADB218" s="79"/>
      <c r="ADC218" s="79"/>
      <c r="ADD218" s="79"/>
      <c r="ADE218" s="79"/>
      <c r="ADF218" s="79"/>
      <c r="ADG218" s="79"/>
      <c r="ADH218" s="79"/>
      <c r="ADI218" s="79"/>
      <c r="ADJ218" s="79"/>
      <c r="ADK218" s="79"/>
      <c r="ADL218" s="79"/>
      <c r="ADM218" s="79"/>
      <c r="ADN218" s="79"/>
      <c r="ANJ218" s="79" t="e">
        <f>#REF!*30.5</f>
        <v>#REF!</v>
      </c>
      <c r="AQP218" s="165"/>
    </row>
    <row r="219" spans="2:794 1050:1134" ht="14.25" x14ac:dyDescent="0.45">
      <c r="AQP219" s="165"/>
    </row>
    <row r="220" spans="2:794 1050:1134" ht="14.25" x14ac:dyDescent="0.45">
      <c r="D220" t="s">
        <v>404</v>
      </c>
      <c r="E220" s="79" t="e">
        <f>(#REF!+#REF!-#REF!)*#REF!*#REF!/1000</f>
        <v>#REF!</v>
      </c>
      <c r="F220" s="79" t="e">
        <f>(#REF!+#REF!-#REF!)*#REF!*#REF!/1000</f>
        <v>#REF!</v>
      </c>
      <c r="G220" s="79" t="e">
        <f>(#REF!+#REF!-#REF!)*#REF!*#REF!/1000</f>
        <v>#REF!</v>
      </c>
      <c r="H220" s="79" t="e">
        <f>(#REF!+#REF!-#REF!)*#REF!*#REF!/1000</f>
        <v>#REF!</v>
      </c>
      <c r="I220" s="79" t="e">
        <f>(#REF!+#REF!-#REF!)*#REF!*#REF!/1000</f>
        <v>#REF!</v>
      </c>
      <c r="J220" s="79" t="e">
        <f>(#REF!+#REF!-#REF!)*#REF!*#REF!/1000</f>
        <v>#REF!</v>
      </c>
      <c r="K220" s="79" t="e">
        <f>(#REF!+#REF!-#REF!)*#REF!*#REF!/1000</f>
        <v>#REF!</v>
      </c>
      <c r="L220" s="79" t="e">
        <f>(#REF!+#REF!-#REF!)*#REF!*#REF!/1000</f>
        <v>#REF!</v>
      </c>
      <c r="M220" s="79" t="e">
        <f>(#REF!+#REF!-#REF!)*#REF!*#REF!/1000</f>
        <v>#REF!</v>
      </c>
      <c r="N220" s="79" t="e">
        <f>(#REF!+#REF!-#REF!)*#REF!*#REF!/1000</f>
        <v>#REF!</v>
      </c>
      <c r="O220" s="79" t="e">
        <f>(#REF!+#REF!-#REF!)*#REF!*#REF!/1000</f>
        <v>#REF!</v>
      </c>
      <c r="P220" s="79" t="e">
        <f>(#REF!+#REF!-#REF!)*#REF!*#REF!/1000</f>
        <v>#REF!</v>
      </c>
      <c r="Q220" s="79" t="e">
        <f>(#REF!+#REF!-#REF!)*#REF!*#REF!/1000</f>
        <v>#REF!</v>
      </c>
      <c r="R220" s="79" t="e">
        <f>(#REF!+#REF!-#REF!)*#REF!*#REF!/1000</f>
        <v>#REF!</v>
      </c>
      <c r="S220" s="79" t="e">
        <f>(#REF!+#REF!-#REF!)*#REF!*#REF!/1000</f>
        <v>#REF!</v>
      </c>
      <c r="T220" s="79" t="e">
        <f>(#REF!+#REF!-#REF!)*#REF!*#REF!/1000</f>
        <v>#REF!</v>
      </c>
      <c r="U220" s="79" t="e">
        <f>(#REF!+#REF!-#REF!)*#REF!*#REF!/1000</f>
        <v>#REF!</v>
      </c>
      <c r="V220" s="79" t="e">
        <f>(#REF!+#REF!-#REF!)*#REF!*#REF!/1000</f>
        <v>#REF!</v>
      </c>
      <c r="W220" s="79" t="e">
        <f>(#REF!+#REF!-#REF!)*#REF!*#REF!/1000</f>
        <v>#REF!</v>
      </c>
      <c r="X220" s="79" t="e">
        <f>(#REF!+#REF!-#REF!)*#REF!*#REF!/1000</f>
        <v>#REF!</v>
      </c>
      <c r="Y220" s="79" t="e">
        <f>(#REF!+#REF!-#REF!)*#REF!*#REF!/1000</f>
        <v>#REF!</v>
      </c>
      <c r="Z220" s="79" t="e">
        <f>(#REF!+#REF!-#REF!)*#REF!*#REF!/1000</f>
        <v>#REF!</v>
      </c>
      <c r="AA220" s="79" t="e">
        <f>(#REF!+#REF!-#REF!)*#REF!*#REF!/1000</f>
        <v>#REF!</v>
      </c>
      <c r="AB220" s="79" t="e">
        <f>(#REF!+#REF!-#REF!)*#REF!*#REF!/1000</f>
        <v>#REF!</v>
      </c>
      <c r="AC220" s="79" t="e">
        <f>(#REF!+#REF!-#REF!)*#REF!*#REF!/1000</f>
        <v>#REF!</v>
      </c>
      <c r="AD220" s="79" t="e">
        <f>(#REF!+#REF!-#REF!)*#REF!*#REF!/1000</f>
        <v>#REF!</v>
      </c>
      <c r="AE220" s="79" t="e">
        <f>(#REF!+#REF!-#REF!)*#REF!*#REF!/1000</f>
        <v>#REF!</v>
      </c>
      <c r="AF220" s="79" t="e">
        <f>(#REF!+#REF!-#REF!)*#REF!*#REF!/1000</f>
        <v>#REF!</v>
      </c>
      <c r="AG220" s="79" t="e">
        <f>(#REF!+#REF!-#REF!)*#REF!*#REF!/1000</f>
        <v>#REF!</v>
      </c>
      <c r="AH220" s="79" t="e">
        <f>(#REF!+#REF!-#REF!)*#REF!*#REF!/1000</f>
        <v>#REF!</v>
      </c>
      <c r="AI220" s="79" t="e">
        <f>(#REF!+#REF!-#REF!)*#REF!*#REF!/1000</f>
        <v>#REF!</v>
      </c>
      <c r="AJ220" s="79" t="e">
        <f>(#REF!+#REF!-#REF!)*#REF!*#REF!/1000</f>
        <v>#REF!</v>
      </c>
      <c r="AK220" s="79" t="e">
        <f>(#REF!+#REF!-#REF!)*#REF!*#REF!/1000</f>
        <v>#REF!</v>
      </c>
      <c r="AL220" s="79" t="e">
        <f>(#REF!+#REF!-#REF!)*#REF!*#REF!/1000</f>
        <v>#REF!</v>
      </c>
      <c r="AM220" s="79" t="e">
        <f>(#REF!+#REF!-#REF!)*#REF!*#REF!/1000</f>
        <v>#REF!</v>
      </c>
      <c r="AN220" s="79" t="e">
        <f>(#REF!+#REF!-#REF!)*#REF!*#REF!/1000</f>
        <v>#REF!</v>
      </c>
      <c r="AO220" s="79" t="e">
        <f>(#REF!+#REF!-#REF!)*#REF!*#REF!/1000</f>
        <v>#REF!</v>
      </c>
      <c r="AP220" s="79" t="e">
        <f>(#REF!+#REF!-#REF!)*#REF!*#REF!/1000</f>
        <v>#REF!</v>
      </c>
      <c r="AQ220" s="79" t="e">
        <f>(#REF!+#REF!-#REF!)*#REF!*#REF!/1000</f>
        <v>#REF!</v>
      </c>
      <c r="AR220" s="79" t="e">
        <f>(#REF!+#REF!-#REF!)*#REF!*#REF!/1000</f>
        <v>#REF!</v>
      </c>
      <c r="AS220" s="79" t="e">
        <f>(#REF!+#REF!-#REF!)*#REF!*#REF!/1000</f>
        <v>#REF!</v>
      </c>
      <c r="AT220" s="79" t="e">
        <f>(#REF!+#REF!-#REF!)*#REF!*#REF!/1000</f>
        <v>#REF!</v>
      </c>
      <c r="AU220" s="79" t="e">
        <f>(#REF!+#REF!-#REF!)*#REF!*#REF!/1000</f>
        <v>#REF!</v>
      </c>
      <c r="AV220" s="79" t="e">
        <f>(#REF!+#REF!-#REF!)*#REF!*#REF!/1000</f>
        <v>#REF!</v>
      </c>
      <c r="AW220" s="79" t="e">
        <f>(#REF!+#REF!-#REF!)*#REF!*#REF!/1000</f>
        <v>#REF!</v>
      </c>
      <c r="AX220" s="79" t="e">
        <f>(#REF!+#REF!-#REF!)*#REF!*#REF!/1000</f>
        <v>#REF!</v>
      </c>
      <c r="AY220" s="79" t="e">
        <f>(#REF!+#REF!-#REF!)*#REF!*#REF!/1000</f>
        <v>#REF!</v>
      </c>
      <c r="AZ220" s="79" t="e">
        <f>(#REF!+#REF!-#REF!)*#REF!*#REF!/1000</f>
        <v>#REF!</v>
      </c>
      <c r="BA220" s="79" t="e">
        <f>(#REF!+#REF!-#REF!)*#REF!*#REF!/1000</f>
        <v>#REF!</v>
      </c>
      <c r="BB220" s="79" t="e">
        <f>(#REF!+#REF!-#REF!)*#REF!*#REF!/1000</f>
        <v>#REF!</v>
      </c>
      <c r="BC220" s="79" t="e">
        <f>(#REF!+#REF!-#REF!)*#REF!*#REF!/1000</f>
        <v>#REF!</v>
      </c>
      <c r="BD220" s="79" t="e">
        <f>(#REF!+#REF!-#REF!)*#REF!*#REF!/1000</f>
        <v>#REF!</v>
      </c>
      <c r="BE220" s="79" t="e">
        <f>(#REF!+#REF!-#REF!)*#REF!*#REF!/1000</f>
        <v>#REF!</v>
      </c>
      <c r="BF220" s="79" t="e">
        <f>(#REF!+#REF!-#REF!)*#REF!*#REF!/1000</f>
        <v>#REF!</v>
      </c>
      <c r="BG220" s="79" t="e">
        <f>(#REF!+#REF!-#REF!)*#REF!*#REF!/1000</f>
        <v>#REF!</v>
      </c>
      <c r="BH220" s="79" t="e">
        <f>(#REF!+#REF!-#REF!)*#REF!*#REF!/1000</f>
        <v>#REF!</v>
      </c>
      <c r="BI220" s="79" t="e">
        <f>(#REF!+#REF!-#REF!)*#REF!*#REF!/1000</f>
        <v>#REF!</v>
      </c>
      <c r="BJ220" s="79" t="e">
        <f>(#REF!+#REF!-#REF!)*#REF!*#REF!/1000</f>
        <v>#REF!</v>
      </c>
      <c r="BK220" s="79" t="e">
        <f>(#REF!+#REF!-#REF!)*#REF!*#REF!/1000</f>
        <v>#REF!</v>
      </c>
      <c r="BL220" s="79" t="e">
        <f>(#REF!+#REF!-#REF!)*#REF!*#REF!/1000</f>
        <v>#REF!</v>
      </c>
      <c r="BM220" s="79" t="e">
        <f>(#REF!+#REF!-#REF!)*#REF!*#REF!/1000</f>
        <v>#REF!</v>
      </c>
      <c r="BN220" s="79" t="e">
        <f>(#REF!+#REF!-#REF!)*#REF!*#REF!/1000</f>
        <v>#REF!</v>
      </c>
      <c r="BO220" s="79" t="e">
        <f>(#REF!+#REF!-#REF!)*#REF!*#REF!/1000</f>
        <v>#REF!</v>
      </c>
      <c r="BP220" s="79" t="e">
        <f>(#REF!+#REF!-#REF!)*#REF!*#REF!/1000</f>
        <v>#REF!</v>
      </c>
      <c r="BQ220" s="79" t="e">
        <f>(#REF!+#REF!-#REF!)*#REF!*#REF!/1000</f>
        <v>#REF!</v>
      </c>
      <c r="BR220" s="79" t="e">
        <f>(#REF!+#REF!-#REF!)*#REF!*#REF!/1000</f>
        <v>#REF!</v>
      </c>
      <c r="BS220" s="79" t="e">
        <f>(#REF!+#REF!-#REF!)*#REF!*#REF!/1000</f>
        <v>#REF!</v>
      </c>
      <c r="BT220" s="79" t="e">
        <f>(#REF!+#REF!-#REF!)*#REF!*#REF!/1000</f>
        <v>#REF!</v>
      </c>
      <c r="BU220" s="79" t="e">
        <f>(#REF!+#REF!-#REF!)*#REF!*#REF!/1000</f>
        <v>#REF!</v>
      </c>
      <c r="BV220" s="79" t="e">
        <f>(#REF!+#REF!-#REF!)*#REF!*#REF!/1000</f>
        <v>#REF!</v>
      </c>
      <c r="BW220" s="79" t="e">
        <f>(#REF!+#REF!-#REF!)*#REF!*#REF!/1000</f>
        <v>#REF!</v>
      </c>
      <c r="BX220" s="79" t="e">
        <f>(#REF!+#REF!-#REF!)*#REF!*#REF!/1000</f>
        <v>#REF!</v>
      </c>
      <c r="BY220" s="79" t="e">
        <f>(#REF!+#REF!-#REF!)*#REF!*#REF!/1000</f>
        <v>#REF!</v>
      </c>
      <c r="BZ220" s="79" t="e">
        <f>(#REF!+#REF!-#REF!)*#REF!*#REF!/1000</f>
        <v>#REF!</v>
      </c>
      <c r="CA220" s="79" t="e">
        <f>(#REF!+#REF!-#REF!)*#REF!*#REF!/1000</f>
        <v>#REF!</v>
      </c>
      <c r="CB220" s="79" t="e">
        <f>(#REF!+#REF!-#REF!)*#REF!*#REF!/1000</f>
        <v>#REF!</v>
      </c>
      <c r="CC220" s="79" t="e">
        <f>(#REF!+#REF!-#REF!)*#REF!*#REF!/1000</f>
        <v>#REF!</v>
      </c>
      <c r="CD220" s="79" t="e">
        <f>(#REF!+#REF!-#REF!)*#REF!*#REF!/1000</f>
        <v>#REF!</v>
      </c>
      <c r="CE220" s="79" t="e">
        <f>(#REF!+#REF!-#REF!)*#REF!*#REF!/1000</f>
        <v>#REF!</v>
      </c>
      <c r="CF220" s="79" t="e">
        <f>(#REF!+#REF!-#REF!)*#REF!*#REF!/1000</f>
        <v>#REF!</v>
      </c>
      <c r="CG220" s="79" t="e">
        <f>(#REF!+#REF!-#REF!)*#REF!*#REF!/1000</f>
        <v>#REF!</v>
      </c>
      <c r="CH220" s="79" t="e">
        <f>(#REF!+#REF!-#REF!)*#REF!*#REF!/1000</f>
        <v>#REF!</v>
      </c>
      <c r="CI220" s="79" t="e">
        <f>(#REF!+#REF!-#REF!)*#REF!*#REF!/1000</f>
        <v>#REF!</v>
      </c>
      <c r="CJ220" s="79" t="e">
        <f>(#REF!+#REF!-#REF!)*#REF!*#REF!/1000</f>
        <v>#REF!</v>
      </c>
      <c r="CK220" s="79" t="e">
        <f>(#REF!+#REF!-#REF!)*#REF!*#REF!/1000</f>
        <v>#REF!</v>
      </c>
      <c r="CL220" s="79" t="e">
        <f>(#REF!+#REF!-#REF!)*#REF!*#REF!/1000</f>
        <v>#REF!</v>
      </c>
      <c r="CM220" s="79" t="e">
        <f>(#REF!+#REF!-#REF!)*#REF!*#REF!/1000</f>
        <v>#REF!</v>
      </c>
      <c r="CN220" s="79" t="e">
        <f>(#REF!+#REF!-#REF!)*#REF!*#REF!/1000</f>
        <v>#REF!</v>
      </c>
      <c r="CO220" s="79" t="e">
        <f>(#REF!+#REF!-#REF!)*#REF!*#REF!/1000</f>
        <v>#REF!</v>
      </c>
      <c r="CP220" s="79" t="e">
        <f>(#REF!+#REF!-#REF!)*#REF!*#REF!/1000</f>
        <v>#REF!</v>
      </c>
      <c r="CQ220" s="79" t="e">
        <f>(#REF!+#REF!-#REF!)*#REF!*#REF!/1000</f>
        <v>#REF!</v>
      </c>
      <c r="CR220" s="79" t="e">
        <f>(#REF!+#REF!-#REF!)*#REF!*#REF!/1000</f>
        <v>#REF!</v>
      </c>
      <c r="CS220" s="79" t="e">
        <f>(#REF!+#REF!-#REF!)*#REF!*#REF!/1000</f>
        <v>#REF!</v>
      </c>
      <c r="CT220" s="79" t="e">
        <f>(#REF!+#REF!-#REF!)*#REF!*#REF!/1000</f>
        <v>#REF!</v>
      </c>
      <c r="CU220" s="79" t="e">
        <f>(#REF!+#REF!-#REF!)*#REF!*#REF!/1000</f>
        <v>#REF!</v>
      </c>
      <c r="CV220" s="79" t="e">
        <f>(#REF!+#REF!-#REF!)*#REF!*#REF!/1000</f>
        <v>#REF!</v>
      </c>
      <c r="CW220" s="79" t="e">
        <f>(#REF!+#REF!-#REF!)*#REF!*#REF!/1000</f>
        <v>#REF!</v>
      </c>
      <c r="CX220" s="79" t="e">
        <f>(#REF!+#REF!-#REF!)*#REF!*#REF!/1000</f>
        <v>#REF!</v>
      </c>
      <c r="CY220" s="79" t="e">
        <f>(#REF!+#REF!-#REF!)*#REF!*#REF!/1000</f>
        <v>#REF!</v>
      </c>
      <c r="CZ220" s="79" t="e">
        <f>(#REF!+#REF!-#REF!)*#REF!*#REF!/1000</f>
        <v>#REF!</v>
      </c>
      <c r="DA220" s="79" t="e">
        <f>(#REF!+#REF!-#REF!)*#REF!*#REF!/1000</f>
        <v>#REF!</v>
      </c>
      <c r="DB220" s="79" t="e">
        <f>(#REF!+#REF!-#REF!)*#REF!*#REF!/1000</f>
        <v>#REF!</v>
      </c>
      <c r="DC220" s="79" t="e">
        <f>(#REF!+#REF!-#REF!)*#REF!*#REF!/1000</f>
        <v>#REF!</v>
      </c>
      <c r="DD220" s="79" t="e">
        <f>(#REF!+#REF!-#REF!)*#REF!*#REF!/1000</f>
        <v>#REF!</v>
      </c>
      <c r="DE220" s="79" t="e">
        <f>(#REF!+#REF!-#REF!)*#REF!*#REF!/1000</f>
        <v>#REF!</v>
      </c>
      <c r="DF220" s="79" t="e">
        <f>(#REF!+#REF!-#REF!)*#REF!*#REF!/1000</f>
        <v>#REF!</v>
      </c>
      <c r="DG220" s="79" t="e">
        <f>(#REF!+#REF!-#REF!)*#REF!*#REF!/1000</f>
        <v>#REF!</v>
      </c>
      <c r="DH220" s="79" t="e">
        <f>(#REF!+#REF!-#REF!)*#REF!*#REF!/1000</f>
        <v>#REF!</v>
      </c>
      <c r="DI220" s="79" t="e">
        <f>(#REF!+#REF!-#REF!)*#REF!*#REF!/1000</f>
        <v>#REF!</v>
      </c>
      <c r="DJ220" s="79" t="e">
        <f>(#REF!+#REF!-#REF!)*#REF!*#REF!/1000</f>
        <v>#REF!</v>
      </c>
      <c r="DK220" s="79" t="e">
        <f>(#REF!+#REF!-#REF!)*#REF!*#REF!/1000</f>
        <v>#REF!</v>
      </c>
      <c r="DL220" s="79" t="e">
        <f>(#REF!+#REF!-#REF!)*#REF!*#REF!/1000</f>
        <v>#REF!</v>
      </c>
      <c r="DM220" s="79" t="e">
        <f>(#REF!+#REF!-#REF!)*#REF!*#REF!/1000</f>
        <v>#REF!</v>
      </c>
      <c r="DN220" s="79" t="e">
        <f>(#REF!+#REF!-#REF!)*#REF!*#REF!/1000</f>
        <v>#REF!</v>
      </c>
      <c r="DO220" s="79" t="e">
        <f>(#REF!+#REF!-#REF!)*#REF!*#REF!/1000</f>
        <v>#REF!</v>
      </c>
      <c r="DP220" s="79" t="e">
        <f>(#REF!+#REF!-#REF!)*#REF!*#REF!/1000</f>
        <v>#REF!</v>
      </c>
      <c r="DQ220" s="79" t="e">
        <f>(#REF!+#REF!-#REF!)*#REF!*#REF!/1000</f>
        <v>#REF!</v>
      </c>
      <c r="DR220" s="79" t="e">
        <f>(#REF!+#REF!-#REF!)*#REF!*#REF!/1000</f>
        <v>#REF!</v>
      </c>
      <c r="DS220" s="79" t="e">
        <f>(#REF!+#REF!-#REF!)*#REF!*#REF!/1000</f>
        <v>#REF!</v>
      </c>
      <c r="DT220" s="79" t="e">
        <f>(#REF!+#REF!-#REF!)*#REF!*#REF!/1000</f>
        <v>#REF!</v>
      </c>
      <c r="DU220" s="79" t="e">
        <f>(#REF!+#REF!-#REF!)*#REF!*#REF!/1000</f>
        <v>#REF!</v>
      </c>
      <c r="DV220" s="79" t="e">
        <f>(#REF!+#REF!-#REF!)*#REF!*#REF!/1000</f>
        <v>#REF!</v>
      </c>
      <c r="DW220" s="79" t="e">
        <f>(#REF!+#REF!-#REF!)*#REF!*#REF!/1000</f>
        <v>#REF!</v>
      </c>
      <c r="DX220" s="79" t="e">
        <f>(#REF!+#REF!-#REF!)*#REF!*#REF!/1000</f>
        <v>#REF!</v>
      </c>
      <c r="DY220" s="79" t="e">
        <f>(#REF!+#REF!-#REF!)*#REF!*#REF!/1000</f>
        <v>#REF!</v>
      </c>
      <c r="DZ220" s="79" t="e">
        <f>(#REF!+#REF!-#REF!)*#REF!*#REF!/1000</f>
        <v>#REF!</v>
      </c>
      <c r="EA220" s="79" t="e">
        <f>(#REF!+#REF!-#REF!)*#REF!*#REF!/1000</f>
        <v>#REF!</v>
      </c>
      <c r="EB220" s="79" t="e">
        <f>(#REF!+#REF!-#REF!)*#REF!*#REF!/1000</f>
        <v>#REF!</v>
      </c>
      <c r="EC220" s="79" t="e">
        <f>(#REF!+#REF!-#REF!)*#REF!*#REF!/1000</f>
        <v>#REF!</v>
      </c>
      <c r="ED220" s="79" t="e">
        <f>(#REF!+#REF!-#REF!)*#REF!*#REF!/1000</f>
        <v>#REF!</v>
      </c>
      <c r="EE220" s="79" t="e">
        <f>(#REF!+#REF!-#REF!)*#REF!*#REF!/1000</f>
        <v>#REF!</v>
      </c>
      <c r="EF220" s="79" t="e">
        <f>(#REF!+#REF!-#REF!)*#REF!*#REF!/1000</f>
        <v>#REF!</v>
      </c>
      <c r="EG220" s="79" t="e">
        <f>(#REF!+#REF!-#REF!)*#REF!*#REF!/1000</f>
        <v>#REF!</v>
      </c>
      <c r="EH220" s="79" t="e">
        <f>(#REF!+#REF!-#REF!)*#REF!*#REF!/1000</f>
        <v>#REF!</v>
      </c>
      <c r="EI220" s="79" t="e">
        <f>(#REF!+#REF!-#REF!)*#REF!*#REF!/1000</f>
        <v>#REF!</v>
      </c>
      <c r="EJ220" s="79" t="e">
        <f>(#REF!+#REF!-#REF!)*#REF!*#REF!/1000</f>
        <v>#REF!</v>
      </c>
      <c r="EK220" s="79" t="e">
        <f>(#REF!+#REF!-#REF!)*#REF!*#REF!/1000</f>
        <v>#REF!</v>
      </c>
      <c r="EL220" s="79" t="e">
        <f>(#REF!+#REF!-#REF!)*#REF!*#REF!/1000</f>
        <v>#REF!</v>
      </c>
      <c r="EM220" s="79" t="e">
        <f>(#REF!+#REF!-#REF!)*#REF!*#REF!/1000</f>
        <v>#REF!</v>
      </c>
      <c r="EN220" s="79" t="e">
        <f>(#REF!+#REF!-#REF!)*#REF!*#REF!/1000</f>
        <v>#REF!</v>
      </c>
      <c r="EO220" s="79" t="e">
        <f>(#REF!+#REF!-#REF!)*#REF!*#REF!/1000</f>
        <v>#REF!</v>
      </c>
      <c r="EP220" s="79" t="e">
        <f>(#REF!+#REF!-#REF!)*#REF!*#REF!/1000</f>
        <v>#REF!</v>
      </c>
      <c r="EQ220" s="79" t="e">
        <f>(#REF!+#REF!-#REF!)*#REF!*#REF!/1000</f>
        <v>#REF!</v>
      </c>
      <c r="ER220" s="79" t="e">
        <f>(#REF!+#REF!-#REF!)*#REF!*#REF!/1000</f>
        <v>#REF!</v>
      </c>
      <c r="ES220" s="79" t="e">
        <f>(#REF!+#REF!-#REF!)*#REF!*#REF!/1000</f>
        <v>#REF!</v>
      </c>
      <c r="ET220" s="79" t="e">
        <f>(#REF!+#REF!-#REF!)*#REF!*#REF!/1000</f>
        <v>#REF!</v>
      </c>
      <c r="EU220" s="79" t="e">
        <f>(#REF!+#REF!-#REF!)*#REF!*#REF!/1000</f>
        <v>#REF!</v>
      </c>
      <c r="EV220" s="79" t="e">
        <f>(#REF!+#REF!-#REF!)*#REF!*#REF!/1000</f>
        <v>#REF!</v>
      </c>
      <c r="EW220" s="79" t="e">
        <f>(#REF!+#REF!-#REF!)*#REF!*#REF!/1000</f>
        <v>#REF!</v>
      </c>
      <c r="EX220" s="79" t="e">
        <f>(#REF!+#REF!-#REF!)*#REF!*#REF!/1000</f>
        <v>#REF!</v>
      </c>
      <c r="EY220" s="79" t="e">
        <f>(#REF!+#REF!-#REF!)*#REF!*#REF!/1000</f>
        <v>#REF!</v>
      </c>
      <c r="EZ220" s="79" t="e">
        <f>(#REF!+#REF!-#REF!)*#REF!*#REF!/1000</f>
        <v>#REF!</v>
      </c>
      <c r="FA220" s="79" t="e">
        <f>(#REF!+#REF!-#REF!)*#REF!*#REF!/1000</f>
        <v>#REF!</v>
      </c>
      <c r="FB220" s="79" t="e">
        <f>(#REF!+#REF!-#REF!)*#REF!*#REF!/1000</f>
        <v>#REF!</v>
      </c>
      <c r="FC220" s="79" t="e">
        <f>(#REF!+#REF!-#REF!)*#REF!*#REF!/1000</f>
        <v>#REF!</v>
      </c>
      <c r="FD220" s="79" t="e">
        <f>(#REF!+#REF!-#REF!)*#REF!*#REF!/1000</f>
        <v>#REF!</v>
      </c>
      <c r="FE220" s="79" t="e">
        <f>(#REF!+#REF!-#REF!)*#REF!*#REF!/1000</f>
        <v>#REF!</v>
      </c>
      <c r="FF220" s="79" t="e">
        <f>(#REF!+#REF!-#REF!)*#REF!*#REF!/1000</f>
        <v>#REF!</v>
      </c>
      <c r="FG220" s="79" t="e">
        <f>(#REF!+#REF!-#REF!)*#REF!*#REF!/1000</f>
        <v>#REF!</v>
      </c>
      <c r="FH220" s="79" t="e">
        <f>(#REF!+#REF!-#REF!)*#REF!*#REF!/1000</f>
        <v>#REF!</v>
      </c>
      <c r="FI220" s="79" t="e">
        <f>(#REF!+#REF!-#REF!)*#REF!*#REF!/1000</f>
        <v>#REF!</v>
      </c>
      <c r="FJ220" s="79" t="e">
        <f>(#REF!+#REF!-#REF!)*#REF!*#REF!/1000</f>
        <v>#REF!</v>
      </c>
      <c r="FK220" s="79" t="e">
        <f>(#REF!+#REF!-#REF!)*#REF!*#REF!/1000</f>
        <v>#REF!</v>
      </c>
      <c r="FL220" s="79" t="e">
        <f>(#REF!+#REF!-#REF!)*#REF!*#REF!/1000</f>
        <v>#REF!</v>
      </c>
      <c r="FM220" s="79" t="e">
        <f>(#REF!+#REF!-#REF!)*#REF!*#REF!/1000</f>
        <v>#REF!</v>
      </c>
      <c r="FN220" s="79" t="e">
        <f>(#REF!+#REF!-#REF!)*#REF!*#REF!/1000</f>
        <v>#REF!</v>
      </c>
      <c r="FO220" s="79" t="e">
        <f>(#REF!+#REF!-#REF!)*#REF!*#REF!/1000</f>
        <v>#REF!</v>
      </c>
      <c r="FP220" s="79" t="e">
        <f>(#REF!+#REF!-#REF!)*#REF!*#REF!/1000</f>
        <v>#REF!</v>
      </c>
      <c r="FQ220" s="79" t="e">
        <f>(#REF!+#REF!-#REF!)*#REF!*#REF!/1000</f>
        <v>#REF!</v>
      </c>
      <c r="FR220" s="79" t="e">
        <f>(#REF!+#REF!-#REF!)*#REF!*#REF!/1000</f>
        <v>#REF!</v>
      </c>
      <c r="FS220" s="79" t="e">
        <f>(#REF!+#REF!-#REF!)*#REF!*#REF!/1000</f>
        <v>#REF!</v>
      </c>
      <c r="FT220" s="79" t="e">
        <f>(#REF!+#REF!-#REF!)*#REF!*#REF!/1000</f>
        <v>#REF!</v>
      </c>
      <c r="FU220" s="79" t="e">
        <f>(#REF!+#REF!-#REF!)*#REF!*#REF!/1000</f>
        <v>#REF!</v>
      </c>
      <c r="FV220" s="79" t="e">
        <f>(#REF!+#REF!-#REF!)*#REF!*#REF!/1000</f>
        <v>#REF!</v>
      </c>
      <c r="FW220" s="79" t="e">
        <f>(#REF!+#REF!-#REF!)*#REF!*#REF!/1000</f>
        <v>#REF!</v>
      </c>
      <c r="FX220" s="79" t="e">
        <f>(#REF!+#REF!-#REF!)*#REF!*#REF!/1000</f>
        <v>#REF!</v>
      </c>
      <c r="FY220" s="79" t="e">
        <f>(#REF!+#REF!-#REF!)*#REF!*#REF!/1000</f>
        <v>#REF!</v>
      </c>
      <c r="FZ220" s="79" t="e">
        <f>(#REF!+#REF!-#REF!)*#REF!*#REF!/1000</f>
        <v>#REF!</v>
      </c>
      <c r="GA220" s="79" t="e">
        <f>(#REF!+#REF!-#REF!)*#REF!*#REF!/1000</f>
        <v>#REF!</v>
      </c>
      <c r="GB220" s="79" t="e">
        <f>(#REF!+#REF!-#REF!)*#REF!*#REF!/1000</f>
        <v>#REF!</v>
      </c>
      <c r="GC220" s="79" t="e">
        <f>(#REF!+#REF!-#REF!)*#REF!*#REF!/1000</f>
        <v>#REF!</v>
      </c>
      <c r="GD220" s="79" t="e">
        <f>(#REF!+#REF!-#REF!)*#REF!*#REF!/1000</f>
        <v>#REF!</v>
      </c>
      <c r="GE220" s="79" t="e">
        <f>(#REF!+#REF!-#REF!)*#REF!*#REF!/1000</f>
        <v>#REF!</v>
      </c>
      <c r="GF220" s="79" t="e">
        <f>(#REF!+#REF!-#REF!)*#REF!*#REF!/1000</f>
        <v>#REF!</v>
      </c>
      <c r="GG220" s="79" t="e">
        <f>(#REF!+#REF!-#REF!)*#REF!*#REF!/1000</f>
        <v>#REF!</v>
      </c>
      <c r="GH220" s="79" t="e">
        <f>(#REF!+#REF!-#REF!)*#REF!*#REF!/1000</f>
        <v>#REF!</v>
      </c>
      <c r="GI220" s="79" t="e">
        <f>(#REF!+#REF!-#REF!)*#REF!*#REF!/1000</f>
        <v>#REF!</v>
      </c>
      <c r="GJ220" s="79" t="e">
        <f>(#REF!+#REF!-#REF!)*#REF!*#REF!/1000</f>
        <v>#REF!</v>
      </c>
      <c r="GK220" s="79" t="e">
        <f>(#REF!+#REF!-#REF!)*#REF!*#REF!/1000</f>
        <v>#REF!</v>
      </c>
      <c r="GL220" s="79" t="e">
        <f>(#REF!+#REF!-#REF!)*#REF!*#REF!/1000</f>
        <v>#REF!</v>
      </c>
      <c r="GM220" s="79" t="e">
        <f>(#REF!+#REF!-#REF!)*#REF!*#REF!/1000</f>
        <v>#REF!</v>
      </c>
      <c r="GN220" s="79" t="e">
        <f>(#REF!+#REF!-#REF!)*#REF!*#REF!/1000</f>
        <v>#REF!</v>
      </c>
      <c r="GO220" s="79" t="e">
        <f>(#REF!+#REF!-#REF!)*#REF!*#REF!/1000</f>
        <v>#REF!</v>
      </c>
      <c r="GP220" s="79" t="e">
        <f>(#REF!+#REF!-#REF!)*#REF!*#REF!/1000</f>
        <v>#REF!</v>
      </c>
      <c r="GQ220" s="79" t="e">
        <f>(#REF!+#REF!-#REF!)*#REF!*#REF!/1000</f>
        <v>#REF!</v>
      </c>
      <c r="GR220" s="79" t="e">
        <f>(#REF!+#REF!-#REF!)*#REF!*#REF!/1000</f>
        <v>#REF!</v>
      </c>
      <c r="GS220" s="79" t="e">
        <f>(#REF!+#REF!-#REF!)*#REF!*#REF!/1000</f>
        <v>#REF!</v>
      </c>
      <c r="GT220" s="79" t="e">
        <f>(#REF!+#REF!-#REF!)*#REF!*#REF!/1000</f>
        <v>#REF!</v>
      </c>
      <c r="GU220" s="79" t="e">
        <f>(#REF!+#REF!-#REF!)*#REF!*#REF!/1000</f>
        <v>#REF!</v>
      </c>
      <c r="GV220" s="79" t="e">
        <f>(#REF!+#REF!-#REF!)*#REF!*#REF!/1000</f>
        <v>#REF!</v>
      </c>
      <c r="GW220" s="79" t="e">
        <f>(#REF!+#REF!-#REF!)*#REF!*#REF!/1000</f>
        <v>#REF!</v>
      </c>
      <c r="GX220" s="79" t="e">
        <f>(#REF!+#REF!-#REF!)*#REF!*#REF!/1000</f>
        <v>#REF!</v>
      </c>
      <c r="GY220" s="79" t="e">
        <f>(#REF!+#REF!-#REF!)*#REF!*#REF!/1000</f>
        <v>#REF!</v>
      </c>
      <c r="GZ220" s="79" t="e">
        <f>(#REF!+#REF!-#REF!)*#REF!*#REF!/1000</f>
        <v>#REF!</v>
      </c>
      <c r="HA220" s="79" t="e">
        <f>(#REF!+#REF!-#REF!)*#REF!*#REF!/1000</f>
        <v>#REF!</v>
      </c>
      <c r="HB220" s="79" t="e">
        <f>(#REF!+#REF!-#REF!)*#REF!*#REF!/1000</f>
        <v>#REF!</v>
      </c>
      <c r="HC220" s="79" t="e">
        <f>(#REF!+#REF!-#REF!)*#REF!*#REF!/1000</f>
        <v>#REF!</v>
      </c>
      <c r="HD220" s="79" t="e">
        <f>(#REF!+#REF!-#REF!)*#REF!*#REF!/1000</f>
        <v>#REF!</v>
      </c>
      <c r="HE220" s="79" t="e">
        <f>(#REF!+#REF!-#REF!)*#REF!*#REF!/1000</f>
        <v>#REF!</v>
      </c>
      <c r="HF220" s="79" t="e">
        <f>(#REF!+#REF!-#REF!)*#REF!*#REF!/1000</f>
        <v>#REF!</v>
      </c>
      <c r="HG220" s="79" t="e">
        <f>(#REF!+#REF!-#REF!)*#REF!*#REF!/1000</f>
        <v>#REF!</v>
      </c>
      <c r="HH220" s="79" t="e">
        <f>(#REF!+#REF!-#REF!)*#REF!*#REF!/1000</f>
        <v>#REF!</v>
      </c>
      <c r="HI220" s="79" t="e">
        <f>(#REF!+#REF!-#REF!)*#REF!*#REF!/1000</f>
        <v>#REF!</v>
      </c>
      <c r="HJ220" s="79" t="e">
        <f>(#REF!+#REF!-#REF!)*#REF!*#REF!/1000</f>
        <v>#REF!</v>
      </c>
      <c r="HK220" s="79" t="e">
        <f>(#REF!+#REF!-#REF!)*#REF!*#REF!/1000</f>
        <v>#REF!</v>
      </c>
      <c r="HL220" s="79" t="e">
        <f>(#REF!+#REF!-#REF!)*#REF!*#REF!/1000</f>
        <v>#REF!</v>
      </c>
      <c r="HM220" s="79" t="e">
        <f>(#REF!+#REF!-#REF!)*#REF!*#REF!/1000</f>
        <v>#REF!</v>
      </c>
      <c r="HN220" s="79" t="e">
        <f>(#REF!+#REF!-#REF!)*#REF!*#REF!/1000</f>
        <v>#REF!</v>
      </c>
      <c r="HO220" s="79" t="e">
        <f>(#REF!+#REF!-#REF!)*#REF!*#REF!/1000</f>
        <v>#REF!</v>
      </c>
      <c r="HP220" s="79" t="e">
        <f>(#REF!+#REF!-#REF!)*#REF!*#REF!/1000</f>
        <v>#REF!</v>
      </c>
      <c r="HQ220" s="79" t="e">
        <f>(#REF!+#REF!-#REF!)*#REF!*#REF!/1000</f>
        <v>#REF!</v>
      </c>
      <c r="HR220" s="79" t="e">
        <f>(#REF!+#REF!-#REF!)*#REF!*#REF!/1000</f>
        <v>#REF!</v>
      </c>
      <c r="HS220" s="79" t="e">
        <f>(#REF!+#REF!-#REF!)*#REF!*#REF!/1000</f>
        <v>#REF!</v>
      </c>
      <c r="HT220" s="79" t="e">
        <f>(#REF!+#REF!-#REF!)*#REF!*#REF!/1000</f>
        <v>#REF!</v>
      </c>
      <c r="HU220" s="79" t="e">
        <f>(#REF!+#REF!-#REF!)*#REF!*#REF!/1000</f>
        <v>#REF!</v>
      </c>
      <c r="HV220" s="79" t="e">
        <f>(#REF!+#REF!-#REF!)*#REF!*#REF!/1000</f>
        <v>#REF!</v>
      </c>
      <c r="HW220" s="79" t="e">
        <f>(#REF!+#REF!-#REF!)*#REF!*#REF!/1000</f>
        <v>#REF!</v>
      </c>
      <c r="HX220" s="79" t="e">
        <f>(#REF!+#REF!-#REF!)*#REF!*#REF!/1000</f>
        <v>#REF!</v>
      </c>
      <c r="HY220" s="79" t="e">
        <f>(#REF!+#REF!-#REF!)*#REF!*#REF!/1000</f>
        <v>#REF!</v>
      </c>
      <c r="HZ220" s="79" t="e">
        <f>(#REF!+#REF!-#REF!)*#REF!*#REF!/1000</f>
        <v>#REF!</v>
      </c>
      <c r="IA220" s="79" t="e">
        <f>(#REF!+#REF!-#REF!)*#REF!*#REF!/1000</f>
        <v>#REF!</v>
      </c>
      <c r="IB220" s="79" t="e">
        <f>(#REF!+#REF!-#REF!)*#REF!*#REF!/1000</f>
        <v>#REF!</v>
      </c>
      <c r="IC220" s="79" t="e">
        <f>(#REF!+#REF!-#REF!)*#REF!*#REF!/1000</f>
        <v>#REF!</v>
      </c>
      <c r="ID220" s="79" t="e">
        <f>(#REF!+#REF!-#REF!)*#REF!*#REF!/1000</f>
        <v>#REF!</v>
      </c>
      <c r="IE220" s="79" t="e">
        <f>(#REF!+#REF!-#REF!)*#REF!*#REF!/1000</f>
        <v>#REF!</v>
      </c>
      <c r="IF220" s="79" t="e">
        <f>(#REF!+#REF!-#REF!)*#REF!*#REF!/1000</f>
        <v>#REF!</v>
      </c>
      <c r="IG220" s="79" t="e">
        <f>(#REF!+#REF!-#REF!)*#REF!*#REF!/1000</f>
        <v>#REF!</v>
      </c>
      <c r="IH220" s="79" t="e">
        <f>(#REF!+#REF!-#REF!)*#REF!*#REF!/1000</f>
        <v>#REF!</v>
      </c>
      <c r="II220" s="79" t="e">
        <f>(#REF!+#REF!-#REF!)*#REF!*#REF!/1000</f>
        <v>#REF!</v>
      </c>
      <c r="IJ220" s="79" t="e">
        <f>(#REF!+#REF!-#REF!)*#REF!*#REF!/1000</f>
        <v>#REF!</v>
      </c>
      <c r="IK220" s="79" t="e">
        <f>(#REF!+#REF!-#REF!)*#REF!*#REF!/1000</f>
        <v>#REF!</v>
      </c>
      <c r="IL220" s="79" t="e">
        <f>(#REF!+#REF!-#REF!)*#REF!*#REF!/1000</f>
        <v>#REF!</v>
      </c>
      <c r="IM220" s="79" t="e">
        <f>(#REF!+#REF!-#REF!)*#REF!*#REF!/1000</f>
        <v>#REF!</v>
      </c>
      <c r="IN220" s="79" t="e">
        <f>(#REF!+#REF!-#REF!)*#REF!*#REF!/1000</f>
        <v>#REF!</v>
      </c>
      <c r="IO220" s="79" t="e">
        <f>(#REF!+#REF!-#REF!)*#REF!*#REF!/1000</f>
        <v>#REF!</v>
      </c>
      <c r="IP220" s="79" t="e">
        <f>(#REF!+#REF!-#REF!)*#REF!*#REF!/1000</f>
        <v>#REF!</v>
      </c>
      <c r="IQ220" s="79" t="e">
        <f>(#REF!+#REF!-#REF!)*#REF!*#REF!/1000</f>
        <v>#REF!</v>
      </c>
      <c r="IR220" s="79" t="e">
        <f>(#REF!+#REF!-#REF!)*#REF!*#REF!/1000</f>
        <v>#REF!</v>
      </c>
      <c r="IS220" s="79" t="e">
        <f>(#REF!+#REF!-#REF!)*#REF!*#REF!/1000</f>
        <v>#REF!</v>
      </c>
      <c r="IT220" s="79" t="e">
        <f>(#REF!+#REF!-#REF!)*#REF!*#REF!/1000</f>
        <v>#REF!</v>
      </c>
      <c r="IU220" s="79" t="e">
        <f>(#REF!+#REF!-#REF!)*#REF!*#REF!/1000</f>
        <v>#REF!</v>
      </c>
      <c r="IV220" s="79" t="e">
        <f>(#REF!+#REF!-#REF!)*#REF!*#REF!/1000</f>
        <v>#REF!</v>
      </c>
      <c r="IW220" s="79" t="e">
        <f>(#REF!+#REF!-#REF!)*#REF!*#REF!/1000</f>
        <v>#REF!</v>
      </c>
      <c r="IX220" s="79" t="e">
        <f>(#REF!+#REF!-#REF!)*#REF!*#REF!/1000</f>
        <v>#REF!</v>
      </c>
      <c r="IY220" s="79" t="e">
        <f>(#REF!+#REF!-#REF!)*#REF!*#REF!/1000</f>
        <v>#REF!</v>
      </c>
      <c r="IZ220" s="79" t="e">
        <f>(#REF!+#REF!-#REF!)*#REF!*#REF!/1000</f>
        <v>#REF!</v>
      </c>
      <c r="JA220" s="79" t="e">
        <f>(#REF!+#REF!-#REF!)*#REF!*#REF!/1000</f>
        <v>#REF!</v>
      </c>
      <c r="JB220" s="79" t="e">
        <f>(#REF!+#REF!-#REF!)*#REF!*#REF!/1000</f>
        <v>#REF!</v>
      </c>
      <c r="JC220" s="79" t="e">
        <f>(#REF!+#REF!-#REF!)*#REF!*#REF!/1000</f>
        <v>#REF!</v>
      </c>
      <c r="JD220" s="79" t="e">
        <f>(#REF!+#REF!-#REF!)*#REF!*#REF!/1000</f>
        <v>#REF!</v>
      </c>
      <c r="JE220" s="79" t="e">
        <f>(#REF!+#REF!-#REF!)*#REF!*#REF!/1000</f>
        <v>#REF!</v>
      </c>
      <c r="JF220" s="79" t="e">
        <f>(#REF!+#REF!-#REF!)*#REF!*#REF!/1000</f>
        <v>#REF!</v>
      </c>
      <c r="JG220" s="79" t="e">
        <f>(#REF!+#REF!-#REF!)*#REF!*#REF!/1000</f>
        <v>#REF!</v>
      </c>
      <c r="JH220" s="79" t="e">
        <f>(#REF!+#REF!-#REF!)*#REF!*#REF!/1000</f>
        <v>#REF!</v>
      </c>
      <c r="JI220" s="79" t="e">
        <f>(#REF!+#REF!-#REF!)*#REF!*#REF!/1000</f>
        <v>#REF!</v>
      </c>
      <c r="JJ220" s="79" t="e">
        <f>(#REF!+#REF!-#REF!)*#REF!*#REF!/1000</f>
        <v>#REF!</v>
      </c>
      <c r="JK220" s="79" t="e">
        <f>(#REF!+#REF!-#REF!)*#REF!*#REF!/1000</f>
        <v>#REF!</v>
      </c>
      <c r="JL220" s="79" t="e">
        <f>(#REF!+#REF!-#REF!)*#REF!*#REF!/1000</f>
        <v>#REF!</v>
      </c>
      <c r="JM220" s="79" t="e">
        <f>(#REF!+#REF!-#REF!)*#REF!*#REF!/1000</f>
        <v>#REF!</v>
      </c>
      <c r="JN220" s="79" t="e">
        <f>(#REF!+#REF!-#REF!)*#REF!*#REF!/1000</f>
        <v>#REF!</v>
      </c>
      <c r="JO220" s="79" t="e">
        <f>(#REF!+#REF!-#REF!)*#REF!*#REF!/1000</f>
        <v>#REF!</v>
      </c>
      <c r="JP220" s="79" t="e">
        <f>(#REF!+#REF!-#REF!)*#REF!*#REF!/1000</f>
        <v>#REF!</v>
      </c>
      <c r="JQ220" s="79" t="e">
        <f>(#REF!+#REF!-#REF!)*#REF!*#REF!/1000</f>
        <v>#REF!</v>
      </c>
      <c r="JR220" s="79" t="e">
        <f>(#REF!+#REF!-#REF!)*#REF!*#REF!/1000</f>
        <v>#REF!</v>
      </c>
      <c r="JS220" s="79" t="e">
        <f>(#REF!+#REF!-#REF!)*#REF!*#REF!/1000</f>
        <v>#REF!</v>
      </c>
      <c r="JT220" s="79" t="e">
        <f>(#REF!+#REF!-#REF!)*#REF!*#REF!/1000</f>
        <v>#REF!</v>
      </c>
      <c r="JU220" s="79" t="e">
        <f>(#REF!+#REF!-#REF!)*#REF!*#REF!/1000</f>
        <v>#REF!</v>
      </c>
      <c r="JV220" s="79" t="e">
        <f>(#REF!+#REF!-#REF!)*#REF!*#REF!/1000</f>
        <v>#REF!</v>
      </c>
      <c r="JW220" s="79" t="e">
        <f>(#REF!+#REF!-#REF!)*#REF!*#REF!/1000</f>
        <v>#REF!</v>
      </c>
      <c r="JX220" s="79" t="e">
        <f>(#REF!+#REF!-#REF!)*#REF!*#REF!/1000</f>
        <v>#REF!</v>
      </c>
      <c r="JY220" s="79" t="e">
        <f>(#REF!+#REF!-#REF!)*#REF!*#REF!/1000</f>
        <v>#REF!</v>
      </c>
      <c r="JZ220" s="79" t="e">
        <f>(#REF!+#REF!-#REF!)*#REF!*#REF!/1000</f>
        <v>#REF!</v>
      </c>
      <c r="KA220" s="79" t="e">
        <f>(#REF!+#REF!-#REF!)*#REF!*#REF!/1000</f>
        <v>#REF!</v>
      </c>
      <c r="KB220" s="79" t="e">
        <f>(#REF!+#REF!-#REF!)*#REF!*#REF!/1000</f>
        <v>#REF!</v>
      </c>
      <c r="KC220" s="79" t="e">
        <f>(#REF!+#REF!-#REF!)*#REF!*#REF!/1000</f>
        <v>#REF!</v>
      </c>
      <c r="KD220" s="79" t="e">
        <f>(#REF!+#REF!-#REF!)*#REF!*#REF!/1000</f>
        <v>#REF!</v>
      </c>
      <c r="KE220" s="79" t="e">
        <f>(#REF!+#REF!-#REF!)*#REF!*#REF!/1000</f>
        <v>#REF!</v>
      </c>
      <c r="KF220" s="79" t="e">
        <f>(#REF!+#REF!-#REF!)*#REF!*#REF!/1000</f>
        <v>#REF!</v>
      </c>
      <c r="KG220" s="79" t="e">
        <f>(#REF!+#REF!-#REF!)*#REF!*#REF!/1000</f>
        <v>#REF!</v>
      </c>
      <c r="KH220" s="79" t="e">
        <f>(#REF!+#REF!-#REF!)*#REF!*#REF!/1000</f>
        <v>#REF!</v>
      </c>
      <c r="KI220" s="79" t="e">
        <f>(#REF!+#REF!-#REF!)*#REF!*#REF!/1000</f>
        <v>#REF!</v>
      </c>
      <c r="KJ220" s="79" t="e">
        <f>(#REF!+#REF!-#REF!)*#REF!*#REF!/1000</f>
        <v>#REF!</v>
      </c>
      <c r="KK220" s="79" t="e">
        <f>(#REF!+#REF!-#REF!)*#REF!*#REF!/1000</f>
        <v>#REF!</v>
      </c>
      <c r="KL220" s="79" t="e">
        <f>(#REF!+#REF!-#REF!)*#REF!*#REF!/1000</f>
        <v>#REF!</v>
      </c>
      <c r="KM220" s="79" t="e">
        <f>(#REF!+#REF!-#REF!)*#REF!*#REF!/1000</f>
        <v>#REF!</v>
      </c>
      <c r="KN220" s="79" t="e">
        <f>(#REF!+#REF!-#REF!)*#REF!*#REF!/1000</f>
        <v>#REF!</v>
      </c>
      <c r="KO220" s="79" t="e">
        <f>(#REF!+#REF!-#REF!)*#REF!*#REF!/1000</f>
        <v>#REF!</v>
      </c>
      <c r="KP220" s="79" t="e">
        <f>(#REF!+#REF!-#REF!)*#REF!*#REF!/1000</f>
        <v>#REF!</v>
      </c>
      <c r="KQ220" s="79" t="e">
        <f>(#REF!+#REF!-#REF!)*#REF!*#REF!/1000</f>
        <v>#REF!</v>
      </c>
      <c r="KR220" s="79" t="e">
        <f>(#REF!+#REF!-#REF!)*#REF!*#REF!/1000</f>
        <v>#REF!</v>
      </c>
      <c r="KS220" s="79" t="e">
        <f>(#REF!+#REF!-#REF!)*#REF!*#REF!/1000</f>
        <v>#REF!</v>
      </c>
      <c r="KT220" s="79" t="e">
        <f>(#REF!+#REF!-#REF!)*#REF!*#REF!/1000</f>
        <v>#REF!</v>
      </c>
      <c r="KU220" s="79" t="e">
        <f>(#REF!+#REF!-#REF!)*#REF!*#REF!/1000</f>
        <v>#REF!</v>
      </c>
      <c r="KV220" s="79" t="e">
        <f>(#REF!+#REF!-#REF!)*#REF!*#REF!/1000</f>
        <v>#REF!</v>
      </c>
      <c r="KW220" s="79" t="e">
        <f>(#REF!+#REF!-#REF!)*#REF!*#REF!/1000</f>
        <v>#REF!</v>
      </c>
      <c r="KX220" s="79" t="e">
        <f>(#REF!+#REF!-#REF!)*#REF!*#REF!/1000</f>
        <v>#REF!</v>
      </c>
      <c r="KY220" s="79" t="e">
        <f>(#REF!+#REF!-#REF!)*#REF!*#REF!/1000</f>
        <v>#REF!</v>
      </c>
      <c r="KZ220" s="79" t="e">
        <f>(#REF!+#REF!-#REF!)*#REF!*#REF!/1000</f>
        <v>#REF!</v>
      </c>
      <c r="LA220" s="79" t="e">
        <f>(#REF!+#REF!-#REF!)*#REF!*#REF!/1000</f>
        <v>#REF!</v>
      </c>
      <c r="LB220" s="79" t="e">
        <f>(#REF!+#REF!-#REF!)*#REF!*#REF!/1000</f>
        <v>#REF!</v>
      </c>
      <c r="LC220" s="79" t="e">
        <f>(#REF!+#REF!-#REF!)*#REF!*#REF!/1000</f>
        <v>#REF!</v>
      </c>
      <c r="LD220" s="79" t="e">
        <f>(#REF!+#REF!-#REF!)*#REF!*#REF!/1000</f>
        <v>#REF!</v>
      </c>
      <c r="LE220" s="79" t="e">
        <f>(#REF!+#REF!-#REF!)*#REF!*#REF!/1000</f>
        <v>#REF!</v>
      </c>
      <c r="LF220" s="79" t="e">
        <f>(#REF!+#REF!-#REF!)*#REF!*#REF!/1000</f>
        <v>#REF!</v>
      </c>
      <c r="LG220" s="79" t="e">
        <f>(#REF!+#REF!-#REF!)*#REF!*#REF!/1000</f>
        <v>#REF!</v>
      </c>
      <c r="LH220" s="79" t="e">
        <f>(#REF!+#REF!-#REF!)*#REF!*#REF!/1000</f>
        <v>#REF!</v>
      </c>
      <c r="LI220" s="79" t="e">
        <f>(#REF!+#REF!-#REF!)*#REF!*#REF!/1000</f>
        <v>#REF!</v>
      </c>
      <c r="LJ220" s="79" t="e">
        <f>(#REF!+#REF!-#REF!)*#REF!*#REF!/1000</f>
        <v>#REF!</v>
      </c>
      <c r="LK220" s="79" t="e">
        <f>(#REF!+#REF!-#REF!)*#REF!*#REF!/1000</f>
        <v>#REF!</v>
      </c>
      <c r="LL220" s="79" t="e">
        <f>(#REF!+#REF!-#REF!)*#REF!*#REF!/1000</f>
        <v>#REF!</v>
      </c>
      <c r="LM220" s="79" t="e">
        <f>(#REF!+#REF!-#REF!)*#REF!*#REF!/1000</f>
        <v>#REF!</v>
      </c>
      <c r="LN220" s="79" t="e">
        <f>(#REF!+#REF!-#REF!)*#REF!*#REF!/1000</f>
        <v>#REF!</v>
      </c>
      <c r="LO220" s="79" t="e">
        <f>(#REF!+#REF!-#REF!)*#REF!*#REF!/1000</f>
        <v>#REF!</v>
      </c>
      <c r="LP220" s="79" t="e">
        <f>(#REF!+#REF!-#REF!)*#REF!*#REF!/1000</f>
        <v>#REF!</v>
      </c>
      <c r="LQ220" s="79" t="e">
        <f>(#REF!+#REF!-#REF!)*#REF!*#REF!/1000</f>
        <v>#REF!</v>
      </c>
      <c r="LR220" s="79" t="e">
        <f>(#REF!+#REF!-#REF!)*#REF!*#REF!/1000</f>
        <v>#REF!</v>
      </c>
      <c r="LS220" s="79" t="e">
        <f>(#REF!+#REF!-#REF!)*#REF!*#REF!/1000</f>
        <v>#REF!</v>
      </c>
      <c r="LT220" s="79" t="e">
        <f>(#REF!+#REF!-#REF!)*#REF!*#REF!/1000</f>
        <v>#REF!</v>
      </c>
      <c r="LU220" s="79" t="e">
        <f>(#REF!+#REF!-#REF!)*#REF!*#REF!/1000</f>
        <v>#REF!</v>
      </c>
      <c r="LV220" s="79" t="e">
        <f>(#REF!+#REF!-#REF!)*#REF!*#REF!/1000</f>
        <v>#REF!</v>
      </c>
      <c r="LW220" s="79" t="e">
        <f>(#REF!+#REF!-#REF!)*#REF!*#REF!/1000</f>
        <v>#REF!</v>
      </c>
      <c r="LX220" s="79" t="e">
        <f>(#REF!+#REF!-#REF!)*#REF!*#REF!/1000</f>
        <v>#REF!</v>
      </c>
      <c r="LY220" s="79" t="e">
        <f>(#REF!+#REF!-#REF!)*#REF!*#REF!/1000</f>
        <v>#REF!</v>
      </c>
      <c r="LZ220" s="79" t="e">
        <f>(#REF!+#REF!-#REF!)*#REF!*#REF!/1000</f>
        <v>#REF!</v>
      </c>
      <c r="MA220" s="79" t="e">
        <f>(#REF!+#REF!-#REF!)*#REF!*#REF!/1000</f>
        <v>#REF!</v>
      </c>
      <c r="MB220" s="79" t="e">
        <f>(#REF!+#REF!-#REF!)*#REF!*#REF!/1000</f>
        <v>#REF!</v>
      </c>
      <c r="MC220" s="79" t="e">
        <f>(#REF!+#REF!-#REF!)*#REF!*#REF!/1000</f>
        <v>#REF!</v>
      </c>
      <c r="MD220" s="79" t="e">
        <f>(#REF!+#REF!-#REF!)*#REF!*#REF!/1000</f>
        <v>#REF!</v>
      </c>
      <c r="ME220" s="79" t="e">
        <f>(#REF!+#REF!-#REF!)*#REF!*#REF!/1000</f>
        <v>#REF!</v>
      </c>
      <c r="MF220" s="79" t="e">
        <f>(#REF!+#REF!-#REF!)*#REF!*#REF!/1000</f>
        <v>#REF!</v>
      </c>
      <c r="MG220" s="79" t="e">
        <f>(#REF!+#REF!-#REF!)*#REF!*#REF!/1000</f>
        <v>#REF!</v>
      </c>
      <c r="MH220" s="79" t="e">
        <f>(#REF!+#REF!-#REF!)*#REF!*#REF!/1000</f>
        <v>#REF!</v>
      </c>
      <c r="MI220" s="79" t="e">
        <f>(#REF!+#REF!-#REF!)*#REF!*#REF!/1000</f>
        <v>#REF!</v>
      </c>
      <c r="MJ220" s="79" t="e">
        <f>(#REF!+#REF!-#REF!)*#REF!*#REF!/1000</f>
        <v>#REF!</v>
      </c>
      <c r="MK220" s="79" t="e">
        <f>(#REF!+#REF!-#REF!)*#REF!*#REF!/1000</f>
        <v>#REF!</v>
      </c>
      <c r="ML220" s="79" t="e">
        <f>(#REF!+#REF!-#REF!)*#REF!*#REF!/1000</f>
        <v>#REF!</v>
      </c>
      <c r="MM220" s="79" t="e">
        <f>(#REF!+#REF!-#REF!)*#REF!*#REF!/1000</f>
        <v>#REF!</v>
      </c>
      <c r="MN220" s="79" t="e">
        <f>(#REF!+#REF!-#REF!)*#REF!*#REF!/1000</f>
        <v>#REF!</v>
      </c>
      <c r="MO220" s="79" t="e">
        <f>(#REF!+#REF!-#REF!)*#REF!*#REF!/1000</f>
        <v>#REF!</v>
      </c>
      <c r="MP220" s="79" t="e">
        <f>(#REF!+#REF!-#REF!)*#REF!*#REF!/1000</f>
        <v>#REF!</v>
      </c>
      <c r="MQ220" s="79" t="e">
        <f>(#REF!+#REF!-#REF!)*#REF!*#REF!/1000</f>
        <v>#REF!</v>
      </c>
      <c r="MR220" s="79" t="e">
        <f>(#REF!+#REF!-#REF!)*#REF!*#REF!/1000</f>
        <v>#REF!</v>
      </c>
      <c r="MS220" s="79" t="e">
        <f>(#REF!+#REF!-#REF!)*#REF!*#REF!/1000</f>
        <v>#REF!</v>
      </c>
      <c r="MT220" s="79" t="e">
        <f>(#REF!+#REF!-#REF!)*#REF!*#REF!/1000</f>
        <v>#REF!</v>
      </c>
      <c r="MU220" s="79" t="e">
        <f>(#REF!+#REF!-#REF!)*#REF!*#REF!/1000</f>
        <v>#REF!</v>
      </c>
      <c r="MV220" s="79" t="e">
        <f>(#REF!+#REF!-#REF!)*#REF!*#REF!/1000</f>
        <v>#REF!</v>
      </c>
      <c r="MW220" s="79" t="e">
        <f>(#REF!+#REF!-#REF!)*#REF!*#REF!/1000</f>
        <v>#REF!</v>
      </c>
      <c r="MX220" s="79" t="e">
        <f>(#REF!+#REF!-#REF!)*#REF!*#REF!/1000</f>
        <v>#REF!</v>
      </c>
      <c r="MY220" s="79" t="e">
        <f>(#REF!+#REF!-#REF!)*#REF!*#REF!/1000</f>
        <v>#REF!</v>
      </c>
      <c r="MZ220" s="79" t="e">
        <f>(#REF!+#REF!-#REF!)*#REF!*#REF!/1000</f>
        <v>#REF!</v>
      </c>
      <c r="NA220" s="79" t="e">
        <f>(#REF!+#REF!-#REF!)*#REF!*#REF!/1000</f>
        <v>#REF!</v>
      </c>
      <c r="NB220" s="79" t="e">
        <f>(#REF!+#REF!-#REF!)*#REF!*#REF!/1000</f>
        <v>#REF!</v>
      </c>
      <c r="NC220" s="79" t="e">
        <f>(#REF!+#REF!-#REF!)*#REF!*#REF!/1000</f>
        <v>#REF!</v>
      </c>
      <c r="ND220" s="79" t="e">
        <f>(#REF!+#REF!-#REF!)*#REF!*#REF!/1000</f>
        <v>#REF!</v>
      </c>
      <c r="NE220" s="79" t="e">
        <f>(#REF!+#REF!-#REF!)*#REF!*#REF!/1000</f>
        <v>#REF!</v>
      </c>
      <c r="NF220" s="79" t="e">
        <f>(#REF!+#REF!-#REF!)*#REF!*#REF!/1000</f>
        <v>#REF!</v>
      </c>
      <c r="NG220" s="79" t="e">
        <f>(#REF!+#REF!-#REF!)*#REF!*#REF!/1000</f>
        <v>#REF!</v>
      </c>
      <c r="NH220" s="79" t="e">
        <f>(#REF!+#REF!-#REF!)*#REF!*#REF!/1000</f>
        <v>#REF!</v>
      </c>
      <c r="NI220" s="79" t="e">
        <f>(#REF!+#REF!-#REF!)*#REF!*#REF!/1000</f>
        <v>#REF!</v>
      </c>
      <c r="NJ220" s="79" t="e">
        <f>(#REF!+#REF!-#REF!)*#REF!*#REF!/1000</f>
        <v>#REF!</v>
      </c>
      <c r="NK220" s="79" t="e">
        <f>(#REF!+#REF!-#REF!)*#REF!*#REF!/1000</f>
        <v>#REF!</v>
      </c>
      <c r="NL220" s="79" t="e">
        <f>(#REF!+#REF!-#REF!)*#REF!*#REF!/1000</f>
        <v>#REF!</v>
      </c>
      <c r="NM220" s="79" t="e">
        <f>(#REF!+#REF!-#REF!)*#REF!*#REF!/1000</f>
        <v>#REF!</v>
      </c>
      <c r="NN220" s="79" t="e">
        <f>(#REF!+#REF!-#REF!)*#REF!*#REF!/1000</f>
        <v>#REF!</v>
      </c>
      <c r="NO220" s="79" t="e">
        <f>(#REF!+#REF!-#REF!)*#REF!*#REF!/1000</f>
        <v>#REF!</v>
      </c>
      <c r="NP220" s="79" t="e">
        <f>(#REF!+#REF!-#REF!)*#REF!*#REF!/1000</f>
        <v>#REF!</v>
      </c>
      <c r="NQ220" s="79" t="e">
        <f>(#REF!+#REF!-#REF!)*#REF!*#REF!/1000</f>
        <v>#REF!</v>
      </c>
      <c r="NR220" s="79" t="e">
        <f>(#REF!+#REF!-#REF!)*#REF!*#REF!/1000</f>
        <v>#REF!</v>
      </c>
      <c r="NS220" s="79" t="e">
        <f>(#REF!+#REF!-#REF!)*#REF!*#REF!/1000</f>
        <v>#REF!</v>
      </c>
      <c r="NT220" s="79" t="e">
        <f>(#REF!+#REF!-#REF!)*#REF!*#REF!/1000</f>
        <v>#REF!</v>
      </c>
      <c r="NU220" s="79" t="e">
        <f>(#REF!+#REF!-#REF!)*#REF!*#REF!/1000</f>
        <v>#REF!</v>
      </c>
      <c r="NV220" s="79" t="e">
        <f>(#REF!+#REF!-#REF!)*#REF!*#REF!/1000</f>
        <v>#REF!</v>
      </c>
      <c r="NW220" s="79" t="e">
        <f>(#REF!+#REF!-#REF!)*#REF!*#REF!/1000</f>
        <v>#REF!</v>
      </c>
      <c r="NX220" s="79" t="e">
        <f>(#REF!+#REF!-#REF!)*#REF!*#REF!/1000</f>
        <v>#REF!</v>
      </c>
      <c r="NY220" s="79" t="e">
        <f>(#REF!+#REF!-#REF!)*#REF!*#REF!/1000</f>
        <v>#REF!</v>
      </c>
      <c r="NZ220" s="79" t="e">
        <f>(#REF!+#REF!-#REF!)*#REF!*#REF!/1000</f>
        <v>#REF!</v>
      </c>
      <c r="OA220" s="79" t="e">
        <f>(#REF!+#REF!-#REF!)*#REF!*#REF!/1000</f>
        <v>#REF!</v>
      </c>
      <c r="OB220" s="79" t="e">
        <f>(#REF!+#REF!-#REF!)*#REF!*#REF!/1000</f>
        <v>#REF!</v>
      </c>
      <c r="OC220" s="79" t="e">
        <f>(#REF!+#REF!-#REF!)*#REF!*#REF!/1000</f>
        <v>#REF!</v>
      </c>
      <c r="OD220" s="79" t="e">
        <f>(#REF!+#REF!-#REF!)*#REF!*#REF!/1000</f>
        <v>#REF!</v>
      </c>
      <c r="OE220" s="79" t="e">
        <f>(#REF!+#REF!-#REF!)*#REF!*#REF!/1000</f>
        <v>#REF!</v>
      </c>
      <c r="OF220" s="79" t="e">
        <f>(#REF!+#REF!-#REF!)*#REF!*#REF!/1000</f>
        <v>#REF!</v>
      </c>
      <c r="OG220" s="79" t="e">
        <f>(#REF!+#REF!-#REF!)*#REF!*#REF!/1000</f>
        <v>#REF!</v>
      </c>
      <c r="OH220" s="79" t="e">
        <f>(#REF!+#REF!-#REF!)*#REF!*#REF!/1000</f>
        <v>#REF!</v>
      </c>
      <c r="OI220" s="79" t="e">
        <f>(#REF!+#REF!-#REF!)*#REF!*#REF!/1000</f>
        <v>#REF!</v>
      </c>
      <c r="OJ220" s="79" t="e">
        <f>(#REF!+#REF!-#REF!)*#REF!*#REF!/1000</f>
        <v>#REF!</v>
      </c>
      <c r="OK220" s="79" t="e">
        <f>(#REF!+#REF!-#REF!)*#REF!*#REF!/1000</f>
        <v>#REF!</v>
      </c>
      <c r="OL220" s="79" t="e">
        <f>(#REF!+#REF!-#REF!)*#REF!*#REF!/1000</f>
        <v>#REF!</v>
      </c>
      <c r="OM220" s="79" t="e">
        <f>(#REF!+#REF!-#REF!)*#REF!*#REF!/1000</f>
        <v>#REF!</v>
      </c>
      <c r="ON220" s="79" t="e">
        <f>(#REF!+#REF!-#REF!)*#REF!*#REF!/1000</f>
        <v>#REF!</v>
      </c>
      <c r="OO220" s="79" t="e">
        <f>(#REF!+#REF!-#REF!)*#REF!*#REF!/1000</f>
        <v>#REF!</v>
      </c>
      <c r="OP220" s="79" t="e">
        <f>(#REF!+#REF!-#REF!)*#REF!*#REF!/1000</f>
        <v>#REF!</v>
      </c>
      <c r="OQ220" s="79" t="e">
        <f>(#REF!+#REF!-#REF!)*#REF!*#REF!/1000</f>
        <v>#REF!</v>
      </c>
      <c r="OR220" s="79" t="e">
        <f>(#REF!+#REF!-#REF!)*#REF!*#REF!/1000</f>
        <v>#REF!</v>
      </c>
      <c r="OS220" s="79" t="e">
        <f>(#REF!+#REF!-#REF!)*#REF!*#REF!/1000</f>
        <v>#REF!</v>
      </c>
      <c r="OT220" s="79" t="e">
        <f>(#REF!+#REF!-#REF!)*#REF!*#REF!/1000</f>
        <v>#REF!</v>
      </c>
      <c r="OU220" s="79" t="e">
        <f>(#REF!+#REF!-#REF!)*#REF!*#REF!/1000</f>
        <v>#REF!</v>
      </c>
      <c r="OV220" s="79" t="e">
        <f>(#REF!+#REF!-#REF!)*#REF!*#REF!/1000</f>
        <v>#REF!</v>
      </c>
      <c r="OW220" s="79" t="e">
        <f>(#REF!+#REF!-#REF!)*#REF!*#REF!/1000</f>
        <v>#REF!</v>
      </c>
      <c r="OX220" s="79" t="e">
        <f>(#REF!+#REF!-#REF!)*#REF!*#REF!/1000</f>
        <v>#REF!</v>
      </c>
      <c r="OY220" s="79" t="e">
        <f>(#REF!+#REF!-#REF!)*#REF!*#REF!/1000</f>
        <v>#REF!</v>
      </c>
      <c r="OZ220" s="79" t="e">
        <f>(#REF!+#REF!-#REF!)*#REF!*#REF!/1000</f>
        <v>#REF!</v>
      </c>
      <c r="PA220" s="79" t="e">
        <f>(#REF!+#REF!-#REF!)*#REF!*#REF!/1000</f>
        <v>#REF!</v>
      </c>
      <c r="PB220" s="79" t="e">
        <f>(#REF!+#REF!-#REF!)*#REF!*#REF!/1000</f>
        <v>#REF!</v>
      </c>
      <c r="PC220" s="79" t="e">
        <f>(#REF!+#REF!-#REF!)*#REF!*#REF!/1000</f>
        <v>#REF!</v>
      </c>
      <c r="PD220" s="79" t="e">
        <f>(#REF!+#REF!-#REF!)*#REF!*#REF!/1000</f>
        <v>#REF!</v>
      </c>
      <c r="PE220" s="79" t="e">
        <f>(#REF!+#REF!-#REF!)*#REF!*#REF!/1000</f>
        <v>#REF!</v>
      </c>
      <c r="PF220" s="79" t="e">
        <f>(#REF!+#REF!-#REF!)*#REF!*#REF!/1000</f>
        <v>#REF!</v>
      </c>
      <c r="PG220" s="79" t="e">
        <f>(#REF!+#REF!-#REF!)*#REF!*#REF!/1000</f>
        <v>#REF!</v>
      </c>
      <c r="PH220" s="79" t="e">
        <f>(#REF!+#REF!-#REF!)*#REF!*#REF!/1000</f>
        <v>#REF!</v>
      </c>
      <c r="PI220" s="79" t="e">
        <f>(#REF!+#REF!-#REF!)*#REF!*#REF!/1000</f>
        <v>#REF!</v>
      </c>
      <c r="PJ220" s="79" t="e">
        <f>(#REF!+#REF!-#REF!)*#REF!*#REF!/1000</f>
        <v>#REF!</v>
      </c>
      <c r="PK220" s="79" t="e">
        <f>(#REF!+#REF!-#REF!)*#REF!*#REF!/1000</f>
        <v>#REF!</v>
      </c>
      <c r="PL220" s="79" t="e">
        <f>(#REF!+#REF!-#REF!)*#REF!*#REF!/1000</f>
        <v>#REF!</v>
      </c>
      <c r="PM220" s="79" t="e">
        <f>(#REF!+#REF!-#REF!)*#REF!*#REF!/1000</f>
        <v>#REF!</v>
      </c>
      <c r="PN220" s="79" t="e">
        <f>(#REF!+#REF!-#REF!)*#REF!*#REF!/1000</f>
        <v>#REF!</v>
      </c>
      <c r="PO220" s="79" t="e">
        <f>(#REF!+#REF!-#REF!)*#REF!*#REF!/1000</f>
        <v>#REF!</v>
      </c>
      <c r="PP220" s="79" t="e">
        <f>(#REF!+#REF!-#REF!)*#REF!*#REF!/1000</f>
        <v>#REF!</v>
      </c>
      <c r="PQ220" s="79" t="e">
        <f>(#REF!+#REF!-#REF!)*#REF!*#REF!/1000</f>
        <v>#REF!</v>
      </c>
      <c r="PR220" s="79" t="e">
        <f>(#REF!+#REF!-#REF!)*#REF!*#REF!/1000</f>
        <v>#REF!</v>
      </c>
      <c r="PS220" s="79" t="e">
        <f>(#REF!+#REF!-#REF!)*#REF!*#REF!/1000</f>
        <v>#REF!</v>
      </c>
      <c r="PT220" s="79" t="e">
        <f>(#REF!+#REF!-#REF!)*#REF!*#REF!/1000</f>
        <v>#REF!</v>
      </c>
      <c r="PU220" s="79" t="e">
        <f>(#REF!+#REF!-#REF!)*#REF!*#REF!/1000</f>
        <v>#REF!</v>
      </c>
      <c r="PV220" s="79" t="e">
        <f>(#REF!+#REF!-#REF!)*#REF!*#REF!/1000</f>
        <v>#REF!</v>
      </c>
      <c r="PW220" s="79" t="e">
        <f>(#REF!+#REF!-#REF!)*#REF!*#REF!/1000</f>
        <v>#REF!</v>
      </c>
      <c r="PX220" s="79" t="e">
        <f>(#REF!+#REF!-#REF!)*#REF!*#REF!/1000</f>
        <v>#REF!</v>
      </c>
      <c r="PY220" s="79" t="e">
        <f>(#REF!+#REF!-#REF!)*#REF!*#REF!/1000</f>
        <v>#REF!</v>
      </c>
      <c r="PZ220" s="79" t="e">
        <f>(#REF!+#REF!-#REF!)*#REF!*#REF!/1000</f>
        <v>#REF!</v>
      </c>
      <c r="QA220" s="79" t="e">
        <f>(#REF!+#REF!-#REF!)*#REF!*#REF!/1000</f>
        <v>#REF!</v>
      </c>
      <c r="QB220" s="79" t="e">
        <f>(#REF!+#REF!-#REF!)*#REF!*#REF!/1000</f>
        <v>#REF!</v>
      </c>
      <c r="QC220" s="79" t="e">
        <f>(#REF!+#REF!-#REF!)*#REF!*#REF!/1000</f>
        <v>#REF!</v>
      </c>
      <c r="QD220" s="79" t="e">
        <f>(#REF!+#REF!-#REF!)*#REF!*#REF!/1000</f>
        <v>#REF!</v>
      </c>
      <c r="QE220" s="79" t="e">
        <f>(#REF!+#REF!-#REF!)*#REF!*#REF!/1000</f>
        <v>#REF!</v>
      </c>
      <c r="QF220" s="79" t="e">
        <f>(#REF!+#REF!-#REF!)*#REF!*#REF!/1000</f>
        <v>#REF!</v>
      </c>
      <c r="QG220" s="79" t="e">
        <f>(#REF!+#REF!-#REF!)*#REF!*#REF!/1000</f>
        <v>#REF!</v>
      </c>
      <c r="QH220" s="79" t="e">
        <f>(#REF!+#REF!-#REF!)*#REF!*#REF!/1000</f>
        <v>#REF!</v>
      </c>
      <c r="QI220" s="79" t="e">
        <f>(#REF!+#REF!-#REF!)*#REF!*#REF!/1000</f>
        <v>#REF!</v>
      </c>
      <c r="QJ220" s="79" t="e">
        <f>(#REF!+#REF!-#REF!)*#REF!*#REF!/1000</f>
        <v>#REF!</v>
      </c>
      <c r="QK220" s="79" t="e">
        <f>(#REF!+#REF!-#REF!)*#REF!*#REF!/1000</f>
        <v>#REF!</v>
      </c>
      <c r="QL220" s="79" t="e">
        <f>(#REF!+#REF!-#REF!)*#REF!*#REF!/1000</f>
        <v>#REF!</v>
      </c>
      <c r="QM220" s="79" t="e">
        <f>(#REF!+#REF!-#REF!)*#REF!*#REF!/1000</f>
        <v>#REF!</v>
      </c>
      <c r="QN220" s="79" t="e">
        <f>(#REF!+#REF!-#REF!)*#REF!*#REF!/1000</f>
        <v>#REF!</v>
      </c>
      <c r="QO220" s="79" t="e">
        <f>(#REF!+#REF!-#REF!)*#REF!*#REF!/1000</f>
        <v>#REF!</v>
      </c>
      <c r="QP220" s="79" t="e">
        <f>(#REF!+#REF!-#REF!)*#REF!*#REF!/1000</f>
        <v>#REF!</v>
      </c>
      <c r="QQ220" s="79" t="e">
        <f>(#REF!+#REF!-#REF!)*#REF!*#REF!/1000</f>
        <v>#REF!</v>
      </c>
      <c r="QR220" s="79" t="e">
        <f>(#REF!+#REF!-#REF!)*#REF!*#REF!/1000</f>
        <v>#REF!</v>
      </c>
      <c r="QS220" s="79" t="e">
        <f>(#REF!+#REF!-#REF!)*#REF!*#REF!/1000</f>
        <v>#REF!</v>
      </c>
      <c r="QT220" s="79" t="e">
        <f>(#REF!+#REF!-#REF!)*#REF!*#REF!/1000</f>
        <v>#REF!</v>
      </c>
      <c r="QU220" s="79" t="e">
        <f>(#REF!+#REF!-#REF!)*#REF!*#REF!/1000</f>
        <v>#REF!</v>
      </c>
      <c r="QV220" s="79" t="e">
        <f>(#REF!+#REF!-#REF!)*#REF!*#REF!/1000</f>
        <v>#REF!</v>
      </c>
      <c r="QW220" s="79" t="e">
        <f>(#REF!+#REF!-#REF!)*#REF!*#REF!/1000</f>
        <v>#REF!</v>
      </c>
      <c r="QX220" s="79" t="e">
        <f>(#REF!+#REF!-#REF!)*#REF!*#REF!/1000</f>
        <v>#REF!</v>
      </c>
      <c r="QY220" s="79" t="e">
        <f>(#REF!+#REF!-#REF!)*#REF!*#REF!/1000</f>
        <v>#REF!</v>
      </c>
      <c r="QZ220" s="79" t="e">
        <f>(#REF!+#REF!-#REF!)*#REF!*#REF!/1000</f>
        <v>#REF!</v>
      </c>
      <c r="RA220" s="79" t="e">
        <f>(#REF!+#REF!-#REF!)*#REF!*#REF!/1000</f>
        <v>#REF!</v>
      </c>
      <c r="RB220" s="79" t="e">
        <f>(#REF!+#REF!-#REF!)*#REF!*#REF!/1000</f>
        <v>#REF!</v>
      </c>
      <c r="RC220" s="79" t="e">
        <f>(#REF!+#REF!-#REF!)*#REF!*#REF!/1000</f>
        <v>#REF!</v>
      </c>
      <c r="RD220" s="79" t="e">
        <f>(#REF!+#REF!-#REF!)*#REF!*#REF!/1000</f>
        <v>#REF!</v>
      </c>
      <c r="RE220" s="79" t="e">
        <f>(#REF!+#REF!-#REF!)*#REF!*#REF!/1000</f>
        <v>#REF!</v>
      </c>
      <c r="RF220" s="79" t="e">
        <f>(#REF!+#REF!-#REF!)*#REF!*#REF!/1000</f>
        <v>#REF!</v>
      </c>
      <c r="RG220" s="79" t="e">
        <f>(#REF!+#REF!-#REF!)*#REF!*#REF!/1000</f>
        <v>#REF!</v>
      </c>
      <c r="RH220" s="79" t="e">
        <f>(#REF!+#REF!-#REF!)*#REF!*#REF!/1000</f>
        <v>#REF!</v>
      </c>
      <c r="RI220" s="79" t="e">
        <f>(#REF!+#REF!-#REF!)*#REF!*#REF!/1000</f>
        <v>#REF!</v>
      </c>
      <c r="RJ220" s="79" t="e">
        <f>(#REF!+#REF!-#REF!)*#REF!*#REF!/1000</f>
        <v>#REF!</v>
      </c>
      <c r="RK220" s="79" t="e">
        <f>(#REF!+#REF!-#REF!)*#REF!*#REF!/1000</f>
        <v>#REF!</v>
      </c>
      <c r="RL220" s="79" t="e">
        <f>(#REF!+#REF!-#REF!)*#REF!*#REF!/1000</f>
        <v>#REF!</v>
      </c>
      <c r="RM220" s="79" t="e">
        <f>(#REF!+#REF!-#REF!)*#REF!*#REF!/1000</f>
        <v>#REF!</v>
      </c>
      <c r="RN220" s="79" t="e">
        <f>(#REF!+#REF!-#REF!)*#REF!*#REF!/1000</f>
        <v>#REF!</v>
      </c>
      <c r="RO220" s="79" t="e">
        <f>(#REF!+#REF!-#REF!)*#REF!*#REF!/1000</f>
        <v>#REF!</v>
      </c>
      <c r="RP220" s="79" t="e">
        <f>(#REF!+#REF!-#REF!)*#REF!*#REF!/1000</f>
        <v>#REF!</v>
      </c>
      <c r="RQ220" s="79" t="e">
        <f>(#REF!+#REF!-#REF!)*#REF!*#REF!/1000</f>
        <v>#REF!</v>
      </c>
      <c r="RR220" s="79" t="e">
        <f>(#REF!+#REF!-#REF!)*#REF!*#REF!/1000</f>
        <v>#REF!</v>
      </c>
      <c r="RS220" s="79" t="e">
        <f>(#REF!+#REF!-#REF!)*#REF!*#REF!/1000</f>
        <v>#REF!</v>
      </c>
      <c r="RT220" s="79" t="e">
        <f>(#REF!+#REF!-#REF!)*#REF!*#REF!/1000</f>
        <v>#REF!</v>
      </c>
      <c r="RU220" s="79" t="e">
        <f>(#REF!+#REF!-#REF!)*#REF!*#REF!/1000</f>
        <v>#REF!</v>
      </c>
      <c r="RV220" s="79" t="e">
        <f>(#REF!+#REF!-#REF!)*#REF!*#REF!/1000</f>
        <v>#REF!</v>
      </c>
      <c r="RW220" s="79" t="e">
        <f>(#REF!+#REF!-#REF!)*#REF!*#REF!/1000</f>
        <v>#REF!</v>
      </c>
      <c r="RX220" s="79" t="e">
        <f>(#REF!+#REF!-#REF!)*#REF!*#REF!/1000</f>
        <v>#REF!</v>
      </c>
      <c r="RY220" s="79" t="e">
        <f>(#REF!+#REF!-#REF!)*#REF!*#REF!/1000</f>
        <v>#REF!</v>
      </c>
      <c r="RZ220" s="79" t="e">
        <f>(#REF!+#REF!-#REF!)*#REF!*#REF!/1000</f>
        <v>#REF!</v>
      </c>
      <c r="SA220" s="79" t="e">
        <f>(#REF!+#REF!-#REF!)*#REF!*#REF!/1000</f>
        <v>#REF!</v>
      </c>
      <c r="SB220" s="79" t="e">
        <f>(#REF!+#REF!-#REF!)*#REF!*#REF!/1000</f>
        <v>#REF!</v>
      </c>
      <c r="SC220" s="79" t="e">
        <f>(#REF!+#REF!-#REF!)*#REF!*#REF!/1000</f>
        <v>#REF!</v>
      </c>
      <c r="SD220" s="79" t="e">
        <f>(#REF!+#REF!-#REF!)*#REF!*#REF!/1000</f>
        <v>#REF!</v>
      </c>
      <c r="SE220" s="79" t="e">
        <f>(#REF!+#REF!-#REF!)*#REF!*#REF!/1000</f>
        <v>#REF!</v>
      </c>
      <c r="SF220" s="79" t="e">
        <f>(#REF!+#REF!-#REF!)*#REF!*#REF!/1000</f>
        <v>#REF!</v>
      </c>
      <c r="SG220" s="79" t="e">
        <f>(#REF!+#REF!-#REF!)*#REF!*#REF!/1000</f>
        <v>#REF!</v>
      </c>
      <c r="SH220" s="79" t="e">
        <f>(#REF!+#REF!-#REF!)*#REF!*#REF!/1000</f>
        <v>#REF!</v>
      </c>
      <c r="SI220" s="79" t="e">
        <f>(#REF!+#REF!-#REF!)*#REF!*#REF!/1000</f>
        <v>#REF!</v>
      </c>
      <c r="SJ220" s="79" t="e">
        <f>(#REF!+#REF!-#REF!)*#REF!*#REF!/1000</f>
        <v>#REF!</v>
      </c>
      <c r="SK220" s="79" t="e">
        <f>(#REF!+#REF!-#REF!)*#REF!*#REF!/1000</f>
        <v>#REF!</v>
      </c>
      <c r="SL220" s="79" t="e">
        <f>(#REF!+#REF!-#REF!)*#REF!*#REF!/1000</f>
        <v>#REF!</v>
      </c>
      <c r="SM220" s="79" t="e">
        <f>(#REF!+#REF!-#REF!)*#REF!*#REF!/1000</f>
        <v>#REF!</v>
      </c>
      <c r="SN220" s="79" t="e">
        <f>(#REF!+#REF!-#REF!)*#REF!*#REF!/1000</f>
        <v>#REF!</v>
      </c>
      <c r="SO220" s="79" t="e">
        <f>(#REF!+#REF!-#REF!)*#REF!*#REF!/1000</f>
        <v>#REF!</v>
      </c>
      <c r="SP220" s="79" t="e">
        <f>(#REF!+#REF!-#REF!)*#REF!*#REF!/1000</f>
        <v>#REF!</v>
      </c>
      <c r="SQ220" s="79" t="e">
        <f>(#REF!+#REF!-#REF!)*#REF!*#REF!/1000</f>
        <v>#REF!</v>
      </c>
      <c r="SR220" s="79" t="e">
        <f>(#REF!+#REF!-#REF!)*#REF!*#REF!/1000</f>
        <v>#REF!</v>
      </c>
      <c r="SS220" s="79" t="e">
        <f>(#REF!+#REF!-#REF!)*#REF!*#REF!/1000</f>
        <v>#REF!</v>
      </c>
      <c r="ST220" s="79" t="e">
        <f>(#REF!+#REF!-#REF!)*#REF!*#REF!/1000</f>
        <v>#REF!</v>
      </c>
      <c r="SU220" s="79" t="e">
        <f>(#REF!+#REF!-#REF!)*#REF!*#REF!/1000</f>
        <v>#REF!</v>
      </c>
      <c r="SV220" s="79" t="e">
        <f>(#REF!+#REF!-#REF!)*#REF!*#REF!/1000</f>
        <v>#REF!</v>
      </c>
      <c r="SW220" s="79" t="e">
        <f>(#REF!+#REF!-#REF!)*#REF!*#REF!/1000</f>
        <v>#REF!</v>
      </c>
      <c r="SX220" s="79" t="e">
        <f>(#REF!+#REF!-#REF!)*#REF!*#REF!/1000</f>
        <v>#REF!</v>
      </c>
      <c r="SY220" s="79" t="e">
        <f>(#REF!+#REF!-#REF!)*#REF!*#REF!/1000</f>
        <v>#REF!</v>
      </c>
      <c r="SZ220" s="79" t="e">
        <f>(#REF!+#REF!-#REF!)*#REF!*#REF!/1000</f>
        <v>#REF!</v>
      </c>
      <c r="TA220" s="79" t="e">
        <f>(#REF!+#REF!-#REF!)*#REF!*#REF!/1000</f>
        <v>#REF!</v>
      </c>
      <c r="TB220" s="79" t="e">
        <f>(#REF!+#REF!-#REF!)*#REF!*#REF!/1000</f>
        <v>#REF!</v>
      </c>
      <c r="TC220" s="79" t="e">
        <f>(#REF!+#REF!-#REF!)*#REF!*#REF!/1000</f>
        <v>#REF!</v>
      </c>
      <c r="TD220" s="79" t="e">
        <f>(#REF!+#REF!-#REF!)*#REF!*#REF!/1000</f>
        <v>#REF!</v>
      </c>
      <c r="TE220" s="79" t="e">
        <f>(#REF!+#REF!-#REF!)*#REF!*#REF!/1000</f>
        <v>#REF!</v>
      </c>
      <c r="TF220" s="79" t="e">
        <f>(#REF!+#REF!-#REF!)*#REF!*#REF!/1000</f>
        <v>#REF!</v>
      </c>
      <c r="TG220" s="79" t="e">
        <f>(#REF!+#REF!-#REF!)*#REF!*#REF!/1000</f>
        <v>#REF!</v>
      </c>
      <c r="TH220" s="79" t="e">
        <f>(#REF!+#REF!-#REF!)*#REF!*#REF!/1000</f>
        <v>#REF!</v>
      </c>
      <c r="TI220" s="79" t="e">
        <f>(#REF!+#REF!-#REF!)*#REF!*#REF!/1000</f>
        <v>#REF!</v>
      </c>
      <c r="TJ220" s="79" t="e">
        <f>(#REF!+#REF!-#REF!)*#REF!*#REF!/1000</f>
        <v>#REF!</v>
      </c>
      <c r="TK220" s="79" t="e">
        <f>(#REF!+#REF!-#REF!)*#REF!*#REF!/1000</f>
        <v>#REF!</v>
      </c>
      <c r="TL220" s="79" t="e">
        <f>(#REF!+#REF!-#REF!)*#REF!*#REF!/1000</f>
        <v>#REF!</v>
      </c>
      <c r="TM220" s="79" t="e">
        <f>(#REF!+#REF!-#REF!)*#REF!*#REF!/1000</f>
        <v>#REF!</v>
      </c>
      <c r="TN220" s="79" t="e">
        <f>(#REF!+#REF!-#REF!)*#REF!*#REF!/1000</f>
        <v>#REF!</v>
      </c>
      <c r="TO220" s="79" t="e">
        <f>(#REF!+#REF!-#REF!)*#REF!*#REF!/1000</f>
        <v>#REF!</v>
      </c>
      <c r="TP220" s="79" t="e">
        <f>(#REF!+#REF!-#REF!)*#REF!*#REF!/1000</f>
        <v>#REF!</v>
      </c>
      <c r="TQ220" s="79" t="e">
        <f>(#REF!+#REF!-#REF!)*#REF!*#REF!/1000</f>
        <v>#REF!</v>
      </c>
      <c r="TR220" s="79" t="e">
        <f>(#REF!+#REF!-#REF!)*#REF!*#REF!/1000</f>
        <v>#REF!</v>
      </c>
      <c r="TS220" s="79" t="e">
        <f>(#REF!+#REF!-#REF!)*#REF!*#REF!/1000</f>
        <v>#REF!</v>
      </c>
      <c r="TT220" s="79" t="e">
        <f>(#REF!+#REF!-#REF!)*#REF!*#REF!/1000</f>
        <v>#REF!</v>
      </c>
      <c r="TU220" s="79" t="e">
        <f>(#REF!+#REF!-#REF!)*#REF!*#REF!/1000</f>
        <v>#REF!</v>
      </c>
      <c r="TV220" s="79" t="e">
        <f>(#REF!+#REF!-#REF!)*#REF!*#REF!/1000</f>
        <v>#REF!</v>
      </c>
      <c r="TW220" s="79" t="e">
        <f>(#REF!+#REF!-#REF!)*#REF!*#REF!/1000</f>
        <v>#REF!</v>
      </c>
      <c r="TX220" s="79" t="e">
        <f>(#REF!+#REF!-#REF!)*#REF!*#REF!/1000</f>
        <v>#REF!</v>
      </c>
      <c r="TY220" s="79" t="e">
        <f>(#REF!+#REF!-#REF!)*#REF!*#REF!/1000</f>
        <v>#REF!</v>
      </c>
      <c r="TZ220" s="79" t="e">
        <f>(#REF!+#REF!-#REF!)*#REF!*#REF!/1000</f>
        <v>#REF!</v>
      </c>
      <c r="UA220" s="79" t="e">
        <f>(#REF!+#REF!-#REF!)*#REF!*#REF!/1000</f>
        <v>#REF!</v>
      </c>
      <c r="UB220" s="79" t="e">
        <f>(#REF!+#REF!-#REF!)*#REF!*#REF!/1000</f>
        <v>#REF!</v>
      </c>
      <c r="UC220" s="79" t="e">
        <f>(#REF!+#REF!-#REF!)*#REF!*#REF!/1000</f>
        <v>#REF!</v>
      </c>
      <c r="UD220" s="79" t="e">
        <f>(#REF!+#REF!-#REF!)*#REF!*#REF!/1000</f>
        <v>#REF!</v>
      </c>
      <c r="UE220" s="79" t="e">
        <f>(#REF!+#REF!-#REF!)*#REF!*#REF!/1000</f>
        <v>#REF!</v>
      </c>
      <c r="UF220" s="79" t="e">
        <f>(#REF!+#REF!-#REF!)*#REF!*#REF!/1000</f>
        <v>#REF!</v>
      </c>
      <c r="UG220" s="79" t="e">
        <f>(#REF!+#REF!-#REF!)*#REF!*#REF!/1000</f>
        <v>#REF!</v>
      </c>
      <c r="UH220" s="79" t="e">
        <f>(#REF!+#REF!-#REF!)*#REF!*#REF!/1000</f>
        <v>#REF!</v>
      </c>
      <c r="UI220" s="79" t="e">
        <f>(#REF!+#REF!-#REF!)*#REF!*#REF!/1000</f>
        <v>#REF!</v>
      </c>
      <c r="UJ220" s="79" t="e">
        <f>(#REF!+#REF!-#REF!)*#REF!*#REF!/1000</f>
        <v>#REF!</v>
      </c>
      <c r="UK220" s="79" t="e">
        <f>(#REF!+#REF!-#REF!)*#REF!*#REF!/1000</f>
        <v>#REF!</v>
      </c>
      <c r="UL220" s="79" t="e">
        <f>(#REF!+#REF!-#REF!)*#REF!*#REF!/1000</f>
        <v>#REF!</v>
      </c>
      <c r="UM220" s="79" t="e">
        <f>(#REF!+#REF!-#REF!)*#REF!*#REF!/1000</f>
        <v>#REF!</v>
      </c>
      <c r="UN220" s="79" t="e">
        <f>(#REF!+#REF!-#REF!)*#REF!*#REF!/1000</f>
        <v>#REF!</v>
      </c>
      <c r="UO220" s="79" t="e">
        <f>(#REF!+#REF!-#REF!)*#REF!*#REF!/1000</f>
        <v>#REF!</v>
      </c>
      <c r="UP220" s="79" t="e">
        <f>(#REF!+#REF!-#REF!)*#REF!*#REF!/1000</f>
        <v>#REF!</v>
      </c>
      <c r="UQ220" s="79" t="e">
        <f>(#REF!+#REF!-#REF!)*#REF!*#REF!/1000</f>
        <v>#REF!</v>
      </c>
      <c r="UR220" s="79" t="e">
        <f>(#REF!+#REF!-#REF!)*#REF!*#REF!/1000</f>
        <v>#REF!</v>
      </c>
      <c r="US220" s="79" t="e">
        <f>(#REF!+#REF!-#REF!)*#REF!*#REF!/1000</f>
        <v>#REF!</v>
      </c>
      <c r="UT220" s="79" t="e">
        <f>(#REF!+#REF!-#REF!)*#REF!*#REF!/1000</f>
        <v>#REF!</v>
      </c>
      <c r="UU220" s="79" t="e">
        <f>(#REF!+#REF!-#REF!)*#REF!*#REF!/1000</f>
        <v>#REF!</v>
      </c>
      <c r="UV220" s="79" t="e">
        <f>(#REF!+#REF!-#REF!)*#REF!*#REF!/1000</f>
        <v>#REF!</v>
      </c>
      <c r="UW220" s="79" t="e">
        <f>(#REF!+#REF!-#REF!)*#REF!*#REF!/1000</f>
        <v>#REF!</v>
      </c>
      <c r="UX220" s="79" t="e">
        <f>(#REF!+#REF!-#REF!)*#REF!*#REF!/1000</f>
        <v>#REF!</v>
      </c>
      <c r="UY220" s="79" t="e">
        <f>(#REF!+#REF!-#REF!)*#REF!*#REF!/1000</f>
        <v>#REF!</v>
      </c>
      <c r="UZ220" s="79" t="e">
        <f>(#REF!+#REF!-#REF!)*#REF!*#REF!/1000</f>
        <v>#REF!</v>
      </c>
      <c r="VA220" s="79" t="e">
        <f>(#REF!+#REF!-#REF!)*#REF!*#REF!/1000</f>
        <v>#REF!</v>
      </c>
      <c r="VB220" s="79" t="e">
        <f>(#REF!+#REF!-#REF!)*#REF!*#REF!/1000</f>
        <v>#REF!</v>
      </c>
      <c r="VC220" s="79" t="e">
        <f>(#REF!+#REF!-#REF!)*#REF!*#REF!/1000</f>
        <v>#REF!</v>
      </c>
      <c r="VD220" s="79" t="e">
        <f>(#REF!+#REF!-#REF!)*#REF!*#REF!/1000</f>
        <v>#REF!</v>
      </c>
      <c r="VE220" s="79" t="e">
        <f>(#REF!+#REF!-#REF!)*#REF!*#REF!/1000</f>
        <v>#REF!</v>
      </c>
      <c r="VF220" s="79" t="e">
        <f>(#REF!+#REF!-#REF!)*#REF!*#REF!/1000</f>
        <v>#REF!</v>
      </c>
      <c r="VG220" s="79" t="e">
        <f>(#REF!+#REF!-#REF!)*#REF!*#REF!/1000</f>
        <v>#REF!</v>
      </c>
      <c r="VH220" s="79" t="e">
        <f>(#REF!+#REF!-#REF!)*#REF!*#REF!/1000</f>
        <v>#REF!</v>
      </c>
      <c r="VI220" s="79" t="e">
        <f>(#REF!+#REF!-#REF!)*#REF!*#REF!/1000</f>
        <v>#REF!</v>
      </c>
      <c r="VJ220" s="79" t="e">
        <f>(#REF!+#REF!-#REF!)*#REF!*#REF!/1000</f>
        <v>#REF!</v>
      </c>
      <c r="VK220" s="79" t="e">
        <f>(#REF!+#REF!-#REF!)*#REF!*#REF!/1000</f>
        <v>#REF!</v>
      </c>
      <c r="VL220" s="79" t="e">
        <f>(#REF!+#REF!-#REF!)*#REF!*#REF!/1000</f>
        <v>#REF!</v>
      </c>
      <c r="VM220" s="79" t="e">
        <f>(#REF!+#REF!-#REF!)*#REF!*#REF!/1000</f>
        <v>#REF!</v>
      </c>
      <c r="VN220" s="79" t="e">
        <f>(#REF!+#REF!-#REF!)*#REF!*#REF!/1000</f>
        <v>#REF!</v>
      </c>
      <c r="VO220" s="79" t="e">
        <f>(#REF!+#REF!-#REF!)*#REF!*#REF!/1000</f>
        <v>#REF!</v>
      </c>
      <c r="VP220" s="79" t="e">
        <f>(#REF!+#REF!-#REF!)*#REF!*#REF!/1000</f>
        <v>#REF!</v>
      </c>
      <c r="VQ220" s="79" t="e">
        <f>(#REF!+#REF!-#REF!)*#REF!*#REF!/1000</f>
        <v>#REF!</v>
      </c>
      <c r="VR220" s="79" t="e">
        <f>(#REF!+#REF!-#REF!)*#REF!*#REF!/1000</f>
        <v>#REF!</v>
      </c>
      <c r="VS220" s="79" t="e">
        <f>(#REF!+#REF!-#REF!)*#REF!*#REF!/1000</f>
        <v>#REF!</v>
      </c>
      <c r="VT220" s="79" t="e">
        <f>(#REF!+#REF!-#REF!)*#REF!*#REF!/1000</f>
        <v>#REF!</v>
      </c>
      <c r="VU220" s="79" t="e">
        <f>(#REF!+#REF!-#REF!)*#REF!*#REF!/1000</f>
        <v>#REF!</v>
      </c>
      <c r="VV220" s="79" t="e">
        <f>(#REF!+#REF!-#REF!)*#REF!*#REF!/1000</f>
        <v>#REF!</v>
      </c>
      <c r="VW220" s="79" t="e">
        <f>(#REF!+#REF!-#REF!)*#REF!*#REF!/1000</f>
        <v>#REF!</v>
      </c>
      <c r="VX220" s="79" t="e">
        <f>(#REF!+#REF!-#REF!)*#REF!*#REF!/1000</f>
        <v>#REF!</v>
      </c>
      <c r="VY220" s="79" t="e">
        <f>(#REF!+#REF!-#REF!)*#REF!*#REF!/1000</f>
        <v>#REF!</v>
      </c>
      <c r="VZ220" s="79" t="e">
        <f>(#REF!+#REF!-#REF!)*#REF!*#REF!/1000</f>
        <v>#REF!</v>
      </c>
      <c r="WA220" s="79" t="e">
        <f>(#REF!+#REF!-#REF!)*#REF!*#REF!/1000</f>
        <v>#REF!</v>
      </c>
      <c r="WB220" s="79" t="e">
        <f>(#REF!+#REF!-#REF!)*#REF!*#REF!/1000</f>
        <v>#REF!</v>
      </c>
      <c r="WC220" s="79" t="e">
        <f>(#REF!+#REF!-#REF!)*#REF!*#REF!/1000</f>
        <v>#REF!</v>
      </c>
      <c r="WD220" s="79" t="e">
        <f>(#REF!+#REF!-#REF!)*#REF!*#REF!/1000</f>
        <v>#REF!</v>
      </c>
      <c r="WE220" s="79" t="e">
        <f>(#REF!+#REF!-#REF!)*#REF!*#REF!/1000</f>
        <v>#REF!</v>
      </c>
      <c r="WF220" s="79" t="e">
        <f>(#REF!+#REF!-#REF!)*#REF!*#REF!/1000</f>
        <v>#REF!</v>
      </c>
      <c r="WG220" s="79" t="e">
        <f>(#REF!+#REF!-#REF!)*#REF!*#REF!/1000</f>
        <v>#REF!</v>
      </c>
      <c r="WH220" s="79" t="e">
        <f>(#REF!+#REF!-#REF!)*#REF!*#REF!/1000</f>
        <v>#REF!</v>
      </c>
      <c r="WI220" s="79" t="e">
        <f>(#REF!+#REF!-#REF!)*#REF!*#REF!/1000</f>
        <v>#REF!</v>
      </c>
      <c r="WJ220" s="79" t="e">
        <f>(#REF!+#REF!-#REF!)*#REF!*#REF!/1000</f>
        <v>#REF!</v>
      </c>
      <c r="WK220" s="79" t="e">
        <f>(#REF!+#REF!-#REF!)*#REF!*#REF!/1000</f>
        <v>#REF!</v>
      </c>
      <c r="WL220" s="79" t="e">
        <f>(#REF!+#REF!-#REF!)*#REF!*#REF!/1000</f>
        <v>#REF!</v>
      </c>
      <c r="WM220" s="79" t="e">
        <f>(#REF!+#REF!-#REF!)*#REF!*#REF!/1000</f>
        <v>#REF!</v>
      </c>
      <c r="WN220" s="79" t="e">
        <f>(#REF!+#REF!-#REF!)*#REF!*#REF!/1000</f>
        <v>#REF!</v>
      </c>
      <c r="WO220" s="79" t="e">
        <f>(#REF!+#REF!-#REF!)*#REF!*#REF!/1000</f>
        <v>#REF!</v>
      </c>
      <c r="WP220" s="79" t="e">
        <f>(#REF!+#REF!-#REF!)*#REF!*#REF!/1000</f>
        <v>#REF!</v>
      </c>
      <c r="WQ220" s="79" t="e">
        <f>(#REF!+#REF!-#REF!)*#REF!*#REF!/1000</f>
        <v>#REF!</v>
      </c>
      <c r="WR220" s="79" t="e">
        <f>(#REF!+#REF!-#REF!)*#REF!*#REF!/1000</f>
        <v>#REF!</v>
      </c>
      <c r="WS220" s="79" t="e">
        <f>(#REF!+#REF!-#REF!)*#REF!*#REF!/1000</f>
        <v>#REF!</v>
      </c>
      <c r="WT220" s="79" t="e">
        <f>(#REF!+#REF!-#REF!)*#REF!*#REF!/1000</f>
        <v>#REF!</v>
      </c>
      <c r="WU220" s="79" t="e">
        <f>(#REF!+#REF!-#REF!)*#REF!*#REF!/1000</f>
        <v>#REF!</v>
      </c>
      <c r="WV220" s="79" t="e">
        <f>(#REF!+#REF!-#REF!)*#REF!*#REF!/1000</f>
        <v>#REF!</v>
      </c>
      <c r="WW220" s="79" t="e">
        <f>(#REF!+#REF!-#REF!)*#REF!*#REF!/1000</f>
        <v>#REF!</v>
      </c>
      <c r="WX220" s="79" t="e">
        <f>(#REF!+#REF!-#REF!)*#REF!*#REF!/1000</f>
        <v>#REF!</v>
      </c>
      <c r="WY220" s="79" t="e">
        <f>(#REF!+#REF!-#REF!)*#REF!*#REF!/1000</f>
        <v>#REF!</v>
      </c>
      <c r="WZ220" s="79" t="e">
        <f>(#REF!+#REF!-#REF!)*#REF!*#REF!/1000</f>
        <v>#REF!</v>
      </c>
      <c r="XA220" s="79" t="e">
        <f>(#REF!+#REF!-#REF!)*#REF!*#REF!/1000</f>
        <v>#REF!</v>
      </c>
      <c r="XB220" s="79" t="e">
        <f>(#REF!+#REF!-#REF!)*#REF!*#REF!/1000</f>
        <v>#REF!</v>
      </c>
      <c r="XC220" s="79" t="e">
        <f>(#REF!+#REF!-#REF!)*#REF!*#REF!/1000</f>
        <v>#REF!</v>
      </c>
      <c r="XD220" s="79" t="e">
        <f>(#REF!+#REF!-#REF!)*#REF!*#REF!/1000</f>
        <v>#REF!</v>
      </c>
      <c r="XE220" s="79" t="e">
        <f>(#REF!+#REF!-#REF!)*#REF!*#REF!/1000</f>
        <v>#REF!</v>
      </c>
      <c r="XF220" s="79" t="e">
        <f>(#REF!+#REF!-#REF!)*#REF!*#REF!/1000</f>
        <v>#REF!</v>
      </c>
      <c r="XG220" s="79" t="e">
        <f>(#REF!+#REF!-#REF!)*#REF!*#REF!/1000</f>
        <v>#REF!</v>
      </c>
      <c r="XH220" s="79" t="e">
        <f>(#REF!+#REF!-#REF!)*#REF!*#REF!/1000</f>
        <v>#REF!</v>
      </c>
      <c r="XI220" s="79" t="e">
        <f>(#REF!+#REF!-#REF!)*#REF!*#REF!/1000</f>
        <v>#REF!</v>
      </c>
      <c r="XJ220" s="79" t="e">
        <f>(#REF!+#REF!-#REF!)*#REF!*#REF!/1000</f>
        <v>#REF!</v>
      </c>
      <c r="XK220" s="79" t="e">
        <f>(#REF!+#REF!-#REF!)*#REF!*#REF!/1000</f>
        <v>#REF!</v>
      </c>
      <c r="XL220" s="79" t="e">
        <f>(#REF!+#REF!-#REF!)*#REF!*#REF!/1000</f>
        <v>#REF!</v>
      </c>
      <c r="XM220" s="79" t="e">
        <f>(#REF!+#REF!-#REF!)*#REF!*#REF!/1000</f>
        <v>#REF!</v>
      </c>
      <c r="XN220" s="79" t="e">
        <f>(#REF!+#REF!-#REF!)*#REF!*#REF!/1000</f>
        <v>#REF!</v>
      </c>
      <c r="XO220" s="79" t="e">
        <f>(#REF!+#REF!-#REF!)*#REF!*#REF!/1000</f>
        <v>#REF!</v>
      </c>
      <c r="XP220" s="79" t="e">
        <f>(#REF!+#REF!-#REF!)*#REF!*#REF!/1000</f>
        <v>#REF!</v>
      </c>
      <c r="XQ220" s="79" t="e">
        <f>(#REF!+#REF!-#REF!)*#REF!*#REF!/1000</f>
        <v>#REF!</v>
      </c>
      <c r="XR220" s="79" t="e">
        <f>(#REF!+#REF!-#REF!)*#REF!*#REF!/1000</f>
        <v>#REF!</v>
      </c>
      <c r="XS220" s="79" t="e">
        <f>(#REF!+#REF!-#REF!)*#REF!*#REF!/1000</f>
        <v>#REF!</v>
      </c>
      <c r="XT220" s="79" t="e">
        <f>(#REF!+#REF!-#REF!)*#REF!*#REF!/1000</f>
        <v>#REF!</v>
      </c>
      <c r="XU220" s="79" t="e">
        <f>(#REF!+#REF!-#REF!)*#REF!*#REF!/1000</f>
        <v>#REF!</v>
      </c>
      <c r="XV220" s="79" t="e">
        <f>(#REF!+#REF!-#REF!)*#REF!*#REF!/1000</f>
        <v>#REF!</v>
      </c>
      <c r="XW220" s="79" t="e">
        <f>(#REF!+#REF!-#REF!)*#REF!*#REF!/1000</f>
        <v>#REF!</v>
      </c>
      <c r="XX220" s="79" t="e">
        <f>(#REF!+#REF!-#REF!)*#REF!*#REF!/1000</f>
        <v>#REF!</v>
      </c>
      <c r="XY220" s="79" t="e">
        <f>(#REF!+#REF!-#REF!)*#REF!*#REF!/1000</f>
        <v>#REF!</v>
      </c>
      <c r="XZ220" s="79" t="e">
        <f>(#REF!+#REF!-#REF!)*#REF!*#REF!/1000</f>
        <v>#REF!</v>
      </c>
      <c r="YA220" s="79" t="e">
        <f>(#REF!+#REF!-#REF!)*#REF!*#REF!/1000</f>
        <v>#REF!</v>
      </c>
      <c r="YB220" s="79" t="e">
        <f>(#REF!+#REF!-#REF!)*#REF!*#REF!/1000</f>
        <v>#REF!</v>
      </c>
      <c r="YC220" s="79" t="e">
        <f>(#REF!+#REF!-#REF!)*#REF!*#REF!/1000</f>
        <v>#REF!</v>
      </c>
      <c r="YD220" s="79" t="e">
        <f>(#REF!+#REF!-#REF!)*#REF!*#REF!/1000</f>
        <v>#REF!</v>
      </c>
      <c r="YE220" s="79" t="e">
        <f>(#REF!+#REF!-#REF!)*#REF!*#REF!/1000</f>
        <v>#REF!</v>
      </c>
      <c r="YF220" s="79" t="e">
        <f>(#REF!+#REF!-#REF!)*#REF!*#REF!/1000</f>
        <v>#REF!</v>
      </c>
      <c r="YG220" s="79" t="e">
        <f>(#REF!+#REF!-#REF!)*#REF!*#REF!/1000</f>
        <v>#REF!</v>
      </c>
      <c r="YH220" s="79" t="e">
        <f>(#REF!+#REF!-#REF!)*#REF!*#REF!/1000</f>
        <v>#REF!</v>
      </c>
      <c r="YI220" s="79" t="e">
        <f>(#REF!+#REF!-#REF!)*#REF!*#REF!/1000</f>
        <v>#REF!</v>
      </c>
      <c r="YJ220" s="79" t="e">
        <f>(#REF!+#REF!-#REF!)*#REF!*#REF!/1000</f>
        <v>#REF!</v>
      </c>
      <c r="YK220" s="79" t="e">
        <f>(#REF!+#REF!-#REF!)*#REF!*#REF!/1000</f>
        <v>#REF!</v>
      </c>
      <c r="YL220" s="79" t="e">
        <f>(#REF!+#REF!-#REF!)*#REF!*#REF!/1000</f>
        <v>#REF!</v>
      </c>
      <c r="YM220" s="79" t="e">
        <f>(#REF!+#REF!-#REF!)*#REF!*#REF!/1000</f>
        <v>#REF!</v>
      </c>
      <c r="YN220" s="79" t="e">
        <f>(#REF!+#REF!-#REF!)*#REF!*#REF!/1000</f>
        <v>#REF!</v>
      </c>
      <c r="YO220" s="79" t="e">
        <f>(#REF!+#REF!-#REF!)*#REF!*#REF!/1000</f>
        <v>#REF!</v>
      </c>
      <c r="YP220" s="79" t="e">
        <f>(#REF!+#REF!-#REF!)*#REF!*#REF!/1000</f>
        <v>#REF!</v>
      </c>
      <c r="YQ220" s="79" t="e">
        <f>(#REF!+#REF!-#REF!)*#REF!*#REF!/1000</f>
        <v>#REF!</v>
      </c>
      <c r="YR220" s="79" t="e">
        <f>(#REF!+#REF!-#REF!)*#REF!*#REF!/1000</f>
        <v>#REF!</v>
      </c>
      <c r="YS220" s="79" t="e">
        <f>(#REF!+#REF!-#REF!)*#REF!*#REF!/1000</f>
        <v>#REF!</v>
      </c>
      <c r="YT220" s="79" t="e">
        <f>(#REF!+#REF!-#REF!)*#REF!*#REF!/1000</f>
        <v>#REF!</v>
      </c>
      <c r="YU220" s="79" t="e">
        <f>(#REF!+#REF!-#REF!)*#REF!*#REF!/1000</f>
        <v>#REF!</v>
      </c>
      <c r="YV220" s="79" t="e">
        <f>(#REF!+#REF!-#REF!)*#REF!*#REF!/1000</f>
        <v>#REF!</v>
      </c>
      <c r="YW220" s="79" t="e">
        <f>(#REF!+#REF!-#REF!)*#REF!*#REF!/1000</f>
        <v>#REF!</v>
      </c>
      <c r="YX220" s="79" t="e">
        <f>(#REF!+#REF!-#REF!)*#REF!*#REF!/1000</f>
        <v>#REF!</v>
      </c>
      <c r="YY220" s="79" t="e">
        <f>(#REF!+#REF!-#REF!)*#REF!*#REF!/1000</f>
        <v>#REF!</v>
      </c>
      <c r="YZ220" s="79" t="e">
        <f>(#REF!+#REF!-#REF!)*#REF!*#REF!/1000</f>
        <v>#REF!</v>
      </c>
      <c r="ZA220" s="79" t="e">
        <f>(#REF!+#REF!-#REF!)*#REF!*#REF!/1000</f>
        <v>#REF!</v>
      </c>
      <c r="ZB220" s="79" t="e">
        <f>(#REF!+#REF!-#REF!)*#REF!*#REF!/1000</f>
        <v>#REF!</v>
      </c>
      <c r="ZC220" s="79" t="e">
        <f>(#REF!+#REF!-#REF!)*#REF!*#REF!/1000</f>
        <v>#REF!</v>
      </c>
      <c r="ZD220" s="79" t="e">
        <f>(#REF!+#REF!-#REF!)*#REF!*#REF!/1000</f>
        <v>#REF!</v>
      </c>
      <c r="ZE220" s="79" t="e">
        <f>(#REF!+#REF!-#REF!)*#REF!*#REF!/1000</f>
        <v>#REF!</v>
      </c>
      <c r="ZF220" s="79" t="e">
        <f>(#REF!+#REF!-#REF!)*#REF!*#REF!/1000</f>
        <v>#REF!</v>
      </c>
      <c r="ZG220" s="79" t="e">
        <f>(#REF!+#REF!-#REF!)*#REF!*#REF!/1000</f>
        <v>#REF!</v>
      </c>
      <c r="ZH220" s="79" t="e">
        <f>(#REF!+#REF!-#REF!)*#REF!*#REF!/1000</f>
        <v>#REF!</v>
      </c>
      <c r="ZI220" s="79" t="e">
        <f>(#REF!+#REF!-#REF!)*#REF!*#REF!/1000</f>
        <v>#REF!</v>
      </c>
      <c r="ZJ220" s="79" t="e">
        <f>(#REF!+#REF!-#REF!)*#REF!*#REF!/1000</f>
        <v>#REF!</v>
      </c>
      <c r="ZK220" s="79" t="e">
        <f>(#REF!+#REF!-#REF!)*#REF!*#REF!/1000</f>
        <v>#REF!</v>
      </c>
      <c r="ZL220" s="79" t="e">
        <f>(#REF!+#REF!-#REF!)*#REF!*#REF!/1000</f>
        <v>#REF!</v>
      </c>
      <c r="ZM220" s="79" t="e">
        <f>(#REF!+#REF!-#REF!)*#REF!*#REF!/1000</f>
        <v>#REF!</v>
      </c>
      <c r="ZN220" s="79" t="e">
        <f>(#REF!+#REF!-#REF!)*#REF!*#REF!/1000</f>
        <v>#REF!</v>
      </c>
      <c r="ZO220" s="79" t="e">
        <f>(#REF!+#REF!-#REF!)*#REF!*#REF!/1000</f>
        <v>#REF!</v>
      </c>
      <c r="ZP220" s="79" t="e">
        <f>(#REF!+#REF!-#REF!)*#REF!*#REF!/1000</f>
        <v>#REF!</v>
      </c>
      <c r="ZQ220" s="79" t="e">
        <f>(#REF!+#REF!-#REF!)*#REF!*#REF!/1000</f>
        <v>#REF!</v>
      </c>
      <c r="ZR220" s="79" t="e">
        <f>(#REF!+#REF!-#REF!)*#REF!*#REF!/1000</f>
        <v>#REF!</v>
      </c>
      <c r="ZS220" s="79" t="e">
        <f>(#REF!+#REF!-#REF!)*#REF!*#REF!/1000</f>
        <v>#REF!</v>
      </c>
      <c r="ZT220" s="79" t="e">
        <f>(#REF!+#REF!-#REF!)*#REF!*#REF!/1000</f>
        <v>#REF!</v>
      </c>
      <c r="ZU220" s="79" t="e">
        <f>(#REF!+#REF!-#REF!)*#REF!*#REF!/1000</f>
        <v>#REF!</v>
      </c>
      <c r="ZV220" s="79" t="e">
        <f>(#REF!+#REF!-#REF!)*#REF!*#REF!/1000</f>
        <v>#REF!</v>
      </c>
      <c r="ZW220" s="79" t="e">
        <f>(#REF!+#REF!-#REF!)*#REF!*#REF!/1000</f>
        <v>#REF!</v>
      </c>
      <c r="ZX220" s="79" t="e">
        <f>(#REF!+#REF!-#REF!)*#REF!*#REF!/1000</f>
        <v>#REF!</v>
      </c>
      <c r="ZY220" s="79" t="e">
        <f>(#REF!+#REF!-#REF!)*#REF!*#REF!/1000</f>
        <v>#REF!</v>
      </c>
      <c r="ZZ220" s="79" t="e">
        <f>(#REF!+#REF!-#REF!)*#REF!*#REF!/1000</f>
        <v>#REF!</v>
      </c>
      <c r="AAA220" s="79" t="e">
        <f>(#REF!+#REF!-#REF!)*#REF!*#REF!/1000</f>
        <v>#REF!</v>
      </c>
      <c r="AAB220" s="79" t="e">
        <f>(#REF!+#REF!-#REF!)*#REF!*#REF!/1000</f>
        <v>#REF!</v>
      </c>
      <c r="AAC220" s="79" t="e">
        <f>(#REF!+#REF!-#REF!)*#REF!*#REF!/1000</f>
        <v>#REF!</v>
      </c>
      <c r="AAD220" s="79" t="e">
        <f>(#REF!+#REF!-#REF!)*#REF!*#REF!/1000</f>
        <v>#REF!</v>
      </c>
      <c r="AAE220" s="79" t="e">
        <f>(#REF!+#REF!-#REF!)*#REF!*#REF!/1000</f>
        <v>#REF!</v>
      </c>
      <c r="AAF220" s="79" t="e">
        <f>(#REF!+#REF!-#REF!)*#REF!*#REF!/1000</f>
        <v>#REF!</v>
      </c>
      <c r="AAG220" s="79" t="e">
        <f>(#REF!+#REF!-#REF!)*#REF!*#REF!/1000</f>
        <v>#REF!</v>
      </c>
      <c r="AAH220" s="79" t="e">
        <f>(#REF!+#REF!-#REF!)*#REF!*#REF!/1000</f>
        <v>#REF!</v>
      </c>
      <c r="AAI220" s="79" t="e">
        <f>(#REF!+#REF!-#REF!)*#REF!*#REF!/1000</f>
        <v>#REF!</v>
      </c>
      <c r="AAJ220" s="79" t="e">
        <f>(#REF!+#REF!-#REF!)*#REF!*#REF!/1000</f>
        <v>#REF!</v>
      </c>
      <c r="AAK220" s="79" t="e">
        <f>(#REF!+#REF!-#REF!)*#REF!*#REF!/1000</f>
        <v>#REF!</v>
      </c>
      <c r="AAL220" s="79" t="e">
        <f>(#REF!+#REF!-#REF!)*#REF!*#REF!/1000</f>
        <v>#REF!</v>
      </c>
      <c r="AAM220" s="79" t="e">
        <f>(#REF!+#REF!-#REF!)*#REF!*#REF!/1000</f>
        <v>#REF!</v>
      </c>
      <c r="AAN220" s="79" t="e">
        <f>(#REF!+#REF!-#REF!)*#REF!*#REF!/1000</f>
        <v>#REF!</v>
      </c>
      <c r="AAO220" s="79" t="e">
        <f>(#REF!+#REF!-#REF!)*#REF!*#REF!/1000</f>
        <v>#REF!</v>
      </c>
      <c r="AAP220" s="79" t="e">
        <f>(#REF!+#REF!-#REF!)*#REF!*#REF!/1000</f>
        <v>#REF!</v>
      </c>
      <c r="AAQ220" s="79" t="e">
        <f>(#REF!+#REF!-#REF!)*#REF!*#REF!/1000</f>
        <v>#REF!</v>
      </c>
      <c r="AAR220" s="79" t="e">
        <f>(#REF!+#REF!-#REF!)*#REF!*#REF!/1000</f>
        <v>#REF!</v>
      </c>
      <c r="AAS220" s="79" t="e">
        <f>(#REF!+#REF!-#REF!)*#REF!*#REF!/1000</f>
        <v>#REF!</v>
      </c>
      <c r="AAT220" s="79" t="e">
        <f>(#REF!+#REF!-#REF!)*#REF!*#REF!/1000</f>
        <v>#REF!</v>
      </c>
      <c r="AAU220" s="79" t="e">
        <f>(#REF!+#REF!-#REF!)*#REF!*#REF!/1000</f>
        <v>#REF!</v>
      </c>
      <c r="AAV220" s="79" t="e">
        <f>(#REF!+#REF!-#REF!)*#REF!*#REF!/1000</f>
        <v>#REF!</v>
      </c>
      <c r="AAW220" s="79" t="e">
        <f>(#REF!+#REF!-#REF!)*#REF!*#REF!/1000</f>
        <v>#REF!</v>
      </c>
      <c r="AAX220" s="79" t="e">
        <f>(#REF!+#REF!-#REF!)*#REF!*#REF!/1000</f>
        <v>#REF!</v>
      </c>
      <c r="AAY220" s="79" t="e">
        <f>(#REF!+#REF!-#REF!)*#REF!*#REF!/1000</f>
        <v>#REF!</v>
      </c>
      <c r="AAZ220" s="79" t="e">
        <f>(#REF!+#REF!-#REF!)*#REF!*#REF!/1000</f>
        <v>#REF!</v>
      </c>
      <c r="ABA220" s="79" t="e">
        <f>(#REF!+#REF!-#REF!)*#REF!*#REF!/1000</f>
        <v>#REF!</v>
      </c>
      <c r="ABB220" s="79" t="e">
        <f>(#REF!+#REF!-#REF!)*#REF!*#REF!/1000</f>
        <v>#REF!</v>
      </c>
      <c r="ABC220" s="79" t="e">
        <f>(#REF!+#REF!-#REF!)*#REF!*#REF!/1000</f>
        <v>#REF!</v>
      </c>
      <c r="ABD220" s="79" t="e">
        <f>(#REF!+#REF!-#REF!)*#REF!*#REF!/1000</f>
        <v>#REF!</v>
      </c>
      <c r="ABE220" s="79" t="e">
        <f>(#REF!+#REF!-#REF!)*#REF!*#REF!/1000</f>
        <v>#REF!</v>
      </c>
      <c r="ABF220" s="79" t="e">
        <f>(#REF!+#REF!-#REF!)*#REF!*#REF!/1000</f>
        <v>#REF!</v>
      </c>
      <c r="ABG220" s="79" t="e">
        <f>(#REF!+#REF!-#REF!)*#REF!*#REF!/1000</f>
        <v>#REF!</v>
      </c>
      <c r="ABH220" s="79" t="e">
        <f>(#REF!+#REF!-#REF!)*#REF!*#REF!/1000</f>
        <v>#REF!</v>
      </c>
      <c r="ABI220" s="79" t="e">
        <f>(#REF!+#REF!-#REF!)*#REF!*#REF!/1000</f>
        <v>#REF!</v>
      </c>
      <c r="ABJ220" s="79" t="e">
        <f>(#REF!+#REF!-#REF!)*#REF!*#REF!/1000</f>
        <v>#REF!</v>
      </c>
      <c r="ABK220" s="79" t="e">
        <f>(#REF!+#REF!-#REF!)*#REF!*#REF!/1000</f>
        <v>#REF!</v>
      </c>
      <c r="ABL220" s="79" t="e">
        <f>(#REF!+#REF!-#REF!)*#REF!*#REF!/1000</f>
        <v>#REF!</v>
      </c>
      <c r="ABM220" s="79" t="e">
        <f>(#REF!+#REF!-#REF!)*#REF!*#REF!/1000</f>
        <v>#REF!</v>
      </c>
      <c r="ABN220" s="79" t="e">
        <f>(#REF!+#REF!-#REF!)*#REF!*#REF!/1000</f>
        <v>#REF!</v>
      </c>
      <c r="ABO220" s="79" t="e">
        <f>(#REF!+#REF!-#REF!)*#REF!*#REF!/1000</f>
        <v>#REF!</v>
      </c>
      <c r="ABP220" s="79" t="e">
        <f>(#REF!+#REF!-#REF!)*#REF!*#REF!/1000</f>
        <v>#REF!</v>
      </c>
      <c r="ABQ220" s="79" t="e">
        <f>(#REF!+#REF!-#REF!)*#REF!*#REF!/1000</f>
        <v>#REF!</v>
      </c>
      <c r="ABR220" s="79" t="e">
        <f>(#REF!+#REF!-#REF!)*#REF!*#REF!/1000</f>
        <v>#REF!</v>
      </c>
      <c r="ABS220" s="79" t="e">
        <f>(#REF!+#REF!-#REF!)*#REF!*#REF!/1000</f>
        <v>#REF!</v>
      </c>
      <c r="ABT220" s="79" t="e">
        <f>(#REF!+#REF!-#REF!)*#REF!*#REF!/1000</f>
        <v>#REF!</v>
      </c>
      <c r="ABU220" s="79" t="e">
        <f>(#REF!+#REF!-#REF!)*#REF!*#REF!/1000</f>
        <v>#REF!</v>
      </c>
      <c r="ABV220" s="79" t="e">
        <f>(#REF!+#REF!-#REF!)*#REF!*#REF!/1000</f>
        <v>#REF!</v>
      </c>
      <c r="ABW220" s="79" t="e">
        <f>(#REF!+#REF!-#REF!)*#REF!*#REF!/1000</f>
        <v>#REF!</v>
      </c>
      <c r="ABX220" s="79" t="e">
        <f>(#REF!+#REF!-#REF!)*#REF!*#REF!/1000</f>
        <v>#REF!</v>
      </c>
      <c r="ABY220" s="79" t="e">
        <f>(#REF!+#REF!-#REF!)*#REF!*#REF!/1000</f>
        <v>#REF!</v>
      </c>
      <c r="ABZ220" s="79" t="e">
        <f>(#REF!+#REF!-#REF!)*#REF!*#REF!/1000</f>
        <v>#REF!</v>
      </c>
      <c r="ACA220" s="79" t="e">
        <f>(#REF!+#REF!-#REF!)*#REF!*#REF!/1000</f>
        <v>#REF!</v>
      </c>
      <c r="ACB220" s="79" t="e">
        <f>(#REF!+#REF!-#REF!)*#REF!*#REF!/1000</f>
        <v>#REF!</v>
      </c>
      <c r="ACC220" s="79" t="e">
        <f>(#REF!+#REF!-#REF!)*#REF!*#REF!/1000</f>
        <v>#REF!</v>
      </c>
      <c r="ACD220" s="79" t="e">
        <f>(#REF!+#REF!-#REF!)*#REF!*#REF!/1000</f>
        <v>#REF!</v>
      </c>
      <c r="ACE220" s="79" t="e">
        <f>(#REF!+#REF!-#REF!)*#REF!*#REF!/1000</f>
        <v>#REF!</v>
      </c>
      <c r="ACF220" s="79" t="e">
        <f>(#REF!+#REF!-#REF!)*#REF!*#REF!/1000</f>
        <v>#REF!</v>
      </c>
      <c r="ACG220" s="79" t="e">
        <f>(#REF!+#REF!-#REF!)*#REF!*#REF!/1000</f>
        <v>#REF!</v>
      </c>
      <c r="ACH220" s="79" t="e">
        <f>(#REF!+#REF!-#REF!)*#REF!*#REF!/1000</f>
        <v>#REF!</v>
      </c>
      <c r="ACI220" s="79" t="e">
        <f>(#REF!+#REF!-#REF!)*#REF!*#REF!/1000</f>
        <v>#REF!</v>
      </c>
      <c r="ACJ220" s="79" t="e">
        <f>(#REF!+#REF!-#REF!)*#REF!*#REF!/1000</f>
        <v>#REF!</v>
      </c>
      <c r="ACK220" s="79" t="e">
        <f>(#REF!+#REF!-#REF!)*#REF!*#REF!/1000</f>
        <v>#REF!</v>
      </c>
      <c r="ACL220" s="79" t="e">
        <f>(#REF!+#REF!-#REF!)*#REF!*#REF!/1000</f>
        <v>#REF!</v>
      </c>
      <c r="ACM220" s="79" t="e">
        <f>(#REF!+#REF!-#REF!)*#REF!*#REF!/1000</f>
        <v>#REF!</v>
      </c>
      <c r="ACN220" s="79" t="e">
        <f>(#REF!+#REF!-#REF!)*#REF!*#REF!/1000</f>
        <v>#REF!</v>
      </c>
      <c r="ACO220" s="79" t="e">
        <f>(#REF!+#REF!-#REF!)*#REF!*#REF!/1000</f>
        <v>#REF!</v>
      </c>
      <c r="ACP220" s="79" t="e">
        <f>(#REF!+#REF!-#REF!)*#REF!*#REF!/1000</f>
        <v>#REF!</v>
      </c>
      <c r="ACQ220" s="79" t="e">
        <f>(#REF!+#REF!-#REF!)*#REF!*#REF!/1000</f>
        <v>#REF!</v>
      </c>
      <c r="ACR220" s="79" t="e">
        <f>(#REF!+#REF!-#REF!)*#REF!*#REF!/1000</f>
        <v>#REF!</v>
      </c>
      <c r="ACS220" s="79" t="e">
        <f>(#REF!+#REF!-#REF!)*#REF!*#REF!/1000</f>
        <v>#REF!</v>
      </c>
      <c r="ACT220" s="79" t="e">
        <f>(#REF!+#REF!-#REF!)*#REF!*#REF!/1000</f>
        <v>#REF!</v>
      </c>
      <c r="ACU220" s="79" t="e">
        <f>(#REF!+#REF!-#REF!)*#REF!*#REF!/1000</f>
        <v>#REF!</v>
      </c>
      <c r="ACV220" s="79" t="e">
        <f>(#REF!+#REF!-#REF!)*#REF!*#REF!/1000</f>
        <v>#REF!</v>
      </c>
      <c r="ACW220" s="79" t="e">
        <f>(#REF!+#REF!-#REF!)*#REF!*#REF!/1000</f>
        <v>#REF!</v>
      </c>
      <c r="ACX220" s="79" t="e">
        <f>(#REF!+#REF!-#REF!)*#REF!*#REF!/1000</f>
        <v>#REF!</v>
      </c>
      <c r="ACY220" s="79"/>
      <c r="ACZ220" s="79"/>
      <c r="ADA220" s="79"/>
      <c r="ADB220" s="79"/>
      <c r="ADC220" s="79"/>
      <c r="ADD220" s="79"/>
      <c r="ADE220" s="79"/>
      <c r="ADF220" s="79"/>
      <c r="ADG220" s="79"/>
      <c r="ADH220" s="79"/>
      <c r="ADI220" s="79"/>
      <c r="ADJ220" s="79"/>
      <c r="ADK220" s="79"/>
      <c r="ADL220" s="79"/>
      <c r="ADM220" s="79"/>
      <c r="ADN220" s="79"/>
      <c r="AQP220" s="165"/>
    </row>
    <row r="221" spans="2:794 1050:1134" ht="14.25" x14ac:dyDescent="0.45">
      <c r="D221" t="s">
        <v>405</v>
      </c>
      <c r="E221" s="79" t="e">
        <f>IF(#REF!="",0,(#REF!+#REF!-#REF!)*#REF!*#REF!/1000)</f>
        <v>#REF!</v>
      </c>
      <c r="F221" s="79" t="e">
        <f>IF(#REF!="",0,(#REF!+#REF!-#REF!)*#REF!*#REF!/1000)</f>
        <v>#REF!</v>
      </c>
      <c r="G221" s="79" t="e">
        <f>IF(#REF!="",0,(#REF!+#REF!-#REF!)*#REF!*#REF!/1000)</f>
        <v>#REF!</v>
      </c>
      <c r="H221" s="79" t="e">
        <f>IF(#REF!="",0,(#REF!+#REF!-#REF!)*#REF!*#REF!/1000)</f>
        <v>#REF!</v>
      </c>
      <c r="I221" s="79" t="e">
        <f>IF(#REF!="",0,(#REF!+#REF!-#REF!)*#REF!*#REF!/1000)</f>
        <v>#REF!</v>
      </c>
      <c r="J221" s="79" t="e">
        <f>IF(#REF!="",0,(#REF!+#REF!-#REF!)*#REF!*#REF!/1000)</f>
        <v>#REF!</v>
      </c>
      <c r="K221" s="79" t="e">
        <f>IF(#REF!="",0,(#REF!+#REF!-#REF!)*#REF!*#REF!/1000)</f>
        <v>#REF!</v>
      </c>
      <c r="L221" s="79" t="e">
        <f>(#REF!+#REF!-#REF!)*#REF!*#REF!/1000</f>
        <v>#REF!</v>
      </c>
      <c r="M221" s="79" t="e">
        <f>(#REF!+#REF!-#REF!)*#REF!*#REF!/1000</f>
        <v>#REF!</v>
      </c>
      <c r="N221" s="79" t="e">
        <f>IF(#REF!="",0,(#REF!+#REF!-#REF!)*#REF!*#REF!/1000)</f>
        <v>#REF!</v>
      </c>
      <c r="O221" s="79" t="e">
        <f>IF(#REF!="",0,(#REF!+#REF!-#REF!)*#REF!*#REF!/1000)</f>
        <v>#REF!</v>
      </c>
      <c r="P221" s="79" t="e">
        <f>IF(#REF!="",0,(#REF!+#REF!-#REF!)*#REF!*#REF!/1000)</f>
        <v>#REF!</v>
      </c>
      <c r="Q221" s="79" t="e">
        <f>IF(#REF!="",0,(#REF!+#REF!-#REF!)*#REF!*#REF!/1000)</f>
        <v>#REF!</v>
      </c>
      <c r="R221" s="79" t="e">
        <f>IF(#REF!="",0,(#REF!+#REF!-#REF!)*#REF!*#REF!/1000)</f>
        <v>#REF!</v>
      </c>
      <c r="S221" s="79" t="e">
        <f>IF(#REF!="",0,(#REF!+#REF!-#REF!)*#REF!*#REF!/1000)</f>
        <v>#REF!</v>
      </c>
      <c r="T221" s="79" t="e">
        <f>IF(#REF!="",0,(#REF!+#REF!-#REF!)*#REF!*#REF!/1000)</f>
        <v>#REF!</v>
      </c>
      <c r="U221" s="79" t="e">
        <f>IF(#REF!="",0,(#REF!+#REF!-#REF!)*#REF!*#REF!/1000)</f>
        <v>#REF!</v>
      </c>
      <c r="V221" s="79" t="e">
        <f>IF(#REF!="",0,(#REF!+#REF!-#REF!)*#REF!*#REF!/1000)</f>
        <v>#REF!</v>
      </c>
      <c r="W221" s="79" t="e">
        <f>IF(#REF!="",0,(#REF!+#REF!-#REF!)*#REF!*#REF!/1000)</f>
        <v>#REF!</v>
      </c>
      <c r="X221" s="79" t="e">
        <f>IF(#REF!="",0,(#REF!+#REF!-#REF!)*#REF!*#REF!/1000)</f>
        <v>#REF!</v>
      </c>
      <c r="Y221" s="79" t="e">
        <f>IF(#REF!="",0,(#REF!+#REF!-#REF!)*#REF!*#REF!/1000)</f>
        <v>#REF!</v>
      </c>
      <c r="Z221" s="79" t="e">
        <f>IF(#REF!="",0,(#REF!+#REF!-#REF!)*#REF!*#REF!/1000)</f>
        <v>#REF!</v>
      </c>
      <c r="AA221" s="79" t="e">
        <f>IF(#REF!="",0,(#REF!+#REF!-#REF!)*#REF!*#REF!/1000)</f>
        <v>#REF!</v>
      </c>
      <c r="AB221" s="79" t="e">
        <f>IF(#REF!="",0,(#REF!+#REF!-#REF!)*#REF!*#REF!/1000)</f>
        <v>#REF!</v>
      </c>
      <c r="AC221" s="79" t="e">
        <f>IF(#REF!="",0,(#REF!+#REF!-#REF!)*#REF!*#REF!/1000)</f>
        <v>#REF!</v>
      </c>
      <c r="AD221" s="79" t="e">
        <f>IF(#REF!="",0,(#REF!+#REF!-#REF!)*#REF!*#REF!/1000)</f>
        <v>#REF!</v>
      </c>
      <c r="AE221" s="79" t="e">
        <f>IF(#REF!="",0,(#REF!+#REF!-#REF!)*#REF!*#REF!/1000)</f>
        <v>#REF!</v>
      </c>
      <c r="AF221" s="79" t="e">
        <f>IF(#REF!="",0,(#REF!+#REF!-#REF!)*#REF!*#REF!/1000)</f>
        <v>#REF!</v>
      </c>
      <c r="AG221" s="79" t="e">
        <f>IF(#REF!="",0,(#REF!+#REF!-#REF!)*#REF!*#REF!/1000)</f>
        <v>#REF!</v>
      </c>
      <c r="AH221" s="79" t="e">
        <f>IF(#REF!="",0,(#REF!+#REF!-#REF!)*#REF!*#REF!/1000)</f>
        <v>#REF!</v>
      </c>
      <c r="AI221" s="79" t="e">
        <f>IF(#REF!="",0,(#REF!+#REF!-#REF!)*#REF!*#REF!/1000)</f>
        <v>#REF!</v>
      </c>
      <c r="AJ221" s="79" t="e">
        <f>IF(#REF!="",0,(#REF!+#REF!-#REF!)*#REF!*#REF!/1000)</f>
        <v>#REF!</v>
      </c>
      <c r="AK221" s="79" t="e">
        <f>IF(#REF!="",0,(#REF!+#REF!-#REF!)*#REF!*#REF!/1000)</f>
        <v>#REF!</v>
      </c>
      <c r="AL221" s="79" t="e">
        <f>IF(#REF!="",0,(#REF!+#REF!-#REF!)*#REF!*#REF!/1000)</f>
        <v>#REF!</v>
      </c>
      <c r="AM221" s="79" t="e">
        <f>IF(#REF!="",0,(#REF!+#REF!-#REF!)*#REF!*#REF!/1000)</f>
        <v>#REF!</v>
      </c>
      <c r="AN221" s="79" t="e">
        <f>IF(#REF!="",0,(#REF!+#REF!-#REF!)*#REF!*#REF!/1000)</f>
        <v>#REF!</v>
      </c>
      <c r="AO221" s="79" t="e">
        <f>IF(#REF!="",0,(#REF!+#REF!-#REF!)*#REF!*#REF!/1000)</f>
        <v>#REF!</v>
      </c>
      <c r="AP221" s="79" t="e">
        <f>IF(#REF!="",0,(#REF!+#REF!-#REF!)*#REF!*#REF!/1000)</f>
        <v>#REF!</v>
      </c>
      <c r="AQ221" s="79" t="e">
        <f>IF(#REF!="",0,(#REF!+#REF!-#REF!)*#REF!*#REF!/1000)</f>
        <v>#REF!</v>
      </c>
      <c r="AR221" s="79" t="e">
        <f>IF(#REF!="",0,(#REF!+#REF!-#REF!)*#REF!*#REF!/1000)</f>
        <v>#REF!</v>
      </c>
      <c r="AS221" s="79" t="e">
        <f>IF(#REF!="",0,(#REF!+#REF!-#REF!)*#REF!*#REF!/1000)</f>
        <v>#REF!</v>
      </c>
      <c r="AT221" s="79" t="e">
        <f>IF(#REF!="",0,(#REF!+#REF!-#REF!)*#REF!*#REF!/1000)</f>
        <v>#REF!</v>
      </c>
      <c r="AU221" s="79" t="e">
        <f>IF(#REF!="",0,(#REF!+#REF!-#REF!)*#REF!*#REF!/1000)</f>
        <v>#REF!</v>
      </c>
      <c r="AV221" s="79" t="e">
        <f>IF(#REF!="",0,(#REF!+#REF!-#REF!)*#REF!*#REF!/1000)</f>
        <v>#REF!</v>
      </c>
      <c r="AW221" s="79" t="e">
        <f>IF(#REF!="",0,(#REF!+#REF!-#REF!)*#REF!*#REF!/1000)</f>
        <v>#REF!</v>
      </c>
      <c r="AX221" s="79" t="e">
        <f>IF(#REF!="",0,(#REF!+#REF!-#REF!)*#REF!*#REF!/1000)</f>
        <v>#REF!</v>
      </c>
      <c r="AY221" s="79" t="e">
        <f>IF(#REF!="",0,(#REF!+#REF!-#REF!)*#REF!*#REF!/1000)</f>
        <v>#REF!</v>
      </c>
      <c r="AZ221" s="79" t="e">
        <f>IF(#REF!="",0,(#REF!+#REF!-#REF!)*#REF!*#REF!/1000)</f>
        <v>#REF!</v>
      </c>
      <c r="BA221" s="79" t="e">
        <f>IF(#REF!="",0,(#REF!+#REF!-#REF!)*#REF!*#REF!/1000)</f>
        <v>#REF!</v>
      </c>
      <c r="BB221" s="79" t="e">
        <f>IF(#REF!="",0,(#REF!+#REF!-#REF!)*#REF!*#REF!/1000)</f>
        <v>#REF!</v>
      </c>
      <c r="BC221" s="79" t="e">
        <f>IF(#REF!="",0,(#REF!+#REF!-#REF!)*#REF!*#REF!/1000)</f>
        <v>#REF!</v>
      </c>
      <c r="BD221" s="79" t="e">
        <f>IF(#REF!="",0,(#REF!+#REF!-#REF!)*#REF!*#REF!/1000)</f>
        <v>#REF!</v>
      </c>
      <c r="BE221" s="79" t="e">
        <f>IF(#REF!="",0,(#REF!+#REF!-#REF!)*#REF!*#REF!/1000)</f>
        <v>#REF!</v>
      </c>
      <c r="BF221" s="79" t="e">
        <f>IF(#REF!="",0,(#REF!+#REF!-#REF!)*#REF!*#REF!/1000)</f>
        <v>#REF!</v>
      </c>
      <c r="BG221" s="79" t="e">
        <f>IF(#REF!="",0,(#REF!+#REF!-#REF!)*#REF!*#REF!/1000)</f>
        <v>#REF!</v>
      </c>
      <c r="BH221" s="79" t="e">
        <f>IF(#REF!="",0,(#REF!+#REF!-#REF!)*#REF!*#REF!/1000)</f>
        <v>#REF!</v>
      </c>
      <c r="BI221" s="79" t="e">
        <f>IF(#REF!="",0,(#REF!+#REF!-#REF!)*#REF!*#REF!/1000)</f>
        <v>#REF!</v>
      </c>
      <c r="BJ221" s="79" t="e">
        <f>IF(#REF!="",0,(#REF!+#REF!-#REF!)*#REF!*#REF!/1000)</f>
        <v>#REF!</v>
      </c>
      <c r="BK221" s="79" t="e">
        <f>IF(#REF!="",0,(#REF!+#REF!-#REF!)*#REF!*#REF!/1000)</f>
        <v>#REF!</v>
      </c>
      <c r="BL221" s="79" t="e">
        <f>IF(#REF!="",0,(#REF!+#REF!-#REF!)*#REF!*#REF!/1000)</f>
        <v>#REF!</v>
      </c>
      <c r="BM221" s="79" t="e">
        <f>IF(#REF!="",0,(#REF!+#REF!-#REF!)*#REF!*#REF!/1000)</f>
        <v>#REF!</v>
      </c>
      <c r="BN221" s="79" t="e">
        <f>IF(#REF!="",0,(#REF!+#REF!-#REF!)*#REF!*#REF!/1000)</f>
        <v>#REF!</v>
      </c>
      <c r="BO221" s="79" t="e">
        <f>IF(#REF!="",0,(#REF!+#REF!-#REF!)*#REF!*#REF!/1000)</f>
        <v>#REF!</v>
      </c>
      <c r="BP221" s="79" t="e">
        <f>IF(#REF!="",0,(#REF!+#REF!-#REF!)*#REF!*#REF!/1000)</f>
        <v>#REF!</v>
      </c>
      <c r="BQ221" s="79" t="e">
        <f>IF(#REF!="",0,(#REF!+#REF!-#REF!)*#REF!*#REF!/1000)</f>
        <v>#REF!</v>
      </c>
      <c r="BR221" s="79" t="e">
        <f>IF(#REF!="",0,(#REF!+#REF!-#REF!)*#REF!*#REF!/1000)</f>
        <v>#REF!</v>
      </c>
      <c r="BS221" s="79" t="e">
        <f>IF(#REF!="",0,(#REF!+#REF!-#REF!)*#REF!*#REF!/1000)</f>
        <v>#REF!</v>
      </c>
      <c r="BT221" s="79" t="e">
        <f>IF(#REF!="",0,(#REF!+#REF!-#REF!)*#REF!*#REF!/1000)</f>
        <v>#REF!</v>
      </c>
      <c r="BU221" s="79" t="e">
        <f>IF(#REF!="",0,(#REF!+#REF!-#REF!)*#REF!*#REF!/1000)</f>
        <v>#REF!</v>
      </c>
      <c r="BV221" s="79" t="e">
        <f>IF(#REF!="",0,(#REF!+#REF!-#REF!)*#REF!*#REF!/1000)</f>
        <v>#REF!</v>
      </c>
      <c r="BW221" s="79" t="e">
        <f>IF(#REF!="",0,(#REF!+#REF!-#REF!)*#REF!*#REF!/1000)</f>
        <v>#REF!</v>
      </c>
      <c r="BX221" s="79" t="e">
        <f>IF(#REF!="",0,(#REF!+#REF!-#REF!)*#REF!*#REF!/1000)</f>
        <v>#REF!</v>
      </c>
      <c r="BY221" s="79" t="e">
        <f>IF(#REF!="",0,(#REF!+#REF!-#REF!)*#REF!*#REF!/1000)</f>
        <v>#REF!</v>
      </c>
      <c r="BZ221" s="79" t="e">
        <f>IF(#REF!="",0,(#REF!+#REF!-#REF!)*#REF!*#REF!/1000)</f>
        <v>#REF!</v>
      </c>
      <c r="CA221" s="79" t="e">
        <f>IF(#REF!="",0,(#REF!+#REF!-#REF!)*#REF!*#REF!/1000)</f>
        <v>#REF!</v>
      </c>
      <c r="CB221" s="79" t="e">
        <f>IF(#REF!="",0,(#REF!+#REF!-#REF!)*#REF!*#REF!/1000)</f>
        <v>#REF!</v>
      </c>
      <c r="CC221" s="79" t="e">
        <f>IF(#REF!="",0,(#REF!+#REF!-#REF!)*#REF!*#REF!/1000)</f>
        <v>#REF!</v>
      </c>
      <c r="CD221" s="79" t="e">
        <f>IF(#REF!="",0,(#REF!+#REF!-#REF!)*#REF!*#REF!/1000)</f>
        <v>#REF!</v>
      </c>
      <c r="CE221" s="79" t="e">
        <f>IF(#REF!="",0,(#REF!+#REF!-#REF!)*#REF!*#REF!/1000)</f>
        <v>#REF!</v>
      </c>
      <c r="CF221" s="79" t="e">
        <f>IF(#REF!="",0,(#REF!+#REF!-#REF!)*#REF!*#REF!/1000)</f>
        <v>#REF!</v>
      </c>
      <c r="CG221" s="79" t="e">
        <f>IF(#REF!="",0,(#REF!+#REF!-#REF!)*#REF!*#REF!/1000)</f>
        <v>#REF!</v>
      </c>
      <c r="CH221" s="79" t="e">
        <f>IF(#REF!="",0,(#REF!+#REF!-#REF!)*#REF!*#REF!/1000)</f>
        <v>#REF!</v>
      </c>
      <c r="CI221" s="79" t="e">
        <f>IF(#REF!="",0,(#REF!+#REF!-#REF!)*#REF!*#REF!/1000)</f>
        <v>#REF!</v>
      </c>
      <c r="CJ221" s="79" t="e">
        <f>IF(#REF!="",0,(#REF!+#REF!-#REF!)*#REF!*#REF!/1000)</f>
        <v>#REF!</v>
      </c>
      <c r="CK221" s="79" t="e">
        <f>IF(#REF!="",0,(#REF!+#REF!-#REF!)*#REF!*#REF!/1000)</f>
        <v>#REF!</v>
      </c>
      <c r="CL221" s="79" t="e">
        <f>IF(#REF!="",0,(#REF!+#REF!-#REF!)*#REF!*#REF!/1000)</f>
        <v>#REF!</v>
      </c>
      <c r="CM221" s="79" t="e">
        <f>IF(#REF!="",0,(#REF!+#REF!-#REF!)*#REF!*#REF!/1000)</f>
        <v>#REF!</v>
      </c>
      <c r="CN221" s="79" t="e">
        <f>IF(#REF!="",0,(#REF!+#REF!-#REF!)*#REF!*#REF!/1000)</f>
        <v>#REF!</v>
      </c>
      <c r="CO221" s="79" t="e">
        <f>IF(#REF!="",0,(#REF!+#REF!-#REF!)*#REF!*#REF!/1000)</f>
        <v>#REF!</v>
      </c>
      <c r="CP221" s="79" t="e">
        <f>IF(#REF!="",0,(#REF!+#REF!-#REF!)*#REF!*#REF!/1000)</f>
        <v>#REF!</v>
      </c>
      <c r="CQ221" s="79" t="e">
        <f>IF(#REF!="",0,(#REF!+#REF!-#REF!)*#REF!*#REF!/1000)</f>
        <v>#REF!</v>
      </c>
      <c r="CR221" s="79" t="e">
        <f>IF(#REF!="",0,(#REF!+#REF!-#REF!)*#REF!*#REF!/1000)</f>
        <v>#REF!</v>
      </c>
      <c r="CS221" s="79" t="e">
        <f>IF(#REF!="",0,(#REF!+#REF!-#REF!)*#REF!*#REF!/1000)</f>
        <v>#REF!</v>
      </c>
      <c r="CT221" s="79" t="e">
        <f>IF(#REF!="",0,(#REF!+#REF!-#REF!)*#REF!*#REF!/1000)</f>
        <v>#REF!</v>
      </c>
      <c r="CU221" s="79" t="e">
        <f>IF(#REF!="",0,(#REF!+#REF!-#REF!)*#REF!*#REF!/1000)</f>
        <v>#REF!</v>
      </c>
      <c r="CV221" s="79" t="e">
        <f>IF(#REF!="",0,(#REF!+#REF!-#REF!)*#REF!*#REF!/1000)</f>
        <v>#REF!</v>
      </c>
      <c r="CW221" s="79" t="e">
        <f>IF(#REF!="",0,(#REF!+#REF!-#REF!)*#REF!*#REF!/1000)</f>
        <v>#REF!</v>
      </c>
      <c r="CX221" s="79" t="e">
        <f>IF(#REF!="",0,(#REF!+#REF!-#REF!)*#REF!*#REF!/1000)</f>
        <v>#REF!</v>
      </c>
      <c r="CY221" s="79" t="e">
        <f>IF(#REF!="",0,(#REF!+#REF!-#REF!)*#REF!*#REF!/1000)</f>
        <v>#REF!</v>
      </c>
      <c r="CZ221" s="79" t="e">
        <f>IF(#REF!="",0,(#REF!+#REF!-#REF!)*#REF!*#REF!/1000)</f>
        <v>#REF!</v>
      </c>
      <c r="DA221" s="79" t="e">
        <f>IF(#REF!="",0,(#REF!+#REF!-#REF!)*#REF!*#REF!/1000)</f>
        <v>#REF!</v>
      </c>
      <c r="DB221" s="79" t="e">
        <f>IF(#REF!="",0,(#REF!+#REF!-#REF!)*#REF!*#REF!/1000)</f>
        <v>#REF!</v>
      </c>
      <c r="DC221" s="79" t="e">
        <f>IF(#REF!="",0,(#REF!+#REF!-#REF!)*#REF!*#REF!/1000)</f>
        <v>#REF!</v>
      </c>
      <c r="DD221" s="79" t="e">
        <f>IF(#REF!="",0,(#REF!+#REF!-#REF!)*#REF!*#REF!/1000)</f>
        <v>#REF!</v>
      </c>
      <c r="DE221" s="79" t="e">
        <f>IF(#REF!="",0,(#REF!+#REF!-#REF!)*#REF!*#REF!/1000)</f>
        <v>#REF!</v>
      </c>
      <c r="DF221" s="79" t="e">
        <f>IF(#REF!="",0,(#REF!+#REF!-#REF!)*#REF!*#REF!/1000)</f>
        <v>#REF!</v>
      </c>
      <c r="DG221" s="79" t="e">
        <f>IF(#REF!="",0,(#REF!+#REF!-#REF!)*#REF!*#REF!/1000)</f>
        <v>#REF!</v>
      </c>
      <c r="DH221" s="79" t="e">
        <f>IF(#REF!="",0,(#REF!+#REF!-#REF!)*#REF!*#REF!/1000)</f>
        <v>#REF!</v>
      </c>
      <c r="DI221" s="79" t="e">
        <f>IF(#REF!="",0,(#REF!+#REF!-#REF!)*#REF!*#REF!/1000)</f>
        <v>#REF!</v>
      </c>
      <c r="DJ221" s="79" t="e">
        <f>IF(#REF!="",0,(#REF!+#REF!-#REF!)*#REF!*#REF!/1000)</f>
        <v>#REF!</v>
      </c>
      <c r="DK221" s="79" t="e">
        <f>IF(#REF!="",0,(#REF!+#REF!-#REF!)*#REF!*#REF!/1000)</f>
        <v>#REF!</v>
      </c>
      <c r="DL221" s="79" t="e">
        <f>IF(#REF!="",0,(#REF!+#REF!-#REF!)*#REF!*#REF!/1000)</f>
        <v>#REF!</v>
      </c>
      <c r="DM221" s="79" t="e">
        <f>IF(#REF!="",0,(#REF!+#REF!-#REF!)*#REF!*#REF!/1000)</f>
        <v>#REF!</v>
      </c>
      <c r="DN221" s="79" t="e">
        <f>IF(#REF!="",0,(#REF!+#REF!-#REF!)*#REF!*#REF!/1000)</f>
        <v>#REF!</v>
      </c>
      <c r="DO221" s="79" t="e">
        <f>IF(#REF!="",0,(#REF!+#REF!-#REF!)*#REF!*#REF!/1000)</f>
        <v>#REF!</v>
      </c>
      <c r="DP221" s="79" t="e">
        <f>IF(#REF!="",0,(#REF!+#REF!-#REF!)*#REF!*#REF!/1000)</f>
        <v>#REF!</v>
      </c>
      <c r="DQ221" s="79" t="e">
        <f>IF(#REF!="",0,(#REF!+#REF!-#REF!)*#REF!*#REF!/1000)</f>
        <v>#REF!</v>
      </c>
      <c r="DR221" s="79" t="e">
        <f>IF(#REF!="",0,(#REF!+#REF!-#REF!)*#REF!*#REF!/1000)</f>
        <v>#REF!</v>
      </c>
      <c r="DS221" s="79" t="e">
        <f>IF(#REF!="",0,(#REF!+#REF!-#REF!)*#REF!*#REF!/1000)</f>
        <v>#REF!</v>
      </c>
      <c r="DT221" s="79" t="e">
        <f>IF(#REF!="",0,(#REF!+#REF!-#REF!)*#REF!*#REF!/1000)</f>
        <v>#REF!</v>
      </c>
      <c r="DU221" s="79" t="e">
        <f>IF(#REF!="",0,(#REF!+#REF!-#REF!)*#REF!*#REF!/1000)</f>
        <v>#REF!</v>
      </c>
      <c r="DV221" s="79" t="e">
        <f>IF(#REF!="",0,(#REF!+#REF!-#REF!)*#REF!*#REF!/1000)</f>
        <v>#REF!</v>
      </c>
      <c r="DW221" s="79" t="e">
        <f>IF(#REF!="",0,(#REF!+#REF!-#REF!)*#REF!*#REF!/1000)</f>
        <v>#REF!</v>
      </c>
      <c r="DX221" s="79" t="e">
        <f>IF(#REF!="",0,(#REF!+#REF!-#REF!)*#REF!*#REF!/1000)</f>
        <v>#REF!</v>
      </c>
      <c r="DY221" s="79" t="e">
        <f>IF(#REF!="",0,(#REF!+#REF!-#REF!)*#REF!*#REF!/1000)</f>
        <v>#REF!</v>
      </c>
      <c r="DZ221" s="79" t="e">
        <f>IF(#REF!="",0,(#REF!+#REF!-#REF!)*#REF!*#REF!/1000)</f>
        <v>#REF!</v>
      </c>
      <c r="EA221" s="79" t="e">
        <f>IF(#REF!="",0,(#REF!+#REF!-#REF!)*#REF!*#REF!/1000)</f>
        <v>#REF!</v>
      </c>
      <c r="EB221" s="79" t="e">
        <f>IF(#REF!="",0,(#REF!+#REF!-#REF!)*#REF!*#REF!/1000)</f>
        <v>#REF!</v>
      </c>
      <c r="EC221" s="79" t="e">
        <f>IF(#REF!="",0,(#REF!+#REF!-#REF!)*#REF!*#REF!/1000)</f>
        <v>#REF!</v>
      </c>
      <c r="ED221" s="79" t="e">
        <f>IF(#REF!="",0,(#REF!+#REF!-#REF!)*#REF!*#REF!/1000)</f>
        <v>#REF!</v>
      </c>
      <c r="EE221" s="79" t="e">
        <f>IF(#REF!="",0,(#REF!+#REF!-#REF!)*#REF!*#REF!/1000)</f>
        <v>#REF!</v>
      </c>
      <c r="EF221" s="79" t="e">
        <f>IF(#REF!="",0,(#REF!+#REF!-#REF!)*#REF!*#REF!/1000)</f>
        <v>#REF!</v>
      </c>
      <c r="EG221" s="79" t="e">
        <f>IF(#REF!="",0,(#REF!+#REF!-#REF!)*#REF!*#REF!/1000)</f>
        <v>#REF!</v>
      </c>
      <c r="EH221" s="79" t="e">
        <f>IF(#REF!="",0,(#REF!+#REF!-#REF!)*#REF!*#REF!/1000)</f>
        <v>#REF!</v>
      </c>
      <c r="EI221" s="79" t="e">
        <f>IF(#REF!="",0,(#REF!+#REF!-#REF!)*#REF!*#REF!/1000)</f>
        <v>#REF!</v>
      </c>
      <c r="EJ221" s="79" t="e">
        <f>IF(#REF!="",0,(#REF!+#REF!-#REF!)*#REF!*#REF!/1000)</f>
        <v>#REF!</v>
      </c>
      <c r="EK221" s="79" t="e">
        <f>IF(#REF!="",0,(#REF!+#REF!-#REF!)*#REF!*#REF!/1000)</f>
        <v>#REF!</v>
      </c>
      <c r="EL221" s="79" t="e">
        <f>IF(#REF!="",0,(#REF!+#REF!-#REF!)*#REF!*#REF!/1000)</f>
        <v>#REF!</v>
      </c>
      <c r="EM221" s="79" t="e">
        <f>IF(#REF!="",0,(#REF!+#REF!-#REF!)*#REF!*#REF!/1000)</f>
        <v>#REF!</v>
      </c>
      <c r="EN221" s="79" t="e">
        <f>IF(#REF!="",0,(#REF!+#REF!-#REF!)*#REF!*#REF!/1000)</f>
        <v>#REF!</v>
      </c>
      <c r="EO221" s="79" t="e">
        <f>IF(#REF!="",0,(#REF!+#REF!-#REF!)*#REF!*#REF!/1000)</f>
        <v>#REF!</v>
      </c>
      <c r="EP221" s="79" t="e">
        <f>IF(#REF!="",0,(#REF!+#REF!-#REF!)*#REF!*#REF!/1000)</f>
        <v>#REF!</v>
      </c>
      <c r="EQ221" s="79" t="e">
        <f>IF(#REF!="",0,(#REF!+#REF!-#REF!)*#REF!*#REF!/1000)</f>
        <v>#REF!</v>
      </c>
      <c r="ER221" s="79" t="e">
        <f>IF(#REF!="",0,(#REF!+#REF!-#REF!)*#REF!*#REF!/1000)</f>
        <v>#REF!</v>
      </c>
      <c r="ES221" s="79" t="e">
        <f>IF(#REF!="",0,(#REF!+#REF!-#REF!)*#REF!*#REF!/1000)</f>
        <v>#REF!</v>
      </c>
      <c r="ET221" s="79" t="e">
        <f>IF(#REF!="",0,(#REF!+#REF!-#REF!)*#REF!*#REF!/1000)</f>
        <v>#REF!</v>
      </c>
      <c r="EU221" s="79" t="e">
        <f>IF(#REF!="",0,(#REF!+#REF!-#REF!)*#REF!*#REF!/1000)</f>
        <v>#REF!</v>
      </c>
      <c r="EV221" s="79" t="e">
        <f>IF(#REF!="",0,(#REF!+#REF!-#REF!)*#REF!*#REF!/1000)</f>
        <v>#REF!</v>
      </c>
      <c r="EW221" s="79" t="e">
        <f>IF(#REF!="",0,(#REF!+#REF!-#REF!)*#REF!*#REF!/1000)</f>
        <v>#REF!</v>
      </c>
      <c r="EX221" s="79" t="e">
        <f>IF(#REF!="",0,(#REF!+#REF!-#REF!)*#REF!*#REF!/1000)</f>
        <v>#REF!</v>
      </c>
      <c r="EY221" s="79" t="e">
        <f>IF(#REF!="",0,(#REF!+#REF!-#REF!)*#REF!*#REF!/1000)</f>
        <v>#REF!</v>
      </c>
      <c r="EZ221" s="79" t="e">
        <f>IF(#REF!="",0,(#REF!+#REF!-#REF!)*#REF!*#REF!/1000)</f>
        <v>#REF!</v>
      </c>
      <c r="FA221" s="79" t="e">
        <f>IF(#REF!="",0,(#REF!+#REF!-#REF!)*#REF!*#REF!/1000)</f>
        <v>#REF!</v>
      </c>
      <c r="FB221" s="79" t="e">
        <f>IF(#REF!="",0,(#REF!+#REF!-#REF!)*#REF!*#REF!/1000)</f>
        <v>#REF!</v>
      </c>
      <c r="FC221" s="79" t="e">
        <f>IF(#REF!="",0,(#REF!+#REF!-#REF!)*#REF!*#REF!/1000)</f>
        <v>#REF!</v>
      </c>
      <c r="FD221" s="79" t="e">
        <f>IF(#REF!="",0,(#REF!+#REF!-#REF!)*#REF!*#REF!/1000)</f>
        <v>#REF!</v>
      </c>
      <c r="FE221" s="79" t="e">
        <f>IF(#REF!="",0,(#REF!+#REF!-#REF!)*#REF!*#REF!/1000)</f>
        <v>#REF!</v>
      </c>
      <c r="FF221" s="79" t="e">
        <f>IF(#REF!="",0,(#REF!+#REF!-#REF!)*#REF!*#REF!/1000)</f>
        <v>#REF!</v>
      </c>
      <c r="FG221" s="79" t="e">
        <f>IF(#REF!="",0,(#REF!+#REF!-#REF!)*#REF!*#REF!/1000)</f>
        <v>#REF!</v>
      </c>
      <c r="FH221" s="79" t="e">
        <f>IF(#REF!="",0,(#REF!+#REF!-#REF!)*#REF!*#REF!/1000)</f>
        <v>#REF!</v>
      </c>
      <c r="FI221" s="79" t="e">
        <f>IF(#REF!="",0,(#REF!+#REF!-#REF!)*#REF!*#REF!/1000)</f>
        <v>#REF!</v>
      </c>
      <c r="FJ221" s="79" t="e">
        <f>IF(#REF!="",0,(#REF!+#REF!-#REF!)*#REF!*#REF!/1000)</f>
        <v>#REF!</v>
      </c>
      <c r="FK221" s="79" t="e">
        <f>IF(#REF!="",0,(#REF!+#REF!-#REF!)*#REF!*#REF!/1000)</f>
        <v>#REF!</v>
      </c>
      <c r="FL221" s="79" t="e">
        <f>IF(#REF!="",0,(#REF!+#REF!-#REF!)*#REF!*#REF!/1000)</f>
        <v>#REF!</v>
      </c>
      <c r="FM221" s="79" t="e">
        <f>IF(#REF!="",0,(#REF!+#REF!-#REF!)*#REF!*#REF!/1000)</f>
        <v>#REF!</v>
      </c>
      <c r="FN221" s="79" t="e">
        <f>IF(#REF!="",0,(#REF!+#REF!-#REF!)*#REF!*#REF!/1000)</f>
        <v>#REF!</v>
      </c>
      <c r="FO221" s="79" t="e">
        <f>IF(#REF!="",0,(#REF!+#REF!-#REF!)*#REF!*#REF!/1000)</f>
        <v>#REF!</v>
      </c>
      <c r="FP221" s="79" t="e">
        <f>IF(#REF!="",0,(#REF!+#REF!-#REF!)*#REF!*#REF!/1000)</f>
        <v>#REF!</v>
      </c>
      <c r="FQ221" s="79" t="e">
        <f>IF(#REF!="",0,(#REF!+#REF!-#REF!)*#REF!*#REF!/1000)</f>
        <v>#REF!</v>
      </c>
      <c r="FR221" s="79" t="e">
        <f>IF(#REF!="",0,(#REF!+#REF!-#REF!)*#REF!*#REF!/1000)</f>
        <v>#REF!</v>
      </c>
      <c r="FS221" s="79" t="e">
        <f>IF(#REF!="",0,(#REF!+#REF!-#REF!)*#REF!*#REF!/1000)</f>
        <v>#REF!</v>
      </c>
      <c r="FT221" s="79" t="e">
        <f>IF(#REF!="",0,(#REF!+#REF!-#REF!)*#REF!*#REF!/1000)</f>
        <v>#REF!</v>
      </c>
      <c r="FU221" s="79" t="e">
        <f>IF(#REF!="",0,(#REF!+#REF!-#REF!)*#REF!*#REF!/1000)</f>
        <v>#REF!</v>
      </c>
      <c r="FV221" s="79" t="e">
        <f>IF(#REF!="",0,(#REF!+#REF!-#REF!)*#REF!*#REF!/1000)</f>
        <v>#REF!</v>
      </c>
      <c r="FW221" s="79" t="e">
        <f>IF(#REF!="",0,(#REF!+#REF!-#REF!)*#REF!*#REF!/1000)</f>
        <v>#REF!</v>
      </c>
      <c r="FX221" s="79" t="e">
        <f>IF(#REF!="",0,(#REF!+#REF!-#REF!)*#REF!*#REF!/1000)</f>
        <v>#REF!</v>
      </c>
      <c r="FY221" s="79" t="e">
        <f>IF(#REF!="",0,(#REF!+#REF!-#REF!)*#REF!*#REF!/1000)</f>
        <v>#REF!</v>
      </c>
      <c r="FZ221" s="79" t="e">
        <f>IF(#REF!="",0,(#REF!+#REF!-#REF!)*#REF!*#REF!/1000)</f>
        <v>#REF!</v>
      </c>
      <c r="GA221" s="79" t="e">
        <f>IF(#REF!="",0,(#REF!+#REF!-#REF!)*#REF!*#REF!/1000)</f>
        <v>#REF!</v>
      </c>
      <c r="GB221" s="79" t="e">
        <f>IF(#REF!="",0,(#REF!+#REF!-#REF!)*#REF!*#REF!/1000)</f>
        <v>#REF!</v>
      </c>
      <c r="GC221" s="79" t="e">
        <f>IF(#REF!="",0,(#REF!+#REF!-#REF!)*#REF!*#REF!/1000)</f>
        <v>#REF!</v>
      </c>
      <c r="GD221" s="79" t="e">
        <f>IF(#REF!="",0,(#REF!+#REF!-#REF!)*#REF!*#REF!/1000)</f>
        <v>#REF!</v>
      </c>
      <c r="GE221" s="79" t="e">
        <f>IF(#REF!="",0,(#REF!+#REF!-#REF!)*#REF!*#REF!/1000)</f>
        <v>#REF!</v>
      </c>
      <c r="GF221" s="79" t="e">
        <f>IF(#REF!="",0,(#REF!+#REF!-#REF!)*#REF!*#REF!/1000)</f>
        <v>#REF!</v>
      </c>
      <c r="GG221" s="79" t="e">
        <f>IF(#REF!="",0,(#REF!+#REF!-#REF!)*#REF!*#REF!/1000)</f>
        <v>#REF!</v>
      </c>
      <c r="GH221" s="79" t="e">
        <f>IF(#REF!="",0,(#REF!+#REF!-#REF!)*#REF!*#REF!/1000)</f>
        <v>#REF!</v>
      </c>
      <c r="GI221" s="79" t="e">
        <f>IF(#REF!="",0,(#REF!+#REF!-#REF!)*#REF!*#REF!/1000)</f>
        <v>#REF!</v>
      </c>
      <c r="GJ221" s="79" t="e">
        <f>IF(#REF!="",0,(#REF!+#REF!-#REF!)*#REF!*#REF!/1000)</f>
        <v>#REF!</v>
      </c>
      <c r="GK221" s="79" t="e">
        <f>IF(#REF!="",0,(#REF!+#REF!-#REF!)*#REF!*#REF!/1000)</f>
        <v>#REF!</v>
      </c>
      <c r="GL221" s="79" t="e">
        <f>IF(#REF!="",0,(#REF!+#REF!-#REF!)*#REF!*#REF!/1000)</f>
        <v>#REF!</v>
      </c>
      <c r="GM221" s="79" t="e">
        <f>IF(#REF!="",0,(#REF!+#REF!-#REF!)*#REF!*#REF!/1000)</f>
        <v>#REF!</v>
      </c>
      <c r="GN221" s="79" t="e">
        <f>IF(#REF!="",0,(#REF!+#REF!-#REF!)*#REF!*#REF!/1000)</f>
        <v>#REF!</v>
      </c>
      <c r="GO221" s="79" t="e">
        <f>IF(#REF!="",0,(#REF!+#REF!-#REF!)*#REF!*#REF!/1000)</f>
        <v>#REF!</v>
      </c>
      <c r="GP221" s="79" t="e">
        <f>IF(#REF!="",0,(#REF!+#REF!-#REF!)*#REF!*#REF!/1000)</f>
        <v>#REF!</v>
      </c>
      <c r="GQ221" s="79" t="e">
        <f>IF(#REF!="",0,(#REF!+#REF!-#REF!)*#REF!*#REF!/1000)</f>
        <v>#REF!</v>
      </c>
      <c r="GR221" s="79" t="e">
        <f>IF(#REF!="",0,(#REF!+#REF!-#REF!)*#REF!*#REF!/1000)</f>
        <v>#REF!</v>
      </c>
      <c r="GS221" s="79" t="e">
        <f>IF(#REF!="",0,(#REF!+#REF!-#REF!)*#REF!*#REF!/1000)</f>
        <v>#REF!</v>
      </c>
      <c r="GT221" s="79" t="e">
        <f>IF(#REF!="",0,(#REF!+#REF!-#REF!)*#REF!*#REF!/1000)</f>
        <v>#REF!</v>
      </c>
      <c r="GU221" s="79" t="e">
        <f>IF(#REF!="",0,(#REF!+#REF!-#REF!)*#REF!*#REF!/1000)</f>
        <v>#REF!</v>
      </c>
      <c r="GV221" s="79" t="e">
        <f>IF(#REF!="",0,(#REF!+#REF!-#REF!)*#REF!*#REF!/1000)</f>
        <v>#REF!</v>
      </c>
      <c r="GW221" s="79" t="e">
        <f>IF(#REF!="",0,(#REF!+#REF!-#REF!)*#REF!*#REF!/1000)</f>
        <v>#REF!</v>
      </c>
      <c r="GX221" s="79" t="e">
        <f>IF(#REF!="",0,(#REF!+#REF!-#REF!)*#REF!*#REF!/1000)</f>
        <v>#REF!</v>
      </c>
      <c r="GY221" s="79" t="e">
        <f>IF(#REF!="",0,(#REF!+#REF!-#REF!)*#REF!*#REF!/1000)</f>
        <v>#REF!</v>
      </c>
      <c r="GZ221" s="79" t="e">
        <f>IF(#REF!="",0,(#REF!+#REF!-#REF!)*#REF!*#REF!/1000)</f>
        <v>#REF!</v>
      </c>
      <c r="HA221" s="79" t="e">
        <f>IF(#REF!="",0,(#REF!+#REF!-#REF!)*#REF!*#REF!/1000)</f>
        <v>#REF!</v>
      </c>
      <c r="HB221" s="79" t="e">
        <f>IF(#REF!="",0,(#REF!+#REF!-#REF!)*#REF!*#REF!/1000)</f>
        <v>#REF!</v>
      </c>
      <c r="HC221" s="79" t="e">
        <f>IF(#REF!="",0,(#REF!+#REF!-#REF!)*#REF!*#REF!/1000)</f>
        <v>#REF!</v>
      </c>
      <c r="HD221" s="79" t="e">
        <f>IF(#REF!="",0,(#REF!+#REF!-#REF!)*#REF!*#REF!/1000)</f>
        <v>#REF!</v>
      </c>
      <c r="HE221" s="79" t="e">
        <f>IF(#REF!="",0,(#REF!+#REF!-#REF!)*#REF!*#REF!/1000)</f>
        <v>#REF!</v>
      </c>
      <c r="HF221" s="79" t="e">
        <f>IF(#REF!="",0,(#REF!+#REF!-#REF!)*#REF!*#REF!/1000)</f>
        <v>#REF!</v>
      </c>
      <c r="HG221" s="79" t="e">
        <f>IF(#REF!="",0,(#REF!+#REF!-#REF!)*#REF!*#REF!/1000)</f>
        <v>#REF!</v>
      </c>
      <c r="HH221" s="79" t="e">
        <f>IF(#REF!="",0,(#REF!+#REF!-#REF!)*#REF!*#REF!/1000)</f>
        <v>#REF!</v>
      </c>
      <c r="HI221" s="79" t="e">
        <f>IF(#REF!="",0,(#REF!+#REF!-#REF!)*#REF!*#REF!/1000)</f>
        <v>#REF!</v>
      </c>
      <c r="HJ221" s="79" t="e">
        <f>IF(#REF!="",0,(#REF!+#REF!-#REF!)*#REF!*#REF!/1000)</f>
        <v>#REF!</v>
      </c>
      <c r="HK221" s="79" t="e">
        <f>IF(#REF!="",0,(#REF!+#REF!-#REF!)*#REF!*#REF!/1000)</f>
        <v>#REF!</v>
      </c>
      <c r="HL221" s="79" t="e">
        <f>IF(#REF!="",0,(#REF!+#REF!-#REF!)*#REF!*#REF!/1000)</f>
        <v>#REF!</v>
      </c>
      <c r="HM221" s="79" t="e">
        <f>IF(#REF!="",0,(#REF!+#REF!-#REF!)*#REF!*#REF!/1000)</f>
        <v>#REF!</v>
      </c>
      <c r="HN221" s="79" t="e">
        <f>IF(#REF!="",0,(#REF!+#REF!-#REF!)*#REF!*#REF!/1000)</f>
        <v>#REF!</v>
      </c>
      <c r="HO221" s="79" t="e">
        <f>IF(#REF!="",0,(#REF!+#REF!-#REF!)*#REF!*#REF!/1000)</f>
        <v>#REF!</v>
      </c>
      <c r="HP221" s="79" t="e">
        <f>IF(#REF!="",0,(#REF!+#REF!-#REF!)*#REF!*#REF!/1000)</f>
        <v>#REF!</v>
      </c>
      <c r="HQ221" s="79" t="e">
        <f>IF(#REF!="",0,(#REF!+#REF!-#REF!)*#REF!*#REF!/1000)</f>
        <v>#REF!</v>
      </c>
      <c r="HR221" s="79" t="e">
        <f>IF(#REF!="",0,(#REF!+#REF!-#REF!)*#REF!*#REF!/1000)</f>
        <v>#REF!</v>
      </c>
      <c r="HS221" s="79" t="e">
        <f>IF(#REF!="",0,(#REF!+#REF!-#REF!)*#REF!*#REF!/1000)</f>
        <v>#REF!</v>
      </c>
      <c r="HT221" s="79" t="e">
        <f>IF(#REF!="",0,(#REF!+#REF!-#REF!)*#REF!*#REF!/1000)</f>
        <v>#REF!</v>
      </c>
      <c r="HU221" s="79" t="e">
        <f>IF(#REF!="",0,(#REF!+#REF!-#REF!)*#REF!*#REF!/1000)</f>
        <v>#REF!</v>
      </c>
      <c r="HV221" s="79" t="e">
        <f>IF(#REF!="",0,(#REF!+#REF!-#REF!)*#REF!*#REF!/1000)</f>
        <v>#REF!</v>
      </c>
      <c r="HW221" s="79" t="e">
        <f>IF(#REF!="",0,(#REF!+#REF!-#REF!)*#REF!*#REF!/1000)</f>
        <v>#REF!</v>
      </c>
      <c r="HX221" s="79" t="e">
        <f>IF(#REF!="",0,(#REF!+#REF!-#REF!)*#REF!*#REF!/1000)</f>
        <v>#REF!</v>
      </c>
      <c r="HY221" s="79" t="e">
        <f>IF(#REF!="",0,(#REF!+#REF!-#REF!)*#REF!*#REF!/1000)</f>
        <v>#REF!</v>
      </c>
      <c r="HZ221" s="79" t="e">
        <f>IF(#REF!="",0,(#REF!+#REF!-#REF!)*#REF!*#REF!/1000)</f>
        <v>#REF!</v>
      </c>
      <c r="IA221" s="79" t="e">
        <f>IF(#REF!="",0,(#REF!+#REF!-#REF!)*#REF!*#REF!/1000)</f>
        <v>#REF!</v>
      </c>
      <c r="IB221" s="79" t="e">
        <f>IF(#REF!="",0,(#REF!+#REF!-#REF!)*#REF!*#REF!/1000)</f>
        <v>#REF!</v>
      </c>
      <c r="IC221" s="79" t="e">
        <f>IF(#REF!="",0,(#REF!+#REF!-#REF!)*#REF!*#REF!/1000)</f>
        <v>#REF!</v>
      </c>
      <c r="ID221" s="79" t="e">
        <f>IF(#REF!="",0,(#REF!+#REF!-#REF!)*#REF!*#REF!/1000)</f>
        <v>#REF!</v>
      </c>
      <c r="IE221" s="79" t="e">
        <f>IF(#REF!="",0,(#REF!+#REF!-#REF!)*#REF!*#REF!/1000)</f>
        <v>#REF!</v>
      </c>
      <c r="IF221" s="79" t="e">
        <f>IF(#REF!="",0,(#REF!+#REF!-#REF!)*#REF!*#REF!/1000)</f>
        <v>#REF!</v>
      </c>
      <c r="IG221" s="79" t="e">
        <f>IF(#REF!="",0,(#REF!+#REF!-#REF!)*#REF!*#REF!/1000)</f>
        <v>#REF!</v>
      </c>
      <c r="IH221" s="79" t="e">
        <f>IF(#REF!="",0,(#REF!+#REF!-#REF!)*#REF!*#REF!/1000)</f>
        <v>#REF!</v>
      </c>
      <c r="II221" s="79" t="e">
        <f>IF(#REF!="",0,(#REF!+#REF!-#REF!)*#REF!*#REF!/1000)</f>
        <v>#REF!</v>
      </c>
      <c r="IJ221" s="79" t="e">
        <f>IF(#REF!="",0,(#REF!+#REF!-#REF!)*#REF!*#REF!/1000)</f>
        <v>#REF!</v>
      </c>
      <c r="IK221" s="79" t="e">
        <f>IF(#REF!="",0,(#REF!+#REF!-#REF!)*#REF!*#REF!/1000)</f>
        <v>#REF!</v>
      </c>
      <c r="IL221" s="79" t="e">
        <f>IF(#REF!="",0,(#REF!+#REF!-#REF!)*#REF!*#REF!/1000)</f>
        <v>#REF!</v>
      </c>
      <c r="IM221" s="79" t="e">
        <f>IF(#REF!="",0,(#REF!+#REF!-#REF!)*#REF!*#REF!/1000)</f>
        <v>#REF!</v>
      </c>
      <c r="IN221" s="79" t="e">
        <f>IF(#REF!="",0,(#REF!+#REF!-#REF!)*#REF!*#REF!/1000)</f>
        <v>#REF!</v>
      </c>
      <c r="IO221" s="79" t="e">
        <f>IF(#REF!="",0,(#REF!+#REF!-#REF!)*#REF!*#REF!/1000)</f>
        <v>#REF!</v>
      </c>
      <c r="IP221" s="79" t="e">
        <f>IF(#REF!="",0,(#REF!+#REF!-#REF!)*#REF!*#REF!/1000)</f>
        <v>#REF!</v>
      </c>
      <c r="IQ221" s="79" t="e">
        <f>IF(#REF!="",0,(#REF!+#REF!-#REF!)*#REF!*#REF!/1000)</f>
        <v>#REF!</v>
      </c>
      <c r="IR221" s="79" t="e">
        <f>IF(#REF!="",0,(#REF!+#REF!-#REF!)*#REF!*#REF!/1000)</f>
        <v>#REF!</v>
      </c>
      <c r="IS221" s="79" t="e">
        <f>IF(#REF!="",0,(#REF!+#REF!-#REF!)*#REF!*#REF!/1000)</f>
        <v>#REF!</v>
      </c>
      <c r="IT221" s="79" t="e">
        <f>IF(#REF!="",0,(#REF!+#REF!-#REF!)*#REF!*#REF!/1000)</f>
        <v>#REF!</v>
      </c>
      <c r="IU221" s="79" t="e">
        <f>IF(#REF!="",0,(#REF!+#REF!-#REF!)*#REF!*#REF!/1000)</f>
        <v>#REF!</v>
      </c>
      <c r="IV221" s="79" t="e">
        <f>IF(#REF!="",0,(#REF!+#REF!-#REF!)*#REF!*#REF!/1000)</f>
        <v>#REF!</v>
      </c>
      <c r="IW221" s="79" t="e">
        <f>IF(#REF!="",0,(#REF!+#REF!-#REF!)*#REF!*#REF!/1000)</f>
        <v>#REF!</v>
      </c>
      <c r="IX221" s="79" t="e">
        <f>IF(#REF!="",0,(#REF!+#REF!-#REF!)*#REF!*#REF!/1000)</f>
        <v>#REF!</v>
      </c>
      <c r="IY221" s="79" t="e">
        <f>IF(#REF!="",0,(#REF!+#REF!-#REF!)*#REF!*#REF!/1000)</f>
        <v>#REF!</v>
      </c>
      <c r="IZ221" s="79" t="e">
        <f>IF(#REF!="",0,(#REF!+#REF!-#REF!)*#REF!*#REF!/1000)</f>
        <v>#REF!</v>
      </c>
      <c r="JA221" s="79" t="e">
        <f>IF(#REF!="",0,(#REF!+#REF!-#REF!)*#REF!*#REF!/1000)</f>
        <v>#REF!</v>
      </c>
      <c r="JB221" s="79" t="e">
        <f>IF(#REF!="",0,(#REF!+#REF!-#REF!)*#REF!*#REF!/1000)</f>
        <v>#REF!</v>
      </c>
      <c r="JC221" s="79" t="e">
        <f>IF(#REF!="",0,(#REF!+#REF!-#REF!)*#REF!*#REF!/1000)</f>
        <v>#REF!</v>
      </c>
      <c r="JD221" s="79" t="e">
        <f>IF(#REF!="",0,(#REF!+#REF!-#REF!)*#REF!*#REF!/1000)</f>
        <v>#REF!</v>
      </c>
      <c r="JE221" s="79" t="e">
        <f>IF(#REF!="",0,(#REF!+#REF!-#REF!)*#REF!*#REF!/1000)</f>
        <v>#REF!</v>
      </c>
      <c r="JF221" s="79" t="e">
        <f>IF(#REF!="",0,(#REF!+#REF!-#REF!)*#REF!*#REF!/1000)</f>
        <v>#REF!</v>
      </c>
      <c r="JG221" s="79" t="e">
        <f>IF(#REF!="",0,(#REF!+#REF!-#REF!)*#REF!*#REF!/1000)</f>
        <v>#REF!</v>
      </c>
      <c r="JH221" s="79" t="e">
        <f>IF(#REF!="",0,(#REF!+#REF!-#REF!)*#REF!*#REF!/1000)</f>
        <v>#REF!</v>
      </c>
      <c r="JI221" s="79" t="e">
        <f>IF(#REF!="",0,(#REF!+#REF!-#REF!)*#REF!*#REF!/1000)</f>
        <v>#REF!</v>
      </c>
      <c r="JJ221" s="79" t="e">
        <f>IF(#REF!="",0,(#REF!+#REF!-#REF!)*#REF!*#REF!/1000)</f>
        <v>#REF!</v>
      </c>
      <c r="JK221" s="79" t="e">
        <f>IF(#REF!="",0,(#REF!+#REF!-#REF!)*#REF!*#REF!/1000)</f>
        <v>#REF!</v>
      </c>
      <c r="JL221" s="79" t="e">
        <f>IF(#REF!="",0,(#REF!+#REF!-#REF!)*#REF!*#REF!/1000)</f>
        <v>#REF!</v>
      </c>
      <c r="JM221" s="79" t="e">
        <f>IF(#REF!="",0,(#REF!+#REF!-#REF!)*#REF!*#REF!/1000)</f>
        <v>#REF!</v>
      </c>
      <c r="JN221" s="79" t="e">
        <f>IF(#REF!="",0,(#REF!+#REF!-#REF!)*#REF!*#REF!/1000)</f>
        <v>#REF!</v>
      </c>
      <c r="JO221" s="79" t="e">
        <f>IF(#REF!="",0,(#REF!+#REF!-#REF!)*#REF!*#REF!/1000)</f>
        <v>#REF!</v>
      </c>
      <c r="JP221" s="79" t="e">
        <f>IF(#REF!="",0,(#REF!+#REF!-#REF!)*#REF!*#REF!/1000)</f>
        <v>#REF!</v>
      </c>
      <c r="JQ221" s="79" t="e">
        <f>IF(#REF!="",0,(#REF!+#REF!-#REF!)*#REF!*#REF!/1000)</f>
        <v>#REF!</v>
      </c>
      <c r="JR221" s="79" t="e">
        <f>IF(#REF!="",0,(#REF!+#REF!-#REF!)*#REF!*#REF!/1000)</f>
        <v>#REF!</v>
      </c>
      <c r="JS221" s="79" t="e">
        <f>IF(#REF!="",0,(#REF!+#REF!-#REF!)*#REF!*#REF!/1000)</f>
        <v>#REF!</v>
      </c>
      <c r="JT221" s="79" t="e">
        <f>IF(#REF!="",0,(#REF!+#REF!-#REF!)*#REF!*#REF!/1000)</f>
        <v>#REF!</v>
      </c>
      <c r="JU221" s="79" t="e">
        <f>IF(#REF!="",0,(#REF!+#REF!-#REF!)*#REF!*#REF!/1000)</f>
        <v>#REF!</v>
      </c>
      <c r="JV221" s="79" t="e">
        <f>IF(#REF!="",0,(#REF!+#REF!-#REF!)*#REF!*#REF!/1000)</f>
        <v>#REF!</v>
      </c>
      <c r="JW221" s="79" t="e">
        <f>IF(#REF!="",0,(#REF!+#REF!-#REF!)*#REF!*#REF!/1000)</f>
        <v>#REF!</v>
      </c>
      <c r="JX221" s="79" t="e">
        <f>IF(#REF!="",0,(#REF!+#REF!-#REF!)*#REF!*#REF!/1000)</f>
        <v>#REF!</v>
      </c>
      <c r="JY221" s="79" t="e">
        <f>IF(#REF!="",0,(#REF!+#REF!-#REF!)*#REF!*#REF!/1000)</f>
        <v>#REF!</v>
      </c>
      <c r="JZ221" s="79" t="e">
        <f>IF(#REF!="",0,(#REF!+#REF!-#REF!)*#REF!*#REF!/1000)</f>
        <v>#REF!</v>
      </c>
      <c r="KA221" s="79" t="e">
        <f>IF(#REF!="",0,(#REF!+#REF!-#REF!)*#REF!*#REF!/1000)</f>
        <v>#REF!</v>
      </c>
      <c r="KB221" s="79" t="e">
        <f>IF(#REF!="",0,(#REF!+#REF!-#REF!)*#REF!*#REF!/1000)</f>
        <v>#REF!</v>
      </c>
      <c r="KC221" s="79" t="e">
        <f>IF(#REF!="",0,(#REF!+#REF!-#REF!)*#REF!*#REF!/1000)</f>
        <v>#REF!</v>
      </c>
      <c r="KD221" s="79" t="e">
        <f>IF(#REF!="",0,(#REF!+#REF!-#REF!)*#REF!*#REF!/1000)</f>
        <v>#REF!</v>
      </c>
      <c r="KE221" s="79" t="e">
        <f>IF(#REF!="",0,(#REF!+#REF!-#REF!)*#REF!*#REF!/1000)</f>
        <v>#REF!</v>
      </c>
      <c r="KF221" s="79" t="e">
        <f>IF(#REF!="",0,(#REF!+#REF!-#REF!)*#REF!*#REF!/1000)</f>
        <v>#REF!</v>
      </c>
      <c r="KG221" s="79" t="e">
        <f>IF(#REF!="",0,(#REF!+#REF!-#REF!)*#REF!*#REF!/1000)</f>
        <v>#REF!</v>
      </c>
      <c r="KH221" s="79" t="e">
        <f>IF(#REF!="",0,(#REF!+#REF!-#REF!)*#REF!*#REF!/1000)</f>
        <v>#REF!</v>
      </c>
      <c r="KI221" s="79" t="e">
        <f>IF(#REF!="",0,(#REF!+#REF!-#REF!)*#REF!*#REF!/1000)</f>
        <v>#REF!</v>
      </c>
      <c r="KJ221" s="79" t="e">
        <f>IF(#REF!="",0,(#REF!+#REF!-#REF!)*#REF!*#REF!/1000)</f>
        <v>#REF!</v>
      </c>
      <c r="KK221" s="79" t="e">
        <f>IF(#REF!="",0,(#REF!+#REF!-#REF!)*#REF!*#REF!/1000)</f>
        <v>#REF!</v>
      </c>
      <c r="KL221" s="79" t="e">
        <f>IF(#REF!="",0,(#REF!+#REF!-#REF!)*#REF!*#REF!/1000)</f>
        <v>#REF!</v>
      </c>
      <c r="KM221" s="79" t="e">
        <f>IF(#REF!="",0,(#REF!+#REF!-#REF!)*#REF!*#REF!/1000)</f>
        <v>#REF!</v>
      </c>
      <c r="KN221" s="79" t="e">
        <f>IF(#REF!="",0,(#REF!+#REF!-#REF!)*#REF!*#REF!/1000)</f>
        <v>#REF!</v>
      </c>
      <c r="KO221" s="79" t="e">
        <f>IF(#REF!="",0,(#REF!+#REF!-#REF!)*#REF!*#REF!/1000)</f>
        <v>#REF!</v>
      </c>
      <c r="KP221" s="79" t="e">
        <f>IF(#REF!="",0,(#REF!+#REF!-#REF!)*#REF!*#REF!/1000)</f>
        <v>#REF!</v>
      </c>
      <c r="KQ221" s="79" t="e">
        <f>IF(#REF!="",0,(#REF!+#REF!-#REF!)*#REF!*#REF!/1000)</f>
        <v>#REF!</v>
      </c>
      <c r="KR221" s="79" t="e">
        <f>IF(#REF!="",0,(#REF!+#REF!-#REF!)*#REF!*#REF!/1000)</f>
        <v>#REF!</v>
      </c>
      <c r="KS221" s="79" t="e">
        <f>IF(#REF!="",0,(#REF!+#REF!-#REF!)*#REF!*#REF!/1000)</f>
        <v>#REF!</v>
      </c>
      <c r="KT221" s="79" t="e">
        <f>IF(#REF!="",0,(#REF!+#REF!-#REF!)*#REF!*#REF!/1000)</f>
        <v>#REF!</v>
      </c>
      <c r="KU221" s="79" t="e">
        <f>IF(#REF!="",0,(#REF!+#REF!-#REF!)*#REF!*#REF!/1000)</f>
        <v>#REF!</v>
      </c>
      <c r="KV221" s="79" t="e">
        <f>IF(#REF!="",0,(#REF!+#REF!-#REF!)*#REF!*#REF!/1000)</f>
        <v>#REF!</v>
      </c>
      <c r="KW221" s="79" t="e">
        <f>IF(#REF!="",0,(#REF!+#REF!-#REF!)*#REF!*#REF!/1000)</f>
        <v>#REF!</v>
      </c>
      <c r="KX221" s="79" t="e">
        <f>IF(#REF!="",0,(#REF!+#REF!-#REF!)*#REF!*#REF!/1000)</f>
        <v>#REF!</v>
      </c>
      <c r="KY221" s="79" t="e">
        <f>IF(#REF!="",0,(#REF!+#REF!-#REF!)*#REF!*#REF!/1000)</f>
        <v>#REF!</v>
      </c>
      <c r="KZ221" s="79" t="e">
        <f>IF(#REF!="",0,(#REF!+#REF!-#REF!)*#REF!*#REF!/1000)</f>
        <v>#REF!</v>
      </c>
      <c r="LA221" s="79" t="e">
        <f>IF(#REF!="",0,(#REF!+#REF!-#REF!)*#REF!*#REF!/1000)</f>
        <v>#REF!</v>
      </c>
      <c r="LB221" s="79" t="e">
        <f>IF(#REF!="",0,(#REF!+#REF!-#REF!)*#REF!*#REF!/1000)</f>
        <v>#REF!</v>
      </c>
      <c r="LC221" s="79" t="e">
        <f>IF(#REF!="",0,(#REF!+#REF!-#REF!)*#REF!*#REF!/1000)</f>
        <v>#REF!</v>
      </c>
      <c r="LD221" s="79" t="e">
        <f>IF(#REF!="",0,(#REF!+#REF!-#REF!)*#REF!*#REF!/1000)</f>
        <v>#REF!</v>
      </c>
      <c r="LE221" s="79" t="e">
        <f>IF(#REF!="",0,(#REF!+#REF!-#REF!)*#REF!*#REF!/1000)</f>
        <v>#REF!</v>
      </c>
      <c r="LF221" s="79" t="e">
        <f>IF(#REF!="",0,(#REF!+#REF!-#REF!)*#REF!*#REF!/1000)</f>
        <v>#REF!</v>
      </c>
      <c r="LG221" s="79" t="e">
        <f>IF(#REF!="",0,(#REF!+#REF!-#REF!)*#REF!*#REF!/1000)</f>
        <v>#REF!</v>
      </c>
      <c r="LH221" s="79" t="e">
        <f>IF(#REF!="",0,(#REF!+#REF!-#REF!)*#REF!*#REF!/1000)</f>
        <v>#REF!</v>
      </c>
      <c r="LI221" s="79" t="e">
        <f>IF(#REF!="",0,(#REF!+#REF!-#REF!)*#REF!*#REF!/1000)</f>
        <v>#REF!</v>
      </c>
      <c r="LJ221" s="79" t="e">
        <f>IF(#REF!="",0,(#REF!+#REF!-#REF!)*#REF!*#REF!/1000)</f>
        <v>#REF!</v>
      </c>
      <c r="LK221" s="79" t="e">
        <f>IF(#REF!="",0,(#REF!+#REF!-#REF!)*#REF!*#REF!/1000)</f>
        <v>#REF!</v>
      </c>
      <c r="LL221" s="79" t="e">
        <f>IF(#REF!="",0,(#REF!+#REF!-#REF!)*#REF!*#REF!/1000)</f>
        <v>#REF!</v>
      </c>
      <c r="LM221" s="79" t="e">
        <f>IF(#REF!="",0,(#REF!+#REF!-#REF!)*#REF!*#REF!/1000)</f>
        <v>#REF!</v>
      </c>
      <c r="LN221" s="79" t="e">
        <f>IF(#REF!="",0,(#REF!+#REF!-#REF!)*#REF!*#REF!/1000)</f>
        <v>#REF!</v>
      </c>
      <c r="LO221" s="79" t="e">
        <f>IF(#REF!="",0,(#REF!+#REF!-#REF!)*#REF!*#REF!/1000)</f>
        <v>#REF!</v>
      </c>
      <c r="LP221" s="79" t="e">
        <f>IF(#REF!="",0,(#REF!+#REF!-#REF!)*#REF!*#REF!/1000)</f>
        <v>#REF!</v>
      </c>
      <c r="LQ221" s="79" t="e">
        <f>IF(#REF!="",0,(#REF!+#REF!-#REF!)*#REF!*#REF!/1000)</f>
        <v>#REF!</v>
      </c>
      <c r="LR221" s="79" t="e">
        <f>IF(#REF!="",0,(#REF!+#REF!-#REF!)*#REF!*#REF!/1000)</f>
        <v>#REF!</v>
      </c>
      <c r="LS221" s="79" t="e">
        <f>IF(#REF!="",0,(#REF!+#REF!-#REF!)*#REF!*#REF!/1000)</f>
        <v>#REF!</v>
      </c>
      <c r="LT221" s="79" t="e">
        <f>IF(#REF!="",0,(#REF!+#REF!-#REF!)*#REF!*#REF!/1000)</f>
        <v>#REF!</v>
      </c>
      <c r="LU221" s="79" t="e">
        <f>IF(#REF!="",0,(#REF!+#REF!-#REF!)*#REF!*#REF!/1000)</f>
        <v>#REF!</v>
      </c>
      <c r="LV221" s="79" t="e">
        <f>IF(#REF!="",0,(#REF!+#REF!-#REF!)*#REF!*#REF!/1000)</f>
        <v>#REF!</v>
      </c>
      <c r="LW221" s="79" t="e">
        <f>IF(#REF!="",0,(#REF!+#REF!-#REF!)*#REF!*#REF!/1000)</f>
        <v>#REF!</v>
      </c>
      <c r="LX221" s="79" t="e">
        <f>IF(#REF!="",0,(#REF!+#REF!-#REF!)*#REF!*#REF!/1000)</f>
        <v>#REF!</v>
      </c>
      <c r="LY221" s="79" t="e">
        <f>IF(#REF!="",0,(#REF!+#REF!-#REF!)*#REF!*#REF!/1000)</f>
        <v>#REF!</v>
      </c>
      <c r="LZ221" s="79" t="e">
        <f>IF(#REF!="",0,(#REF!+#REF!-#REF!)*#REF!*#REF!/1000)</f>
        <v>#REF!</v>
      </c>
      <c r="MA221" s="79" t="e">
        <f>IF(#REF!="",0,(#REF!+#REF!-#REF!)*#REF!*#REF!/1000)</f>
        <v>#REF!</v>
      </c>
      <c r="MB221" s="79" t="e">
        <f>IF(#REF!="",0,(#REF!+#REF!-#REF!)*#REF!*#REF!/1000)</f>
        <v>#REF!</v>
      </c>
      <c r="MC221" s="79" t="e">
        <f>IF(#REF!="",0,(#REF!+#REF!-#REF!)*#REF!*#REF!/1000)</f>
        <v>#REF!</v>
      </c>
      <c r="MD221" s="79" t="e">
        <f>IF(#REF!="",0,(#REF!+#REF!-#REF!)*#REF!*#REF!/1000)</f>
        <v>#REF!</v>
      </c>
      <c r="ME221" s="79" t="e">
        <f>IF(#REF!="",0,(#REF!+#REF!-#REF!)*#REF!*#REF!/1000)</f>
        <v>#REF!</v>
      </c>
      <c r="MF221" s="79" t="e">
        <f>IF(#REF!="",0,(#REF!+#REF!-#REF!)*#REF!*#REF!/1000)</f>
        <v>#REF!</v>
      </c>
      <c r="MG221" s="79" t="e">
        <f>IF(#REF!="",0,(#REF!+#REF!-#REF!)*#REF!*#REF!/1000)</f>
        <v>#REF!</v>
      </c>
      <c r="MH221" s="79" t="e">
        <f>IF(#REF!="",0,(#REF!+#REF!-#REF!)*#REF!*#REF!/1000)</f>
        <v>#REF!</v>
      </c>
      <c r="MI221" s="79" t="e">
        <f>IF(#REF!="",0,(#REF!+#REF!-#REF!)*#REF!*#REF!/1000)</f>
        <v>#REF!</v>
      </c>
      <c r="MJ221" s="79" t="e">
        <f>IF(#REF!="",0,(#REF!+#REF!-#REF!)*#REF!*#REF!/1000)</f>
        <v>#REF!</v>
      </c>
      <c r="MK221" s="79" t="e">
        <f>IF(#REF!="",0,(#REF!+#REF!-#REF!)*#REF!*#REF!/1000)</f>
        <v>#REF!</v>
      </c>
      <c r="ML221" s="79" t="e">
        <f>IF(#REF!="",0,(#REF!+#REF!-#REF!)*#REF!*#REF!/1000)</f>
        <v>#REF!</v>
      </c>
      <c r="MM221" s="79" t="e">
        <f>IF(#REF!="",0,(#REF!+#REF!-#REF!)*#REF!*#REF!/1000)</f>
        <v>#REF!</v>
      </c>
      <c r="MN221" s="79" t="e">
        <f>IF(#REF!="",0,(#REF!+#REF!-#REF!)*#REF!*#REF!/1000)</f>
        <v>#REF!</v>
      </c>
      <c r="MO221" s="79" t="e">
        <f>IF(#REF!="",0,(#REF!+#REF!-#REF!)*#REF!*#REF!/1000)</f>
        <v>#REF!</v>
      </c>
      <c r="MP221" s="79" t="e">
        <f>IF(#REF!="",0,(#REF!+#REF!-#REF!)*#REF!*#REF!/1000)</f>
        <v>#REF!</v>
      </c>
      <c r="MQ221" s="79" t="e">
        <f>IF(#REF!="",0,(#REF!+#REF!-#REF!)*#REF!*#REF!/1000)</f>
        <v>#REF!</v>
      </c>
      <c r="MR221" s="79" t="e">
        <f>IF(#REF!="",0,(#REF!+#REF!-#REF!)*#REF!*#REF!/1000)</f>
        <v>#REF!</v>
      </c>
      <c r="MS221" s="79" t="e">
        <f>IF(#REF!="",0,(#REF!+#REF!-#REF!)*#REF!*#REF!/1000)</f>
        <v>#REF!</v>
      </c>
      <c r="MT221" s="79" t="e">
        <f>IF(#REF!="",0,(#REF!+#REF!-#REF!)*#REF!*#REF!/1000)</f>
        <v>#REF!</v>
      </c>
      <c r="MU221" s="79" t="e">
        <f>IF(#REF!="",0,(#REF!+#REF!-#REF!)*#REF!*#REF!/1000)</f>
        <v>#REF!</v>
      </c>
      <c r="MV221" s="79" t="e">
        <f>IF(#REF!="",0,(#REF!+#REF!-#REF!)*#REF!*#REF!/1000)</f>
        <v>#REF!</v>
      </c>
      <c r="MW221" s="79" t="e">
        <f>IF(#REF!="",0,(#REF!+#REF!-#REF!)*#REF!*#REF!/1000)</f>
        <v>#REF!</v>
      </c>
      <c r="MX221" s="79" t="e">
        <f>IF(#REF!="",0,(#REF!+#REF!-#REF!)*#REF!*#REF!/1000)</f>
        <v>#REF!</v>
      </c>
      <c r="MY221" s="79" t="e">
        <f>IF(#REF!="",0,(#REF!+#REF!-#REF!)*#REF!*#REF!/1000)</f>
        <v>#REF!</v>
      </c>
      <c r="MZ221" s="79" t="e">
        <f>IF(#REF!="",0,(#REF!+#REF!-#REF!)*#REF!*#REF!/1000)</f>
        <v>#REF!</v>
      </c>
      <c r="NA221" s="79" t="e">
        <f>IF(#REF!="",0,(#REF!+#REF!-#REF!)*#REF!*#REF!/1000)</f>
        <v>#REF!</v>
      </c>
      <c r="NB221" s="79" t="e">
        <f>IF(#REF!="",0,(#REF!+#REF!-#REF!)*#REF!*#REF!/1000)</f>
        <v>#REF!</v>
      </c>
      <c r="NC221" s="79" t="e">
        <f>IF(#REF!="",0,(#REF!+#REF!-#REF!)*#REF!*#REF!/1000)</f>
        <v>#REF!</v>
      </c>
      <c r="ND221" s="79" t="e">
        <f>IF(#REF!="",0,(#REF!+#REF!-#REF!)*#REF!*#REF!/1000)</f>
        <v>#REF!</v>
      </c>
      <c r="NE221" s="79" t="e">
        <f>IF(#REF!="",0,(#REF!+#REF!-#REF!)*#REF!*#REF!/1000)</f>
        <v>#REF!</v>
      </c>
      <c r="NF221" s="79" t="e">
        <f>IF(#REF!="",0,(#REF!+#REF!-#REF!)*#REF!*#REF!/1000)</f>
        <v>#REF!</v>
      </c>
      <c r="NG221" s="79" t="e">
        <f>IF(#REF!="",0,(#REF!+#REF!-#REF!)*#REF!*#REF!/1000)</f>
        <v>#REF!</v>
      </c>
      <c r="NH221" s="79" t="e">
        <f>IF(#REF!="",0,(#REF!+#REF!-#REF!)*#REF!*#REF!/1000)</f>
        <v>#REF!</v>
      </c>
      <c r="NI221" s="79" t="e">
        <f>IF(#REF!="",0,(#REF!+#REF!-#REF!)*#REF!*#REF!/1000)</f>
        <v>#REF!</v>
      </c>
      <c r="NJ221" s="79" t="e">
        <f>IF(#REF!="",0,(#REF!+#REF!-#REF!)*#REF!*#REF!/1000)</f>
        <v>#REF!</v>
      </c>
      <c r="NK221" s="79" t="e">
        <f>IF(#REF!="",0,(#REF!+#REF!-#REF!)*#REF!*#REF!/1000)</f>
        <v>#REF!</v>
      </c>
      <c r="NL221" s="79" t="e">
        <f>IF(#REF!="",0,(#REF!+#REF!-#REF!)*#REF!*#REF!/1000)</f>
        <v>#REF!</v>
      </c>
      <c r="NM221" s="79" t="e">
        <f>IF(#REF!="",0,(#REF!+#REF!-#REF!)*#REF!*#REF!/1000)</f>
        <v>#REF!</v>
      </c>
      <c r="NN221" s="79" t="e">
        <f>IF(#REF!="",0,(#REF!+#REF!-#REF!)*#REF!*#REF!/1000)</f>
        <v>#REF!</v>
      </c>
      <c r="NO221" s="79" t="e">
        <f>IF(#REF!="",0,(#REF!+#REF!-#REF!)*#REF!*#REF!/1000)</f>
        <v>#REF!</v>
      </c>
      <c r="NP221" s="79" t="e">
        <f>IF(#REF!="",0,(#REF!+#REF!-#REF!)*#REF!*#REF!/1000)</f>
        <v>#REF!</v>
      </c>
      <c r="NQ221" s="79" t="e">
        <f>IF(#REF!="",0,(#REF!+#REF!-#REF!)*#REF!*#REF!/1000)</f>
        <v>#REF!</v>
      </c>
      <c r="NR221" s="79" t="e">
        <f>IF(#REF!="",0,(#REF!+#REF!-#REF!)*#REF!*#REF!/1000)</f>
        <v>#REF!</v>
      </c>
      <c r="NS221" s="79" t="e">
        <f>IF(#REF!="",0,(#REF!+#REF!-#REF!)*#REF!*#REF!/1000)</f>
        <v>#REF!</v>
      </c>
      <c r="NT221" s="79" t="e">
        <f>IF(#REF!="",0,(#REF!+#REF!-#REF!)*#REF!*#REF!/1000)</f>
        <v>#REF!</v>
      </c>
      <c r="NU221" s="79" t="e">
        <f>IF(#REF!="",0,(#REF!+#REF!-#REF!)*#REF!*#REF!/1000)</f>
        <v>#REF!</v>
      </c>
      <c r="NV221" s="79" t="e">
        <f>IF(#REF!="",0,(#REF!+#REF!-#REF!)*#REF!*#REF!/1000)</f>
        <v>#REF!</v>
      </c>
      <c r="NW221" s="79" t="e">
        <f>IF(#REF!="",0,(#REF!+#REF!-#REF!)*#REF!*#REF!/1000)</f>
        <v>#REF!</v>
      </c>
      <c r="NX221" s="79" t="e">
        <f>IF(#REF!="",0,(#REF!+#REF!-#REF!)*#REF!*#REF!/1000)</f>
        <v>#REF!</v>
      </c>
      <c r="NY221" s="79" t="e">
        <f>IF(#REF!="",0,(#REF!+#REF!-#REF!)*#REF!*#REF!/1000)</f>
        <v>#REF!</v>
      </c>
      <c r="NZ221" s="79" t="e">
        <f>IF(#REF!="",0,(#REF!+#REF!-#REF!)*#REF!*#REF!/1000)</f>
        <v>#REF!</v>
      </c>
      <c r="OA221" s="79" t="e">
        <f>IF(#REF!="",0,(#REF!+#REF!-#REF!)*#REF!*#REF!/1000)</f>
        <v>#REF!</v>
      </c>
      <c r="OB221" s="79" t="e">
        <f>IF(#REF!="",0,(#REF!+#REF!-#REF!)*#REF!*#REF!/1000)</f>
        <v>#REF!</v>
      </c>
      <c r="OC221" s="79" t="e">
        <f>IF(#REF!="",0,(#REF!+#REF!-#REF!)*#REF!*#REF!/1000)</f>
        <v>#REF!</v>
      </c>
      <c r="OD221" s="79" t="e">
        <f>IF(#REF!="",0,(#REF!+#REF!-#REF!)*#REF!*#REF!/1000)</f>
        <v>#REF!</v>
      </c>
      <c r="OE221" s="79" t="e">
        <f>IF(#REF!="",0,(#REF!+#REF!-#REF!)*#REF!*#REF!/1000)</f>
        <v>#REF!</v>
      </c>
      <c r="OF221" s="79" t="e">
        <f>IF(#REF!="",0,(#REF!+#REF!-#REF!)*#REF!*#REF!/1000)</f>
        <v>#REF!</v>
      </c>
      <c r="OG221" s="79" t="e">
        <f>IF(#REF!="",0,(#REF!+#REF!-#REF!)*#REF!*#REF!/1000)</f>
        <v>#REF!</v>
      </c>
      <c r="OH221" s="79" t="e">
        <f>IF(#REF!="",0,(#REF!+#REF!-#REF!)*#REF!*#REF!/1000)</f>
        <v>#REF!</v>
      </c>
      <c r="OI221" s="79" t="e">
        <f>IF(#REF!="",0,(#REF!+#REF!-#REF!)*#REF!*#REF!/1000)</f>
        <v>#REF!</v>
      </c>
      <c r="OJ221" s="79" t="e">
        <f>IF(#REF!="",0,(#REF!+#REF!-#REF!)*#REF!*#REF!/1000)</f>
        <v>#REF!</v>
      </c>
      <c r="OK221" s="79" t="e">
        <f>IF(#REF!="",0,(#REF!+#REF!-#REF!)*#REF!*#REF!/1000)</f>
        <v>#REF!</v>
      </c>
      <c r="OL221" s="79" t="e">
        <f>IF(#REF!="",0,(#REF!+#REF!-#REF!)*#REF!*#REF!/1000)</f>
        <v>#REF!</v>
      </c>
      <c r="OM221" s="79" t="e">
        <f>IF(#REF!="",0,(#REF!+#REF!-#REF!)*#REF!*#REF!/1000)</f>
        <v>#REF!</v>
      </c>
      <c r="ON221" s="79" t="e">
        <f>IF(#REF!="",0,(#REF!+#REF!-#REF!)*#REF!*#REF!/1000)</f>
        <v>#REF!</v>
      </c>
      <c r="OO221" s="79" t="e">
        <f>IF(#REF!="",0,(#REF!+#REF!-#REF!)*#REF!*#REF!/1000)</f>
        <v>#REF!</v>
      </c>
      <c r="OP221" s="79" t="e">
        <f>IF(#REF!="",0,(#REF!+#REF!-#REF!)*#REF!*#REF!/1000)</f>
        <v>#REF!</v>
      </c>
      <c r="OQ221" s="79" t="e">
        <f>IF(#REF!="",0,(#REF!+#REF!-#REF!)*#REF!*#REF!/1000)</f>
        <v>#REF!</v>
      </c>
      <c r="OR221" s="79" t="e">
        <f>IF(#REF!="",0,(#REF!+#REF!-#REF!)*#REF!*#REF!/1000)</f>
        <v>#REF!</v>
      </c>
      <c r="OS221" s="79" t="e">
        <f>IF(#REF!="",0,(#REF!+#REF!-#REF!)*#REF!*#REF!/1000)</f>
        <v>#REF!</v>
      </c>
      <c r="OT221" s="79" t="e">
        <f>IF(#REF!="",0,(#REF!+#REF!-#REF!)*#REF!*#REF!/1000)</f>
        <v>#REF!</v>
      </c>
      <c r="OU221" s="79" t="e">
        <f>IF(#REF!="",0,(#REF!+#REF!-#REF!)*#REF!*#REF!/1000)</f>
        <v>#REF!</v>
      </c>
      <c r="OV221" s="79" t="e">
        <f>IF(#REF!="",0,(#REF!+#REF!-#REF!)*#REF!*#REF!/1000)</f>
        <v>#REF!</v>
      </c>
      <c r="OW221" s="79" t="e">
        <f>IF(#REF!="",0,(#REF!+#REF!-#REF!)*#REF!*#REF!/1000)</f>
        <v>#REF!</v>
      </c>
      <c r="OX221" s="79" t="e">
        <f>IF(#REF!="",0,(#REF!+#REF!-#REF!)*#REF!*#REF!/1000)</f>
        <v>#REF!</v>
      </c>
      <c r="OY221" s="79" t="e">
        <f>IF(#REF!="",0,(#REF!+#REF!-#REF!)*#REF!*#REF!/1000)</f>
        <v>#REF!</v>
      </c>
      <c r="OZ221" s="79" t="e">
        <f>IF(#REF!="",0,(#REF!+#REF!-#REF!)*#REF!*#REF!/1000)</f>
        <v>#REF!</v>
      </c>
      <c r="PA221" s="79" t="e">
        <f>IF(#REF!="",0,(#REF!+#REF!-#REF!)*#REF!*#REF!/1000)</f>
        <v>#REF!</v>
      </c>
      <c r="PB221" s="79" t="e">
        <f>IF(#REF!="",0,(#REF!+#REF!-#REF!)*#REF!*#REF!/1000)</f>
        <v>#REF!</v>
      </c>
      <c r="PC221" s="79" t="e">
        <f>IF(#REF!="",0,(#REF!+#REF!-#REF!)*#REF!*#REF!/1000)</f>
        <v>#REF!</v>
      </c>
      <c r="PD221" s="79" t="e">
        <f>IF(#REF!="",0,(#REF!+#REF!-#REF!)*#REF!*#REF!/1000)</f>
        <v>#REF!</v>
      </c>
      <c r="PE221" s="79" t="e">
        <f>IF(#REF!="",0,(#REF!+#REF!-#REF!)*#REF!*#REF!/1000)</f>
        <v>#REF!</v>
      </c>
      <c r="PF221" s="79" t="e">
        <f>IF(#REF!="",0,(#REF!+#REF!-#REF!)*#REF!*#REF!/1000)</f>
        <v>#REF!</v>
      </c>
      <c r="PG221" s="79" t="e">
        <f>IF(#REF!="",0,(#REF!+#REF!-#REF!)*#REF!*#REF!/1000)</f>
        <v>#REF!</v>
      </c>
      <c r="PH221" s="79" t="e">
        <f>IF(#REF!="",0,(#REF!+#REF!-#REF!)*#REF!*#REF!/1000)</f>
        <v>#REF!</v>
      </c>
      <c r="PI221" s="79" t="e">
        <f>IF(#REF!="",0,(#REF!+#REF!-#REF!)*#REF!*#REF!/1000)</f>
        <v>#REF!</v>
      </c>
      <c r="PJ221" s="79" t="e">
        <f>IF(#REF!="",0,(#REF!+#REF!-#REF!)*#REF!*#REF!/1000)</f>
        <v>#REF!</v>
      </c>
      <c r="PK221" s="79" t="e">
        <f>IF(#REF!="",0,(#REF!+#REF!-#REF!)*#REF!*#REF!/1000)</f>
        <v>#REF!</v>
      </c>
      <c r="PL221" s="79" t="e">
        <f>IF(#REF!="",0,(#REF!+#REF!-#REF!)*#REF!*#REF!/1000)</f>
        <v>#REF!</v>
      </c>
      <c r="PM221" s="79" t="e">
        <f>IF(#REF!="",0,(#REF!+#REF!-#REF!)*#REF!*#REF!/1000)</f>
        <v>#REF!</v>
      </c>
      <c r="PN221" s="79" t="e">
        <f>IF(#REF!="",0,(#REF!+#REF!-#REF!)*#REF!*#REF!/1000)</f>
        <v>#REF!</v>
      </c>
      <c r="PO221" s="79" t="e">
        <f>IF(#REF!="",0,(#REF!+#REF!-#REF!)*#REF!*#REF!/1000)</f>
        <v>#REF!</v>
      </c>
      <c r="PP221" s="79" t="e">
        <f>IF(#REF!="",0,(#REF!+#REF!-#REF!)*#REF!*#REF!/1000)</f>
        <v>#REF!</v>
      </c>
      <c r="PQ221" s="79" t="e">
        <f>IF(#REF!="",0,(#REF!+#REF!-#REF!)*#REF!*#REF!/1000)</f>
        <v>#REF!</v>
      </c>
      <c r="PR221" s="79" t="e">
        <f>IF(#REF!="",0,(#REF!+#REF!-#REF!)*#REF!*#REF!/1000)</f>
        <v>#REF!</v>
      </c>
      <c r="PS221" s="79" t="e">
        <f>IF(#REF!="",0,(#REF!+#REF!-#REF!)*#REF!*#REF!/1000)</f>
        <v>#REF!</v>
      </c>
      <c r="PT221" s="79" t="e">
        <f>IF(#REF!="",0,(#REF!+#REF!-#REF!)*#REF!*#REF!/1000)</f>
        <v>#REF!</v>
      </c>
      <c r="PU221" s="79" t="e">
        <f>IF(#REF!="",0,(#REF!+#REF!-#REF!)*#REF!*#REF!/1000)</f>
        <v>#REF!</v>
      </c>
      <c r="PV221" s="79" t="e">
        <f>IF(#REF!="",0,(#REF!+#REF!-#REF!)*#REF!*#REF!/1000)</f>
        <v>#REF!</v>
      </c>
      <c r="PW221" s="79" t="e">
        <f>IF(#REF!="",0,(#REF!+#REF!-#REF!)*#REF!*#REF!/1000)</f>
        <v>#REF!</v>
      </c>
      <c r="PX221" s="79" t="e">
        <f>IF(#REF!="",0,(#REF!+#REF!-#REF!)*#REF!*#REF!/1000)</f>
        <v>#REF!</v>
      </c>
      <c r="PY221" s="79" t="e">
        <f>IF(#REF!="",0,(#REF!+#REF!-#REF!)*#REF!*#REF!/1000)</f>
        <v>#REF!</v>
      </c>
      <c r="PZ221" s="79" t="e">
        <f>IF(#REF!="",0,(#REF!+#REF!-#REF!)*#REF!*#REF!/1000)</f>
        <v>#REF!</v>
      </c>
      <c r="QA221" s="79" t="e">
        <f>IF(#REF!="",0,(#REF!+#REF!-#REF!)*#REF!*#REF!/1000)</f>
        <v>#REF!</v>
      </c>
      <c r="QB221" s="79" t="e">
        <f>IF(#REF!="",0,(#REF!+#REF!-#REF!)*#REF!*#REF!/1000)</f>
        <v>#REF!</v>
      </c>
      <c r="QC221" s="79" t="e">
        <f>IF(#REF!="",0,(#REF!+#REF!-#REF!)*#REF!*#REF!/1000)</f>
        <v>#REF!</v>
      </c>
      <c r="QD221" s="79" t="e">
        <f>IF(#REF!="",0,(#REF!+#REF!-#REF!)*#REF!*#REF!/1000)</f>
        <v>#REF!</v>
      </c>
      <c r="QE221" s="79" t="e">
        <f>IF(#REF!="",0,(#REF!+#REF!-#REF!)*#REF!*#REF!/1000)</f>
        <v>#REF!</v>
      </c>
      <c r="QF221" s="79" t="e">
        <f>IF(#REF!="",0,(#REF!+#REF!-#REF!)*#REF!*#REF!/1000)</f>
        <v>#REF!</v>
      </c>
      <c r="QG221" s="79" t="e">
        <f>IF(#REF!="",0,(#REF!+#REF!-#REF!)*#REF!*#REF!/1000)</f>
        <v>#REF!</v>
      </c>
      <c r="QH221" s="79" t="e">
        <f>IF(#REF!="",0,(#REF!+#REF!-#REF!)*#REF!*#REF!/1000)</f>
        <v>#REF!</v>
      </c>
      <c r="QI221" s="79" t="e">
        <f>IF(#REF!="",0,(#REF!+#REF!-#REF!)*#REF!*#REF!/1000)</f>
        <v>#REF!</v>
      </c>
      <c r="QJ221" s="79" t="e">
        <f>IF(#REF!="",0,(#REF!+#REF!-#REF!)*#REF!*#REF!/1000)</f>
        <v>#REF!</v>
      </c>
      <c r="QK221" s="79" t="e">
        <f>IF(#REF!="",0,(#REF!+#REF!-#REF!)*#REF!*#REF!/1000)</f>
        <v>#REF!</v>
      </c>
      <c r="QL221" s="79" t="e">
        <f>IF(#REF!="",0,(#REF!+#REF!-#REF!)*#REF!*#REF!/1000)</f>
        <v>#REF!</v>
      </c>
      <c r="QM221" s="79" t="e">
        <f>IF(#REF!="",0,(#REF!+#REF!-#REF!)*#REF!*#REF!/1000)</f>
        <v>#REF!</v>
      </c>
      <c r="QN221" s="79" t="e">
        <f>IF(#REF!="",0,(#REF!+#REF!-#REF!)*#REF!*#REF!/1000)</f>
        <v>#REF!</v>
      </c>
      <c r="QO221" s="79" t="e">
        <f>IF(#REF!="",0,(#REF!+#REF!-#REF!)*#REF!*#REF!/1000)</f>
        <v>#REF!</v>
      </c>
      <c r="QP221" s="79" t="e">
        <f>IF(#REF!="",0,(#REF!+#REF!-#REF!)*#REF!*#REF!/1000)</f>
        <v>#REF!</v>
      </c>
      <c r="QQ221" s="79" t="e">
        <f>IF(#REF!="",0,(#REF!+#REF!-#REF!)*#REF!*#REF!/1000)</f>
        <v>#REF!</v>
      </c>
      <c r="QR221" s="79" t="e">
        <f>IF(#REF!="",0,(#REF!+#REF!-#REF!)*#REF!*#REF!/1000)</f>
        <v>#REF!</v>
      </c>
      <c r="QS221" s="79" t="e">
        <f>IF(#REF!="",0,(#REF!+#REF!-#REF!)*#REF!*#REF!/1000)</f>
        <v>#REF!</v>
      </c>
      <c r="QT221" s="79" t="e">
        <f>IF(#REF!="",0,(#REF!+#REF!-#REF!)*#REF!*#REF!/1000)</f>
        <v>#REF!</v>
      </c>
      <c r="QU221" s="79" t="e">
        <f>IF(#REF!="",0,(#REF!+#REF!-#REF!)*#REF!*#REF!/1000)</f>
        <v>#REF!</v>
      </c>
      <c r="QV221" s="79" t="e">
        <f>IF(#REF!="",0,(#REF!+#REF!-#REF!)*#REF!*#REF!/1000)</f>
        <v>#REF!</v>
      </c>
      <c r="QW221" s="79" t="e">
        <f>IF(#REF!="",0,(#REF!+#REF!-#REF!)*#REF!*#REF!/1000)</f>
        <v>#REF!</v>
      </c>
      <c r="QX221" s="79" t="e">
        <f>IF(#REF!="",0,(#REF!+#REF!-#REF!)*#REF!*#REF!/1000)</f>
        <v>#REF!</v>
      </c>
      <c r="QY221" s="79" t="e">
        <f>IF(#REF!="",0,(#REF!+#REF!-#REF!)*#REF!*#REF!/1000)</f>
        <v>#REF!</v>
      </c>
      <c r="QZ221" s="79" t="e">
        <f>IF(#REF!="",0,(#REF!+#REF!-#REF!)*#REF!*#REF!/1000)</f>
        <v>#REF!</v>
      </c>
      <c r="RA221" s="79" t="e">
        <f>IF(#REF!="",0,(#REF!+#REF!-#REF!)*#REF!*#REF!/1000)</f>
        <v>#REF!</v>
      </c>
      <c r="RB221" s="79" t="e">
        <f>IF(#REF!="",0,(#REF!+#REF!-#REF!)*#REF!*#REF!/1000)</f>
        <v>#REF!</v>
      </c>
      <c r="RC221" s="79" t="e">
        <f>IF(#REF!="",0,(#REF!+#REF!-#REF!)*#REF!*#REF!/1000)</f>
        <v>#REF!</v>
      </c>
      <c r="RD221" s="79" t="e">
        <f>IF(#REF!="",0,(#REF!+#REF!-#REF!)*#REF!*#REF!/1000)</f>
        <v>#REF!</v>
      </c>
      <c r="RE221" s="79" t="e">
        <f>IF(#REF!="",0,(#REF!+#REF!-#REF!)*#REF!*#REF!/1000)</f>
        <v>#REF!</v>
      </c>
      <c r="RF221" s="79" t="e">
        <f>IF(#REF!="",0,(#REF!+#REF!-#REF!)*#REF!*#REF!/1000)</f>
        <v>#REF!</v>
      </c>
      <c r="RG221" s="79" t="e">
        <f>IF(#REF!="",0,(#REF!+#REF!-#REF!)*#REF!*#REF!/1000)</f>
        <v>#REF!</v>
      </c>
      <c r="RH221" s="79" t="e">
        <f>IF(#REF!="",0,(#REF!+#REF!-#REF!)*#REF!*#REF!/1000)</f>
        <v>#REF!</v>
      </c>
      <c r="RI221" s="79" t="e">
        <f>IF(#REF!="",0,(#REF!+#REF!-#REF!)*#REF!*#REF!/1000)</f>
        <v>#REF!</v>
      </c>
      <c r="RJ221" s="79" t="e">
        <f>IF(#REF!="",0,(#REF!+#REF!-#REF!)*#REF!*#REF!/1000)</f>
        <v>#REF!</v>
      </c>
      <c r="RK221" s="79" t="e">
        <f>IF(#REF!="",0,(#REF!+#REF!-#REF!)*#REF!*#REF!/1000)</f>
        <v>#REF!</v>
      </c>
      <c r="RL221" s="79" t="e">
        <f>IF(#REF!="",0,(#REF!+#REF!-#REF!)*#REF!*#REF!/1000)</f>
        <v>#REF!</v>
      </c>
      <c r="RM221" s="79" t="e">
        <f>IF(#REF!="",0,(#REF!+#REF!-#REF!)*#REF!*#REF!/1000)</f>
        <v>#REF!</v>
      </c>
      <c r="RN221" s="79" t="e">
        <f>IF(#REF!="",0,(#REF!+#REF!-#REF!)*#REF!*#REF!/1000)</f>
        <v>#REF!</v>
      </c>
      <c r="RO221" s="79" t="e">
        <f>IF(#REF!="",0,(#REF!+#REF!-#REF!)*#REF!*#REF!/1000)</f>
        <v>#REF!</v>
      </c>
      <c r="RP221" s="79" t="e">
        <f>IF(#REF!="",0,(#REF!+#REF!-#REF!)*#REF!*#REF!/1000)</f>
        <v>#REF!</v>
      </c>
      <c r="RQ221" s="79" t="e">
        <f>IF(#REF!="",0,(#REF!+#REF!-#REF!)*#REF!*#REF!/1000)</f>
        <v>#REF!</v>
      </c>
      <c r="RR221" s="79" t="e">
        <f>IF(#REF!="",0,(#REF!+#REF!-#REF!)*#REF!*#REF!/1000)</f>
        <v>#REF!</v>
      </c>
      <c r="RS221" s="79" t="e">
        <f>IF(#REF!="",0,(#REF!+#REF!-#REF!)*#REF!*#REF!/1000)</f>
        <v>#REF!</v>
      </c>
      <c r="RT221" s="79" t="e">
        <f>IF(#REF!="",0,(#REF!+#REF!-#REF!)*#REF!*#REF!/1000)</f>
        <v>#REF!</v>
      </c>
      <c r="RU221" s="79" t="e">
        <f>IF(#REF!="",0,(#REF!+#REF!-#REF!)*#REF!*#REF!/1000)</f>
        <v>#REF!</v>
      </c>
      <c r="RV221" s="79" t="e">
        <f>IF(#REF!="",0,(#REF!+#REF!-#REF!)*#REF!*#REF!/1000)</f>
        <v>#REF!</v>
      </c>
      <c r="RW221" s="79" t="e">
        <f>IF(#REF!="",0,(#REF!+#REF!-#REF!)*#REF!*#REF!/1000)</f>
        <v>#REF!</v>
      </c>
      <c r="RX221" s="79" t="e">
        <f>IF(#REF!="",0,(#REF!+#REF!-#REF!)*#REF!*#REF!/1000)</f>
        <v>#REF!</v>
      </c>
      <c r="RY221" s="79" t="e">
        <f>IF(#REF!="",0,(#REF!+#REF!-#REF!)*#REF!*#REF!/1000)</f>
        <v>#REF!</v>
      </c>
      <c r="RZ221" s="79" t="e">
        <f>IF(#REF!="",0,(#REF!+#REF!-#REF!)*#REF!*#REF!/1000)</f>
        <v>#REF!</v>
      </c>
      <c r="SA221" s="79" t="e">
        <f>IF(#REF!="",0,(#REF!+#REF!-#REF!)*#REF!*#REF!/1000)</f>
        <v>#REF!</v>
      </c>
      <c r="SB221" s="79" t="e">
        <f>IF(#REF!="",0,(#REF!+#REF!-#REF!)*#REF!*#REF!/1000)</f>
        <v>#REF!</v>
      </c>
      <c r="SC221" s="79" t="e">
        <f>IF(#REF!="",0,(#REF!+#REF!-#REF!)*#REF!*#REF!/1000)</f>
        <v>#REF!</v>
      </c>
      <c r="SD221" s="79" t="e">
        <f>IF(#REF!="",0,(#REF!+#REF!-#REF!)*#REF!*#REF!/1000)</f>
        <v>#REF!</v>
      </c>
      <c r="SE221" s="79" t="e">
        <f>IF(#REF!="",0,(#REF!+#REF!-#REF!)*#REF!*#REF!/1000)</f>
        <v>#REF!</v>
      </c>
      <c r="SF221" s="79" t="e">
        <f>IF(#REF!="",0,(#REF!+#REF!-#REF!)*#REF!*#REF!/1000)</f>
        <v>#REF!</v>
      </c>
      <c r="SG221" s="79" t="e">
        <f>IF(#REF!="",0,(#REF!+#REF!-#REF!)*#REF!*#REF!/1000)</f>
        <v>#REF!</v>
      </c>
      <c r="SH221" s="79" t="e">
        <f>IF(#REF!="",0,(#REF!+#REF!-#REF!)*#REF!*#REF!/1000)</f>
        <v>#REF!</v>
      </c>
      <c r="SI221" s="79" t="e">
        <f>IF(#REF!="",0,(#REF!+#REF!-#REF!)*#REF!*#REF!/1000)</f>
        <v>#REF!</v>
      </c>
      <c r="SJ221" s="79" t="e">
        <f>IF(#REF!="",0,(#REF!+#REF!-#REF!)*#REF!*#REF!/1000)</f>
        <v>#REF!</v>
      </c>
      <c r="SK221" s="79" t="e">
        <f>IF(#REF!="",0,(#REF!+#REF!-#REF!)*#REF!*#REF!/1000)</f>
        <v>#REF!</v>
      </c>
      <c r="SL221" s="79" t="e">
        <f>IF(#REF!="",0,(#REF!+#REF!-#REF!)*#REF!*#REF!/1000)</f>
        <v>#REF!</v>
      </c>
      <c r="SM221" s="79" t="e">
        <f>IF(#REF!="",0,(#REF!+#REF!-#REF!)*#REF!*#REF!/1000)</f>
        <v>#REF!</v>
      </c>
      <c r="SN221" s="79" t="e">
        <f>IF(#REF!="",0,(#REF!+#REF!-#REF!)*#REF!*#REF!/1000)</f>
        <v>#REF!</v>
      </c>
      <c r="SO221" s="79" t="e">
        <f>IF(#REF!="",0,(#REF!+#REF!-#REF!)*#REF!*#REF!/1000)</f>
        <v>#REF!</v>
      </c>
      <c r="SP221" s="79" t="e">
        <f>IF(#REF!="",0,(#REF!+#REF!-#REF!)*#REF!*#REF!/1000)</f>
        <v>#REF!</v>
      </c>
      <c r="SQ221" s="79" t="e">
        <f>IF(#REF!="",0,(#REF!+#REF!-#REF!)*#REF!*#REF!/1000)</f>
        <v>#REF!</v>
      </c>
      <c r="SR221" s="79" t="e">
        <f>IF(#REF!="",0,(#REF!+#REF!-#REF!)*#REF!*#REF!/1000)</f>
        <v>#REF!</v>
      </c>
      <c r="SS221" s="79" t="e">
        <f>IF(#REF!="",0,(#REF!+#REF!-#REF!)*#REF!*#REF!/1000)</f>
        <v>#REF!</v>
      </c>
      <c r="ST221" s="79" t="e">
        <f>IF(#REF!="",0,(#REF!+#REF!-#REF!)*#REF!*#REF!/1000)</f>
        <v>#REF!</v>
      </c>
      <c r="SU221" s="79" t="e">
        <f>IF(#REF!="",0,(#REF!+#REF!-#REF!)*#REF!*#REF!/1000)</f>
        <v>#REF!</v>
      </c>
      <c r="SV221" s="79" t="e">
        <f>IF(#REF!="",0,(#REF!+#REF!-#REF!)*#REF!*#REF!/1000)</f>
        <v>#REF!</v>
      </c>
      <c r="SW221" s="79" t="e">
        <f>IF(#REF!="",0,(#REF!+#REF!-#REF!)*#REF!*#REF!/1000)</f>
        <v>#REF!</v>
      </c>
      <c r="SX221" s="79" t="e">
        <f>IF(#REF!="",0,(#REF!+#REF!-#REF!)*#REF!*#REF!/1000)</f>
        <v>#REF!</v>
      </c>
      <c r="SY221" s="79" t="e">
        <f>IF(#REF!="",0,(#REF!+#REF!-#REF!)*#REF!*#REF!/1000)</f>
        <v>#REF!</v>
      </c>
      <c r="SZ221" s="79" t="e">
        <f>IF(#REF!="",0,(#REF!+#REF!-#REF!)*#REF!*#REF!/1000)</f>
        <v>#REF!</v>
      </c>
      <c r="TA221" s="79" t="e">
        <f>IF(#REF!="",0,(#REF!+#REF!-#REF!)*#REF!*#REF!/1000)</f>
        <v>#REF!</v>
      </c>
      <c r="TB221" s="79" t="e">
        <f>IF(#REF!="",0,(#REF!+#REF!-#REF!)*#REF!*#REF!/1000)</f>
        <v>#REF!</v>
      </c>
      <c r="TC221" s="79" t="e">
        <f>IF(#REF!="",0,(#REF!+#REF!-#REF!)*#REF!*#REF!/1000)</f>
        <v>#REF!</v>
      </c>
      <c r="TD221" s="79" t="e">
        <f>IF(#REF!="",0,(#REF!+#REF!-#REF!)*#REF!*#REF!/1000)</f>
        <v>#REF!</v>
      </c>
      <c r="TE221" s="79" t="e">
        <f>IF(#REF!="",0,(#REF!+#REF!-#REF!)*#REF!*#REF!/1000)</f>
        <v>#REF!</v>
      </c>
      <c r="TF221" s="79" t="e">
        <f>IF(#REF!="",0,(#REF!+#REF!-#REF!)*#REF!*#REF!/1000)</f>
        <v>#REF!</v>
      </c>
      <c r="TG221" s="79" t="e">
        <f>IF(#REF!="",0,(#REF!+#REF!-#REF!)*#REF!*#REF!/1000)</f>
        <v>#REF!</v>
      </c>
      <c r="TH221" s="79" t="e">
        <f>IF(#REF!="",0,(#REF!+#REF!-#REF!)*#REF!*#REF!/1000)</f>
        <v>#REF!</v>
      </c>
      <c r="TI221" s="79" t="e">
        <f>IF(#REF!="",0,(#REF!+#REF!-#REF!)*#REF!*#REF!/1000)</f>
        <v>#REF!</v>
      </c>
      <c r="TJ221" s="79" t="e">
        <f>IF(#REF!="",0,(#REF!+#REF!-#REF!)*#REF!*#REF!/1000)</f>
        <v>#REF!</v>
      </c>
      <c r="TK221" s="79" t="e">
        <f>IF(#REF!="",0,(#REF!+#REF!-#REF!)*#REF!*#REF!/1000)</f>
        <v>#REF!</v>
      </c>
      <c r="TL221" s="79" t="e">
        <f>IF(#REF!="",0,(#REF!+#REF!-#REF!)*#REF!*#REF!/1000)</f>
        <v>#REF!</v>
      </c>
      <c r="TM221" s="79" t="e">
        <f>IF(#REF!="",0,(#REF!+#REF!-#REF!)*#REF!*#REF!/1000)</f>
        <v>#REF!</v>
      </c>
      <c r="TN221" s="79" t="e">
        <f>IF(#REF!="",0,(#REF!+#REF!-#REF!)*#REF!*#REF!/1000)</f>
        <v>#REF!</v>
      </c>
      <c r="TO221" s="79" t="e">
        <f>IF(#REF!="",0,(#REF!+#REF!-#REF!)*#REF!*#REF!/1000)</f>
        <v>#REF!</v>
      </c>
      <c r="TP221" s="79" t="e">
        <f>IF(#REF!="",0,(#REF!+#REF!-#REF!)*#REF!*#REF!/1000)</f>
        <v>#REF!</v>
      </c>
      <c r="TQ221" s="79" t="e">
        <f>IF(#REF!="",0,(#REF!+#REF!-#REF!)*#REF!*#REF!/1000)</f>
        <v>#REF!</v>
      </c>
      <c r="TR221" s="79" t="e">
        <f>IF(#REF!="",0,(#REF!+#REF!-#REF!)*#REF!*#REF!/1000)</f>
        <v>#REF!</v>
      </c>
      <c r="TS221" s="79" t="e">
        <f>IF(#REF!="",0,(#REF!+#REF!-#REF!)*#REF!*#REF!/1000)</f>
        <v>#REF!</v>
      </c>
      <c r="TT221" s="79" t="e">
        <f>IF(#REF!="",0,(#REF!+#REF!-#REF!)*#REF!*#REF!/1000)</f>
        <v>#REF!</v>
      </c>
      <c r="TU221" s="79" t="e">
        <f>IF(#REF!="",0,(#REF!+#REF!-#REF!)*#REF!*#REF!/1000)</f>
        <v>#REF!</v>
      </c>
      <c r="TV221" s="79" t="e">
        <f>IF(#REF!="",0,(#REF!+#REF!-#REF!)*#REF!*#REF!/1000)</f>
        <v>#REF!</v>
      </c>
      <c r="TW221" s="79" t="e">
        <f>IF(#REF!="",0,(#REF!+#REF!-#REF!)*#REF!*#REF!/1000)</f>
        <v>#REF!</v>
      </c>
      <c r="TX221" s="79" t="e">
        <f>IF(#REF!="",0,(#REF!+#REF!-#REF!)*#REF!*#REF!/1000)</f>
        <v>#REF!</v>
      </c>
      <c r="TY221" s="79" t="e">
        <f>IF(#REF!="",0,(#REF!+#REF!-#REF!)*#REF!*#REF!/1000)</f>
        <v>#REF!</v>
      </c>
      <c r="TZ221" s="79" t="e">
        <f>IF(#REF!="",0,(#REF!+#REF!-#REF!)*#REF!*#REF!/1000)</f>
        <v>#REF!</v>
      </c>
      <c r="UA221" s="79" t="e">
        <f>IF(#REF!="",0,(#REF!+#REF!-#REF!)*#REF!*#REF!/1000)</f>
        <v>#REF!</v>
      </c>
      <c r="UB221" s="79" t="e">
        <f>IF(#REF!="",0,(#REF!+#REF!-#REF!)*#REF!*#REF!/1000)</f>
        <v>#REF!</v>
      </c>
      <c r="UC221" s="79" t="e">
        <f>IF(#REF!="",0,(#REF!+#REF!-#REF!)*#REF!*#REF!/1000)</f>
        <v>#REF!</v>
      </c>
      <c r="UD221" s="79" t="e">
        <f>IF(#REF!="",0,(#REF!+#REF!-#REF!)*#REF!*#REF!/1000)</f>
        <v>#REF!</v>
      </c>
      <c r="UE221" s="79" t="e">
        <f>IF(#REF!="",0,(#REF!+#REF!-#REF!)*#REF!*#REF!/1000)</f>
        <v>#REF!</v>
      </c>
      <c r="UF221" s="79" t="e">
        <f>IF(#REF!="",0,(#REF!+#REF!-#REF!)*#REF!*#REF!/1000)</f>
        <v>#REF!</v>
      </c>
      <c r="UG221" s="79" t="e">
        <f>IF(#REF!="",0,(#REF!+#REF!-#REF!)*#REF!*#REF!/1000)</f>
        <v>#REF!</v>
      </c>
      <c r="UH221" s="79" t="e">
        <f>IF(#REF!="",0,(#REF!+#REF!-#REF!)*#REF!*#REF!/1000)</f>
        <v>#REF!</v>
      </c>
      <c r="UI221" s="79" t="e">
        <f>IF(#REF!="",0,(#REF!+#REF!-#REF!)*#REF!*#REF!/1000)</f>
        <v>#REF!</v>
      </c>
      <c r="UJ221" s="79" t="e">
        <f>IF(#REF!="",0,(#REF!+#REF!-#REF!)*#REF!*#REF!/1000)</f>
        <v>#REF!</v>
      </c>
      <c r="UK221" s="79" t="e">
        <f>IF(#REF!="",0,(#REF!+#REF!-#REF!)*#REF!*#REF!/1000)</f>
        <v>#REF!</v>
      </c>
      <c r="UL221" s="79" t="e">
        <f>IF(#REF!="",0,(#REF!+#REF!-#REF!)*#REF!*#REF!/1000)</f>
        <v>#REF!</v>
      </c>
      <c r="UM221" s="79" t="e">
        <f>IF(#REF!="",0,(#REF!+#REF!-#REF!)*#REF!*#REF!/1000)</f>
        <v>#REF!</v>
      </c>
      <c r="UN221" s="79" t="e">
        <f>IF(#REF!="",0,(#REF!+#REF!-#REF!)*#REF!*#REF!/1000)</f>
        <v>#REF!</v>
      </c>
      <c r="UO221" s="79" t="e">
        <f>IF(#REF!="",0,(#REF!+#REF!-#REF!)*#REF!*#REF!/1000)</f>
        <v>#REF!</v>
      </c>
      <c r="UP221" s="79" t="e">
        <f>IF(#REF!="",0,(#REF!+#REF!-#REF!)*#REF!*#REF!/1000)</f>
        <v>#REF!</v>
      </c>
      <c r="UQ221" s="79" t="e">
        <f>IF(#REF!="",0,(#REF!+#REF!-#REF!)*#REF!*#REF!/1000)</f>
        <v>#REF!</v>
      </c>
      <c r="UR221" s="79" t="e">
        <f>IF(#REF!="",0,(#REF!+#REF!-#REF!)*#REF!*#REF!/1000)</f>
        <v>#REF!</v>
      </c>
      <c r="US221" s="79" t="e">
        <f>IF(#REF!="",0,(#REF!+#REF!-#REF!)*#REF!*#REF!/1000)</f>
        <v>#REF!</v>
      </c>
      <c r="UT221" s="79" t="e">
        <f>IF(#REF!="",0,(#REF!+#REF!-#REF!)*#REF!*#REF!/1000)</f>
        <v>#REF!</v>
      </c>
      <c r="UU221" s="79" t="e">
        <f>IF(#REF!="",0,(#REF!+#REF!-#REF!)*#REF!*#REF!/1000)</f>
        <v>#REF!</v>
      </c>
      <c r="UV221" s="79" t="e">
        <f>IF(#REF!="",0,(#REF!+#REF!-#REF!)*#REF!*#REF!/1000)</f>
        <v>#REF!</v>
      </c>
      <c r="UW221" s="79" t="e">
        <f>IF(#REF!="",0,(#REF!+#REF!-#REF!)*#REF!*#REF!/1000)</f>
        <v>#REF!</v>
      </c>
      <c r="UX221" s="79" t="e">
        <f>IF(#REF!="",0,(#REF!+#REF!-#REF!)*#REF!*#REF!/1000)</f>
        <v>#REF!</v>
      </c>
      <c r="UY221" s="79" t="e">
        <f>IF(#REF!="",0,(#REF!+#REF!-#REF!)*#REF!*#REF!/1000)</f>
        <v>#REF!</v>
      </c>
      <c r="UZ221" s="79" t="e">
        <f>IF(#REF!="",0,(#REF!+#REF!-#REF!)*#REF!*#REF!/1000)</f>
        <v>#REF!</v>
      </c>
      <c r="VA221" s="79" t="e">
        <f>IF(#REF!="",0,(#REF!+#REF!-#REF!)*#REF!*#REF!/1000)</f>
        <v>#REF!</v>
      </c>
      <c r="VB221" s="79" t="e">
        <f>IF(#REF!="",0,(#REF!+#REF!-#REF!)*#REF!*#REF!/1000)</f>
        <v>#REF!</v>
      </c>
      <c r="VC221" s="79" t="e">
        <f>IF(#REF!="",0,(#REF!+#REF!-#REF!)*#REF!*#REF!/1000)</f>
        <v>#REF!</v>
      </c>
      <c r="VD221" s="79" t="e">
        <f>IF(#REF!="",0,(#REF!+#REF!-#REF!)*#REF!*#REF!/1000)</f>
        <v>#REF!</v>
      </c>
      <c r="VE221" s="79" t="e">
        <f>IF(#REF!="",0,(#REF!+#REF!-#REF!)*#REF!*#REF!/1000)</f>
        <v>#REF!</v>
      </c>
      <c r="VF221" s="79" t="e">
        <f>IF(#REF!="",0,(#REF!+#REF!-#REF!)*#REF!*#REF!/1000)</f>
        <v>#REF!</v>
      </c>
      <c r="VG221" s="79" t="e">
        <f>IF(#REF!="",0,(#REF!+#REF!-#REF!)*#REF!*#REF!/1000)</f>
        <v>#REF!</v>
      </c>
      <c r="VH221" s="79" t="e">
        <f>IF(#REF!="",0,(#REF!+#REF!-#REF!)*#REF!*#REF!/1000)</f>
        <v>#REF!</v>
      </c>
      <c r="VI221" s="79" t="e">
        <f>IF(#REF!="",0,(#REF!+#REF!-#REF!)*#REF!*#REF!/1000)</f>
        <v>#REF!</v>
      </c>
      <c r="VJ221" s="79" t="e">
        <f>IF(#REF!="",0,(#REF!+#REF!-#REF!)*#REF!*#REF!/1000)</f>
        <v>#REF!</v>
      </c>
      <c r="VK221" s="79" t="e">
        <f>IF(#REF!="",0,(#REF!+#REF!-#REF!)*#REF!*#REF!/1000)</f>
        <v>#REF!</v>
      </c>
      <c r="VL221" s="79" t="e">
        <f>IF(#REF!="",0,(#REF!+#REF!-#REF!)*#REF!*#REF!/1000)</f>
        <v>#REF!</v>
      </c>
      <c r="VM221" s="79" t="e">
        <f>IF(#REF!="",0,(#REF!+#REF!-#REF!)*#REF!*#REF!/1000)</f>
        <v>#REF!</v>
      </c>
      <c r="VN221" s="79" t="e">
        <f>IF(#REF!="",0,(#REF!+#REF!-#REF!)*#REF!*#REF!/1000)</f>
        <v>#REF!</v>
      </c>
      <c r="VO221" s="79" t="e">
        <f>IF(#REF!="",0,(#REF!+#REF!-#REF!)*#REF!*#REF!/1000)</f>
        <v>#REF!</v>
      </c>
      <c r="VP221" s="79" t="e">
        <f>IF(#REF!="",0,(#REF!+#REF!-#REF!)*#REF!*#REF!/1000)</f>
        <v>#REF!</v>
      </c>
      <c r="VQ221" s="79" t="e">
        <f>IF(#REF!="",0,(#REF!+#REF!-#REF!)*#REF!*#REF!/1000)</f>
        <v>#REF!</v>
      </c>
      <c r="VR221" s="79" t="e">
        <f>IF(#REF!="",0,(#REF!+#REF!-#REF!)*#REF!*#REF!/1000)</f>
        <v>#REF!</v>
      </c>
      <c r="VS221" s="79" t="e">
        <f>IF(#REF!="",0,(#REF!+#REF!-#REF!)*#REF!*#REF!/1000)</f>
        <v>#REF!</v>
      </c>
      <c r="VT221" s="79" t="e">
        <f>IF(#REF!="",0,(#REF!+#REF!-#REF!)*#REF!*#REF!/1000)</f>
        <v>#REF!</v>
      </c>
      <c r="VU221" s="79" t="e">
        <f>IF(#REF!="",0,(#REF!+#REF!-#REF!)*#REF!*#REF!/1000)</f>
        <v>#REF!</v>
      </c>
      <c r="VV221" s="79" t="e">
        <f>IF(#REF!="",0,(#REF!+#REF!-#REF!)*#REF!*#REF!/1000)</f>
        <v>#REF!</v>
      </c>
      <c r="VW221" s="79" t="e">
        <f>IF(#REF!="",0,(#REF!+#REF!-#REF!)*#REF!*#REF!/1000)</f>
        <v>#REF!</v>
      </c>
      <c r="VX221" s="79" t="e">
        <f>IF(#REF!="",0,(#REF!+#REF!-#REF!)*#REF!*#REF!/1000)</f>
        <v>#REF!</v>
      </c>
      <c r="VY221" s="79" t="e">
        <f>IF(#REF!="",0,(#REF!+#REF!-#REF!)*#REF!*#REF!/1000)</f>
        <v>#REF!</v>
      </c>
      <c r="VZ221" s="79" t="e">
        <f>IF(#REF!="",0,(#REF!+#REF!-#REF!)*#REF!*#REF!/1000)</f>
        <v>#REF!</v>
      </c>
      <c r="WA221" s="79" t="e">
        <f>IF(#REF!="",0,(#REF!+#REF!-#REF!)*#REF!*#REF!/1000)</f>
        <v>#REF!</v>
      </c>
      <c r="WB221" s="79" t="e">
        <f>IF(#REF!="",0,(#REF!+#REF!-#REF!)*#REF!*#REF!/1000)</f>
        <v>#REF!</v>
      </c>
      <c r="WC221" s="79" t="e">
        <f>IF(#REF!="",0,(#REF!+#REF!-#REF!)*#REF!*#REF!/1000)</f>
        <v>#REF!</v>
      </c>
      <c r="WD221" s="79" t="e">
        <f>IF(#REF!="",0,(#REF!+#REF!-#REF!)*#REF!*#REF!/1000)</f>
        <v>#REF!</v>
      </c>
      <c r="WE221" s="79" t="e">
        <f>IF(#REF!="",0,(#REF!+#REF!-#REF!)*#REF!*#REF!/1000)</f>
        <v>#REF!</v>
      </c>
      <c r="WF221" s="79" t="e">
        <f>IF(#REF!="",0,(#REF!+#REF!-#REF!)*#REF!*#REF!/1000)</f>
        <v>#REF!</v>
      </c>
      <c r="WG221" s="79" t="e">
        <f>IF(#REF!="",0,(#REF!+#REF!-#REF!)*#REF!*#REF!/1000)</f>
        <v>#REF!</v>
      </c>
      <c r="WH221" s="79" t="e">
        <f>IF(#REF!="",0,(#REF!+#REF!-#REF!)*#REF!*#REF!/1000)</f>
        <v>#REF!</v>
      </c>
      <c r="WI221" s="79" t="e">
        <f>IF(#REF!="",0,(#REF!+#REF!-#REF!)*#REF!*#REF!/1000)</f>
        <v>#REF!</v>
      </c>
      <c r="WJ221" s="79" t="e">
        <f>IF(#REF!="",0,(#REF!+#REF!-#REF!)*#REF!*#REF!/1000)</f>
        <v>#REF!</v>
      </c>
      <c r="WK221" s="79" t="e">
        <f>IF(#REF!="",0,(#REF!+#REF!-#REF!)*#REF!*#REF!/1000)</f>
        <v>#REF!</v>
      </c>
      <c r="WL221" s="79" t="e">
        <f>IF(#REF!="",0,(#REF!+#REF!-#REF!)*#REF!*#REF!/1000)</f>
        <v>#REF!</v>
      </c>
      <c r="WM221" s="79" t="e">
        <f>IF(#REF!="",0,(#REF!+#REF!-#REF!)*#REF!*#REF!/1000)</f>
        <v>#REF!</v>
      </c>
      <c r="WN221" s="79" t="e">
        <f>IF(#REF!="",0,(#REF!+#REF!-#REF!)*#REF!*#REF!/1000)</f>
        <v>#REF!</v>
      </c>
      <c r="WO221" s="79" t="e">
        <f>IF(#REF!="",0,(#REF!+#REF!-#REF!)*#REF!*#REF!/1000)</f>
        <v>#REF!</v>
      </c>
      <c r="WP221" s="79" t="e">
        <f>IF(#REF!="",0,(#REF!+#REF!-#REF!)*#REF!*#REF!/1000)</f>
        <v>#REF!</v>
      </c>
      <c r="WQ221" s="79" t="e">
        <f>IF(#REF!="",0,(#REF!+#REF!-#REF!)*#REF!*#REF!/1000)</f>
        <v>#REF!</v>
      </c>
      <c r="WR221" s="79" t="e">
        <f>IF(#REF!="",0,(#REF!+#REF!-#REF!)*#REF!*#REF!/1000)</f>
        <v>#REF!</v>
      </c>
      <c r="WS221" s="79" t="e">
        <f>IF(#REF!="",0,(#REF!+#REF!-#REF!)*#REF!*#REF!/1000)</f>
        <v>#REF!</v>
      </c>
      <c r="WT221" s="79" t="e">
        <f>IF(#REF!="",0,(#REF!+#REF!-#REF!)*#REF!*#REF!/1000)</f>
        <v>#REF!</v>
      </c>
      <c r="WU221" s="79" t="e">
        <f>IF(#REF!="",0,(#REF!+#REF!-#REF!)*#REF!*#REF!/1000)</f>
        <v>#REF!</v>
      </c>
      <c r="WV221" s="79" t="e">
        <f>IF(#REF!="",0,(#REF!+#REF!-#REF!)*#REF!*#REF!/1000)</f>
        <v>#REF!</v>
      </c>
      <c r="WW221" s="79" t="e">
        <f>IF(#REF!="",0,(#REF!+#REF!-#REF!)*#REF!*#REF!/1000)</f>
        <v>#REF!</v>
      </c>
      <c r="WX221" s="79" t="e">
        <f>IF(#REF!="",0,(#REF!+#REF!-#REF!)*#REF!*#REF!/1000)</f>
        <v>#REF!</v>
      </c>
      <c r="WY221" s="79" t="e">
        <f>IF(#REF!="",0,(#REF!+#REF!-#REF!)*#REF!*#REF!/1000)</f>
        <v>#REF!</v>
      </c>
      <c r="WZ221" s="79" t="e">
        <f>IF(#REF!="",0,(#REF!+#REF!-#REF!)*#REF!*#REF!/1000)</f>
        <v>#REF!</v>
      </c>
      <c r="XA221" s="79" t="e">
        <f>IF(#REF!="",0,(#REF!+#REF!-#REF!)*#REF!*#REF!/1000)</f>
        <v>#REF!</v>
      </c>
      <c r="XB221" s="79" t="e">
        <f>IF(#REF!="",0,(#REF!+#REF!-#REF!)*#REF!*#REF!/1000)</f>
        <v>#REF!</v>
      </c>
      <c r="XC221" s="79" t="e">
        <f>IF(#REF!="",0,(#REF!+#REF!-#REF!)*#REF!*#REF!/1000)</f>
        <v>#REF!</v>
      </c>
      <c r="XD221" s="79" t="e">
        <f>IF(#REF!="",0,(#REF!+#REF!-#REF!)*#REF!*#REF!/1000)</f>
        <v>#REF!</v>
      </c>
      <c r="XE221" s="79" t="e">
        <f>IF(#REF!="",0,(#REF!+#REF!-#REF!)*#REF!*#REF!/1000)</f>
        <v>#REF!</v>
      </c>
      <c r="XF221" s="79" t="e">
        <f>IF(#REF!="",0,(#REF!+#REF!-#REF!)*#REF!*#REF!/1000)</f>
        <v>#REF!</v>
      </c>
      <c r="XG221" s="79" t="e">
        <f>IF(#REF!="",0,(#REF!+#REF!-#REF!)*#REF!*#REF!/1000)</f>
        <v>#REF!</v>
      </c>
      <c r="XH221" s="79" t="e">
        <f>IF(#REF!="",0,(#REF!+#REF!-#REF!)*#REF!*#REF!/1000)</f>
        <v>#REF!</v>
      </c>
      <c r="XI221" s="79" t="e">
        <f>IF(#REF!="",0,(#REF!+#REF!-#REF!)*#REF!*#REF!/1000)</f>
        <v>#REF!</v>
      </c>
      <c r="XJ221" s="79" t="e">
        <f>IF(#REF!="",0,(#REF!+#REF!-#REF!)*#REF!*#REF!/1000)</f>
        <v>#REF!</v>
      </c>
      <c r="XK221" s="79" t="e">
        <f>IF(#REF!="",0,(#REF!+#REF!-#REF!)*#REF!*#REF!/1000)</f>
        <v>#REF!</v>
      </c>
      <c r="XL221" s="79" t="e">
        <f>IF(#REF!="",0,(#REF!+#REF!-#REF!)*#REF!*#REF!/1000)</f>
        <v>#REF!</v>
      </c>
      <c r="XM221" s="79" t="e">
        <f>IF(#REF!="",0,(#REF!+#REF!-#REF!)*#REF!*#REF!/1000)</f>
        <v>#REF!</v>
      </c>
      <c r="XN221" s="79" t="e">
        <f>IF(#REF!="",0,(#REF!+#REF!-#REF!)*#REF!*#REF!/1000)</f>
        <v>#REF!</v>
      </c>
      <c r="XO221" s="79" t="e">
        <f>IF(#REF!="",0,(#REF!+#REF!-#REF!)*#REF!*#REF!/1000)</f>
        <v>#REF!</v>
      </c>
      <c r="XP221" s="79" t="e">
        <f>IF(#REF!="",0,(#REF!+#REF!-#REF!)*#REF!*#REF!/1000)</f>
        <v>#REF!</v>
      </c>
      <c r="XQ221" s="79" t="e">
        <f>IF(#REF!="",0,(#REF!+#REF!-#REF!)*#REF!*#REF!/1000)</f>
        <v>#REF!</v>
      </c>
      <c r="XR221" s="79" t="e">
        <f>IF(#REF!="",0,(#REF!+#REF!-#REF!)*#REF!*#REF!/1000)</f>
        <v>#REF!</v>
      </c>
      <c r="XS221" s="79" t="e">
        <f>IF(#REF!="",0,(#REF!+#REF!-#REF!)*#REF!*#REF!/1000)</f>
        <v>#REF!</v>
      </c>
      <c r="XT221" s="79" t="e">
        <f>IF(#REF!="",0,(#REF!+#REF!-#REF!)*#REF!*#REF!/1000)</f>
        <v>#REF!</v>
      </c>
      <c r="XU221" s="79" t="e">
        <f>IF(#REF!="",0,(#REF!+#REF!-#REF!)*#REF!*#REF!/1000)</f>
        <v>#REF!</v>
      </c>
      <c r="XV221" s="79" t="e">
        <f>IF(#REF!="",0,(#REF!+#REF!-#REF!)*#REF!*#REF!/1000)</f>
        <v>#REF!</v>
      </c>
      <c r="XW221" s="79" t="e">
        <f>IF(#REF!="",0,(#REF!+#REF!-#REF!)*#REF!*#REF!/1000)</f>
        <v>#REF!</v>
      </c>
      <c r="XX221" s="79" t="e">
        <f>IF(#REF!="",0,(#REF!+#REF!-#REF!)*#REF!*#REF!/1000)</f>
        <v>#REF!</v>
      </c>
      <c r="XY221" s="79" t="e">
        <f>IF(#REF!="",0,(#REF!+#REF!-#REF!)*#REF!*#REF!/1000)</f>
        <v>#REF!</v>
      </c>
      <c r="XZ221" s="79" t="e">
        <f>IF(#REF!="",0,(#REF!+#REF!-#REF!)*#REF!*#REF!/1000)</f>
        <v>#REF!</v>
      </c>
      <c r="YA221" s="79" t="e">
        <f>IF(#REF!="",0,(#REF!+#REF!-#REF!)*#REF!*#REF!/1000)</f>
        <v>#REF!</v>
      </c>
      <c r="YB221" s="79" t="e">
        <f>IF(#REF!="",0,(#REF!+#REF!-#REF!)*#REF!*#REF!/1000)</f>
        <v>#REF!</v>
      </c>
      <c r="YC221" s="79" t="e">
        <f>IF(#REF!="",0,(#REF!+#REF!-#REF!)*#REF!*#REF!/1000)</f>
        <v>#REF!</v>
      </c>
      <c r="YD221" s="79" t="e">
        <f>IF(#REF!="",0,(#REF!+#REF!-#REF!)*#REF!*#REF!/1000)</f>
        <v>#REF!</v>
      </c>
      <c r="YE221" s="79" t="e">
        <f>IF(#REF!="",0,(#REF!+#REF!-#REF!)*#REF!*#REF!/1000)</f>
        <v>#REF!</v>
      </c>
      <c r="YF221" s="79" t="e">
        <f>IF(#REF!="",0,(#REF!+#REF!-#REF!)*#REF!*#REF!/1000)</f>
        <v>#REF!</v>
      </c>
      <c r="YG221" s="79" t="e">
        <f>IF(#REF!="",0,(#REF!+#REF!-#REF!)*#REF!*#REF!/1000)</f>
        <v>#REF!</v>
      </c>
      <c r="YH221" s="79" t="e">
        <f>IF(#REF!="",0,(#REF!+#REF!-#REF!)*#REF!*#REF!/1000)</f>
        <v>#REF!</v>
      </c>
      <c r="YI221" s="79" t="e">
        <f>IF(#REF!="",0,(#REF!+#REF!-#REF!)*#REF!*#REF!/1000)</f>
        <v>#REF!</v>
      </c>
      <c r="YJ221" s="79" t="e">
        <f>IF(#REF!="",0,(#REF!+#REF!-#REF!)*#REF!*#REF!/1000)</f>
        <v>#REF!</v>
      </c>
      <c r="YK221" s="79" t="e">
        <f>IF(#REF!="",0,(#REF!+#REF!-#REF!)*#REF!*#REF!/1000)</f>
        <v>#REF!</v>
      </c>
      <c r="YL221" s="79" t="e">
        <f>IF(#REF!="",0,(#REF!+#REF!-#REF!)*#REF!*#REF!/1000)</f>
        <v>#REF!</v>
      </c>
      <c r="YM221" s="79" t="e">
        <f>IF(#REF!="",0,(#REF!+#REF!-#REF!)*#REF!*#REF!/1000)</f>
        <v>#REF!</v>
      </c>
      <c r="YN221" s="79" t="e">
        <f>IF(#REF!="",0,(#REF!+#REF!-#REF!)*#REF!*#REF!/1000)</f>
        <v>#REF!</v>
      </c>
      <c r="YO221" s="79" t="e">
        <f>IF(#REF!="",0,(#REF!+#REF!-#REF!)*#REF!*#REF!/1000)</f>
        <v>#REF!</v>
      </c>
      <c r="YP221" s="79" t="e">
        <f>IF(#REF!="",0,(#REF!+#REF!-#REF!)*#REF!*#REF!/1000)</f>
        <v>#REF!</v>
      </c>
      <c r="YQ221" s="79" t="e">
        <f>IF(#REF!="",0,(#REF!+#REF!-#REF!)*#REF!*#REF!/1000)</f>
        <v>#REF!</v>
      </c>
      <c r="YR221" s="79" t="e">
        <f>IF(#REF!="",0,(#REF!+#REF!-#REF!)*#REF!*#REF!/1000)</f>
        <v>#REF!</v>
      </c>
      <c r="YS221" s="79" t="e">
        <f>IF(#REF!="",0,(#REF!+#REF!-#REF!)*#REF!*#REF!/1000)</f>
        <v>#REF!</v>
      </c>
      <c r="YT221" s="79" t="e">
        <f>IF(#REF!="",0,(#REF!+#REF!-#REF!)*#REF!*#REF!/1000)</f>
        <v>#REF!</v>
      </c>
      <c r="YU221" s="79" t="e">
        <f>IF(#REF!="",0,(#REF!+#REF!-#REF!)*#REF!*#REF!/1000)</f>
        <v>#REF!</v>
      </c>
      <c r="YV221" s="79" t="e">
        <f>IF(#REF!="",0,(#REF!+#REF!-#REF!)*#REF!*#REF!/1000)</f>
        <v>#REF!</v>
      </c>
      <c r="YW221" s="79" t="e">
        <f>IF(#REF!="",0,(#REF!+#REF!-#REF!)*#REF!*#REF!/1000)</f>
        <v>#REF!</v>
      </c>
      <c r="YX221" s="79" t="e">
        <f>IF(#REF!="",0,(#REF!+#REF!-#REF!)*#REF!*#REF!/1000)</f>
        <v>#REF!</v>
      </c>
      <c r="YY221" s="79" t="e">
        <f>IF(#REF!="",0,(#REF!+#REF!-#REF!)*#REF!*#REF!/1000)</f>
        <v>#REF!</v>
      </c>
      <c r="YZ221" s="79" t="e">
        <f>IF(#REF!="",0,(#REF!+#REF!-#REF!)*#REF!*#REF!/1000)</f>
        <v>#REF!</v>
      </c>
      <c r="ZA221" s="79" t="e">
        <f>IF(#REF!="",0,(#REF!+#REF!-#REF!)*#REF!*#REF!/1000)</f>
        <v>#REF!</v>
      </c>
      <c r="ZB221" s="79" t="e">
        <f>IF(#REF!="",0,(#REF!+#REF!-#REF!)*#REF!*#REF!/1000)</f>
        <v>#REF!</v>
      </c>
      <c r="ZC221" s="79" t="e">
        <f>IF(#REF!="",0,(#REF!+#REF!-#REF!)*#REF!*#REF!/1000)</f>
        <v>#REF!</v>
      </c>
      <c r="ZD221" s="79" t="e">
        <f>IF(#REF!="",0,(#REF!+#REF!-#REF!)*#REF!*#REF!/1000)</f>
        <v>#REF!</v>
      </c>
      <c r="ZE221" s="79" t="e">
        <f>IF(#REF!="",0,(#REF!+#REF!-#REF!)*#REF!*#REF!/1000)</f>
        <v>#REF!</v>
      </c>
      <c r="ZF221" s="79" t="e">
        <f>IF(#REF!="",0,(#REF!+#REF!-#REF!)*#REF!*#REF!/1000)</f>
        <v>#REF!</v>
      </c>
      <c r="ZG221" s="79" t="e">
        <f>IF(#REF!="",0,(#REF!+#REF!-#REF!)*#REF!*#REF!/1000)</f>
        <v>#REF!</v>
      </c>
      <c r="ZH221" s="79" t="e">
        <f>IF(#REF!="",0,(#REF!+#REF!-#REF!)*#REF!*#REF!/1000)</f>
        <v>#REF!</v>
      </c>
      <c r="ZI221" s="79" t="e">
        <f>IF(#REF!="",0,(#REF!+#REF!-#REF!)*#REF!*#REF!/1000)</f>
        <v>#REF!</v>
      </c>
      <c r="ZJ221" s="79" t="e">
        <f>IF(#REF!="",0,(#REF!+#REF!-#REF!)*#REF!*#REF!/1000)</f>
        <v>#REF!</v>
      </c>
      <c r="ZK221" s="79" t="e">
        <f>IF(#REF!="",0,(#REF!+#REF!-#REF!)*#REF!*#REF!/1000)</f>
        <v>#REF!</v>
      </c>
      <c r="ZL221" s="79" t="e">
        <f>IF(#REF!="",0,(#REF!+#REF!-#REF!)*#REF!*#REF!/1000)</f>
        <v>#REF!</v>
      </c>
      <c r="ZM221" s="79" t="e">
        <f>IF(#REF!="",0,(#REF!+#REF!-#REF!)*#REF!*#REF!/1000)</f>
        <v>#REF!</v>
      </c>
      <c r="ZN221" s="79" t="e">
        <f>IF(#REF!="",0,(#REF!+#REF!-#REF!)*#REF!*#REF!/1000)</f>
        <v>#REF!</v>
      </c>
      <c r="ZO221" s="79" t="e">
        <f>IF(#REF!="",0,(#REF!+#REF!-#REF!)*#REF!*#REF!/1000)</f>
        <v>#REF!</v>
      </c>
      <c r="ZP221" s="79" t="e">
        <f>IF(#REF!="",0,(#REF!+#REF!-#REF!)*#REF!*#REF!/1000)</f>
        <v>#REF!</v>
      </c>
      <c r="ZQ221" s="79" t="e">
        <f>IF(#REF!="",0,(#REF!+#REF!-#REF!)*#REF!*#REF!/1000)</f>
        <v>#REF!</v>
      </c>
      <c r="ZR221" s="79" t="e">
        <f>IF(#REF!="",0,(#REF!+#REF!-#REF!)*#REF!*#REF!/1000)</f>
        <v>#REF!</v>
      </c>
      <c r="ZS221" s="79" t="e">
        <f>IF(#REF!="",0,(#REF!+#REF!-#REF!)*#REF!*#REF!/1000)</f>
        <v>#REF!</v>
      </c>
      <c r="ZT221" s="79" t="e">
        <f>IF(#REF!="",0,(#REF!+#REF!-#REF!)*#REF!*#REF!/1000)</f>
        <v>#REF!</v>
      </c>
      <c r="ZU221" s="79" t="e">
        <f>IF(#REF!="",0,(#REF!+#REF!-#REF!)*#REF!*#REF!/1000)</f>
        <v>#REF!</v>
      </c>
      <c r="ZV221" s="79" t="e">
        <f>IF(#REF!="",0,(#REF!+#REF!-#REF!)*#REF!*#REF!/1000)</f>
        <v>#REF!</v>
      </c>
      <c r="ZW221" s="79" t="e">
        <f>IF(#REF!="",0,(#REF!+#REF!-#REF!)*#REF!*#REF!/1000)</f>
        <v>#REF!</v>
      </c>
      <c r="ZX221" s="79" t="e">
        <f>IF(#REF!="",0,(#REF!+#REF!-#REF!)*#REF!*#REF!/1000)</f>
        <v>#REF!</v>
      </c>
      <c r="ZY221" s="79" t="e">
        <f>IF(#REF!="",0,(#REF!+#REF!-#REF!)*#REF!*#REF!/1000)</f>
        <v>#REF!</v>
      </c>
      <c r="ZZ221" s="79" t="e">
        <f>IF(#REF!="",0,(#REF!+#REF!-#REF!)*#REF!*#REF!/1000)</f>
        <v>#REF!</v>
      </c>
      <c r="AAA221" s="79" t="e">
        <f>IF(#REF!="",0,(#REF!+#REF!-#REF!)*#REF!*#REF!/1000)</f>
        <v>#REF!</v>
      </c>
      <c r="AAB221" s="79" t="e">
        <f>IF(#REF!="",0,(#REF!+#REF!-#REF!)*#REF!*#REF!/1000)</f>
        <v>#REF!</v>
      </c>
      <c r="AAC221" s="79" t="e">
        <f>IF(#REF!="",0,(#REF!+#REF!-#REF!)*#REF!*#REF!/1000)</f>
        <v>#REF!</v>
      </c>
      <c r="AAD221" s="79" t="e">
        <f>IF(#REF!="",0,(#REF!+#REF!-#REF!)*#REF!*#REF!/1000)</f>
        <v>#REF!</v>
      </c>
      <c r="AAE221" s="79" t="e">
        <f>IF(#REF!="",0,(#REF!+#REF!-#REF!)*#REF!*#REF!/1000)</f>
        <v>#REF!</v>
      </c>
      <c r="AAF221" s="79" t="e">
        <f>IF(#REF!="",0,(#REF!+#REF!-#REF!)*#REF!*#REF!/1000)</f>
        <v>#REF!</v>
      </c>
      <c r="AAG221" s="79" t="e">
        <f>IF(#REF!="",0,(#REF!+#REF!-#REF!)*#REF!*#REF!/1000)</f>
        <v>#REF!</v>
      </c>
      <c r="AAH221" s="79" t="e">
        <f>IF(#REF!="",0,(#REF!+#REF!-#REF!)*#REF!*#REF!/1000)</f>
        <v>#REF!</v>
      </c>
      <c r="AAI221" s="79" t="e">
        <f>IF(#REF!="",0,(#REF!+#REF!-#REF!)*#REF!*#REF!/1000)</f>
        <v>#REF!</v>
      </c>
      <c r="AAJ221" s="79" t="e">
        <f>IF(#REF!="",0,(#REF!+#REF!-#REF!)*#REF!*#REF!/1000)</f>
        <v>#REF!</v>
      </c>
      <c r="AAK221" s="79" t="e">
        <f>IF(#REF!="",0,(#REF!+#REF!-#REF!)*#REF!*#REF!/1000)</f>
        <v>#REF!</v>
      </c>
      <c r="AAL221" s="79" t="e">
        <f>IF(#REF!="",0,(#REF!+#REF!-#REF!)*#REF!*#REF!/1000)</f>
        <v>#REF!</v>
      </c>
      <c r="AAM221" s="79" t="e">
        <f>IF(#REF!="",0,(#REF!+#REF!-#REF!)*#REF!*#REF!/1000)</f>
        <v>#REF!</v>
      </c>
      <c r="AAN221" s="79" t="e">
        <f>IF(#REF!="",0,(#REF!+#REF!-#REF!)*#REF!*#REF!/1000)</f>
        <v>#REF!</v>
      </c>
      <c r="AAO221" s="79" t="e">
        <f>IF(#REF!="",0,(#REF!+#REF!-#REF!)*#REF!*#REF!/1000)</f>
        <v>#REF!</v>
      </c>
      <c r="AAP221" s="79" t="e">
        <f>IF(#REF!="",0,(#REF!+#REF!-#REF!)*#REF!*#REF!/1000)</f>
        <v>#REF!</v>
      </c>
      <c r="AAQ221" s="79" t="e">
        <f>IF(#REF!="",0,(#REF!+#REF!-#REF!)*#REF!*#REF!/1000)</f>
        <v>#REF!</v>
      </c>
      <c r="AAR221" s="79" t="e">
        <f>IF(#REF!="",0,(#REF!+#REF!-#REF!)*#REF!*#REF!/1000)</f>
        <v>#REF!</v>
      </c>
      <c r="AAS221" s="79" t="e">
        <f>IF(#REF!="",0,(#REF!+#REF!-#REF!)*#REF!*#REF!/1000)</f>
        <v>#REF!</v>
      </c>
      <c r="AAT221" s="79" t="e">
        <f>IF(#REF!="",0,(#REF!+#REF!-#REF!)*#REF!*#REF!/1000)</f>
        <v>#REF!</v>
      </c>
      <c r="AAU221" s="79" t="e">
        <f>IF(#REF!="",0,(#REF!+#REF!-#REF!)*#REF!*#REF!/1000)</f>
        <v>#REF!</v>
      </c>
      <c r="AAV221" s="79" t="e">
        <f>IF(#REF!="",0,(#REF!+#REF!-#REF!)*#REF!*#REF!/1000)</f>
        <v>#REF!</v>
      </c>
      <c r="AAW221" s="79" t="e">
        <f>IF(#REF!="",0,(#REF!+#REF!-#REF!)*#REF!*#REF!/1000)</f>
        <v>#REF!</v>
      </c>
      <c r="AAX221" s="79" t="e">
        <f>IF(#REF!="",0,(#REF!+#REF!-#REF!)*#REF!*#REF!/1000)</f>
        <v>#REF!</v>
      </c>
      <c r="AAY221" s="79" t="e">
        <f>IF(#REF!="",0,(#REF!+#REF!-#REF!)*#REF!*#REF!/1000)</f>
        <v>#REF!</v>
      </c>
      <c r="AAZ221" s="79" t="e">
        <f>IF(#REF!="",0,(#REF!+#REF!-#REF!)*#REF!*#REF!/1000)</f>
        <v>#REF!</v>
      </c>
      <c r="ABA221" s="79" t="e">
        <f>IF(#REF!="",0,(#REF!+#REF!-#REF!)*#REF!*#REF!/1000)</f>
        <v>#REF!</v>
      </c>
      <c r="ABB221" s="79" t="e">
        <f>IF(#REF!="",0,(#REF!+#REF!-#REF!)*#REF!*#REF!/1000)</f>
        <v>#REF!</v>
      </c>
      <c r="ABC221" s="79" t="e">
        <f>IF(#REF!="",0,(#REF!+#REF!-#REF!)*#REF!*#REF!/1000)</f>
        <v>#REF!</v>
      </c>
      <c r="ABD221" s="79" t="e">
        <f>IF(#REF!="",0,(#REF!+#REF!-#REF!)*#REF!*#REF!/1000)</f>
        <v>#REF!</v>
      </c>
      <c r="ABE221" s="79" t="e">
        <f>IF(#REF!="",0,(#REF!+#REF!-#REF!)*#REF!*#REF!/1000)</f>
        <v>#REF!</v>
      </c>
      <c r="ABF221" s="79" t="e">
        <f>IF(#REF!="",0,(#REF!+#REF!-#REF!)*#REF!*#REF!/1000)</f>
        <v>#REF!</v>
      </c>
      <c r="ABG221" s="79" t="e">
        <f>IF(#REF!="",0,(#REF!+#REF!-#REF!)*#REF!*#REF!/1000)</f>
        <v>#REF!</v>
      </c>
      <c r="ABH221" s="79" t="e">
        <f>IF(#REF!="",0,(#REF!+#REF!-#REF!)*#REF!*#REF!/1000)</f>
        <v>#REF!</v>
      </c>
      <c r="ABI221" s="79" t="e">
        <f>IF(#REF!="",0,(#REF!+#REF!-#REF!)*#REF!*#REF!/1000)</f>
        <v>#REF!</v>
      </c>
      <c r="ABJ221" s="79" t="e">
        <f>IF(#REF!="",0,(#REF!+#REF!-#REF!)*#REF!*#REF!/1000)</f>
        <v>#REF!</v>
      </c>
      <c r="ABK221" s="79" t="e">
        <f>IF(#REF!="",0,(#REF!+#REF!-#REF!)*#REF!*#REF!/1000)</f>
        <v>#REF!</v>
      </c>
      <c r="ABL221" s="79" t="e">
        <f>IF(#REF!="",0,(#REF!+#REF!-#REF!)*#REF!*#REF!/1000)</f>
        <v>#REF!</v>
      </c>
      <c r="ABM221" s="79" t="e">
        <f>IF(#REF!="",0,(#REF!+#REF!-#REF!)*#REF!*#REF!/1000)</f>
        <v>#REF!</v>
      </c>
      <c r="ABN221" s="79" t="e">
        <f>IF(#REF!="",0,(#REF!+#REF!-#REF!)*#REF!*#REF!/1000)</f>
        <v>#REF!</v>
      </c>
      <c r="ABO221" s="79" t="e">
        <f>IF(#REF!="",0,(#REF!+#REF!-#REF!)*#REF!*#REF!/1000)</f>
        <v>#REF!</v>
      </c>
      <c r="ABP221" s="79" t="e">
        <f>IF(#REF!="",0,(#REF!+#REF!-#REF!)*#REF!*#REF!/1000)</f>
        <v>#REF!</v>
      </c>
      <c r="ABQ221" s="79" t="e">
        <f>IF(#REF!="",0,(#REF!+#REF!-#REF!)*#REF!*#REF!/1000)</f>
        <v>#REF!</v>
      </c>
      <c r="ABR221" s="79" t="e">
        <f>IF(#REF!="",0,(#REF!+#REF!-#REF!)*#REF!*#REF!/1000)</f>
        <v>#REF!</v>
      </c>
      <c r="ABS221" s="79" t="e">
        <f>IF(#REF!="",0,(#REF!+#REF!-#REF!)*#REF!*#REF!/1000)</f>
        <v>#REF!</v>
      </c>
      <c r="ABT221" s="79" t="e">
        <f>IF(#REF!="",0,(#REF!+#REF!-#REF!)*#REF!*#REF!/1000)</f>
        <v>#REF!</v>
      </c>
      <c r="ABU221" s="79" t="e">
        <f>IF(#REF!="",0,(#REF!+#REF!-#REF!)*#REF!*#REF!/1000)</f>
        <v>#REF!</v>
      </c>
      <c r="ABV221" s="79" t="e">
        <f>IF(#REF!="",0,(#REF!+#REF!-#REF!)*#REF!*#REF!/1000)</f>
        <v>#REF!</v>
      </c>
      <c r="ABW221" s="79" t="e">
        <f>IF(#REF!="",0,(#REF!+#REF!-#REF!)*#REF!*#REF!/1000)</f>
        <v>#REF!</v>
      </c>
      <c r="ABX221" s="79" t="e">
        <f>IF(#REF!="",0,(#REF!+#REF!-#REF!)*#REF!*#REF!/1000)</f>
        <v>#REF!</v>
      </c>
      <c r="ABY221" s="79" t="e">
        <f>IF(#REF!="",0,(#REF!+#REF!-#REF!)*#REF!*#REF!/1000)</f>
        <v>#REF!</v>
      </c>
      <c r="ABZ221" s="79" t="e">
        <f>IF(#REF!="",0,(#REF!+#REF!-#REF!)*#REF!*#REF!/1000)</f>
        <v>#REF!</v>
      </c>
      <c r="ACA221" s="79" t="e">
        <f>IF(#REF!="",0,(#REF!+#REF!-#REF!)*#REF!*#REF!/1000)</f>
        <v>#REF!</v>
      </c>
      <c r="ACB221" s="79" t="e">
        <f>IF(#REF!="",0,(#REF!+#REF!-#REF!)*#REF!*#REF!/1000)</f>
        <v>#REF!</v>
      </c>
      <c r="ACC221" s="79" t="e">
        <f>IF(#REF!="",0,(#REF!+#REF!-#REF!)*#REF!*#REF!/1000)</f>
        <v>#REF!</v>
      </c>
      <c r="ACD221" s="79" t="e">
        <f>IF(#REF!="",0,(#REF!+#REF!-#REF!)*#REF!*#REF!/1000)</f>
        <v>#REF!</v>
      </c>
      <c r="ACE221" s="79" t="e">
        <f>IF(#REF!="",0,(#REF!+#REF!-#REF!)*#REF!*#REF!/1000)</f>
        <v>#REF!</v>
      </c>
      <c r="ACF221" s="79" t="e">
        <f>IF(#REF!="",0,(#REF!+#REF!-#REF!)*#REF!*#REF!/1000)</f>
        <v>#REF!</v>
      </c>
      <c r="ACG221" s="79" t="e">
        <f>IF(#REF!="",0,(#REF!+#REF!-#REF!)*#REF!*#REF!/1000)</f>
        <v>#REF!</v>
      </c>
      <c r="ACH221" s="79" t="e">
        <f>IF(#REF!="",0,(#REF!+#REF!-#REF!)*#REF!*#REF!/1000)</f>
        <v>#REF!</v>
      </c>
      <c r="ACI221" s="79" t="e">
        <f>IF(#REF!="",0,(#REF!+#REF!-#REF!)*#REF!*#REF!/1000)</f>
        <v>#REF!</v>
      </c>
      <c r="ACJ221" s="79" t="e">
        <f>IF(#REF!="",0,(#REF!+#REF!-#REF!)*#REF!*#REF!/1000)</f>
        <v>#REF!</v>
      </c>
      <c r="ACK221" s="79" t="e">
        <f>IF(#REF!="",0,(#REF!+#REF!-#REF!)*#REF!*#REF!/1000)</f>
        <v>#REF!</v>
      </c>
      <c r="ACL221" s="79" t="e">
        <f>IF(#REF!="",0,(#REF!+#REF!-#REF!)*#REF!*#REF!/1000)</f>
        <v>#REF!</v>
      </c>
      <c r="ACM221" s="79" t="e">
        <f>IF(#REF!="",0,(#REF!+#REF!-#REF!)*#REF!*#REF!/1000)</f>
        <v>#REF!</v>
      </c>
      <c r="ACN221" s="79" t="e">
        <f>IF(#REF!="",0,(#REF!+#REF!-#REF!)*#REF!*#REF!/1000)</f>
        <v>#REF!</v>
      </c>
      <c r="ACO221" s="79" t="e">
        <f>IF(#REF!="",0,(#REF!+#REF!-#REF!)*#REF!*#REF!/1000)</f>
        <v>#REF!</v>
      </c>
      <c r="ACP221" s="79" t="e">
        <f>IF(#REF!="",0,(#REF!+#REF!-#REF!)*#REF!*#REF!/1000)</f>
        <v>#REF!</v>
      </c>
      <c r="ACQ221" s="79" t="e">
        <f>IF(#REF!="",0,(#REF!+#REF!-#REF!)*#REF!*#REF!/1000)</f>
        <v>#REF!</v>
      </c>
      <c r="ACR221" s="79" t="e">
        <f>IF(#REF!="",0,(#REF!+#REF!-#REF!)*#REF!*#REF!/1000)</f>
        <v>#REF!</v>
      </c>
      <c r="ACS221" s="79" t="e">
        <f>IF(#REF!="",0,(#REF!+#REF!-#REF!)*#REF!*#REF!/1000)</f>
        <v>#REF!</v>
      </c>
      <c r="ACT221" s="79" t="e">
        <f>IF(#REF!="",0,(#REF!+#REF!-#REF!)*#REF!*#REF!/1000)</f>
        <v>#REF!</v>
      </c>
      <c r="ACU221" s="79" t="e">
        <f>IF(#REF!="",0,(#REF!+#REF!-#REF!)*#REF!*#REF!/1000)</f>
        <v>#REF!</v>
      </c>
      <c r="ACV221" s="79" t="e">
        <f>IF(#REF!="",0,(#REF!+#REF!-#REF!)*#REF!*#REF!/1000)</f>
        <v>#REF!</v>
      </c>
      <c r="ACW221" s="79" t="e">
        <f>IF(#REF!="",0,(#REF!+#REF!-#REF!)*#REF!*#REF!/1000)</f>
        <v>#REF!</v>
      </c>
      <c r="ACX221" s="79" t="e">
        <f>IF(#REF!="",0,(#REF!+#REF!-#REF!)*#REF!*#REF!/1000)</f>
        <v>#REF!</v>
      </c>
      <c r="ACY221" s="79"/>
      <c r="ACZ221" s="79"/>
      <c r="ADA221" s="79"/>
      <c r="ADB221" s="79"/>
      <c r="ADC221" s="79"/>
      <c r="ADD221" s="79"/>
      <c r="ADE221" s="79"/>
      <c r="ADF221" s="79"/>
      <c r="ADG221" s="79"/>
      <c r="ADH221" s="79"/>
      <c r="ADI221" s="79"/>
      <c r="ADJ221" s="79"/>
      <c r="ADK221" s="79"/>
      <c r="ADL221" s="79"/>
      <c r="ADM221" s="79"/>
      <c r="ADN221" s="79"/>
      <c r="AQP221" s="165"/>
    </row>
    <row r="222" spans="2:794 1050:1134" ht="14.25" x14ac:dyDescent="0.45">
      <c r="D222" t="s">
        <v>277</v>
      </c>
      <c r="E222" s="79" t="e">
        <f>(#REF!+#REF!-#REF!)*#REF!*#REF!/1000</f>
        <v>#REF!</v>
      </c>
      <c r="F222" s="79" t="e">
        <f>(#REF!+#REF!-#REF!)*#REF!*#REF!/1000</f>
        <v>#REF!</v>
      </c>
      <c r="G222" s="79" t="e">
        <f>(#REF!+#REF!-#REF!)*#REF!*#REF!/1000</f>
        <v>#REF!</v>
      </c>
      <c r="H222" s="79" t="e">
        <f>(#REF!+#REF!-#REF!)*#REF!*#REF!/1000</f>
        <v>#REF!</v>
      </c>
      <c r="I222" s="79" t="e">
        <f>(#REF!+#REF!-#REF!)*#REF!*#REF!/1000</f>
        <v>#REF!</v>
      </c>
      <c r="J222" s="79" t="e">
        <f>(#REF!+#REF!-#REF!)*#REF!*#REF!/1000</f>
        <v>#REF!</v>
      </c>
      <c r="K222" s="79" t="e">
        <f>(#REF!+#REF!-#REF!)*#REF!*#REF!/1000</f>
        <v>#REF!</v>
      </c>
      <c r="L222" s="79" t="e">
        <f>(#REF!+#REF!-#REF!)*#REF!*#REF!/100</f>
        <v>#REF!</v>
      </c>
      <c r="M222" s="79" t="e">
        <f>(#REF!+#REF!-#REF!)*#REF!*#REF!/100</f>
        <v>#REF!</v>
      </c>
      <c r="N222" s="79" t="e">
        <f>(#REF!+#REF!-#REF!)*#REF!*#REF!/1000</f>
        <v>#REF!</v>
      </c>
      <c r="O222" s="79" t="e">
        <f>(#REF!+#REF!-#REF!)*#REF!*#REF!/1000</f>
        <v>#REF!</v>
      </c>
      <c r="P222" s="79" t="e">
        <f>(#REF!+#REF!-#REF!)*#REF!*#REF!/1000</f>
        <v>#REF!</v>
      </c>
      <c r="Q222" s="79" t="e">
        <f>(#REF!+#REF!-#REF!)*#REF!*#REF!/1000</f>
        <v>#REF!</v>
      </c>
      <c r="R222" s="79" t="e">
        <f>(#REF!+#REF!-#REF!)*#REF!*#REF!/1000</f>
        <v>#REF!</v>
      </c>
      <c r="S222" s="79" t="e">
        <f>(#REF!+#REF!-#REF!)*#REF!*#REF!/1000</f>
        <v>#REF!</v>
      </c>
      <c r="T222" s="79" t="e">
        <f>(#REF!+#REF!-#REF!)*#REF!*#REF!/1000</f>
        <v>#REF!</v>
      </c>
      <c r="U222" s="79" t="e">
        <f>(#REF!+#REF!-#REF!)*#REF!*#REF!/1000</f>
        <v>#REF!</v>
      </c>
      <c r="V222" s="79" t="e">
        <f>(#REF!+#REF!-#REF!)*#REF!*#REF!/1000</f>
        <v>#REF!</v>
      </c>
      <c r="W222" s="79" t="e">
        <f>(#REF!+#REF!-#REF!)*#REF!*#REF!/1000</f>
        <v>#REF!</v>
      </c>
      <c r="X222" s="79" t="e">
        <f>(#REF!+#REF!-#REF!)*#REF!*#REF!/1000</f>
        <v>#REF!</v>
      </c>
      <c r="Y222" s="79" t="e">
        <f>(#REF!+#REF!-#REF!)*#REF!*#REF!/1000</f>
        <v>#REF!</v>
      </c>
      <c r="Z222" s="79" t="e">
        <f>(#REF!+#REF!-#REF!)*#REF!*#REF!/1000</f>
        <v>#REF!</v>
      </c>
      <c r="AA222" s="79" t="e">
        <f>(#REF!+#REF!-#REF!)*#REF!*#REF!/1000</f>
        <v>#REF!</v>
      </c>
      <c r="AB222" s="79" t="e">
        <f>(#REF!+#REF!-#REF!)*#REF!*#REF!/1000</f>
        <v>#REF!</v>
      </c>
      <c r="AC222" s="79" t="e">
        <f>(#REF!+#REF!-#REF!)*#REF!*#REF!/1000</f>
        <v>#REF!</v>
      </c>
      <c r="AD222" s="79" t="e">
        <f>(#REF!+#REF!-#REF!)*#REF!*#REF!/1000</f>
        <v>#REF!</v>
      </c>
      <c r="AE222" s="79" t="e">
        <f>(#REF!+#REF!-#REF!)*#REF!*#REF!/1000</f>
        <v>#REF!</v>
      </c>
      <c r="AF222" s="79" t="e">
        <f>(#REF!+#REF!-#REF!)*#REF!*#REF!/1000</f>
        <v>#REF!</v>
      </c>
      <c r="AG222" s="79" t="e">
        <f>(#REF!+#REF!-#REF!)*#REF!*#REF!/1000</f>
        <v>#REF!</v>
      </c>
      <c r="AH222" s="79" t="e">
        <f>(#REF!+#REF!-#REF!)*#REF!*#REF!/1000</f>
        <v>#REF!</v>
      </c>
      <c r="AI222" s="79" t="e">
        <f>(#REF!+#REF!-#REF!)*#REF!*#REF!/1000</f>
        <v>#REF!</v>
      </c>
      <c r="AJ222" s="79" t="e">
        <f>(#REF!+#REF!-#REF!)*#REF!*#REF!/1000</f>
        <v>#REF!</v>
      </c>
      <c r="AK222" s="79" t="e">
        <f>(#REF!+#REF!-#REF!)*#REF!*#REF!/1000</f>
        <v>#REF!</v>
      </c>
      <c r="AL222" s="79" t="e">
        <f>(#REF!+#REF!-#REF!)*#REF!*#REF!/1000</f>
        <v>#REF!</v>
      </c>
      <c r="AM222" s="79" t="e">
        <f>(#REF!+#REF!-#REF!)*#REF!*#REF!/1000</f>
        <v>#REF!</v>
      </c>
      <c r="AN222" s="79" t="e">
        <f>(#REF!+#REF!-#REF!)*#REF!*#REF!/1000</f>
        <v>#REF!</v>
      </c>
      <c r="AO222" s="79" t="e">
        <f>(#REF!+#REF!-#REF!)*#REF!*#REF!/1000</f>
        <v>#REF!</v>
      </c>
      <c r="AP222" s="79" t="e">
        <f>(#REF!+#REF!-#REF!)*#REF!*#REF!/1000</f>
        <v>#REF!</v>
      </c>
      <c r="AQ222" s="79" t="e">
        <f>(#REF!+#REF!-#REF!)*#REF!*#REF!/1000</f>
        <v>#REF!</v>
      </c>
      <c r="AR222" s="79" t="e">
        <f>(#REF!+#REF!-#REF!)*#REF!*#REF!/1000</f>
        <v>#REF!</v>
      </c>
      <c r="AS222" s="79" t="e">
        <f>(#REF!+#REF!-#REF!)*#REF!*#REF!/1000</f>
        <v>#REF!</v>
      </c>
      <c r="AT222" s="79" t="e">
        <f>(#REF!+#REF!-#REF!)*#REF!*#REF!/1000</f>
        <v>#REF!</v>
      </c>
      <c r="AU222" s="79" t="e">
        <f>(#REF!+#REF!-#REF!)*#REF!*#REF!/1000</f>
        <v>#REF!</v>
      </c>
      <c r="AV222" s="79" t="e">
        <f>(#REF!+#REF!-#REF!)*#REF!*#REF!/1000</f>
        <v>#REF!</v>
      </c>
      <c r="AW222" s="79" t="e">
        <f>(#REF!+#REF!-#REF!)*#REF!*#REF!/1000</f>
        <v>#REF!</v>
      </c>
      <c r="AX222" s="79" t="e">
        <f>(#REF!+#REF!-#REF!)*#REF!*#REF!/1000</f>
        <v>#REF!</v>
      </c>
      <c r="AY222" s="79" t="e">
        <f>(#REF!+#REF!-#REF!)*#REF!*#REF!/1000</f>
        <v>#REF!</v>
      </c>
      <c r="AZ222" s="79" t="e">
        <f>(#REF!+#REF!-#REF!)*#REF!*#REF!/1000</f>
        <v>#REF!</v>
      </c>
      <c r="BA222" s="79" t="e">
        <f>(#REF!+#REF!-#REF!)*#REF!*#REF!/1000</f>
        <v>#REF!</v>
      </c>
      <c r="BB222" s="79" t="e">
        <f>(#REF!+#REF!-#REF!)*#REF!*#REF!/1000</f>
        <v>#REF!</v>
      </c>
      <c r="BC222" s="79" t="e">
        <f>(#REF!+#REF!-#REF!)*#REF!*#REF!/1000</f>
        <v>#REF!</v>
      </c>
      <c r="BD222" s="79" t="e">
        <f>(#REF!+#REF!-#REF!)*#REF!*#REF!/1000</f>
        <v>#REF!</v>
      </c>
      <c r="BE222" s="79" t="e">
        <f>(#REF!+#REF!-#REF!)*#REF!*#REF!/1000</f>
        <v>#REF!</v>
      </c>
      <c r="BF222" s="79" t="e">
        <f>(#REF!+#REF!-#REF!)*#REF!*#REF!/1000</f>
        <v>#REF!</v>
      </c>
      <c r="BG222" s="79" t="e">
        <f>(#REF!+#REF!-#REF!)*#REF!*#REF!/1000</f>
        <v>#REF!</v>
      </c>
      <c r="BH222" s="79" t="e">
        <f>(#REF!+#REF!-#REF!)*#REF!*#REF!/1000</f>
        <v>#REF!</v>
      </c>
      <c r="BI222" s="79" t="e">
        <f>(#REF!+#REF!-#REF!)*#REF!*#REF!/1000</f>
        <v>#REF!</v>
      </c>
      <c r="BJ222" s="79" t="e">
        <f>(#REF!+#REF!-#REF!)*#REF!*#REF!/1000</f>
        <v>#REF!</v>
      </c>
      <c r="BK222" s="79" t="e">
        <f>(#REF!+#REF!-#REF!)*#REF!*#REF!/1000</f>
        <v>#REF!</v>
      </c>
      <c r="BL222" s="79" t="e">
        <f>(#REF!+#REF!-#REF!)*#REF!*#REF!/1000</f>
        <v>#REF!</v>
      </c>
      <c r="BM222" s="79" t="e">
        <f>(#REF!+#REF!-#REF!)*#REF!*#REF!/1000</f>
        <v>#REF!</v>
      </c>
      <c r="BN222" s="79" t="e">
        <f>(#REF!+#REF!-#REF!)*#REF!*#REF!/1000</f>
        <v>#REF!</v>
      </c>
      <c r="BO222" s="79" t="e">
        <f>(#REF!+#REF!-#REF!)*#REF!*#REF!/1000</f>
        <v>#REF!</v>
      </c>
      <c r="BP222" s="79" t="e">
        <f>(#REF!+#REF!-#REF!)*#REF!*#REF!/1000</f>
        <v>#REF!</v>
      </c>
      <c r="BQ222" s="79" t="e">
        <f>(#REF!+#REF!-#REF!)*#REF!*#REF!/1000</f>
        <v>#REF!</v>
      </c>
      <c r="BR222" s="79" t="e">
        <f>(#REF!+#REF!-#REF!)*#REF!*#REF!/1000</f>
        <v>#REF!</v>
      </c>
      <c r="BS222" s="79" t="e">
        <f>(#REF!+#REF!-#REF!)*#REF!*#REF!/1000</f>
        <v>#REF!</v>
      </c>
      <c r="BT222" s="79" t="e">
        <f>(#REF!+#REF!-#REF!)*#REF!*#REF!/1000</f>
        <v>#REF!</v>
      </c>
      <c r="BU222" s="79" t="e">
        <f>(#REF!+#REF!-#REF!)*#REF!*#REF!/1000</f>
        <v>#REF!</v>
      </c>
      <c r="BV222" s="79" t="e">
        <f>(#REF!+#REF!-#REF!)*#REF!*#REF!/1000</f>
        <v>#REF!</v>
      </c>
      <c r="BW222" s="79" t="e">
        <f>(#REF!+#REF!-#REF!)*#REF!*#REF!/1000</f>
        <v>#REF!</v>
      </c>
      <c r="BX222" s="79" t="e">
        <f>(#REF!+#REF!-#REF!)*#REF!*#REF!/1000</f>
        <v>#REF!</v>
      </c>
      <c r="BY222" s="79" t="e">
        <f>(#REF!+#REF!-#REF!)*#REF!*#REF!/1000</f>
        <v>#REF!</v>
      </c>
      <c r="BZ222" s="79" t="e">
        <f>(#REF!+#REF!-#REF!)*#REF!*#REF!/1000</f>
        <v>#REF!</v>
      </c>
      <c r="CA222" s="79" t="e">
        <f>(#REF!+#REF!-#REF!)*#REF!*#REF!/1000</f>
        <v>#REF!</v>
      </c>
      <c r="CB222" s="79" t="e">
        <f>(#REF!+#REF!-#REF!)*#REF!*#REF!/1000</f>
        <v>#REF!</v>
      </c>
      <c r="CC222" s="79" t="e">
        <f>(#REF!+#REF!-#REF!)*#REF!*#REF!/1000</f>
        <v>#REF!</v>
      </c>
      <c r="CD222" s="79" t="e">
        <f>(#REF!+#REF!-#REF!)*#REF!*#REF!/1000</f>
        <v>#REF!</v>
      </c>
      <c r="CE222" s="79" t="e">
        <f>(#REF!+#REF!-#REF!)*#REF!*#REF!/1000</f>
        <v>#REF!</v>
      </c>
      <c r="CF222" s="79" t="e">
        <f>(#REF!+#REF!-#REF!)*#REF!*#REF!/1000</f>
        <v>#REF!</v>
      </c>
      <c r="CG222" s="79" t="e">
        <f>(#REF!+#REF!-#REF!)*#REF!*#REF!/1000</f>
        <v>#REF!</v>
      </c>
      <c r="CH222" s="79" t="e">
        <f>(#REF!+#REF!-#REF!)*#REF!*#REF!/1000</f>
        <v>#REF!</v>
      </c>
      <c r="CI222" s="79" t="e">
        <f>(#REF!+#REF!-#REF!)*#REF!*#REF!/1000</f>
        <v>#REF!</v>
      </c>
      <c r="CJ222" s="79" t="e">
        <f>(#REF!+#REF!-#REF!)*#REF!*#REF!/1000</f>
        <v>#REF!</v>
      </c>
      <c r="CK222" s="79" t="e">
        <f>(#REF!+#REF!-#REF!)*#REF!*#REF!/1000</f>
        <v>#REF!</v>
      </c>
      <c r="CL222" s="79" t="e">
        <f>(#REF!+#REF!-#REF!)*#REF!*#REF!/1000</f>
        <v>#REF!</v>
      </c>
      <c r="CM222" s="79" t="e">
        <f>(#REF!+#REF!-#REF!)*#REF!*#REF!/1000</f>
        <v>#REF!</v>
      </c>
      <c r="CN222" s="79" t="e">
        <f>(#REF!+#REF!-#REF!)*#REF!*#REF!/1000</f>
        <v>#REF!</v>
      </c>
      <c r="CO222" s="79" t="e">
        <f>(#REF!+#REF!-#REF!)*#REF!*#REF!/1000</f>
        <v>#REF!</v>
      </c>
      <c r="CP222" s="79" t="e">
        <f>(#REF!+#REF!-#REF!)*#REF!*#REF!/1000</f>
        <v>#REF!</v>
      </c>
      <c r="CQ222" s="79" t="e">
        <f>(#REF!+#REF!-#REF!)*#REF!*#REF!/1000</f>
        <v>#REF!</v>
      </c>
      <c r="CR222" s="79" t="e">
        <f>(#REF!+#REF!-#REF!)*#REF!*#REF!/1000</f>
        <v>#REF!</v>
      </c>
      <c r="CS222" s="79" t="e">
        <f>(#REF!+#REF!-#REF!)*#REF!*#REF!/1000</f>
        <v>#REF!</v>
      </c>
      <c r="CT222" s="79" t="e">
        <f>(#REF!+#REF!-#REF!)*#REF!*#REF!/1000</f>
        <v>#REF!</v>
      </c>
      <c r="CU222" s="79" t="e">
        <f>(#REF!+#REF!-#REF!)*#REF!*#REF!/1000</f>
        <v>#REF!</v>
      </c>
      <c r="CV222" s="79" t="e">
        <f>(#REF!+#REF!-#REF!)*#REF!*#REF!/1000</f>
        <v>#REF!</v>
      </c>
      <c r="CW222" s="79" t="e">
        <f>(#REF!+#REF!-#REF!)*#REF!*#REF!/1000</f>
        <v>#REF!</v>
      </c>
      <c r="CX222" s="79" t="e">
        <f>(#REF!+#REF!-#REF!)*#REF!*#REF!/1000</f>
        <v>#REF!</v>
      </c>
      <c r="CY222" s="79" t="e">
        <f>(#REF!+#REF!-#REF!)*#REF!*#REF!/1000</f>
        <v>#REF!</v>
      </c>
      <c r="CZ222" s="79" t="e">
        <f>(#REF!+#REF!-#REF!)*#REF!*#REF!/1000</f>
        <v>#REF!</v>
      </c>
      <c r="DA222" s="79" t="e">
        <f>(#REF!+#REF!-#REF!)*#REF!*#REF!/1000</f>
        <v>#REF!</v>
      </c>
      <c r="DB222" s="79" t="e">
        <f>(#REF!+#REF!-#REF!)*#REF!*#REF!/1000</f>
        <v>#REF!</v>
      </c>
      <c r="DC222" s="79" t="e">
        <f>(#REF!+#REF!-#REF!)*#REF!*#REF!/1000</f>
        <v>#REF!</v>
      </c>
      <c r="DD222" s="79" t="e">
        <f>(#REF!+#REF!-#REF!)*#REF!*#REF!/1000</f>
        <v>#REF!</v>
      </c>
      <c r="DE222" s="79" t="e">
        <f>(#REF!+#REF!-#REF!)*#REF!*#REF!/1000</f>
        <v>#REF!</v>
      </c>
      <c r="DF222" s="79" t="e">
        <f>(#REF!+#REF!-#REF!)*#REF!*#REF!/1000</f>
        <v>#REF!</v>
      </c>
      <c r="DG222" s="79" t="e">
        <f>(#REF!+#REF!-#REF!)*#REF!*#REF!/1000</f>
        <v>#REF!</v>
      </c>
      <c r="DH222" s="79" t="e">
        <f>(#REF!+#REF!-#REF!)*#REF!*#REF!/1000</f>
        <v>#REF!</v>
      </c>
      <c r="DI222" s="79" t="e">
        <f>(#REF!+#REF!-#REF!)*#REF!*#REF!/1000</f>
        <v>#REF!</v>
      </c>
      <c r="DJ222" s="79" t="e">
        <f>(#REF!+#REF!-#REF!)*#REF!*#REF!/1000</f>
        <v>#REF!</v>
      </c>
      <c r="DK222" s="79" t="e">
        <f>(#REF!+#REF!-#REF!)*#REF!*#REF!/1000</f>
        <v>#REF!</v>
      </c>
      <c r="DL222" s="79" t="e">
        <f>(#REF!+#REF!-#REF!)*#REF!*#REF!/1000</f>
        <v>#REF!</v>
      </c>
      <c r="DM222" s="79" t="e">
        <f>(#REF!+#REF!-#REF!)*#REF!*#REF!/1000</f>
        <v>#REF!</v>
      </c>
      <c r="DN222" s="79" t="e">
        <f>(#REF!+#REF!-#REF!)*#REF!*#REF!/1000</f>
        <v>#REF!</v>
      </c>
      <c r="DO222" s="79" t="e">
        <f>(#REF!+#REF!-#REF!)*#REF!*#REF!/1000</f>
        <v>#REF!</v>
      </c>
      <c r="DP222" s="79" t="e">
        <f>(#REF!+#REF!-#REF!)*#REF!*#REF!/1000</f>
        <v>#REF!</v>
      </c>
      <c r="DQ222" s="79" t="e">
        <f>(#REF!+#REF!-#REF!)*#REF!*#REF!/1000</f>
        <v>#REF!</v>
      </c>
      <c r="DR222" s="79" t="e">
        <f>(#REF!+#REF!-#REF!)*#REF!*#REF!/1000</f>
        <v>#REF!</v>
      </c>
      <c r="DS222" s="79" t="e">
        <f>(#REF!+#REF!-#REF!)*#REF!*#REF!/1000</f>
        <v>#REF!</v>
      </c>
      <c r="DT222" s="79" t="e">
        <f>(#REF!+#REF!-#REF!)*#REF!*#REF!/1000</f>
        <v>#REF!</v>
      </c>
      <c r="DU222" s="79" t="e">
        <f>(#REF!+#REF!-#REF!)*#REF!*#REF!/1000</f>
        <v>#REF!</v>
      </c>
      <c r="DV222" s="79" t="e">
        <f>(#REF!+#REF!-#REF!)*#REF!*#REF!/1000</f>
        <v>#REF!</v>
      </c>
      <c r="DW222" s="79" t="e">
        <f>(#REF!+#REF!-#REF!)*#REF!*#REF!/1000</f>
        <v>#REF!</v>
      </c>
      <c r="DX222" s="79" t="e">
        <f>(#REF!+#REF!-#REF!)*#REF!*#REF!/1000</f>
        <v>#REF!</v>
      </c>
      <c r="DY222" s="79" t="e">
        <f>(#REF!+#REF!-#REF!)*#REF!*#REF!/1000</f>
        <v>#REF!</v>
      </c>
      <c r="DZ222" s="79" t="e">
        <f>(#REF!+#REF!-#REF!)*#REF!*#REF!/1000</f>
        <v>#REF!</v>
      </c>
      <c r="EA222" s="79" t="e">
        <f>(#REF!+#REF!-#REF!)*#REF!*#REF!/1000</f>
        <v>#REF!</v>
      </c>
      <c r="EB222" s="79" t="e">
        <f>(#REF!+#REF!-#REF!)*#REF!*#REF!/1000</f>
        <v>#REF!</v>
      </c>
      <c r="EC222" s="79" t="e">
        <f>(#REF!+#REF!-#REF!)*#REF!*#REF!/1000</f>
        <v>#REF!</v>
      </c>
      <c r="ED222" s="79" t="e">
        <f>(#REF!+#REF!-#REF!)*#REF!*#REF!/1000</f>
        <v>#REF!</v>
      </c>
      <c r="EE222" s="79" t="e">
        <f>(#REF!+#REF!-#REF!)*#REF!*#REF!/1000</f>
        <v>#REF!</v>
      </c>
      <c r="EF222" s="79" t="e">
        <f>(#REF!+#REF!-#REF!)*#REF!*#REF!/1000</f>
        <v>#REF!</v>
      </c>
      <c r="EG222" s="79" t="e">
        <f>(#REF!+#REF!-#REF!)*#REF!*#REF!/1000</f>
        <v>#REF!</v>
      </c>
      <c r="EH222" s="79" t="e">
        <f>(#REF!+#REF!-#REF!)*#REF!*#REF!/1000</f>
        <v>#REF!</v>
      </c>
      <c r="EI222" s="79" t="e">
        <f>(#REF!+#REF!-#REF!)*#REF!*#REF!/1000</f>
        <v>#REF!</v>
      </c>
      <c r="EJ222" s="79" t="e">
        <f>(#REF!+#REF!-#REF!)*#REF!*#REF!/1000</f>
        <v>#REF!</v>
      </c>
      <c r="EK222" s="79" t="e">
        <f>(#REF!+#REF!-#REF!)*#REF!*#REF!/1000</f>
        <v>#REF!</v>
      </c>
      <c r="EL222" s="79" t="e">
        <f>(#REF!+#REF!-#REF!)*#REF!*#REF!/1000</f>
        <v>#REF!</v>
      </c>
      <c r="EM222" s="79" t="e">
        <f>(#REF!+#REF!-#REF!)*#REF!*#REF!/1000</f>
        <v>#REF!</v>
      </c>
      <c r="EN222" s="79" t="e">
        <f>(#REF!+#REF!-#REF!)*#REF!*#REF!/1000</f>
        <v>#REF!</v>
      </c>
      <c r="EO222" s="79" t="e">
        <f>(#REF!+#REF!-#REF!)*#REF!*#REF!/1000</f>
        <v>#REF!</v>
      </c>
      <c r="EP222" s="79" t="e">
        <f>(#REF!+#REF!-#REF!)*#REF!*#REF!/1000</f>
        <v>#REF!</v>
      </c>
      <c r="EQ222" s="79" t="e">
        <f>(#REF!+#REF!-#REF!)*#REF!*#REF!/1000</f>
        <v>#REF!</v>
      </c>
      <c r="ER222" s="79" t="e">
        <f>(#REF!+#REF!-#REF!)*#REF!*#REF!/1000</f>
        <v>#REF!</v>
      </c>
      <c r="ES222" s="79" t="e">
        <f>(#REF!+#REF!-#REF!)*#REF!*#REF!/1000</f>
        <v>#REF!</v>
      </c>
      <c r="ET222" s="79" t="e">
        <f>(#REF!+#REF!-#REF!)*#REF!*#REF!/1000</f>
        <v>#REF!</v>
      </c>
      <c r="EU222" s="79" t="e">
        <f>(#REF!+#REF!-#REF!)*#REF!*#REF!/1000</f>
        <v>#REF!</v>
      </c>
      <c r="EV222" s="79" t="e">
        <f>(#REF!+#REF!-#REF!)*#REF!*#REF!/1000</f>
        <v>#REF!</v>
      </c>
      <c r="EW222" s="79" t="e">
        <f>(#REF!+#REF!-#REF!)*#REF!*#REF!/1000</f>
        <v>#REF!</v>
      </c>
      <c r="EX222" s="79" t="e">
        <f>(#REF!+#REF!-#REF!)*#REF!*#REF!/1000</f>
        <v>#REF!</v>
      </c>
      <c r="EY222" s="79" t="e">
        <f>(#REF!+#REF!-#REF!)*#REF!*#REF!/1000</f>
        <v>#REF!</v>
      </c>
      <c r="EZ222" s="79" t="e">
        <f>(#REF!+#REF!-#REF!)*#REF!*#REF!/1000</f>
        <v>#REF!</v>
      </c>
      <c r="FA222" s="79" t="e">
        <f>(#REF!+#REF!-#REF!)*#REF!*#REF!/1000</f>
        <v>#REF!</v>
      </c>
      <c r="FB222" s="79" t="e">
        <f>(#REF!+#REF!-#REF!)*#REF!*#REF!/1000</f>
        <v>#REF!</v>
      </c>
      <c r="FC222" s="79" t="e">
        <f>(#REF!+#REF!-#REF!)*#REF!*#REF!/1000</f>
        <v>#REF!</v>
      </c>
      <c r="FD222" s="79" t="e">
        <f>(#REF!+#REF!-#REF!)*#REF!*#REF!/1000</f>
        <v>#REF!</v>
      </c>
      <c r="FE222" s="79" t="e">
        <f>(#REF!+#REF!-#REF!)*#REF!*#REF!/1000</f>
        <v>#REF!</v>
      </c>
      <c r="FF222" s="79" t="e">
        <f>(#REF!+#REF!-#REF!)*#REF!*#REF!/1000</f>
        <v>#REF!</v>
      </c>
      <c r="FG222" s="79" t="e">
        <f>(#REF!+#REF!-#REF!)*#REF!*#REF!/1000</f>
        <v>#REF!</v>
      </c>
      <c r="FH222" s="79" t="e">
        <f>(#REF!+#REF!-#REF!)*#REF!*#REF!/1000</f>
        <v>#REF!</v>
      </c>
      <c r="FI222" s="79" t="e">
        <f>(#REF!+#REF!-#REF!)*#REF!*#REF!/1000</f>
        <v>#REF!</v>
      </c>
      <c r="FJ222" s="79" t="e">
        <f>(#REF!+#REF!-#REF!)*#REF!*#REF!/1000</f>
        <v>#REF!</v>
      </c>
      <c r="FK222" s="79" t="e">
        <f>(#REF!+#REF!-#REF!)*#REF!*#REF!/1000</f>
        <v>#REF!</v>
      </c>
      <c r="FL222" s="79" t="e">
        <f>(#REF!+#REF!-#REF!)*#REF!*#REF!/1000</f>
        <v>#REF!</v>
      </c>
      <c r="FM222" s="79" t="e">
        <f>(#REF!+#REF!-#REF!)*#REF!*#REF!/1000</f>
        <v>#REF!</v>
      </c>
      <c r="FN222" s="79" t="e">
        <f>(#REF!+#REF!-#REF!)*#REF!*#REF!/1000</f>
        <v>#REF!</v>
      </c>
      <c r="FO222" s="79" t="e">
        <f>(#REF!+#REF!-#REF!)*#REF!*#REF!/1000</f>
        <v>#REF!</v>
      </c>
      <c r="FP222" s="79" t="e">
        <f>(#REF!+#REF!-#REF!)*#REF!*#REF!/1000</f>
        <v>#REF!</v>
      </c>
      <c r="FQ222" s="79" t="e">
        <f>(#REF!+#REF!-#REF!)*#REF!*#REF!/1000</f>
        <v>#REF!</v>
      </c>
      <c r="FR222" s="79" t="e">
        <f>(#REF!+#REF!-#REF!)*#REF!*#REF!/1000</f>
        <v>#REF!</v>
      </c>
      <c r="FS222" s="79" t="e">
        <f>(#REF!+#REF!-#REF!)*#REF!*#REF!/1000</f>
        <v>#REF!</v>
      </c>
      <c r="FT222" s="79" t="e">
        <f>(#REF!+#REF!-#REF!)*#REF!*#REF!/1000</f>
        <v>#REF!</v>
      </c>
      <c r="FU222" s="79" t="e">
        <f>(#REF!+#REF!-#REF!)*#REF!*#REF!/1000</f>
        <v>#REF!</v>
      </c>
      <c r="FV222" s="79" t="e">
        <f>(#REF!+#REF!-#REF!)*#REF!*#REF!/1000</f>
        <v>#REF!</v>
      </c>
      <c r="FW222" s="79" t="e">
        <f>(#REF!+#REF!-#REF!)*#REF!*#REF!/1000</f>
        <v>#REF!</v>
      </c>
      <c r="FX222" s="79" t="e">
        <f>(#REF!+#REF!-#REF!)*#REF!*#REF!/1000</f>
        <v>#REF!</v>
      </c>
      <c r="FY222" s="79" t="e">
        <f>(#REF!+#REF!-#REF!)*#REF!*#REF!/1000</f>
        <v>#REF!</v>
      </c>
      <c r="FZ222" s="79" t="e">
        <f>(#REF!+#REF!-#REF!)*#REF!*#REF!/1000</f>
        <v>#REF!</v>
      </c>
      <c r="GA222" s="79" t="e">
        <f>(#REF!+#REF!-#REF!)*#REF!*#REF!/1000</f>
        <v>#REF!</v>
      </c>
      <c r="GB222" s="79" t="e">
        <f>(#REF!+#REF!-#REF!)*#REF!*#REF!/1000</f>
        <v>#REF!</v>
      </c>
      <c r="GC222" s="79" t="e">
        <f>(#REF!+#REF!-#REF!)*#REF!*#REF!/1000</f>
        <v>#REF!</v>
      </c>
      <c r="GD222" s="79" t="e">
        <f>(#REF!+#REF!-#REF!)*#REF!*#REF!/1000</f>
        <v>#REF!</v>
      </c>
      <c r="GE222" s="79" t="e">
        <f>(#REF!+#REF!-#REF!)*#REF!*#REF!/1000</f>
        <v>#REF!</v>
      </c>
      <c r="GF222" s="79" t="e">
        <f>(#REF!+#REF!-#REF!)*#REF!*#REF!/1000</f>
        <v>#REF!</v>
      </c>
      <c r="GG222" s="79" t="e">
        <f>(#REF!+#REF!-#REF!)*#REF!*#REF!/1000</f>
        <v>#REF!</v>
      </c>
      <c r="GH222" s="79" t="e">
        <f>(#REF!+#REF!-#REF!)*#REF!*#REF!/1000</f>
        <v>#REF!</v>
      </c>
      <c r="GI222" s="79" t="e">
        <f>(#REF!+#REF!-#REF!)*#REF!*#REF!/1000</f>
        <v>#REF!</v>
      </c>
      <c r="GJ222" s="79" t="e">
        <f>(#REF!+#REF!-#REF!)*#REF!*#REF!/1000</f>
        <v>#REF!</v>
      </c>
      <c r="GK222" s="79" t="e">
        <f>(#REF!+#REF!-#REF!)*#REF!*#REF!/1000</f>
        <v>#REF!</v>
      </c>
      <c r="GL222" s="79" t="e">
        <f>(#REF!+#REF!-#REF!)*#REF!*#REF!/1000</f>
        <v>#REF!</v>
      </c>
      <c r="GM222" s="79" t="e">
        <f>(#REF!+#REF!-#REF!)*#REF!*#REF!/1000</f>
        <v>#REF!</v>
      </c>
      <c r="GN222" s="79" t="e">
        <f>(#REF!+#REF!-#REF!)*#REF!*#REF!/1000</f>
        <v>#REF!</v>
      </c>
      <c r="GO222" s="79" t="e">
        <f>(#REF!+#REF!-#REF!)*#REF!*#REF!/1000</f>
        <v>#REF!</v>
      </c>
      <c r="GP222" s="79" t="e">
        <f>(#REF!+#REF!-#REF!)*#REF!*#REF!/1000</f>
        <v>#REF!</v>
      </c>
      <c r="GQ222" s="79" t="e">
        <f>(#REF!+#REF!-#REF!)*#REF!*#REF!/1000</f>
        <v>#REF!</v>
      </c>
      <c r="GR222" s="79" t="e">
        <f>(#REF!+#REF!-#REF!)*#REF!*#REF!/1000</f>
        <v>#REF!</v>
      </c>
      <c r="GS222" s="79" t="e">
        <f>(#REF!+#REF!-#REF!)*#REF!*#REF!/1000</f>
        <v>#REF!</v>
      </c>
      <c r="GT222" s="79" t="e">
        <f>(#REF!+#REF!-#REF!)*#REF!*#REF!/1000</f>
        <v>#REF!</v>
      </c>
      <c r="GU222" s="79" t="e">
        <f>(#REF!+#REF!-#REF!)*#REF!*#REF!/1000</f>
        <v>#REF!</v>
      </c>
      <c r="GV222" s="79" t="e">
        <f>(#REF!+#REF!-#REF!)*#REF!*#REF!/1000</f>
        <v>#REF!</v>
      </c>
      <c r="GW222" s="79" t="e">
        <f>(#REF!+#REF!-#REF!)*#REF!*#REF!/1000</f>
        <v>#REF!</v>
      </c>
      <c r="GX222" s="79" t="e">
        <f>(#REF!+#REF!-#REF!)*#REF!*#REF!/1000</f>
        <v>#REF!</v>
      </c>
      <c r="GY222" s="79" t="e">
        <f>(#REF!+#REF!-#REF!)*#REF!*#REF!/1000</f>
        <v>#REF!</v>
      </c>
      <c r="GZ222" s="79" t="e">
        <f>(#REF!+#REF!-#REF!)*#REF!*#REF!/1000</f>
        <v>#REF!</v>
      </c>
      <c r="HA222" s="79" t="e">
        <f>(#REF!+#REF!-#REF!)*#REF!*#REF!/1000</f>
        <v>#REF!</v>
      </c>
      <c r="HB222" s="79" t="e">
        <f>(#REF!+#REF!-#REF!)*#REF!*#REF!/1000</f>
        <v>#REF!</v>
      </c>
      <c r="HC222" s="79" t="e">
        <f>(#REF!+#REF!-#REF!)*#REF!*#REF!/1000</f>
        <v>#REF!</v>
      </c>
      <c r="HD222" s="79" t="e">
        <f>(#REF!+#REF!-#REF!)*#REF!*#REF!/1000</f>
        <v>#REF!</v>
      </c>
      <c r="HE222" s="79" t="e">
        <f>(#REF!+#REF!-#REF!)*#REF!*#REF!/1000</f>
        <v>#REF!</v>
      </c>
      <c r="HF222" s="79" t="e">
        <f>(#REF!+#REF!-#REF!)*#REF!*#REF!/1000</f>
        <v>#REF!</v>
      </c>
      <c r="HG222" s="79" t="e">
        <f>(#REF!+#REF!-#REF!)*#REF!*#REF!/1000</f>
        <v>#REF!</v>
      </c>
      <c r="HH222" s="79" t="e">
        <f>(#REF!+#REF!-#REF!)*#REF!*#REF!/1000</f>
        <v>#REF!</v>
      </c>
      <c r="HI222" s="79" t="e">
        <f>(#REF!+#REF!-#REF!)*#REF!*#REF!/1000</f>
        <v>#REF!</v>
      </c>
      <c r="HJ222" s="79" t="e">
        <f>(#REF!+#REF!-#REF!)*#REF!*#REF!/1000</f>
        <v>#REF!</v>
      </c>
      <c r="HK222" s="79" t="e">
        <f>(#REF!+#REF!-#REF!)*#REF!*#REF!/1000</f>
        <v>#REF!</v>
      </c>
      <c r="HL222" s="79" t="e">
        <f>(#REF!+#REF!-#REF!)*#REF!*#REF!/1000</f>
        <v>#REF!</v>
      </c>
      <c r="HM222" s="79" t="e">
        <f>(#REF!+#REF!-#REF!)*#REF!*#REF!/1000</f>
        <v>#REF!</v>
      </c>
      <c r="HN222" s="79" t="e">
        <f>(#REF!+#REF!-#REF!)*#REF!*#REF!/1000</f>
        <v>#REF!</v>
      </c>
      <c r="HO222" s="79" t="e">
        <f>(#REF!+#REF!-#REF!)*#REF!*#REF!/1000</f>
        <v>#REF!</v>
      </c>
      <c r="HP222" s="79" t="e">
        <f>(#REF!+#REF!-#REF!)*#REF!*#REF!/1000</f>
        <v>#REF!</v>
      </c>
      <c r="HQ222" s="79" t="e">
        <f>(#REF!+#REF!-#REF!)*#REF!*#REF!/1000</f>
        <v>#REF!</v>
      </c>
      <c r="HR222" s="79" t="e">
        <f>(#REF!+#REF!-#REF!)*#REF!*#REF!/1000</f>
        <v>#REF!</v>
      </c>
      <c r="HS222" s="79" t="e">
        <f>(#REF!+#REF!-#REF!)*#REF!*#REF!/1000</f>
        <v>#REF!</v>
      </c>
      <c r="HT222" s="79" t="e">
        <f>(#REF!+#REF!-#REF!)*#REF!*#REF!/1000</f>
        <v>#REF!</v>
      </c>
      <c r="HU222" s="79" t="e">
        <f>(#REF!+#REF!-#REF!)*#REF!*#REF!/1000</f>
        <v>#REF!</v>
      </c>
      <c r="HV222" s="79" t="e">
        <f>(#REF!+#REF!-#REF!)*#REF!*#REF!/1000</f>
        <v>#REF!</v>
      </c>
      <c r="HW222" s="79" t="e">
        <f>(#REF!+#REF!-#REF!)*#REF!*#REF!/1000</f>
        <v>#REF!</v>
      </c>
      <c r="HX222" s="79" t="e">
        <f>(#REF!+#REF!-#REF!)*#REF!*#REF!/1000</f>
        <v>#REF!</v>
      </c>
      <c r="HY222" s="79" t="e">
        <f>(#REF!+#REF!-#REF!)*#REF!*#REF!/1000</f>
        <v>#REF!</v>
      </c>
      <c r="HZ222" s="79" t="e">
        <f>(#REF!+#REF!-#REF!)*#REF!*#REF!/1000</f>
        <v>#REF!</v>
      </c>
      <c r="IA222" s="79" t="e">
        <f>(#REF!+#REF!-#REF!)*#REF!*#REF!/1000</f>
        <v>#REF!</v>
      </c>
      <c r="IB222" s="79" t="e">
        <f>(#REF!+#REF!-#REF!)*#REF!*#REF!/1000</f>
        <v>#REF!</v>
      </c>
      <c r="IC222" s="79" t="e">
        <f>(#REF!+#REF!-#REF!)*#REF!*#REF!/1000</f>
        <v>#REF!</v>
      </c>
      <c r="ID222" s="79" t="e">
        <f>(#REF!+#REF!-#REF!)*#REF!*#REF!/1000</f>
        <v>#REF!</v>
      </c>
      <c r="IE222" s="79" t="e">
        <f>(#REF!+#REF!-#REF!)*#REF!*#REF!/1000</f>
        <v>#REF!</v>
      </c>
      <c r="IF222" s="79" t="e">
        <f>(#REF!+#REF!-#REF!)*#REF!*#REF!/1000</f>
        <v>#REF!</v>
      </c>
      <c r="IG222" s="79" t="e">
        <f>(#REF!+#REF!-#REF!)*#REF!*#REF!/1000</f>
        <v>#REF!</v>
      </c>
      <c r="IH222" s="79" t="e">
        <f>(#REF!+#REF!-#REF!)*#REF!*#REF!/1000</f>
        <v>#REF!</v>
      </c>
      <c r="II222" s="79" t="e">
        <f>(#REF!+#REF!-#REF!)*#REF!*#REF!/1000</f>
        <v>#REF!</v>
      </c>
      <c r="IJ222" s="79" t="e">
        <f>(#REF!+#REF!-#REF!)*#REF!*#REF!/1000</f>
        <v>#REF!</v>
      </c>
      <c r="IK222" s="79" t="e">
        <f>(#REF!+#REF!-#REF!)*#REF!*#REF!/1000</f>
        <v>#REF!</v>
      </c>
      <c r="IL222" s="79" t="e">
        <f>(#REF!+#REF!-#REF!)*#REF!*#REF!/1000</f>
        <v>#REF!</v>
      </c>
      <c r="IM222" s="79" t="e">
        <f>(#REF!+#REF!-#REF!)*#REF!*#REF!/1000</f>
        <v>#REF!</v>
      </c>
      <c r="IN222" s="79" t="e">
        <f>(#REF!+#REF!-#REF!)*#REF!*#REF!/1000</f>
        <v>#REF!</v>
      </c>
      <c r="IO222" s="79" t="e">
        <f>(#REF!+#REF!-#REF!)*#REF!*#REF!/1000</f>
        <v>#REF!</v>
      </c>
      <c r="IP222" s="79" t="e">
        <f>(#REF!+#REF!-#REF!)*#REF!*#REF!/1000</f>
        <v>#REF!</v>
      </c>
      <c r="IQ222" s="79" t="e">
        <f>(#REF!+#REF!-#REF!)*#REF!*#REF!/1000</f>
        <v>#REF!</v>
      </c>
      <c r="IR222" s="79" t="e">
        <f>(#REF!+#REF!-#REF!)*#REF!*#REF!/1000</f>
        <v>#REF!</v>
      </c>
      <c r="IS222" s="79" t="e">
        <f>(#REF!+#REF!-#REF!)*#REF!*#REF!/1000</f>
        <v>#REF!</v>
      </c>
      <c r="IT222" s="79" t="e">
        <f>(#REF!+#REF!-#REF!)*#REF!*#REF!/1000</f>
        <v>#REF!</v>
      </c>
      <c r="IU222" s="79" t="e">
        <f>(#REF!+#REF!-#REF!)*#REF!*#REF!/1000</f>
        <v>#REF!</v>
      </c>
      <c r="IV222" s="79" t="e">
        <f>(#REF!+#REF!-#REF!)*#REF!*#REF!/1000</f>
        <v>#REF!</v>
      </c>
      <c r="IW222" s="79" t="e">
        <f>(#REF!+#REF!-#REF!)*#REF!*#REF!/1000</f>
        <v>#REF!</v>
      </c>
      <c r="IX222" s="79" t="e">
        <f>(#REF!+#REF!-#REF!)*#REF!*#REF!/1000</f>
        <v>#REF!</v>
      </c>
      <c r="IY222" s="79" t="e">
        <f>(#REF!+#REF!-#REF!)*#REF!*#REF!/1000</f>
        <v>#REF!</v>
      </c>
      <c r="IZ222" s="79" t="e">
        <f>(#REF!+#REF!-#REF!)*#REF!*#REF!/1000</f>
        <v>#REF!</v>
      </c>
      <c r="JA222" s="79" t="e">
        <f>(#REF!+#REF!-#REF!)*#REF!*#REF!/1000</f>
        <v>#REF!</v>
      </c>
      <c r="JB222" s="79" t="e">
        <f>(#REF!+#REF!-#REF!)*#REF!*#REF!/1000</f>
        <v>#REF!</v>
      </c>
      <c r="JC222" s="79" t="e">
        <f>(#REF!+#REF!-#REF!)*#REF!*#REF!/1000</f>
        <v>#REF!</v>
      </c>
      <c r="JD222" s="79" t="e">
        <f>(#REF!+#REF!-#REF!)*#REF!*#REF!/1000</f>
        <v>#REF!</v>
      </c>
      <c r="JE222" s="79" t="e">
        <f>(#REF!+#REF!-#REF!)*#REF!*#REF!/1000</f>
        <v>#REF!</v>
      </c>
      <c r="JF222" s="79" t="e">
        <f>(#REF!+#REF!-#REF!)*#REF!*#REF!/1000</f>
        <v>#REF!</v>
      </c>
      <c r="JG222" s="79" t="e">
        <f>(#REF!+#REF!-#REF!)*#REF!*#REF!/1000</f>
        <v>#REF!</v>
      </c>
      <c r="JH222" s="79" t="e">
        <f>(#REF!+#REF!-#REF!)*#REF!*#REF!/1000</f>
        <v>#REF!</v>
      </c>
      <c r="JI222" s="79" t="e">
        <f>(#REF!+#REF!-#REF!)*#REF!*#REF!/1000</f>
        <v>#REF!</v>
      </c>
      <c r="JJ222" s="79" t="e">
        <f>(#REF!+#REF!-#REF!)*#REF!*#REF!/1000</f>
        <v>#REF!</v>
      </c>
      <c r="JK222" s="79" t="e">
        <f>(#REF!+#REF!-#REF!)*#REF!*#REF!/1000</f>
        <v>#REF!</v>
      </c>
      <c r="JL222" s="79" t="e">
        <f>(#REF!+#REF!-#REF!)*#REF!*#REF!/1000</f>
        <v>#REF!</v>
      </c>
      <c r="JM222" s="79" t="e">
        <f>(#REF!+#REF!-#REF!)*#REF!*#REF!/1000</f>
        <v>#REF!</v>
      </c>
      <c r="JN222" s="79" t="e">
        <f>(#REF!+#REF!-#REF!)*#REF!*#REF!/1000</f>
        <v>#REF!</v>
      </c>
      <c r="JO222" s="79" t="e">
        <f>(#REF!+#REF!-#REF!)*#REF!*#REF!/1000</f>
        <v>#REF!</v>
      </c>
      <c r="JP222" s="79" t="e">
        <f>(#REF!+#REF!-#REF!)*#REF!*#REF!/1000</f>
        <v>#REF!</v>
      </c>
      <c r="JQ222" s="79" t="e">
        <f>(#REF!+#REF!-#REF!)*#REF!*#REF!/1000</f>
        <v>#REF!</v>
      </c>
      <c r="JR222" s="79" t="e">
        <f>(#REF!+#REF!-#REF!)*#REF!*#REF!/1000</f>
        <v>#REF!</v>
      </c>
      <c r="JS222" s="79" t="e">
        <f>(#REF!+#REF!-#REF!)*#REF!*#REF!/1000</f>
        <v>#REF!</v>
      </c>
      <c r="JT222" s="79" t="e">
        <f>(#REF!+#REF!-#REF!)*#REF!*#REF!/1000</f>
        <v>#REF!</v>
      </c>
      <c r="JU222" s="79" t="e">
        <f>(#REF!+#REF!-#REF!)*#REF!*#REF!/1000</f>
        <v>#REF!</v>
      </c>
      <c r="JV222" s="79" t="e">
        <f>(#REF!+#REF!-#REF!)*#REF!*#REF!/1000</f>
        <v>#REF!</v>
      </c>
      <c r="JW222" s="79" t="e">
        <f>(#REF!+#REF!-#REF!)*#REF!*#REF!/1000</f>
        <v>#REF!</v>
      </c>
      <c r="JX222" s="79" t="e">
        <f>(#REF!+#REF!-#REF!)*#REF!*#REF!/1000</f>
        <v>#REF!</v>
      </c>
      <c r="JY222" s="79" t="e">
        <f>(#REF!+#REF!-#REF!)*#REF!*#REF!/1000</f>
        <v>#REF!</v>
      </c>
      <c r="JZ222" s="79" t="e">
        <f>(#REF!+#REF!-#REF!)*#REF!*#REF!/1000</f>
        <v>#REF!</v>
      </c>
      <c r="KA222" s="79" t="e">
        <f>(#REF!+#REF!-#REF!)*#REF!*#REF!/1000</f>
        <v>#REF!</v>
      </c>
      <c r="KB222" s="79" t="e">
        <f>(#REF!+#REF!-#REF!)*#REF!*#REF!/1000</f>
        <v>#REF!</v>
      </c>
      <c r="KC222" s="79" t="e">
        <f>(#REF!+#REF!-#REF!)*#REF!*#REF!/1000</f>
        <v>#REF!</v>
      </c>
      <c r="KD222" s="79" t="e">
        <f>(#REF!+#REF!-#REF!)*#REF!*#REF!/1000</f>
        <v>#REF!</v>
      </c>
      <c r="KE222" s="79" t="e">
        <f>(#REF!+#REF!-#REF!)*#REF!*#REF!/1000</f>
        <v>#REF!</v>
      </c>
      <c r="KF222" s="79" t="e">
        <f>(#REF!+#REF!-#REF!)*#REF!*#REF!/1000</f>
        <v>#REF!</v>
      </c>
      <c r="KG222" s="79" t="e">
        <f>(#REF!+#REF!-#REF!)*#REF!*#REF!/1000</f>
        <v>#REF!</v>
      </c>
      <c r="KH222" s="79" t="e">
        <f>(#REF!+#REF!-#REF!)*#REF!*#REF!/1000</f>
        <v>#REF!</v>
      </c>
      <c r="KI222" s="79" t="e">
        <f>(#REF!+#REF!-#REF!)*#REF!*#REF!/1000</f>
        <v>#REF!</v>
      </c>
      <c r="KJ222" s="79" t="e">
        <f>(#REF!+#REF!-#REF!)*#REF!*#REF!/1000</f>
        <v>#REF!</v>
      </c>
      <c r="KK222" s="79" t="e">
        <f>(#REF!+#REF!-#REF!)*#REF!*#REF!/1000</f>
        <v>#REF!</v>
      </c>
      <c r="KL222" s="79" t="e">
        <f>(#REF!+#REF!-#REF!)*#REF!*#REF!/1000</f>
        <v>#REF!</v>
      </c>
      <c r="KM222" s="79" t="e">
        <f>(#REF!+#REF!-#REF!)*#REF!*#REF!/1000</f>
        <v>#REF!</v>
      </c>
      <c r="KN222" s="79" t="e">
        <f>(#REF!+#REF!-#REF!)*#REF!*#REF!/1000</f>
        <v>#REF!</v>
      </c>
      <c r="KO222" s="79" t="e">
        <f>(#REF!+#REF!-#REF!)*#REF!*#REF!/1000</f>
        <v>#REF!</v>
      </c>
      <c r="KP222" s="79" t="e">
        <f>(#REF!+#REF!-#REF!)*#REF!*#REF!/1000</f>
        <v>#REF!</v>
      </c>
      <c r="KQ222" s="79" t="e">
        <f>(#REF!+#REF!-#REF!)*#REF!*#REF!/1000</f>
        <v>#REF!</v>
      </c>
      <c r="KR222" s="79" t="e">
        <f>(#REF!+#REF!-#REF!)*#REF!*#REF!/1000</f>
        <v>#REF!</v>
      </c>
      <c r="KS222" s="79" t="e">
        <f>(#REF!+#REF!-#REF!)*#REF!*#REF!/1000</f>
        <v>#REF!</v>
      </c>
      <c r="KT222" s="79" t="e">
        <f>(#REF!+#REF!-#REF!)*#REF!*#REF!/1000</f>
        <v>#REF!</v>
      </c>
      <c r="KU222" s="79" t="e">
        <f>(#REF!+#REF!-#REF!)*#REF!*#REF!/1000</f>
        <v>#REF!</v>
      </c>
      <c r="KV222" s="79" t="e">
        <f>(#REF!+#REF!-#REF!)*#REF!*#REF!/1000</f>
        <v>#REF!</v>
      </c>
      <c r="KW222" s="79" t="e">
        <f>(#REF!+#REF!-#REF!)*#REF!*#REF!/1000</f>
        <v>#REF!</v>
      </c>
      <c r="KX222" s="79" t="e">
        <f>(#REF!+#REF!-#REF!)*#REF!*#REF!/1000</f>
        <v>#REF!</v>
      </c>
      <c r="KY222" s="79" t="e">
        <f>(#REF!+#REF!-#REF!)*#REF!*#REF!/1000</f>
        <v>#REF!</v>
      </c>
      <c r="KZ222" s="79" t="e">
        <f>(#REF!+#REF!-#REF!)*#REF!*#REF!/1000</f>
        <v>#REF!</v>
      </c>
      <c r="LA222" s="79" t="e">
        <f>(#REF!+#REF!-#REF!)*#REF!*#REF!/1000</f>
        <v>#REF!</v>
      </c>
      <c r="LB222" s="79" t="e">
        <f>(#REF!+#REF!-#REF!)*#REF!*#REF!/1000</f>
        <v>#REF!</v>
      </c>
      <c r="LC222" s="79" t="e">
        <f>(#REF!+#REF!-#REF!)*#REF!*#REF!/1000</f>
        <v>#REF!</v>
      </c>
      <c r="LD222" s="79" t="e">
        <f>(#REF!+#REF!-#REF!)*#REF!*#REF!/1000</f>
        <v>#REF!</v>
      </c>
      <c r="LE222" s="79" t="e">
        <f>(#REF!+#REF!-#REF!)*#REF!*#REF!/1000</f>
        <v>#REF!</v>
      </c>
      <c r="LF222" s="79" t="e">
        <f>(#REF!+#REF!-#REF!)*#REF!*#REF!/1000</f>
        <v>#REF!</v>
      </c>
      <c r="LG222" s="79" t="e">
        <f>(#REF!+#REF!-#REF!)*#REF!*#REF!/1000</f>
        <v>#REF!</v>
      </c>
      <c r="LH222" s="79" t="e">
        <f>(#REF!+#REF!-#REF!)*#REF!*#REF!/1000</f>
        <v>#REF!</v>
      </c>
      <c r="LI222" s="79" t="e">
        <f>(#REF!+#REF!-#REF!)*#REF!*#REF!/1000</f>
        <v>#REF!</v>
      </c>
      <c r="LJ222" s="79" t="e">
        <f>(#REF!+#REF!-#REF!)*#REF!*#REF!/1000</f>
        <v>#REF!</v>
      </c>
      <c r="LK222" s="79" t="e">
        <f>(#REF!+#REF!-#REF!)*#REF!*#REF!/1000</f>
        <v>#REF!</v>
      </c>
      <c r="LL222" s="79" t="e">
        <f>(#REF!+#REF!-#REF!)*#REF!*#REF!/1000</f>
        <v>#REF!</v>
      </c>
      <c r="LM222" s="79" t="e">
        <f>(#REF!+#REF!-#REF!)*#REF!*#REF!/1000</f>
        <v>#REF!</v>
      </c>
      <c r="LN222" s="79" t="e">
        <f>(#REF!+#REF!-#REF!)*#REF!*#REF!/1000</f>
        <v>#REF!</v>
      </c>
      <c r="LO222" s="79" t="e">
        <f>(#REF!+#REF!-#REF!)*#REF!*#REF!/1000</f>
        <v>#REF!</v>
      </c>
      <c r="LP222" s="79" t="e">
        <f>(#REF!+#REF!-#REF!)*#REF!*#REF!/1000</f>
        <v>#REF!</v>
      </c>
      <c r="LQ222" s="79" t="e">
        <f>(#REF!+#REF!-#REF!)*#REF!*#REF!/1000</f>
        <v>#REF!</v>
      </c>
      <c r="LR222" s="79" t="e">
        <f>(#REF!+#REF!-#REF!)*#REF!*#REF!/1000</f>
        <v>#REF!</v>
      </c>
      <c r="LS222" s="79" t="e">
        <f>(#REF!+#REF!-#REF!)*#REF!*#REF!/1000</f>
        <v>#REF!</v>
      </c>
      <c r="LT222" s="79" t="e">
        <f>(#REF!+#REF!-#REF!)*#REF!*#REF!/1000</f>
        <v>#REF!</v>
      </c>
      <c r="LU222" s="79" t="e">
        <f>(#REF!+#REF!-#REF!)*#REF!*#REF!/1000</f>
        <v>#REF!</v>
      </c>
      <c r="LV222" s="79" t="e">
        <f>(#REF!+#REF!-#REF!)*#REF!*#REF!/1000</f>
        <v>#REF!</v>
      </c>
      <c r="LW222" s="79" t="e">
        <f>(#REF!+#REF!-#REF!)*#REF!*#REF!/1000</f>
        <v>#REF!</v>
      </c>
      <c r="LX222" s="79" t="e">
        <f>(#REF!+#REF!-#REF!)*#REF!*#REF!/1000</f>
        <v>#REF!</v>
      </c>
      <c r="LY222" s="79" t="e">
        <f>(#REF!+#REF!-#REF!)*#REF!*#REF!/1000</f>
        <v>#REF!</v>
      </c>
      <c r="LZ222" s="79" t="e">
        <f>(#REF!+#REF!-#REF!)*#REF!*#REF!/1000</f>
        <v>#REF!</v>
      </c>
      <c r="MA222" s="79" t="e">
        <f>(#REF!+#REF!-#REF!)*#REF!*#REF!/1000</f>
        <v>#REF!</v>
      </c>
      <c r="MB222" s="79" t="e">
        <f>(#REF!+#REF!-#REF!)*#REF!*#REF!/1000</f>
        <v>#REF!</v>
      </c>
      <c r="MC222" s="79" t="e">
        <f>(#REF!+#REF!-#REF!)*#REF!*#REF!/1000</f>
        <v>#REF!</v>
      </c>
      <c r="MD222" s="79" t="e">
        <f>(#REF!+#REF!-#REF!)*#REF!*#REF!/1000</f>
        <v>#REF!</v>
      </c>
      <c r="ME222" s="79" t="e">
        <f>(#REF!+#REF!-#REF!)*#REF!*#REF!/1000</f>
        <v>#REF!</v>
      </c>
      <c r="MF222" s="79" t="e">
        <f>(#REF!+#REF!-#REF!)*#REF!*#REF!/1000</f>
        <v>#REF!</v>
      </c>
      <c r="MG222" s="79" t="e">
        <f>(#REF!+#REF!-#REF!)*#REF!*#REF!/1000</f>
        <v>#REF!</v>
      </c>
      <c r="MH222" s="79" t="e">
        <f>(#REF!+#REF!-#REF!)*#REF!*#REF!/1000</f>
        <v>#REF!</v>
      </c>
      <c r="MI222" s="79" t="e">
        <f>(#REF!+#REF!-#REF!)*#REF!*#REF!/1000</f>
        <v>#REF!</v>
      </c>
      <c r="MJ222" s="79" t="e">
        <f>(#REF!+#REF!-#REF!)*#REF!*#REF!/1000</f>
        <v>#REF!</v>
      </c>
      <c r="MK222" s="79" t="e">
        <f>(#REF!+#REF!-#REF!)*#REF!*#REF!/1000</f>
        <v>#REF!</v>
      </c>
      <c r="ML222" s="79" t="e">
        <f>(#REF!+#REF!-#REF!)*#REF!*#REF!/1000</f>
        <v>#REF!</v>
      </c>
      <c r="MM222" s="79" t="e">
        <f>(#REF!+#REF!-#REF!)*#REF!*#REF!/1000</f>
        <v>#REF!</v>
      </c>
      <c r="MN222" s="79" t="e">
        <f>(#REF!+#REF!-#REF!)*#REF!*#REF!/1000</f>
        <v>#REF!</v>
      </c>
      <c r="MO222" s="79" t="e">
        <f>(#REF!+#REF!-#REF!)*#REF!*#REF!/1000</f>
        <v>#REF!</v>
      </c>
      <c r="MP222" s="79" t="e">
        <f>(#REF!+#REF!-#REF!)*#REF!*#REF!/1000</f>
        <v>#REF!</v>
      </c>
      <c r="MQ222" s="79" t="e">
        <f>(#REF!+#REF!-#REF!)*#REF!*#REF!/1000</f>
        <v>#REF!</v>
      </c>
      <c r="MR222" s="79" t="e">
        <f>(#REF!+#REF!-#REF!)*#REF!*#REF!/1000</f>
        <v>#REF!</v>
      </c>
      <c r="MS222" s="79" t="e">
        <f>(#REF!+#REF!-#REF!)*#REF!*#REF!/1000</f>
        <v>#REF!</v>
      </c>
      <c r="MT222" s="79" t="e">
        <f>(#REF!+#REF!-#REF!)*#REF!*#REF!/1000</f>
        <v>#REF!</v>
      </c>
      <c r="MU222" s="79" t="e">
        <f>(#REF!+#REF!-#REF!)*#REF!*#REF!/1000</f>
        <v>#REF!</v>
      </c>
      <c r="MV222" s="79" t="e">
        <f>(#REF!+#REF!-#REF!)*#REF!*#REF!/1000</f>
        <v>#REF!</v>
      </c>
      <c r="MW222" s="79" t="e">
        <f>(#REF!+#REF!-#REF!)*#REF!*#REF!/1000</f>
        <v>#REF!</v>
      </c>
      <c r="MX222" s="79" t="e">
        <f>(#REF!+#REF!-#REF!)*#REF!*#REF!/1000</f>
        <v>#REF!</v>
      </c>
      <c r="MY222" s="79" t="e">
        <f>(#REF!+#REF!-#REF!)*#REF!*#REF!/1000</f>
        <v>#REF!</v>
      </c>
      <c r="MZ222" s="79" t="e">
        <f>(#REF!+#REF!-#REF!)*#REF!*#REF!/1000</f>
        <v>#REF!</v>
      </c>
      <c r="NA222" s="79" t="e">
        <f>(#REF!+#REF!-#REF!)*#REF!*#REF!/1000</f>
        <v>#REF!</v>
      </c>
      <c r="NB222" s="79" t="e">
        <f>(#REF!+#REF!-#REF!)*#REF!*#REF!/1000</f>
        <v>#REF!</v>
      </c>
      <c r="NC222" s="79" t="e">
        <f>(#REF!+#REF!-#REF!)*#REF!*#REF!/1000</f>
        <v>#REF!</v>
      </c>
      <c r="ND222" s="79" t="e">
        <f>(#REF!+#REF!-#REF!)*#REF!*#REF!/1000</f>
        <v>#REF!</v>
      </c>
      <c r="NE222" s="79" t="e">
        <f>(#REF!+#REF!-#REF!)*#REF!*#REF!/1000</f>
        <v>#REF!</v>
      </c>
      <c r="NF222" s="79" t="e">
        <f>(#REF!+#REF!-#REF!)*#REF!*#REF!/1000</f>
        <v>#REF!</v>
      </c>
      <c r="NG222" s="79" t="e">
        <f>(#REF!+#REF!-#REF!)*#REF!*#REF!/1000</f>
        <v>#REF!</v>
      </c>
      <c r="NH222" s="79" t="e">
        <f>(#REF!+#REF!-#REF!)*#REF!*#REF!/1000</f>
        <v>#REF!</v>
      </c>
      <c r="NI222" s="79" t="e">
        <f>(#REF!+#REF!-#REF!)*#REF!*#REF!/1000</f>
        <v>#REF!</v>
      </c>
      <c r="NJ222" s="79" t="e">
        <f>(#REF!+#REF!-#REF!)*#REF!*#REF!/1000</f>
        <v>#REF!</v>
      </c>
      <c r="NK222" s="79" t="e">
        <f>(#REF!+#REF!-#REF!)*#REF!*#REF!/1000</f>
        <v>#REF!</v>
      </c>
      <c r="NL222" s="79" t="e">
        <f>(#REF!+#REF!-#REF!)*#REF!*#REF!/1000</f>
        <v>#REF!</v>
      </c>
      <c r="NM222" s="79" t="e">
        <f>(#REF!+#REF!-#REF!)*#REF!*#REF!/1000</f>
        <v>#REF!</v>
      </c>
      <c r="NN222" s="79" t="e">
        <f>(#REF!+#REF!-#REF!)*#REF!*#REF!/1000</f>
        <v>#REF!</v>
      </c>
      <c r="NO222" s="79" t="e">
        <f>(#REF!+#REF!-#REF!)*#REF!*#REF!/1000</f>
        <v>#REF!</v>
      </c>
      <c r="NP222" s="79" t="e">
        <f>(#REF!+#REF!-#REF!)*#REF!*#REF!/1000</f>
        <v>#REF!</v>
      </c>
      <c r="NQ222" s="79" t="e">
        <f>(#REF!+#REF!-#REF!)*#REF!*#REF!/1000</f>
        <v>#REF!</v>
      </c>
      <c r="NR222" s="79" t="e">
        <f>(#REF!+#REF!-#REF!)*#REF!*#REF!/1000</f>
        <v>#REF!</v>
      </c>
      <c r="NS222" s="79" t="e">
        <f>(#REF!+#REF!-#REF!)*#REF!*#REF!/1000</f>
        <v>#REF!</v>
      </c>
      <c r="NT222" s="79" t="e">
        <f>(#REF!+#REF!-#REF!)*#REF!*#REF!/1000</f>
        <v>#REF!</v>
      </c>
      <c r="NU222" s="79" t="e">
        <f>(#REF!+#REF!-#REF!)*#REF!*#REF!/1000</f>
        <v>#REF!</v>
      </c>
      <c r="NV222" s="79" t="e">
        <f>(#REF!+#REF!-#REF!)*#REF!*#REF!/1000</f>
        <v>#REF!</v>
      </c>
      <c r="NW222" s="79" t="e">
        <f>(#REF!+#REF!-#REF!)*#REF!*#REF!/1000</f>
        <v>#REF!</v>
      </c>
      <c r="NX222" s="79" t="e">
        <f>(#REF!+#REF!-#REF!)*#REF!*#REF!/1000</f>
        <v>#REF!</v>
      </c>
      <c r="NY222" s="79" t="e">
        <f>(#REF!+#REF!-#REF!)*#REF!*#REF!/1000</f>
        <v>#REF!</v>
      </c>
      <c r="NZ222" s="79" t="e">
        <f>(#REF!+#REF!-#REF!)*#REF!*#REF!/1000</f>
        <v>#REF!</v>
      </c>
      <c r="OA222" s="79" t="e">
        <f>(#REF!+#REF!-#REF!)*#REF!*#REF!/1000</f>
        <v>#REF!</v>
      </c>
      <c r="OB222" s="79" t="e">
        <f>(#REF!+#REF!-#REF!)*#REF!*#REF!/1000</f>
        <v>#REF!</v>
      </c>
      <c r="OC222" s="79" t="e">
        <f>(#REF!+#REF!-#REF!)*#REF!*#REF!/1000</f>
        <v>#REF!</v>
      </c>
      <c r="OD222" s="79" t="e">
        <f>(#REF!+#REF!-#REF!)*#REF!*#REF!/1000</f>
        <v>#REF!</v>
      </c>
      <c r="OE222" s="79" t="e">
        <f>(#REF!+#REF!-#REF!)*#REF!*#REF!/1000</f>
        <v>#REF!</v>
      </c>
      <c r="OF222" s="79" t="e">
        <f>(#REF!+#REF!-#REF!)*#REF!*#REF!/1000</f>
        <v>#REF!</v>
      </c>
      <c r="OG222" s="79" t="e">
        <f>(#REF!+#REF!-#REF!)*#REF!*#REF!/1000</f>
        <v>#REF!</v>
      </c>
      <c r="OH222" s="79" t="e">
        <f>(#REF!+#REF!-#REF!)*#REF!*#REF!/1000</f>
        <v>#REF!</v>
      </c>
      <c r="OI222" s="79" t="e">
        <f>(#REF!+#REF!-#REF!)*#REF!*#REF!/1000</f>
        <v>#REF!</v>
      </c>
      <c r="OJ222" s="79" t="e">
        <f>(#REF!+#REF!-#REF!)*#REF!*#REF!/1000</f>
        <v>#REF!</v>
      </c>
      <c r="OK222" s="79" t="e">
        <f>(#REF!+#REF!-#REF!)*#REF!*#REF!/1000</f>
        <v>#REF!</v>
      </c>
      <c r="OL222" s="79" t="e">
        <f>(#REF!+#REF!-#REF!)*#REF!*#REF!/1000</f>
        <v>#REF!</v>
      </c>
      <c r="OM222" s="79" t="e">
        <f>(#REF!+#REF!-#REF!)*#REF!*#REF!/1000</f>
        <v>#REF!</v>
      </c>
      <c r="ON222" s="79" t="e">
        <f>(#REF!+#REF!-#REF!)*#REF!*#REF!/1000</f>
        <v>#REF!</v>
      </c>
      <c r="OO222" s="79" t="e">
        <f>(#REF!+#REF!-#REF!)*#REF!*#REF!/1000</f>
        <v>#REF!</v>
      </c>
      <c r="OP222" s="79" t="e">
        <f>(#REF!+#REF!-#REF!)*#REF!*#REF!/1000</f>
        <v>#REF!</v>
      </c>
      <c r="OQ222" s="79" t="e">
        <f>(#REF!+#REF!-#REF!)*#REF!*#REF!/1000</f>
        <v>#REF!</v>
      </c>
      <c r="OR222" s="79" t="e">
        <f>(#REF!+#REF!-#REF!)*#REF!*#REF!/1000</f>
        <v>#REF!</v>
      </c>
      <c r="OS222" s="79" t="e">
        <f>(#REF!+#REF!-#REF!)*#REF!*#REF!/1000</f>
        <v>#REF!</v>
      </c>
      <c r="OT222" s="79" t="e">
        <f>(#REF!+#REF!-#REF!)*#REF!*#REF!/1000</f>
        <v>#REF!</v>
      </c>
      <c r="OU222" s="79" t="e">
        <f>(#REF!+#REF!-#REF!)*#REF!*#REF!/1000</f>
        <v>#REF!</v>
      </c>
      <c r="OV222" s="79" t="e">
        <f>(#REF!+#REF!-#REF!)*#REF!*#REF!/1000</f>
        <v>#REF!</v>
      </c>
      <c r="OW222" s="79" t="e">
        <f>(#REF!+#REF!-#REF!)*#REF!*#REF!/1000</f>
        <v>#REF!</v>
      </c>
      <c r="OX222" s="79" t="e">
        <f>(#REF!+#REF!-#REF!)*#REF!*#REF!/1000</f>
        <v>#REF!</v>
      </c>
      <c r="OY222" s="79" t="e">
        <f>(#REF!+#REF!-#REF!)*#REF!*#REF!/1000</f>
        <v>#REF!</v>
      </c>
      <c r="OZ222" s="79" t="e">
        <f>(#REF!+#REF!-#REF!)*#REF!*#REF!/1000</f>
        <v>#REF!</v>
      </c>
      <c r="PA222" s="79" t="e">
        <f>(#REF!+#REF!-#REF!)*#REF!*#REF!/1000</f>
        <v>#REF!</v>
      </c>
      <c r="PB222" s="79" t="e">
        <f>(#REF!+#REF!-#REF!)*#REF!*#REF!/1000</f>
        <v>#REF!</v>
      </c>
      <c r="PC222" s="79" t="e">
        <f>(#REF!+#REF!-#REF!)*#REF!*#REF!/1000</f>
        <v>#REF!</v>
      </c>
      <c r="PD222" s="79" t="e">
        <f>(#REF!+#REF!-#REF!)*#REF!*#REF!/1000</f>
        <v>#REF!</v>
      </c>
      <c r="PE222" s="79" t="e">
        <f>(#REF!+#REF!-#REF!)*#REF!*#REF!/1000</f>
        <v>#REF!</v>
      </c>
      <c r="PF222" s="79" t="e">
        <f>(#REF!+#REF!-#REF!)*#REF!*#REF!/1000</f>
        <v>#REF!</v>
      </c>
      <c r="PG222" s="79" t="e">
        <f>(#REF!+#REF!-#REF!)*#REF!*#REF!/1000</f>
        <v>#REF!</v>
      </c>
      <c r="PH222" s="79" t="e">
        <f>(#REF!+#REF!-#REF!)*#REF!*#REF!/1000</f>
        <v>#REF!</v>
      </c>
      <c r="PI222" s="79" t="e">
        <f>(#REF!+#REF!-#REF!)*#REF!*#REF!/1000</f>
        <v>#REF!</v>
      </c>
      <c r="PJ222" s="79" t="e">
        <f>(#REF!+#REF!-#REF!)*#REF!*#REF!/1000</f>
        <v>#REF!</v>
      </c>
      <c r="PK222" s="79" t="e">
        <f>(#REF!+#REF!-#REF!)*#REF!*#REF!/1000</f>
        <v>#REF!</v>
      </c>
      <c r="PL222" s="79" t="e">
        <f>(#REF!+#REF!-#REF!)*#REF!*#REF!/1000</f>
        <v>#REF!</v>
      </c>
      <c r="PM222" s="79" t="e">
        <f>(#REF!+#REF!-#REF!)*#REF!*#REF!/1000</f>
        <v>#REF!</v>
      </c>
      <c r="PN222" s="79" t="e">
        <f>(#REF!+#REF!-#REF!)*#REF!*#REF!/1000</f>
        <v>#REF!</v>
      </c>
      <c r="PO222" s="79" t="e">
        <f>(#REF!+#REF!-#REF!)*#REF!*#REF!/1000</f>
        <v>#REF!</v>
      </c>
      <c r="PP222" s="79" t="e">
        <f>(#REF!+#REF!-#REF!)*#REF!*#REF!/1000</f>
        <v>#REF!</v>
      </c>
      <c r="PQ222" s="79" t="e">
        <f>(#REF!+#REF!-#REF!)*#REF!*#REF!/1000</f>
        <v>#REF!</v>
      </c>
      <c r="PR222" s="79" t="e">
        <f>(#REF!+#REF!-#REF!)*#REF!*#REF!/1000</f>
        <v>#REF!</v>
      </c>
      <c r="PS222" s="79" t="e">
        <f>(#REF!+#REF!-#REF!)*#REF!*#REF!/1000</f>
        <v>#REF!</v>
      </c>
      <c r="PT222" s="79" t="e">
        <f>(#REF!+#REF!-#REF!)*#REF!*#REF!/1000</f>
        <v>#REF!</v>
      </c>
      <c r="PU222" s="79" t="e">
        <f>(#REF!+#REF!-#REF!)*#REF!*#REF!/1000</f>
        <v>#REF!</v>
      </c>
      <c r="PV222" s="79" t="e">
        <f>(#REF!+#REF!-#REF!)*#REF!*#REF!/1000</f>
        <v>#REF!</v>
      </c>
      <c r="PW222" s="79" t="e">
        <f>(#REF!+#REF!-#REF!)*#REF!*#REF!/1000</f>
        <v>#REF!</v>
      </c>
      <c r="PX222" s="79" t="e">
        <f>(#REF!+#REF!-#REF!)*#REF!*#REF!/1000</f>
        <v>#REF!</v>
      </c>
      <c r="PY222" s="79" t="e">
        <f>(#REF!+#REF!-#REF!)*#REF!*#REF!/1000</f>
        <v>#REF!</v>
      </c>
      <c r="PZ222" s="79" t="e">
        <f>(#REF!+#REF!-#REF!)*#REF!*#REF!/1000</f>
        <v>#REF!</v>
      </c>
      <c r="QA222" s="79" t="e">
        <f>(#REF!+#REF!-#REF!)*#REF!*#REF!/1000</f>
        <v>#REF!</v>
      </c>
      <c r="QB222" s="79" t="e">
        <f>(#REF!+#REF!-#REF!)*#REF!*#REF!/1000</f>
        <v>#REF!</v>
      </c>
      <c r="QC222" s="79" t="e">
        <f>(#REF!+#REF!-#REF!)*#REF!*#REF!/1000</f>
        <v>#REF!</v>
      </c>
      <c r="QD222" s="79" t="e">
        <f>(#REF!+#REF!-#REF!)*#REF!*#REF!/1000</f>
        <v>#REF!</v>
      </c>
      <c r="QE222" s="79" t="e">
        <f>(#REF!+#REF!-#REF!)*#REF!*#REF!/1000</f>
        <v>#REF!</v>
      </c>
      <c r="QF222" s="79" t="e">
        <f>(#REF!+#REF!-#REF!)*#REF!*#REF!/1000</f>
        <v>#REF!</v>
      </c>
      <c r="QG222" s="79" t="e">
        <f>(#REF!+#REF!-#REF!)*#REF!*#REF!/1000</f>
        <v>#REF!</v>
      </c>
      <c r="QH222" s="79" t="e">
        <f>(#REF!+#REF!-#REF!)*#REF!*#REF!/1000</f>
        <v>#REF!</v>
      </c>
      <c r="QI222" s="79" t="e">
        <f>(#REF!+#REF!-#REF!)*#REF!*#REF!/1000</f>
        <v>#REF!</v>
      </c>
      <c r="QJ222" s="79" t="e">
        <f>(#REF!+#REF!-#REF!)*#REF!*#REF!/1000</f>
        <v>#REF!</v>
      </c>
      <c r="QK222" s="79" t="e">
        <f>(#REF!+#REF!-#REF!)*#REF!*#REF!/1000</f>
        <v>#REF!</v>
      </c>
      <c r="QL222" s="79" t="e">
        <f>(#REF!+#REF!-#REF!)*#REF!*#REF!/1000</f>
        <v>#REF!</v>
      </c>
      <c r="QM222" s="79" t="e">
        <f>(#REF!+#REF!-#REF!)*#REF!*#REF!/1000</f>
        <v>#REF!</v>
      </c>
      <c r="QN222" s="79" t="e">
        <f>(#REF!+#REF!-#REF!)*#REF!*#REF!/1000</f>
        <v>#REF!</v>
      </c>
      <c r="QO222" s="79" t="e">
        <f>(#REF!+#REF!-#REF!)*#REF!*#REF!/1000</f>
        <v>#REF!</v>
      </c>
      <c r="QP222" s="79" t="e">
        <f>(#REF!+#REF!-#REF!)*#REF!*#REF!/1000</f>
        <v>#REF!</v>
      </c>
      <c r="QQ222" s="79" t="e">
        <f>(#REF!+#REF!-#REF!)*#REF!*#REF!/1000</f>
        <v>#REF!</v>
      </c>
      <c r="QR222" s="79" t="e">
        <f>(#REF!+#REF!-#REF!)*#REF!*#REF!/1000</f>
        <v>#REF!</v>
      </c>
      <c r="QS222" s="79" t="e">
        <f>(#REF!+#REF!-#REF!)*#REF!*#REF!/1000</f>
        <v>#REF!</v>
      </c>
      <c r="QT222" s="79" t="e">
        <f>(#REF!+#REF!-#REF!)*#REF!*#REF!/1000</f>
        <v>#REF!</v>
      </c>
      <c r="QU222" s="79" t="e">
        <f>(#REF!+#REF!-#REF!)*#REF!*#REF!/1000</f>
        <v>#REF!</v>
      </c>
      <c r="QV222" s="79" t="e">
        <f>(#REF!+#REF!-#REF!)*#REF!*#REF!/1000</f>
        <v>#REF!</v>
      </c>
      <c r="QW222" s="79" t="e">
        <f>(#REF!+#REF!-#REF!)*#REF!*#REF!/1000</f>
        <v>#REF!</v>
      </c>
      <c r="QX222" s="79" t="e">
        <f>(#REF!+#REF!-#REF!)*#REF!*#REF!/1000</f>
        <v>#REF!</v>
      </c>
      <c r="QY222" s="79" t="e">
        <f>(#REF!+#REF!-#REF!)*#REF!*#REF!/1000</f>
        <v>#REF!</v>
      </c>
      <c r="QZ222" s="79" t="e">
        <f>(#REF!+#REF!-#REF!)*#REF!*#REF!/1000</f>
        <v>#REF!</v>
      </c>
      <c r="RA222" s="79" t="e">
        <f>(#REF!+#REF!-#REF!)*#REF!*#REF!/1000</f>
        <v>#REF!</v>
      </c>
      <c r="RB222" s="79" t="e">
        <f>(#REF!+#REF!-#REF!)*#REF!*#REF!/1000</f>
        <v>#REF!</v>
      </c>
      <c r="RC222" s="79" t="e">
        <f>(#REF!+#REF!-#REF!)*#REF!*#REF!/1000</f>
        <v>#REF!</v>
      </c>
      <c r="RD222" s="79" t="e">
        <f>(#REF!+#REF!-#REF!)*#REF!*#REF!/1000</f>
        <v>#REF!</v>
      </c>
      <c r="RE222" s="79" t="e">
        <f>(#REF!+#REF!-#REF!)*#REF!*#REF!/1000</f>
        <v>#REF!</v>
      </c>
      <c r="RF222" s="79" t="e">
        <f>(#REF!+#REF!-#REF!)*#REF!*#REF!/1000</f>
        <v>#REF!</v>
      </c>
      <c r="RG222" s="79" t="e">
        <f>(#REF!+#REF!-#REF!)*#REF!*#REF!/1000</f>
        <v>#REF!</v>
      </c>
      <c r="RH222" s="79" t="e">
        <f>(#REF!+#REF!-#REF!)*#REF!*#REF!/1000</f>
        <v>#REF!</v>
      </c>
      <c r="RI222" s="79" t="e">
        <f>(#REF!+#REF!-#REF!)*#REF!*#REF!/1000</f>
        <v>#REF!</v>
      </c>
      <c r="RJ222" s="79" t="e">
        <f>(#REF!+#REF!-#REF!)*#REF!*#REF!/1000</f>
        <v>#REF!</v>
      </c>
      <c r="RK222" s="79" t="e">
        <f>(#REF!+#REF!-#REF!)*#REF!*#REF!/1000</f>
        <v>#REF!</v>
      </c>
      <c r="RL222" s="79" t="e">
        <f>(#REF!+#REF!-#REF!)*#REF!*#REF!/1000</f>
        <v>#REF!</v>
      </c>
      <c r="RM222" s="79" t="e">
        <f>(#REF!+#REF!-#REF!)*#REF!*#REF!/1000</f>
        <v>#REF!</v>
      </c>
      <c r="RN222" s="79" t="e">
        <f>(#REF!+#REF!-#REF!)*#REF!*#REF!/1000</f>
        <v>#REF!</v>
      </c>
      <c r="RO222" s="79" t="e">
        <f>(#REF!+#REF!-#REF!)*#REF!*#REF!/1000</f>
        <v>#REF!</v>
      </c>
      <c r="RP222" s="79" t="e">
        <f>(#REF!+#REF!-#REF!)*#REF!*#REF!/1000</f>
        <v>#REF!</v>
      </c>
      <c r="RQ222" s="79" t="e">
        <f>(#REF!+#REF!-#REF!)*#REF!*#REF!/1000</f>
        <v>#REF!</v>
      </c>
      <c r="RR222" s="79" t="e">
        <f>(#REF!+#REF!-#REF!)*#REF!*#REF!/1000</f>
        <v>#REF!</v>
      </c>
      <c r="RS222" s="79" t="e">
        <f>(#REF!+#REF!-#REF!)*#REF!*#REF!/1000</f>
        <v>#REF!</v>
      </c>
      <c r="RT222" s="79" t="e">
        <f>(#REF!+#REF!-#REF!)*#REF!*#REF!/1000</f>
        <v>#REF!</v>
      </c>
      <c r="RU222" s="79" t="e">
        <f>(#REF!+#REF!-#REF!)*#REF!*#REF!/1000</f>
        <v>#REF!</v>
      </c>
      <c r="RV222" s="79" t="e">
        <f>(#REF!+#REF!-#REF!)*#REF!*#REF!/1000</f>
        <v>#REF!</v>
      </c>
      <c r="RW222" s="79" t="e">
        <f>(#REF!+#REF!-#REF!)*#REF!*#REF!/1000</f>
        <v>#REF!</v>
      </c>
      <c r="RX222" s="79" t="e">
        <f>(#REF!+#REF!-#REF!)*#REF!*#REF!/1000</f>
        <v>#REF!</v>
      </c>
      <c r="RY222" s="79" t="e">
        <f>(#REF!+#REF!-#REF!)*#REF!*#REF!/1000</f>
        <v>#REF!</v>
      </c>
      <c r="RZ222" s="79" t="e">
        <f>(#REF!+#REF!-#REF!)*#REF!*#REF!/1000</f>
        <v>#REF!</v>
      </c>
      <c r="SA222" s="79" t="e">
        <f>(#REF!+#REF!-#REF!)*#REF!*#REF!/1000</f>
        <v>#REF!</v>
      </c>
      <c r="SB222" s="79" t="e">
        <f>(#REF!+#REF!-#REF!)*#REF!*#REF!/1000</f>
        <v>#REF!</v>
      </c>
      <c r="SC222" s="79" t="e">
        <f>(#REF!+#REF!-#REF!)*#REF!*#REF!/1000</f>
        <v>#REF!</v>
      </c>
      <c r="SD222" s="79" t="e">
        <f>(#REF!+#REF!-#REF!)*#REF!*#REF!/1000</f>
        <v>#REF!</v>
      </c>
      <c r="SE222" s="79" t="e">
        <f>(#REF!+#REF!-#REF!)*#REF!*#REF!/1000</f>
        <v>#REF!</v>
      </c>
      <c r="SF222" s="79" t="e">
        <f>(#REF!+#REF!-#REF!)*#REF!*#REF!/1000</f>
        <v>#REF!</v>
      </c>
      <c r="SG222" s="79" t="e">
        <f>(#REF!+#REF!-#REF!)*#REF!*#REF!/1000</f>
        <v>#REF!</v>
      </c>
      <c r="SH222" s="79" t="e">
        <f>(#REF!+#REF!-#REF!)*#REF!*#REF!/1000</f>
        <v>#REF!</v>
      </c>
      <c r="SI222" s="79" t="e">
        <f>(#REF!+#REF!-#REF!)*#REF!*#REF!/1000</f>
        <v>#REF!</v>
      </c>
      <c r="SJ222" s="79" t="e">
        <f>(#REF!+#REF!-#REF!)*#REF!*#REF!/1000</f>
        <v>#REF!</v>
      </c>
      <c r="SK222" s="79" t="e">
        <f>(#REF!+#REF!-#REF!)*#REF!*#REF!/1000</f>
        <v>#REF!</v>
      </c>
      <c r="SL222" s="79" t="e">
        <f>(#REF!+#REF!-#REF!)*#REF!*#REF!/1000</f>
        <v>#REF!</v>
      </c>
      <c r="SM222" s="79" t="e">
        <f>(#REF!+#REF!-#REF!)*#REF!*#REF!/1000</f>
        <v>#REF!</v>
      </c>
      <c r="SN222" s="79" t="e">
        <f>(#REF!+#REF!-#REF!)*#REF!*#REF!/1000</f>
        <v>#REF!</v>
      </c>
      <c r="SO222" s="79" t="e">
        <f>(#REF!+#REF!-#REF!)*#REF!*#REF!/1000</f>
        <v>#REF!</v>
      </c>
      <c r="SP222" s="79" t="e">
        <f>(#REF!+#REF!-#REF!)*#REF!*#REF!/1000</f>
        <v>#REF!</v>
      </c>
      <c r="SQ222" s="79" t="e">
        <f>(#REF!+#REF!-#REF!)*#REF!*#REF!/1000</f>
        <v>#REF!</v>
      </c>
      <c r="SR222" s="79" t="e">
        <f>(#REF!+#REF!-#REF!)*#REF!*#REF!/1000</f>
        <v>#REF!</v>
      </c>
      <c r="SS222" s="79" t="e">
        <f>(#REF!+#REF!-#REF!)*#REF!*#REF!/1000</f>
        <v>#REF!</v>
      </c>
      <c r="ST222" s="79" t="e">
        <f>(#REF!+#REF!-#REF!)*#REF!*#REF!/1000</f>
        <v>#REF!</v>
      </c>
      <c r="SU222" s="79" t="e">
        <f>(#REF!+#REF!-#REF!)*#REF!*#REF!/1000</f>
        <v>#REF!</v>
      </c>
      <c r="SV222" s="79" t="e">
        <f>(#REF!+#REF!-#REF!)*#REF!*#REF!/1000</f>
        <v>#REF!</v>
      </c>
      <c r="SW222" s="79" t="e">
        <f>(#REF!+#REF!-#REF!)*#REF!*#REF!/1000</f>
        <v>#REF!</v>
      </c>
      <c r="SX222" s="79" t="e">
        <f>(#REF!+#REF!-#REF!)*#REF!*#REF!/1000</f>
        <v>#REF!</v>
      </c>
      <c r="SY222" s="79" t="e">
        <f>(#REF!+#REF!-#REF!)*#REF!*#REF!/1000</f>
        <v>#REF!</v>
      </c>
      <c r="SZ222" s="79" t="e">
        <f>(#REF!+#REF!-#REF!)*#REF!*#REF!/1000</f>
        <v>#REF!</v>
      </c>
      <c r="TA222" s="79" t="e">
        <f>(#REF!+#REF!-#REF!)*#REF!*#REF!/1000</f>
        <v>#REF!</v>
      </c>
      <c r="TB222" s="79" t="e">
        <f>(#REF!+#REF!-#REF!)*#REF!*#REF!/1000</f>
        <v>#REF!</v>
      </c>
      <c r="TC222" s="79" t="e">
        <f>(#REF!+#REF!-#REF!)*#REF!*#REF!/1000</f>
        <v>#REF!</v>
      </c>
      <c r="TD222" s="79" t="e">
        <f>(#REF!+#REF!-#REF!)*#REF!*#REF!/1000</f>
        <v>#REF!</v>
      </c>
      <c r="TE222" s="79" t="e">
        <f>(#REF!+#REF!-#REF!)*#REF!*#REF!/1000</f>
        <v>#REF!</v>
      </c>
      <c r="TF222" s="79" t="e">
        <f>(#REF!+#REF!-#REF!)*#REF!*#REF!/1000</f>
        <v>#REF!</v>
      </c>
      <c r="TG222" s="79" t="e">
        <f>(#REF!+#REF!-#REF!)*#REF!*#REF!/1000</f>
        <v>#REF!</v>
      </c>
      <c r="TH222" s="79" t="e">
        <f>(#REF!+#REF!-#REF!)*#REF!*#REF!/1000</f>
        <v>#REF!</v>
      </c>
      <c r="TI222" s="79" t="e">
        <f>(#REF!+#REF!-#REF!)*#REF!*#REF!/1000</f>
        <v>#REF!</v>
      </c>
      <c r="TJ222" s="79" t="e">
        <f>(#REF!+#REF!-#REF!)*#REF!*#REF!/1000</f>
        <v>#REF!</v>
      </c>
      <c r="TK222" s="79" t="e">
        <f>(#REF!+#REF!-#REF!)*#REF!*#REF!/1000</f>
        <v>#REF!</v>
      </c>
      <c r="TL222" s="79" t="e">
        <f>(#REF!+#REF!-#REF!)*#REF!*#REF!/1000</f>
        <v>#REF!</v>
      </c>
      <c r="TM222" s="79" t="e">
        <f>(#REF!+#REF!-#REF!)*#REF!*#REF!/1000</f>
        <v>#REF!</v>
      </c>
      <c r="TN222" s="79" t="e">
        <f>(#REF!+#REF!-#REF!)*#REF!*#REF!/1000</f>
        <v>#REF!</v>
      </c>
      <c r="TO222" s="79" t="e">
        <f>(#REF!+#REF!-#REF!)*#REF!*#REF!/1000</f>
        <v>#REF!</v>
      </c>
      <c r="TP222" s="79" t="e">
        <f>(#REF!+#REF!-#REF!)*#REF!*#REF!/1000</f>
        <v>#REF!</v>
      </c>
      <c r="TQ222" s="79" t="e">
        <f>(#REF!+#REF!-#REF!)*#REF!*#REF!/1000</f>
        <v>#REF!</v>
      </c>
      <c r="TR222" s="79" t="e">
        <f>(#REF!+#REF!-#REF!)*#REF!*#REF!/1000</f>
        <v>#REF!</v>
      </c>
      <c r="TS222" s="79" t="e">
        <f>(#REF!+#REF!-#REF!)*#REF!*#REF!/1000</f>
        <v>#REF!</v>
      </c>
      <c r="TT222" s="79" t="e">
        <f>(#REF!+#REF!-#REF!)*#REF!*#REF!/1000</f>
        <v>#REF!</v>
      </c>
      <c r="TU222" s="79" t="e">
        <f>(#REF!+#REF!-#REF!)*#REF!*#REF!/1000</f>
        <v>#REF!</v>
      </c>
      <c r="TV222" s="79" t="e">
        <f>(#REF!+#REF!-#REF!)*#REF!*#REF!/1000</f>
        <v>#REF!</v>
      </c>
      <c r="TW222" s="79" t="e">
        <f>(#REF!+#REF!-#REF!)*#REF!*#REF!/1000</f>
        <v>#REF!</v>
      </c>
      <c r="TX222" s="79" t="e">
        <f>(#REF!+#REF!-#REF!)*#REF!*#REF!/1000</f>
        <v>#REF!</v>
      </c>
      <c r="TY222" s="79" t="e">
        <f>(#REF!+#REF!-#REF!)*#REF!*#REF!/1000</f>
        <v>#REF!</v>
      </c>
      <c r="TZ222" s="79" t="e">
        <f>(#REF!+#REF!-#REF!)*#REF!*#REF!/1000</f>
        <v>#REF!</v>
      </c>
      <c r="UA222" s="79" t="e">
        <f>(#REF!+#REF!-#REF!)*#REF!*#REF!/1000</f>
        <v>#REF!</v>
      </c>
      <c r="UB222" s="79" t="e">
        <f>(#REF!+#REF!-#REF!)*#REF!*#REF!/1000</f>
        <v>#REF!</v>
      </c>
      <c r="UC222" s="79" t="e">
        <f>(#REF!+#REF!-#REF!)*#REF!*#REF!/1000</f>
        <v>#REF!</v>
      </c>
      <c r="UD222" s="79" t="e">
        <f>(#REF!+#REF!-#REF!)*#REF!*#REF!/1000</f>
        <v>#REF!</v>
      </c>
      <c r="UE222" s="79" t="e">
        <f>(#REF!+#REF!-#REF!)*#REF!*#REF!/1000</f>
        <v>#REF!</v>
      </c>
      <c r="UF222" s="79" t="e">
        <f>(#REF!+#REF!-#REF!)*#REF!*#REF!/1000</f>
        <v>#REF!</v>
      </c>
      <c r="UG222" s="79" t="e">
        <f>(#REF!+#REF!-#REF!)*#REF!*#REF!/1000</f>
        <v>#REF!</v>
      </c>
      <c r="UH222" s="79" t="e">
        <f>(#REF!+#REF!-#REF!)*#REF!*#REF!/1000</f>
        <v>#REF!</v>
      </c>
      <c r="UI222" s="79" t="e">
        <f>(#REF!+#REF!-#REF!)*#REF!*#REF!/1000</f>
        <v>#REF!</v>
      </c>
      <c r="UJ222" s="79" t="e">
        <f>(#REF!+#REF!-#REF!)*#REF!*#REF!/1000</f>
        <v>#REF!</v>
      </c>
      <c r="UK222" s="79" t="e">
        <f>(#REF!+#REF!-#REF!)*#REF!*#REF!/1000</f>
        <v>#REF!</v>
      </c>
      <c r="UL222" s="79" t="e">
        <f>(#REF!+#REF!-#REF!)*#REF!*#REF!/1000</f>
        <v>#REF!</v>
      </c>
      <c r="UM222" s="79" t="e">
        <f>(#REF!+#REF!-#REF!)*#REF!*#REF!/1000</f>
        <v>#REF!</v>
      </c>
      <c r="UN222" s="79" t="e">
        <f>(#REF!+#REF!-#REF!)*#REF!*#REF!/1000</f>
        <v>#REF!</v>
      </c>
      <c r="UO222" s="79" t="e">
        <f>(#REF!+#REF!-#REF!)*#REF!*#REF!/1000</f>
        <v>#REF!</v>
      </c>
      <c r="UP222" s="79" t="e">
        <f>(#REF!+#REF!-#REF!)*#REF!*#REF!/1000</f>
        <v>#REF!</v>
      </c>
      <c r="UQ222" s="79" t="e">
        <f>(#REF!+#REF!-#REF!)*#REF!*#REF!/1000</f>
        <v>#REF!</v>
      </c>
      <c r="UR222" s="79" t="e">
        <f>(#REF!+#REF!-#REF!)*#REF!*#REF!/1000</f>
        <v>#REF!</v>
      </c>
      <c r="US222" s="79" t="e">
        <f>(#REF!+#REF!-#REF!)*#REF!*#REF!/1000</f>
        <v>#REF!</v>
      </c>
      <c r="UT222" s="79" t="e">
        <f>(#REF!+#REF!-#REF!)*#REF!*#REF!/1000</f>
        <v>#REF!</v>
      </c>
      <c r="UU222" s="79" t="e">
        <f>(#REF!+#REF!-#REF!)*#REF!*#REF!/1000</f>
        <v>#REF!</v>
      </c>
      <c r="UV222" s="79" t="e">
        <f>(#REF!+#REF!-#REF!)*#REF!*#REF!/1000</f>
        <v>#REF!</v>
      </c>
      <c r="UW222" s="79" t="e">
        <f>(#REF!+#REF!-#REF!)*#REF!*#REF!/1000</f>
        <v>#REF!</v>
      </c>
      <c r="UX222" s="79" t="e">
        <f>(#REF!+#REF!-#REF!)*#REF!*#REF!/1000</f>
        <v>#REF!</v>
      </c>
      <c r="UY222" s="79" t="e">
        <f>(#REF!+#REF!-#REF!)*#REF!*#REF!/1000</f>
        <v>#REF!</v>
      </c>
      <c r="UZ222" s="79" t="e">
        <f>(#REF!+#REF!-#REF!)*#REF!*#REF!/1000</f>
        <v>#REF!</v>
      </c>
      <c r="VA222" s="79" t="e">
        <f>(#REF!+#REF!-#REF!)*#REF!*#REF!/1000</f>
        <v>#REF!</v>
      </c>
      <c r="VB222" s="79" t="e">
        <f>(#REF!+#REF!-#REF!)*#REF!*#REF!/1000</f>
        <v>#REF!</v>
      </c>
      <c r="VC222" s="79" t="e">
        <f>(#REF!+#REF!-#REF!)*#REF!*#REF!/1000</f>
        <v>#REF!</v>
      </c>
      <c r="VD222" s="79" t="e">
        <f>(#REF!+#REF!-#REF!)*#REF!*#REF!/1000</f>
        <v>#REF!</v>
      </c>
      <c r="VE222" s="79" t="e">
        <f>(#REF!+#REF!-#REF!)*#REF!*#REF!/1000</f>
        <v>#REF!</v>
      </c>
      <c r="VF222" s="79" t="e">
        <f>(#REF!+#REF!-#REF!)*#REF!*#REF!/1000</f>
        <v>#REF!</v>
      </c>
      <c r="VG222" s="79" t="e">
        <f>(#REF!+#REF!-#REF!)*#REF!*#REF!/1000</f>
        <v>#REF!</v>
      </c>
      <c r="VH222" s="79" t="e">
        <f>(#REF!+#REF!-#REF!)*#REF!*#REF!/1000</f>
        <v>#REF!</v>
      </c>
      <c r="VI222" s="79" t="e">
        <f>(#REF!+#REF!-#REF!)*#REF!*#REF!/1000</f>
        <v>#REF!</v>
      </c>
      <c r="VJ222" s="79" t="e">
        <f>(#REF!+#REF!-#REF!)*#REF!*#REF!/1000</f>
        <v>#REF!</v>
      </c>
      <c r="VK222" s="79" t="e">
        <f>(#REF!+#REF!-#REF!)*#REF!*#REF!/1000</f>
        <v>#REF!</v>
      </c>
      <c r="VL222" s="79" t="e">
        <f>(#REF!+#REF!-#REF!)*#REF!*#REF!/1000</f>
        <v>#REF!</v>
      </c>
      <c r="VM222" s="79" t="e">
        <f>(#REF!+#REF!-#REF!)*#REF!*#REF!/1000</f>
        <v>#REF!</v>
      </c>
      <c r="VN222" s="79" t="e">
        <f>(#REF!+#REF!-#REF!)*#REF!*#REF!/1000</f>
        <v>#REF!</v>
      </c>
      <c r="VO222" s="79" t="e">
        <f>(#REF!+#REF!-#REF!)*#REF!*#REF!/1000</f>
        <v>#REF!</v>
      </c>
      <c r="VP222" s="79" t="e">
        <f>(#REF!+#REF!-#REF!)*#REF!*#REF!/1000</f>
        <v>#REF!</v>
      </c>
      <c r="VQ222" s="79" t="e">
        <f>(#REF!+#REF!-#REF!)*#REF!*#REF!/1000</f>
        <v>#REF!</v>
      </c>
      <c r="VR222" s="79" t="e">
        <f>(#REF!+#REF!-#REF!)*#REF!*#REF!/1000</f>
        <v>#REF!</v>
      </c>
      <c r="VS222" s="79" t="e">
        <f>(#REF!+#REF!-#REF!)*#REF!*#REF!/1000</f>
        <v>#REF!</v>
      </c>
      <c r="VT222" s="79" t="e">
        <f>(#REF!+#REF!-#REF!)*#REF!*#REF!/1000</f>
        <v>#REF!</v>
      </c>
      <c r="VU222" s="79" t="e">
        <f>(#REF!+#REF!-#REF!)*#REF!*#REF!/1000</f>
        <v>#REF!</v>
      </c>
      <c r="VV222" s="79" t="e">
        <f>(#REF!+#REF!-#REF!)*#REF!*#REF!/1000</f>
        <v>#REF!</v>
      </c>
      <c r="VW222" s="79" t="e">
        <f>(#REF!+#REF!-#REF!)*#REF!*#REF!/1000</f>
        <v>#REF!</v>
      </c>
      <c r="VX222" s="79" t="e">
        <f>(#REF!+#REF!-#REF!)*#REF!*#REF!/1000</f>
        <v>#REF!</v>
      </c>
      <c r="VY222" s="79" t="e">
        <f>(#REF!+#REF!-#REF!)*#REF!*#REF!/1000</f>
        <v>#REF!</v>
      </c>
      <c r="VZ222" s="79" t="e">
        <f>(#REF!+#REF!-#REF!)*#REF!*#REF!/1000</f>
        <v>#REF!</v>
      </c>
      <c r="WA222" s="79" t="e">
        <f>(#REF!+#REF!-#REF!)*#REF!*#REF!/1000</f>
        <v>#REF!</v>
      </c>
      <c r="WB222" s="79" t="e">
        <f>(#REF!+#REF!-#REF!)*#REF!*#REF!/1000</f>
        <v>#REF!</v>
      </c>
      <c r="WC222" s="79" t="e">
        <f>(#REF!+#REF!-#REF!)*#REF!*#REF!/1000</f>
        <v>#REF!</v>
      </c>
      <c r="WD222" s="79" t="e">
        <f>(#REF!+#REF!-#REF!)*#REF!*#REF!/1000</f>
        <v>#REF!</v>
      </c>
      <c r="WE222" s="79" t="e">
        <f>(#REF!+#REF!-#REF!)*#REF!*#REF!/1000</f>
        <v>#REF!</v>
      </c>
      <c r="WF222" s="79" t="e">
        <f>(#REF!+#REF!-#REF!)*#REF!*#REF!/1000</f>
        <v>#REF!</v>
      </c>
      <c r="WG222" s="79" t="e">
        <f>(#REF!+#REF!-#REF!)*#REF!*#REF!/1000</f>
        <v>#REF!</v>
      </c>
      <c r="WH222" s="79" t="e">
        <f>(#REF!+#REF!-#REF!)*#REF!*#REF!/1000</f>
        <v>#REF!</v>
      </c>
      <c r="WI222" s="79" t="e">
        <f>(#REF!+#REF!-#REF!)*#REF!*#REF!/1000</f>
        <v>#REF!</v>
      </c>
      <c r="WJ222" s="79" t="e">
        <f>(#REF!+#REF!-#REF!)*#REF!*#REF!/1000</f>
        <v>#REF!</v>
      </c>
      <c r="WK222" s="79" t="e">
        <f>(#REF!+#REF!-#REF!)*#REF!*#REF!/1000</f>
        <v>#REF!</v>
      </c>
      <c r="WL222" s="79" t="e">
        <f>(#REF!+#REF!-#REF!)*#REF!*#REF!/1000</f>
        <v>#REF!</v>
      </c>
      <c r="WM222" s="79" t="e">
        <f>(#REF!+#REF!-#REF!)*#REF!*#REF!/1000</f>
        <v>#REF!</v>
      </c>
      <c r="WN222" s="79" t="e">
        <f>(#REF!+#REF!-#REF!)*#REF!*#REF!/1000</f>
        <v>#REF!</v>
      </c>
      <c r="WO222" s="79" t="e">
        <f>(#REF!+#REF!-#REF!)*#REF!*#REF!/1000</f>
        <v>#REF!</v>
      </c>
      <c r="WP222" s="79" t="e">
        <f>(#REF!+#REF!-#REF!)*#REF!*#REF!/1000</f>
        <v>#REF!</v>
      </c>
      <c r="WQ222" s="79" t="e">
        <f>(#REF!+#REF!-#REF!)*#REF!*#REF!/1000</f>
        <v>#REF!</v>
      </c>
      <c r="WR222" s="79" t="e">
        <f>(#REF!+#REF!-#REF!)*#REF!*#REF!/1000</f>
        <v>#REF!</v>
      </c>
      <c r="WS222" s="79" t="e">
        <f>(#REF!+#REF!-#REF!)*#REF!*#REF!/1000</f>
        <v>#REF!</v>
      </c>
      <c r="WT222" s="79" t="e">
        <f>(#REF!+#REF!-#REF!)*#REF!*#REF!/1000</f>
        <v>#REF!</v>
      </c>
      <c r="WU222" s="79" t="e">
        <f>(#REF!+#REF!-#REF!)*#REF!*#REF!/1000</f>
        <v>#REF!</v>
      </c>
      <c r="WV222" s="79" t="e">
        <f>(#REF!+#REF!-#REF!)*#REF!*#REF!/1000</f>
        <v>#REF!</v>
      </c>
      <c r="WW222" s="79" t="e">
        <f>(#REF!+#REF!-#REF!)*#REF!*#REF!/1000</f>
        <v>#REF!</v>
      </c>
      <c r="WX222" s="79" t="e">
        <f>(#REF!+#REF!-#REF!)*#REF!*#REF!/1000</f>
        <v>#REF!</v>
      </c>
      <c r="WY222" s="79" t="e">
        <f>(#REF!+#REF!-#REF!)*#REF!*#REF!/1000</f>
        <v>#REF!</v>
      </c>
      <c r="WZ222" s="79" t="e">
        <f>(#REF!+#REF!-#REF!)*#REF!*#REF!/1000</f>
        <v>#REF!</v>
      </c>
      <c r="XA222" s="79" t="e">
        <f>(#REF!+#REF!-#REF!)*#REF!*#REF!/1000</f>
        <v>#REF!</v>
      </c>
      <c r="XB222" s="79" t="e">
        <f>(#REF!+#REF!-#REF!)*#REF!*#REF!/1000</f>
        <v>#REF!</v>
      </c>
      <c r="XC222" s="79" t="e">
        <f>(#REF!+#REF!-#REF!)*#REF!*#REF!/1000</f>
        <v>#REF!</v>
      </c>
      <c r="XD222" s="79" t="e">
        <f>(#REF!+#REF!-#REF!)*#REF!*#REF!/1000</f>
        <v>#REF!</v>
      </c>
      <c r="XE222" s="79" t="e">
        <f>(#REF!+#REF!-#REF!)*#REF!*#REF!/1000</f>
        <v>#REF!</v>
      </c>
      <c r="XF222" s="79" t="e">
        <f>(#REF!+#REF!-#REF!)*#REF!*#REF!/1000</f>
        <v>#REF!</v>
      </c>
      <c r="XG222" s="79" t="e">
        <f>(#REF!+#REF!-#REF!)*#REF!*#REF!/1000</f>
        <v>#REF!</v>
      </c>
      <c r="XH222" s="79" t="e">
        <f>(#REF!+#REF!-#REF!)*#REF!*#REF!/1000</f>
        <v>#REF!</v>
      </c>
      <c r="XI222" s="79" t="e">
        <f>(#REF!+#REF!-#REF!)*#REF!*#REF!/1000</f>
        <v>#REF!</v>
      </c>
      <c r="XJ222" s="79" t="e">
        <f>(#REF!+#REF!-#REF!)*#REF!*#REF!/1000</f>
        <v>#REF!</v>
      </c>
      <c r="XK222" s="79" t="e">
        <f>(#REF!+#REF!-#REF!)*#REF!*#REF!/1000</f>
        <v>#REF!</v>
      </c>
      <c r="XL222" s="79" t="e">
        <f>(#REF!+#REF!-#REF!)*#REF!*#REF!/1000</f>
        <v>#REF!</v>
      </c>
      <c r="XM222" s="79" t="e">
        <f>(#REF!+#REF!-#REF!)*#REF!*#REF!/1000</f>
        <v>#REF!</v>
      </c>
      <c r="XN222" s="79" t="e">
        <f>(#REF!+#REF!-#REF!)*#REF!*#REF!/1000</f>
        <v>#REF!</v>
      </c>
      <c r="XO222" s="79" t="e">
        <f>(#REF!+#REF!-#REF!)*#REF!*#REF!/1000</f>
        <v>#REF!</v>
      </c>
      <c r="XP222" s="79" t="e">
        <f>(#REF!+#REF!-#REF!)*#REF!*#REF!/1000</f>
        <v>#REF!</v>
      </c>
      <c r="XQ222" s="79" t="e">
        <f>(#REF!+#REF!-#REF!)*#REF!*#REF!/1000</f>
        <v>#REF!</v>
      </c>
      <c r="XR222" s="79" t="e">
        <f>(#REF!+#REF!-#REF!)*#REF!*#REF!/1000</f>
        <v>#REF!</v>
      </c>
      <c r="XS222" s="79" t="e">
        <f>(#REF!+#REF!-#REF!)*#REF!*#REF!/1000</f>
        <v>#REF!</v>
      </c>
      <c r="XT222" s="79" t="e">
        <f>(#REF!+#REF!-#REF!)*#REF!*#REF!/1000</f>
        <v>#REF!</v>
      </c>
      <c r="XU222" s="79" t="e">
        <f>(#REF!+#REF!-#REF!)*#REF!*#REF!/1000</f>
        <v>#REF!</v>
      </c>
      <c r="XV222" s="79" t="e">
        <f>(#REF!+#REF!-#REF!)*#REF!*#REF!/1000</f>
        <v>#REF!</v>
      </c>
      <c r="XW222" s="79" t="e">
        <f>(#REF!+#REF!-#REF!)*#REF!*#REF!/1000</f>
        <v>#REF!</v>
      </c>
      <c r="XX222" s="79" t="e">
        <f>(#REF!+#REF!-#REF!)*#REF!*#REF!/1000</f>
        <v>#REF!</v>
      </c>
      <c r="XY222" s="79" t="e">
        <f>(#REF!+#REF!-#REF!)*#REF!*#REF!/1000</f>
        <v>#REF!</v>
      </c>
      <c r="XZ222" s="79" t="e">
        <f>(#REF!+#REF!-#REF!)*#REF!*#REF!/1000</f>
        <v>#REF!</v>
      </c>
      <c r="YA222" s="79" t="e">
        <f>(#REF!+#REF!-#REF!)*#REF!*#REF!/1000</f>
        <v>#REF!</v>
      </c>
      <c r="YB222" s="79" t="e">
        <f>(#REF!+#REF!-#REF!)*#REF!*#REF!/1000</f>
        <v>#REF!</v>
      </c>
      <c r="YC222" s="79" t="e">
        <f>(#REF!+#REF!-#REF!)*#REF!*#REF!/1000</f>
        <v>#REF!</v>
      </c>
      <c r="YD222" s="79" t="e">
        <f>(#REF!+#REF!-#REF!)*#REF!*#REF!/1000</f>
        <v>#REF!</v>
      </c>
      <c r="YE222" s="79" t="e">
        <f>(#REF!+#REF!-#REF!)*#REF!*#REF!/1000</f>
        <v>#REF!</v>
      </c>
      <c r="YF222" s="79" t="e">
        <f>(#REF!+#REF!-#REF!)*#REF!*#REF!/1000</f>
        <v>#REF!</v>
      </c>
      <c r="YG222" s="79" t="e">
        <f>(#REF!+#REF!-#REF!)*#REF!*#REF!/1000</f>
        <v>#REF!</v>
      </c>
      <c r="YH222" s="79" t="e">
        <f>(#REF!+#REF!-#REF!)*#REF!*#REF!/1000</f>
        <v>#REF!</v>
      </c>
      <c r="YI222" s="79" t="e">
        <f>(#REF!+#REF!-#REF!)*#REF!*#REF!/1000</f>
        <v>#REF!</v>
      </c>
      <c r="YJ222" s="79" t="e">
        <f>(#REF!+#REF!-#REF!)*#REF!*#REF!/1000</f>
        <v>#REF!</v>
      </c>
      <c r="YK222" s="79" t="e">
        <f>(#REF!+#REF!-#REF!)*#REF!*#REF!/1000</f>
        <v>#REF!</v>
      </c>
      <c r="YL222" s="79" t="e">
        <f>(#REF!+#REF!-#REF!)*#REF!*#REF!/1000</f>
        <v>#REF!</v>
      </c>
      <c r="YM222" s="79" t="e">
        <f>(#REF!+#REF!-#REF!)*#REF!*#REF!/1000</f>
        <v>#REF!</v>
      </c>
      <c r="YN222" s="79" t="e">
        <f>(#REF!+#REF!-#REF!)*#REF!*#REF!/1000</f>
        <v>#REF!</v>
      </c>
      <c r="YO222" s="79" t="e">
        <f>(#REF!+#REF!-#REF!)*#REF!*#REF!/1000</f>
        <v>#REF!</v>
      </c>
      <c r="YP222" s="79" t="e">
        <f>(#REF!+#REF!-#REF!)*#REF!*#REF!/1000</f>
        <v>#REF!</v>
      </c>
      <c r="YQ222" s="79" t="e">
        <f>(#REF!+#REF!-#REF!)*#REF!*#REF!/1000</f>
        <v>#REF!</v>
      </c>
      <c r="YR222" s="79" t="e">
        <f>(#REF!+#REF!-#REF!)*#REF!*#REF!/1000</f>
        <v>#REF!</v>
      </c>
      <c r="YS222" s="79" t="e">
        <f>(#REF!+#REF!-#REF!)*#REF!*#REF!/1000</f>
        <v>#REF!</v>
      </c>
      <c r="YT222" s="79" t="e">
        <f>(#REF!+#REF!-#REF!)*#REF!*#REF!/1000</f>
        <v>#REF!</v>
      </c>
      <c r="YU222" s="79" t="e">
        <f>(#REF!+#REF!-#REF!)*#REF!*#REF!/1000</f>
        <v>#REF!</v>
      </c>
      <c r="YV222" s="79" t="e">
        <f>(#REF!+#REF!-#REF!)*#REF!*#REF!/1000</f>
        <v>#REF!</v>
      </c>
      <c r="YW222" s="79" t="e">
        <f>(#REF!+#REF!-#REF!)*#REF!*#REF!/1000</f>
        <v>#REF!</v>
      </c>
      <c r="YX222" s="79" t="e">
        <f>(#REF!+#REF!-#REF!)*#REF!*#REF!/1000</f>
        <v>#REF!</v>
      </c>
      <c r="YY222" s="79" t="e">
        <f>(#REF!+#REF!-#REF!)*#REF!*#REF!/1000</f>
        <v>#REF!</v>
      </c>
      <c r="YZ222" s="79" t="e">
        <f>(#REF!+#REF!-#REF!)*#REF!*#REF!/1000</f>
        <v>#REF!</v>
      </c>
      <c r="ZA222" s="79" t="e">
        <f>(#REF!+#REF!-#REF!)*#REF!*#REF!/1000</f>
        <v>#REF!</v>
      </c>
      <c r="ZB222" s="79" t="e">
        <f>(#REF!+#REF!-#REF!)*#REF!*#REF!/1000</f>
        <v>#REF!</v>
      </c>
      <c r="ZC222" s="79" t="e">
        <f>(#REF!+#REF!-#REF!)*#REF!*#REF!/1000</f>
        <v>#REF!</v>
      </c>
      <c r="ZD222" s="79" t="e">
        <f>(#REF!+#REF!-#REF!)*#REF!*#REF!/1000</f>
        <v>#REF!</v>
      </c>
      <c r="ZE222" s="79" t="e">
        <f>(#REF!+#REF!-#REF!)*#REF!*#REF!/1000</f>
        <v>#REF!</v>
      </c>
      <c r="ZF222" s="79" t="e">
        <f>(#REF!+#REF!-#REF!)*#REF!*#REF!/1000</f>
        <v>#REF!</v>
      </c>
      <c r="ZG222" s="79" t="e">
        <f>(#REF!+#REF!-#REF!)*#REF!*#REF!/1000</f>
        <v>#REF!</v>
      </c>
      <c r="ZH222" s="79" t="e">
        <f>(#REF!+#REF!-#REF!)*#REF!*#REF!/1000</f>
        <v>#REF!</v>
      </c>
      <c r="ZI222" s="79" t="e">
        <f>(#REF!+#REF!-#REF!)*#REF!*#REF!/1000</f>
        <v>#REF!</v>
      </c>
      <c r="ZJ222" s="79" t="e">
        <f>(#REF!+#REF!-#REF!)*#REF!*#REF!/1000</f>
        <v>#REF!</v>
      </c>
      <c r="ZK222" s="79" t="e">
        <f>(#REF!+#REF!-#REF!)*#REF!*#REF!/1000</f>
        <v>#REF!</v>
      </c>
      <c r="ZL222" s="79" t="e">
        <f>(#REF!+#REF!-#REF!)*#REF!*#REF!/1000</f>
        <v>#REF!</v>
      </c>
      <c r="ZM222" s="79" t="e">
        <f>(#REF!+#REF!-#REF!)*#REF!*#REF!/1000</f>
        <v>#REF!</v>
      </c>
      <c r="ZN222" s="79" t="e">
        <f>(#REF!+#REF!-#REF!)*#REF!*#REF!/1000</f>
        <v>#REF!</v>
      </c>
      <c r="ZO222" s="79" t="e">
        <f>(#REF!+#REF!-#REF!)*#REF!*#REF!/1000</f>
        <v>#REF!</v>
      </c>
      <c r="ZP222" s="79" t="e">
        <f>(#REF!+#REF!-#REF!)*#REF!*#REF!/1000</f>
        <v>#REF!</v>
      </c>
      <c r="ZQ222" s="79" t="e">
        <f>(#REF!+#REF!-#REF!)*#REF!*#REF!/1000</f>
        <v>#REF!</v>
      </c>
      <c r="ZR222" s="79" t="e">
        <f>(#REF!+#REF!-#REF!)*#REF!*#REF!/1000</f>
        <v>#REF!</v>
      </c>
      <c r="ZS222" s="79" t="e">
        <f>(#REF!+#REF!-#REF!)*#REF!*#REF!/1000</f>
        <v>#REF!</v>
      </c>
      <c r="ZT222" s="79" t="e">
        <f>(#REF!+#REF!-#REF!)*#REF!*#REF!/1000</f>
        <v>#REF!</v>
      </c>
      <c r="ZU222" s="79" t="e">
        <f>(#REF!+#REF!-#REF!)*#REF!*#REF!/1000</f>
        <v>#REF!</v>
      </c>
      <c r="ZV222" s="79" t="e">
        <f>(#REF!+#REF!-#REF!)*#REF!*#REF!/1000</f>
        <v>#REF!</v>
      </c>
      <c r="ZW222" s="79" t="e">
        <f>(#REF!+#REF!-#REF!)*#REF!*#REF!/1000</f>
        <v>#REF!</v>
      </c>
      <c r="ZX222" s="79" t="e">
        <f>(#REF!+#REF!-#REF!)*#REF!*#REF!/1000</f>
        <v>#REF!</v>
      </c>
      <c r="ZY222" s="79" t="e">
        <f>(#REF!+#REF!-#REF!)*#REF!*#REF!/1000</f>
        <v>#REF!</v>
      </c>
      <c r="ZZ222" s="79" t="e">
        <f>(#REF!+#REF!-#REF!)*#REF!*#REF!/1000</f>
        <v>#REF!</v>
      </c>
      <c r="AAA222" s="79" t="e">
        <f>(#REF!+#REF!-#REF!)*#REF!*#REF!/1000</f>
        <v>#REF!</v>
      </c>
      <c r="AAB222" s="79" t="e">
        <f>(#REF!+#REF!-#REF!)*#REF!*#REF!/1000</f>
        <v>#REF!</v>
      </c>
      <c r="AAC222" s="79" t="e">
        <f>(#REF!+#REF!-#REF!)*#REF!*#REF!/1000</f>
        <v>#REF!</v>
      </c>
      <c r="AAD222" s="79" t="e">
        <f>(#REF!+#REF!-#REF!)*#REF!*#REF!/1000</f>
        <v>#REF!</v>
      </c>
      <c r="AAE222" s="79" t="e">
        <f>(#REF!+#REF!-#REF!)*#REF!*#REF!/1000</f>
        <v>#REF!</v>
      </c>
      <c r="AAF222" s="79" t="e">
        <f>(#REF!+#REF!-#REF!)*#REF!*#REF!/1000</f>
        <v>#REF!</v>
      </c>
      <c r="AAG222" s="79" t="e">
        <f>(#REF!+#REF!-#REF!)*#REF!*#REF!/1000</f>
        <v>#REF!</v>
      </c>
      <c r="AAH222" s="79" t="e">
        <f>(#REF!+#REF!-#REF!)*#REF!*#REF!/1000</f>
        <v>#REF!</v>
      </c>
      <c r="AAI222" s="79" t="e">
        <f>(#REF!+#REF!-#REF!)*#REF!*#REF!/1000</f>
        <v>#REF!</v>
      </c>
      <c r="AAJ222" s="79" t="e">
        <f>(#REF!+#REF!-#REF!)*#REF!*#REF!/1000</f>
        <v>#REF!</v>
      </c>
      <c r="AAK222" s="79" t="e">
        <f>(#REF!+#REF!-#REF!)*#REF!*#REF!/1000</f>
        <v>#REF!</v>
      </c>
      <c r="AAL222" s="79" t="e">
        <f>(#REF!+#REF!-#REF!)*#REF!*#REF!/1000</f>
        <v>#REF!</v>
      </c>
      <c r="AAM222" s="79" t="e">
        <f>(#REF!+#REF!-#REF!)*#REF!*#REF!/1000</f>
        <v>#REF!</v>
      </c>
      <c r="AAN222" s="79" t="e">
        <f>(#REF!+#REF!-#REF!)*#REF!*#REF!/1000</f>
        <v>#REF!</v>
      </c>
      <c r="AAO222" s="79" t="e">
        <f>(#REF!+#REF!-#REF!)*#REF!*#REF!/1000</f>
        <v>#REF!</v>
      </c>
      <c r="AAP222" s="79" t="e">
        <f>(#REF!+#REF!-#REF!)*#REF!*#REF!/1000</f>
        <v>#REF!</v>
      </c>
      <c r="AAQ222" s="79" t="e">
        <f>(#REF!+#REF!-#REF!)*#REF!*#REF!/1000</f>
        <v>#REF!</v>
      </c>
      <c r="AAR222" s="79" t="e">
        <f>(#REF!+#REF!-#REF!)*#REF!*#REF!/1000</f>
        <v>#REF!</v>
      </c>
      <c r="AAS222" s="79" t="e">
        <f>(#REF!+#REF!-#REF!)*#REF!*#REF!/1000</f>
        <v>#REF!</v>
      </c>
      <c r="AAT222" s="79" t="e">
        <f>(#REF!+#REF!-#REF!)*#REF!*#REF!/1000</f>
        <v>#REF!</v>
      </c>
      <c r="AAU222" s="79" t="e">
        <f>(#REF!+#REF!-#REF!)*#REF!*#REF!/1000</f>
        <v>#REF!</v>
      </c>
      <c r="AAV222" s="79" t="e">
        <f>(#REF!+#REF!-#REF!)*#REF!*#REF!/1000</f>
        <v>#REF!</v>
      </c>
      <c r="AAW222" s="79" t="e">
        <f>(#REF!+#REF!-#REF!)*#REF!*#REF!/1000</f>
        <v>#REF!</v>
      </c>
      <c r="AAX222" s="79" t="e">
        <f>(#REF!+#REF!-#REF!)*#REF!*#REF!/1000</f>
        <v>#REF!</v>
      </c>
      <c r="AAY222" s="79" t="e">
        <f>(#REF!+#REF!-#REF!)*#REF!*#REF!/1000</f>
        <v>#REF!</v>
      </c>
      <c r="AAZ222" s="79" t="e">
        <f>(#REF!+#REF!-#REF!)*#REF!*#REF!/1000</f>
        <v>#REF!</v>
      </c>
      <c r="ABA222" s="79" t="e">
        <f>(#REF!+#REF!-#REF!)*#REF!*#REF!/1000</f>
        <v>#REF!</v>
      </c>
      <c r="ABB222" s="79" t="e">
        <f>(#REF!+#REF!-#REF!)*#REF!*#REF!/1000</f>
        <v>#REF!</v>
      </c>
      <c r="ABC222" s="79" t="e">
        <f>(#REF!+#REF!-#REF!)*#REF!*#REF!/1000</f>
        <v>#REF!</v>
      </c>
      <c r="ABD222" s="79" t="e">
        <f>(#REF!+#REF!-#REF!)*#REF!*#REF!/1000</f>
        <v>#REF!</v>
      </c>
      <c r="ABE222" s="79" t="e">
        <f>(#REF!+#REF!-#REF!)*#REF!*#REF!/1000</f>
        <v>#REF!</v>
      </c>
      <c r="ABF222" s="79" t="e">
        <f>(#REF!+#REF!-#REF!)*#REF!*#REF!/1000</f>
        <v>#REF!</v>
      </c>
      <c r="ABG222" s="79" t="e">
        <f>(#REF!+#REF!-#REF!)*#REF!*#REF!/1000</f>
        <v>#REF!</v>
      </c>
      <c r="ABH222" s="79" t="e">
        <f>(#REF!+#REF!-#REF!)*#REF!*#REF!/1000</f>
        <v>#REF!</v>
      </c>
      <c r="ABI222" s="79" t="e">
        <f>(#REF!+#REF!-#REF!)*#REF!*#REF!/1000</f>
        <v>#REF!</v>
      </c>
      <c r="ABJ222" s="79" t="e">
        <f>(#REF!+#REF!-#REF!)*#REF!*#REF!/1000</f>
        <v>#REF!</v>
      </c>
      <c r="ABK222" s="79" t="e">
        <f>(#REF!+#REF!-#REF!)*#REF!*#REF!/1000</f>
        <v>#REF!</v>
      </c>
      <c r="ABL222" s="79" t="e">
        <f>(#REF!+#REF!-#REF!)*#REF!*#REF!/1000</f>
        <v>#REF!</v>
      </c>
      <c r="ABM222" s="79" t="e">
        <f>(#REF!+#REF!-#REF!)*#REF!*#REF!/1000</f>
        <v>#REF!</v>
      </c>
      <c r="ABN222" s="79" t="e">
        <f>(#REF!+#REF!-#REF!)*#REF!*#REF!/1000</f>
        <v>#REF!</v>
      </c>
      <c r="ABO222" s="79" t="e">
        <f>(#REF!+#REF!-#REF!)*#REF!*#REF!/1000</f>
        <v>#REF!</v>
      </c>
      <c r="ABP222" s="79" t="e">
        <f>(#REF!+#REF!-#REF!)*#REF!*#REF!/1000</f>
        <v>#REF!</v>
      </c>
      <c r="ABQ222" s="79" t="e">
        <f>(#REF!+#REF!-#REF!)*#REF!*#REF!/1000</f>
        <v>#REF!</v>
      </c>
      <c r="ABR222" s="79" t="e">
        <f>(#REF!+#REF!-#REF!)*#REF!*#REF!/1000</f>
        <v>#REF!</v>
      </c>
      <c r="ABS222" s="79" t="e">
        <f>(#REF!+#REF!-#REF!)*#REF!*#REF!/1000</f>
        <v>#REF!</v>
      </c>
      <c r="ABT222" s="79" t="e">
        <f>(#REF!+#REF!-#REF!)*#REF!*#REF!/1000</f>
        <v>#REF!</v>
      </c>
      <c r="ABU222" s="79" t="e">
        <f>(#REF!+#REF!-#REF!)*#REF!*#REF!/1000</f>
        <v>#REF!</v>
      </c>
      <c r="ABV222" s="79" t="e">
        <f>(#REF!+#REF!-#REF!)*#REF!*#REF!/1000</f>
        <v>#REF!</v>
      </c>
      <c r="ABW222" s="79" t="e">
        <f>(#REF!+#REF!-#REF!)*#REF!*#REF!/1000</f>
        <v>#REF!</v>
      </c>
      <c r="ABX222" s="79" t="e">
        <f>(#REF!+#REF!-#REF!)*#REF!*#REF!/1000</f>
        <v>#REF!</v>
      </c>
      <c r="ABY222" s="79" t="e">
        <f>(#REF!+#REF!-#REF!)*#REF!*#REF!/1000</f>
        <v>#REF!</v>
      </c>
      <c r="ABZ222" s="79" t="e">
        <f>(#REF!+#REF!-#REF!)*#REF!*#REF!/1000</f>
        <v>#REF!</v>
      </c>
      <c r="ACA222" s="79" t="e">
        <f>(#REF!+#REF!-#REF!)*#REF!*#REF!/1000</f>
        <v>#REF!</v>
      </c>
      <c r="ACB222" s="79" t="e">
        <f>(#REF!+#REF!-#REF!)*#REF!*#REF!/1000</f>
        <v>#REF!</v>
      </c>
      <c r="ACC222" s="79" t="e">
        <f>(#REF!+#REF!-#REF!)*#REF!*#REF!/1000</f>
        <v>#REF!</v>
      </c>
      <c r="ACD222" s="79" t="e">
        <f>(#REF!+#REF!-#REF!)*#REF!*#REF!/1000</f>
        <v>#REF!</v>
      </c>
      <c r="ACE222" s="79" t="e">
        <f>(#REF!+#REF!-#REF!)*#REF!*#REF!/1000</f>
        <v>#REF!</v>
      </c>
      <c r="ACF222" s="79" t="e">
        <f>(#REF!+#REF!-#REF!)*#REF!*#REF!/1000</f>
        <v>#REF!</v>
      </c>
      <c r="ACG222" s="79" t="e">
        <f>(#REF!+#REF!-#REF!)*#REF!*#REF!/1000</f>
        <v>#REF!</v>
      </c>
      <c r="ACH222" s="79" t="e">
        <f>(#REF!+#REF!-#REF!)*#REF!*#REF!/1000</f>
        <v>#REF!</v>
      </c>
      <c r="ACI222" s="79" t="e">
        <f>(#REF!+#REF!-#REF!)*#REF!*#REF!/1000</f>
        <v>#REF!</v>
      </c>
      <c r="ACJ222" s="79" t="e">
        <f>(#REF!+#REF!-#REF!)*#REF!*#REF!/1000</f>
        <v>#REF!</v>
      </c>
      <c r="ACK222" s="79" t="e">
        <f>(#REF!+#REF!-#REF!)*#REF!*#REF!/1000</f>
        <v>#REF!</v>
      </c>
      <c r="ACL222" s="79" t="e">
        <f>(#REF!+#REF!-#REF!)*#REF!*#REF!/1000</f>
        <v>#REF!</v>
      </c>
      <c r="ACM222" s="79" t="e">
        <f>(#REF!+#REF!-#REF!)*#REF!*#REF!/1000</f>
        <v>#REF!</v>
      </c>
      <c r="ACN222" s="79" t="e">
        <f>(#REF!+#REF!-#REF!)*#REF!*#REF!/1000</f>
        <v>#REF!</v>
      </c>
      <c r="ACO222" s="79" t="e">
        <f>(#REF!+#REF!-#REF!)*#REF!*#REF!/1000</f>
        <v>#REF!</v>
      </c>
      <c r="ACP222" s="79" t="e">
        <f>(#REF!+#REF!-#REF!)*#REF!*#REF!/1000</f>
        <v>#REF!</v>
      </c>
      <c r="ACQ222" s="79" t="e">
        <f>(#REF!+#REF!-#REF!)*#REF!*#REF!/1000</f>
        <v>#REF!</v>
      </c>
      <c r="ACR222" s="79" t="e">
        <f>(#REF!+#REF!-#REF!)*#REF!*#REF!/1000</f>
        <v>#REF!</v>
      </c>
      <c r="ACS222" s="79" t="e">
        <f>(#REF!+#REF!-#REF!)*#REF!*#REF!/1000</f>
        <v>#REF!</v>
      </c>
      <c r="ACT222" s="79" t="e">
        <f>(#REF!+#REF!-#REF!)*#REF!*#REF!/1000</f>
        <v>#REF!</v>
      </c>
      <c r="ACU222" s="79" t="e">
        <f>(#REF!+#REF!-#REF!)*#REF!*#REF!/1000</f>
        <v>#REF!</v>
      </c>
      <c r="ACV222" s="79" t="e">
        <f>(#REF!+#REF!-#REF!)*#REF!*#REF!/1000</f>
        <v>#REF!</v>
      </c>
      <c r="ACW222" s="79" t="e">
        <f>(#REF!+#REF!-#REF!)*#REF!*#REF!/1000</f>
        <v>#REF!</v>
      </c>
      <c r="ACX222" s="79" t="e">
        <f>(#REF!+#REF!-#REF!)*#REF!*#REF!/1000</f>
        <v>#REF!</v>
      </c>
      <c r="ACY222" s="79"/>
      <c r="ACZ222" s="79"/>
      <c r="ADA222" s="79"/>
      <c r="ADB222" s="79"/>
      <c r="ADC222" s="79"/>
      <c r="ADD222" s="79"/>
      <c r="ADE222" s="79"/>
      <c r="ADF222" s="79"/>
      <c r="ADG222" s="79"/>
      <c r="ADH222" s="79"/>
      <c r="ADI222" s="79"/>
      <c r="ADJ222" s="79"/>
      <c r="ADK222" s="79"/>
      <c r="ADL222" s="79"/>
      <c r="ADM222" s="79"/>
      <c r="ADN222" s="79"/>
      <c r="AQP222" s="165"/>
    </row>
    <row r="223" spans="2:794 1050:1134" ht="14.25" x14ac:dyDescent="0.45">
      <c r="D223" t="s">
        <v>406</v>
      </c>
      <c r="E223" s="86" t="e">
        <f>((#REF!+(#REF!*#REF!/1000+#REF!*#REF!/1000+#REF!*#REF!/1000+#REF!*#REF!/1000+SUM(#REF!))/#REF!*1000)-#REF!)*#REF!*#REF!/1000</f>
        <v>#REF!</v>
      </c>
      <c r="F223" s="86" t="e">
        <f>((#REF!+(#REF!*#REF!/1000+#REF!*#REF!/1000+#REF!*#REF!/1000+#REF!*#REF!/1000+SUM(#REF!))/#REF!*1000)-#REF!)*#REF!*#REF!/1000</f>
        <v>#REF!</v>
      </c>
      <c r="G223" s="86" t="e">
        <f>((#REF!+(#REF!*#REF!/1000+#REF!*#REF!/1000+#REF!*#REF!/1000+#REF!*#REF!/1000+SUM(#REF!))/#REF!*1000)-#REF!)*#REF!*#REF!/1000</f>
        <v>#REF!</v>
      </c>
      <c r="H223" s="86" t="e">
        <f>((#REF!+(#REF!*#REF!/1000+#REF!*#REF!/1000+#REF!*#REF!/1000+#REF!*#REF!/1000+SUM(#REF!))/#REF!*1000)-#REF!)*#REF!*#REF!/1000</f>
        <v>#REF!</v>
      </c>
      <c r="I223" s="86" t="e">
        <f>((#REF!+(#REF!*#REF!/1000+#REF!*#REF!/1000+#REF!*#REF!/1000+#REF!*#REF!/1000+SUM(#REF!))/#REF!*1000)-#REF!)*#REF!*#REF!/1000</f>
        <v>#REF!</v>
      </c>
      <c r="J223" s="86" t="e">
        <f>((#REF!+(#REF!*#REF!/1000+#REF!*#REF!/1000+#REF!*#REF!/1000+#REF!*#REF!/1000+SUM(#REF!))/#REF!*1000)-#REF!)*#REF!*#REF!/1000</f>
        <v>#REF!</v>
      </c>
      <c r="K223" s="86" t="e">
        <f>((#REF!+(#REF!*#REF!/1000+#REF!*#REF!/1000+#REF!*#REF!/1000+#REF!*#REF!/1000+SUM(#REF!))/#REF!*1000)-#REF!)*#REF!*#REF!/1000</f>
        <v>#REF!</v>
      </c>
      <c r="L223" s="79" t="e">
        <f>(#REF!+60-#REF!)*#REF!*#REF!/1000</f>
        <v>#REF!</v>
      </c>
      <c r="M223" s="79" t="e">
        <f>(#REF!+60-#REF!)*#REF!*#REF!/1000</f>
        <v>#REF!</v>
      </c>
      <c r="N223" s="86" t="e">
        <f>((#REF!+(#REF!*#REF!/1000+#REF!*#REF!/1000+#REF!*#REF!/1000+#REF!*#REF!/1000+SUM(#REF!))/#REF!*1000)-#REF!)*#REF!*#REF!/1000</f>
        <v>#REF!</v>
      </c>
      <c r="O223" s="86" t="e">
        <f>((#REF!+(#REF!*#REF!/1000+#REF!*#REF!/1000+#REF!*#REF!/1000+#REF!*#REF!/1000+SUM(#REF!))/#REF!*1000)-#REF!)*#REF!*#REF!/1000</f>
        <v>#REF!</v>
      </c>
      <c r="P223" s="86" t="e">
        <f>((#REF!+(#REF!*#REF!/1000+#REF!*#REF!/1000+#REF!*#REF!/1000+#REF!*#REF!/1000+SUM(#REF!))/#REF!*1000)-#REF!)*#REF!*#REF!/1000</f>
        <v>#REF!</v>
      </c>
      <c r="Q223" s="86" t="e">
        <f>((#REF!+(#REF!*#REF!/1000+#REF!*#REF!/1000+#REF!*#REF!/1000+#REF!*#REF!/1000+SUM(#REF!))/#REF!*1000)-#REF!)*#REF!*#REF!/1000</f>
        <v>#REF!</v>
      </c>
      <c r="R223" s="86" t="e">
        <f>((#REF!+(#REF!*#REF!/1000+#REF!*#REF!/1000+#REF!*#REF!/1000+#REF!*#REF!/1000+SUM(#REF!))/#REF!*1000)-#REF!)*#REF!*#REF!/1000</f>
        <v>#REF!</v>
      </c>
      <c r="S223" s="86" t="e">
        <f>((#REF!+(#REF!*#REF!/1000+#REF!*#REF!/1000+#REF!*#REF!/1000+#REF!*#REF!/1000+SUM(#REF!))/#REF!*1000)-#REF!)*#REF!*#REF!/1000</f>
        <v>#REF!</v>
      </c>
      <c r="T223" s="86" t="e">
        <f>((#REF!+(#REF!*#REF!/1000+#REF!*#REF!/1000+#REF!*#REF!/1000+#REF!*#REF!/1000+SUM(#REF!))/#REF!*1000)-#REF!)*#REF!*#REF!/1000</f>
        <v>#REF!</v>
      </c>
      <c r="U223" s="86" t="e">
        <f>((#REF!+(#REF!*#REF!/1000+#REF!*#REF!/1000+#REF!*#REF!/1000+#REF!*#REF!/1000+SUM(#REF!))/#REF!*1000)-#REF!)*#REF!*#REF!/1000</f>
        <v>#REF!</v>
      </c>
      <c r="V223" s="86" t="e">
        <f>((#REF!+(#REF!*#REF!/1000+#REF!*#REF!/1000+#REF!*#REF!/1000+#REF!*#REF!/1000+SUM(#REF!))/#REF!*1000)-#REF!)*#REF!*#REF!/1000</f>
        <v>#REF!</v>
      </c>
      <c r="W223" s="86" t="e">
        <f>((#REF!+(#REF!*#REF!/1000+#REF!*#REF!/1000+#REF!*#REF!/1000+#REF!*#REF!/1000+SUM(#REF!))/#REF!*1000)-#REF!)*#REF!*#REF!/1000</f>
        <v>#REF!</v>
      </c>
      <c r="X223" s="86" t="e">
        <f>((#REF!+(#REF!*#REF!/1000+#REF!*#REF!/1000+#REF!*#REF!/1000+#REF!*#REF!/1000+SUM(#REF!))/#REF!*1000)-#REF!)*#REF!*#REF!/1000</f>
        <v>#REF!</v>
      </c>
      <c r="Y223" s="86" t="e">
        <f>((#REF!+(#REF!*#REF!/1000+#REF!*#REF!/1000+#REF!*#REF!/1000+#REF!*#REF!/1000+SUM(#REF!))/#REF!*1000)-#REF!)*#REF!*#REF!/1000</f>
        <v>#REF!</v>
      </c>
      <c r="Z223" s="86" t="e">
        <f>((#REF!+(#REF!*#REF!/1000+#REF!*#REF!/1000+#REF!*#REF!/1000+#REF!*#REF!/1000+SUM(#REF!))/#REF!*1000)-#REF!)*#REF!*#REF!/1000</f>
        <v>#REF!</v>
      </c>
      <c r="AA223" s="86" t="e">
        <f>((#REF!+(#REF!*#REF!/1000+#REF!*#REF!/1000+#REF!*#REF!/1000+#REF!*#REF!/1000+SUM(#REF!))/#REF!*1000)-#REF!)*#REF!*#REF!/1000</f>
        <v>#REF!</v>
      </c>
      <c r="AB223" s="86" t="e">
        <f>((#REF!+(#REF!*#REF!/1000+#REF!*#REF!/1000+#REF!*#REF!/1000+#REF!*#REF!/1000+SUM(#REF!))/#REF!*1000)-#REF!)*#REF!*#REF!/1000</f>
        <v>#REF!</v>
      </c>
      <c r="AC223" s="86" t="e">
        <f>((#REF!+(#REF!*#REF!/1000+#REF!*#REF!/1000+#REF!*#REF!/1000+#REF!*#REF!/1000+SUM(#REF!))/#REF!*1000)-#REF!)*#REF!*#REF!/1000</f>
        <v>#REF!</v>
      </c>
      <c r="AD223" s="86" t="e">
        <f>((#REF!+(#REF!*#REF!/1000+#REF!*#REF!/1000+#REF!*#REF!/1000+#REF!*#REF!/1000+SUM(#REF!))/#REF!*1000)-#REF!)*#REF!*#REF!/1000</f>
        <v>#REF!</v>
      </c>
      <c r="AE223" s="86" t="e">
        <f>((#REF!+(#REF!*#REF!/1000+#REF!*#REF!/1000+#REF!*#REF!/1000+#REF!*#REF!/1000+SUM(#REF!))/#REF!*1000)-#REF!)*#REF!*#REF!/1000</f>
        <v>#REF!</v>
      </c>
      <c r="AF223" s="86" t="e">
        <f>((#REF!+(#REF!*#REF!/1000+#REF!*#REF!/1000+#REF!*#REF!/1000+#REF!*#REF!/1000+SUM(#REF!))/#REF!*1000)-#REF!)*#REF!*#REF!/1000</f>
        <v>#REF!</v>
      </c>
      <c r="AG223" s="86" t="e">
        <f>((#REF!+(#REF!*#REF!/1000+#REF!*#REF!/1000+#REF!*#REF!/1000+#REF!*#REF!/1000+SUM(#REF!))/#REF!*1000)-#REF!)*#REF!*#REF!/1000</f>
        <v>#REF!</v>
      </c>
      <c r="AH223" s="86" t="e">
        <f>((#REF!+(#REF!*#REF!/1000+#REF!*#REF!/1000+#REF!*#REF!/1000+#REF!*#REF!/1000+SUM(#REF!))/#REF!*1000)-#REF!)*#REF!*#REF!/1000</f>
        <v>#REF!</v>
      </c>
      <c r="AI223" s="86" t="e">
        <f>((#REF!+(#REF!*#REF!/1000+#REF!*#REF!/1000+#REF!*#REF!/1000+#REF!*#REF!/1000+SUM(#REF!))/#REF!*1000)-#REF!)*#REF!*#REF!/1000</f>
        <v>#REF!</v>
      </c>
      <c r="AJ223" s="86" t="e">
        <f>((#REF!+(#REF!*#REF!/1000+#REF!*#REF!/1000+#REF!*#REF!/1000+#REF!*#REF!/1000+SUM(#REF!))/#REF!*1000)-#REF!)*#REF!*#REF!/1000</f>
        <v>#REF!</v>
      </c>
      <c r="AK223" s="86" t="e">
        <f>((#REF!+(#REF!*#REF!/1000+#REF!*#REF!/1000+#REF!*#REF!/1000+#REF!*#REF!/1000+SUM(#REF!))/#REF!*1000)-#REF!)*#REF!*#REF!/1000</f>
        <v>#REF!</v>
      </c>
      <c r="AL223" s="86" t="e">
        <f>((#REF!+(#REF!*#REF!/1000+#REF!*#REF!/1000+#REF!*#REF!/1000+#REF!*#REF!/1000+SUM(#REF!))/#REF!*1000)-#REF!)*#REF!*#REF!/1000</f>
        <v>#REF!</v>
      </c>
      <c r="AM223" s="86" t="e">
        <f>((#REF!+(#REF!*#REF!/1000+#REF!*#REF!/1000+#REF!*#REF!/1000+#REF!*#REF!/1000+SUM(#REF!))/#REF!*1000)-#REF!)*#REF!*#REF!/1000</f>
        <v>#REF!</v>
      </c>
      <c r="AN223" s="86" t="e">
        <f>((#REF!+(#REF!*#REF!/1000+#REF!*#REF!/1000+#REF!*#REF!/1000+#REF!*#REF!/1000+SUM(#REF!))/#REF!*1000)-#REF!)*#REF!*#REF!/1000</f>
        <v>#REF!</v>
      </c>
      <c r="AO223" s="86" t="e">
        <f>((#REF!+(#REF!*#REF!/1000+#REF!*#REF!/1000+#REF!*#REF!/1000+#REF!*#REF!/1000+SUM(#REF!))/#REF!*1000)-#REF!)*#REF!*#REF!/1000</f>
        <v>#REF!</v>
      </c>
      <c r="AP223" s="86" t="e">
        <f>((#REF!+(#REF!*#REF!/1000+#REF!*#REF!/1000+#REF!*#REF!/1000+#REF!*#REF!/1000+SUM(#REF!))/#REF!*1000)-#REF!)*#REF!*#REF!/1000</f>
        <v>#REF!</v>
      </c>
      <c r="AQ223" s="86" t="e">
        <f>((#REF!+(#REF!*#REF!/1000+#REF!*#REF!/1000+#REF!*#REF!/1000+#REF!*#REF!/1000+SUM(#REF!))/#REF!*1000)-#REF!)*#REF!*#REF!/1000</f>
        <v>#REF!</v>
      </c>
      <c r="AR223" s="86" t="e">
        <f>((#REF!+(#REF!*#REF!/1000+#REF!*#REF!/1000+#REF!*#REF!/1000+#REF!*#REF!/1000+SUM(#REF!))/#REF!*1000)-#REF!)*#REF!*#REF!/1000</f>
        <v>#REF!</v>
      </c>
      <c r="AS223" s="86" t="e">
        <f>((#REF!+(#REF!*#REF!/1000+#REF!*#REF!/1000+#REF!*#REF!/1000+#REF!*#REF!/1000+SUM(#REF!))/#REF!*1000)-#REF!)*#REF!*#REF!/1000</f>
        <v>#REF!</v>
      </c>
      <c r="AT223" s="86" t="e">
        <f>((#REF!+(#REF!*#REF!/1000+#REF!*#REF!/1000+#REF!*#REF!/1000+#REF!*#REF!/1000+SUM(#REF!))/#REF!*1000)-#REF!)*#REF!*#REF!/1000</f>
        <v>#REF!</v>
      </c>
      <c r="AU223" s="86" t="e">
        <f>((#REF!+(#REF!*#REF!/1000+#REF!*#REF!/1000+#REF!*#REF!/1000+#REF!*#REF!/1000+SUM(#REF!))/#REF!*1000)-#REF!)*#REF!*#REF!/1000</f>
        <v>#REF!</v>
      </c>
      <c r="AV223" s="86" t="e">
        <f>((#REF!+(#REF!*#REF!/1000+#REF!*#REF!/1000+#REF!*#REF!/1000+#REF!*#REF!/1000+SUM(#REF!))/#REF!*1000)-#REF!)*#REF!*#REF!/1000</f>
        <v>#REF!</v>
      </c>
      <c r="AW223" s="86" t="e">
        <f>((#REF!+(#REF!*#REF!/1000+#REF!*#REF!/1000+#REF!*#REF!/1000+#REF!*#REF!/1000+SUM(#REF!))/#REF!*1000)-#REF!)*#REF!*#REF!/1000</f>
        <v>#REF!</v>
      </c>
      <c r="AX223" s="86" t="e">
        <f>((#REF!+(#REF!*#REF!/1000+#REF!*#REF!/1000+#REF!*#REF!/1000+#REF!*#REF!/1000+SUM(#REF!))/#REF!*1000)-#REF!)*#REF!*#REF!/1000</f>
        <v>#REF!</v>
      </c>
      <c r="AY223" s="86" t="e">
        <f>((#REF!+(#REF!*#REF!/1000+#REF!*#REF!/1000+#REF!*#REF!/1000+#REF!*#REF!/1000+SUM(#REF!))/#REF!*1000)-#REF!)*#REF!*#REF!/1000</f>
        <v>#REF!</v>
      </c>
      <c r="AZ223" s="86" t="e">
        <f>((#REF!+(#REF!*#REF!/1000+#REF!*#REF!/1000+#REF!*#REF!/1000+#REF!*#REF!/1000+SUM(#REF!))/#REF!*1000)-#REF!)*#REF!*#REF!/1000</f>
        <v>#REF!</v>
      </c>
      <c r="BA223" s="86" t="e">
        <f>((#REF!+(#REF!*#REF!/1000+#REF!*#REF!/1000+#REF!*#REF!/1000+#REF!*#REF!/1000+SUM(#REF!))/#REF!*1000)-#REF!)*#REF!*#REF!/1000</f>
        <v>#REF!</v>
      </c>
      <c r="BB223" s="86" t="e">
        <f>((#REF!+(#REF!*#REF!/1000+#REF!*#REF!/1000+#REF!*#REF!/1000+#REF!*#REF!/1000+SUM(#REF!))/#REF!*1000)-#REF!)*#REF!*#REF!/1000</f>
        <v>#REF!</v>
      </c>
      <c r="BC223" s="86" t="e">
        <f>((#REF!+(#REF!*#REF!/1000+#REF!*#REF!/1000+#REF!*#REF!/1000+#REF!*#REF!/1000+SUM(#REF!))/#REF!*1000)-#REF!)*#REF!*#REF!/1000</f>
        <v>#REF!</v>
      </c>
      <c r="BD223" s="86" t="e">
        <f>((#REF!+(#REF!*#REF!/1000+#REF!*#REF!/1000+#REF!*#REF!/1000+#REF!*#REF!/1000+SUM(#REF!))/#REF!*1000)-#REF!)*#REF!*#REF!/1000</f>
        <v>#REF!</v>
      </c>
      <c r="BE223" s="86" t="e">
        <f>((#REF!+(#REF!*#REF!/1000+#REF!*#REF!/1000+#REF!*#REF!/1000+#REF!*#REF!/1000+SUM(#REF!))/#REF!*1000)-#REF!)*#REF!*#REF!/1000</f>
        <v>#REF!</v>
      </c>
      <c r="BF223" s="86" t="e">
        <f>((#REF!+(#REF!*#REF!/1000+#REF!*#REF!/1000+#REF!*#REF!/1000+#REF!*#REF!/1000+SUM(#REF!))/#REF!*1000)-#REF!)*#REF!*#REF!/1000</f>
        <v>#REF!</v>
      </c>
      <c r="BG223" s="86" t="e">
        <f>((#REF!+(#REF!*#REF!/1000+#REF!*#REF!/1000+#REF!*#REF!/1000+#REF!*#REF!/1000+SUM(#REF!))/#REF!*1000)-#REF!)*#REF!*#REF!/1000</f>
        <v>#REF!</v>
      </c>
      <c r="BH223" s="86" t="e">
        <f>((#REF!+(#REF!*#REF!/1000+#REF!*#REF!/1000+#REF!*#REF!/1000+#REF!*#REF!/1000+SUM(#REF!))/#REF!*1000)-#REF!)*#REF!*#REF!/1000</f>
        <v>#REF!</v>
      </c>
      <c r="BI223" s="86" t="e">
        <f>((#REF!+(#REF!*#REF!/1000+#REF!*#REF!/1000+#REF!*#REF!/1000+#REF!*#REF!/1000+SUM(#REF!))/#REF!*1000)-#REF!)*#REF!*#REF!/1000</f>
        <v>#REF!</v>
      </c>
      <c r="BJ223" s="86" t="e">
        <f>((#REF!+(#REF!*#REF!/1000+#REF!*#REF!/1000+#REF!*#REF!/1000+#REF!*#REF!/1000+SUM(#REF!))/#REF!*1000)-#REF!)*#REF!*#REF!/1000</f>
        <v>#REF!</v>
      </c>
      <c r="BK223" s="86" t="e">
        <f>((#REF!+(#REF!*#REF!/1000+#REF!*#REF!/1000+#REF!*#REF!/1000+#REF!*#REF!/1000+SUM(#REF!))/#REF!*1000)-#REF!)*#REF!*#REF!/1000</f>
        <v>#REF!</v>
      </c>
      <c r="BL223" s="86" t="e">
        <f>((#REF!+(#REF!*#REF!/1000+#REF!*#REF!/1000+#REF!*#REF!/1000+#REF!*#REF!/1000+SUM(#REF!))/#REF!*1000)-#REF!)*#REF!*#REF!/1000</f>
        <v>#REF!</v>
      </c>
      <c r="BM223" s="86" t="e">
        <f>((#REF!+(#REF!*#REF!/1000+#REF!*#REF!/1000+#REF!*#REF!/1000+#REF!*#REF!/1000+SUM(#REF!))/#REF!*1000)-#REF!)*#REF!*#REF!/1000</f>
        <v>#REF!</v>
      </c>
      <c r="BN223" s="86" t="e">
        <f>((#REF!+(#REF!*#REF!/1000+#REF!*#REF!/1000+#REF!*#REF!/1000+#REF!*#REF!/1000+SUM(#REF!))/#REF!*1000)-#REF!)*#REF!*#REF!/1000</f>
        <v>#REF!</v>
      </c>
      <c r="BO223" s="86" t="e">
        <f>((#REF!+(#REF!*#REF!/1000+#REF!*#REF!/1000+#REF!*#REF!/1000+#REF!*#REF!/1000+SUM(#REF!))/#REF!*1000)-#REF!)*#REF!*#REF!/1000</f>
        <v>#REF!</v>
      </c>
      <c r="BP223" s="86" t="e">
        <f>((#REF!+(#REF!*#REF!/1000+#REF!*#REF!/1000+#REF!*#REF!/1000+#REF!*#REF!/1000+SUM(#REF!))/#REF!*1000)-#REF!)*#REF!*#REF!/1000</f>
        <v>#REF!</v>
      </c>
      <c r="BQ223" s="86" t="e">
        <f>((#REF!+(#REF!*#REF!/1000+#REF!*#REF!/1000+#REF!*#REF!/1000+#REF!*#REF!/1000+SUM(#REF!))/#REF!*1000)-#REF!)*#REF!*#REF!/1000</f>
        <v>#REF!</v>
      </c>
      <c r="BR223" s="86" t="e">
        <f>((#REF!+(#REF!*#REF!/1000+#REF!*#REF!/1000+#REF!*#REF!/1000+#REF!*#REF!/1000+SUM(#REF!))/#REF!*1000)-#REF!)*#REF!*#REF!/1000</f>
        <v>#REF!</v>
      </c>
      <c r="BS223" s="86" t="e">
        <f>((#REF!+(#REF!*#REF!/1000+#REF!*#REF!/1000+#REF!*#REF!/1000+#REF!*#REF!/1000+SUM(#REF!))/#REF!*1000)-#REF!)*#REF!*#REF!/1000</f>
        <v>#REF!</v>
      </c>
      <c r="BT223" s="86" t="e">
        <f>((#REF!+(#REF!*#REF!/1000+#REF!*#REF!/1000+#REF!*#REF!/1000+#REF!*#REF!/1000+SUM(#REF!))/#REF!*1000)-#REF!)*#REF!*#REF!/1000</f>
        <v>#REF!</v>
      </c>
      <c r="BU223" s="86" t="e">
        <f>((#REF!+(#REF!*#REF!/1000+#REF!*#REF!/1000+#REF!*#REF!/1000+#REF!*#REF!/1000+SUM(#REF!))/#REF!*1000)-#REF!)*#REF!*#REF!/1000</f>
        <v>#REF!</v>
      </c>
      <c r="BV223" s="86" t="e">
        <f>((#REF!+(#REF!*#REF!/1000+#REF!*#REF!/1000+#REF!*#REF!/1000+#REF!*#REF!/1000+SUM(#REF!))/#REF!*1000)-#REF!)*#REF!*#REF!/1000</f>
        <v>#REF!</v>
      </c>
      <c r="BW223" s="86" t="e">
        <f>((#REF!+(#REF!*#REF!/1000+#REF!*#REF!/1000+#REF!*#REF!/1000+#REF!*#REF!/1000+SUM(#REF!))/#REF!*1000)-#REF!)*#REF!*#REF!/1000</f>
        <v>#REF!</v>
      </c>
      <c r="BX223" s="86" t="e">
        <f>((#REF!+(#REF!*#REF!/1000+#REF!*#REF!/1000+#REF!*#REF!/1000+#REF!*#REF!/1000+SUM(#REF!))/#REF!*1000)-#REF!)*#REF!*#REF!/1000</f>
        <v>#REF!</v>
      </c>
      <c r="BY223" s="86" t="e">
        <f>((#REF!+(#REF!*#REF!/1000+#REF!*#REF!/1000+#REF!*#REF!/1000+#REF!*#REF!/1000+SUM(#REF!))/#REF!*1000)-#REF!)*#REF!*#REF!/1000</f>
        <v>#REF!</v>
      </c>
      <c r="BZ223" s="86" t="e">
        <f>((#REF!+(#REF!*#REF!/1000+#REF!*#REF!/1000+#REF!*#REF!/1000+#REF!*#REF!/1000+SUM(#REF!))/#REF!*1000)-#REF!)*#REF!*#REF!/1000</f>
        <v>#REF!</v>
      </c>
      <c r="CA223" s="86" t="e">
        <f>((#REF!+(#REF!*#REF!/1000+#REF!*#REF!/1000+#REF!*#REF!/1000+#REF!*#REF!/1000+SUM(#REF!))/#REF!*1000)-#REF!)*#REF!*#REF!/1000</f>
        <v>#REF!</v>
      </c>
      <c r="CB223" s="86" t="e">
        <f>((#REF!+(#REF!*#REF!/1000+#REF!*#REF!/1000+#REF!*#REF!/1000+#REF!*#REF!/1000+SUM(#REF!))/#REF!*1000)-#REF!)*#REF!*#REF!/1000</f>
        <v>#REF!</v>
      </c>
      <c r="CC223" s="86" t="e">
        <f>((#REF!+(#REF!*#REF!/1000+#REF!*#REF!/1000+#REF!*#REF!/1000+#REF!*#REF!/1000+SUM(#REF!))/#REF!*1000)-#REF!)*#REF!*#REF!/1000</f>
        <v>#REF!</v>
      </c>
      <c r="CD223" s="86" t="e">
        <f>((#REF!+(#REF!*#REF!/1000+#REF!*#REF!/1000+#REF!*#REF!/1000+#REF!*#REF!/1000+SUM(#REF!))/#REF!*1000)-#REF!)*#REF!*#REF!/1000</f>
        <v>#REF!</v>
      </c>
      <c r="CE223" s="86" t="e">
        <f>((#REF!+(#REF!*#REF!/1000+#REF!*#REF!/1000+#REF!*#REF!/1000+#REF!*#REF!/1000+SUM(#REF!))/#REF!*1000)-#REF!)*#REF!*#REF!/1000</f>
        <v>#REF!</v>
      </c>
      <c r="CF223" s="86" t="e">
        <f>((#REF!+(#REF!*#REF!/1000+#REF!*#REF!/1000+#REF!*#REF!/1000+#REF!*#REF!/1000+SUM(#REF!))/#REF!*1000)-#REF!)*#REF!*#REF!/1000</f>
        <v>#REF!</v>
      </c>
      <c r="CG223" s="86" t="e">
        <f>((#REF!+(#REF!*#REF!/1000+#REF!*#REF!/1000+#REF!*#REF!/1000+#REF!*#REF!/1000+SUM(#REF!))/#REF!*1000)-#REF!)*#REF!*#REF!/1000</f>
        <v>#REF!</v>
      </c>
      <c r="CH223" s="86" t="e">
        <f>((#REF!+(#REF!*#REF!/1000+#REF!*#REF!/1000+#REF!*#REF!/1000+#REF!*#REF!/1000+SUM(#REF!))/#REF!*1000)-#REF!)*#REF!*#REF!/1000</f>
        <v>#REF!</v>
      </c>
      <c r="CI223" s="86" t="e">
        <f>((#REF!+(#REF!*#REF!/1000+#REF!*#REF!/1000+#REF!*#REF!/1000+#REF!*#REF!/1000+SUM(#REF!))/#REF!*1000)-#REF!)*#REF!*#REF!/1000</f>
        <v>#REF!</v>
      </c>
      <c r="CJ223" s="86" t="e">
        <f>((#REF!+(#REF!*#REF!/1000+#REF!*#REF!/1000+#REF!*#REF!/1000+#REF!*#REF!/1000+SUM(#REF!))/#REF!*1000)-#REF!)*#REF!*#REF!/1000</f>
        <v>#REF!</v>
      </c>
      <c r="CK223" s="86" t="e">
        <f>((#REF!+(#REF!*#REF!/1000+#REF!*#REF!/1000+#REF!*#REF!/1000+#REF!*#REF!/1000+SUM(#REF!))/#REF!*1000)-#REF!)*#REF!*#REF!/1000</f>
        <v>#REF!</v>
      </c>
      <c r="CL223" s="86" t="e">
        <f>((#REF!+(#REF!*#REF!/1000+#REF!*#REF!/1000+#REF!*#REF!/1000+#REF!*#REF!/1000+SUM(#REF!))/#REF!*1000)-#REF!)*#REF!*#REF!/1000</f>
        <v>#REF!</v>
      </c>
      <c r="CM223" s="86" t="e">
        <f>((#REF!+(#REF!*#REF!/1000+#REF!*#REF!/1000+#REF!*#REF!/1000+#REF!*#REF!/1000+SUM(#REF!))/#REF!*1000)-#REF!)*#REF!*#REF!/1000</f>
        <v>#REF!</v>
      </c>
      <c r="CN223" s="86" t="e">
        <f>((#REF!+(#REF!*#REF!/1000+#REF!*#REF!/1000+#REF!*#REF!/1000+#REF!*#REF!/1000+SUM(#REF!))/#REF!*1000)-#REF!)*#REF!*#REF!/1000</f>
        <v>#REF!</v>
      </c>
      <c r="CO223" s="86" t="e">
        <f>((#REF!+(#REF!*#REF!/1000+#REF!*#REF!/1000+#REF!*#REF!/1000+#REF!*#REF!/1000+SUM(#REF!))/#REF!*1000)-#REF!)*#REF!*#REF!/1000</f>
        <v>#REF!</v>
      </c>
      <c r="CP223" s="86" t="e">
        <f>((#REF!+(#REF!*#REF!/1000+#REF!*#REF!/1000+#REF!*#REF!/1000+#REF!*#REF!/1000+SUM(#REF!))/#REF!*1000)-#REF!)*#REF!*#REF!/1000</f>
        <v>#REF!</v>
      </c>
      <c r="CQ223" s="86" t="e">
        <f>((#REF!+(#REF!*#REF!/1000+#REF!*#REF!/1000+#REF!*#REF!/1000+#REF!*#REF!/1000+SUM(#REF!))/#REF!*1000)-#REF!)*#REF!*#REF!/1000</f>
        <v>#REF!</v>
      </c>
      <c r="CR223" s="86" t="e">
        <f>((#REF!+(#REF!*#REF!/1000+#REF!*#REF!/1000+#REF!*#REF!/1000+#REF!*#REF!/1000+SUM(#REF!))/#REF!*1000)-#REF!)*#REF!*#REF!/1000</f>
        <v>#REF!</v>
      </c>
      <c r="CS223" s="86" t="e">
        <f>((#REF!+(#REF!*#REF!/1000+#REF!*#REF!/1000+#REF!*#REF!/1000+#REF!*#REF!/1000+SUM(#REF!))/#REF!*1000)-#REF!)*#REF!*#REF!/1000</f>
        <v>#REF!</v>
      </c>
      <c r="CT223" s="86" t="e">
        <f>((#REF!+(#REF!*#REF!/1000+#REF!*#REF!/1000+#REF!*#REF!/1000+#REF!*#REF!/1000+SUM(#REF!))/#REF!*1000)-#REF!)*#REF!*#REF!/1000</f>
        <v>#REF!</v>
      </c>
      <c r="CU223" s="86" t="e">
        <f>((#REF!+(#REF!*#REF!/1000+#REF!*#REF!/1000+#REF!*#REF!/1000+#REF!*#REF!/1000+SUM(#REF!))/#REF!*1000)-#REF!)*#REF!*#REF!/1000</f>
        <v>#REF!</v>
      </c>
      <c r="CV223" s="86" t="e">
        <f>((#REF!+(#REF!*#REF!/1000+#REF!*#REF!/1000+#REF!*#REF!/1000+#REF!*#REF!/1000+SUM(#REF!))/#REF!*1000)-#REF!)*#REF!*#REF!/1000</f>
        <v>#REF!</v>
      </c>
      <c r="CW223" s="86" t="e">
        <f>((#REF!+(#REF!*#REF!/1000+#REF!*#REF!/1000+#REF!*#REF!/1000+#REF!*#REF!/1000+SUM(#REF!))/#REF!*1000)-#REF!)*#REF!*#REF!/1000</f>
        <v>#REF!</v>
      </c>
      <c r="CX223" s="86" t="e">
        <f>((#REF!+(#REF!*#REF!/1000+#REF!*#REF!/1000+#REF!*#REF!/1000+#REF!*#REF!/1000+SUM(#REF!))/#REF!*1000)-#REF!)*#REF!*#REF!/1000</f>
        <v>#REF!</v>
      </c>
      <c r="CY223" s="86" t="e">
        <f>((#REF!+(#REF!*#REF!/1000+#REF!*#REF!/1000+#REF!*#REF!/1000+#REF!*#REF!/1000+SUM(#REF!))/#REF!*1000)-#REF!)*#REF!*#REF!/1000</f>
        <v>#REF!</v>
      </c>
      <c r="CZ223" s="86" t="e">
        <f>((#REF!+(#REF!*#REF!/1000+#REF!*#REF!/1000+#REF!*#REF!/1000+#REF!*#REF!/1000+SUM(#REF!))/#REF!*1000)-#REF!)*#REF!*#REF!/1000</f>
        <v>#REF!</v>
      </c>
      <c r="DA223" s="86" t="e">
        <f>((#REF!+(#REF!*#REF!/1000+#REF!*#REF!/1000+#REF!*#REF!/1000+#REF!*#REF!/1000+SUM(#REF!))/#REF!*1000)-#REF!)*#REF!*#REF!/1000</f>
        <v>#REF!</v>
      </c>
      <c r="DB223" s="86" t="e">
        <f>((#REF!+(#REF!*#REF!/1000+#REF!*#REF!/1000+#REF!*#REF!/1000+#REF!*#REF!/1000+SUM(#REF!))/#REF!*1000)-#REF!)*#REF!*#REF!/1000</f>
        <v>#REF!</v>
      </c>
      <c r="DC223" s="86" t="e">
        <f>((#REF!+(#REF!*#REF!/1000+#REF!*#REF!/1000+#REF!*#REF!/1000+#REF!*#REF!/1000+SUM(#REF!))/#REF!*1000)-#REF!)*#REF!*#REF!/1000</f>
        <v>#REF!</v>
      </c>
      <c r="DD223" s="86" t="e">
        <f>((#REF!+(#REF!*#REF!/1000+#REF!*#REF!/1000+#REF!*#REF!/1000+#REF!*#REF!/1000+SUM(#REF!))/#REF!*1000)-#REF!)*#REF!*#REF!/1000</f>
        <v>#REF!</v>
      </c>
      <c r="DE223" s="86" t="e">
        <f>((#REF!+(#REF!*#REF!/1000+#REF!*#REF!/1000+#REF!*#REF!/1000+#REF!*#REF!/1000+SUM(#REF!))/#REF!*1000)-#REF!)*#REF!*#REF!/1000</f>
        <v>#REF!</v>
      </c>
      <c r="DF223" s="86" t="e">
        <f>((#REF!+(#REF!*#REF!/1000+#REF!*#REF!/1000+#REF!*#REF!/1000+#REF!*#REF!/1000+SUM(#REF!))/#REF!*1000)-#REF!)*#REF!*#REF!/1000</f>
        <v>#REF!</v>
      </c>
      <c r="DG223" s="86" t="e">
        <f>((#REF!+(#REF!*#REF!/1000+#REF!*#REF!/1000+#REF!*#REF!/1000+#REF!*#REF!/1000+SUM(#REF!))/#REF!*1000)-#REF!)*#REF!*#REF!/1000</f>
        <v>#REF!</v>
      </c>
      <c r="DH223" s="86" t="e">
        <f>((#REF!+(#REF!*#REF!/1000+#REF!*#REF!/1000+#REF!*#REF!/1000+#REF!*#REF!/1000+SUM(#REF!))/#REF!*1000)-#REF!)*#REF!*#REF!/1000</f>
        <v>#REF!</v>
      </c>
      <c r="DI223" s="86" t="e">
        <f>((#REF!+(#REF!*#REF!/1000+#REF!*#REF!/1000+#REF!*#REF!/1000+#REF!*#REF!/1000+SUM(#REF!))/#REF!*1000)-#REF!)*#REF!*#REF!/1000</f>
        <v>#REF!</v>
      </c>
      <c r="DJ223" s="86" t="e">
        <f>((#REF!+(#REF!*#REF!/1000+#REF!*#REF!/1000+#REF!*#REF!/1000+#REF!*#REF!/1000+SUM(#REF!))/#REF!*1000)-#REF!)*#REF!*#REF!/1000</f>
        <v>#REF!</v>
      </c>
      <c r="DK223" s="86" t="e">
        <f>((#REF!+(#REF!*#REF!/1000+#REF!*#REF!/1000+#REF!*#REF!/1000+#REF!*#REF!/1000+SUM(#REF!))/#REF!*1000)-#REF!)*#REF!*#REF!/1000</f>
        <v>#REF!</v>
      </c>
      <c r="DL223" s="86" t="e">
        <f>((#REF!+(#REF!*#REF!/1000+#REF!*#REF!/1000+#REF!*#REF!/1000+#REF!*#REF!/1000+SUM(#REF!))/#REF!*1000)-#REF!)*#REF!*#REF!/1000</f>
        <v>#REF!</v>
      </c>
      <c r="DM223" s="86" t="e">
        <f>((#REF!+(#REF!*#REF!/1000+#REF!*#REF!/1000+#REF!*#REF!/1000+#REF!*#REF!/1000+SUM(#REF!))/#REF!*1000)-#REF!)*#REF!*#REF!/1000</f>
        <v>#REF!</v>
      </c>
      <c r="DN223" s="86" t="e">
        <f>((#REF!+(#REF!*#REF!/1000+#REF!*#REF!/1000+#REF!*#REF!/1000+#REF!*#REF!/1000+SUM(#REF!))/#REF!*1000)-#REF!)*#REF!*#REF!/1000</f>
        <v>#REF!</v>
      </c>
      <c r="DO223" s="86" t="e">
        <f>((#REF!+(#REF!*#REF!/1000+#REF!*#REF!/1000+#REF!*#REF!/1000+#REF!*#REF!/1000+SUM(#REF!))/#REF!*1000)-#REF!)*#REF!*#REF!/1000</f>
        <v>#REF!</v>
      </c>
      <c r="DP223" s="86" t="e">
        <f>((#REF!+(#REF!*#REF!/1000+#REF!*#REF!/1000+#REF!*#REF!/1000+#REF!*#REF!/1000+SUM(#REF!))/#REF!*1000)-#REF!)*#REF!*#REF!/1000</f>
        <v>#REF!</v>
      </c>
      <c r="DQ223" s="86" t="e">
        <f>((#REF!+(#REF!*#REF!/1000+#REF!*#REF!/1000+#REF!*#REF!/1000+#REF!*#REF!/1000+SUM(#REF!))/#REF!*1000)-#REF!)*#REF!*#REF!/1000</f>
        <v>#REF!</v>
      </c>
      <c r="DR223" s="86" t="e">
        <f>((#REF!+(#REF!*#REF!/1000+#REF!*#REF!/1000+#REF!*#REF!/1000+#REF!*#REF!/1000+SUM(#REF!))/#REF!*1000)-#REF!)*#REF!*#REF!/1000</f>
        <v>#REF!</v>
      </c>
      <c r="DS223" s="86" t="e">
        <f>((#REF!+(#REF!*#REF!/1000+#REF!*#REF!/1000+#REF!*#REF!/1000+#REF!*#REF!/1000+SUM(#REF!))/#REF!*1000)-#REF!)*#REF!*#REF!/1000</f>
        <v>#REF!</v>
      </c>
      <c r="DT223" s="86" t="e">
        <f>((#REF!+(#REF!*#REF!/1000+#REF!*#REF!/1000+#REF!*#REF!/1000+#REF!*#REF!/1000+SUM(#REF!))/#REF!*1000)-#REF!)*#REF!*#REF!/1000</f>
        <v>#REF!</v>
      </c>
      <c r="DU223" s="86" t="e">
        <f>((#REF!+(#REF!*#REF!/1000+#REF!*#REF!/1000+#REF!*#REF!/1000+#REF!*#REF!/1000+SUM(#REF!))/#REF!*1000)-#REF!)*#REF!*#REF!/1000</f>
        <v>#REF!</v>
      </c>
      <c r="DV223" s="86" t="e">
        <f>((#REF!+(#REF!*#REF!/1000+#REF!*#REF!/1000+#REF!*#REF!/1000+#REF!*#REF!/1000+SUM(#REF!))/#REF!*1000)-#REF!)*#REF!*#REF!/1000</f>
        <v>#REF!</v>
      </c>
      <c r="DW223" s="86" t="e">
        <f>((#REF!+(#REF!*#REF!/1000+#REF!*#REF!/1000+#REF!*#REF!/1000+#REF!*#REF!/1000+SUM(#REF!))/#REF!*1000)-#REF!)*#REF!*#REF!/1000</f>
        <v>#REF!</v>
      </c>
      <c r="DX223" s="86" t="e">
        <f>((#REF!+(#REF!*#REF!/1000+#REF!*#REF!/1000+#REF!*#REF!/1000+#REF!*#REF!/1000+SUM(#REF!))/#REF!*1000)-#REF!)*#REF!*#REF!/1000</f>
        <v>#REF!</v>
      </c>
      <c r="DY223" s="86" t="e">
        <f>((#REF!+(#REF!*#REF!/1000+#REF!*#REF!/1000+#REF!*#REF!/1000+#REF!*#REF!/1000+SUM(#REF!))/#REF!*1000)-#REF!)*#REF!*#REF!/1000</f>
        <v>#REF!</v>
      </c>
      <c r="DZ223" s="86" t="e">
        <f>((#REF!+(#REF!*#REF!/1000+#REF!*#REF!/1000+#REF!*#REF!/1000+#REF!*#REF!/1000+SUM(#REF!))/#REF!*1000)-#REF!)*#REF!*#REF!/1000</f>
        <v>#REF!</v>
      </c>
      <c r="EA223" s="86" t="e">
        <f>((#REF!+(#REF!*#REF!/1000+#REF!*#REF!/1000+#REF!*#REF!/1000+#REF!*#REF!/1000+SUM(#REF!))/#REF!*1000)-#REF!)*#REF!*#REF!/1000</f>
        <v>#REF!</v>
      </c>
      <c r="EB223" s="86" t="e">
        <f>((#REF!+(#REF!*#REF!/1000+#REF!*#REF!/1000+#REF!*#REF!/1000+#REF!*#REF!/1000+SUM(#REF!))/#REF!*1000)-#REF!)*#REF!*#REF!/1000</f>
        <v>#REF!</v>
      </c>
      <c r="EC223" s="86" t="e">
        <f>((#REF!+(#REF!*#REF!/1000+#REF!*#REF!/1000+#REF!*#REF!/1000+#REF!*#REF!/1000+SUM(#REF!))/#REF!*1000)-#REF!)*#REF!*#REF!/1000</f>
        <v>#REF!</v>
      </c>
      <c r="ED223" s="86" t="e">
        <f>((#REF!+(#REF!*#REF!/1000+#REF!*#REF!/1000+#REF!*#REF!/1000+#REF!*#REF!/1000+SUM(#REF!))/#REF!*1000)-#REF!)*#REF!*#REF!/1000</f>
        <v>#REF!</v>
      </c>
      <c r="EE223" s="86" t="e">
        <f>((#REF!+(#REF!*#REF!/1000+#REF!*#REF!/1000+#REF!*#REF!/1000+#REF!*#REF!/1000+SUM(#REF!))/#REF!*1000)-#REF!)*#REF!*#REF!/1000</f>
        <v>#REF!</v>
      </c>
      <c r="EF223" s="86" t="e">
        <f>((#REF!+(#REF!*#REF!/1000+#REF!*#REF!/1000+#REF!*#REF!/1000+#REF!*#REF!/1000+SUM(#REF!))/#REF!*1000)-#REF!)*#REF!*#REF!/1000</f>
        <v>#REF!</v>
      </c>
      <c r="EG223" s="86" t="e">
        <f>((#REF!+(#REF!*#REF!/1000+#REF!*#REF!/1000+#REF!*#REF!/1000+#REF!*#REF!/1000+SUM(#REF!))/#REF!*1000)-#REF!)*#REF!*#REF!/1000</f>
        <v>#REF!</v>
      </c>
      <c r="EH223" s="86" t="e">
        <f>((#REF!+(#REF!*#REF!/1000+#REF!*#REF!/1000+#REF!*#REF!/1000+#REF!*#REF!/1000+SUM(#REF!))/#REF!*1000)-#REF!)*#REF!*#REF!/1000</f>
        <v>#REF!</v>
      </c>
      <c r="EI223" s="86" t="e">
        <f>((#REF!+(#REF!*#REF!/1000+#REF!*#REF!/1000+#REF!*#REF!/1000+#REF!*#REF!/1000+SUM(#REF!))/#REF!*1000)-#REF!)*#REF!*#REF!/1000</f>
        <v>#REF!</v>
      </c>
      <c r="EJ223" s="86" t="e">
        <f>((#REF!+(#REF!*#REF!/1000+#REF!*#REF!/1000+#REF!*#REF!/1000+#REF!*#REF!/1000+SUM(#REF!))/#REF!*1000)-#REF!)*#REF!*#REF!/1000</f>
        <v>#REF!</v>
      </c>
      <c r="EK223" s="86" t="e">
        <f>((#REF!+(#REF!*#REF!/1000+#REF!*#REF!/1000+#REF!*#REF!/1000+#REF!*#REF!/1000+SUM(#REF!))/#REF!*1000)-#REF!)*#REF!*#REF!/1000</f>
        <v>#REF!</v>
      </c>
      <c r="EL223" s="86" t="e">
        <f>((#REF!+(#REF!*#REF!/1000+#REF!*#REF!/1000+#REF!*#REF!/1000+#REF!*#REF!/1000+SUM(#REF!))/#REF!*1000)-#REF!)*#REF!*#REF!/1000</f>
        <v>#REF!</v>
      </c>
      <c r="EM223" s="86" t="e">
        <f>((#REF!+(#REF!*#REF!/1000+#REF!*#REF!/1000+#REF!*#REF!/1000+#REF!*#REF!/1000+SUM(#REF!))/#REF!*1000)-#REF!)*#REF!*#REF!/1000</f>
        <v>#REF!</v>
      </c>
      <c r="EN223" s="86" t="e">
        <f>((#REF!+(#REF!*#REF!/1000+#REF!*#REF!/1000+#REF!*#REF!/1000+#REF!*#REF!/1000+SUM(#REF!))/#REF!*1000)-#REF!)*#REF!*#REF!/1000</f>
        <v>#REF!</v>
      </c>
      <c r="EO223" s="86" t="e">
        <f>((#REF!+(#REF!*#REF!/1000+#REF!*#REF!/1000+#REF!*#REF!/1000+#REF!*#REF!/1000+SUM(#REF!))/#REF!*1000)-#REF!)*#REF!*#REF!/1000</f>
        <v>#REF!</v>
      </c>
      <c r="EP223" s="86" t="e">
        <f>((#REF!+(#REF!*#REF!/1000+#REF!*#REF!/1000+#REF!*#REF!/1000+#REF!*#REF!/1000+SUM(#REF!))/#REF!*1000)-#REF!)*#REF!*#REF!/1000</f>
        <v>#REF!</v>
      </c>
      <c r="EQ223" s="86" t="e">
        <f>((#REF!+(#REF!*#REF!/1000+#REF!*#REF!/1000+#REF!*#REF!/1000+#REF!*#REF!/1000+SUM(#REF!))/#REF!*1000)-#REF!)*#REF!*#REF!/1000</f>
        <v>#REF!</v>
      </c>
      <c r="ER223" s="86" t="e">
        <f>((#REF!+(#REF!*#REF!/1000+#REF!*#REF!/1000+#REF!*#REF!/1000+#REF!*#REF!/1000+SUM(#REF!))/#REF!*1000)-#REF!)*#REF!*#REF!/1000</f>
        <v>#REF!</v>
      </c>
      <c r="ES223" s="86" t="e">
        <f>((#REF!+(#REF!*#REF!/1000+#REF!*#REF!/1000+#REF!*#REF!/1000+#REF!*#REF!/1000+SUM(#REF!))/#REF!*1000)-#REF!)*#REF!*#REF!/1000</f>
        <v>#REF!</v>
      </c>
      <c r="ET223" s="86" t="e">
        <f>((#REF!+(#REF!*#REF!/1000+#REF!*#REF!/1000+#REF!*#REF!/1000+#REF!*#REF!/1000+SUM(#REF!))/#REF!*1000)-#REF!)*#REF!*#REF!/1000</f>
        <v>#REF!</v>
      </c>
      <c r="EU223" s="86" t="e">
        <f>((#REF!+(#REF!*#REF!/1000+#REF!*#REF!/1000+#REF!*#REF!/1000+#REF!*#REF!/1000+SUM(#REF!))/#REF!*1000)-#REF!)*#REF!*#REF!/1000</f>
        <v>#REF!</v>
      </c>
      <c r="EV223" s="86" t="e">
        <f>((#REF!+(#REF!*#REF!/1000+#REF!*#REF!/1000+#REF!*#REF!/1000+#REF!*#REF!/1000+SUM(#REF!))/#REF!*1000)-#REF!)*#REF!*#REF!/1000</f>
        <v>#REF!</v>
      </c>
      <c r="EW223" s="86" t="e">
        <f>((#REF!+(#REF!*#REF!/1000+#REF!*#REF!/1000+#REF!*#REF!/1000+#REF!*#REF!/1000+SUM(#REF!))/#REF!*1000)-#REF!)*#REF!*#REF!/1000</f>
        <v>#REF!</v>
      </c>
      <c r="EX223" s="86" t="e">
        <f>((#REF!+(#REF!*#REF!/1000+#REF!*#REF!/1000+#REF!*#REF!/1000+#REF!*#REF!/1000+SUM(#REF!))/#REF!*1000)-#REF!)*#REF!*#REF!/1000</f>
        <v>#REF!</v>
      </c>
      <c r="EY223" s="86" t="e">
        <f>((#REF!+(#REF!*#REF!/1000+#REF!*#REF!/1000+#REF!*#REF!/1000+#REF!*#REF!/1000+SUM(#REF!))/#REF!*1000)-#REF!)*#REF!*#REF!/1000</f>
        <v>#REF!</v>
      </c>
      <c r="EZ223" s="86" t="e">
        <f>((#REF!+(#REF!*#REF!/1000+#REF!*#REF!/1000+#REF!*#REF!/1000+#REF!*#REF!/1000+SUM(#REF!))/#REF!*1000)-#REF!)*#REF!*#REF!/1000</f>
        <v>#REF!</v>
      </c>
      <c r="FA223" s="86" t="e">
        <f>((#REF!+(#REF!*#REF!/1000+#REF!*#REF!/1000+#REF!*#REF!/1000+#REF!*#REF!/1000+SUM(#REF!))/#REF!*1000)-#REF!)*#REF!*#REF!/1000</f>
        <v>#REF!</v>
      </c>
      <c r="FB223" s="86" t="e">
        <f>((#REF!+(#REF!*#REF!/1000+#REF!*#REF!/1000+#REF!*#REF!/1000+#REF!*#REF!/1000+SUM(#REF!))/#REF!*1000)-#REF!)*#REF!*#REF!/1000</f>
        <v>#REF!</v>
      </c>
      <c r="FC223" s="86" t="e">
        <f>((#REF!+(#REF!*#REF!/1000+#REF!*#REF!/1000+#REF!*#REF!/1000+#REF!*#REF!/1000+SUM(#REF!))/#REF!*1000)-#REF!)*#REF!*#REF!/1000</f>
        <v>#REF!</v>
      </c>
      <c r="FD223" s="86" t="e">
        <f>((#REF!+(#REF!*#REF!/1000+#REF!*#REF!/1000+#REF!*#REF!/1000+#REF!*#REF!/1000+SUM(#REF!))/#REF!*1000)-#REF!)*#REF!*#REF!/1000</f>
        <v>#REF!</v>
      </c>
      <c r="FE223" s="86" t="e">
        <f>((#REF!+(#REF!*#REF!/1000+#REF!*#REF!/1000+#REF!*#REF!/1000+#REF!*#REF!/1000+SUM(#REF!))/#REF!*1000)-#REF!)*#REF!*#REF!/1000</f>
        <v>#REF!</v>
      </c>
      <c r="FF223" s="86" t="e">
        <f>((#REF!+(#REF!*#REF!/1000+#REF!*#REF!/1000+#REF!*#REF!/1000+#REF!*#REF!/1000+SUM(#REF!))/#REF!*1000)-#REF!)*#REF!*#REF!/1000</f>
        <v>#REF!</v>
      </c>
      <c r="FG223" s="86" t="e">
        <f>((#REF!+(#REF!*#REF!/1000+#REF!*#REF!/1000+#REF!*#REF!/1000+#REF!*#REF!/1000+SUM(#REF!))/#REF!*1000)-#REF!)*#REF!*#REF!/1000</f>
        <v>#REF!</v>
      </c>
      <c r="FH223" s="86" t="e">
        <f>((#REF!+(#REF!*#REF!/1000+#REF!*#REF!/1000+#REF!*#REF!/1000+#REF!*#REF!/1000+SUM(#REF!))/#REF!*1000)-#REF!)*#REF!*#REF!/1000</f>
        <v>#REF!</v>
      </c>
      <c r="FI223" s="86" t="e">
        <f>((#REF!+(#REF!*#REF!/1000+#REF!*#REF!/1000+#REF!*#REF!/1000+#REF!*#REF!/1000+SUM(#REF!))/#REF!*1000)-#REF!)*#REF!*#REF!/1000</f>
        <v>#REF!</v>
      </c>
      <c r="FJ223" s="86" t="e">
        <f>((#REF!+(#REF!*#REF!/1000+#REF!*#REF!/1000+#REF!*#REF!/1000+#REF!*#REF!/1000+SUM(#REF!))/#REF!*1000)-#REF!)*#REF!*#REF!/1000</f>
        <v>#REF!</v>
      </c>
      <c r="FK223" s="86" t="e">
        <f>((#REF!+(#REF!*#REF!/1000+#REF!*#REF!/1000+#REF!*#REF!/1000+#REF!*#REF!/1000+SUM(#REF!))/#REF!*1000)-#REF!)*#REF!*#REF!/1000</f>
        <v>#REF!</v>
      </c>
      <c r="FL223" s="86" t="e">
        <f>((#REF!+(#REF!*#REF!/1000+#REF!*#REF!/1000+#REF!*#REF!/1000+#REF!*#REF!/1000+SUM(#REF!))/#REF!*1000)-#REF!)*#REF!*#REF!/1000</f>
        <v>#REF!</v>
      </c>
      <c r="FM223" s="86" t="e">
        <f>((#REF!+(#REF!*#REF!/1000+#REF!*#REF!/1000+#REF!*#REF!/1000+#REF!*#REF!/1000+SUM(#REF!))/#REF!*1000)-#REF!)*#REF!*#REF!/1000</f>
        <v>#REF!</v>
      </c>
      <c r="FN223" s="86" t="e">
        <f>((#REF!+(#REF!*#REF!/1000+#REF!*#REF!/1000+#REF!*#REF!/1000+#REF!*#REF!/1000+SUM(#REF!))/#REF!*1000)-#REF!)*#REF!*#REF!/1000</f>
        <v>#REF!</v>
      </c>
      <c r="FO223" s="86" t="e">
        <f>((#REF!+(#REF!*#REF!/1000+#REF!*#REF!/1000+#REF!*#REF!/1000+#REF!*#REF!/1000+SUM(#REF!))/#REF!*1000)-#REF!)*#REF!*#REF!/1000</f>
        <v>#REF!</v>
      </c>
      <c r="FP223" s="86" t="e">
        <f>((#REF!+(#REF!*#REF!/1000+#REF!*#REF!/1000+#REF!*#REF!/1000+#REF!*#REF!/1000+SUM(#REF!))/#REF!*1000)-#REF!)*#REF!*#REF!/1000</f>
        <v>#REF!</v>
      </c>
      <c r="FQ223" s="86" t="e">
        <f>((#REF!+(#REF!*#REF!/1000+#REF!*#REF!/1000+#REF!*#REF!/1000+#REF!*#REF!/1000+SUM(#REF!))/#REF!*1000)-#REF!)*#REF!*#REF!/1000</f>
        <v>#REF!</v>
      </c>
      <c r="FR223" s="86" t="e">
        <f>((#REF!+(#REF!*#REF!/1000+#REF!*#REF!/1000+#REF!*#REF!/1000+#REF!*#REF!/1000+SUM(#REF!))/#REF!*1000)-#REF!)*#REF!*#REF!/1000</f>
        <v>#REF!</v>
      </c>
      <c r="FS223" s="86" t="e">
        <f>((#REF!+(#REF!*#REF!/1000+#REF!*#REF!/1000+#REF!*#REF!/1000+#REF!*#REF!/1000+SUM(#REF!))/#REF!*1000)-#REF!)*#REF!*#REF!/1000</f>
        <v>#REF!</v>
      </c>
      <c r="FT223" s="86" t="e">
        <f>((#REF!+(#REF!*#REF!/1000+#REF!*#REF!/1000+#REF!*#REF!/1000+#REF!*#REF!/1000+SUM(#REF!))/#REF!*1000)-#REF!)*#REF!*#REF!/1000</f>
        <v>#REF!</v>
      </c>
      <c r="FU223" s="86" t="e">
        <f>((#REF!+(#REF!*#REF!/1000+#REF!*#REF!/1000+#REF!*#REF!/1000+#REF!*#REF!/1000+SUM(#REF!))/#REF!*1000)-#REF!)*#REF!*#REF!/1000</f>
        <v>#REF!</v>
      </c>
      <c r="FV223" s="86" t="e">
        <f>((#REF!+(#REF!*#REF!/1000+#REF!*#REF!/1000+#REF!*#REF!/1000+#REF!*#REF!/1000+SUM(#REF!))/#REF!*1000)-#REF!)*#REF!*#REF!/1000</f>
        <v>#REF!</v>
      </c>
      <c r="FW223" s="86" t="e">
        <f>((#REF!+(#REF!*#REF!/1000+#REF!*#REF!/1000+#REF!*#REF!/1000+#REF!*#REF!/1000+SUM(#REF!))/#REF!*1000)-#REF!)*#REF!*#REF!/1000</f>
        <v>#REF!</v>
      </c>
      <c r="FX223" s="86" t="e">
        <f>((#REF!+(#REF!*#REF!/1000+#REF!*#REF!/1000+#REF!*#REF!/1000+#REF!*#REF!/1000+SUM(#REF!))/#REF!*1000)-#REF!)*#REF!*#REF!/1000</f>
        <v>#REF!</v>
      </c>
      <c r="FY223" s="86" t="e">
        <f>((#REF!+(#REF!*#REF!/1000+#REF!*#REF!/1000+#REF!*#REF!/1000+#REF!*#REF!/1000+SUM(#REF!))/#REF!*1000)-#REF!)*#REF!*#REF!/1000</f>
        <v>#REF!</v>
      </c>
      <c r="FZ223" s="86" t="e">
        <f>((#REF!+(#REF!*#REF!/1000+#REF!*#REF!/1000+#REF!*#REF!/1000+#REF!*#REF!/1000+SUM(#REF!))/#REF!*1000)-#REF!)*#REF!*#REF!/1000</f>
        <v>#REF!</v>
      </c>
      <c r="GA223" s="86" t="e">
        <f>((#REF!+(#REF!*#REF!/1000+#REF!*#REF!/1000+#REF!*#REF!/1000+#REF!*#REF!/1000+SUM(#REF!))/#REF!*1000)-#REF!)*#REF!*#REF!/1000</f>
        <v>#REF!</v>
      </c>
      <c r="GB223" s="86" t="e">
        <f>((#REF!+(#REF!*#REF!/1000+#REF!*#REF!/1000+#REF!*#REF!/1000+#REF!*#REF!/1000+SUM(#REF!))/#REF!*1000)-#REF!)*#REF!*#REF!/1000</f>
        <v>#REF!</v>
      </c>
      <c r="GC223" s="86" t="e">
        <f>((#REF!+(#REF!*#REF!/1000+#REF!*#REF!/1000+#REF!*#REF!/1000+#REF!*#REF!/1000+SUM(#REF!))/#REF!*1000)-#REF!)*#REF!*#REF!/1000</f>
        <v>#REF!</v>
      </c>
      <c r="GD223" s="86" t="e">
        <f>((#REF!+(#REF!*#REF!/1000+#REF!*#REF!/1000+#REF!*#REF!/1000+#REF!*#REF!/1000+SUM(#REF!))/#REF!*1000)-#REF!)*#REF!*#REF!/1000</f>
        <v>#REF!</v>
      </c>
      <c r="GE223" s="86" t="e">
        <f>((#REF!+(#REF!*#REF!/1000+#REF!*#REF!/1000+#REF!*#REF!/1000+#REF!*#REF!/1000+SUM(#REF!))/#REF!*1000)-#REF!)*#REF!*#REF!/1000</f>
        <v>#REF!</v>
      </c>
      <c r="GF223" s="86" t="e">
        <f>((#REF!+(#REF!*#REF!/1000+#REF!*#REF!/1000+#REF!*#REF!/1000+#REF!*#REF!/1000+SUM(#REF!))/#REF!*1000)-#REF!)*#REF!*#REF!/1000</f>
        <v>#REF!</v>
      </c>
      <c r="GG223" s="86" t="e">
        <f>((#REF!+(#REF!*#REF!/1000+#REF!*#REF!/1000+#REF!*#REF!/1000+#REF!*#REF!/1000+SUM(#REF!))/#REF!*1000)-#REF!)*#REF!*#REF!/1000</f>
        <v>#REF!</v>
      </c>
      <c r="GH223" s="86" t="e">
        <f>((#REF!+(#REF!*#REF!/1000+#REF!*#REF!/1000+#REF!*#REF!/1000+#REF!*#REF!/1000+SUM(#REF!))/#REF!*1000)-#REF!)*#REF!*#REF!/1000</f>
        <v>#REF!</v>
      </c>
      <c r="GI223" s="86" t="e">
        <f>((#REF!+(#REF!*#REF!/1000+#REF!*#REF!/1000+#REF!*#REF!/1000+#REF!*#REF!/1000+SUM(#REF!))/#REF!*1000)-#REF!)*#REF!*#REF!/1000</f>
        <v>#REF!</v>
      </c>
      <c r="GJ223" s="86" t="e">
        <f>((#REF!+(#REF!*#REF!/1000+#REF!*#REF!/1000+#REF!*#REF!/1000+#REF!*#REF!/1000+SUM(#REF!))/#REF!*1000)-#REF!)*#REF!*#REF!/1000</f>
        <v>#REF!</v>
      </c>
      <c r="GK223" s="86" t="e">
        <f>((#REF!+(#REF!*#REF!/1000+#REF!*#REF!/1000+#REF!*#REF!/1000+#REF!*#REF!/1000+SUM(#REF!))/#REF!*1000)-#REF!)*#REF!*#REF!/1000</f>
        <v>#REF!</v>
      </c>
      <c r="GL223" s="86" t="e">
        <f>((#REF!+(#REF!*#REF!/1000+#REF!*#REF!/1000+#REF!*#REF!/1000+#REF!*#REF!/1000+SUM(#REF!))/#REF!*1000)-#REF!)*#REF!*#REF!/1000</f>
        <v>#REF!</v>
      </c>
      <c r="GM223" s="86" t="e">
        <f>((#REF!+(#REF!*#REF!/1000+#REF!*#REF!/1000+#REF!*#REF!/1000+#REF!*#REF!/1000+SUM(#REF!))/#REF!*1000)-#REF!)*#REF!*#REF!/1000</f>
        <v>#REF!</v>
      </c>
      <c r="GN223" s="86" t="e">
        <f>((#REF!+(#REF!*#REF!/1000+#REF!*#REF!/1000+#REF!*#REF!/1000+#REF!*#REF!/1000+SUM(#REF!))/#REF!*1000)-#REF!)*#REF!*#REF!/1000</f>
        <v>#REF!</v>
      </c>
      <c r="GO223" s="86" t="e">
        <f>((#REF!+(#REF!*#REF!/1000+#REF!*#REF!/1000+#REF!*#REF!/1000+#REF!*#REF!/1000+SUM(#REF!))/#REF!*1000)-#REF!)*#REF!*#REF!/1000</f>
        <v>#REF!</v>
      </c>
      <c r="GP223" s="86" t="e">
        <f>((#REF!+(#REF!*#REF!/1000+#REF!*#REF!/1000+#REF!*#REF!/1000+#REF!*#REF!/1000+SUM(#REF!))/#REF!*1000)-#REF!)*#REF!*#REF!/1000</f>
        <v>#REF!</v>
      </c>
      <c r="GQ223" s="86" t="e">
        <f>((#REF!+(#REF!*#REF!/1000+#REF!*#REF!/1000+#REF!*#REF!/1000+#REF!*#REF!/1000+SUM(#REF!))/#REF!*1000)-#REF!)*#REF!*#REF!/1000</f>
        <v>#REF!</v>
      </c>
      <c r="GR223" s="86" t="e">
        <f>((#REF!+(#REF!*#REF!/1000+#REF!*#REF!/1000+#REF!*#REF!/1000+#REF!*#REF!/1000+SUM(#REF!))/#REF!*1000)-#REF!)*#REF!*#REF!/1000</f>
        <v>#REF!</v>
      </c>
      <c r="GS223" s="86" t="e">
        <f>((#REF!+(#REF!*#REF!/1000+#REF!*#REF!/1000+#REF!*#REF!/1000+#REF!*#REF!/1000+SUM(#REF!))/#REF!*1000)-#REF!)*#REF!*#REF!/1000</f>
        <v>#REF!</v>
      </c>
      <c r="GT223" s="86" t="e">
        <f>((#REF!+(#REF!*#REF!/1000+#REF!*#REF!/1000+#REF!*#REF!/1000+#REF!*#REF!/1000+SUM(#REF!))/#REF!*1000)-#REF!)*#REF!*#REF!/1000</f>
        <v>#REF!</v>
      </c>
      <c r="GU223" s="86" t="e">
        <f>((#REF!+(#REF!*#REF!/1000+#REF!*#REF!/1000+#REF!*#REF!/1000+#REF!*#REF!/1000+SUM(#REF!))/#REF!*1000)-#REF!)*#REF!*#REF!/1000</f>
        <v>#REF!</v>
      </c>
      <c r="GV223" s="86" t="e">
        <f>((#REF!+(#REF!*#REF!/1000+#REF!*#REF!/1000+#REF!*#REF!/1000+#REF!*#REF!/1000+SUM(#REF!))/#REF!*1000)-#REF!)*#REF!*#REF!/1000</f>
        <v>#REF!</v>
      </c>
      <c r="GW223" s="86" t="e">
        <f>((#REF!+(#REF!*#REF!/1000+#REF!*#REF!/1000+#REF!*#REF!/1000+#REF!*#REF!/1000+SUM(#REF!))/#REF!*1000)-#REF!)*#REF!*#REF!/1000</f>
        <v>#REF!</v>
      </c>
      <c r="GX223" s="86" t="e">
        <f>((#REF!+(#REF!*#REF!/1000+#REF!*#REF!/1000+#REF!*#REF!/1000+#REF!*#REF!/1000+SUM(#REF!))/#REF!*1000)-#REF!)*#REF!*#REF!/1000</f>
        <v>#REF!</v>
      </c>
      <c r="GY223" s="86" t="e">
        <f>((#REF!+(#REF!*#REF!/1000+#REF!*#REF!/1000+#REF!*#REF!/1000+#REF!*#REF!/1000+SUM(#REF!))/#REF!*1000)-#REF!)*#REF!*#REF!/1000</f>
        <v>#REF!</v>
      </c>
      <c r="GZ223" s="86" t="e">
        <f>((#REF!+(#REF!*#REF!/1000+#REF!*#REF!/1000+#REF!*#REF!/1000+#REF!*#REF!/1000+SUM(#REF!))/#REF!*1000)-#REF!)*#REF!*#REF!/1000</f>
        <v>#REF!</v>
      </c>
      <c r="HA223" s="86" t="e">
        <f>((#REF!+(#REF!*#REF!/1000+#REF!*#REF!/1000+#REF!*#REF!/1000+#REF!*#REF!/1000+SUM(#REF!))/#REF!*1000)-#REF!)*#REF!*#REF!/1000</f>
        <v>#REF!</v>
      </c>
      <c r="HB223" s="86" t="e">
        <f>((#REF!+(#REF!*#REF!/1000+#REF!*#REF!/1000+#REF!*#REF!/1000+#REF!*#REF!/1000+SUM(#REF!))/#REF!*1000)-#REF!)*#REF!*#REF!/1000</f>
        <v>#REF!</v>
      </c>
      <c r="HC223" s="86" t="e">
        <f>((#REF!+(#REF!*#REF!/1000+#REF!*#REF!/1000+#REF!*#REF!/1000+#REF!*#REF!/1000+SUM(#REF!))/#REF!*1000)-#REF!)*#REF!*#REF!/1000</f>
        <v>#REF!</v>
      </c>
      <c r="HD223" s="86" t="e">
        <f>((#REF!+(#REF!*#REF!/1000+#REF!*#REF!/1000+#REF!*#REF!/1000+#REF!*#REF!/1000+SUM(#REF!))/#REF!*1000)-#REF!)*#REF!*#REF!/1000</f>
        <v>#REF!</v>
      </c>
      <c r="HE223" s="86" t="e">
        <f>((#REF!+(#REF!*#REF!/1000+#REF!*#REF!/1000+#REF!*#REF!/1000+#REF!*#REF!/1000+SUM(#REF!))/#REF!*1000)-#REF!)*#REF!*#REF!/1000</f>
        <v>#REF!</v>
      </c>
      <c r="HF223" s="86" t="e">
        <f>((#REF!+(#REF!*#REF!/1000+#REF!*#REF!/1000+#REF!*#REF!/1000+#REF!*#REF!/1000+SUM(#REF!))/#REF!*1000)-#REF!)*#REF!*#REF!/1000</f>
        <v>#REF!</v>
      </c>
      <c r="HG223" s="86" t="e">
        <f>((#REF!+(#REF!*#REF!/1000+#REF!*#REF!/1000+#REF!*#REF!/1000+#REF!*#REF!/1000+SUM(#REF!))/#REF!*1000)-#REF!)*#REF!*#REF!/1000</f>
        <v>#REF!</v>
      </c>
      <c r="HH223" s="86" t="e">
        <f>((#REF!+(#REF!*#REF!/1000+#REF!*#REF!/1000+#REF!*#REF!/1000+#REF!*#REF!/1000+SUM(#REF!))/#REF!*1000)-#REF!)*#REF!*#REF!/1000</f>
        <v>#REF!</v>
      </c>
      <c r="HI223" s="86" t="e">
        <f>((#REF!+(#REF!*#REF!/1000+#REF!*#REF!/1000+#REF!*#REF!/1000+#REF!*#REF!/1000+SUM(#REF!))/#REF!*1000)-#REF!)*#REF!*#REF!/1000</f>
        <v>#REF!</v>
      </c>
      <c r="HJ223" s="86" t="e">
        <f>((#REF!+(#REF!*#REF!/1000+#REF!*#REF!/1000+#REF!*#REF!/1000+#REF!*#REF!/1000+SUM(#REF!))/#REF!*1000)-#REF!)*#REF!*#REF!/1000</f>
        <v>#REF!</v>
      </c>
      <c r="HK223" s="86" t="e">
        <f>((#REF!+(#REF!*#REF!/1000+#REF!*#REF!/1000+#REF!*#REF!/1000+#REF!*#REF!/1000+SUM(#REF!))/#REF!*1000)-#REF!)*#REF!*#REF!/1000</f>
        <v>#REF!</v>
      </c>
      <c r="HL223" s="86" t="e">
        <f>((#REF!+(#REF!*#REF!/1000+#REF!*#REF!/1000+#REF!*#REF!/1000+#REF!*#REF!/1000+SUM(#REF!))/#REF!*1000)-#REF!)*#REF!*#REF!/1000</f>
        <v>#REF!</v>
      </c>
      <c r="HM223" s="86" t="e">
        <f>((#REF!+(#REF!*#REF!/1000+#REF!*#REF!/1000+#REF!*#REF!/1000+#REF!*#REF!/1000+SUM(#REF!))/#REF!*1000)-#REF!)*#REF!*#REF!/1000</f>
        <v>#REF!</v>
      </c>
      <c r="HN223" s="86" t="e">
        <f>((#REF!+(#REF!*#REF!/1000+#REF!*#REF!/1000+#REF!*#REF!/1000+#REF!*#REF!/1000+SUM(#REF!))/#REF!*1000)-#REF!)*#REF!*#REF!/1000</f>
        <v>#REF!</v>
      </c>
      <c r="HO223" s="86" t="e">
        <f>((#REF!+(#REF!*#REF!/1000+#REF!*#REF!/1000+#REF!*#REF!/1000+#REF!*#REF!/1000+SUM(#REF!))/#REF!*1000)-#REF!)*#REF!*#REF!/1000</f>
        <v>#REF!</v>
      </c>
      <c r="HP223" s="86" t="e">
        <f>((#REF!+(#REF!*#REF!/1000+#REF!*#REF!/1000+#REF!*#REF!/1000+#REF!*#REF!/1000+SUM(#REF!))/#REF!*1000)-#REF!)*#REF!*#REF!/1000</f>
        <v>#REF!</v>
      </c>
      <c r="HQ223" s="86" t="e">
        <f>((#REF!+(#REF!*#REF!/1000+#REF!*#REF!/1000+#REF!*#REF!/1000+#REF!*#REF!/1000+SUM(#REF!))/#REF!*1000)-#REF!)*#REF!*#REF!/1000</f>
        <v>#REF!</v>
      </c>
      <c r="HR223" s="86" t="e">
        <f>((#REF!+(#REF!*#REF!/1000+#REF!*#REF!/1000+#REF!*#REF!/1000+#REF!*#REF!/1000+SUM(#REF!))/#REF!*1000)-#REF!)*#REF!*#REF!/1000</f>
        <v>#REF!</v>
      </c>
      <c r="HS223" s="86" t="e">
        <f>((#REF!+(#REF!*#REF!/1000+#REF!*#REF!/1000+#REF!*#REF!/1000+#REF!*#REF!/1000+SUM(#REF!))/#REF!*1000)-#REF!)*#REF!*#REF!/1000</f>
        <v>#REF!</v>
      </c>
      <c r="HT223" s="86" t="e">
        <f>((#REF!+(#REF!*#REF!/1000+#REF!*#REF!/1000+#REF!*#REF!/1000+#REF!*#REF!/1000+SUM(#REF!))/#REF!*1000)-#REF!)*#REF!*#REF!/1000</f>
        <v>#REF!</v>
      </c>
      <c r="HU223" s="86" t="e">
        <f>((#REF!+(#REF!*#REF!/1000+#REF!*#REF!/1000+#REF!*#REF!/1000+#REF!*#REF!/1000+SUM(#REF!))/#REF!*1000)-#REF!)*#REF!*#REF!/1000</f>
        <v>#REF!</v>
      </c>
      <c r="HV223" s="86" t="e">
        <f>((#REF!+(#REF!*#REF!/1000+#REF!*#REF!/1000+#REF!*#REF!/1000+#REF!*#REF!/1000+SUM(#REF!))/#REF!*1000)-#REF!)*#REF!*#REF!/1000</f>
        <v>#REF!</v>
      </c>
      <c r="HW223" s="86" t="e">
        <f>((#REF!+(#REF!*#REF!/1000+#REF!*#REF!/1000+#REF!*#REF!/1000+#REF!*#REF!/1000+SUM(#REF!))/#REF!*1000)-#REF!)*#REF!*#REF!/1000</f>
        <v>#REF!</v>
      </c>
      <c r="HX223" s="86" t="e">
        <f>((#REF!+(#REF!*#REF!/1000+#REF!*#REF!/1000+#REF!*#REF!/1000+#REF!*#REF!/1000+SUM(#REF!))/#REF!*1000)-#REF!)*#REF!*#REF!/1000</f>
        <v>#REF!</v>
      </c>
      <c r="HY223" s="86" t="e">
        <f>((#REF!+(#REF!*#REF!/1000+#REF!*#REF!/1000+#REF!*#REF!/1000+#REF!*#REF!/1000+SUM(#REF!))/#REF!*1000)-#REF!)*#REF!*#REF!/1000</f>
        <v>#REF!</v>
      </c>
      <c r="HZ223" s="86" t="e">
        <f>((#REF!+(#REF!*#REF!/1000+#REF!*#REF!/1000+#REF!*#REF!/1000+#REF!*#REF!/1000+SUM(#REF!))/#REF!*1000)-#REF!)*#REF!*#REF!/1000</f>
        <v>#REF!</v>
      </c>
      <c r="IA223" s="86" t="e">
        <f>((#REF!+(#REF!*#REF!/1000+#REF!*#REF!/1000+#REF!*#REF!/1000+#REF!*#REF!/1000+SUM(#REF!))/#REF!*1000)-#REF!)*#REF!*#REF!/1000</f>
        <v>#REF!</v>
      </c>
      <c r="IB223" s="86" t="e">
        <f>((#REF!+(#REF!*#REF!/1000+#REF!*#REF!/1000+#REF!*#REF!/1000+#REF!*#REF!/1000+SUM(#REF!))/#REF!*1000)-#REF!)*#REF!*#REF!/1000</f>
        <v>#REF!</v>
      </c>
      <c r="IC223" s="86" t="e">
        <f>((#REF!+(#REF!*#REF!/1000+#REF!*#REF!/1000+#REF!*#REF!/1000+#REF!*#REF!/1000+SUM(#REF!))/#REF!*1000)-#REF!)*#REF!*#REF!/1000</f>
        <v>#REF!</v>
      </c>
      <c r="ID223" s="86" t="e">
        <f>((#REF!+(#REF!*#REF!/1000+#REF!*#REF!/1000+#REF!*#REF!/1000+#REF!*#REF!/1000+SUM(#REF!))/#REF!*1000)-#REF!)*#REF!*#REF!/1000</f>
        <v>#REF!</v>
      </c>
      <c r="IE223" s="86" t="e">
        <f>((#REF!+(#REF!*#REF!/1000+#REF!*#REF!/1000+#REF!*#REF!/1000+#REF!*#REF!/1000+SUM(#REF!))/#REF!*1000)-#REF!)*#REF!*#REF!/1000</f>
        <v>#REF!</v>
      </c>
      <c r="IF223" s="86" t="e">
        <f>((#REF!+(#REF!*#REF!/1000+#REF!*#REF!/1000+#REF!*#REF!/1000+#REF!*#REF!/1000+SUM(#REF!))/#REF!*1000)-#REF!)*#REF!*#REF!/1000</f>
        <v>#REF!</v>
      </c>
      <c r="IG223" s="86" t="e">
        <f>((#REF!+(#REF!*#REF!/1000+#REF!*#REF!/1000+#REF!*#REF!/1000+#REF!*#REF!/1000+SUM(#REF!))/#REF!*1000)-#REF!)*#REF!*#REF!/1000</f>
        <v>#REF!</v>
      </c>
      <c r="IH223" s="86" t="e">
        <f>((#REF!+(#REF!*#REF!/1000+#REF!*#REF!/1000+#REF!*#REF!/1000+#REF!*#REF!/1000+SUM(#REF!))/#REF!*1000)-#REF!)*#REF!*#REF!/1000</f>
        <v>#REF!</v>
      </c>
      <c r="II223" s="86" t="e">
        <f>((#REF!+(#REF!*#REF!/1000+#REF!*#REF!/1000+#REF!*#REF!/1000+#REF!*#REF!/1000+SUM(#REF!))/#REF!*1000)-#REF!)*#REF!*#REF!/1000</f>
        <v>#REF!</v>
      </c>
      <c r="IJ223" s="86" t="e">
        <f>((#REF!+(#REF!*#REF!/1000+#REF!*#REF!/1000+#REF!*#REF!/1000+#REF!*#REF!/1000+SUM(#REF!))/#REF!*1000)-#REF!)*#REF!*#REF!/1000</f>
        <v>#REF!</v>
      </c>
      <c r="IK223" s="86" t="e">
        <f>((#REF!+(#REF!*#REF!/1000+#REF!*#REF!/1000+#REF!*#REF!/1000+#REF!*#REF!/1000+SUM(#REF!))/#REF!*1000)-#REF!)*#REF!*#REF!/1000</f>
        <v>#REF!</v>
      </c>
      <c r="IL223" s="86" t="e">
        <f>((#REF!+(#REF!*#REF!/1000+#REF!*#REF!/1000+#REF!*#REF!/1000+#REF!*#REF!/1000+SUM(#REF!))/#REF!*1000)-#REF!)*#REF!*#REF!/1000</f>
        <v>#REF!</v>
      </c>
      <c r="IM223" s="86" t="e">
        <f>((#REF!+(#REF!*#REF!/1000+#REF!*#REF!/1000+#REF!*#REF!/1000+#REF!*#REF!/1000+SUM(#REF!))/#REF!*1000)-#REF!)*#REF!*#REF!/1000</f>
        <v>#REF!</v>
      </c>
      <c r="IN223" s="86" t="e">
        <f>((#REF!+(#REF!*#REF!/1000+#REF!*#REF!/1000+#REF!*#REF!/1000+#REF!*#REF!/1000+SUM(#REF!))/#REF!*1000)-#REF!)*#REF!*#REF!/1000</f>
        <v>#REF!</v>
      </c>
      <c r="IO223" s="86" t="e">
        <f>((#REF!+(#REF!*#REF!/1000+#REF!*#REF!/1000+#REF!*#REF!/1000+#REF!*#REF!/1000+SUM(#REF!))/#REF!*1000)-#REF!)*#REF!*#REF!/1000</f>
        <v>#REF!</v>
      </c>
      <c r="IP223" s="86" t="e">
        <f>((#REF!+(#REF!*#REF!/1000+#REF!*#REF!/1000+#REF!*#REF!/1000+#REF!*#REF!/1000+SUM(#REF!))/#REF!*1000)-#REF!)*#REF!*#REF!/1000</f>
        <v>#REF!</v>
      </c>
      <c r="IQ223" s="86" t="e">
        <f>((#REF!+(#REF!*#REF!/1000+#REF!*#REF!/1000+#REF!*#REF!/1000+#REF!*#REF!/1000+SUM(#REF!))/#REF!*1000)-#REF!)*#REF!*#REF!/1000</f>
        <v>#REF!</v>
      </c>
      <c r="IR223" s="86" t="e">
        <f>((#REF!+(#REF!*#REF!/1000+#REF!*#REF!/1000+#REF!*#REF!/1000+#REF!*#REF!/1000+SUM(#REF!))/#REF!*1000)-#REF!)*#REF!*#REF!/1000</f>
        <v>#REF!</v>
      </c>
      <c r="IS223" s="86" t="e">
        <f>((#REF!+(#REF!*#REF!/1000+#REF!*#REF!/1000+#REF!*#REF!/1000+#REF!*#REF!/1000+SUM(#REF!))/#REF!*1000)-#REF!)*#REF!*#REF!/1000</f>
        <v>#REF!</v>
      </c>
      <c r="IT223" s="86" t="e">
        <f>((#REF!+(#REF!*#REF!/1000+#REF!*#REF!/1000+#REF!*#REF!/1000+#REF!*#REF!/1000+SUM(#REF!))/#REF!*1000)-#REF!)*#REF!*#REF!/1000</f>
        <v>#REF!</v>
      </c>
      <c r="IU223" s="86" t="e">
        <f>((#REF!+(#REF!*#REF!/1000+#REF!*#REF!/1000+#REF!*#REF!/1000+#REF!*#REF!/1000+SUM(#REF!))/#REF!*1000)-#REF!)*#REF!*#REF!/1000</f>
        <v>#REF!</v>
      </c>
      <c r="IV223" s="86" t="e">
        <f>((#REF!+(#REF!*#REF!/1000+#REF!*#REF!/1000+#REF!*#REF!/1000+#REF!*#REF!/1000+SUM(#REF!))/#REF!*1000)-#REF!)*#REF!*#REF!/1000</f>
        <v>#REF!</v>
      </c>
      <c r="IW223" s="86" t="e">
        <f>((#REF!+(#REF!*#REF!/1000+#REF!*#REF!/1000+#REF!*#REF!/1000+#REF!*#REF!/1000+SUM(#REF!))/#REF!*1000)-#REF!)*#REF!*#REF!/1000</f>
        <v>#REF!</v>
      </c>
      <c r="IX223" s="86" t="e">
        <f>((#REF!+(#REF!*#REF!/1000+#REF!*#REF!/1000+#REF!*#REF!/1000+#REF!*#REF!/1000+SUM(#REF!))/#REF!*1000)-#REF!)*#REF!*#REF!/1000</f>
        <v>#REF!</v>
      </c>
      <c r="IY223" s="86" t="e">
        <f>((#REF!+(#REF!*#REF!/1000+#REF!*#REF!/1000+#REF!*#REF!/1000+#REF!*#REF!/1000+SUM(#REF!))/#REF!*1000)-#REF!)*#REF!*#REF!/1000</f>
        <v>#REF!</v>
      </c>
      <c r="IZ223" s="86" t="e">
        <f>((#REF!+(#REF!*#REF!/1000+#REF!*#REF!/1000+#REF!*#REF!/1000+#REF!*#REF!/1000+SUM(#REF!))/#REF!*1000)-#REF!)*#REF!*#REF!/1000</f>
        <v>#REF!</v>
      </c>
      <c r="JA223" s="86" t="e">
        <f>((#REF!+(#REF!*#REF!/1000+#REF!*#REF!/1000+#REF!*#REF!/1000+#REF!*#REF!/1000+SUM(#REF!))/#REF!*1000)-#REF!)*#REF!*#REF!/1000</f>
        <v>#REF!</v>
      </c>
      <c r="JB223" s="86" t="e">
        <f>((#REF!+(#REF!*#REF!/1000+#REF!*#REF!/1000+#REF!*#REF!/1000+#REF!*#REF!/1000+SUM(#REF!))/#REF!*1000)-#REF!)*#REF!*#REF!/1000</f>
        <v>#REF!</v>
      </c>
      <c r="JC223" s="86" t="e">
        <f>((#REF!+(#REF!*#REF!/1000+#REF!*#REF!/1000+#REF!*#REF!/1000+#REF!*#REF!/1000+SUM(#REF!))/#REF!*1000)-#REF!)*#REF!*#REF!/1000</f>
        <v>#REF!</v>
      </c>
      <c r="JD223" s="86" t="e">
        <f>((#REF!+(#REF!*#REF!/1000+#REF!*#REF!/1000+#REF!*#REF!/1000+#REF!*#REF!/1000+SUM(#REF!))/#REF!*1000)-#REF!)*#REF!*#REF!/1000</f>
        <v>#REF!</v>
      </c>
      <c r="JE223" s="86" t="e">
        <f>((#REF!+(#REF!*#REF!/1000+#REF!*#REF!/1000+#REF!*#REF!/1000+#REF!*#REF!/1000+SUM(#REF!))/#REF!*1000)-#REF!)*#REF!*#REF!/1000</f>
        <v>#REF!</v>
      </c>
      <c r="JF223" s="86" t="e">
        <f>((#REF!+(#REF!*#REF!/1000+#REF!*#REF!/1000+#REF!*#REF!/1000+#REF!*#REF!/1000+SUM(#REF!))/#REF!*1000)-#REF!)*#REF!*#REF!/1000</f>
        <v>#REF!</v>
      </c>
      <c r="JG223" s="86" t="e">
        <f>((#REF!+(#REF!*#REF!/1000+#REF!*#REF!/1000+#REF!*#REF!/1000+#REF!*#REF!/1000+SUM(#REF!))/#REF!*1000)-#REF!)*#REF!*#REF!/1000</f>
        <v>#REF!</v>
      </c>
      <c r="JH223" s="86" t="e">
        <f>((#REF!+(#REF!*#REF!/1000+#REF!*#REF!/1000+#REF!*#REF!/1000+#REF!*#REF!/1000+SUM(#REF!))/#REF!*1000)-#REF!)*#REF!*#REF!/1000</f>
        <v>#REF!</v>
      </c>
      <c r="JI223" s="86" t="e">
        <f>((#REF!+(#REF!*#REF!/1000+#REF!*#REF!/1000+#REF!*#REF!/1000+#REF!*#REF!/1000+SUM(#REF!))/#REF!*1000)-#REF!)*#REF!*#REF!/1000</f>
        <v>#REF!</v>
      </c>
      <c r="JJ223" s="86" t="e">
        <f>((#REF!+(#REF!*#REF!/1000+#REF!*#REF!/1000+#REF!*#REF!/1000+#REF!*#REF!/1000+SUM(#REF!))/#REF!*1000)-#REF!)*#REF!*#REF!/1000</f>
        <v>#REF!</v>
      </c>
      <c r="JK223" s="86" t="e">
        <f>((#REF!+(#REF!*#REF!/1000+#REF!*#REF!/1000+#REF!*#REF!/1000+#REF!*#REF!/1000+SUM(#REF!))/#REF!*1000)-#REF!)*#REF!*#REF!/1000</f>
        <v>#REF!</v>
      </c>
      <c r="JL223" s="86" t="e">
        <f>((#REF!+(#REF!*#REF!/1000+#REF!*#REF!/1000+#REF!*#REF!/1000+#REF!*#REF!/1000+SUM(#REF!))/#REF!*1000)-#REF!)*#REF!*#REF!/1000</f>
        <v>#REF!</v>
      </c>
      <c r="JM223" s="86" t="e">
        <f>((#REF!+(#REF!*#REF!/1000+#REF!*#REF!/1000+#REF!*#REF!/1000+#REF!*#REF!/1000+SUM(#REF!))/#REF!*1000)-#REF!)*#REF!*#REF!/1000</f>
        <v>#REF!</v>
      </c>
      <c r="JN223" s="86" t="e">
        <f>((#REF!+(#REF!*#REF!/1000+#REF!*#REF!/1000+#REF!*#REF!/1000+#REF!*#REF!/1000+SUM(#REF!))/#REF!*1000)-#REF!)*#REF!*#REF!/1000</f>
        <v>#REF!</v>
      </c>
      <c r="JO223" s="86" t="e">
        <f>((#REF!+(#REF!*#REF!/1000+#REF!*#REF!/1000+#REF!*#REF!/1000+#REF!*#REF!/1000+SUM(#REF!))/#REF!*1000)-#REF!)*#REF!*#REF!/1000</f>
        <v>#REF!</v>
      </c>
      <c r="JP223" s="86" t="e">
        <f>((#REF!+(#REF!*#REF!/1000+#REF!*#REF!/1000+#REF!*#REF!/1000+#REF!*#REF!/1000+SUM(#REF!))/#REF!*1000)-#REF!)*#REF!*#REF!/1000</f>
        <v>#REF!</v>
      </c>
      <c r="JQ223" s="86" t="e">
        <f>((#REF!+(#REF!*#REF!/1000+#REF!*#REF!/1000+#REF!*#REF!/1000+#REF!*#REF!/1000+SUM(#REF!))/#REF!*1000)-#REF!)*#REF!*#REF!/1000</f>
        <v>#REF!</v>
      </c>
      <c r="JR223" s="86" t="e">
        <f>((#REF!+(#REF!*#REF!/1000+#REF!*#REF!/1000+#REF!*#REF!/1000+#REF!*#REF!/1000+SUM(#REF!))/#REF!*1000)-#REF!)*#REF!*#REF!/1000</f>
        <v>#REF!</v>
      </c>
      <c r="JS223" s="86" t="e">
        <f>((#REF!+(#REF!*#REF!/1000+#REF!*#REF!/1000+#REF!*#REF!/1000+#REF!*#REF!/1000+SUM(#REF!))/#REF!*1000)-#REF!)*#REF!*#REF!/1000</f>
        <v>#REF!</v>
      </c>
      <c r="JT223" s="86" t="e">
        <f>((#REF!+(#REF!*#REF!/1000+#REF!*#REF!/1000+#REF!*#REF!/1000+#REF!*#REF!/1000+SUM(#REF!))/#REF!*1000)-#REF!)*#REF!*#REF!/1000</f>
        <v>#REF!</v>
      </c>
      <c r="JU223" s="86" t="e">
        <f>((#REF!+(#REF!*#REF!/1000+#REF!*#REF!/1000+#REF!*#REF!/1000+#REF!*#REF!/1000+SUM(#REF!))/#REF!*1000)-#REF!)*#REF!*#REF!/1000</f>
        <v>#REF!</v>
      </c>
      <c r="JV223" s="86" t="e">
        <f>((#REF!+(#REF!*#REF!/1000+#REF!*#REF!/1000+#REF!*#REF!/1000+#REF!*#REF!/1000+SUM(#REF!))/#REF!*1000)-#REF!)*#REF!*#REF!/1000</f>
        <v>#REF!</v>
      </c>
      <c r="JW223" s="86" t="e">
        <f>((#REF!+(#REF!*#REF!/1000+#REF!*#REF!/1000+#REF!*#REF!/1000+#REF!*#REF!/1000+SUM(#REF!))/#REF!*1000)-#REF!)*#REF!*#REF!/1000</f>
        <v>#REF!</v>
      </c>
      <c r="JX223" s="86" t="e">
        <f>((#REF!+(#REF!*#REF!/1000+#REF!*#REF!/1000+#REF!*#REF!/1000+#REF!*#REF!/1000+SUM(#REF!))/#REF!*1000)-#REF!)*#REF!*#REF!/1000</f>
        <v>#REF!</v>
      </c>
      <c r="JY223" s="86" t="e">
        <f>((#REF!+(#REF!*#REF!/1000+#REF!*#REF!/1000+#REF!*#REF!/1000+#REF!*#REF!/1000+SUM(#REF!))/#REF!*1000)-#REF!)*#REF!*#REF!/1000</f>
        <v>#REF!</v>
      </c>
      <c r="JZ223" s="86" t="e">
        <f>((#REF!+(#REF!*#REF!/1000+#REF!*#REF!/1000+#REF!*#REF!/1000+#REF!*#REF!/1000+SUM(#REF!))/#REF!*1000)-#REF!)*#REF!*#REF!/1000</f>
        <v>#REF!</v>
      </c>
      <c r="KA223" s="86" t="e">
        <f>((#REF!+(#REF!*#REF!/1000+#REF!*#REF!/1000+#REF!*#REF!/1000+#REF!*#REF!/1000+SUM(#REF!))/#REF!*1000)-#REF!)*#REF!*#REF!/1000</f>
        <v>#REF!</v>
      </c>
      <c r="KB223" s="86" t="e">
        <f>((#REF!+(#REF!*#REF!/1000+#REF!*#REF!/1000+#REF!*#REF!/1000+#REF!*#REF!/1000+SUM(#REF!))/#REF!*1000)-#REF!)*#REF!*#REF!/1000</f>
        <v>#REF!</v>
      </c>
      <c r="KC223" s="86" t="e">
        <f>((#REF!+(#REF!*#REF!/1000+#REF!*#REF!/1000+#REF!*#REF!/1000+#REF!*#REF!/1000+SUM(#REF!))/#REF!*1000)-#REF!)*#REF!*#REF!/1000</f>
        <v>#REF!</v>
      </c>
      <c r="KD223" s="86" t="e">
        <f>((#REF!+(#REF!*#REF!/1000+#REF!*#REF!/1000+#REF!*#REF!/1000+#REF!*#REF!/1000+SUM(#REF!))/#REF!*1000)-#REF!)*#REF!*#REF!/1000</f>
        <v>#REF!</v>
      </c>
      <c r="KE223" s="86" t="e">
        <f>((#REF!+(#REF!*#REF!/1000+#REF!*#REF!/1000+#REF!*#REF!/1000+#REF!*#REF!/1000+SUM(#REF!))/#REF!*1000)-#REF!)*#REF!*#REF!/1000</f>
        <v>#REF!</v>
      </c>
      <c r="KF223" s="86" t="e">
        <f>((#REF!+(#REF!*#REF!/1000+#REF!*#REF!/1000+#REF!*#REF!/1000+#REF!*#REF!/1000+SUM(#REF!))/#REF!*1000)-#REF!)*#REF!*#REF!/1000</f>
        <v>#REF!</v>
      </c>
      <c r="KG223" s="86" t="e">
        <f>((#REF!+(#REF!*#REF!/1000+#REF!*#REF!/1000+#REF!*#REF!/1000+#REF!*#REF!/1000+SUM(#REF!))/#REF!*1000)-#REF!)*#REF!*#REF!/1000</f>
        <v>#REF!</v>
      </c>
      <c r="KH223" s="86" t="e">
        <f>((#REF!+(#REF!*#REF!/1000+#REF!*#REF!/1000+#REF!*#REF!/1000+#REF!*#REF!/1000+SUM(#REF!))/#REF!*1000)-#REF!)*#REF!*#REF!/1000</f>
        <v>#REF!</v>
      </c>
      <c r="KI223" s="86" t="e">
        <f>((#REF!+(#REF!*#REF!/1000+#REF!*#REF!/1000+#REF!*#REF!/1000+#REF!*#REF!/1000+SUM(#REF!))/#REF!*1000)-#REF!)*#REF!*#REF!/1000</f>
        <v>#REF!</v>
      </c>
      <c r="KJ223" s="86" t="e">
        <f>((#REF!+(#REF!*#REF!/1000+#REF!*#REF!/1000+#REF!*#REF!/1000+#REF!*#REF!/1000+SUM(#REF!))/#REF!*1000)-#REF!)*#REF!*#REF!/1000</f>
        <v>#REF!</v>
      </c>
      <c r="KK223" s="86" t="e">
        <f>((#REF!+(#REF!*#REF!/1000+#REF!*#REF!/1000+#REF!*#REF!/1000+#REF!*#REF!/1000+SUM(#REF!))/#REF!*1000)-#REF!)*#REF!*#REF!/1000</f>
        <v>#REF!</v>
      </c>
      <c r="KL223" s="86" t="e">
        <f>((#REF!+(#REF!*#REF!/1000+#REF!*#REF!/1000+#REF!*#REF!/1000+#REF!*#REF!/1000+SUM(#REF!))/#REF!*1000)-#REF!)*#REF!*#REF!/1000</f>
        <v>#REF!</v>
      </c>
      <c r="KM223" s="86" t="e">
        <f>((#REF!+(#REF!*#REF!/1000+#REF!*#REF!/1000+#REF!*#REF!/1000+#REF!*#REF!/1000+SUM(#REF!))/#REF!*1000)-#REF!)*#REF!*#REF!/1000</f>
        <v>#REF!</v>
      </c>
      <c r="KN223" s="86" t="e">
        <f>((#REF!+(#REF!*#REF!/1000+#REF!*#REF!/1000+#REF!*#REF!/1000+#REF!*#REF!/1000+SUM(#REF!))/#REF!*1000)-#REF!)*#REF!*#REF!/1000</f>
        <v>#REF!</v>
      </c>
      <c r="KO223" s="86" t="e">
        <f>((#REF!+(#REF!*#REF!/1000+#REF!*#REF!/1000+#REF!*#REF!/1000+#REF!*#REF!/1000+SUM(#REF!))/#REF!*1000)-#REF!)*#REF!*#REF!/1000</f>
        <v>#REF!</v>
      </c>
      <c r="KP223" s="86" t="e">
        <f>((#REF!+(#REF!*#REF!/1000+#REF!*#REF!/1000+#REF!*#REF!/1000+#REF!*#REF!/1000+SUM(#REF!))/#REF!*1000)-#REF!)*#REF!*#REF!/1000</f>
        <v>#REF!</v>
      </c>
      <c r="KQ223" s="86" t="e">
        <f>((#REF!+(#REF!*#REF!/1000+#REF!*#REF!/1000+#REF!*#REF!/1000+#REF!*#REF!/1000+SUM(#REF!))/#REF!*1000)-#REF!)*#REF!*#REF!/1000</f>
        <v>#REF!</v>
      </c>
      <c r="KR223" s="86" t="e">
        <f>((#REF!+(#REF!*#REF!/1000+#REF!*#REF!/1000+#REF!*#REF!/1000+#REF!*#REF!/1000+SUM(#REF!))/#REF!*1000)-#REF!)*#REF!*#REF!/1000</f>
        <v>#REF!</v>
      </c>
      <c r="KS223" s="86" t="e">
        <f>((#REF!+(#REF!*#REF!/1000+#REF!*#REF!/1000+#REF!*#REF!/1000+#REF!*#REF!/1000+SUM(#REF!))/#REF!*1000)-#REF!)*#REF!*#REF!/1000</f>
        <v>#REF!</v>
      </c>
      <c r="KT223" s="86" t="e">
        <f>((#REF!+(#REF!*#REF!/1000+#REF!*#REF!/1000+#REF!*#REF!/1000+#REF!*#REF!/1000+SUM(#REF!))/#REF!*1000)-#REF!)*#REF!*#REF!/1000</f>
        <v>#REF!</v>
      </c>
      <c r="KU223" s="86" t="e">
        <f>((#REF!+(#REF!*#REF!/1000+#REF!*#REF!/1000+#REF!*#REF!/1000+#REF!*#REF!/1000+SUM(#REF!))/#REF!*1000)-#REF!)*#REF!*#REF!/1000</f>
        <v>#REF!</v>
      </c>
      <c r="KV223" s="86" t="e">
        <f>((#REF!+(#REF!*#REF!/1000+#REF!*#REF!/1000+#REF!*#REF!/1000+#REF!*#REF!/1000+SUM(#REF!))/#REF!*1000)-#REF!)*#REF!*#REF!/1000</f>
        <v>#REF!</v>
      </c>
      <c r="KW223" s="86" t="e">
        <f>((#REF!+(#REF!*#REF!/1000+#REF!*#REF!/1000+#REF!*#REF!/1000+#REF!*#REF!/1000+SUM(#REF!))/#REF!*1000)-#REF!)*#REF!*#REF!/1000</f>
        <v>#REF!</v>
      </c>
      <c r="KX223" s="86" t="e">
        <f>((#REF!+(#REF!*#REF!/1000+#REF!*#REF!/1000+#REF!*#REF!/1000+#REF!*#REF!/1000+SUM(#REF!))/#REF!*1000)-#REF!)*#REF!*#REF!/1000</f>
        <v>#REF!</v>
      </c>
      <c r="KY223" s="86" t="e">
        <f>((#REF!+(#REF!*#REF!/1000+#REF!*#REF!/1000+#REF!*#REF!/1000+#REF!*#REF!/1000+SUM(#REF!))/#REF!*1000)-#REF!)*#REF!*#REF!/1000</f>
        <v>#REF!</v>
      </c>
      <c r="KZ223" s="86" t="e">
        <f>((#REF!+(#REF!*#REF!/1000+#REF!*#REF!/1000+#REF!*#REF!/1000+#REF!*#REF!/1000+SUM(#REF!))/#REF!*1000)-#REF!)*#REF!*#REF!/1000</f>
        <v>#REF!</v>
      </c>
      <c r="LA223" s="86" t="e">
        <f>((#REF!+(#REF!*#REF!/1000+#REF!*#REF!/1000+#REF!*#REF!/1000+#REF!*#REF!/1000+SUM(#REF!))/#REF!*1000)-#REF!)*#REF!*#REF!/1000</f>
        <v>#REF!</v>
      </c>
      <c r="LB223" s="86" t="e">
        <f>((#REF!+(#REF!*#REF!/1000+#REF!*#REF!/1000+#REF!*#REF!/1000+#REF!*#REF!/1000+SUM(#REF!))/#REF!*1000)-#REF!)*#REF!*#REF!/1000</f>
        <v>#REF!</v>
      </c>
      <c r="LC223" s="86" t="e">
        <f>((#REF!+(#REF!*#REF!/1000+#REF!*#REF!/1000+#REF!*#REF!/1000+#REF!*#REF!/1000+SUM(#REF!))/#REF!*1000)-#REF!)*#REF!*#REF!/1000</f>
        <v>#REF!</v>
      </c>
      <c r="LD223" s="86" t="e">
        <f>((#REF!+(#REF!*#REF!/1000+#REF!*#REF!/1000+#REF!*#REF!/1000+#REF!*#REF!/1000+SUM(#REF!))/#REF!*1000)-#REF!)*#REF!*#REF!/1000</f>
        <v>#REF!</v>
      </c>
      <c r="LE223" s="86" t="e">
        <f>((#REF!+(#REF!*#REF!/1000+#REF!*#REF!/1000+#REF!*#REF!/1000+#REF!*#REF!/1000+SUM(#REF!))/#REF!*1000)-#REF!)*#REF!*#REF!/1000</f>
        <v>#REF!</v>
      </c>
      <c r="LF223" s="86" t="e">
        <f>((#REF!+(#REF!*#REF!/1000+#REF!*#REF!/1000+#REF!*#REF!/1000+#REF!*#REF!/1000+SUM(#REF!))/#REF!*1000)-#REF!)*#REF!*#REF!/1000</f>
        <v>#REF!</v>
      </c>
      <c r="LG223" s="86" t="e">
        <f>((#REF!+(#REF!*#REF!/1000+#REF!*#REF!/1000+#REF!*#REF!/1000+#REF!*#REF!/1000+SUM(#REF!))/#REF!*1000)-#REF!)*#REF!*#REF!/1000</f>
        <v>#REF!</v>
      </c>
      <c r="LH223" s="86" t="e">
        <f>((#REF!+(#REF!*#REF!/1000+#REF!*#REF!/1000+#REF!*#REF!/1000+#REF!*#REF!/1000+SUM(#REF!))/#REF!*1000)-#REF!)*#REF!*#REF!/1000</f>
        <v>#REF!</v>
      </c>
      <c r="LI223" s="86" t="e">
        <f>((#REF!+(#REF!*#REF!/1000+#REF!*#REF!/1000+#REF!*#REF!/1000+#REF!*#REF!/1000+SUM(#REF!))/#REF!*1000)-#REF!)*#REF!*#REF!/1000</f>
        <v>#REF!</v>
      </c>
      <c r="LJ223" s="86" t="e">
        <f>((#REF!+(#REF!*#REF!/1000+#REF!*#REF!/1000+#REF!*#REF!/1000+#REF!*#REF!/1000+SUM(#REF!))/#REF!*1000)-#REF!)*#REF!*#REF!/1000</f>
        <v>#REF!</v>
      </c>
      <c r="LK223" s="86" t="e">
        <f>((#REF!+(#REF!*#REF!/1000+#REF!*#REF!/1000+#REF!*#REF!/1000+#REF!*#REF!/1000+SUM(#REF!))/#REF!*1000)-#REF!)*#REF!*#REF!/1000</f>
        <v>#REF!</v>
      </c>
      <c r="LL223" s="86" t="e">
        <f>((#REF!+(#REF!*#REF!/1000+#REF!*#REF!/1000+#REF!*#REF!/1000+#REF!*#REF!/1000+SUM(#REF!))/#REF!*1000)-#REF!)*#REF!*#REF!/1000</f>
        <v>#REF!</v>
      </c>
      <c r="LM223" s="86" t="e">
        <f>((#REF!+(#REF!*#REF!/1000+#REF!*#REF!/1000+#REF!*#REF!/1000+#REF!*#REF!/1000+SUM(#REF!))/#REF!*1000)-#REF!)*#REF!*#REF!/1000</f>
        <v>#REF!</v>
      </c>
      <c r="LN223" s="86" t="e">
        <f>((#REF!+(#REF!*#REF!/1000+#REF!*#REF!/1000+#REF!*#REF!/1000+#REF!*#REF!/1000+SUM(#REF!))/#REF!*1000)-#REF!)*#REF!*#REF!/1000</f>
        <v>#REF!</v>
      </c>
      <c r="LO223" s="86" t="e">
        <f>((#REF!+(#REF!*#REF!/1000+#REF!*#REF!/1000+#REF!*#REF!/1000+#REF!*#REF!/1000+SUM(#REF!))/#REF!*1000)-#REF!)*#REF!*#REF!/1000</f>
        <v>#REF!</v>
      </c>
      <c r="LP223" s="86" t="e">
        <f>((#REF!+(#REF!*#REF!/1000+#REF!*#REF!/1000+#REF!*#REF!/1000+#REF!*#REF!/1000+SUM(#REF!))/#REF!*1000)-#REF!)*#REF!*#REF!/1000</f>
        <v>#REF!</v>
      </c>
      <c r="LQ223" s="86" t="e">
        <f>((#REF!+(#REF!*#REF!/1000+#REF!*#REF!/1000+#REF!*#REF!/1000+#REF!*#REF!/1000+SUM(#REF!))/#REF!*1000)-#REF!)*#REF!*#REF!/1000</f>
        <v>#REF!</v>
      </c>
      <c r="LR223" s="86" t="e">
        <f>((#REF!+(#REF!*#REF!/1000+#REF!*#REF!/1000+#REF!*#REF!/1000+#REF!*#REF!/1000+SUM(#REF!))/#REF!*1000)-#REF!)*#REF!*#REF!/1000</f>
        <v>#REF!</v>
      </c>
      <c r="LS223" s="86" t="e">
        <f>((#REF!+(#REF!*#REF!/1000+#REF!*#REF!/1000+#REF!*#REF!/1000+#REF!*#REF!/1000+SUM(#REF!))/#REF!*1000)-#REF!)*#REF!*#REF!/1000</f>
        <v>#REF!</v>
      </c>
      <c r="LT223" s="86" t="e">
        <f>((#REF!+(#REF!*#REF!/1000+#REF!*#REF!/1000+#REF!*#REF!/1000+#REF!*#REF!/1000+SUM(#REF!))/#REF!*1000)-#REF!)*#REF!*#REF!/1000</f>
        <v>#REF!</v>
      </c>
      <c r="LU223" s="86" t="e">
        <f>((#REF!+(#REF!*#REF!/1000+#REF!*#REF!/1000+#REF!*#REF!/1000+#REF!*#REF!/1000+SUM(#REF!))/#REF!*1000)-#REF!)*#REF!*#REF!/1000</f>
        <v>#REF!</v>
      </c>
      <c r="LV223" s="86" t="e">
        <f>((#REF!+(#REF!*#REF!/1000+#REF!*#REF!/1000+#REF!*#REF!/1000+#REF!*#REF!/1000+SUM(#REF!))/#REF!*1000)-#REF!)*#REF!*#REF!/1000</f>
        <v>#REF!</v>
      </c>
      <c r="LW223" s="86" t="e">
        <f>((#REF!+(#REF!*#REF!/1000+#REF!*#REF!/1000+#REF!*#REF!/1000+#REF!*#REF!/1000+SUM(#REF!))/#REF!*1000)-#REF!)*#REF!*#REF!/1000</f>
        <v>#REF!</v>
      </c>
      <c r="LX223" s="86" t="e">
        <f>((#REF!+(#REF!*#REF!/1000+#REF!*#REF!/1000+#REF!*#REF!/1000+#REF!*#REF!/1000+SUM(#REF!))/#REF!*1000)-#REF!)*#REF!*#REF!/1000</f>
        <v>#REF!</v>
      </c>
      <c r="LY223" s="86" t="e">
        <f>((#REF!+(#REF!*#REF!/1000+#REF!*#REF!/1000+#REF!*#REF!/1000+#REF!*#REF!/1000+SUM(#REF!))/#REF!*1000)-#REF!)*#REF!*#REF!/1000</f>
        <v>#REF!</v>
      </c>
      <c r="LZ223" s="86" t="e">
        <f>((#REF!+(#REF!*#REF!/1000+#REF!*#REF!/1000+#REF!*#REF!/1000+#REF!*#REF!/1000+SUM(#REF!))/#REF!*1000)-#REF!)*#REF!*#REF!/1000</f>
        <v>#REF!</v>
      </c>
      <c r="MA223" s="86" t="e">
        <f>((#REF!+(#REF!*#REF!/1000+#REF!*#REF!/1000+#REF!*#REF!/1000+#REF!*#REF!/1000+SUM(#REF!))/#REF!*1000)-#REF!)*#REF!*#REF!/1000</f>
        <v>#REF!</v>
      </c>
      <c r="MB223" s="86" t="e">
        <f>((#REF!+(#REF!*#REF!/1000+#REF!*#REF!/1000+#REF!*#REF!/1000+#REF!*#REF!/1000+SUM(#REF!))/#REF!*1000)-#REF!)*#REF!*#REF!/1000</f>
        <v>#REF!</v>
      </c>
      <c r="MC223" s="86" t="e">
        <f>((#REF!+(#REF!*#REF!/1000+#REF!*#REF!/1000+#REF!*#REF!/1000+#REF!*#REF!/1000+SUM(#REF!))/#REF!*1000)-#REF!)*#REF!*#REF!/1000</f>
        <v>#REF!</v>
      </c>
      <c r="MD223" s="86" t="e">
        <f>((#REF!+(#REF!*#REF!/1000+#REF!*#REF!/1000+#REF!*#REF!/1000+#REF!*#REF!/1000+SUM(#REF!))/#REF!*1000)-#REF!)*#REF!*#REF!/1000</f>
        <v>#REF!</v>
      </c>
      <c r="ME223" s="86" t="e">
        <f>((#REF!+(#REF!*#REF!/1000+#REF!*#REF!/1000+#REF!*#REF!/1000+#REF!*#REF!/1000+SUM(#REF!))/#REF!*1000)-#REF!)*#REF!*#REF!/1000</f>
        <v>#REF!</v>
      </c>
      <c r="MF223" s="86" t="e">
        <f>((#REF!+(#REF!*#REF!/1000+#REF!*#REF!/1000+#REF!*#REF!/1000+#REF!*#REF!/1000+SUM(#REF!))/#REF!*1000)-#REF!)*#REF!*#REF!/1000</f>
        <v>#REF!</v>
      </c>
      <c r="MG223" s="86" t="e">
        <f>((#REF!+(#REF!*#REF!/1000+#REF!*#REF!/1000+#REF!*#REF!/1000+#REF!*#REF!/1000+SUM(#REF!))/#REF!*1000)-#REF!)*#REF!*#REF!/1000</f>
        <v>#REF!</v>
      </c>
      <c r="MH223" s="86" t="e">
        <f>((#REF!+(#REF!*#REF!/1000+#REF!*#REF!/1000+#REF!*#REF!/1000+#REF!*#REF!/1000+SUM(#REF!))/#REF!*1000)-#REF!)*#REF!*#REF!/1000</f>
        <v>#REF!</v>
      </c>
      <c r="MI223" s="86" t="e">
        <f>((#REF!+(#REF!*#REF!/1000+#REF!*#REF!/1000+#REF!*#REF!/1000+#REF!*#REF!/1000+SUM(#REF!))/#REF!*1000)-#REF!)*#REF!*#REF!/1000</f>
        <v>#REF!</v>
      </c>
      <c r="MJ223" s="86" t="e">
        <f>((#REF!+(#REF!*#REF!/1000+#REF!*#REF!/1000+#REF!*#REF!/1000+#REF!*#REF!/1000+SUM(#REF!))/#REF!*1000)-#REF!)*#REF!*#REF!/1000</f>
        <v>#REF!</v>
      </c>
      <c r="MK223" s="86" t="e">
        <f>((#REF!+(#REF!*#REF!/1000+#REF!*#REF!/1000+#REF!*#REF!/1000+#REF!*#REF!/1000+SUM(#REF!))/#REF!*1000)-#REF!)*#REF!*#REF!/1000</f>
        <v>#REF!</v>
      </c>
      <c r="ML223" s="86" t="e">
        <f>((#REF!+(#REF!*#REF!/1000+#REF!*#REF!/1000+#REF!*#REF!/1000+#REF!*#REF!/1000+SUM(#REF!))/#REF!*1000)-#REF!)*#REF!*#REF!/1000</f>
        <v>#REF!</v>
      </c>
      <c r="MM223" s="86" t="e">
        <f>((#REF!+(#REF!*#REF!/1000+#REF!*#REF!/1000+#REF!*#REF!/1000+#REF!*#REF!/1000+SUM(#REF!))/#REF!*1000)-#REF!)*#REF!*#REF!/1000</f>
        <v>#REF!</v>
      </c>
      <c r="MN223" s="86" t="e">
        <f>((#REF!+(#REF!*#REF!/1000+#REF!*#REF!/1000+#REF!*#REF!/1000+#REF!*#REF!/1000+SUM(#REF!))/#REF!*1000)-#REF!)*#REF!*#REF!/1000</f>
        <v>#REF!</v>
      </c>
      <c r="MO223" s="86" t="e">
        <f>((#REF!+(#REF!*#REF!/1000+#REF!*#REF!/1000+#REF!*#REF!/1000+#REF!*#REF!/1000+SUM(#REF!))/#REF!*1000)-#REF!)*#REF!*#REF!/1000</f>
        <v>#REF!</v>
      </c>
      <c r="MP223" s="86" t="e">
        <f>((#REF!+(#REF!*#REF!/1000+#REF!*#REF!/1000+#REF!*#REF!/1000+#REF!*#REF!/1000+SUM(#REF!))/#REF!*1000)-#REF!)*#REF!*#REF!/1000</f>
        <v>#REF!</v>
      </c>
      <c r="MQ223" s="86" t="e">
        <f>((#REF!+(#REF!*#REF!/1000+#REF!*#REF!/1000+#REF!*#REF!/1000+#REF!*#REF!/1000+SUM(#REF!))/#REF!*1000)-#REF!)*#REF!*#REF!/1000</f>
        <v>#REF!</v>
      </c>
      <c r="MR223" s="86" t="e">
        <f>((#REF!+(#REF!*#REF!/1000+#REF!*#REF!/1000+#REF!*#REF!/1000+#REF!*#REF!/1000+SUM(#REF!))/#REF!*1000)-#REF!)*#REF!*#REF!/1000</f>
        <v>#REF!</v>
      </c>
      <c r="MS223" s="86" t="e">
        <f>((#REF!+(#REF!*#REF!/1000+#REF!*#REF!/1000+#REF!*#REF!/1000+#REF!*#REF!/1000+SUM(#REF!))/#REF!*1000)-#REF!)*#REF!*#REF!/1000</f>
        <v>#REF!</v>
      </c>
      <c r="MT223" s="86" t="e">
        <f>((#REF!+(#REF!*#REF!/1000+#REF!*#REF!/1000+#REF!*#REF!/1000+#REF!*#REF!/1000+SUM(#REF!))/#REF!*1000)-#REF!)*#REF!*#REF!/1000</f>
        <v>#REF!</v>
      </c>
      <c r="MU223" s="86" t="e">
        <f>((#REF!+(#REF!*#REF!/1000+#REF!*#REF!/1000+#REF!*#REF!/1000+#REF!*#REF!/1000+SUM(#REF!))/#REF!*1000)-#REF!)*#REF!*#REF!/1000</f>
        <v>#REF!</v>
      </c>
      <c r="MV223" s="86" t="e">
        <f>((#REF!+(#REF!*#REF!/1000+#REF!*#REF!/1000+#REF!*#REF!/1000+#REF!*#REF!/1000+SUM(#REF!))/#REF!*1000)-#REF!)*#REF!*#REF!/1000</f>
        <v>#REF!</v>
      </c>
      <c r="MW223" s="86" t="e">
        <f>((#REF!+(#REF!*#REF!/1000+#REF!*#REF!/1000+#REF!*#REF!/1000+#REF!*#REF!/1000+SUM(#REF!))/#REF!*1000)-#REF!)*#REF!*#REF!/1000</f>
        <v>#REF!</v>
      </c>
      <c r="MX223" s="86" t="e">
        <f>((#REF!+(#REF!*#REF!/1000+#REF!*#REF!/1000+#REF!*#REF!/1000+#REF!*#REF!/1000+SUM(#REF!))/#REF!*1000)-#REF!)*#REF!*#REF!/1000</f>
        <v>#REF!</v>
      </c>
      <c r="MY223" s="86" t="e">
        <f>((#REF!+(#REF!*#REF!/1000+#REF!*#REF!/1000+#REF!*#REF!/1000+#REF!*#REF!/1000+SUM(#REF!))/#REF!*1000)-#REF!)*#REF!*#REF!/1000</f>
        <v>#REF!</v>
      </c>
      <c r="MZ223" s="86" t="e">
        <f>((#REF!+(#REF!*#REF!/1000+#REF!*#REF!/1000+#REF!*#REF!/1000+#REF!*#REF!/1000+SUM(#REF!))/#REF!*1000)-#REF!)*#REF!*#REF!/1000</f>
        <v>#REF!</v>
      </c>
      <c r="NA223" s="86" t="e">
        <f>((#REF!+(#REF!*#REF!/1000+#REF!*#REF!/1000+#REF!*#REF!/1000+#REF!*#REF!/1000+SUM(#REF!))/#REF!*1000)-#REF!)*#REF!*#REF!/1000</f>
        <v>#REF!</v>
      </c>
      <c r="NB223" s="86" t="e">
        <f>((#REF!+(#REF!*#REF!/1000+#REF!*#REF!/1000+#REF!*#REF!/1000+#REF!*#REF!/1000+SUM(#REF!))/#REF!*1000)-#REF!)*#REF!*#REF!/1000</f>
        <v>#REF!</v>
      </c>
      <c r="NC223" s="86" t="e">
        <f>((#REF!+(#REF!*#REF!/1000+#REF!*#REF!/1000+#REF!*#REF!/1000+#REF!*#REF!/1000+SUM(#REF!))/#REF!*1000)-#REF!)*#REF!*#REF!/1000</f>
        <v>#REF!</v>
      </c>
      <c r="ND223" s="86" t="e">
        <f>((#REF!+(#REF!*#REF!/1000+#REF!*#REF!/1000+#REF!*#REF!/1000+#REF!*#REF!/1000+SUM(#REF!))/#REF!*1000)-#REF!)*#REF!*#REF!/1000</f>
        <v>#REF!</v>
      </c>
      <c r="NE223" s="86" t="e">
        <f>((#REF!+(#REF!*#REF!/1000+#REF!*#REF!/1000+#REF!*#REF!/1000+#REF!*#REF!/1000+SUM(#REF!))/#REF!*1000)-#REF!)*#REF!*#REF!/1000</f>
        <v>#REF!</v>
      </c>
      <c r="NF223" s="86" t="e">
        <f>((#REF!+(#REF!*#REF!/1000+#REF!*#REF!/1000+#REF!*#REF!/1000+#REF!*#REF!/1000+SUM(#REF!))/#REF!*1000)-#REF!)*#REF!*#REF!/1000</f>
        <v>#REF!</v>
      </c>
      <c r="NG223" s="86" t="e">
        <f>((#REF!+(#REF!*#REF!/1000+#REF!*#REF!/1000+#REF!*#REF!/1000+#REF!*#REF!/1000+SUM(#REF!))/#REF!*1000)-#REF!)*#REF!*#REF!/1000</f>
        <v>#REF!</v>
      </c>
      <c r="NH223" s="86" t="e">
        <f>((#REF!+(#REF!*#REF!/1000+#REF!*#REF!/1000+#REF!*#REF!/1000+#REF!*#REF!/1000+SUM(#REF!))/#REF!*1000)-#REF!)*#REF!*#REF!/1000</f>
        <v>#REF!</v>
      </c>
      <c r="NI223" s="86" t="e">
        <f>((#REF!+(#REF!*#REF!/1000+#REF!*#REF!/1000+#REF!*#REF!/1000+#REF!*#REF!/1000+SUM(#REF!))/#REF!*1000)-#REF!)*#REF!*#REF!/1000</f>
        <v>#REF!</v>
      </c>
      <c r="NJ223" s="86" t="e">
        <f>((#REF!+(#REF!*#REF!/1000+#REF!*#REF!/1000+#REF!*#REF!/1000+#REF!*#REF!/1000+SUM(#REF!))/#REF!*1000)-#REF!)*#REF!*#REF!/1000</f>
        <v>#REF!</v>
      </c>
      <c r="NK223" s="86" t="e">
        <f>((#REF!+(#REF!*#REF!/1000+#REF!*#REF!/1000+#REF!*#REF!/1000+#REF!*#REF!/1000+SUM(#REF!))/#REF!*1000)-#REF!)*#REF!*#REF!/1000</f>
        <v>#REF!</v>
      </c>
      <c r="NL223" s="86" t="e">
        <f>((#REF!+(#REF!*#REF!/1000+#REF!*#REF!/1000+#REF!*#REF!/1000+#REF!*#REF!/1000+SUM(#REF!))/#REF!*1000)-#REF!)*#REF!*#REF!/1000</f>
        <v>#REF!</v>
      </c>
      <c r="NM223" s="86" t="e">
        <f>((#REF!+(#REF!*#REF!/1000+#REF!*#REF!/1000+#REF!*#REF!/1000+#REF!*#REF!/1000+SUM(#REF!))/#REF!*1000)-#REF!)*#REF!*#REF!/1000</f>
        <v>#REF!</v>
      </c>
      <c r="NN223" s="86" t="e">
        <f>((#REF!+(#REF!*#REF!/1000+#REF!*#REF!/1000+#REF!*#REF!/1000+#REF!*#REF!/1000+SUM(#REF!))/#REF!*1000)-#REF!)*#REF!*#REF!/1000</f>
        <v>#REF!</v>
      </c>
      <c r="NO223" s="86" t="e">
        <f>((#REF!+(#REF!*#REF!/1000+#REF!*#REF!/1000+#REF!*#REF!/1000+#REF!*#REF!/1000+SUM(#REF!))/#REF!*1000)-#REF!)*#REF!*#REF!/1000</f>
        <v>#REF!</v>
      </c>
      <c r="NP223" s="86" t="e">
        <f>((#REF!+(#REF!*#REF!/1000+#REF!*#REF!/1000+#REF!*#REF!/1000+#REF!*#REF!/1000+SUM(#REF!))/#REF!*1000)-#REF!)*#REF!*#REF!/1000</f>
        <v>#REF!</v>
      </c>
      <c r="NQ223" s="86" t="e">
        <f>((#REF!+(#REF!*#REF!/1000+#REF!*#REF!/1000+#REF!*#REF!/1000+#REF!*#REF!/1000+SUM(#REF!))/#REF!*1000)-#REF!)*#REF!*#REF!/1000</f>
        <v>#REF!</v>
      </c>
      <c r="NR223" s="86" t="e">
        <f>((#REF!+(#REF!*#REF!/1000+#REF!*#REF!/1000+#REF!*#REF!/1000+#REF!*#REF!/1000+SUM(#REF!))/#REF!*1000)-#REF!)*#REF!*#REF!/1000</f>
        <v>#REF!</v>
      </c>
      <c r="NS223" s="86" t="e">
        <f>((#REF!+(#REF!*#REF!/1000+#REF!*#REF!/1000+#REF!*#REF!/1000+#REF!*#REF!/1000+SUM(#REF!))/#REF!*1000)-#REF!)*#REF!*#REF!/1000</f>
        <v>#REF!</v>
      </c>
      <c r="NT223" s="86" t="e">
        <f>((#REF!+(#REF!*#REF!/1000+#REF!*#REF!/1000+#REF!*#REF!/1000+#REF!*#REF!/1000+SUM(#REF!))/#REF!*1000)-#REF!)*#REF!*#REF!/1000</f>
        <v>#REF!</v>
      </c>
      <c r="NU223" s="86" t="e">
        <f>((#REF!+(#REF!*#REF!/1000+#REF!*#REF!/1000+#REF!*#REF!/1000+#REF!*#REF!/1000+SUM(#REF!))/#REF!*1000)-#REF!)*#REF!*#REF!/1000</f>
        <v>#REF!</v>
      </c>
      <c r="NV223" s="86" t="e">
        <f>((#REF!+(#REF!*#REF!/1000+#REF!*#REF!/1000+#REF!*#REF!/1000+#REF!*#REF!/1000+SUM(#REF!))/#REF!*1000)-#REF!)*#REF!*#REF!/1000</f>
        <v>#REF!</v>
      </c>
      <c r="NW223" s="86" t="e">
        <f>((#REF!+(#REF!*#REF!/1000+#REF!*#REF!/1000+#REF!*#REF!/1000+#REF!*#REF!/1000+SUM(#REF!))/#REF!*1000)-#REF!)*#REF!*#REF!/1000</f>
        <v>#REF!</v>
      </c>
      <c r="NX223" s="86" t="e">
        <f>((#REF!+(#REF!*#REF!/1000+#REF!*#REF!/1000+#REF!*#REF!/1000+#REF!*#REF!/1000+SUM(#REF!))/#REF!*1000)-#REF!)*#REF!*#REF!/1000</f>
        <v>#REF!</v>
      </c>
      <c r="NY223" s="86" t="e">
        <f>((#REF!+(#REF!*#REF!/1000+#REF!*#REF!/1000+#REF!*#REF!/1000+#REF!*#REF!/1000+SUM(#REF!))/#REF!*1000)-#REF!)*#REF!*#REF!/1000</f>
        <v>#REF!</v>
      </c>
      <c r="NZ223" s="86" t="e">
        <f>((#REF!+(#REF!*#REF!/1000+#REF!*#REF!/1000+#REF!*#REF!/1000+#REF!*#REF!/1000+SUM(#REF!))/#REF!*1000)-#REF!)*#REF!*#REF!/1000</f>
        <v>#REF!</v>
      </c>
      <c r="OA223" s="86" t="e">
        <f>((#REF!+(#REF!*#REF!/1000+#REF!*#REF!/1000+#REF!*#REF!/1000+#REF!*#REF!/1000+SUM(#REF!))/#REF!*1000)-#REF!)*#REF!*#REF!/1000</f>
        <v>#REF!</v>
      </c>
      <c r="OB223" s="86" t="e">
        <f>((#REF!+(#REF!*#REF!/1000+#REF!*#REF!/1000+#REF!*#REF!/1000+#REF!*#REF!/1000+SUM(#REF!))/#REF!*1000)-#REF!)*#REF!*#REF!/1000</f>
        <v>#REF!</v>
      </c>
      <c r="OC223" s="86" t="e">
        <f>((#REF!+(#REF!*#REF!/1000+#REF!*#REF!/1000+#REF!*#REF!/1000+#REF!*#REF!/1000+SUM(#REF!))/#REF!*1000)-#REF!)*#REF!*#REF!/1000</f>
        <v>#REF!</v>
      </c>
      <c r="OD223" s="86" t="e">
        <f>((#REF!+(#REF!*#REF!/1000+#REF!*#REF!/1000+#REF!*#REF!/1000+#REF!*#REF!/1000+SUM(#REF!))/#REF!*1000)-#REF!)*#REF!*#REF!/1000</f>
        <v>#REF!</v>
      </c>
      <c r="OE223" s="86" t="e">
        <f>((#REF!+(#REF!*#REF!/1000+#REF!*#REF!/1000+#REF!*#REF!/1000+#REF!*#REF!/1000+SUM(#REF!))/#REF!*1000)-#REF!)*#REF!*#REF!/1000</f>
        <v>#REF!</v>
      </c>
      <c r="OF223" s="86" t="e">
        <f>((#REF!+(#REF!*#REF!/1000+#REF!*#REF!/1000+#REF!*#REF!/1000+#REF!*#REF!/1000+SUM(#REF!))/#REF!*1000)-#REF!)*#REF!*#REF!/1000</f>
        <v>#REF!</v>
      </c>
      <c r="OG223" s="86" t="e">
        <f>((#REF!+(#REF!*#REF!/1000+#REF!*#REF!/1000+#REF!*#REF!/1000+#REF!*#REF!/1000+SUM(#REF!))/#REF!*1000)-#REF!)*#REF!*#REF!/1000</f>
        <v>#REF!</v>
      </c>
      <c r="OH223" s="86" t="e">
        <f>((#REF!+(#REF!*#REF!/1000+#REF!*#REF!/1000+#REF!*#REF!/1000+#REF!*#REF!/1000+SUM(#REF!))/#REF!*1000)-#REF!)*#REF!*#REF!/1000</f>
        <v>#REF!</v>
      </c>
      <c r="OI223" s="86" t="e">
        <f>((#REF!+(#REF!*#REF!/1000+#REF!*#REF!/1000+#REF!*#REF!/1000+#REF!*#REF!/1000+SUM(#REF!))/#REF!*1000)-#REF!)*#REF!*#REF!/1000</f>
        <v>#REF!</v>
      </c>
      <c r="OJ223" s="86" t="e">
        <f>((#REF!+(#REF!*#REF!/1000+#REF!*#REF!/1000+#REF!*#REF!/1000+#REF!*#REF!/1000+SUM(#REF!))/#REF!*1000)-#REF!)*#REF!*#REF!/1000</f>
        <v>#REF!</v>
      </c>
      <c r="OK223" s="86" t="e">
        <f>((#REF!+(#REF!*#REF!/1000+#REF!*#REF!/1000+#REF!*#REF!/1000+#REF!*#REF!/1000+SUM(#REF!))/#REF!*1000)-#REF!)*#REF!*#REF!/1000</f>
        <v>#REF!</v>
      </c>
      <c r="OL223" s="86" t="e">
        <f>((#REF!+(#REF!*#REF!/1000+#REF!*#REF!/1000+#REF!*#REF!/1000+#REF!*#REF!/1000+SUM(#REF!))/#REF!*1000)-#REF!)*#REF!*#REF!/1000</f>
        <v>#REF!</v>
      </c>
      <c r="OM223" s="86" t="e">
        <f>((#REF!+(#REF!*#REF!/1000+#REF!*#REF!/1000+#REF!*#REF!/1000+#REF!*#REF!/1000+SUM(#REF!))/#REF!*1000)-#REF!)*#REF!*#REF!/1000</f>
        <v>#REF!</v>
      </c>
      <c r="ON223" s="86" t="e">
        <f>((#REF!+(#REF!*#REF!/1000+#REF!*#REF!/1000+#REF!*#REF!/1000+#REF!*#REF!/1000+SUM(#REF!))/#REF!*1000)-#REF!)*#REF!*#REF!/1000</f>
        <v>#REF!</v>
      </c>
      <c r="OO223" s="86" t="e">
        <f>((#REF!+(#REF!*#REF!/1000+#REF!*#REF!/1000+#REF!*#REF!/1000+#REF!*#REF!/1000+SUM(#REF!))/#REF!*1000)-#REF!)*#REF!*#REF!/1000</f>
        <v>#REF!</v>
      </c>
      <c r="OP223" s="86" t="e">
        <f>((#REF!+(#REF!*#REF!/1000+#REF!*#REF!/1000+#REF!*#REF!/1000+#REF!*#REF!/1000+SUM(#REF!))/#REF!*1000)-#REF!)*#REF!*#REF!/1000</f>
        <v>#REF!</v>
      </c>
      <c r="OQ223" s="86" t="e">
        <f>((#REF!+(#REF!*#REF!/1000+#REF!*#REF!/1000+#REF!*#REF!/1000+#REF!*#REF!/1000+SUM(#REF!))/#REF!*1000)-#REF!)*#REF!*#REF!/1000</f>
        <v>#REF!</v>
      </c>
      <c r="OR223" s="86" t="e">
        <f>((#REF!+(#REF!*#REF!/1000+#REF!*#REF!/1000+#REF!*#REF!/1000+#REF!*#REF!/1000+SUM(#REF!))/#REF!*1000)-#REF!)*#REF!*#REF!/1000</f>
        <v>#REF!</v>
      </c>
      <c r="OS223" s="86" t="e">
        <f>((#REF!+(#REF!*#REF!/1000+#REF!*#REF!/1000+#REF!*#REF!/1000+#REF!*#REF!/1000+SUM(#REF!))/#REF!*1000)-#REF!)*#REF!*#REF!/1000</f>
        <v>#REF!</v>
      </c>
      <c r="OT223" s="86" t="e">
        <f>((#REF!+(#REF!*#REF!/1000+#REF!*#REF!/1000+#REF!*#REF!/1000+#REF!*#REF!/1000+SUM(#REF!))/#REF!*1000)-#REF!)*#REF!*#REF!/1000</f>
        <v>#REF!</v>
      </c>
      <c r="OU223" s="86" t="e">
        <f>((#REF!+(#REF!*#REF!/1000+#REF!*#REF!/1000+#REF!*#REF!/1000+#REF!*#REF!/1000+SUM(#REF!))/#REF!*1000)-#REF!)*#REF!*#REF!/1000</f>
        <v>#REF!</v>
      </c>
      <c r="OV223" s="86" t="e">
        <f>((#REF!+(#REF!*#REF!/1000+#REF!*#REF!/1000+#REF!*#REF!/1000+#REF!*#REF!/1000+SUM(#REF!))/#REF!*1000)-#REF!)*#REF!*#REF!/1000</f>
        <v>#REF!</v>
      </c>
      <c r="OW223" s="86" t="e">
        <f>((#REF!+(#REF!*#REF!/1000+#REF!*#REF!/1000+#REF!*#REF!/1000+#REF!*#REF!/1000+SUM(#REF!))/#REF!*1000)-#REF!)*#REF!*#REF!/1000</f>
        <v>#REF!</v>
      </c>
      <c r="OX223" s="86" t="e">
        <f>((#REF!+(#REF!*#REF!/1000+#REF!*#REF!/1000+#REF!*#REF!/1000+#REF!*#REF!/1000+SUM(#REF!))/#REF!*1000)-#REF!)*#REF!*#REF!/1000</f>
        <v>#REF!</v>
      </c>
      <c r="OY223" s="86" t="e">
        <f>((#REF!+(#REF!*#REF!/1000+#REF!*#REF!/1000+#REF!*#REF!/1000+#REF!*#REF!/1000+SUM(#REF!))/#REF!*1000)-#REF!)*#REF!*#REF!/1000</f>
        <v>#REF!</v>
      </c>
      <c r="OZ223" s="86" t="e">
        <f>((#REF!+(#REF!*#REF!/1000+#REF!*#REF!/1000+#REF!*#REF!/1000+#REF!*#REF!/1000+SUM(#REF!))/#REF!*1000)-#REF!)*#REF!*#REF!/1000</f>
        <v>#REF!</v>
      </c>
      <c r="PA223" s="86" t="e">
        <f>((#REF!+(#REF!*#REF!/1000+#REF!*#REF!/1000+#REF!*#REF!/1000+#REF!*#REF!/1000+SUM(#REF!))/#REF!*1000)-#REF!)*#REF!*#REF!/1000</f>
        <v>#REF!</v>
      </c>
      <c r="PB223" s="86" t="e">
        <f>((#REF!+(#REF!*#REF!/1000+#REF!*#REF!/1000+#REF!*#REF!/1000+#REF!*#REF!/1000+SUM(#REF!))/#REF!*1000)-#REF!)*#REF!*#REF!/1000</f>
        <v>#REF!</v>
      </c>
      <c r="PC223" s="86" t="e">
        <f>((#REF!+(#REF!*#REF!/1000+#REF!*#REF!/1000+#REF!*#REF!/1000+#REF!*#REF!/1000+SUM(#REF!))/#REF!*1000)-#REF!)*#REF!*#REF!/1000</f>
        <v>#REF!</v>
      </c>
      <c r="PD223" s="86" t="e">
        <f>((#REF!+(#REF!*#REF!/1000+#REF!*#REF!/1000+#REF!*#REF!/1000+#REF!*#REF!/1000+SUM(#REF!))/#REF!*1000)-#REF!)*#REF!*#REF!/1000</f>
        <v>#REF!</v>
      </c>
      <c r="PE223" s="86" t="e">
        <f>((#REF!+(#REF!*#REF!/1000+#REF!*#REF!/1000+#REF!*#REF!/1000+#REF!*#REF!/1000+SUM(#REF!))/#REF!*1000)-#REF!)*#REF!*#REF!/1000</f>
        <v>#REF!</v>
      </c>
      <c r="PF223" s="86" t="e">
        <f>((#REF!+(#REF!*#REF!/1000+#REF!*#REF!/1000+#REF!*#REF!/1000+#REF!*#REF!/1000+SUM(#REF!))/#REF!*1000)-#REF!)*#REF!*#REF!/1000</f>
        <v>#REF!</v>
      </c>
      <c r="PG223" s="86" t="e">
        <f>((#REF!+(#REF!*#REF!/1000+#REF!*#REF!/1000+#REF!*#REF!/1000+#REF!*#REF!/1000+SUM(#REF!))/#REF!*1000)-#REF!)*#REF!*#REF!/1000</f>
        <v>#REF!</v>
      </c>
      <c r="PH223" s="86" t="e">
        <f>((#REF!+(#REF!*#REF!/1000+#REF!*#REF!/1000+#REF!*#REF!/1000+#REF!*#REF!/1000+SUM(#REF!))/#REF!*1000)-#REF!)*#REF!*#REF!/1000</f>
        <v>#REF!</v>
      </c>
      <c r="PI223" s="86" t="e">
        <f>((#REF!+(#REF!*#REF!/1000+#REF!*#REF!/1000+#REF!*#REF!/1000+#REF!*#REF!/1000+SUM(#REF!))/#REF!*1000)-#REF!)*#REF!*#REF!/1000</f>
        <v>#REF!</v>
      </c>
      <c r="PJ223" s="86" t="e">
        <f>((#REF!+(#REF!*#REF!/1000+#REF!*#REF!/1000+#REF!*#REF!/1000+#REF!*#REF!/1000+SUM(#REF!))/#REF!*1000)-#REF!)*#REF!*#REF!/1000</f>
        <v>#REF!</v>
      </c>
      <c r="PK223" s="86" t="e">
        <f>((#REF!+(#REF!*#REF!/1000+#REF!*#REF!/1000+#REF!*#REF!/1000+#REF!*#REF!/1000+SUM(#REF!))/#REF!*1000)-#REF!)*#REF!*#REF!/1000</f>
        <v>#REF!</v>
      </c>
      <c r="PL223" s="86" t="e">
        <f>((#REF!+(#REF!*#REF!/1000+#REF!*#REF!/1000+#REF!*#REF!/1000+#REF!*#REF!/1000+SUM(#REF!))/#REF!*1000)-#REF!)*#REF!*#REF!/1000</f>
        <v>#REF!</v>
      </c>
      <c r="PM223" s="86" t="e">
        <f>((#REF!+(#REF!*#REF!/1000+#REF!*#REF!/1000+#REF!*#REF!/1000+#REF!*#REF!/1000+SUM(#REF!))/#REF!*1000)-#REF!)*#REF!*#REF!/1000</f>
        <v>#REF!</v>
      </c>
      <c r="PN223" s="86" t="e">
        <f>((#REF!+(#REF!*#REF!/1000+#REF!*#REF!/1000+#REF!*#REF!/1000+#REF!*#REF!/1000+SUM(#REF!))/#REF!*1000)-#REF!)*#REF!*#REF!/1000</f>
        <v>#REF!</v>
      </c>
      <c r="PO223" s="86" t="e">
        <f>((#REF!+(#REF!*#REF!/1000+#REF!*#REF!/1000+#REF!*#REF!/1000+#REF!*#REF!/1000+SUM(#REF!))/#REF!*1000)-#REF!)*#REF!*#REF!/1000</f>
        <v>#REF!</v>
      </c>
      <c r="PP223" s="86" t="e">
        <f>((#REF!+(#REF!*#REF!/1000+#REF!*#REF!/1000+#REF!*#REF!/1000+#REF!*#REF!/1000+SUM(#REF!))/#REF!*1000)-#REF!)*#REF!*#REF!/1000</f>
        <v>#REF!</v>
      </c>
      <c r="PQ223" s="86" t="e">
        <f>((#REF!+(#REF!*#REF!/1000+#REF!*#REF!/1000+#REF!*#REF!/1000+#REF!*#REF!/1000+SUM(#REF!))/#REF!*1000)-#REF!)*#REF!*#REF!/1000</f>
        <v>#REF!</v>
      </c>
      <c r="PR223" s="86" t="e">
        <f>((#REF!+(#REF!*#REF!/1000+#REF!*#REF!/1000+#REF!*#REF!/1000+#REF!*#REF!/1000+SUM(#REF!))/#REF!*1000)-#REF!)*#REF!*#REF!/1000</f>
        <v>#REF!</v>
      </c>
      <c r="PS223" s="86" t="e">
        <f>((#REF!+(#REF!*#REF!/1000+#REF!*#REF!/1000+#REF!*#REF!/1000+#REF!*#REF!/1000+SUM(#REF!))/#REF!*1000)-#REF!)*#REF!*#REF!/1000</f>
        <v>#REF!</v>
      </c>
      <c r="PT223" s="86" t="e">
        <f>((#REF!+(#REF!*#REF!/1000+#REF!*#REF!/1000+#REF!*#REF!/1000+#REF!*#REF!/1000+SUM(#REF!))/#REF!*1000)-#REF!)*#REF!*#REF!/1000</f>
        <v>#REF!</v>
      </c>
      <c r="PU223" s="86" t="e">
        <f>((#REF!+(#REF!*#REF!/1000+#REF!*#REF!/1000+#REF!*#REF!/1000+#REF!*#REF!/1000+SUM(#REF!))/#REF!*1000)-#REF!)*#REF!*#REF!/1000</f>
        <v>#REF!</v>
      </c>
      <c r="PV223" s="86" t="e">
        <f>((#REF!+(#REF!*#REF!/1000+#REF!*#REF!/1000+#REF!*#REF!/1000+#REF!*#REF!/1000+SUM(#REF!))/#REF!*1000)-#REF!)*#REF!*#REF!/1000</f>
        <v>#REF!</v>
      </c>
      <c r="PW223" s="86" t="e">
        <f>((#REF!+(#REF!*#REF!/1000+#REF!*#REF!/1000+#REF!*#REF!/1000+#REF!*#REF!/1000+SUM(#REF!))/#REF!*1000)-#REF!)*#REF!*#REF!/1000</f>
        <v>#REF!</v>
      </c>
      <c r="PX223" s="86" t="e">
        <f>((#REF!+(#REF!*#REF!/1000+#REF!*#REF!/1000+#REF!*#REF!/1000+#REF!*#REF!/1000+SUM(#REF!))/#REF!*1000)-#REF!)*#REF!*#REF!/1000</f>
        <v>#REF!</v>
      </c>
      <c r="PY223" s="86" t="e">
        <f>((#REF!+(#REF!*#REF!/1000+#REF!*#REF!/1000+#REF!*#REF!/1000+#REF!*#REF!/1000+SUM(#REF!))/#REF!*1000)-#REF!)*#REF!*#REF!/1000</f>
        <v>#REF!</v>
      </c>
      <c r="PZ223" s="86" t="e">
        <f>((#REF!+(#REF!*#REF!/1000+#REF!*#REF!/1000+#REF!*#REF!/1000+#REF!*#REF!/1000+SUM(#REF!))/#REF!*1000)-#REF!)*#REF!*#REF!/1000</f>
        <v>#REF!</v>
      </c>
      <c r="QA223" s="86" t="e">
        <f>((#REF!+(#REF!*#REF!/1000+#REF!*#REF!/1000+#REF!*#REF!/1000+#REF!*#REF!/1000+SUM(#REF!))/#REF!*1000)-#REF!)*#REF!*#REF!/1000</f>
        <v>#REF!</v>
      </c>
      <c r="QB223" s="86" t="e">
        <f>((#REF!+(#REF!*#REF!/1000+#REF!*#REF!/1000+#REF!*#REF!/1000+#REF!*#REF!/1000+SUM(#REF!))/#REF!*1000)-#REF!)*#REF!*#REF!/1000</f>
        <v>#REF!</v>
      </c>
      <c r="QC223" s="86" t="e">
        <f>((#REF!+(#REF!*#REF!/1000+#REF!*#REF!/1000+#REF!*#REF!/1000+#REF!*#REF!/1000+SUM(#REF!))/#REF!*1000)-#REF!)*#REF!*#REF!/1000</f>
        <v>#REF!</v>
      </c>
      <c r="QD223" s="86" t="e">
        <f>((#REF!+(#REF!*#REF!/1000+#REF!*#REF!/1000+#REF!*#REF!/1000+#REF!*#REF!/1000+SUM(#REF!))/#REF!*1000)-#REF!)*#REF!*#REF!/1000</f>
        <v>#REF!</v>
      </c>
      <c r="QE223" s="86" t="e">
        <f>((#REF!+(#REF!*#REF!/1000+#REF!*#REF!/1000+#REF!*#REF!/1000+#REF!*#REF!/1000+SUM(#REF!))/#REF!*1000)-#REF!)*#REF!*#REF!/1000</f>
        <v>#REF!</v>
      </c>
      <c r="QF223" s="86" t="e">
        <f>((#REF!+(#REF!*#REF!/1000+#REF!*#REF!/1000+#REF!*#REF!/1000+#REF!*#REF!/1000+SUM(#REF!))/#REF!*1000)-#REF!)*#REF!*#REF!/1000</f>
        <v>#REF!</v>
      </c>
      <c r="QG223" s="86" t="e">
        <f>((#REF!+(#REF!*#REF!/1000+#REF!*#REF!/1000+#REF!*#REF!/1000+#REF!*#REF!/1000+SUM(#REF!))/#REF!*1000)-#REF!)*#REF!*#REF!/1000</f>
        <v>#REF!</v>
      </c>
      <c r="QH223" s="86" t="e">
        <f>((#REF!+(#REF!*#REF!/1000+#REF!*#REF!/1000+#REF!*#REF!/1000+#REF!*#REF!/1000+SUM(#REF!))/#REF!*1000)-#REF!)*#REF!*#REF!/1000</f>
        <v>#REF!</v>
      </c>
      <c r="QI223" s="86" t="e">
        <f>((#REF!+(#REF!*#REF!/1000+#REF!*#REF!/1000+#REF!*#REF!/1000+#REF!*#REF!/1000+SUM(#REF!))/#REF!*1000)-#REF!)*#REF!*#REF!/1000</f>
        <v>#REF!</v>
      </c>
      <c r="QJ223" s="86" t="e">
        <f>((#REF!+(#REF!*#REF!/1000+#REF!*#REF!/1000+#REF!*#REF!/1000+#REF!*#REF!/1000+SUM(#REF!))/#REF!*1000)-#REF!)*#REF!*#REF!/1000</f>
        <v>#REF!</v>
      </c>
      <c r="QK223" s="86" t="e">
        <f>((#REF!+(#REF!*#REF!/1000+#REF!*#REF!/1000+#REF!*#REF!/1000+#REF!*#REF!/1000+SUM(#REF!))/#REF!*1000)-#REF!)*#REF!*#REF!/1000</f>
        <v>#REF!</v>
      </c>
      <c r="QL223" s="86" t="e">
        <f>((#REF!+(#REF!*#REF!/1000+#REF!*#REF!/1000+#REF!*#REF!/1000+#REF!*#REF!/1000+SUM(#REF!))/#REF!*1000)-#REF!)*#REF!*#REF!/1000</f>
        <v>#REF!</v>
      </c>
      <c r="QM223" s="86" t="e">
        <f>((#REF!+(#REF!*#REF!/1000+#REF!*#REF!/1000+#REF!*#REF!/1000+#REF!*#REF!/1000+SUM(#REF!))/#REF!*1000)-#REF!)*#REF!*#REF!/1000</f>
        <v>#REF!</v>
      </c>
      <c r="QN223" s="86" t="e">
        <f>((#REF!+(#REF!*#REF!/1000+#REF!*#REF!/1000+#REF!*#REF!/1000+#REF!*#REF!/1000+SUM(#REF!))/#REF!*1000)-#REF!)*#REF!*#REF!/1000</f>
        <v>#REF!</v>
      </c>
      <c r="QO223" s="86" t="e">
        <f>((#REF!+(#REF!*#REF!/1000+#REF!*#REF!/1000+#REF!*#REF!/1000+#REF!*#REF!/1000+SUM(#REF!))/#REF!*1000)-#REF!)*#REF!*#REF!/1000</f>
        <v>#REF!</v>
      </c>
      <c r="QP223" s="86" t="e">
        <f>((#REF!+(#REF!*#REF!/1000+#REF!*#REF!/1000+#REF!*#REF!/1000+#REF!*#REF!/1000+SUM(#REF!))/#REF!*1000)-#REF!)*#REF!*#REF!/1000</f>
        <v>#REF!</v>
      </c>
      <c r="QQ223" s="86" t="e">
        <f>((#REF!+(#REF!*#REF!/1000+#REF!*#REF!/1000+#REF!*#REF!/1000+#REF!*#REF!/1000+SUM(#REF!))/#REF!*1000)-#REF!)*#REF!*#REF!/1000</f>
        <v>#REF!</v>
      </c>
      <c r="QR223" s="86" t="e">
        <f>((#REF!+(#REF!*#REF!/1000+#REF!*#REF!/1000+#REF!*#REF!/1000+#REF!*#REF!/1000+SUM(#REF!))/#REF!*1000)-#REF!)*#REF!*#REF!/1000</f>
        <v>#REF!</v>
      </c>
      <c r="QS223" s="86" t="e">
        <f>((#REF!+(#REF!*#REF!/1000+#REF!*#REF!/1000+#REF!*#REF!/1000+#REF!*#REF!/1000+SUM(#REF!))/#REF!*1000)-#REF!)*#REF!*#REF!/1000</f>
        <v>#REF!</v>
      </c>
      <c r="QT223" s="86" t="e">
        <f>((#REF!+(#REF!*#REF!/1000+#REF!*#REF!/1000+#REF!*#REF!/1000+#REF!*#REF!/1000+SUM(#REF!))/#REF!*1000)-#REF!)*#REF!*#REF!/1000</f>
        <v>#REF!</v>
      </c>
      <c r="QU223" s="86" t="e">
        <f>((#REF!+(#REF!*#REF!/1000+#REF!*#REF!/1000+#REF!*#REF!/1000+#REF!*#REF!/1000+SUM(#REF!))/#REF!*1000)-#REF!)*#REF!*#REF!/1000</f>
        <v>#REF!</v>
      </c>
      <c r="QV223" s="86" t="e">
        <f>((#REF!+(#REF!*#REF!/1000+#REF!*#REF!/1000+#REF!*#REF!/1000+#REF!*#REF!/1000+SUM(#REF!))/#REF!*1000)-#REF!)*#REF!*#REF!/1000</f>
        <v>#REF!</v>
      </c>
      <c r="QW223" s="86" t="e">
        <f>((#REF!+(#REF!*#REF!/1000+#REF!*#REF!/1000+#REF!*#REF!/1000+#REF!*#REF!/1000+SUM(#REF!))/#REF!*1000)-#REF!)*#REF!*#REF!/1000</f>
        <v>#REF!</v>
      </c>
      <c r="QX223" s="86" t="e">
        <f>((#REF!+(#REF!*#REF!/1000+#REF!*#REF!/1000+#REF!*#REF!/1000+#REF!*#REF!/1000+SUM(#REF!))/#REF!*1000)-#REF!)*#REF!*#REF!/1000</f>
        <v>#REF!</v>
      </c>
      <c r="QY223" s="86" t="e">
        <f>((#REF!+(#REF!*#REF!/1000+#REF!*#REF!/1000+#REF!*#REF!/1000+#REF!*#REF!/1000+SUM(#REF!))/#REF!*1000)-#REF!)*#REF!*#REF!/1000</f>
        <v>#REF!</v>
      </c>
      <c r="QZ223" s="86" t="e">
        <f>((#REF!+(#REF!*#REF!/1000+#REF!*#REF!/1000+#REF!*#REF!/1000+#REF!*#REF!/1000+SUM(#REF!))/#REF!*1000)-#REF!)*#REF!*#REF!/1000</f>
        <v>#REF!</v>
      </c>
      <c r="RA223" s="86" t="e">
        <f>((#REF!+(#REF!*#REF!/1000+#REF!*#REF!/1000+#REF!*#REF!/1000+#REF!*#REF!/1000+SUM(#REF!))/#REF!*1000)-#REF!)*#REF!*#REF!/1000</f>
        <v>#REF!</v>
      </c>
      <c r="RB223" s="86" t="e">
        <f>((#REF!+(#REF!*#REF!/1000+#REF!*#REF!/1000+#REF!*#REF!/1000+#REF!*#REF!/1000+SUM(#REF!))/#REF!*1000)-#REF!)*#REF!*#REF!/1000</f>
        <v>#REF!</v>
      </c>
      <c r="RC223" s="86" t="e">
        <f>((#REF!+(#REF!*#REF!/1000+#REF!*#REF!/1000+#REF!*#REF!/1000+#REF!*#REF!/1000+SUM(#REF!))/#REF!*1000)-#REF!)*#REF!*#REF!/1000</f>
        <v>#REF!</v>
      </c>
      <c r="RD223" s="86" t="e">
        <f>((#REF!+(#REF!*#REF!/1000+#REF!*#REF!/1000+#REF!*#REF!/1000+#REF!*#REF!/1000+SUM(#REF!))/#REF!*1000)-#REF!)*#REF!*#REF!/1000</f>
        <v>#REF!</v>
      </c>
      <c r="RE223" s="86" t="e">
        <f>((#REF!+(#REF!*#REF!/1000+#REF!*#REF!/1000+#REF!*#REF!/1000+#REF!*#REF!/1000+SUM(#REF!))/#REF!*1000)-#REF!)*#REF!*#REF!/1000</f>
        <v>#REF!</v>
      </c>
      <c r="RF223" s="86" t="e">
        <f>((#REF!+(#REF!*#REF!/1000+#REF!*#REF!/1000+#REF!*#REF!/1000+#REF!*#REF!/1000+SUM(#REF!))/#REF!*1000)-#REF!)*#REF!*#REF!/1000</f>
        <v>#REF!</v>
      </c>
      <c r="RG223" s="86" t="e">
        <f>((#REF!+(#REF!*#REF!/1000+#REF!*#REF!/1000+#REF!*#REF!/1000+#REF!*#REF!/1000+SUM(#REF!))/#REF!*1000)-#REF!)*#REF!*#REF!/1000</f>
        <v>#REF!</v>
      </c>
      <c r="RH223" s="86" t="e">
        <f>((#REF!+(#REF!*#REF!/1000+#REF!*#REF!/1000+#REF!*#REF!/1000+#REF!*#REF!/1000+SUM(#REF!))/#REF!*1000)-#REF!)*#REF!*#REF!/1000</f>
        <v>#REF!</v>
      </c>
      <c r="RI223" s="86" t="e">
        <f>((#REF!+(#REF!*#REF!/1000+#REF!*#REF!/1000+#REF!*#REF!/1000+#REF!*#REF!/1000+SUM(#REF!))/#REF!*1000)-#REF!)*#REF!*#REF!/1000</f>
        <v>#REF!</v>
      </c>
      <c r="RJ223" s="86" t="e">
        <f>((#REF!+(#REF!*#REF!/1000+#REF!*#REF!/1000+#REF!*#REF!/1000+#REF!*#REF!/1000+SUM(#REF!))/#REF!*1000)-#REF!)*#REF!*#REF!/1000</f>
        <v>#REF!</v>
      </c>
      <c r="RK223" s="86" t="e">
        <f>((#REF!+(#REF!*#REF!/1000+#REF!*#REF!/1000+#REF!*#REF!/1000+#REF!*#REF!/1000+SUM(#REF!))/#REF!*1000)-#REF!)*#REF!*#REF!/1000</f>
        <v>#REF!</v>
      </c>
      <c r="RL223" s="86" t="e">
        <f>((#REF!+(#REF!*#REF!/1000+#REF!*#REF!/1000+#REF!*#REF!/1000+#REF!*#REF!/1000+SUM(#REF!))/#REF!*1000)-#REF!)*#REF!*#REF!/1000</f>
        <v>#REF!</v>
      </c>
      <c r="RM223" s="86" t="e">
        <f>((#REF!+(#REF!*#REF!/1000+#REF!*#REF!/1000+#REF!*#REF!/1000+#REF!*#REF!/1000+SUM(#REF!))/#REF!*1000)-#REF!)*#REF!*#REF!/1000</f>
        <v>#REF!</v>
      </c>
      <c r="RN223" s="86" t="e">
        <f>((#REF!+(#REF!*#REF!/1000+#REF!*#REF!/1000+#REF!*#REF!/1000+#REF!*#REF!/1000+SUM(#REF!))/#REF!*1000)-#REF!)*#REF!*#REF!/1000</f>
        <v>#REF!</v>
      </c>
      <c r="RO223" s="86" t="e">
        <f>((#REF!+(#REF!*#REF!/1000+#REF!*#REF!/1000+#REF!*#REF!/1000+#REF!*#REF!/1000+SUM(#REF!))/#REF!*1000)-#REF!)*#REF!*#REF!/1000</f>
        <v>#REF!</v>
      </c>
      <c r="RP223" s="86" t="e">
        <f>((#REF!+(#REF!*#REF!/1000+#REF!*#REF!/1000+#REF!*#REF!/1000+#REF!*#REF!/1000+SUM(#REF!))/#REF!*1000)-#REF!)*#REF!*#REF!/1000</f>
        <v>#REF!</v>
      </c>
      <c r="RQ223" s="86" t="e">
        <f>((#REF!+(#REF!*#REF!/1000+#REF!*#REF!/1000+#REF!*#REF!/1000+#REF!*#REF!/1000+SUM(#REF!))/#REF!*1000)-#REF!)*#REF!*#REF!/1000</f>
        <v>#REF!</v>
      </c>
      <c r="RR223" s="86" t="e">
        <f>((#REF!+(#REF!*#REF!/1000+#REF!*#REF!/1000+#REF!*#REF!/1000+#REF!*#REF!/1000+SUM(#REF!))/#REF!*1000)-#REF!)*#REF!*#REF!/1000</f>
        <v>#REF!</v>
      </c>
      <c r="RS223" s="86" t="e">
        <f>((#REF!+(#REF!*#REF!/1000+#REF!*#REF!/1000+#REF!*#REF!/1000+#REF!*#REF!/1000+SUM(#REF!))/#REF!*1000)-#REF!)*#REF!*#REF!/1000</f>
        <v>#REF!</v>
      </c>
      <c r="RT223" s="86" t="e">
        <f>((#REF!+(#REF!*#REF!/1000+#REF!*#REF!/1000+#REF!*#REF!/1000+#REF!*#REF!/1000+SUM(#REF!))/#REF!*1000)-#REF!)*#REF!*#REF!/1000</f>
        <v>#REF!</v>
      </c>
      <c r="RU223" s="86" t="e">
        <f>((#REF!+(#REF!*#REF!/1000+#REF!*#REF!/1000+#REF!*#REF!/1000+#REF!*#REF!/1000+SUM(#REF!))/#REF!*1000)-#REF!)*#REF!*#REF!/1000</f>
        <v>#REF!</v>
      </c>
      <c r="RV223" s="86" t="e">
        <f>((#REF!+(#REF!*#REF!/1000+#REF!*#REF!/1000+#REF!*#REF!/1000+#REF!*#REF!/1000+SUM(#REF!))/#REF!*1000)-#REF!)*#REF!*#REF!/1000</f>
        <v>#REF!</v>
      </c>
      <c r="RW223" s="86" t="e">
        <f>((#REF!+(#REF!*#REF!/1000+#REF!*#REF!/1000+#REF!*#REF!/1000+#REF!*#REF!/1000+SUM(#REF!))/#REF!*1000)-#REF!)*#REF!*#REF!/1000</f>
        <v>#REF!</v>
      </c>
      <c r="RX223" s="86" t="e">
        <f>((#REF!+(#REF!*#REF!/1000+#REF!*#REF!/1000+#REF!*#REF!/1000+#REF!*#REF!/1000+SUM(#REF!))/#REF!*1000)-#REF!)*#REF!*#REF!/1000</f>
        <v>#REF!</v>
      </c>
      <c r="RY223" s="86" t="e">
        <f>((#REF!+(#REF!*#REF!/1000+#REF!*#REF!/1000+#REF!*#REF!/1000+#REF!*#REF!/1000+SUM(#REF!))/#REF!*1000)-#REF!)*#REF!*#REF!/1000</f>
        <v>#REF!</v>
      </c>
      <c r="RZ223" s="86" t="e">
        <f>((#REF!+(#REF!*#REF!/1000+#REF!*#REF!/1000+#REF!*#REF!/1000+#REF!*#REF!/1000+SUM(#REF!))/#REF!*1000)-#REF!)*#REF!*#REF!/1000</f>
        <v>#REF!</v>
      </c>
      <c r="SA223" s="86" t="e">
        <f>((#REF!+(#REF!*#REF!/1000+#REF!*#REF!/1000+#REF!*#REF!/1000+#REF!*#REF!/1000+SUM(#REF!))/#REF!*1000)-#REF!)*#REF!*#REF!/1000</f>
        <v>#REF!</v>
      </c>
      <c r="SB223" s="86" t="e">
        <f>((#REF!+(#REF!*#REF!/1000+#REF!*#REF!/1000+#REF!*#REF!/1000+#REF!*#REF!/1000+SUM(#REF!))/#REF!*1000)-#REF!)*#REF!*#REF!/1000</f>
        <v>#REF!</v>
      </c>
      <c r="SC223" s="86" t="e">
        <f>((#REF!+(#REF!*#REF!/1000+#REF!*#REF!/1000+#REF!*#REF!/1000+#REF!*#REF!/1000+SUM(#REF!))/#REF!*1000)-#REF!)*#REF!*#REF!/1000</f>
        <v>#REF!</v>
      </c>
      <c r="SD223" s="86" t="e">
        <f>((#REF!+(#REF!*#REF!/1000+#REF!*#REF!/1000+#REF!*#REF!/1000+#REF!*#REF!/1000+SUM(#REF!))/#REF!*1000)-#REF!)*#REF!*#REF!/1000</f>
        <v>#REF!</v>
      </c>
      <c r="SE223" s="86" t="e">
        <f>((#REF!+(#REF!*#REF!/1000+#REF!*#REF!/1000+#REF!*#REF!/1000+#REF!*#REF!/1000+SUM(#REF!))/#REF!*1000)-#REF!)*#REF!*#REF!/1000</f>
        <v>#REF!</v>
      </c>
      <c r="SF223" s="86" t="e">
        <f>((#REF!+(#REF!*#REF!/1000+#REF!*#REF!/1000+#REF!*#REF!/1000+#REF!*#REF!/1000+SUM(#REF!))/#REF!*1000)-#REF!)*#REF!*#REF!/1000</f>
        <v>#REF!</v>
      </c>
      <c r="SG223" s="86" t="e">
        <f>((#REF!+(#REF!*#REF!/1000+#REF!*#REF!/1000+#REF!*#REF!/1000+#REF!*#REF!/1000+SUM(#REF!))/#REF!*1000)-#REF!)*#REF!*#REF!/1000</f>
        <v>#REF!</v>
      </c>
      <c r="SH223" s="86" t="e">
        <f>((#REF!+(#REF!*#REF!/1000+#REF!*#REF!/1000+#REF!*#REF!/1000+#REF!*#REF!/1000+SUM(#REF!))/#REF!*1000)-#REF!)*#REF!*#REF!/1000</f>
        <v>#REF!</v>
      </c>
      <c r="SI223" s="86" t="e">
        <f>((#REF!+(#REF!*#REF!/1000+#REF!*#REF!/1000+#REF!*#REF!/1000+#REF!*#REF!/1000+SUM(#REF!))/#REF!*1000)-#REF!)*#REF!*#REF!/1000</f>
        <v>#REF!</v>
      </c>
      <c r="SJ223" s="86" t="e">
        <f>((#REF!+(#REF!*#REF!/1000+#REF!*#REF!/1000+#REF!*#REF!/1000+#REF!*#REF!/1000+SUM(#REF!))/#REF!*1000)-#REF!)*#REF!*#REF!/1000</f>
        <v>#REF!</v>
      </c>
      <c r="SK223" s="86" t="e">
        <f>((#REF!+(#REF!*#REF!/1000+#REF!*#REF!/1000+#REF!*#REF!/1000+#REF!*#REF!/1000+SUM(#REF!))/#REF!*1000)-#REF!)*#REF!*#REF!/1000</f>
        <v>#REF!</v>
      </c>
      <c r="SL223" s="86" t="e">
        <f>((#REF!+(#REF!*#REF!/1000+#REF!*#REF!/1000+#REF!*#REF!/1000+#REF!*#REF!/1000+SUM(#REF!))/#REF!*1000)-#REF!)*#REF!*#REF!/1000</f>
        <v>#REF!</v>
      </c>
      <c r="SM223" s="86" t="e">
        <f>((#REF!+(#REF!*#REF!/1000+#REF!*#REF!/1000+#REF!*#REF!/1000+#REF!*#REF!/1000+SUM(#REF!))/#REF!*1000)-#REF!)*#REF!*#REF!/1000</f>
        <v>#REF!</v>
      </c>
      <c r="SN223" s="86" t="e">
        <f>((#REF!+(#REF!*#REF!/1000+#REF!*#REF!/1000+#REF!*#REF!/1000+#REF!*#REF!/1000+SUM(#REF!))/#REF!*1000)-#REF!)*#REF!*#REF!/1000</f>
        <v>#REF!</v>
      </c>
      <c r="SO223" s="86" t="e">
        <f>((#REF!+(#REF!*#REF!/1000+#REF!*#REF!/1000+#REF!*#REF!/1000+#REF!*#REF!/1000+SUM(#REF!))/#REF!*1000)-#REF!)*#REF!*#REF!/1000</f>
        <v>#REF!</v>
      </c>
      <c r="SP223" s="86" t="e">
        <f>((#REF!+(#REF!*#REF!/1000+#REF!*#REF!/1000+#REF!*#REF!/1000+#REF!*#REF!/1000+SUM(#REF!))/#REF!*1000)-#REF!)*#REF!*#REF!/1000</f>
        <v>#REF!</v>
      </c>
      <c r="SQ223" s="86" t="e">
        <f>((#REF!+(#REF!*#REF!/1000+#REF!*#REF!/1000+#REF!*#REF!/1000+#REF!*#REF!/1000+SUM(#REF!))/#REF!*1000)-#REF!)*#REF!*#REF!/1000</f>
        <v>#REF!</v>
      </c>
      <c r="SR223" s="86" t="e">
        <f>((#REF!+(#REF!*#REF!/1000+#REF!*#REF!/1000+#REF!*#REF!/1000+#REF!*#REF!/1000+SUM(#REF!))/#REF!*1000)-#REF!)*#REF!*#REF!/1000</f>
        <v>#REF!</v>
      </c>
      <c r="SS223" s="86" t="e">
        <f>((#REF!+(#REF!*#REF!/1000+#REF!*#REF!/1000+#REF!*#REF!/1000+#REF!*#REF!/1000+SUM(#REF!))/#REF!*1000)-#REF!)*#REF!*#REF!/1000</f>
        <v>#REF!</v>
      </c>
      <c r="ST223" s="86" t="e">
        <f>((#REF!+(#REF!*#REF!/1000+#REF!*#REF!/1000+#REF!*#REF!/1000+#REF!*#REF!/1000+SUM(#REF!))/#REF!*1000)-#REF!)*#REF!*#REF!/1000</f>
        <v>#REF!</v>
      </c>
      <c r="SU223" s="86" t="e">
        <f>((#REF!+(#REF!*#REF!/1000+#REF!*#REF!/1000+#REF!*#REF!/1000+#REF!*#REF!/1000+SUM(#REF!))/#REF!*1000)-#REF!)*#REF!*#REF!/1000</f>
        <v>#REF!</v>
      </c>
      <c r="SV223" s="86" t="e">
        <f>((#REF!+(#REF!*#REF!/1000+#REF!*#REF!/1000+#REF!*#REF!/1000+#REF!*#REF!/1000+SUM(#REF!))/#REF!*1000)-#REF!)*#REF!*#REF!/1000</f>
        <v>#REF!</v>
      </c>
      <c r="SW223" s="86" t="e">
        <f>((#REF!+(#REF!*#REF!/1000+#REF!*#REF!/1000+#REF!*#REF!/1000+#REF!*#REF!/1000+SUM(#REF!))/#REF!*1000)-#REF!)*#REF!*#REF!/1000</f>
        <v>#REF!</v>
      </c>
      <c r="SX223" s="86" t="e">
        <f>((#REF!+(#REF!*#REF!/1000+#REF!*#REF!/1000+#REF!*#REF!/1000+#REF!*#REF!/1000+SUM(#REF!))/#REF!*1000)-#REF!)*#REF!*#REF!/1000</f>
        <v>#REF!</v>
      </c>
      <c r="SY223" s="86" t="e">
        <f>((#REF!+(#REF!*#REF!/1000+#REF!*#REF!/1000+#REF!*#REF!/1000+#REF!*#REF!/1000+SUM(#REF!))/#REF!*1000)-#REF!)*#REF!*#REF!/1000</f>
        <v>#REF!</v>
      </c>
      <c r="SZ223" s="86" t="e">
        <f>((#REF!+(#REF!*#REF!/1000+#REF!*#REF!/1000+#REF!*#REF!/1000+#REF!*#REF!/1000+SUM(#REF!))/#REF!*1000)-#REF!)*#REF!*#REF!/1000</f>
        <v>#REF!</v>
      </c>
      <c r="TA223" s="86" t="e">
        <f>((#REF!+(#REF!*#REF!/1000+#REF!*#REF!/1000+#REF!*#REF!/1000+#REF!*#REF!/1000+SUM(#REF!))/#REF!*1000)-#REF!)*#REF!*#REF!/1000</f>
        <v>#REF!</v>
      </c>
      <c r="TB223" s="86" t="e">
        <f>((#REF!+(#REF!*#REF!/1000+#REF!*#REF!/1000+#REF!*#REF!/1000+#REF!*#REF!/1000+SUM(#REF!))/#REF!*1000)-#REF!)*#REF!*#REF!/1000</f>
        <v>#REF!</v>
      </c>
      <c r="TC223" s="86" t="e">
        <f>((#REF!+(#REF!*#REF!/1000+#REF!*#REF!/1000+#REF!*#REF!/1000+#REF!*#REF!/1000+SUM(#REF!))/#REF!*1000)-#REF!)*#REF!*#REF!/1000</f>
        <v>#REF!</v>
      </c>
      <c r="TD223" s="86" t="e">
        <f>((#REF!+(#REF!*#REF!/1000+#REF!*#REF!/1000+#REF!*#REF!/1000+#REF!*#REF!/1000+SUM(#REF!))/#REF!*1000)-#REF!)*#REF!*#REF!/1000</f>
        <v>#REF!</v>
      </c>
      <c r="TE223" s="86" t="e">
        <f>((#REF!+(#REF!*#REF!/1000+#REF!*#REF!/1000+#REF!*#REF!/1000+#REF!*#REF!/1000+SUM(#REF!))/#REF!*1000)-#REF!)*#REF!*#REF!/1000</f>
        <v>#REF!</v>
      </c>
      <c r="TF223" s="86" t="e">
        <f>((#REF!+(#REF!*#REF!/1000+#REF!*#REF!/1000+#REF!*#REF!/1000+#REF!*#REF!/1000+SUM(#REF!))/#REF!*1000)-#REF!)*#REF!*#REF!/1000</f>
        <v>#REF!</v>
      </c>
      <c r="TG223" s="86" t="e">
        <f>((#REF!+(#REF!*#REF!/1000+#REF!*#REF!/1000+#REF!*#REF!/1000+#REF!*#REF!/1000+SUM(#REF!))/#REF!*1000)-#REF!)*#REF!*#REF!/1000</f>
        <v>#REF!</v>
      </c>
      <c r="TH223" s="86" t="e">
        <f>((#REF!+(#REF!*#REF!/1000+#REF!*#REF!/1000+#REF!*#REF!/1000+#REF!*#REF!/1000+SUM(#REF!))/#REF!*1000)-#REF!)*#REF!*#REF!/1000</f>
        <v>#REF!</v>
      </c>
      <c r="TI223" s="86" t="e">
        <f>((#REF!+(#REF!*#REF!/1000+#REF!*#REF!/1000+#REF!*#REF!/1000+#REF!*#REF!/1000+SUM(#REF!))/#REF!*1000)-#REF!)*#REF!*#REF!/1000</f>
        <v>#REF!</v>
      </c>
      <c r="TJ223" s="86" t="e">
        <f>((#REF!+(#REF!*#REF!/1000+#REF!*#REF!/1000+#REF!*#REF!/1000+#REF!*#REF!/1000+SUM(#REF!))/#REF!*1000)-#REF!)*#REF!*#REF!/1000</f>
        <v>#REF!</v>
      </c>
      <c r="TK223" s="86" t="e">
        <f>((#REF!+(#REF!*#REF!/1000+#REF!*#REF!/1000+#REF!*#REF!/1000+#REF!*#REF!/1000+SUM(#REF!))/#REF!*1000)-#REF!)*#REF!*#REF!/1000</f>
        <v>#REF!</v>
      </c>
      <c r="TL223" s="86" t="e">
        <f>((#REF!+(#REF!*#REF!/1000+#REF!*#REF!/1000+#REF!*#REF!/1000+#REF!*#REF!/1000+SUM(#REF!))/#REF!*1000)-#REF!)*#REF!*#REF!/1000</f>
        <v>#REF!</v>
      </c>
      <c r="TM223" s="86" t="e">
        <f>((#REF!+(#REF!*#REF!/1000+#REF!*#REF!/1000+#REF!*#REF!/1000+#REF!*#REF!/1000+SUM(#REF!))/#REF!*1000)-#REF!)*#REF!*#REF!/1000</f>
        <v>#REF!</v>
      </c>
      <c r="TN223" s="86" t="e">
        <f>((#REF!+(#REF!*#REF!/1000+#REF!*#REF!/1000+#REF!*#REF!/1000+#REF!*#REF!/1000+SUM(#REF!))/#REF!*1000)-#REF!)*#REF!*#REF!/1000</f>
        <v>#REF!</v>
      </c>
      <c r="TO223" s="86" t="e">
        <f>((#REF!+(#REF!*#REF!/1000+#REF!*#REF!/1000+#REF!*#REF!/1000+#REF!*#REF!/1000+SUM(#REF!))/#REF!*1000)-#REF!)*#REF!*#REF!/1000</f>
        <v>#REF!</v>
      </c>
      <c r="TP223" s="86" t="e">
        <f>((#REF!+(#REF!*#REF!/1000+#REF!*#REF!/1000+#REF!*#REF!/1000+#REF!*#REF!/1000+SUM(#REF!))/#REF!*1000)-#REF!)*#REF!*#REF!/1000</f>
        <v>#REF!</v>
      </c>
      <c r="TQ223" s="86" t="e">
        <f>((#REF!+(#REF!*#REF!/1000+#REF!*#REF!/1000+#REF!*#REF!/1000+#REF!*#REF!/1000+SUM(#REF!))/#REF!*1000)-#REF!)*#REF!*#REF!/1000</f>
        <v>#REF!</v>
      </c>
      <c r="TR223" s="86" t="e">
        <f>((#REF!+(#REF!*#REF!/1000+#REF!*#REF!/1000+#REF!*#REF!/1000+#REF!*#REF!/1000+SUM(#REF!))/#REF!*1000)-#REF!)*#REF!*#REF!/1000</f>
        <v>#REF!</v>
      </c>
      <c r="TS223" s="86" t="e">
        <f>((#REF!+(#REF!*#REF!/1000+#REF!*#REF!/1000+#REF!*#REF!/1000+#REF!*#REF!/1000+SUM(#REF!))/#REF!*1000)-#REF!)*#REF!*#REF!/1000</f>
        <v>#REF!</v>
      </c>
      <c r="TT223" s="86" t="e">
        <f>((#REF!+(#REF!*#REF!/1000+#REF!*#REF!/1000+#REF!*#REF!/1000+#REF!*#REF!/1000+SUM(#REF!))/#REF!*1000)-#REF!)*#REF!*#REF!/1000</f>
        <v>#REF!</v>
      </c>
      <c r="TU223" s="86" t="e">
        <f>((#REF!+(#REF!*#REF!/1000+#REF!*#REF!/1000+#REF!*#REF!/1000+#REF!*#REF!/1000+SUM(#REF!))/#REF!*1000)-#REF!)*#REF!*#REF!/1000</f>
        <v>#REF!</v>
      </c>
      <c r="TV223" s="86" t="e">
        <f>((#REF!+(#REF!*#REF!/1000+#REF!*#REF!/1000+#REF!*#REF!/1000+#REF!*#REF!/1000+SUM(#REF!))/#REF!*1000)-#REF!)*#REF!*#REF!/1000</f>
        <v>#REF!</v>
      </c>
      <c r="TW223" s="86" t="e">
        <f>((#REF!+(#REF!*#REF!/1000+#REF!*#REF!/1000+#REF!*#REF!/1000+#REF!*#REF!/1000+SUM(#REF!))/#REF!*1000)-#REF!)*#REF!*#REF!/1000</f>
        <v>#REF!</v>
      </c>
      <c r="TX223" s="86" t="e">
        <f>((#REF!+(#REF!*#REF!/1000+#REF!*#REF!/1000+#REF!*#REF!/1000+#REF!*#REF!/1000+SUM(#REF!))/#REF!*1000)-#REF!)*#REF!*#REF!/1000</f>
        <v>#REF!</v>
      </c>
      <c r="TY223" s="86" t="e">
        <f>((#REF!+(#REF!*#REF!/1000+#REF!*#REF!/1000+#REF!*#REF!/1000+#REF!*#REF!/1000+SUM(#REF!))/#REF!*1000)-#REF!)*#REF!*#REF!/1000</f>
        <v>#REF!</v>
      </c>
      <c r="TZ223" s="86" t="e">
        <f>((#REF!+(#REF!*#REF!/1000+#REF!*#REF!/1000+#REF!*#REF!/1000+#REF!*#REF!/1000+SUM(#REF!))/#REF!*1000)-#REF!)*#REF!*#REF!/1000</f>
        <v>#REF!</v>
      </c>
      <c r="UA223" s="86" t="e">
        <f>((#REF!+(#REF!*#REF!/1000+#REF!*#REF!/1000+#REF!*#REF!/1000+#REF!*#REF!/1000+SUM(#REF!))/#REF!*1000)-#REF!)*#REF!*#REF!/1000</f>
        <v>#REF!</v>
      </c>
      <c r="UB223" s="86" t="e">
        <f>((#REF!+(#REF!*#REF!/1000+#REF!*#REF!/1000+#REF!*#REF!/1000+#REF!*#REF!/1000+SUM(#REF!))/#REF!*1000)-#REF!)*#REF!*#REF!/1000</f>
        <v>#REF!</v>
      </c>
      <c r="UC223" s="86" t="e">
        <f>((#REF!+(#REF!*#REF!/1000+#REF!*#REF!/1000+#REF!*#REF!/1000+#REF!*#REF!/1000+SUM(#REF!))/#REF!*1000)-#REF!)*#REF!*#REF!/1000</f>
        <v>#REF!</v>
      </c>
      <c r="UD223" s="86" t="e">
        <f>((#REF!+(#REF!*#REF!/1000+#REF!*#REF!/1000+#REF!*#REF!/1000+#REF!*#REF!/1000+SUM(#REF!))/#REF!*1000)-#REF!)*#REF!*#REF!/1000</f>
        <v>#REF!</v>
      </c>
      <c r="UE223" s="86" t="e">
        <f>((#REF!+(#REF!*#REF!/1000+#REF!*#REF!/1000+#REF!*#REF!/1000+#REF!*#REF!/1000+SUM(#REF!))/#REF!*1000)-#REF!)*#REF!*#REF!/1000</f>
        <v>#REF!</v>
      </c>
      <c r="UF223" s="86" t="e">
        <f>((#REF!+(#REF!*#REF!/1000+#REF!*#REF!/1000+#REF!*#REF!/1000+#REF!*#REF!/1000+SUM(#REF!))/#REF!*1000)-#REF!)*#REF!*#REF!/1000</f>
        <v>#REF!</v>
      </c>
      <c r="UG223" s="86" t="e">
        <f>((#REF!+(#REF!*#REF!/1000+#REF!*#REF!/1000+#REF!*#REF!/1000+#REF!*#REF!/1000+SUM(#REF!))/#REF!*1000)-#REF!)*#REF!*#REF!/1000</f>
        <v>#REF!</v>
      </c>
      <c r="UH223" s="86" t="e">
        <f>((#REF!+(#REF!*#REF!/1000+#REF!*#REF!/1000+#REF!*#REF!/1000+#REF!*#REF!/1000+SUM(#REF!))/#REF!*1000)-#REF!)*#REF!*#REF!/1000</f>
        <v>#REF!</v>
      </c>
      <c r="UI223" s="86" t="e">
        <f>((#REF!+(#REF!*#REF!/1000+#REF!*#REF!/1000+#REF!*#REF!/1000+#REF!*#REF!/1000+SUM(#REF!))/#REF!*1000)-#REF!)*#REF!*#REF!/1000</f>
        <v>#REF!</v>
      </c>
      <c r="UJ223" s="86" t="e">
        <f>((#REF!+(#REF!*#REF!/1000+#REF!*#REF!/1000+#REF!*#REF!/1000+#REF!*#REF!/1000+SUM(#REF!))/#REF!*1000)-#REF!)*#REF!*#REF!/1000</f>
        <v>#REF!</v>
      </c>
      <c r="UK223" s="86" t="e">
        <f>((#REF!+(#REF!*#REF!/1000+#REF!*#REF!/1000+#REF!*#REF!/1000+#REF!*#REF!/1000+SUM(#REF!))/#REF!*1000)-#REF!)*#REF!*#REF!/1000</f>
        <v>#REF!</v>
      </c>
      <c r="UL223" s="86" t="e">
        <f>((#REF!+(#REF!*#REF!/1000+#REF!*#REF!/1000+#REF!*#REF!/1000+#REF!*#REF!/1000+SUM(#REF!))/#REF!*1000)-#REF!)*#REF!*#REF!/1000</f>
        <v>#REF!</v>
      </c>
      <c r="UM223" s="86" t="e">
        <f>((#REF!+(#REF!*#REF!/1000+#REF!*#REF!/1000+#REF!*#REF!/1000+#REF!*#REF!/1000+SUM(#REF!))/#REF!*1000)-#REF!)*#REF!*#REF!/1000</f>
        <v>#REF!</v>
      </c>
      <c r="UN223" s="86" t="e">
        <f>((#REF!+(#REF!*#REF!/1000+#REF!*#REF!/1000+#REF!*#REF!/1000+#REF!*#REF!/1000+SUM(#REF!))/#REF!*1000)-#REF!)*#REF!*#REF!/1000</f>
        <v>#REF!</v>
      </c>
      <c r="UO223" s="86" t="e">
        <f>((#REF!+(#REF!*#REF!/1000+#REF!*#REF!/1000+#REF!*#REF!/1000+#REF!*#REF!/1000+SUM(#REF!))/#REF!*1000)-#REF!)*#REF!*#REF!/1000</f>
        <v>#REF!</v>
      </c>
      <c r="UP223" s="86" t="e">
        <f>((#REF!+(#REF!*#REF!/1000+#REF!*#REF!/1000+#REF!*#REF!/1000+#REF!*#REF!/1000+SUM(#REF!))/#REF!*1000)-#REF!)*#REF!*#REF!/1000</f>
        <v>#REF!</v>
      </c>
      <c r="UQ223" s="86" t="e">
        <f>((#REF!+(#REF!*#REF!/1000+#REF!*#REF!/1000+#REF!*#REF!/1000+#REF!*#REF!/1000+SUM(#REF!))/#REF!*1000)-#REF!)*#REF!*#REF!/1000</f>
        <v>#REF!</v>
      </c>
      <c r="UR223" s="86" t="e">
        <f>((#REF!+(#REF!*#REF!/1000+#REF!*#REF!/1000+#REF!*#REF!/1000+#REF!*#REF!/1000+SUM(#REF!))/#REF!*1000)-#REF!)*#REF!*#REF!/1000</f>
        <v>#REF!</v>
      </c>
      <c r="US223" s="86" t="e">
        <f>((#REF!+(#REF!*#REF!/1000+#REF!*#REF!/1000+#REF!*#REF!/1000+#REF!*#REF!/1000+SUM(#REF!))/#REF!*1000)-#REF!)*#REF!*#REF!/1000</f>
        <v>#REF!</v>
      </c>
      <c r="UT223" s="86" t="e">
        <f>((#REF!+(#REF!*#REF!/1000+#REF!*#REF!/1000+#REF!*#REF!/1000+#REF!*#REF!/1000+SUM(#REF!))/#REF!*1000)-#REF!)*#REF!*#REF!/1000</f>
        <v>#REF!</v>
      </c>
      <c r="UU223" s="86" t="e">
        <f>((#REF!+(#REF!*#REF!/1000+#REF!*#REF!/1000+#REF!*#REF!/1000+#REF!*#REF!/1000+SUM(#REF!))/#REF!*1000)-#REF!)*#REF!*#REF!/1000</f>
        <v>#REF!</v>
      </c>
      <c r="UV223" s="86" t="e">
        <f>((#REF!+(#REF!*#REF!/1000+#REF!*#REF!/1000+#REF!*#REF!/1000+#REF!*#REF!/1000+SUM(#REF!))/#REF!*1000)-#REF!)*#REF!*#REF!/1000</f>
        <v>#REF!</v>
      </c>
      <c r="UW223" s="86" t="e">
        <f>((#REF!+(#REF!*#REF!/1000+#REF!*#REF!/1000+#REF!*#REF!/1000+#REF!*#REF!/1000+SUM(#REF!))/#REF!*1000)-#REF!)*#REF!*#REF!/1000</f>
        <v>#REF!</v>
      </c>
      <c r="UX223" s="86" t="e">
        <f>((#REF!+(#REF!*#REF!/1000+#REF!*#REF!/1000+#REF!*#REF!/1000+#REF!*#REF!/1000+SUM(#REF!))/#REF!*1000)-#REF!)*#REF!*#REF!/1000</f>
        <v>#REF!</v>
      </c>
      <c r="UY223" s="86" t="e">
        <f>((#REF!+(#REF!*#REF!/1000+#REF!*#REF!/1000+#REF!*#REF!/1000+#REF!*#REF!/1000+SUM(#REF!))/#REF!*1000)-#REF!)*#REF!*#REF!/1000</f>
        <v>#REF!</v>
      </c>
      <c r="UZ223" s="86" t="e">
        <f>((#REF!+(#REF!*#REF!/1000+#REF!*#REF!/1000+#REF!*#REF!/1000+#REF!*#REF!/1000+SUM(#REF!))/#REF!*1000)-#REF!)*#REF!*#REF!/1000</f>
        <v>#REF!</v>
      </c>
      <c r="VA223" s="86" t="e">
        <f>((#REF!+(#REF!*#REF!/1000+#REF!*#REF!/1000+#REF!*#REF!/1000+#REF!*#REF!/1000+SUM(#REF!))/#REF!*1000)-#REF!)*#REF!*#REF!/1000</f>
        <v>#REF!</v>
      </c>
      <c r="VB223" s="86" t="e">
        <f>((#REF!+(#REF!*#REF!/1000+#REF!*#REF!/1000+#REF!*#REF!/1000+#REF!*#REF!/1000+SUM(#REF!))/#REF!*1000)-#REF!)*#REF!*#REF!/1000</f>
        <v>#REF!</v>
      </c>
      <c r="VC223" s="86" t="e">
        <f>((#REF!+(#REF!*#REF!/1000+#REF!*#REF!/1000+#REF!*#REF!/1000+#REF!*#REF!/1000+SUM(#REF!))/#REF!*1000)-#REF!)*#REF!*#REF!/1000</f>
        <v>#REF!</v>
      </c>
      <c r="VD223" s="86" t="e">
        <f>((#REF!+(#REF!*#REF!/1000+#REF!*#REF!/1000+#REF!*#REF!/1000+#REF!*#REF!/1000+SUM(#REF!))/#REF!*1000)-#REF!)*#REF!*#REF!/1000</f>
        <v>#REF!</v>
      </c>
      <c r="VE223" s="86" t="e">
        <f>((#REF!+(#REF!*#REF!/1000+#REF!*#REF!/1000+#REF!*#REF!/1000+#REF!*#REF!/1000+SUM(#REF!))/#REF!*1000)-#REF!)*#REF!*#REF!/1000</f>
        <v>#REF!</v>
      </c>
      <c r="VF223" s="86" t="e">
        <f>((#REF!+(#REF!*#REF!/1000+#REF!*#REF!/1000+#REF!*#REF!/1000+#REF!*#REF!/1000+SUM(#REF!))/#REF!*1000)-#REF!)*#REF!*#REF!/1000</f>
        <v>#REF!</v>
      </c>
      <c r="VG223" s="86" t="e">
        <f>((#REF!+(#REF!*#REF!/1000+#REF!*#REF!/1000+#REF!*#REF!/1000+#REF!*#REF!/1000+SUM(#REF!))/#REF!*1000)-#REF!)*#REF!*#REF!/1000</f>
        <v>#REF!</v>
      </c>
      <c r="VH223" s="86" t="e">
        <f>((#REF!+(#REF!*#REF!/1000+#REF!*#REF!/1000+#REF!*#REF!/1000+#REF!*#REF!/1000+SUM(#REF!))/#REF!*1000)-#REF!)*#REF!*#REF!/1000</f>
        <v>#REF!</v>
      </c>
      <c r="VI223" s="86" t="e">
        <f>((#REF!+(#REF!*#REF!/1000+#REF!*#REF!/1000+#REF!*#REF!/1000+#REF!*#REF!/1000+SUM(#REF!))/#REF!*1000)-#REF!)*#REF!*#REF!/1000</f>
        <v>#REF!</v>
      </c>
      <c r="VJ223" s="86" t="e">
        <f>((#REF!+(#REF!*#REF!/1000+#REF!*#REF!/1000+#REF!*#REF!/1000+#REF!*#REF!/1000+SUM(#REF!))/#REF!*1000)-#REF!)*#REF!*#REF!/1000</f>
        <v>#REF!</v>
      </c>
      <c r="VK223" s="86" t="e">
        <f>((#REF!+(#REF!*#REF!/1000+#REF!*#REF!/1000+#REF!*#REF!/1000+#REF!*#REF!/1000+SUM(#REF!))/#REF!*1000)-#REF!)*#REF!*#REF!/1000</f>
        <v>#REF!</v>
      </c>
      <c r="VL223" s="86" t="e">
        <f>((#REF!+(#REF!*#REF!/1000+#REF!*#REF!/1000+#REF!*#REF!/1000+#REF!*#REF!/1000+SUM(#REF!))/#REF!*1000)-#REF!)*#REF!*#REF!/1000</f>
        <v>#REF!</v>
      </c>
      <c r="VM223" s="86" t="e">
        <f>((#REF!+(#REF!*#REF!/1000+#REF!*#REF!/1000+#REF!*#REF!/1000+#REF!*#REF!/1000+SUM(#REF!))/#REF!*1000)-#REF!)*#REF!*#REF!/1000</f>
        <v>#REF!</v>
      </c>
      <c r="VN223" s="86" t="e">
        <f>((#REF!+(#REF!*#REF!/1000+#REF!*#REF!/1000+#REF!*#REF!/1000+#REF!*#REF!/1000+SUM(#REF!))/#REF!*1000)-#REF!)*#REF!*#REF!/1000</f>
        <v>#REF!</v>
      </c>
      <c r="VO223" s="86" t="e">
        <f>((#REF!+(#REF!*#REF!/1000+#REF!*#REF!/1000+#REF!*#REF!/1000+#REF!*#REF!/1000+SUM(#REF!))/#REF!*1000)-#REF!)*#REF!*#REF!/1000</f>
        <v>#REF!</v>
      </c>
      <c r="VP223" s="86" t="e">
        <f>((#REF!+(#REF!*#REF!/1000+#REF!*#REF!/1000+#REF!*#REF!/1000+#REF!*#REF!/1000+SUM(#REF!))/#REF!*1000)-#REF!)*#REF!*#REF!/1000</f>
        <v>#REF!</v>
      </c>
      <c r="VQ223" s="86" t="e">
        <f>((#REF!+(#REF!*#REF!/1000+#REF!*#REF!/1000+#REF!*#REF!/1000+#REF!*#REF!/1000+SUM(#REF!))/#REF!*1000)-#REF!)*#REF!*#REF!/1000</f>
        <v>#REF!</v>
      </c>
      <c r="VR223" s="86" t="e">
        <f>((#REF!+(#REF!*#REF!/1000+#REF!*#REF!/1000+#REF!*#REF!/1000+#REF!*#REF!/1000+SUM(#REF!))/#REF!*1000)-#REF!)*#REF!*#REF!/1000</f>
        <v>#REF!</v>
      </c>
      <c r="VS223" s="86" t="e">
        <f>((#REF!+(#REF!*#REF!/1000+#REF!*#REF!/1000+#REF!*#REF!/1000+#REF!*#REF!/1000+SUM(#REF!))/#REF!*1000)-#REF!)*#REF!*#REF!/1000</f>
        <v>#REF!</v>
      </c>
      <c r="VT223" s="86" t="e">
        <f>((#REF!+(#REF!*#REF!/1000+#REF!*#REF!/1000+#REF!*#REF!/1000+#REF!*#REF!/1000+SUM(#REF!))/#REF!*1000)-#REF!)*#REF!*#REF!/1000</f>
        <v>#REF!</v>
      </c>
      <c r="VU223" s="86" t="e">
        <f>((#REF!+(#REF!*#REF!/1000+#REF!*#REF!/1000+#REF!*#REF!/1000+#REF!*#REF!/1000+SUM(#REF!))/#REF!*1000)-#REF!)*#REF!*#REF!/1000</f>
        <v>#REF!</v>
      </c>
      <c r="VV223" s="86" t="e">
        <f>((#REF!+(#REF!*#REF!/1000+#REF!*#REF!/1000+#REF!*#REF!/1000+#REF!*#REF!/1000+SUM(#REF!))/#REF!*1000)-#REF!)*#REF!*#REF!/1000</f>
        <v>#REF!</v>
      </c>
      <c r="VW223" s="86" t="e">
        <f>((#REF!+(#REF!*#REF!/1000+#REF!*#REF!/1000+#REF!*#REF!/1000+#REF!*#REF!/1000+SUM(#REF!))/#REF!*1000)-#REF!)*#REF!*#REF!/1000</f>
        <v>#REF!</v>
      </c>
      <c r="VX223" s="86" t="e">
        <f>((#REF!+(#REF!*#REF!/1000+#REF!*#REF!/1000+#REF!*#REF!/1000+#REF!*#REF!/1000+SUM(#REF!))/#REF!*1000)-#REF!)*#REF!*#REF!/1000</f>
        <v>#REF!</v>
      </c>
      <c r="VY223" s="86" t="e">
        <f>((#REF!+(#REF!*#REF!/1000+#REF!*#REF!/1000+#REF!*#REF!/1000+#REF!*#REF!/1000+SUM(#REF!))/#REF!*1000)-#REF!)*#REF!*#REF!/1000</f>
        <v>#REF!</v>
      </c>
      <c r="VZ223" s="86" t="e">
        <f>((#REF!+(#REF!*#REF!/1000+#REF!*#REF!/1000+#REF!*#REF!/1000+#REF!*#REF!/1000+SUM(#REF!))/#REF!*1000)-#REF!)*#REF!*#REF!/1000</f>
        <v>#REF!</v>
      </c>
      <c r="WA223" s="86" t="e">
        <f>((#REF!+(#REF!*#REF!/1000+#REF!*#REF!/1000+#REF!*#REF!/1000+#REF!*#REF!/1000+SUM(#REF!))/#REF!*1000)-#REF!)*#REF!*#REF!/1000</f>
        <v>#REF!</v>
      </c>
      <c r="WB223" s="86" t="e">
        <f>((#REF!+(#REF!*#REF!/1000+#REF!*#REF!/1000+#REF!*#REF!/1000+#REF!*#REF!/1000+SUM(#REF!))/#REF!*1000)-#REF!)*#REF!*#REF!/1000</f>
        <v>#REF!</v>
      </c>
      <c r="WC223" s="86" t="e">
        <f>((#REF!+(#REF!*#REF!/1000+#REF!*#REF!/1000+#REF!*#REF!/1000+#REF!*#REF!/1000+SUM(#REF!))/#REF!*1000)-#REF!)*#REF!*#REF!/1000</f>
        <v>#REF!</v>
      </c>
      <c r="WD223" s="86" t="e">
        <f>((#REF!+(#REF!*#REF!/1000+#REF!*#REF!/1000+#REF!*#REF!/1000+#REF!*#REF!/1000+SUM(#REF!))/#REF!*1000)-#REF!)*#REF!*#REF!/1000</f>
        <v>#REF!</v>
      </c>
      <c r="WE223" s="86" t="e">
        <f>((#REF!+(#REF!*#REF!/1000+#REF!*#REF!/1000+#REF!*#REF!/1000+#REF!*#REF!/1000+SUM(#REF!))/#REF!*1000)-#REF!)*#REF!*#REF!/1000</f>
        <v>#REF!</v>
      </c>
      <c r="WF223" s="86" t="e">
        <f>((#REF!+(#REF!*#REF!/1000+#REF!*#REF!/1000+#REF!*#REF!/1000+#REF!*#REF!/1000+SUM(#REF!))/#REF!*1000)-#REF!)*#REF!*#REF!/1000</f>
        <v>#REF!</v>
      </c>
      <c r="WG223" s="86" t="e">
        <f>((#REF!+(#REF!*#REF!/1000+#REF!*#REF!/1000+#REF!*#REF!/1000+#REF!*#REF!/1000+SUM(#REF!))/#REF!*1000)-#REF!)*#REF!*#REF!/1000</f>
        <v>#REF!</v>
      </c>
      <c r="WH223" s="86" t="e">
        <f>((#REF!+(#REF!*#REF!/1000+#REF!*#REF!/1000+#REF!*#REF!/1000+#REF!*#REF!/1000+SUM(#REF!))/#REF!*1000)-#REF!)*#REF!*#REF!/1000</f>
        <v>#REF!</v>
      </c>
      <c r="WI223" s="86" t="e">
        <f>((#REF!+(#REF!*#REF!/1000+#REF!*#REF!/1000+#REF!*#REF!/1000+#REF!*#REF!/1000+SUM(#REF!))/#REF!*1000)-#REF!)*#REF!*#REF!/1000</f>
        <v>#REF!</v>
      </c>
      <c r="WJ223" s="86" t="e">
        <f>((#REF!+(#REF!*#REF!/1000+#REF!*#REF!/1000+#REF!*#REF!/1000+#REF!*#REF!/1000+SUM(#REF!))/#REF!*1000)-#REF!)*#REF!*#REF!/1000</f>
        <v>#REF!</v>
      </c>
      <c r="WK223" s="86" t="e">
        <f>((#REF!+(#REF!*#REF!/1000+#REF!*#REF!/1000+#REF!*#REF!/1000+#REF!*#REF!/1000+SUM(#REF!))/#REF!*1000)-#REF!)*#REF!*#REF!/1000</f>
        <v>#REF!</v>
      </c>
      <c r="WL223" s="86" t="e">
        <f>((#REF!+(#REF!*#REF!/1000+#REF!*#REF!/1000+#REF!*#REF!/1000+#REF!*#REF!/1000+SUM(#REF!))/#REF!*1000)-#REF!)*#REF!*#REF!/1000</f>
        <v>#REF!</v>
      </c>
      <c r="WM223" s="86" t="e">
        <f>((#REF!+(#REF!*#REF!/1000+#REF!*#REF!/1000+#REF!*#REF!/1000+#REF!*#REF!/1000+SUM(#REF!))/#REF!*1000)-#REF!)*#REF!*#REF!/1000</f>
        <v>#REF!</v>
      </c>
      <c r="WN223" s="86" t="e">
        <f>((#REF!+(#REF!*#REF!/1000+#REF!*#REF!/1000+#REF!*#REF!/1000+#REF!*#REF!/1000+SUM(#REF!))/#REF!*1000)-#REF!)*#REF!*#REF!/1000</f>
        <v>#REF!</v>
      </c>
      <c r="WO223" s="86" t="e">
        <f>((#REF!+(#REF!*#REF!/1000+#REF!*#REF!/1000+#REF!*#REF!/1000+#REF!*#REF!/1000+SUM(#REF!))/#REF!*1000)-#REF!)*#REF!*#REF!/1000</f>
        <v>#REF!</v>
      </c>
      <c r="WP223" s="86" t="e">
        <f>((#REF!+(#REF!*#REF!/1000+#REF!*#REF!/1000+#REF!*#REF!/1000+#REF!*#REF!/1000+SUM(#REF!))/#REF!*1000)-#REF!)*#REF!*#REF!/1000</f>
        <v>#REF!</v>
      </c>
      <c r="WQ223" s="86" t="e">
        <f>((#REF!+(#REF!*#REF!/1000+#REF!*#REF!/1000+#REF!*#REF!/1000+#REF!*#REF!/1000+SUM(#REF!))/#REF!*1000)-#REF!)*#REF!*#REF!/1000</f>
        <v>#REF!</v>
      </c>
      <c r="WR223" s="86" t="e">
        <f>((#REF!+(#REF!*#REF!/1000+#REF!*#REF!/1000+#REF!*#REF!/1000+#REF!*#REF!/1000+SUM(#REF!))/#REF!*1000)-#REF!)*#REF!*#REF!/1000</f>
        <v>#REF!</v>
      </c>
      <c r="WS223" s="86" t="e">
        <f>((#REF!+(#REF!*#REF!/1000+#REF!*#REF!/1000+#REF!*#REF!/1000+#REF!*#REF!/1000+SUM(#REF!))/#REF!*1000)-#REF!)*#REF!*#REF!/1000</f>
        <v>#REF!</v>
      </c>
      <c r="WT223" s="86" t="e">
        <f>((#REF!+(#REF!*#REF!/1000+#REF!*#REF!/1000+#REF!*#REF!/1000+#REF!*#REF!/1000+SUM(#REF!))/#REF!*1000)-#REF!)*#REF!*#REF!/1000</f>
        <v>#REF!</v>
      </c>
      <c r="WU223" s="86" t="e">
        <f>((#REF!+(#REF!*#REF!/1000+#REF!*#REF!/1000+#REF!*#REF!/1000+#REF!*#REF!/1000+SUM(#REF!))/#REF!*1000)-#REF!)*#REF!*#REF!/1000</f>
        <v>#REF!</v>
      </c>
      <c r="WV223" s="86" t="e">
        <f>((#REF!+(#REF!*#REF!/1000+#REF!*#REF!/1000+#REF!*#REF!/1000+#REF!*#REF!/1000+SUM(#REF!))/#REF!*1000)-#REF!)*#REF!*#REF!/1000</f>
        <v>#REF!</v>
      </c>
      <c r="WW223" s="86" t="e">
        <f>((#REF!+(#REF!*#REF!/1000+#REF!*#REF!/1000+#REF!*#REF!/1000+#REF!*#REF!/1000+SUM(#REF!))/#REF!*1000)-#REF!)*#REF!*#REF!/1000</f>
        <v>#REF!</v>
      </c>
      <c r="WX223" s="86" t="e">
        <f>((#REF!+(#REF!*#REF!/1000+#REF!*#REF!/1000+#REF!*#REF!/1000+#REF!*#REF!/1000+SUM(#REF!))/#REF!*1000)-#REF!)*#REF!*#REF!/1000</f>
        <v>#REF!</v>
      </c>
      <c r="WY223" s="86" t="e">
        <f>((#REF!+(#REF!*#REF!/1000+#REF!*#REF!/1000+#REF!*#REF!/1000+#REF!*#REF!/1000+SUM(#REF!))/#REF!*1000)-#REF!)*#REF!*#REF!/1000</f>
        <v>#REF!</v>
      </c>
      <c r="WZ223" s="86" t="e">
        <f>((#REF!+(#REF!*#REF!/1000+#REF!*#REF!/1000+#REF!*#REF!/1000+#REF!*#REF!/1000+SUM(#REF!))/#REF!*1000)-#REF!)*#REF!*#REF!/1000</f>
        <v>#REF!</v>
      </c>
      <c r="XA223" s="86" t="e">
        <f>((#REF!+(#REF!*#REF!/1000+#REF!*#REF!/1000+#REF!*#REF!/1000+#REF!*#REF!/1000+SUM(#REF!))/#REF!*1000)-#REF!)*#REF!*#REF!/1000</f>
        <v>#REF!</v>
      </c>
      <c r="XB223" s="86" t="e">
        <f>((#REF!+(#REF!*#REF!/1000+#REF!*#REF!/1000+#REF!*#REF!/1000+#REF!*#REF!/1000+SUM(#REF!))/#REF!*1000)-#REF!)*#REF!*#REF!/1000</f>
        <v>#REF!</v>
      </c>
      <c r="XC223" s="86" t="e">
        <f>((#REF!+(#REF!*#REF!/1000+#REF!*#REF!/1000+#REF!*#REF!/1000+#REF!*#REF!/1000+SUM(#REF!))/#REF!*1000)-#REF!)*#REF!*#REF!/1000</f>
        <v>#REF!</v>
      </c>
      <c r="XD223" s="86" t="e">
        <f>((#REF!+(#REF!*#REF!/1000+#REF!*#REF!/1000+#REF!*#REF!/1000+#REF!*#REF!/1000+SUM(#REF!))/#REF!*1000)-#REF!)*#REF!*#REF!/1000</f>
        <v>#REF!</v>
      </c>
      <c r="XE223" s="86" t="e">
        <f>((#REF!+(#REF!*#REF!/1000+#REF!*#REF!/1000+#REF!*#REF!/1000+#REF!*#REF!/1000+SUM(#REF!))/#REF!*1000)-#REF!)*#REF!*#REF!/1000</f>
        <v>#REF!</v>
      </c>
      <c r="XF223" s="86" t="e">
        <f>((#REF!+(#REF!*#REF!/1000+#REF!*#REF!/1000+#REF!*#REF!/1000+#REF!*#REF!/1000+SUM(#REF!))/#REF!*1000)-#REF!)*#REF!*#REF!/1000</f>
        <v>#REF!</v>
      </c>
      <c r="XG223" s="86" t="e">
        <f>((#REF!+(#REF!*#REF!/1000+#REF!*#REF!/1000+#REF!*#REF!/1000+#REF!*#REF!/1000+SUM(#REF!))/#REF!*1000)-#REF!)*#REF!*#REF!/1000</f>
        <v>#REF!</v>
      </c>
      <c r="XH223" s="86" t="e">
        <f>((#REF!+(#REF!*#REF!/1000+#REF!*#REF!/1000+#REF!*#REF!/1000+#REF!*#REF!/1000+SUM(#REF!))/#REF!*1000)-#REF!)*#REF!*#REF!/1000</f>
        <v>#REF!</v>
      </c>
      <c r="XI223" s="86" t="e">
        <f>((#REF!+(#REF!*#REF!/1000+#REF!*#REF!/1000+#REF!*#REF!/1000+#REF!*#REF!/1000+SUM(#REF!))/#REF!*1000)-#REF!)*#REF!*#REF!/1000</f>
        <v>#REF!</v>
      </c>
      <c r="XJ223" s="86" t="e">
        <f>((#REF!+(#REF!*#REF!/1000+#REF!*#REF!/1000+#REF!*#REF!/1000+#REF!*#REF!/1000+SUM(#REF!))/#REF!*1000)-#REF!)*#REF!*#REF!/1000</f>
        <v>#REF!</v>
      </c>
      <c r="XK223" s="86" t="e">
        <f>((#REF!+(#REF!*#REF!/1000+#REF!*#REF!/1000+#REF!*#REF!/1000+#REF!*#REF!/1000+SUM(#REF!))/#REF!*1000)-#REF!)*#REF!*#REF!/1000</f>
        <v>#REF!</v>
      </c>
      <c r="XL223" s="86" t="e">
        <f>((#REF!+(#REF!*#REF!/1000+#REF!*#REF!/1000+#REF!*#REF!/1000+#REF!*#REF!/1000+SUM(#REF!))/#REF!*1000)-#REF!)*#REF!*#REF!/1000</f>
        <v>#REF!</v>
      </c>
      <c r="XM223" s="86" t="e">
        <f>((#REF!+(#REF!*#REF!/1000+#REF!*#REF!/1000+#REF!*#REF!/1000+#REF!*#REF!/1000+SUM(#REF!))/#REF!*1000)-#REF!)*#REF!*#REF!/1000</f>
        <v>#REF!</v>
      </c>
      <c r="XN223" s="86" t="e">
        <f>((#REF!+(#REF!*#REF!/1000+#REF!*#REF!/1000+#REF!*#REF!/1000+#REF!*#REF!/1000+SUM(#REF!))/#REF!*1000)-#REF!)*#REF!*#REF!/1000</f>
        <v>#REF!</v>
      </c>
      <c r="XO223" s="86" t="e">
        <f>((#REF!+(#REF!*#REF!/1000+#REF!*#REF!/1000+#REF!*#REF!/1000+#REF!*#REF!/1000+SUM(#REF!))/#REF!*1000)-#REF!)*#REF!*#REF!/1000</f>
        <v>#REF!</v>
      </c>
      <c r="XP223" s="86" t="e">
        <f>((#REF!+(#REF!*#REF!/1000+#REF!*#REF!/1000+#REF!*#REF!/1000+#REF!*#REF!/1000+SUM(#REF!))/#REF!*1000)-#REF!)*#REF!*#REF!/1000</f>
        <v>#REF!</v>
      </c>
      <c r="XQ223" s="86" t="e">
        <f>((#REF!+(#REF!*#REF!/1000+#REF!*#REF!/1000+#REF!*#REF!/1000+#REF!*#REF!/1000+SUM(#REF!))/#REF!*1000)-#REF!)*#REF!*#REF!/1000</f>
        <v>#REF!</v>
      </c>
      <c r="XR223" s="86" t="e">
        <f>((#REF!+(#REF!*#REF!/1000+#REF!*#REF!/1000+#REF!*#REF!/1000+#REF!*#REF!/1000+SUM(#REF!))/#REF!*1000)-#REF!)*#REF!*#REF!/1000</f>
        <v>#REF!</v>
      </c>
      <c r="XS223" s="86" t="e">
        <f>((#REF!+(#REF!*#REF!/1000+#REF!*#REF!/1000+#REF!*#REF!/1000+#REF!*#REF!/1000+SUM(#REF!))/#REF!*1000)-#REF!)*#REF!*#REF!/1000</f>
        <v>#REF!</v>
      </c>
      <c r="XT223" s="86" t="e">
        <f>((#REF!+(#REF!*#REF!/1000+#REF!*#REF!/1000+#REF!*#REF!/1000+#REF!*#REF!/1000+SUM(#REF!))/#REF!*1000)-#REF!)*#REF!*#REF!/1000</f>
        <v>#REF!</v>
      </c>
      <c r="XU223" s="86" t="e">
        <f>((#REF!+(#REF!*#REF!/1000+#REF!*#REF!/1000+#REF!*#REF!/1000+#REF!*#REF!/1000+SUM(#REF!))/#REF!*1000)-#REF!)*#REF!*#REF!/1000</f>
        <v>#REF!</v>
      </c>
      <c r="XV223" s="86" t="e">
        <f>((#REF!+(#REF!*#REF!/1000+#REF!*#REF!/1000+#REF!*#REF!/1000+#REF!*#REF!/1000+SUM(#REF!))/#REF!*1000)-#REF!)*#REF!*#REF!/1000</f>
        <v>#REF!</v>
      </c>
      <c r="XW223" s="86" t="e">
        <f>((#REF!+(#REF!*#REF!/1000+#REF!*#REF!/1000+#REF!*#REF!/1000+#REF!*#REF!/1000+SUM(#REF!))/#REF!*1000)-#REF!)*#REF!*#REF!/1000</f>
        <v>#REF!</v>
      </c>
      <c r="XX223" s="86" t="e">
        <f>((#REF!+(#REF!*#REF!/1000+#REF!*#REF!/1000+#REF!*#REF!/1000+#REF!*#REF!/1000+SUM(#REF!))/#REF!*1000)-#REF!)*#REF!*#REF!/1000</f>
        <v>#REF!</v>
      </c>
      <c r="XY223" s="86" t="e">
        <f>((#REF!+(#REF!*#REF!/1000+#REF!*#REF!/1000+#REF!*#REF!/1000+#REF!*#REF!/1000+SUM(#REF!))/#REF!*1000)-#REF!)*#REF!*#REF!/1000</f>
        <v>#REF!</v>
      </c>
      <c r="XZ223" s="86" t="e">
        <f>((#REF!+(#REF!*#REF!/1000+#REF!*#REF!/1000+#REF!*#REF!/1000+#REF!*#REF!/1000+SUM(#REF!))/#REF!*1000)-#REF!)*#REF!*#REF!/1000</f>
        <v>#REF!</v>
      </c>
      <c r="YA223" s="86" t="e">
        <f>((#REF!+(#REF!*#REF!/1000+#REF!*#REF!/1000+#REF!*#REF!/1000+#REF!*#REF!/1000+SUM(#REF!))/#REF!*1000)-#REF!)*#REF!*#REF!/1000</f>
        <v>#REF!</v>
      </c>
      <c r="YB223" s="86" t="e">
        <f>((#REF!+(#REF!*#REF!/1000+#REF!*#REF!/1000+#REF!*#REF!/1000+#REF!*#REF!/1000+SUM(#REF!))/#REF!*1000)-#REF!)*#REF!*#REF!/1000</f>
        <v>#REF!</v>
      </c>
      <c r="YC223" s="86" t="e">
        <f>((#REF!+(#REF!*#REF!/1000+#REF!*#REF!/1000+#REF!*#REF!/1000+#REF!*#REF!/1000+SUM(#REF!))/#REF!*1000)-#REF!)*#REF!*#REF!/1000</f>
        <v>#REF!</v>
      </c>
      <c r="YD223" s="86" t="e">
        <f>((#REF!+(#REF!*#REF!/1000+#REF!*#REF!/1000+#REF!*#REF!/1000+#REF!*#REF!/1000+SUM(#REF!))/#REF!*1000)-#REF!)*#REF!*#REF!/1000</f>
        <v>#REF!</v>
      </c>
      <c r="YE223" s="86" t="e">
        <f>((#REF!+(#REF!*#REF!/1000+#REF!*#REF!/1000+#REF!*#REF!/1000+#REF!*#REF!/1000+SUM(#REF!))/#REF!*1000)-#REF!)*#REF!*#REF!/1000</f>
        <v>#REF!</v>
      </c>
      <c r="YF223" s="86" t="e">
        <f>((#REF!+(#REF!*#REF!/1000+#REF!*#REF!/1000+#REF!*#REF!/1000+#REF!*#REF!/1000+SUM(#REF!))/#REF!*1000)-#REF!)*#REF!*#REF!/1000</f>
        <v>#REF!</v>
      </c>
      <c r="YG223" s="86" t="e">
        <f>((#REF!+(#REF!*#REF!/1000+#REF!*#REF!/1000+#REF!*#REF!/1000+#REF!*#REF!/1000+SUM(#REF!))/#REF!*1000)-#REF!)*#REF!*#REF!/1000</f>
        <v>#REF!</v>
      </c>
      <c r="YH223" s="86" t="e">
        <f>((#REF!+(#REF!*#REF!/1000+#REF!*#REF!/1000+#REF!*#REF!/1000+#REF!*#REF!/1000+SUM(#REF!))/#REF!*1000)-#REF!)*#REF!*#REF!/1000</f>
        <v>#REF!</v>
      </c>
      <c r="YI223" s="86" t="e">
        <f>((#REF!+(#REF!*#REF!/1000+#REF!*#REF!/1000+#REF!*#REF!/1000+#REF!*#REF!/1000+SUM(#REF!))/#REF!*1000)-#REF!)*#REF!*#REF!/1000</f>
        <v>#REF!</v>
      </c>
      <c r="YJ223" s="86" t="e">
        <f>((#REF!+(#REF!*#REF!/1000+#REF!*#REF!/1000+#REF!*#REF!/1000+#REF!*#REF!/1000+SUM(#REF!))/#REF!*1000)-#REF!)*#REF!*#REF!/1000</f>
        <v>#REF!</v>
      </c>
      <c r="YK223" s="86" t="e">
        <f>((#REF!+(#REF!*#REF!/1000+#REF!*#REF!/1000+#REF!*#REF!/1000+#REF!*#REF!/1000+SUM(#REF!))/#REF!*1000)-#REF!)*#REF!*#REF!/1000</f>
        <v>#REF!</v>
      </c>
      <c r="YL223" s="86" t="e">
        <f>((#REF!+(#REF!*#REF!/1000+#REF!*#REF!/1000+#REF!*#REF!/1000+#REF!*#REF!/1000+SUM(#REF!))/#REF!*1000)-#REF!)*#REF!*#REF!/1000</f>
        <v>#REF!</v>
      </c>
      <c r="YM223" s="86" t="e">
        <f>((#REF!+(#REF!*#REF!/1000+#REF!*#REF!/1000+#REF!*#REF!/1000+#REF!*#REF!/1000+SUM(#REF!))/#REF!*1000)-#REF!)*#REF!*#REF!/1000</f>
        <v>#REF!</v>
      </c>
      <c r="YN223" s="86" t="e">
        <f>((#REF!+(#REF!*#REF!/1000+#REF!*#REF!/1000+#REF!*#REF!/1000+#REF!*#REF!/1000+SUM(#REF!))/#REF!*1000)-#REF!)*#REF!*#REF!/1000</f>
        <v>#REF!</v>
      </c>
      <c r="YO223" s="86" t="e">
        <f>((#REF!+(#REF!*#REF!/1000+#REF!*#REF!/1000+#REF!*#REF!/1000+#REF!*#REF!/1000+SUM(#REF!))/#REF!*1000)-#REF!)*#REF!*#REF!/1000</f>
        <v>#REF!</v>
      </c>
      <c r="YP223" s="86" t="e">
        <f>((#REF!+(#REF!*#REF!/1000+#REF!*#REF!/1000+#REF!*#REF!/1000+#REF!*#REF!/1000+SUM(#REF!))/#REF!*1000)-#REF!)*#REF!*#REF!/1000</f>
        <v>#REF!</v>
      </c>
      <c r="YQ223" s="86" t="e">
        <f>((#REF!+(#REF!*#REF!/1000+#REF!*#REF!/1000+#REF!*#REF!/1000+#REF!*#REF!/1000+SUM(#REF!))/#REF!*1000)-#REF!)*#REF!*#REF!/1000</f>
        <v>#REF!</v>
      </c>
      <c r="YR223" s="86" t="e">
        <f>((#REF!+(#REF!*#REF!/1000+#REF!*#REF!/1000+#REF!*#REF!/1000+#REF!*#REF!/1000+SUM(#REF!))/#REF!*1000)-#REF!)*#REF!*#REF!/1000</f>
        <v>#REF!</v>
      </c>
      <c r="YS223" s="86" t="e">
        <f>((#REF!+(#REF!*#REF!/1000+#REF!*#REF!/1000+#REF!*#REF!/1000+#REF!*#REF!/1000+SUM(#REF!))/#REF!*1000)-#REF!)*#REF!*#REF!/1000</f>
        <v>#REF!</v>
      </c>
      <c r="YT223" s="86" t="e">
        <f>((#REF!+(#REF!*#REF!/1000+#REF!*#REF!/1000+#REF!*#REF!/1000+#REF!*#REF!/1000+SUM(#REF!))/#REF!*1000)-#REF!)*#REF!*#REF!/1000</f>
        <v>#REF!</v>
      </c>
      <c r="YU223" s="86" t="e">
        <f>((#REF!+(#REF!*#REF!/1000+#REF!*#REF!/1000+#REF!*#REF!/1000+#REF!*#REF!/1000+SUM(#REF!))/#REF!*1000)-#REF!)*#REF!*#REF!/1000</f>
        <v>#REF!</v>
      </c>
      <c r="YV223" s="86" t="e">
        <f>((#REF!+(#REF!*#REF!/1000+#REF!*#REF!/1000+#REF!*#REF!/1000+#REF!*#REF!/1000+SUM(#REF!))/#REF!*1000)-#REF!)*#REF!*#REF!/1000</f>
        <v>#REF!</v>
      </c>
      <c r="YW223" s="86" t="e">
        <f>((#REF!+(#REF!*#REF!/1000+#REF!*#REF!/1000+#REF!*#REF!/1000+#REF!*#REF!/1000+SUM(#REF!))/#REF!*1000)-#REF!)*#REF!*#REF!/1000</f>
        <v>#REF!</v>
      </c>
      <c r="YX223" s="86" t="e">
        <f>((#REF!+(#REF!*#REF!/1000+#REF!*#REF!/1000+#REF!*#REF!/1000+#REF!*#REF!/1000+SUM(#REF!))/#REF!*1000)-#REF!)*#REF!*#REF!/1000</f>
        <v>#REF!</v>
      </c>
      <c r="YY223" s="86" t="e">
        <f>((#REF!+(#REF!*#REF!/1000+#REF!*#REF!/1000+#REF!*#REF!/1000+#REF!*#REF!/1000+SUM(#REF!))/#REF!*1000)-#REF!)*#REF!*#REF!/1000</f>
        <v>#REF!</v>
      </c>
      <c r="YZ223" s="86" t="e">
        <f>((#REF!+(#REF!*#REF!/1000+#REF!*#REF!/1000+#REF!*#REF!/1000+#REF!*#REF!/1000+SUM(#REF!))/#REF!*1000)-#REF!)*#REF!*#REF!/1000</f>
        <v>#REF!</v>
      </c>
      <c r="ZA223" s="86" t="e">
        <f>((#REF!+(#REF!*#REF!/1000+#REF!*#REF!/1000+#REF!*#REF!/1000+#REF!*#REF!/1000+SUM(#REF!))/#REF!*1000)-#REF!)*#REF!*#REF!/1000</f>
        <v>#REF!</v>
      </c>
      <c r="ZB223" s="86" t="e">
        <f>((#REF!+(#REF!*#REF!/1000+#REF!*#REF!/1000+#REF!*#REF!/1000+#REF!*#REF!/1000+SUM(#REF!))/#REF!*1000)-#REF!)*#REF!*#REF!/1000</f>
        <v>#REF!</v>
      </c>
      <c r="ZC223" s="86" t="e">
        <f>((#REF!+(#REF!*#REF!/1000+#REF!*#REF!/1000+#REF!*#REF!/1000+#REF!*#REF!/1000+SUM(#REF!))/#REF!*1000)-#REF!)*#REF!*#REF!/1000</f>
        <v>#REF!</v>
      </c>
      <c r="ZD223" s="86" t="e">
        <f>((#REF!+(#REF!*#REF!/1000+#REF!*#REF!/1000+#REF!*#REF!/1000+#REF!*#REF!/1000+SUM(#REF!))/#REF!*1000)-#REF!)*#REF!*#REF!/1000</f>
        <v>#REF!</v>
      </c>
      <c r="ZE223" s="86" t="e">
        <f>((#REF!+(#REF!*#REF!/1000+#REF!*#REF!/1000+#REF!*#REF!/1000+#REF!*#REF!/1000+SUM(#REF!))/#REF!*1000)-#REF!)*#REF!*#REF!/1000</f>
        <v>#REF!</v>
      </c>
      <c r="ZF223" s="86" t="e">
        <f>((#REF!+(#REF!*#REF!/1000+#REF!*#REF!/1000+#REF!*#REF!/1000+#REF!*#REF!/1000+SUM(#REF!))/#REF!*1000)-#REF!)*#REF!*#REF!/1000</f>
        <v>#REF!</v>
      </c>
      <c r="ZG223" s="86" t="e">
        <f>((#REF!+(#REF!*#REF!/1000+#REF!*#REF!/1000+#REF!*#REF!/1000+#REF!*#REF!/1000+SUM(#REF!))/#REF!*1000)-#REF!)*#REF!*#REF!/1000</f>
        <v>#REF!</v>
      </c>
      <c r="ZH223" s="86" t="e">
        <f>((#REF!+(#REF!*#REF!/1000+#REF!*#REF!/1000+#REF!*#REF!/1000+#REF!*#REF!/1000+SUM(#REF!))/#REF!*1000)-#REF!)*#REF!*#REF!/1000</f>
        <v>#REF!</v>
      </c>
      <c r="ZI223" s="86" t="e">
        <f>((#REF!+(#REF!*#REF!/1000+#REF!*#REF!/1000+#REF!*#REF!/1000+#REF!*#REF!/1000+SUM(#REF!))/#REF!*1000)-#REF!)*#REF!*#REF!/1000</f>
        <v>#REF!</v>
      </c>
      <c r="ZJ223" s="86" t="e">
        <f>((#REF!+(#REF!*#REF!/1000+#REF!*#REF!/1000+#REF!*#REF!/1000+#REF!*#REF!/1000+SUM(#REF!))/#REF!*1000)-#REF!)*#REF!*#REF!/1000</f>
        <v>#REF!</v>
      </c>
      <c r="ZK223" s="86" t="e">
        <f>((#REF!+(#REF!*#REF!/1000+#REF!*#REF!/1000+#REF!*#REF!/1000+#REF!*#REF!/1000+SUM(#REF!))/#REF!*1000)-#REF!)*#REF!*#REF!/1000</f>
        <v>#REF!</v>
      </c>
      <c r="ZL223" s="86" t="e">
        <f>((#REF!+(#REF!*#REF!/1000+#REF!*#REF!/1000+#REF!*#REF!/1000+#REF!*#REF!/1000+SUM(#REF!))/#REF!*1000)-#REF!)*#REF!*#REF!/1000</f>
        <v>#REF!</v>
      </c>
      <c r="ZM223" s="86" t="e">
        <f>((#REF!+(#REF!*#REF!/1000+#REF!*#REF!/1000+#REF!*#REF!/1000+#REF!*#REF!/1000+SUM(#REF!))/#REF!*1000)-#REF!)*#REF!*#REF!/1000</f>
        <v>#REF!</v>
      </c>
      <c r="ZN223" s="86" t="e">
        <f>((#REF!+(#REF!*#REF!/1000+#REF!*#REF!/1000+#REF!*#REF!/1000+#REF!*#REF!/1000+SUM(#REF!))/#REF!*1000)-#REF!)*#REF!*#REF!/1000</f>
        <v>#REF!</v>
      </c>
      <c r="ZO223" s="86" t="e">
        <f>((#REF!+(#REF!*#REF!/1000+#REF!*#REF!/1000+#REF!*#REF!/1000+#REF!*#REF!/1000+SUM(#REF!))/#REF!*1000)-#REF!)*#REF!*#REF!/1000</f>
        <v>#REF!</v>
      </c>
      <c r="ZP223" s="86" t="e">
        <f>((#REF!+(#REF!*#REF!/1000+#REF!*#REF!/1000+#REF!*#REF!/1000+#REF!*#REF!/1000+SUM(#REF!))/#REF!*1000)-#REF!)*#REF!*#REF!/1000</f>
        <v>#REF!</v>
      </c>
      <c r="ZQ223" s="86" t="e">
        <f>((#REF!+(#REF!*#REF!/1000+#REF!*#REF!/1000+#REF!*#REF!/1000+#REF!*#REF!/1000+SUM(#REF!))/#REF!*1000)-#REF!)*#REF!*#REF!/1000</f>
        <v>#REF!</v>
      </c>
      <c r="ZR223" s="86" t="e">
        <f>((#REF!+(#REF!*#REF!/1000+#REF!*#REF!/1000+#REF!*#REF!/1000+#REF!*#REF!/1000+SUM(#REF!))/#REF!*1000)-#REF!)*#REF!*#REF!/1000</f>
        <v>#REF!</v>
      </c>
      <c r="ZS223" s="86" t="e">
        <f>((#REF!+(#REF!*#REF!/1000+#REF!*#REF!/1000+#REF!*#REF!/1000+#REF!*#REF!/1000+SUM(#REF!))/#REF!*1000)-#REF!)*#REF!*#REF!/1000</f>
        <v>#REF!</v>
      </c>
      <c r="ZT223" s="86" t="e">
        <f>((#REF!+(#REF!*#REF!/1000+#REF!*#REF!/1000+#REF!*#REF!/1000+#REF!*#REF!/1000+SUM(#REF!))/#REF!*1000)-#REF!)*#REF!*#REF!/1000</f>
        <v>#REF!</v>
      </c>
      <c r="ZU223" s="86" t="e">
        <f>((#REF!+(#REF!*#REF!/1000+#REF!*#REF!/1000+#REF!*#REF!/1000+#REF!*#REF!/1000+SUM(#REF!))/#REF!*1000)-#REF!)*#REF!*#REF!/1000</f>
        <v>#REF!</v>
      </c>
      <c r="ZV223" s="86" t="e">
        <f>((#REF!+(#REF!*#REF!/1000+#REF!*#REF!/1000+#REF!*#REF!/1000+#REF!*#REF!/1000+SUM(#REF!))/#REF!*1000)-#REF!)*#REF!*#REF!/1000</f>
        <v>#REF!</v>
      </c>
      <c r="ZW223" s="86" t="e">
        <f>((#REF!+(#REF!*#REF!/1000+#REF!*#REF!/1000+#REF!*#REF!/1000+#REF!*#REF!/1000+SUM(#REF!))/#REF!*1000)-#REF!)*#REF!*#REF!/1000</f>
        <v>#REF!</v>
      </c>
      <c r="ZX223" s="86" t="e">
        <f>((#REF!+(#REF!*#REF!/1000+#REF!*#REF!/1000+#REF!*#REF!/1000+#REF!*#REF!/1000+SUM(#REF!))/#REF!*1000)-#REF!)*#REF!*#REF!/1000</f>
        <v>#REF!</v>
      </c>
      <c r="ZY223" s="86" t="e">
        <f>((#REF!+(#REF!*#REF!/1000+#REF!*#REF!/1000+#REF!*#REF!/1000+#REF!*#REF!/1000+SUM(#REF!))/#REF!*1000)-#REF!)*#REF!*#REF!/1000</f>
        <v>#REF!</v>
      </c>
      <c r="ZZ223" s="86" t="e">
        <f>((#REF!+(#REF!*#REF!/1000+#REF!*#REF!/1000+#REF!*#REF!/1000+#REF!*#REF!/1000+SUM(#REF!))/#REF!*1000)-#REF!)*#REF!*#REF!/1000</f>
        <v>#REF!</v>
      </c>
      <c r="AAA223" s="86" t="e">
        <f>((#REF!+(#REF!*#REF!/1000+#REF!*#REF!/1000+#REF!*#REF!/1000+#REF!*#REF!/1000+SUM(#REF!))/#REF!*1000)-#REF!)*#REF!*#REF!/1000</f>
        <v>#REF!</v>
      </c>
      <c r="AAB223" s="86" t="e">
        <f>((#REF!+(#REF!*#REF!/1000+#REF!*#REF!/1000+#REF!*#REF!/1000+#REF!*#REF!/1000+SUM(#REF!))/#REF!*1000)-#REF!)*#REF!*#REF!/1000</f>
        <v>#REF!</v>
      </c>
      <c r="AAC223" s="86" t="e">
        <f>((#REF!+(#REF!*#REF!/1000+#REF!*#REF!/1000+#REF!*#REF!/1000+#REF!*#REF!/1000+SUM(#REF!))/#REF!*1000)-#REF!)*#REF!*#REF!/1000</f>
        <v>#REF!</v>
      </c>
      <c r="AAD223" s="86" t="e">
        <f>((#REF!+(#REF!*#REF!/1000+#REF!*#REF!/1000+#REF!*#REF!/1000+#REF!*#REF!/1000+SUM(#REF!))/#REF!*1000)-#REF!)*#REF!*#REF!/1000</f>
        <v>#REF!</v>
      </c>
      <c r="AAE223" s="86" t="e">
        <f>((#REF!+(#REF!*#REF!/1000+#REF!*#REF!/1000+#REF!*#REF!/1000+#REF!*#REF!/1000+SUM(#REF!))/#REF!*1000)-#REF!)*#REF!*#REF!/1000</f>
        <v>#REF!</v>
      </c>
      <c r="AAF223" s="86" t="e">
        <f>((#REF!+(#REF!*#REF!/1000+#REF!*#REF!/1000+#REF!*#REF!/1000+#REF!*#REF!/1000+SUM(#REF!))/#REF!*1000)-#REF!)*#REF!*#REF!/1000</f>
        <v>#REF!</v>
      </c>
      <c r="AAG223" s="86" t="e">
        <f>((#REF!+(#REF!*#REF!/1000+#REF!*#REF!/1000+#REF!*#REF!/1000+#REF!*#REF!/1000+SUM(#REF!))/#REF!*1000)-#REF!)*#REF!*#REF!/1000</f>
        <v>#REF!</v>
      </c>
      <c r="AAH223" s="86" t="e">
        <f>((#REF!+(#REF!*#REF!/1000+#REF!*#REF!/1000+#REF!*#REF!/1000+#REF!*#REF!/1000+SUM(#REF!))/#REF!*1000)-#REF!)*#REF!*#REF!/1000</f>
        <v>#REF!</v>
      </c>
      <c r="AAI223" s="86" t="e">
        <f>((#REF!+(#REF!*#REF!/1000+#REF!*#REF!/1000+#REF!*#REF!/1000+#REF!*#REF!/1000+SUM(#REF!))/#REF!*1000)-#REF!)*#REF!*#REF!/1000</f>
        <v>#REF!</v>
      </c>
      <c r="AAJ223" s="86" t="e">
        <f>((#REF!+(#REF!*#REF!/1000+#REF!*#REF!/1000+#REF!*#REF!/1000+#REF!*#REF!/1000+SUM(#REF!))/#REF!*1000)-#REF!)*#REF!*#REF!/1000</f>
        <v>#REF!</v>
      </c>
      <c r="AAK223" s="86" t="e">
        <f>((#REF!+(#REF!*#REF!/1000+#REF!*#REF!/1000+#REF!*#REF!/1000+#REF!*#REF!/1000+SUM(#REF!))/#REF!*1000)-#REF!)*#REF!*#REF!/1000</f>
        <v>#REF!</v>
      </c>
      <c r="AAL223" s="86" t="e">
        <f>((#REF!+(#REF!*#REF!/1000+#REF!*#REF!/1000+#REF!*#REF!/1000+#REF!*#REF!/1000+SUM(#REF!))/#REF!*1000)-#REF!)*#REF!*#REF!/1000</f>
        <v>#REF!</v>
      </c>
      <c r="AAM223" s="86" t="e">
        <f>((#REF!+(#REF!*#REF!/1000+#REF!*#REF!/1000+#REF!*#REF!/1000+#REF!*#REF!/1000+SUM(#REF!))/#REF!*1000)-#REF!)*#REF!*#REF!/1000</f>
        <v>#REF!</v>
      </c>
      <c r="AAN223" s="86" t="e">
        <f>((#REF!+(#REF!*#REF!/1000+#REF!*#REF!/1000+#REF!*#REF!/1000+#REF!*#REF!/1000+SUM(#REF!))/#REF!*1000)-#REF!)*#REF!*#REF!/1000</f>
        <v>#REF!</v>
      </c>
      <c r="AAO223" s="86" t="e">
        <f>((#REF!+(#REF!*#REF!/1000+#REF!*#REF!/1000+#REF!*#REF!/1000+#REF!*#REF!/1000+SUM(#REF!))/#REF!*1000)-#REF!)*#REF!*#REF!/1000</f>
        <v>#REF!</v>
      </c>
      <c r="AAP223" s="86" t="e">
        <f>((#REF!+(#REF!*#REF!/1000+#REF!*#REF!/1000+#REF!*#REF!/1000+#REF!*#REF!/1000+SUM(#REF!))/#REF!*1000)-#REF!)*#REF!*#REF!/1000</f>
        <v>#REF!</v>
      </c>
      <c r="AAQ223" s="86" t="e">
        <f>((#REF!+(#REF!*#REF!/1000+#REF!*#REF!/1000+#REF!*#REF!/1000+#REF!*#REF!/1000+SUM(#REF!))/#REF!*1000)-#REF!)*#REF!*#REF!/1000</f>
        <v>#REF!</v>
      </c>
      <c r="AAR223" s="86" t="e">
        <f>((#REF!+(#REF!*#REF!/1000+#REF!*#REF!/1000+#REF!*#REF!/1000+#REF!*#REF!/1000+SUM(#REF!))/#REF!*1000)-#REF!)*#REF!*#REF!/1000</f>
        <v>#REF!</v>
      </c>
      <c r="AAS223" s="86" t="e">
        <f>((#REF!+(#REF!*#REF!/1000+#REF!*#REF!/1000+#REF!*#REF!/1000+#REF!*#REF!/1000+SUM(#REF!))/#REF!*1000)-#REF!)*#REF!*#REF!/1000</f>
        <v>#REF!</v>
      </c>
      <c r="AAT223" s="86" t="e">
        <f>((#REF!+(#REF!*#REF!/1000+#REF!*#REF!/1000+#REF!*#REF!/1000+#REF!*#REF!/1000+SUM(#REF!))/#REF!*1000)-#REF!)*#REF!*#REF!/1000</f>
        <v>#REF!</v>
      </c>
      <c r="AAU223" s="86" t="e">
        <f>((#REF!+(#REF!*#REF!/1000+#REF!*#REF!/1000+#REF!*#REF!/1000+#REF!*#REF!/1000+SUM(#REF!))/#REF!*1000)-#REF!)*#REF!*#REF!/1000</f>
        <v>#REF!</v>
      </c>
      <c r="AAV223" s="86" t="e">
        <f>((#REF!+(#REF!*#REF!/1000+#REF!*#REF!/1000+#REF!*#REF!/1000+#REF!*#REF!/1000+SUM(#REF!))/#REF!*1000)-#REF!)*#REF!*#REF!/1000</f>
        <v>#REF!</v>
      </c>
      <c r="AAW223" s="86" t="e">
        <f>((#REF!+(#REF!*#REF!/1000+#REF!*#REF!/1000+#REF!*#REF!/1000+#REF!*#REF!/1000+SUM(#REF!))/#REF!*1000)-#REF!)*#REF!*#REF!/1000</f>
        <v>#REF!</v>
      </c>
      <c r="AAX223" s="86" t="e">
        <f>((#REF!+(#REF!*#REF!/1000+#REF!*#REF!/1000+#REF!*#REF!/1000+#REF!*#REF!/1000+SUM(#REF!))/#REF!*1000)-#REF!)*#REF!*#REF!/1000</f>
        <v>#REF!</v>
      </c>
      <c r="AAY223" s="86" t="e">
        <f>((#REF!+(#REF!*#REF!/1000+#REF!*#REF!/1000+#REF!*#REF!/1000+#REF!*#REF!/1000+SUM(#REF!))/#REF!*1000)-#REF!)*#REF!*#REF!/1000</f>
        <v>#REF!</v>
      </c>
      <c r="AAZ223" s="86" t="e">
        <f>((#REF!+(#REF!*#REF!/1000+#REF!*#REF!/1000+#REF!*#REF!/1000+#REF!*#REF!/1000+SUM(#REF!))/#REF!*1000)-#REF!)*#REF!*#REF!/1000</f>
        <v>#REF!</v>
      </c>
      <c r="ABA223" s="86" t="e">
        <f>((#REF!+(#REF!*#REF!/1000+#REF!*#REF!/1000+#REF!*#REF!/1000+#REF!*#REF!/1000+SUM(#REF!))/#REF!*1000)-#REF!)*#REF!*#REF!/1000</f>
        <v>#REF!</v>
      </c>
      <c r="ABB223" s="86" t="e">
        <f>((#REF!+(#REF!*#REF!/1000+#REF!*#REF!/1000+#REF!*#REF!/1000+#REF!*#REF!/1000+SUM(#REF!))/#REF!*1000)-#REF!)*#REF!*#REF!/1000</f>
        <v>#REF!</v>
      </c>
      <c r="ABC223" s="86" t="e">
        <f>((#REF!+(#REF!*#REF!/1000+#REF!*#REF!/1000+#REF!*#REF!/1000+#REF!*#REF!/1000+SUM(#REF!))/#REF!*1000)-#REF!)*#REF!*#REF!/1000</f>
        <v>#REF!</v>
      </c>
      <c r="ABD223" s="86" t="e">
        <f>((#REF!+(#REF!*#REF!/1000+#REF!*#REF!/1000+#REF!*#REF!/1000+#REF!*#REF!/1000+SUM(#REF!))/#REF!*1000)-#REF!)*#REF!*#REF!/1000</f>
        <v>#REF!</v>
      </c>
      <c r="ABE223" s="86" t="e">
        <f>((#REF!+(#REF!*#REF!/1000+#REF!*#REF!/1000+#REF!*#REF!/1000+#REF!*#REF!/1000+SUM(#REF!))/#REF!*1000)-#REF!)*#REF!*#REF!/1000</f>
        <v>#REF!</v>
      </c>
      <c r="ABF223" s="86" t="e">
        <f>((#REF!+(#REF!*#REF!/1000+#REF!*#REF!/1000+#REF!*#REF!/1000+#REF!*#REF!/1000+SUM(#REF!))/#REF!*1000)-#REF!)*#REF!*#REF!/1000</f>
        <v>#REF!</v>
      </c>
      <c r="ABG223" s="86" t="e">
        <f>((#REF!+(#REF!*#REF!/1000+#REF!*#REF!/1000+#REF!*#REF!/1000+#REF!*#REF!/1000+SUM(#REF!))/#REF!*1000)-#REF!)*#REF!*#REF!/1000</f>
        <v>#REF!</v>
      </c>
      <c r="ABH223" s="86" t="e">
        <f>((#REF!+(#REF!*#REF!/1000+#REF!*#REF!/1000+#REF!*#REF!/1000+#REF!*#REF!/1000+SUM(#REF!))/#REF!*1000)-#REF!)*#REF!*#REF!/1000</f>
        <v>#REF!</v>
      </c>
      <c r="ABI223" s="86" t="e">
        <f>((#REF!+(#REF!*#REF!/1000+#REF!*#REF!/1000+#REF!*#REF!/1000+#REF!*#REF!/1000+SUM(#REF!))/#REF!*1000)-#REF!)*#REF!*#REF!/1000</f>
        <v>#REF!</v>
      </c>
      <c r="ABJ223" s="86" t="e">
        <f>((#REF!+(#REF!*#REF!/1000+#REF!*#REF!/1000+#REF!*#REF!/1000+#REF!*#REF!/1000+SUM(#REF!))/#REF!*1000)-#REF!)*#REF!*#REF!/1000</f>
        <v>#REF!</v>
      </c>
      <c r="ABK223" s="86" t="e">
        <f>((#REF!+(#REF!*#REF!/1000+#REF!*#REF!/1000+#REF!*#REF!/1000+#REF!*#REF!/1000+SUM(#REF!))/#REF!*1000)-#REF!)*#REF!*#REF!/1000</f>
        <v>#REF!</v>
      </c>
      <c r="ABL223" s="86" t="e">
        <f>((#REF!+(#REF!*#REF!/1000+#REF!*#REF!/1000+#REF!*#REF!/1000+#REF!*#REF!/1000+SUM(#REF!))/#REF!*1000)-#REF!)*#REF!*#REF!/1000</f>
        <v>#REF!</v>
      </c>
      <c r="ABM223" s="86" t="e">
        <f>((#REF!+(#REF!*#REF!/1000+#REF!*#REF!/1000+#REF!*#REF!/1000+#REF!*#REF!/1000+SUM(#REF!))/#REF!*1000)-#REF!)*#REF!*#REF!/1000</f>
        <v>#REF!</v>
      </c>
      <c r="ABN223" s="86" t="e">
        <f>((#REF!+(#REF!*#REF!/1000+#REF!*#REF!/1000+#REF!*#REF!/1000+#REF!*#REF!/1000+SUM(#REF!))/#REF!*1000)-#REF!)*#REF!*#REF!/1000</f>
        <v>#REF!</v>
      </c>
      <c r="ABO223" s="86" t="e">
        <f>((#REF!+(#REF!*#REF!/1000+#REF!*#REF!/1000+#REF!*#REF!/1000+#REF!*#REF!/1000+SUM(#REF!))/#REF!*1000)-#REF!)*#REF!*#REF!/1000</f>
        <v>#REF!</v>
      </c>
      <c r="ABP223" s="86" t="e">
        <f>((#REF!+(#REF!*#REF!/1000+#REF!*#REF!/1000+#REF!*#REF!/1000+#REF!*#REF!/1000+SUM(#REF!))/#REF!*1000)-#REF!)*#REF!*#REF!/1000</f>
        <v>#REF!</v>
      </c>
      <c r="ABQ223" s="86" t="e">
        <f>((#REF!+(#REF!*#REF!/1000+#REF!*#REF!/1000+#REF!*#REF!/1000+#REF!*#REF!/1000+SUM(#REF!))/#REF!*1000)-#REF!)*#REF!*#REF!/1000</f>
        <v>#REF!</v>
      </c>
      <c r="ABR223" s="86" t="e">
        <f>((#REF!+(#REF!*#REF!/1000+#REF!*#REF!/1000+#REF!*#REF!/1000+#REF!*#REF!/1000+SUM(#REF!))/#REF!*1000)-#REF!)*#REF!*#REF!/1000</f>
        <v>#REF!</v>
      </c>
      <c r="ABS223" s="86" t="e">
        <f>((#REF!+(#REF!*#REF!/1000+#REF!*#REF!/1000+#REF!*#REF!/1000+#REF!*#REF!/1000+SUM(#REF!))/#REF!*1000)-#REF!)*#REF!*#REF!/1000</f>
        <v>#REF!</v>
      </c>
      <c r="ABT223" s="86" t="e">
        <f>((#REF!+(#REF!*#REF!/1000+#REF!*#REF!/1000+#REF!*#REF!/1000+#REF!*#REF!/1000+SUM(#REF!))/#REF!*1000)-#REF!)*#REF!*#REF!/1000</f>
        <v>#REF!</v>
      </c>
      <c r="ABU223" s="86" t="e">
        <f>((#REF!+(#REF!*#REF!/1000+#REF!*#REF!/1000+#REF!*#REF!/1000+#REF!*#REF!/1000+SUM(#REF!))/#REF!*1000)-#REF!)*#REF!*#REF!/1000</f>
        <v>#REF!</v>
      </c>
      <c r="ABV223" s="86" t="e">
        <f>((#REF!+(#REF!*#REF!/1000+#REF!*#REF!/1000+#REF!*#REF!/1000+#REF!*#REF!/1000+SUM(#REF!))/#REF!*1000)-#REF!)*#REF!*#REF!/1000</f>
        <v>#REF!</v>
      </c>
      <c r="ABW223" s="86" t="e">
        <f>((#REF!+(#REF!*#REF!/1000+#REF!*#REF!/1000+#REF!*#REF!/1000+#REF!*#REF!/1000+SUM(#REF!))/#REF!*1000)-#REF!)*#REF!*#REF!/1000</f>
        <v>#REF!</v>
      </c>
      <c r="ABX223" s="86" t="e">
        <f>((#REF!+(#REF!*#REF!/1000+#REF!*#REF!/1000+#REF!*#REF!/1000+#REF!*#REF!/1000+SUM(#REF!))/#REF!*1000)-#REF!)*#REF!*#REF!/1000</f>
        <v>#REF!</v>
      </c>
      <c r="ABY223" s="86" t="e">
        <f>((#REF!+(#REF!*#REF!/1000+#REF!*#REF!/1000+#REF!*#REF!/1000+#REF!*#REF!/1000+SUM(#REF!))/#REF!*1000)-#REF!)*#REF!*#REF!/1000</f>
        <v>#REF!</v>
      </c>
      <c r="ABZ223" s="86" t="e">
        <f>((#REF!+(#REF!*#REF!/1000+#REF!*#REF!/1000+#REF!*#REF!/1000+#REF!*#REF!/1000+SUM(#REF!))/#REF!*1000)-#REF!)*#REF!*#REF!/1000</f>
        <v>#REF!</v>
      </c>
      <c r="ACA223" s="86" t="e">
        <f>((#REF!+(#REF!*#REF!/1000+#REF!*#REF!/1000+#REF!*#REF!/1000+#REF!*#REF!/1000+SUM(#REF!))/#REF!*1000)-#REF!)*#REF!*#REF!/1000</f>
        <v>#REF!</v>
      </c>
      <c r="ACB223" s="86" t="e">
        <f>((#REF!+(#REF!*#REF!/1000+#REF!*#REF!/1000+#REF!*#REF!/1000+#REF!*#REF!/1000+SUM(#REF!))/#REF!*1000)-#REF!)*#REF!*#REF!/1000</f>
        <v>#REF!</v>
      </c>
      <c r="ACC223" s="86" t="e">
        <f>((#REF!+(#REF!*#REF!/1000+#REF!*#REF!/1000+#REF!*#REF!/1000+#REF!*#REF!/1000+SUM(#REF!))/#REF!*1000)-#REF!)*#REF!*#REF!/1000</f>
        <v>#REF!</v>
      </c>
      <c r="ACD223" s="86" t="e">
        <f>((#REF!+(#REF!*#REF!/1000+#REF!*#REF!/1000+#REF!*#REF!/1000+#REF!*#REF!/1000+SUM(#REF!))/#REF!*1000)-#REF!)*#REF!*#REF!/1000</f>
        <v>#REF!</v>
      </c>
      <c r="ACE223" s="86" t="e">
        <f>((#REF!+(#REF!*#REF!/1000+#REF!*#REF!/1000+#REF!*#REF!/1000+#REF!*#REF!/1000+SUM(#REF!))/#REF!*1000)-#REF!)*#REF!*#REF!/1000</f>
        <v>#REF!</v>
      </c>
      <c r="ACF223" s="86" t="e">
        <f>((#REF!+(#REF!*#REF!/1000+#REF!*#REF!/1000+#REF!*#REF!/1000+#REF!*#REF!/1000+SUM(#REF!))/#REF!*1000)-#REF!)*#REF!*#REF!/1000</f>
        <v>#REF!</v>
      </c>
      <c r="ACG223" s="86" t="e">
        <f>((#REF!+(#REF!*#REF!/1000+#REF!*#REF!/1000+#REF!*#REF!/1000+#REF!*#REF!/1000+SUM(#REF!))/#REF!*1000)-#REF!)*#REF!*#REF!/1000</f>
        <v>#REF!</v>
      </c>
      <c r="ACH223" s="86" t="e">
        <f>((#REF!+(#REF!*#REF!/1000+#REF!*#REF!/1000+#REF!*#REF!/1000+#REF!*#REF!/1000+SUM(#REF!))/#REF!*1000)-#REF!)*#REF!*#REF!/1000</f>
        <v>#REF!</v>
      </c>
      <c r="ACI223" s="86" t="e">
        <f>((#REF!+(#REF!*#REF!/1000+#REF!*#REF!/1000+#REF!*#REF!/1000+#REF!*#REF!/1000+SUM(#REF!))/#REF!*1000)-#REF!)*#REF!*#REF!/1000</f>
        <v>#REF!</v>
      </c>
      <c r="ACJ223" s="86" t="e">
        <f>((#REF!+(#REF!*#REF!/1000+#REF!*#REF!/1000+#REF!*#REF!/1000+#REF!*#REF!/1000+SUM(#REF!))/#REF!*1000)-#REF!)*#REF!*#REF!/1000</f>
        <v>#REF!</v>
      </c>
      <c r="ACK223" s="86" t="e">
        <f>((#REF!+(#REF!*#REF!/1000+#REF!*#REF!/1000+#REF!*#REF!/1000+#REF!*#REF!/1000+SUM(#REF!))/#REF!*1000)-#REF!)*#REF!*#REF!/1000</f>
        <v>#REF!</v>
      </c>
      <c r="ACL223" s="86" t="e">
        <f>((#REF!+(#REF!*#REF!/1000+#REF!*#REF!/1000+#REF!*#REF!/1000+#REF!*#REF!/1000+SUM(#REF!))/#REF!*1000)-#REF!)*#REF!*#REF!/1000</f>
        <v>#REF!</v>
      </c>
      <c r="ACM223" s="86" t="e">
        <f>((#REF!+(#REF!*#REF!/1000+#REF!*#REF!/1000+#REF!*#REF!/1000+#REF!*#REF!/1000+SUM(#REF!))/#REF!*1000)-#REF!)*#REF!*#REF!/1000</f>
        <v>#REF!</v>
      </c>
      <c r="ACN223" s="86" t="e">
        <f>((#REF!+(#REF!*#REF!/1000+#REF!*#REF!/1000+#REF!*#REF!/1000+#REF!*#REF!/1000+SUM(#REF!))/#REF!*1000)-#REF!)*#REF!*#REF!/1000</f>
        <v>#REF!</v>
      </c>
      <c r="ACO223" s="86" t="e">
        <f>((#REF!+(#REF!*#REF!/1000+#REF!*#REF!/1000+#REF!*#REF!/1000+#REF!*#REF!/1000+SUM(#REF!))/#REF!*1000)-#REF!)*#REF!*#REF!/1000</f>
        <v>#REF!</v>
      </c>
      <c r="ACP223" s="86" t="e">
        <f>((#REF!+(#REF!*#REF!/1000+#REF!*#REF!/1000+#REF!*#REF!/1000+#REF!*#REF!/1000+SUM(#REF!))/#REF!*1000)-#REF!)*#REF!*#REF!/1000</f>
        <v>#REF!</v>
      </c>
      <c r="ACQ223" s="86" t="e">
        <f>((#REF!+(#REF!*#REF!/1000+#REF!*#REF!/1000+#REF!*#REF!/1000+#REF!*#REF!/1000+SUM(#REF!))/#REF!*1000)-#REF!)*#REF!*#REF!/1000</f>
        <v>#REF!</v>
      </c>
      <c r="ACR223" s="86" t="e">
        <f>((#REF!+(#REF!*#REF!/1000+#REF!*#REF!/1000+#REF!*#REF!/1000+#REF!*#REF!/1000+SUM(#REF!))/#REF!*1000)-#REF!)*#REF!*#REF!/1000</f>
        <v>#REF!</v>
      </c>
      <c r="ACS223" s="86" t="e">
        <f>((#REF!+(#REF!*#REF!/1000+#REF!*#REF!/1000+#REF!*#REF!/1000+#REF!*#REF!/1000+SUM(#REF!))/#REF!*1000)-#REF!)*#REF!*#REF!/1000</f>
        <v>#REF!</v>
      </c>
      <c r="ACT223" s="86" t="e">
        <f>((#REF!+(#REF!*#REF!/1000+#REF!*#REF!/1000+#REF!*#REF!/1000+#REF!*#REF!/1000+SUM(#REF!))/#REF!*1000)-#REF!)*#REF!*#REF!/1000</f>
        <v>#REF!</v>
      </c>
      <c r="ACU223" s="86" t="e">
        <f>((#REF!+(#REF!*#REF!/1000+#REF!*#REF!/1000+#REF!*#REF!/1000+#REF!*#REF!/1000+SUM(#REF!))/#REF!*1000)-#REF!)*#REF!*#REF!/1000</f>
        <v>#REF!</v>
      </c>
      <c r="ACV223" s="86" t="e">
        <f>((#REF!+(#REF!*#REF!/1000+#REF!*#REF!/1000+#REF!*#REF!/1000+#REF!*#REF!/1000+SUM(#REF!))/#REF!*1000)-#REF!)*#REF!*#REF!/1000</f>
        <v>#REF!</v>
      </c>
      <c r="ACW223" s="86" t="e">
        <f>((#REF!+(#REF!*#REF!/1000+#REF!*#REF!/1000+#REF!*#REF!/1000+#REF!*#REF!/1000+SUM(#REF!))/#REF!*1000)-#REF!)*#REF!*#REF!/1000</f>
        <v>#REF!</v>
      </c>
      <c r="ACX223" s="86" t="e">
        <f>((#REF!+(#REF!*#REF!/1000+#REF!*#REF!/1000+#REF!*#REF!/1000+#REF!*#REF!/1000+SUM(#REF!))/#REF!*1000)-#REF!)*#REF!*#REF!/1000</f>
        <v>#REF!</v>
      </c>
      <c r="ACY223" s="86"/>
      <c r="ACZ223" s="86"/>
      <c r="ADA223" s="86"/>
      <c r="ADB223" s="86"/>
      <c r="ADC223" s="86"/>
      <c r="ADD223" s="86"/>
      <c r="ADE223" s="86"/>
      <c r="ADF223" s="86"/>
      <c r="ADG223" s="86"/>
      <c r="ADH223" s="86"/>
      <c r="ADI223" s="86"/>
      <c r="ADJ223" s="86"/>
      <c r="ADK223" s="86"/>
      <c r="ADL223" s="86"/>
      <c r="ADM223" s="86"/>
      <c r="ADN223" s="86"/>
      <c r="AQP223" s="165"/>
    </row>
    <row r="224" spans="2:794 1050:1134" ht="14.25" x14ac:dyDescent="0.45">
      <c r="D224" t="s">
        <v>407</v>
      </c>
      <c r="E224" s="79" t="e">
        <f>SUM(E220:E223)</f>
        <v>#REF!</v>
      </c>
      <c r="F224" s="79" t="e">
        <f t="shared" ref="F224:H224" si="379">SUM(F220:F223)</f>
        <v>#REF!</v>
      </c>
      <c r="G224" s="79" t="e">
        <f t="shared" si="379"/>
        <v>#REF!</v>
      </c>
      <c r="H224" s="79" t="e">
        <f t="shared" si="379"/>
        <v>#REF!</v>
      </c>
      <c r="I224" s="79" t="e">
        <f>SUM(I220:I223)</f>
        <v>#REF!</v>
      </c>
      <c r="J224" s="79" t="e">
        <f t="shared" ref="J224:K224" si="380">SUM(J220:J223)</f>
        <v>#REF!</v>
      </c>
      <c r="K224" s="79" t="e">
        <f t="shared" si="380"/>
        <v>#REF!</v>
      </c>
      <c r="L224" s="79" t="e">
        <f t="shared" ref="L224:V224" si="381">SUM(L220:L223)</f>
        <v>#REF!</v>
      </c>
      <c r="M224" s="79" t="e">
        <f t="shared" si="381"/>
        <v>#REF!</v>
      </c>
      <c r="N224" s="79" t="e">
        <f t="shared" si="381"/>
        <v>#REF!</v>
      </c>
      <c r="O224" s="79" t="e">
        <f t="shared" si="381"/>
        <v>#REF!</v>
      </c>
      <c r="P224" s="79" t="e">
        <f t="shared" si="381"/>
        <v>#REF!</v>
      </c>
      <c r="Q224" s="79" t="e">
        <f t="shared" si="381"/>
        <v>#REF!</v>
      </c>
      <c r="R224" s="79" t="e">
        <f t="shared" si="381"/>
        <v>#REF!</v>
      </c>
      <c r="S224" s="79" t="e">
        <f t="shared" si="381"/>
        <v>#REF!</v>
      </c>
      <c r="T224" s="79" t="e">
        <f t="shared" si="381"/>
        <v>#REF!</v>
      </c>
      <c r="U224" s="79" t="e">
        <f t="shared" si="381"/>
        <v>#REF!</v>
      </c>
      <c r="V224" s="79" t="e">
        <f t="shared" si="381"/>
        <v>#REF!</v>
      </c>
      <c r="W224" s="79" t="e">
        <f t="shared" ref="W224:AK224" si="382">SUM(W220:W223)</f>
        <v>#REF!</v>
      </c>
      <c r="X224" s="79" t="e">
        <f t="shared" si="382"/>
        <v>#REF!</v>
      </c>
      <c r="Y224" s="79" t="e">
        <f t="shared" si="382"/>
        <v>#REF!</v>
      </c>
      <c r="Z224" s="79" t="e">
        <f t="shared" si="382"/>
        <v>#REF!</v>
      </c>
      <c r="AA224" s="79" t="e">
        <f t="shared" si="382"/>
        <v>#REF!</v>
      </c>
      <c r="AB224" s="79" t="e">
        <f t="shared" si="382"/>
        <v>#REF!</v>
      </c>
      <c r="AC224" s="79" t="e">
        <f t="shared" si="382"/>
        <v>#REF!</v>
      </c>
      <c r="AD224" s="79" t="e">
        <f t="shared" si="382"/>
        <v>#REF!</v>
      </c>
      <c r="AE224" s="79" t="e">
        <f t="shared" si="382"/>
        <v>#REF!</v>
      </c>
      <c r="AF224" s="79" t="e">
        <f t="shared" si="382"/>
        <v>#REF!</v>
      </c>
      <c r="AG224" s="79" t="e">
        <f t="shared" si="382"/>
        <v>#REF!</v>
      </c>
      <c r="AH224" s="79" t="e">
        <f t="shared" si="382"/>
        <v>#REF!</v>
      </c>
      <c r="AI224" s="79" t="e">
        <f t="shared" si="382"/>
        <v>#REF!</v>
      </c>
      <c r="AJ224" s="79" t="e">
        <f t="shared" si="382"/>
        <v>#REF!</v>
      </c>
      <c r="AK224" s="79" t="e">
        <f t="shared" si="382"/>
        <v>#REF!</v>
      </c>
      <c r="AL224" s="79" t="e">
        <f t="shared" ref="AL224:CW224" si="383">SUM(AL220:AL223)</f>
        <v>#REF!</v>
      </c>
      <c r="AM224" s="79" t="e">
        <f t="shared" si="383"/>
        <v>#REF!</v>
      </c>
      <c r="AN224" s="79" t="e">
        <f t="shared" si="383"/>
        <v>#REF!</v>
      </c>
      <c r="AO224" s="79" t="e">
        <f t="shared" si="383"/>
        <v>#REF!</v>
      </c>
      <c r="AP224" s="79" t="e">
        <f t="shared" si="383"/>
        <v>#REF!</v>
      </c>
      <c r="AQ224" s="79" t="e">
        <f t="shared" si="383"/>
        <v>#REF!</v>
      </c>
      <c r="AR224" s="79" t="e">
        <f t="shared" si="383"/>
        <v>#REF!</v>
      </c>
      <c r="AS224" s="79" t="e">
        <f t="shared" si="383"/>
        <v>#REF!</v>
      </c>
      <c r="AT224" s="79" t="e">
        <f t="shared" si="383"/>
        <v>#REF!</v>
      </c>
      <c r="AU224" s="79" t="e">
        <f t="shared" si="383"/>
        <v>#REF!</v>
      </c>
      <c r="AV224" s="79" t="e">
        <f t="shared" si="383"/>
        <v>#REF!</v>
      </c>
      <c r="AW224" s="79" t="e">
        <f t="shared" si="383"/>
        <v>#REF!</v>
      </c>
      <c r="AX224" s="79" t="e">
        <f t="shared" si="383"/>
        <v>#REF!</v>
      </c>
      <c r="AY224" s="79" t="e">
        <f t="shared" si="383"/>
        <v>#REF!</v>
      </c>
      <c r="AZ224" s="79" t="e">
        <f t="shared" si="383"/>
        <v>#REF!</v>
      </c>
      <c r="BA224" s="79" t="e">
        <f t="shared" si="383"/>
        <v>#REF!</v>
      </c>
      <c r="BB224" s="79" t="e">
        <f t="shared" si="383"/>
        <v>#REF!</v>
      </c>
      <c r="BC224" s="79" t="e">
        <f t="shared" si="383"/>
        <v>#REF!</v>
      </c>
      <c r="BD224" s="79" t="e">
        <f t="shared" si="383"/>
        <v>#REF!</v>
      </c>
      <c r="BE224" s="79" t="e">
        <f t="shared" si="383"/>
        <v>#REF!</v>
      </c>
      <c r="BF224" s="79" t="e">
        <f t="shared" si="383"/>
        <v>#REF!</v>
      </c>
      <c r="BG224" s="79" t="e">
        <f t="shared" si="383"/>
        <v>#REF!</v>
      </c>
      <c r="BH224" s="79" t="e">
        <f t="shared" si="383"/>
        <v>#REF!</v>
      </c>
      <c r="BI224" s="79" t="e">
        <f t="shared" si="383"/>
        <v>#REF!</v>
      </c>
      <c r="BJ224" s="79" t="e">
        <f t="shared" si="383"/>
        <v>#REF!</v>
      </c>
      <c r="BK224" s="79" t="e">
        <f t="shared" si="383"/>
        <v>#REF!</v>
      </c>
      <c r="BL224" s="79" t="e">
        <f t="shared" si="383"/>
        <v>#REF!</v>
      </c>
      <c r="BM224" s="79" t="e">
        <f t="shared" si="383"/>
        <v>#REF!</v>
      </c>
      <c r="BN224" s="79" t="e">
        <f t="shared" si="383"/>
        <v>#REF!</v>
      </c>
      <c r="BO224" s="79" t="e">
        <f t="shared" si="383"/>
        <v>#REF!</v>
      </c>
      <c r="BP224" s="79" t="e">
        <f t="shared" si="383"/>
        <v>#REF!</v>
      </c>
      <c r="BQ224" s="79" t="e">
        <f t="shared" si="383"/>
        <v>#REF!</v>
      </c>
      <c r="BR224" s="79" t="e">
        <f t="shared" si="383"/>
        <v>#REF!</v>
      </c>
      <c r="BS224" s="79" t="e">
        <f t="shared" si="383"/>
        <v>#REF!</v>
      </c>
      <c r="BT224" s="79" t="e">
        <f t="shared" si="383"/>
        <v>#REF!</v>
      </c>
      <c r="BU224" s="79" t="e">
        <f t="shared" si="383"/>
        <v>#REF!</v>
      </c>
      <c r="BV224" s="79" t="e">
        <f t="shared" si="383"/>
        <v>#REF!</v>
      </c>
      <c r="BW224" s="79" t="e">
        <f t="shared" si="383"/>
        <v>#REF!</v>
      </c>
      <c r="BX224" s="79" t="e">
        <f t="shared" si="383"/>
        <v>#REF!</v>
      </c>
      <c r="BY224" s="79" t="e">
        <f t="shared" si="383"/>
        <v>#REF!</v>
      </c>
      <c r="BZ224" s="79" t="e">
        <f t="shared" si="383"/>
        <v>#REF!</v>
      </c>
      <c r="CA224" s="79" t="e">
        <f t="shared" si="383"/>
        <v>#REF!</v>
      </c>
      <c r="CB224" s="79" t="e">
        <f t="shared" si="383"/>
        <v>#REF!</v>
      </c>
      <c r="CC224" s="79" t="e">
        <f t="shared" si="383"/>
        <v>#REF!</v>
      </c>
      <c r="CD224" s="79" t="e">
        <f t="shared" si="383"/>
        <v>#REF!</v>
      </c>
      <c r="CE224" s="79" t="e">
        <f t="shared" si="383"/>
        <v>#REF!</v>
      </c>
      <c r="CF224" s="79" t="e">
        <f t="shared" si="383"/>
        <v>#REF!</v>
      </c>
      <c r="CG224" s="79" t="e">
        <f t="shared" si="383"/>
        <v>#REF!</v>
      </c>
      <c r="CH224" s="79" t="e">
        <f t="shared" si="383"/>
        <v>#REF!</v>
      </c>
      <c r="CI224" s="79" t="e">
        <f t="shared" si="383"/>
        <v>#REF!</v>
      </c>
      <c r="CJ224" s="79" t="e">
        <f t="shared" si="383"/>
        <v>#REF!</v>
      </c>
      <c r="CK224" s="79" t="e">
        <f t="shared" si="383"/>
        <v>#REF!</v>
      </c>
      <c r="CL224" s="79" t="e">
        <f t="shared" si="383"/>
        <v>#REF!</v>
      </c>
      <c r="CM224" s="79" t="e">
        <f t="shared" si="383"/>
        <v>#REF!</v>
      </c>
      <c r="CN224" s="79" t="e">
        <f t="shared" si="383"/>
        <v>#REF!</v>
      </c>
      <c r="CO224" s="79" t="e">
        <f t="shared" si="383"/>
        <v>#REF!</v>
      </c>
      <c r="CP224" s="79" t="e">
        <f t="shared" si="383"/>
        <v>#REF!</v>
      </c>
      <c r="CQ224" s="79" t="e">
        <f t="shared" si="383"/>
        <v>#REF!</v>
      </c>
      <c r="CR224" s="79" t="e">
        <f t="shared" si="383"/>
        <v>#REF!</v>
      </c>
      <c r="CS224" s="79" t="e">
        <f t="shared" si="383"/>
        <v>#REF!</v>
      </c>
      <c r="CT224" s="79" t="e">
        <f t="shared" si="383"/>
        <v>#REF!</v>
      </c>
      <c r="CU224" s="79" t="e">
        <f t="shared" si="383"/>
        <v>#REF!</v>
      </c>
      <c r="CV224" s="79" t="e">
        <f t="shared" si="383"/>
        <v>#REF!</v>
      </c>
      <c r="CW224" s="79" t="e">
        <f t="shared" si="383"/>
        <v>#REF!</v>
      </c>
      <c r="CX224" s="79" t="e">
        <f t="shared" ref="CX224:FI224" si="384">SUM(CX220:CX223)</f>
        <v>#REF!</v>
      </c>
      <c r="CY224" s="79" t="e">
        <f t="shared" si="384"/>
        <v>#REF!</v>
      </c>
      <c r="CZ224" s="79" t="e">
        <f t="shared" si="384"/>
        <v>#REF!</v>
      </c>
      <c r="DA224" s="79" t="e">
        <f t="shared" si="384"/>
        <v>#REF!</v>
      </c>
      <c r="DB224" s="79" t="e">
        <f t="shared" si="384"/>
        <v>#REF!</v>
      </c>
      <c r="DC224" s="79" t="e">
        <f t="shared" si="384"/>
        <v>#REF!</v>
      </c>
      <c r="DD224" s="79" t="e">
        <f t="shared" si="384"/>
        <v>#REF!</v>
      </c>
      <c r="DE224" s="79" t="e">
        <f t="shared" si="384"/>
        <v>#REF!</v>
      </c>
      <c r="DF224" s="79" t="e">
        <f t="shared" si="384"/>
        <v>#REF!</v>
      </c>
      <c r="DG224" s="79" t="e">
        <f t="shared" si="384"/>
        <v>#REF!</v>
      </c>
      <c r="DH224" s="79" t="e">
        <f t="shared" si="384"/>
        <v>#REF!</v>
      </c>
      <c r="DI224" s="79" t="e">
        <f t="shared" si="384"/>
        <v>#REF!</v>
      </c>
      <c r="DJ224" s="79" t="e">
        <f t="shared" si="384"/>
        <v>#REF!</v>
      </c>
      <c r="DK224" s="79" t="e">
        <f t="shared" si="384"/>
        <v>#REF!</v>
      </c>
      <c r="DL224" s="79" t="e">
        <f t="shared" si="384"/>
        <v>#REF!</v>
      </c>
      <c r="DM224" s="79" t="e">
        <f t="shared" si="384"/>
        <v>#REF!</v>
      </c>
      <c r="DN224" s="79" t="e">
        <f t="shared" si="384"/>
        <v>#REF!</v>
      </c>
      <c r="DO224" s="79" t="e">
        <f t="shared" si="384"/>
        <v>#REF!</v>
      </c>
      <c r="DP224" s="79" t="e">
        <f t="shared" si="384"/>
        <v>#REF!</v>
      </c>
      <c r="DQ224" s="79" t="e">
        <f t="shared" si="384"/>
        <v>#REF!</v>
      </c>
      <c r="DR224" s="79" t="e">
        <f t="shared" si="384"/>
        <v>#REF!</v>
      </c>
      <c r="DS224" s="79" t="e">
        <f t="shared" si="384"/>
        <v>#REF!</v>
      </c>
      <c r="DT224" s="79" t="e">
        <f t="shared" si="384"/>
        <v>#REF!</v>
      </c>
      <c r="DU224" s="79" t="e">
        <f t="shared" si="384"/>
        <v>#REF!</v>
      </c>
      <c r="DV224" s="79" t="e">
        <f t="shared" si="384"/>
        <v>#REF!</v>
      </c>
      <c r="DW224" s="79" t="e">
        <f t="shared" si="384"/>
        <v>#REF!</v>
      </c>
      <c r="DX224" s="79" t="e">
        <f t="shared" si="384"/>
        <v>#REF!</v>
      </c>
      <c r="DY224" s="79" t="e">
        <f t="shared" si="384"/>
        <v>#REF!</v>
      </c>
      <c r="DZ224" s="79" t="e">
        <f t="shared" si="384"/>
        <v>#REF!</v>
      </c>
      <c r="EA224" s="79" t="e">
        <f t="shared" si="384"/>
        <v>#REF!</v>
      </c>
      <c r="EB224" s="79" t="e">
        <f t="shared" si="384"/>
        <v>#REF!</v>
      </c>
      <c r="EC224" s="79" t="e">
        <f t="shared" si="384"/>
        <v>#REF!</v>
      </c>
      <c r="ED224" s="79" t="e">
        <f t="shared" si="384"/>
        <v>#REF!</v>
      </c>
      <c r="EE224" s="79" t="e">
        <f t="shared" si="384"/>
        <v>#REF!</v>
      </c>
      <c r="EF224" s="79" t="e">
        <f t="shared" si="384"/>
        <v>#REF!</v>
      </c>
      <c r="EG224" s="79" t="e">
        <f t="shared" si="384"/>
        <v>#REF!</v>
      </c>
      <c r="EH224" s="79" t="e">
        <f t="shared" si="384"/>
        <v>#REF!</v>
      </c>
      <c r="EI224" s="79" t="e">
        <f t="shared" si="384"/>
        <v>#REF!</v>
      </c>
      <c r="EJ224" s="79" t="e">
        <f t="shared" si="384"/>
        <v>#REF!</v>
      </c>
      <c r="EK224" s="79" t="e">
        <f t="shared" si="384"/>
        <v>#REF!</v>
      </c>
      <c r="EL224" s="79" t="e">
        <f t="shared" si="384"/>
        <v>#REF!</v>
      </c>
      <c r="EM224" s="79" t="e">
        <f t="shared" si="384"/>
        <v>#REF!</v>
      </c>
      <c r="EN224" s="79" t="e">
        <f t="shared" si="384"/>
        <v>#REF!</v>
      </c>
      <c r="EO224" s="79" t="e">
        <f t="shared" si="384"/>
        <v>#REF!</v>
      </c>
      <c r="EP224" s="79" t="e">
        <f t="shared" si="384"/>
        <v>#REF!</v>
      </c>
      <c r="EQ224" s="79" t="e">
        <f t="shared" si="384"/>
        <v>#REF!</v>
      </c>
      <c r="ER224" s="79" t="e">
        <f t="shared" si="384"/>
        <v>#REF!</v>
      </c>
      <c r="ES224" s="79" t="e">
        <f t="shared" si="384"/>
        <v>#REF!</v>
      </c>
      <c r="ET224" s="79" t="e">
        <f t="shared" si="384"/>
        <v>#REF!</v>
      </c>
      <c r="EU224" s="79" t="e">
        <f t="shared" si="384"/>
        <v>#REF!</v>
      </c>
      <c r="EV224" s="79" t="e">
        <f t="shared" si="384"/>
        <v>#REF!</v>
      </c>
      <c r="EW224" s="79" t="e">
        <f t="shared" si="384"/>
        <v>#REF!</v>
      </c>
      <c r="EX224" s="79" t="e">
        <f t="shared" si="384"/>
        <v>#REF!</v>
      </c>
      <c r="EY224" s="79" t="e">
        <f t="shared" si="384"/>
        <v>#REF!</v>
      </c>
      <c r="EZ224" s="79" t="e">
        <f t="shared" si="384"/>
        <v>#REF!</v>
      </c>
      <c r="FA224" s="79" t="e">
        <f t="shared" si="384"/>
        <v>#REF!</v>
      </c>
      <c r="FB224" s="79" t="e">
        <f t="shared" si="384"/>
        <v>#REF!</v>
      </c>
      <c r="FC224" s="79" t="e">
        <f t="shared" si="384"/>
        <v>#REF!</v>
      </c>
      <c r="FD224" s="79" t="e">
        <f t="shared" si="384"/>
        <v>#REF!</v>
      </c>
      <c r="FE224" s="79" t="e">
        <f t="shared" si="384"/>
        <v>#REF!</v>
      </c>
      <c r="FF224" s="79" t="e">
        <f t="shared" si="384"/>
        <v>#REF!</v>
      </c>
      <c r="FG224" s="79" t="e">
        <f t="shared" si="384"/>
        <v>#REF!</v>
      </c>
      <c r="FH224" s="79" t="e">
        <f t="shared" si="384"/>
        <v>#REF!</v>
      </c>
      <c r="FI224" s="79" t="e">
        <f t="shared" si="384"/>
        <v>#REF!</v>
      </c>
      <c r="FJ224" s="79" t="e">
        <f t="shared" ref="FJ224:GL224" si="385">SUM(FJ220:FJ223)</f>
        <v>#REF!</v>
      </c>
      <c r="FK224" s="79" t="e">
        <f t="shared" si="385"/>
        <v>#REF!</v>
      </c>
      <c r="FL224" s="79" t="e">
        <f t="shared" si="385"/>
        <v>#REF!</v>
      </c>
      <c r="FM224" s="79" t="e">
        <f t="shared" si="385"/>
        <v>#REF!</v>
      </c>
      <c r="FN224" s="79" t="e">
        <f t="shared" si="385"/>
        <v>#REF!</v>
      </c>
      <c r="FO224" s="79" t="e">
        <f t="shared" si="385"/>
        <v>#REF!</v>
      </c>
      <c r="FP224" s="79" t="e">
        <f t="shared" si="385"/>
        <v>#REF!</v>
      </c>
      <c r="FQ224" s="79" t="e">
        <f t="shared" si="385"/>
        <v>#REF!</v>
      </c>
      <c r="FR224" s="79" t="e">
        <f t="shared" si="385"/>
        <v>#REF!</v>
      </c>
      <c r="FS224" s="79" t="e">
        <f t="shared" si="385"/>
        <v>#REF!</v>
      </c>
      <c r="FT224" s="79" t="e">
        <f t="shared" si="385"/>
        <v>#REF!</v>
      </c>
      <c r="FU224" s="79" t="e">
        <f t="shared" si="385"/>
        <v>#REF!</v>
      </c>
      <c r="FV224" s="79" t="e">
        <f t="shared" si="385"/>
        <v>#REF!</v>
      </c>
      <c r="FW224" s="79" t="e">
        <f t="shared" si="385"/>
        <v>#REF!</v>
      </c>
      <c r="FX224" s="79" t="e">
        <f t="shared" si="385"/>
        <v>#REF!</v>
      </c>
      <c r="FY224" s="79" t="e">
        <f t="shared" si="385"/>
        <v>#REF!</v>
      </c>
      <c r="FZ224" s="79" t="e">
        <f t="shared" si="385"/>
        <v>#REF!</v>
      </c>
      <c r="GA224" s="79" t="e">
        <f t="shared" si="385"/>
        <v>#REF!</v>
      </c>
      <c r="GB224" s="79" t="e">
        <f t="shared" si="385"/>
        <v>#REF!</v>
      </c>
      <c r="GC224" s="79" t="e">
        <f t="shared" si="385"/>
        <v>#REF!</v>
      </c>
      <c r="GD224" s="79" t="e">
        <f t="shared" si="385"/>
        <v>#REF!</v>
      </c>
      <c r="GE224" s="79" t="e">
        <f t="shared" si="385"/>
        <v>#REF!</v>
      </c>
      <c r="GF224" s="79" t="e">
        <f t="shared" si="385"/>
        <v>#REF!</v>
      </c>
      <c r="GG224" s="79" t="e">
        <f t="shared" si="385"/>
        <v>#REF!</v>
      </c>
      <c r="GH224" s="79" t="e">
        <f t="shared" si="385"/>
        <v>#REF!</v>
      </c>
      <c r="GI224" s="79" t="e">
        <f t="shared" si="385"/>
        <v>#REF!</v>
      </c>
      <c r="GJ224" s="79" t="e">
        <f t="shared" si="385"/>
        <v>#REF!</v>
      </c>
      <c r="GK224" s="79" t="e">
        <f t="shared" si="385"/>
        <v>#REF!</v>
      </c>
      <c r="GL224" s="79" t="e">
        <f t="shared" si="385"/>
        <v>#REF!</v>
      </c>
      <c r="GM224" s="79" t="e">
        <f t="shared" ref="GM224:GO224" si="386">SUM(GM220:GM223)</f>
        <v>#REF!</v>
      </c>
      <c r="GN224" s="79" t="e">
        <f t="shared" si="386"/>
        <v>#REF!</v>
      </c>
      <c r="GO224" s="79" t="e">
        <f t="shared" si="386"/>
        <v>#REF!</v>
      </c>
      <c r="GP224" s="79" t="e">
        <f t="shared" ref="GP224:HU224" si="387">SUM(GP220:GP223)</f>
        <v>#REF!</v>
      </c>
      <c r="GQ224" s="79" t="e">
        <f t="shared" si="387"/>
        <v>#REF!</v>
      </c>
      <c r="GR224" s="79" t="e">
        <f t="shared" si="387"/>
        <v>#REF!</v>
      </c>
      <c r="GS224" s="79" t="e">
        <f t="shared" si="387"/>
        <v>#REF!</v>
      </c>
      <c r="GT224" s="79" t="e">
        <f t="shared" si="387"/>
        <v>#REF!</v>
      </c>
      <c r="GU224" s="79" t="e">
        <f t="shared" si="387"/>
        <v>#REF!</v>
      </c>
      <c r="GV224" s="79" t="e">
        <f t="shared" si="387"/>
        <v>#REF!</v>
      </c>
      <c r="GW224" s="79" t="e">
        <f t="shared" si="387"/>
        <v>#REF!</v>
      </c>
      <c r="GX224" s="79" t="e">
        <f t="shared" si="387"/>
        <v>#REF!</v>
      </c>
      <c r="GY224" s="79" t="e">
        <f t="shared" si="387"/>
        <v>#REF!</v>
      </c>
      <c r="GZ224" s="79" t="e">
        <f t="shared" si="387"/>
        <v>#REF!</v>
      </c>
      <c r="HA224" s="79" t="e">
        <f t="shared" si="387"/>
        <v>#REF!</v>
      </c>
      <c r="HB224" s="79" t="e">
        <f t="shared" si="387"/>
        <v>#REF!</v>
      </c>
      <c r="HC224" s="79" t="e">
        <f t="shared" si="387"/>
        <v>#REF!</v>
      </c>
      <c r="HD224" s="79" t="e">
        <f t="shared" si="387"/>
        <v>#REF!</v>
      </c>
      <c r="HE224" s="79" t="e">
        <f t="shared" si="387"/>
        <v>#REF!</v>
      </c>
      <c r="HF224" s="79" t="e">
        <f t="shared" si="387"/>
        <v>#REF!</v>
      </c>
      <c r="HG224" s="79" t="e">
        <f t="shared" si="387"/>
        <v>#REF!</v>
      </c>
      <c r="HH224" s="79" t="e">
        <f t="shared" si="387"/>
        <v>#REF!</v>
      </c>
      <c r="HI224" s="79" t="e">
        <f t="shared" si="387"/>
        <v>#REF!</v>
      </c>
      <c r="HJ224" s="79" t="e">
        <f t="shared" si="387"/>
        <v>#REF!</v>
      </c>
      <c r="HK224" s="79" t="e">
        <f t="shared" si="387"/>
        <v>#REF!</v>
      </c>
      <c r="HL224" s="79" t="e">
        <f t="shared" si="387"/>
        <v>#REF!</v>
      </c>
      <c r="HM224" s="79" t="e">
        <f t="shared" si="387"/>
        <v>#REF!</v>
      </c>
      <c r="HN224" s="79" t="e">
        <f t="shared" si="387"/>
        <v>#REF!</v>
      </c>
      <c r="HO224" s="79" t="e">
        <f t="shared" si="387"/>
        <v>#REF!</v>
      </c>
      <c r="HP224" s="79" t="e">
        <f t="shared" si="387"/>
        <v>#REF!</v>
      </c>
      <c r="HQ224" s="79" t="e">
        <f t="shared" si="387"/>
        <v>#REF!</v>
      </c>
      <c r="HR224" s="79" t="e">
        <f t="shared" si="387"/>
        <v>#REF!</v>
      </c>
      <c r="HS224" s="79" t="e">
        <f t="shared" si="387"/>
        <v>#REF!</v>
      </c>
      <c r="HT224" s="79" t="e">
        <f t="shared" si="387"/>
        <v>#REF!</v>
      </c>
      <c r="HU224" s="79" t="e">
        <f t="shared" si="387"/>
        <v>#REF!</v>
      </c>
      <c r="HV224" s="79" t="e">
        <f t="shared" ref="HV224:KE224" si="388">SUM(HV220:HV223)</f>
        <v>#REF!</v>
      </c>
      <c r="HW224" s="79" t="e">
        <f t="shared" si="388"/>
        <v>#REF!</v>
      </c>
      <c r="HX224" s="79" t="e">
        <f t="shared" si="388"/>
        <v>#REF!</v>
      </c>
      <c r="HY224" s="79" t="e">
        <f t="shared" si="388"/>
        <v>#REF!</v>
      </c>
      <c r="HZ224" s="79" t="e">
        <f t="shared" si="388"/>
        <v>#REF!</v>
      </c>
      <c r="IA224" s="79" t="e">
        <f t="shared" si="388"/>
        <v>#REF!</v>
      </c>
      <c r="IB224" s="79" t="e">
        <f t="shared" si="388"/>
        <v>#REF!</v>
      </c>
      <c r="IC224" s="79" t="e">
        <f t="shared" si="388"/>
        <v>#REF!</v>
      </c>
      <c r="ID224" s="79" t="e">
        <f t="shared" si="388"/>
        <v>#REF!</v>
      </c>
      <c r="IE224" s="79" t="e">
        <f t="shared" si="388"/>
        <v>#REF!</v>
      </c>
      <c r="IF224" s="79" t="e">
        <f t="shared" si="388"/>
        <v>#REF!</v>
      </c>
      <c r="IG224" s="79" t="e">
        <f t="shared" si="388"/>
        <v>#REF!</v>
      </c>
      <c r="IH224" s="79" t="e">
        <f t="shared" si="388"/>
        <v>#REF!</v>
      </c>
      <c r="II224" s="79" t="e">
        <f t="shared" si="388"/>
        <v>#REF!</v>
      </c>
      <c r="IJ224" s="79" t="e">
        <f t="shared" si="388"/>
        <v>#REF!</v>
      </c>
      <c r="IK224" s="79" t="e">
        <f t="shared" si="388"/>
        <v>#REF!</v>
      </c>
      <c r="IL224" s="79" t="e">
        <f t="shared" si="388"/>
        <v>#REF!</v>
      </c>
      <c r="IM224" s="79" t="e">
        <f t="shared" si="388"/>
        <v>#REF!</v>
      </c>
      <c r="IN224" s="79" t="e">
        <f t="shared" si="388"/>
        <v>#REF!</v>
      </c>
      <c r="IO224" s="79" t="e">
        <f t="shared" si="388"/>
        <v>#REF!</v>
      </c>
      <c r="IP224" s="79" t="e">
        <f t="shared" si="388"/>
        <v>#REF!</v>
      </c>
      <c r="IQ224" s="79" t="e">
        <f t="shared" si="388"/>
        <v>#REF!</v>
      </c>
      <c r="IR224" s="79" t="e">
        <f t="shared" si="388"/>
        <v>#REF!</v>
      </c>
      <c r="IS224" s="79" t="e">
        <f t="shared" si="388"/>
        <v>#REF!</v>
      </c>
      <c r="IT224" s="79" t="e">
        <f t="shared" si="388"/>
        <v>#REF!</v>
      </c>
      <c r="IU224" s="79" t="e">
        <f t="shared" si="388"/>
        <v>#REF!</v>
      </c>
      <c r="IV224" s="79" t="e">
        <f t="shared" si="388"/>
        <v>#REF!</v>
      </c>
      <c r="IW224" s="79" t="e">
        <f t="shared" si="388"/>
        <v>#REF!</v>
      </c>
      <c r="IX224" s="79" t="e">
        <f t="shared" si="388"/>
        <v>#REF!</v>
      </c>
      <c r="IY224" s="79" t="e">
        <f t="shared" si="388"/>
        <v>#REF!</v>
      </c>
      <c r="IZ224" s="79" t="e">
        <f t="shared" si="388"/>
        <v>#REF!</v>
      </c>
      <c r="JA224" s="79" t="e">
        <f t="shared" si="388"/>
        <v>#REF!</v>
      </c>
      <c r="JB224" s="79" t="e">
        <f t="shared" si="388"/>
        <v>#REF!</v>
      </c>
      <c r="JC224" s="79" t="e">
        <f t="shared" si="388"/>
        <v>#REF!</v>
      </c>
      <c r="JD224" s="79" t="e">
        <f t="shared" si="388"/>
        <v>#REF!</v>
      </c>
      <c r="JE224" s="79" t="e">
        <f t="shared" si="388"/>
        <v>#REF!</v>
      </c>
      <c r="JF224" s="79" t="e">
        <f t="shared" si="388"/>
        <v>#REF!</v>
      </c>
      <c r="JG224" s="79" t="e">
        <f t="shared" si="388"/>
        <v>#REF!</v>
      </c>
      <c r="JH224" s="79" t="e">
        <f t="shared" si="388"/>
        <v>#REF!</v>
      </c>
      <c r="JI224" s="79" t="e">
        <f t="shared" si="388"/>
        <v>#REF!</v>
      </c>
      <c r="JJ224" s="79" t="e">
        <f t="shared" si="388"/>
        <v>#REF!</v>
      </c>
      <c r="JK224" s="79" t="e">
        <f t="shared" si="388"/>
        <v>#REF!</v>
      </c>
      <c r="JL224" s="79" t="e">
        <f t="shared" si="388"/>
        <v>#REF!</v>
      </c>
      <c r="JM224" s="79" t="e">
        <f t="shared" si="388"/>
        <v>#REF!</v>
      </c>
      <c r="JN224" s="79" t="e">
        <f t="shared" si="388"/>
        <v>#REF!</v>
      </c>
      <c r="JO224" s="79" t="e">
        <f t="shared" si="388"/>
        <v>#REF!</v>
      </c>
      <c r="JP224" s="79" t="e">
        <f t="shared" si="388"/>
        <v>#REF!</v>
      </c>
      <c r="JQ224" s="79" t="e">
        <f t="shared" si="388"/>
        <v>#REF!</v>
      </c>
      <c r="JR224" s="79" t="e">
        <f t="shared" si="388"/>
        <v>#REF!</v>
      </c>
      <c r="JS224" s="79" t="e">
        <f t="shared" si="388"/>
        <v>#REF!</v>
      </c>
      <c r="JT224" s="79" t="e">
        <f t="shared" si="388"/>
        <v>#REF!</v>
      </c>
      <c r="JU224" s="79" t="e">
        <f t="shared" si="388"/>
        <v>#REF!</v>
      </c>
      <c r="JV224" s="79" t="e">
        <f t="shared" si="388"/>
        <v>#REF!</v>
      </c>
      <c r="JW224" s="79" t="e">
        <f t="shared" si="388"/>
        <v>#REF!</v>
      </c>
      <c r="JX224" s="79" t="e">
        <f t="shared" si="388"/>
        <v>#REF!</v>
      </c>
      <c r="JY224" s="79" t="e">
        <f t="shared" si="388"/>
        <v>#REF!</v>
      </c>
      <c r="JZ224" s="79" t="e">
        <f t="shared" si="388"/>
        <v>#REF!</v>
      </c>
      <c r="KA224" s="79" t="e">
        <f t="shared" si="388"/>
        <v>#REF!</v>
      </c>
      <c r="KB224" s="79" t="e">
        <f t="shared" si="388"/>
        <v>#REF!</v>
      </c>
      <c r="KC224" s="79" t="e">
        <f t="shared" si="388"/>
        <v>#REF!</v>
      </c>
      <c r="KD224" s="79" t="e">
        <f t="shared" si="388"/>
        <v>#REF!</v>
      </c>
      <c r="KE224" s="79" t="e">
        <f t="shared" si="388"/>
        <v>#REF!</v>
      </c>
      <c r="KF224" s="79" t="e">
        <f t="shared" ref="KF224:MQ224" si="389">SUM(KF220:KF223)</f>
        <v>#REF!</v>
      </c>
      <c r="KG224" s="79" t="e">
        <f t="shared" si="389"/>
        <v>#REF!</v>
      </c>
      <c r="KH224" s="79" t="e">
        <f t="shared" si="389"/>
        <v>#REF!</v>
      </c>
      <c r="KI224" s="79" t="e">
        <f t="shared" si="389"/>
        <v>#REF!</v>
      </c>
      <c r="KJ224" s="79" t="e">
        <f t="shared" si="389"/>
        <v>#REF!</v>
      </c>
      <c r="KK224" s="79" t="e">
        <f t="shared" si="389"/>
        <v>#REF!</v>
      </c>
      <c r="KL224" s="79" t="e">
        <f t="shared" si="389"/>
        <v>#REF!</v>
      </c>
      <c r="KM224" s="79" t="e">
        <f t="shared" si="389"/>
        <v>#REF!</v>
      </c>
      <c r="KN224" s="79" t="e">
        <f t="shared" si="389"/>
        <v>#REF!</v>
      </c>
      <c r="KO224" s="79" t="e">
        <f t="shared" si="389"/>
        <v>#REF!</v>
      </c>
      <c r="KP224" s="79" t="e">
        <f t="shared" si="389"/>
        <v>#REF!</v>
      </c>
      <c r="KQ224" s="79" t="e">
        <f t="shared" si="389"/>
        <v>#REF!</v>
      </c>
      <c r="KR224" s="79" t="e">
        <f t="shared" si="389"/>
        <v>#REF!</v>
      </c>
      <c r="KS224" s="79" t="e">
        <f t="shared" si="389"/>
        <v>#REF!</v>
      </c>
      <c r="KT224" s="79" t="e">
        <f t="shared" si="389"/>
        <v>#REF!</v>
      </c>
      <c r="KU224" s="79" t="e">
        <f t="shared" si="389"/>
        <v>#REF!</v>
      </c>
      <c r="KV224" s="79" t="e">
        <f t="shared" si="389"/>
        <v>#REF!</v>
      </c>
      <c r="KW224" s="79" t="e">
        <f t="shared" si="389"/>
        <v>#REF!</v>
      </c>
      <c r="KX224" s="79" t="e">
        <f t="shared" si="389"/>
        <v>#REF!</v>
      </c>
      <c r="KY224" s="79" t="e">
        <f t="shared" si="389"/>
        <v>#REF!</v>
      </c>
      <c r="KZ224" s="79" t="e">
        <f t="shared" si="389"/>
        <v>#REF!</v>
      </c>
      <c r="LA224" s="79" t="e">
        <f t="shared" si="389"/>
        <v>#REF!</v>
      </c>
      <c r="LB224" s="79" t="e">
        <f t="shared" si="389"/>
        <v>#REF!</v>
      </c>
      <c r="LC224" s="79" t="e">
        <f t="shared" si="389"/>
        <v>#REF!</v>
      </c>
      <c r="LD224" s="79" t="e">
        <f t="shared" si="389"/>
        <v>#REF!</v>
      </c>
      <c r="LE224" s="79" t="e">
        <f t="shared" si="389"/>
        <v>#REF!</v>
      </c>
      <c r="LF224" s="79" t="e">
        <f t="shared" si="389"/>
        <v>#REF!</v>
      </c>
      <c r="LG224" s="79" t="e">
        <f t="shared" si="389"/>
        <v>#REF!</v>
      </c>
      <c r="LH224" s="79" t="e">
        <f t="shared" si="389"/>
        <v>#REF!</v>
      </c>
      <c r="LI224" s="79" t="e">
        <f t="shared" si="389"/>
        <v>#REF!</v>
      </c>
      <c r="LJ224" s="79" t="e">
        <f t="shared" si="389"/>
        <v>#REF!</v>
      </c>
      <c r="LK224" s="79" t="e">
        <f t="shared" si="389"/>
        <v>#REF!</v>
      </c>
      <c r="LL224" s="79" t="e">
        <f t="shared" si="389"/>
        <v>#REF!</v>
      </c>
      <c r="LM224" s="79" t="e">
        <f t="shared" si="389"/>
        <v>#REF!</v>
      </c>
      <c r="LN224" s="79" t="e">
        <f t="shared" si="389"/>
        <v>#REF!</v>
      </c>
      <c r="LO224" s="79" t="e">
        <f t="shared" si="389"/>
        <v>#REF!</v>
      </c>
      <c r="LP224" s="79" t="e">
        <f t="shared" si="389"/>
        <v>#REF!</v>
      </c>
      <c r="LQ224" s="79" t="e">
        <f t="shared" si="389"/>
        <v>#REF!</v>
      </c>
      <c r="LR224" s="79" t="e">
        <f t="shared" si="389"/>
        <v>#REF!</v>
      </c>
      <c r="LS224" s="79" t="e">
        <f t="shared" si="389"/>
        <v>#REF!</v>
      </c>
      <c r="LT224" s="79" t="e">
        <f t="shared" si="389"/>
        <v>#REF!</v>
      </c>
      <c r="LU224" s="79" t="e">
        <f t="shared" si="389"/>
        <v>#REF!</v>
      </c>
      <c r="LV224" s="79" t="e">
        <f t="shared" si="389"/>
        <v>#REF!</v>
      </c>
      <c r="LW224" s="79" t="e">
        <f t="shared" si="389"/>
        <v>#REF!</v>
      </c>
      <c r="LX224" s="79" t="e">
        <f t="shared" si="389"/>
        <v>#REF!</v>
      </c>
      <c r="LY224" s="79" t="e">
        <f t="shared" si="389"/>
        <v>#REF!</v>
      </c>
      <c r="LZ224" s="79" t="e">
        <f t="shared" si="389"/>
        <v>#REF!</v>
      </c>
      <c r="MA224" s="79" t="e">
        <f t="shared" si="389"/>
        <v>#REF!</v>
      </c>
      <c r="MB224" s="79" t="e">
        <f t="shared" si="389"/>
        <v>#REF!</v>
      </c>
      <c r="MC224" s="79" t="e">
        <f t="shared" si="389"/>
        <v>#REF!</v>
      </c>
      <c r="MD224" s="79" t="e">
        <f t="shared" si="389"/>
        <v>#REF!</v>
      </c>
      <c r="ME224" s="79" t="e">
        <f t="shared" si="389"/>
        <v>#REF!</v>
      </c>
      <c r="MF224" s="79" t="e">
        <f t="shared" si="389"/>
        <v>#REF!</v>
      </c>
      <c r="MG224" s="79" t="e">
        <f t="shared" si="389"/>
        <v>#REF!</v>
      </c>
      <c r="MH224" s="79" t="e">
        <f t="shared" si="389"/>
        <v>#REF!</v>
      </c>
      <c r="MI224" s="79" t="e">
        <f t="shared" si="389"/>
        <v>#REF!</v>
      </c>
      <c r="MJ224" s="79" t="e">
        <f t="shared" si="389"/>
        <v>#REF!</v>
      </c>
      <c r="MK224" s="79" t="e">
        <f t="shared" si="389"/>
        <v>#REF!</v>
      </c>
      <c r="ML224" s="79" t="e">
        <f t="shared" si="389"/>
        <v>#REF!</v>
      </c>
      <c r="MM224" s="79" t="e">
        <f t="shared" si="389"/>
        <v>#REF!</v>
      </c>
      <c r="MN224" s="79" t="e">
        <f t="shared" si="389"/>
        <v>#REF!</v>
      </c>
      <c r="MO224" s="79" t="e">
        <f t="shared" si="389"/>
        <v>#REF!</v>
      </c>
      <c r="MP224" s="79" t="e">
        <f t="shared" si="389"/>
        <v>#REF!</v>
      </c>
      <c r="MQ224" s="79" t="e">
        <f t="shared" si="389"/>
        <v>#REF!</v>
      </c>
      <c r="MR224" s="79" t="e">
        <f t="shared" ref="MR224:PC224" si="390">SUM(MR220:MR223)</f>
        <v>#REF!</v>
      </c>
      <c r="MS224" s="79" t="e">
        <f t="shared" si="390"/>
        <v>#REF!</v>
      </c>
      <c r="MT224" s="79" t="e">
        <f t="shared" si="390"/>
        <v>#REF!</v>
      </c>
      <c r="MU224" s="79" t="e">
        <f t="shared" si="390"/>
        <v>#REF!</v>
      </c>
      <c r="MV224" s="79" t="e">
        <f t="shared" si="390"/>
        <v>#REF!</v>
      </c>
      <c r="MW224" s="79" t="e">
        <f t="shared" si="390"/>
        <v>#REF!</v>
      </c>
      <c r="MX224" s="79" t="e">
        <f t="shared" si="390"/>
        <v>#REF!</v>
      </c>
      <c r="MY224" s="79" t="e">
        <f t="shared" si="390"/>
        <v>#REF!</v>
      </c>
      <c r="MZ224" s="79" t="e">
        <f t="shared" si="390"/>
        <v>#REF!</v>
      </c>
      <c r="NA224" s="79" t="e">
        <f t="shared" si="390"/>
        <v>#REF!</v>
      </c>
      <c r="NB224" s="79" t="e">
        <f t="shared" si="390"/>
        <v>#REF!</v>
      </c>
      <c r="NC224" s="79" t="e">
        <f t="shared" si="390"/>
        <v>#REF!</v>
      </c>
      <c r="ND224" s="79" t="e">
        <f t="shared" si="390"/>
        <v>#REF!</v>
      </c>
      <c r="NE224" s="79" t="e">
        <f t="shared" si="390"/>
        <v>#REF!</v>
      </c>
      <c r="NF224" s="79" t="e">
        <f t="shared" si="390"/>
        <v>#REF!</v>
      </c>
      <c r="NG224" s="79" t="e">
        <f t="shared" si="390"/>
        <v>#REF!</v>
      </c>
      <c r="NH224" s="79" t="e">
        <f t="shared" si="390"/>
        <v>#REF!</v>
      </c>
      <c r="NI224" s="79" t="e">
        <f t="shared" si="390"/>
        <v>#REF!</v>
      </c>
      <c r="NJ224" s="79" t="e">
        <f t="shared" si="390"/>
        <v>#REF!</v>
      </c>
      <c r="NK224" s="79" t="e">
        <f t="shared" si="390"/>
        <v>#REF!</v>
      </c>
      <c r="NL224" s="79" t="e">
        <f t="shared" si="390"/>
        <v>#REF!</v>
      </c>
      <c r="NM224" s="79" t="e">
        <f t="shared" si="390"/>
        <v>#REF!</v>
      </c>
      <c r="NN224" s="79" t="e">
        <f t="shared" si="390"/>
        <v>#REF!</v>
      </c>
      <c r="NO224" s="79" t="e">
        <f t="shared" si="390"/>
        <v>#REF!</v>
      </c>
      <c r="NP224" s="79" t="e">
        <f t="shared" si="390"/>
        <v>#REF!</v>
      </c>
      <c r="NQ224" s="79" t="e">
        <f t="shared" si="390"/>
        <v>#REF!</v>
      </c>
      <c r="NR224" s="79" t="e">
        <f t="shared" si="390"/>
        <v>#REF!</v>
      </c>
      <c r="NS224" s="79" t="e">
        <f t="shared" si="390"/>
        <v>#REF!</v>
      </c>
      <c r="NT224" s="79" t="e">
        <f t="shared" si="390"/>
        <v>#REF!</v>
      </c>
      <c r="NU224" s="79" t="e">
        <f t="shared" si="390"/>
        <v>#REF!</v>
      </c>
      <c r="NV224" s="79" t="e">
        <f t="shared" si="390"/>
        <v>#REF!</v>
      </c>
      <c r="NW224" s="79" t="e">
        <f t="shared" si="390"/>
        <v>#REF!</v>
      </c>
      <c r="NX224" s="79" t="e">
        <f t="shared" si="390"/>
        <v>#REF!</v>
      </c>
      <c r="NY224" s="79" t="e">
        <f t="shared" si="390"/>
        <v>#REF!</v>
      </c>
      <c r="NZ224" s="79" t="e">
        <f t="shared" si="390"/>
        <v>#REF!</v>
      </c>
      <c r="OA224" s="79" t="e">
        <f t="shared" si="390"/>
        <v>#REF!</v>
      </c>
      <c r="OB224" s="79" t="e">
        <f t="shared" si="390"/>
        <v>#REF!</v>
      </c>
      <c r="OC224" s="79" t="e">
        <f t="shared" si="390"/>
        <v>#REF!</v>
      </c>
      <c r="OD224" s="79" t="e">
        <f t="shared" si="390"/>
        <v>#REF!</v>
      </c>
      <c r="OE224" s="79" t="e">
        <f t="shared" si="390"/>
        <v>#REF!</v>
      </c>
      <c r="OF224" s="79" t="e">
        <f t="shared" si="390"/>
        <v>#REF!</v>
      </c>
      <c r="OG224" s="79" t="e">
        <f t="shared" si="390"/>
        <v>#REF!</v>
      </c>
      <c r="OH224" s="79" t="e">
        <f t="shared" si="390"/>
        <v>#REF!</v>
      </c>
      <c r="OI224" s="79" t="e">
        <f t="shared" si="390"/>
        <v>#REF!</v>
      </c>
      <c r="OJ224" s="79" t="e">
        <f t="shared" si="390"/>
        <v>#REF!</v>
      </c>
      <c r="OK224" s="79" t="e">
        <f t="shared" si="390"/>
        <v>#REF!</v>
      </c>
      <c r="OL224" s="79" t="e">
        <f t="shared" si="390"/>
        <v>#REF!</v>
      </c>
      <c r="OM224" s="79" t="e">
        <f t="shared" si="390"/>
        <v>#REF!</v>
      </c>
      <c r="ON224" s="79" t="e">
        <f t="shared" si="390"/>
        <v>#REF!</v>
      </c>
      <c r="OO224" s="79" t="e">
        <f t="shared" si="390"/>
        <v>#REF!</v>
      </c>
      <c r="OP224" s="79" t="e">
        <f t="shared" si="390"/>
        <v>#REF!</v>
      </c>
      <c r="OQ224" s="79" t="e">
        <f t="shared" si="390"/>
        <v>#REF!</v>
      </c>
      <c r="OR224" s="79" t="e">
        <f t="shared" si="390"/>
        <v>#REF!</v>
      </c>
      <c r="OS224" s="79" t="e">
        <f t="shared" si="390"/>
        <v>#REF!</v>
      </c>
      <c r="OT224" s="79" t="e">
        <f t="shared" si="390"/>
        <v>#REF!</v>
      </c>
      <c r="OU224" s="79" t="e">
        <f t="shared" si="390"/>
        <v>#REF!</v>
      </c>
      <c r="OV224" s="79" t="e">
        <f t="shared" si="390"/>
        <v>#REF!</v>
      </c>
      <c r="OW224" s="79" t="e">
        <f t="shared" si="390"/>
        <v>#REF!</v>
      </c>
      <c r="OX224" s="79" t="e">
        <f t="shared" si="390"/>
        <v>#REF!</v>
      </c>
      <c r="OY224" s="79" t="e">
        <f t="shared" si="390"/>
        <v>#REF!</v>
      </c>
      <c r="OZ224" s="79" t="e">
        <f t="shared" si="390"/>
        <v>#REF!</v>
      </c>
      <c r="PA224" s="79" t="e">
        <f t="shared" si="390"/>
        <v>#REF!</v>
      </c>
      <c r="PB224" s="79" t="e">
        <f t="shared" si="390"/>
        <v>#REF!</v>
      </c>
      <c r="PC224" s="79" t="e">
        <f t="shared" si="390"/>
        <v>#REF!</v>
      </c>
      <c r="PD224" s="79" t="e">
        <f t="shared" ref="PD224:RO224" si="391">SUM(PD220:PD223)</f>
        <v>#REF!</v>
      </c>
      <c r="PE224" s="79" t="e">
        <f t="shared" si="391"/>
        <v>#REF!</v>
      </c>
      <c r="PF224" s="79" t="e">
        <f t="shared" si="391"/>
        <v>#REF!</v>
      </c>
      <c r="PG224" s="79" t="e">
        <f t="shared" si="391"/>
        <v>#REF!</v>
      </c>
      <c r="PH224" s="79" t="e">
        <f t="shared" si="391"/>
        <v>#REF!</v>
      </c>
      <c r="PI224" s="79" t="e">
        <f t="shared" si="391"/>
        <v>#REF!</v>
      </c>
      <c r="PJ224" s="79" t="e">
        <f t="shared" si="391"/>
        <v>#REF!</v>
      </c>
      <c r="PK224" s="79" t="e">
        <f t="shared" si="391"/>
        <v>#REF!</v>
      </c>
      <c r="PL224" s="79" t="e">
        <f t="shared" si="391"/>
        <v>#REF!</v>
      </c>
      <c r="PM224" s="79" t="e">
        <f t="shared" si="391"/>
        <v>#REF!</v>
      </c>
      <c r="PN224" s="79" t="e">
        <f t="shared" si="391"/>
        <v>#REF!</v>
      </c>
      <c r="PO224" s="79" t="e">
        <f t="shared" si="391"/>
        <v>#REF!</v>
      </c>
      <c r="PP224" s="79" t="e">
        <f t="shared" si="391"/>
        <v>#REF!</v>
      </c>
      <c r="PQ224" s="79" t="e">
        <f t="shared" si="391"/>
        <v>#REF!</v>
      </c>
      <c r="PR224" s="79" t="e">
        <f t="shared" si="391"/>
        <v>#REF!</v>
      </c>
      <c r="PS224" s="79" t="e">
        <f t="shared" si="391"/>
        <v>#REF!</v>
      </c>
      <c r="PT224" s="79" t="e">
        <f t="shared" si="391"/>
        <v>#REF!</v>
      </c>
      <c r="PU224" s="79" t="e">
        <f t="shared" si="391"/>
        <v>#REF!</v>
      </c>
      <c r="PV224" s="79" t="e">
        <f t="shared" si="391"/>
        <v>#REF!</v>
      </c>
      <c r="PW224" s="79" t="e">
        <f t="shared" si="391"/>
        <v>#REF!</v>
      </c>
      <c r="PX224" s="79" t="e">
        <f t="shared" si="391"/>
        <v>#REF!</v>
      </c>
      <c r="PY224" s="79" t="e">
        <f t="shared" si="391"/>
        <v>#REF!</v>
      </c>
      <c r="PZ224" s="79" t="e">
        <f t="shared" si="391"/>
        <v>#REF!</v>
      </c>
      <c r="QA224" s="79" t="e">
        <f t="shared" si="391"/>
        <v>#REF!</v>
      </c>
      <c r="QB224" s="79" t="e">
        <f t="shared" si="391"/>
        <v>#REF!</v>
      </c>
      <c r="QC224" s="79" t="e">
        <f t="shared" si="391"/>
        <v>#REF!</v>
      </c>
      <c r="QD224" s="79" t="e">
        <f t="shared" si="391"/>
        <v>#REF!</v>
      </c>
      <c r="QE224" s="79" t="e">
        <f t="shared" si="391"/>
        <v>#REF!</v>
      </c>
      <c r="QF224" s="79" t="e">
        <f t="shared" si="391"/>
        <v>#REF!</v>
      </c>
      <c r="QG224" s="79" t="e">
        <f t="shared" si="391"/>
        <v>#REF!</v>
      </c>
      <c r="QH224" s="79" t="e">
        <f t="shared" si="391"/>
        <v>#REF!</v>
      </c>
      <c r="QI224" s="79" t="e">
        <f t="shared" si="391"/>
        <v>#REF!</v>
      </c>
      <c r="QJ224" s="79" t="e">
        <f t="shared" si="391"/>
        <v>#REF!</v>
      </c>
      <c r="QK224" s="79" t="e">
        <f t="shared" si="391"/>
        <v>#REF!</v>
      </c>
      <c r="QL224" s="79" t="e">
        <f t="shared" si="391"/>
        <v>#REF!</v>
      </c>
      <c r="QM224" s="79" t="e">
        <f t="shared" si="391"/>
        <v>#REF!</v>
      </c>
      <c r="QN224" s="79" t="e">
        <f t="shared" si="391"/>
        <v>#REF!</v>
      </c>
      <c r="QO224" s="79" t="e">
        <f t="shared" si="391"/>
        <v>#REF!</v>
      </c>
      <c r="QP224" s="79" t="e">
        <f t="shared" si="391"/>
        <v>#REF!</v>
      </c>
      <c r="QQ224" s="79" t="e">
        <f t="shared" si="391"/>
        <v>#REF!</v>
      </c>
      <c r="QR224" s="79" t="e">
        <f t="shared" si="391"/>
        <v>#REF!</v>
      </c>
      <c r="QS224" s="79" t="e">
        <f t="shared" si="391"/>
        <v>#REF!</v>
      </c>
      <c r="QT224" s="79" t="e">
        <f t="shared" si="391"/>
        <v>#REF!</v>
      </c>
      <c r="QU224" s="79" t="e">
        <f t="shared" si="391"/>
        <v>#REF!</v>
      </c>
      <c r="QV224" s="79" t="e">
        <f t="shared" si="391"/>
        <v>#REF!</v>
      </c>
      <c r="QW224" s="79" t="e">
        <f t="shared" si="391"/>
        <v>#REF!</v>
      </c>
      <c r="QX224" s="79" t="e">
        <f t="shared" si="391"/>
        <v>#REF!</v>
      </c>
      <c r="QY224" s="79" t="e">
        <f t="shared" si="391"/>
        <v>#REF!</v>
      </c>
      <c r="QZ224" s="79" t="e">
        <f t="shared" si="391"/>
        <v>#REF!</v>
      </c>
      <c r="RA224" s="79" t="e">
        <f t="shared" si="391"/>
        <v>#REF!</v>
      </c>
      <c r="RB224" s="79" t="e">
        <f t="shared" si="391"/>
        <v>#REF!</v>
      </c>
      <c r="RC224" s="79" t="e">
        <f t="shared" si="391"/>
        <v>#REF!</v>
      </c>
      <c r="RD224" s="79" t="e">
        <f t="shared" si="391"/>
        <v>#REF!</v>
      </c>
      <c r="RE224" s="79" t="e">
        <f t="shared" si="391"/>
        <v>#REF!</v>
      </c>
      <c r="RF224" s="79" t="e">
        <f t="shared" si="391"/>
        <v>#REF!</v>
      </c>
      <c r="RG224" s="79" t="e">
        <f t="shared" si="391"/>
        <v>#REF!</v>
      </c>
      <c r="RH224" s="79" t="e">
        <f t="shared" si="391"/>
        <v>#REF!</v>
      </c>
      <c r="RI224" s="79" t="e">
        <f t="shared" si="391"/>
        <v>#REF!</v>
      </c>
      <c r="RJ224" s="79" t="e">
        <f t="shared" si="391"/>
        <v>#REF!</v>
      </c>
      <c r="RK224" s="79" t="e">
        <f t="shared" si="391"/>
        <v>#REF!</v>
      </c>
      <c r="RL224" s="79" t="e">
        <f t="shared" si="391"/>
        <v>#REF!</v>
      </c>
      <c r="RM224" s="79" t="e">
        <f t="shared" si="391"/>
        <v>#REF!</v>
      </c>
      <c r="RN224" s="79" t="e">
        <f t="shared" si="391"/>
        <v>#REF!</v>
      </c>
      <c r="RO224" s="79" t="e">
        <f t="shared" si="391"/>
        <v>#REF!</v>
      </c>
      <c r="RP224" s="79" t="e">
        <f t="shared" ref="RP224:UA224" si="392">SUM(RP220:RP223)</f>
        <v>#REF!</v>
      </c>
      <c r="RQ224" s="79" t="e">
        <f t="shared" si="392"/>
        <v>#REF!</v>
      </c>
      <c r="RR224" s="79" t="e">
        <f t="shared" si="392"/>
        <v>#REF!</v>
      </c>
      <c r="RS224" s="79" t="e">
        <f t="shared" si="392"/>
        <v>#REF!</v>
      </c>
      <c r="RT224" s="79" t="e">
        <f t="shared" si="392"/>
        <v>#REF!</v>
      </c>
      <c r="RU224" s="79" t="e">
        <f t="shared" si="392"/>
        <v>#REF!</v>
      </c>
      <c r="RV224" s="79" t="e">
        <f t="shared" si="392"/>
        <v>#REF!</v>
      </c>
      <c r="RW224" s="79" t="e">
        <f t="shared" si="392"/>
        <v>#REF!</v>
      </c>
      <c r="RX224" s="79" t="e">
        <f t="shared" si="392"/>
        <v>#REF!</v>
      </c>
      <c r="RY224" s="79" t="e">
        <f t="shared" si="392"/>
        <v>#REF!</v>
      </c>
      <c r="RZ224" s="79" t="e">
        <f t="shared" si="392"/>
        <v>#REF!</v>
      </c>
      <c r="SA224" s="79" t="e">
        <f t="shared" si="392"/>
        <v>#REF!</v>
      </c>
      <c r="SB224" s="79" t="e">
        <f t="shared" si="392"/>
        <v>#REF!</v>
      </c>
      <c r="SC224" s="79" t="e">
        <f t="shared" si="392"/>
        <v>#REF!</v>
      </c>
      <c r="SD224" s="79" t="e">
        <f t="shared" si="392"/>
        <v>#REF!</v>
      </c>
      <c r="SE224" s="79" t="e">
        <f t="shared" si="392"/>
        <v>#REF!</v>
      </c>
      <c r="SF224" s="79" t="e">
        <f t="shared" si="392"/>
        <v>#REF!</v>
      </c>
      <c r="SG224" s="79" t="e">
        <f t="shared" si="392"/>
        <v>#REF!</v>
      </c>
      <c r="SH224" s="79" t="e">
        <f t="shared" si="392"/>
        <v>#REF!</v>
      </c>
      <c r="SI224" s="79" t="e">
        <f t="shared" si="392"/>
        <v>#REF!</v>
      </c>
      <c r="SJ224" s="79" t="e">
        <f t="shared" si="392"/>
        <v>#REF!</v>
      </c>
      <c r="SK224" s="79" t="e">
        <f t="shared" si="392"/>
        <v>#REF!</v>
      </c>
      <c r="SL224" s="79" t="e">
        <f t="shared" si="392"/>
        <v>#REF!</v>
      </c>
      <c r="SM224" s="79" t="e">
        <f t="shared" si="392"/>
        <v>#REF!</v>
      </c>
      <c r="SN224" s="79" t="e">
        <f t="shared" si="392"/>
        <v>#REF!</v>
      </c>
      <c r="SO224" s="79" t="e">
        <f t="shared" si="392"/>
        <v>#REF!</v>
      </c>
      <c r="SP224" s="79" t="e">
        <f t="shared" si="392"/>
        <v>#REF!</v>
      </c>
      <c r="SQ224" s="79" t="e">
        <f t="shared" si="392"/>
        <v>#REF!</v>
      </c>
      <c r="SR224" s="79" t="e">
        <f t="shared" si="392"/>
        <v>#REF!</v>
      </c>
      <c r="SS224" s="79" t="e">
        <f t="shared" si="392"/>
        <v>#REF!</v>
      </c>
      <c r="ST224" s="79" t="e">
        <f t="shared" si="392"/>
        <v>#REF!</v>
      </c>
      <c r="SU224" s="79" t="e">
        <f t="shared" si="392"/>
        <v>#REF!</v>
      </c>
      <c r="SV224" s="79" t="e">
        <f t="shared" si="392"/>
        <v>#REF!</v>
      </c>
      <c r="SW224" s="79" t="e">
        <f t="shared" si="392"/>
        <v>#REF!</v>
      </c>
      <c r="SX224" s="79" t="e">
        <f t="shared" si="392"/>
        <v>#REF!</v>
      </c>
      <c r="SY224" s="79" t="e">
        <f t="shared" si="392"/>
        <v>#REF!</v>
      </c>
      <c r="SZ224" s="79" t="e">
        <f t="shared" si="392"/>
        <v>#REF!</v>
      </c>
      <c r="TA224" s="79" t="e">
        <f t="shared" si="392"/>
        <v>#REF!</v>
      </c>
      <c r="TB224" s="79" t="e">
        <f t="shared" si="392"/>
        <v>#REF!</v>
      </c>
      <c r="TC224" s="79" t="e">
        <f t="shared" si="392"/>
        <v>#REF!</v>
      </c>
      <c r="TD224" s="79" t="e">
        <f t="shared" si="392"/>
        <v>#REF!</v>
      </c>
      <c r="TE224" s="79" t="e">
        <f t="shared" si="392"/>
        <v>#REF!</v>
      </c>
      <c r="TF224" s="79" t="e">
        <f t="shared" si="392"/>
        <v>#REF!</v>
      </c>
      <c r="TG224" s="79" t="e">
        <f t="shared" si="392"/>
        <v>#REF!</v>
      </c>
      <c r="TH224" s="79" t="e">
        <f t="shared" si="392"/>
        <v>#REF!</v>
      </c>
      <c r="TI224" s="79" t="e">
        <f t="shared" si="392"/>
        <v>#REF!</v>
      </c>
      <c r="TJ224" s="79" t="e">
        <f t="shared" si="392"/>
        <v>#REF!</v>
      </c>
      <c r="TK224" s="79" t="e">
        <f t="shared" si="392"/>
        <v>#REF!</v>
      </c>
      <c r="TL224" s="79" t="e">
        <f t="shared" si="392"/>
        <v>#REF!</v>
      </c>
      <c r="TM224" s="79" t="e">
        <f t="shared" si="392"/>
        <v>#REF!</v>
      </c>
      <c r="TN224" s="79" t="e">
        <f t="shared" si="392"/>
        <v>#REF!</v>
      </c>
      <c r="TO224" s="79" t="e">
        <f t="shared" si="392"/>
        <v>#REF!</v>
      </c>
      <c r="TP224" s="79" t="e">
        <f t="shared" si="392"/>
        <v>#REF!</v>
      </c>
      <c r="TQ224" s="79" t="e">
        <f t="shared" si="392"/>
        <v>#REF!</v>
      </c>
      <c r="TR224" s="79" t="e">
        <f t="shared" si="392"/>
        <v>#REF!</v>
      </c>
      <c r="TS224" s="79" t="e">
        <f t="shared" si="392"/>
        <v>#REF!</v>
      </c>
      <c r="TT224" s="79" t="e">
        <f t="shared" si="392"/>
        <v>#REF!</v>
      </c>
      <c r="TU224" s="79" t="e">
        <f t="shared" si="392"/>
        <v>#REF!</v>
      </c>
      <c r="TV224" s="79" t="e">
        <f t="shared" si="392"/>
        <v>#REF!</v>
      </c>
      <c r="TW224" s="79" t="e">
        <f t="shared" si="392"/>
        <v>#REF!</v>
      </c>
      <c r="TX224" s="79" t="e">
        <f t="shared" si="392"/>
        <v>#REF!</v>
      </c>
      <c r="TY224" s="79" t="e">
        <f t="shared" si="392"/>
        <v>#REF!</v>
      </c>
      <c r="TZ224" s="79" t="e">
        <f t="shared" si="392"/>
        <v>#REF!</v>
      </c>
      <c r="UA224" s="79" t="e">
        <f t="shared" si="392"/>
        <v>#REF!</v>
      </c>
      <c r="UB224" s="79" t="e">
        <f t="shared" ref="UB224:WM224" si="393">SUM(UB220:UB223)</f>
        <v>#REF!</v>
      </c>
      <c r="UC224" s="79" t="e">
        <f t="shared" si="393"/>
        <v>#REF!</v>
      </c>
      <c r="UD224" s="79" t="e">
        <f t="shared" si="393"/>
        <v>#REF!</v>
      </c>
      <c r="UE224" s="79" t="e">
        <f t="shared" si="393"/>
        <v>#REF!</v>
      </c>
      <c r="UF224" s="79" t="e">
        <f t="shared" si="393"/>
        <v>#REF!</v>
      </c>
      <c r="UG224" s="79" t="e">
        <f t="shared" si="393"/>
        <v>#REF!</v>
      </c>
      <c r="UH224" s="79" t="e">
        <f t="shared" si="393"/>
        <v>#REF!</v>
      </c>
      <c r="UI224" s="79" t="e">
        <f t="shared" si="393"/>
        <v>#REF!</v>
      </c>
      <c r="UJ224" s="79" t="e">
        <f t="shared" si="393"/>
        <v>#REF!</v>
      </c>
      <c r="UK224" s="79" t="e">
        <f t="shared" si="393"/>
        <v>#REF!</v>
      </c>
      <c r="UL224" s="79" t="e">
        <f t="shared" si="393"/>
        <v>#REF!</v>
      </c>
      <c r="UM224" s="79" t="e">
        <f t="shared" si="393"/>
        <v>#REF!</v>
      </c>
      <c r="UN224" s="79" t="e">
        <f t="shared" si="393"/>
        <v>#REF!</v>
      </c>
      <c r="UO224" s="79" t="e">
        <f t="shared" si="393"/>
        <v>#REF!</v>
      </c>
      <c r="UP224" s="79" t="e">
        <f t="shared" si="393"/>
        <v>#REF!</v>
      </c>
      <c r="UQ224" s="79" t="e">
        <f t="shared" si="393"/>
        <v>#REF!</v>
      </c>
      <c r="UR224" s="79" t="e">
        <f t="shared" si="393"/>
        <v>#REF!</v>
      </c>
      <c r="US224" s="79" t="e">
        <f t="shared" si="393"/>
        <v>#REF!</v>
      </c>
      <c r="UT224" s="79" t="e">
        <f t="shared" si="393"/>
        <v>#REF!</v>
      </c>
      <c r="UU224" s="79" t="e">
        <f t="shared" si="393"/>
        <v>#REF!</v>
      </c>
      <c r="UV224" s="79" t="e">
        <f t="shared" si="393"/>
        <v>#REF!</v>
      </c>
      <c r="UW224" s="79" t="e">
        <f t="shared" si="393"/>
        <v>#REF!</v>
      </c>
      <c r="UX224" s="79" t="e">
        <f t="shared" si="393"/>
        <v>#REF!</v>
      </c>
      <c r="UY224" s="79" t="e">
        <f t="shared" si="393"/>
        <v>#REF!</v>
      </c>
      <c r="UZ224" s="79" t="e">
        <f t="shared" si="393"/>
        <v>#REF!</v>
      </c>
      <c r="VA224" s="79" t="e">
        <f t="shared" si="393"/>
        <v>#REF!</v>
      </c>
      <c r="VB224" s="79" t="e">
        <f t="shared" si="393"/>
        <v>#REF!</v>
      </c>
      <c r="VC224" s="79" t="e">
        <f t="shared" si="393"/>
        <v>#REF!</v>
      </c>
      <c r="VD224" s="79" t="e">
        <f t="shared" si="393"/>
        <v>#REF!</v>
      </c>
      <c r="VE224" s="79" t="e">
        <f t="shared" si="393"/>
        <v>#REF!</v>
      </c>
      <c r="VF224" s="79" t="e">
        <f t="shared" si="393"/>
        <v>#REF!</v>
      </c>
      <c r="VG224" s="79" t="e">
        <f t="shared" si="393"/>
        <v>#REF!</v>
      </c>
      <c r="VH224" s="79" t="e">
        <f t="shared" si="393"/>
        <v>#REF!</v>
      </c>
      <c r="VI224" s="79" t="e">
        <f t="shared" si="393"/>
        <v>#REF!</v>
      </c>
      <c r="VJ224" s="79" t="e">
        <f t="shared" si="393"/>
        <v>#REF!</v>
      </c>
      <c r="VK224" s="79" t="e">
        <f t="shared" si="393"/>
        <v>#REF!</v>
      </c>
      <c r="VL224" s="79" t="e">
        <f t="shared" si="393"/>
        <v>#REF!</v>
      </c>
      <c r="VM224" s="79" t="e">
        <f t="shared" si="393"/>
        <v>#REF!</v>
      </c>
      <c r="VN224" s="79" t="e">
        <f t="shared" si="393"/>
        <v>#REF!</v>
      </c>
      <c r="VO224" s="79" t="e">
        <f t="shared" si="393"/>
        <v>#REF!</v>
      </c>
      <c r="VP224" s="79" t="e">
        <f t="shared" si="393"/>
        <v>#REF!</v>
      </c>
      <c r="VQ224" s="79" t="e">
        <f t="shared" si="393"/>
        <v>#REF!</v>
      </c>
      <c r="VR224" s="79" t="e">
        <f t="shared" si="393"/>
        <v>#REF!</v>
      </c>
      <c r="VS224" s="79" t="e">
        <f t="shared" si="393"/>
        <v>#REF!</v>
      </c>
      <c r="VT224" s="79" t="e">
        <f t="shared" si="393"/>
        <v>#REF!</v>
      </c>
      <c r="VU224" s="79" t="e">
        <f t="shared" si="393"/>
        <v>#REF!</v>
      </c>
      <c r="VV224" s="79" t="e">
        <f t="shared" si="393"/>
        <v>#REF!</v>
      </c>
      <c r="VW224" s="79" t="e">
        <f t="shared" si="393"/>
        <v>#REF!</v>
      </c>
      <c r="VX224" s="79" t="e">
        <f t="shared" si="393"/>
        <v>#REF!</v>
      </c>
      <c r="VY224" s="79" t="e">
        <f t="shared" si="393"/>
        <v>#REF!</v>
      </c>
      <c r="VZ224" s="79" t="e">
        <f t="shared" si="393"/>
        <v>#REF!</v>
      </c>
      <c r="WA224" s="79" t="e">
        <f t="shared" si="393"/>
        <v>#REF!</v>
      </c>
      <c r="WB224" s="79" t="e">
        <f t="shared" si="393"/>
        <v>#REF!</v>
      </c>
      <c r="WC224" s="79" t="e">
        <f t="shared" si="393"/>
        <v>#REF!</v>
      </c>
      <c r="WD224" s="79" t="e">
        <f t="shared" si="393"/>
        <v>#REF!</v>
      </c>
      <c r="WE224" s="79" t="e">
        <f t="shared" si="393"/>
        <v>#REF!</v>
      </c>
      <c r="WF224" s="79" t="e">
        <f t="shared" si="393"/>
        <v>#REF!</v>
      </c>
      <c r="WG224" s="79" t="e">
        <f t="shared" si="393"/>
        <v>#REF!</v>
      </c>
      <c r="WH224" s="79" t="e">
        <f t="shared" si="393"/>
        <v>#REF!</v>
      </c>
      <c r="WI224" s="79" t="e">
        <f t="shared" si="393"/>
        <v>#REF!</v>
      </c>
      <c r="WJ224" s="79" t="e">
        <f t="shared" si="393"/>
        <v>#REF!</v>
      </c>
      <c r="WK224" s="79" t="e">
        <f t="shared" si="393"/>
        <v>#REF!</v>
      </c>
      <c r="WL224" s="79" t="e">
        <f t="shared" si="393"/>
        <v>#REF!</v>
      </c>
      <c r="WM224" s="79" t="e">
        <f t="shared" si="393"/>
        <v>#REF!</v>
      </c>
      <c r="WN224" s="79" t="e">
        <f t="shared" ref="WN224:YY224" si="394">SUM(WN220:WN223)</f>
        <v>#REF!</v>
      </c>
      <c r="WO224" s="79" t="e">
        <f t="shared" si="394"/>
        <v>#REF!</v>
      </c>
      <c r="WP224" s="79" t="e">
        <f t="shared" si="394"/>
        <v>#REF!</v>
      </c>
      <c r="WQ224" s="79" t="e">
        <f t="shared" si="394"/>
        <v>#REF!</v>
      </c>
      <c r="WR224" s="79" t="e">
        <f t="shared" si="394"/>
        <v>#REF!</v>
      </c>
      <c r="WS224" s="79" t="e">
        <f t="shared" si="394"/>
        <v>#REF!</v>
      </c>
      <c r="WT224" s="79" t="e">
        <f t="shared" si="394"/>
        <v>#REF!</v>
      </c>
      <c r="WU224" s="79" t="e">
        <f t="shared" si="394"/>
        <v>#REF!</v>
      </c>
      <c r="WV224" s="79" t="e">
        <f t="shared" si="394"/>
        <v>#REF!</v>
      </c>
      <c r="WW224" s="79" t="e">
        <f t="shared" si="394"/>
        <v>#REF!</v>
      </c>
      <c r="WX224" s="79" t="e">
        <f t="shared" si="394"/>
        <v>#REF!</v>
      </c>
      <c r="WY224" s="79" t="e">
        <f t="shared" si="394"/>
        <v>#REF!</v>
      </c>
      <c r="WZ224" s="79" t="e">
        <f t="shared" si="394"/>
        <v>#REF!</v>
      </c>
      <c r="XA224" s="79" t="e">
        <f t="shared" si="394"/>
        <v>#REF!</v>
      </c>
      <c r="XB224" s="79" t="e">
        <f t="shared" si="394"/>
        <v>#REF!</v>
      </c>
      <c r="XC224" s="79" t="e">
        <f t="shared" si="394"/>
        <v>#REF!</v>
      </c>
      <c r="XD224" s="79" t="e">
        <f t="shared" si="394"/>
        <v>#REF!</v>
      </c>
      <c r="XE224" s="79" t="e">
        <f t="shared" si="394"/>
        <v>#REF!</v>
      </c>
      <c r="XF224" s="79" t="e">
        <f t="shared" si="394"/>
        <v>#REF!</v>
      </c>
      <c r="XG224" s="79" t="e">
        <f t="shared" si="394"/>
        <v>#REF!</v>
      </c>
      <c r="XH224" s="79" t="e">
        <f t="shared" si="394"/>
        <v>#REF!</v>
      </c>
      <c r="XI224" s="79" t="e">
        <f t="shared" si="394"/>
        <v>#REF!</v>
      </c>
      <c r="XJ224" s="79" t="e">
        <f t="shared" si="394"/>
        <v>#REF!</v>
      </c>
      <c r="XK224" s="79" t="e">
        <f t="shared" si="394"/>
        <v>#REF!</v>
      </c>
      <c r="XL224" s="79" t="e">
        <f t="shared" si="394"/>
        <v>#REF!</v>
      </c>
      <c r="XM224" s="79" t="e">
        <f t="shared" si="394"/>
        <v>#REF!</v>
      </c>
      <c r="XN224" s="79" t="e">
        <f t="shared" si="394"/>
        <v>#REF!</v>
      </c>
      <c r="XO224" s="79" t="e">
        <f t="shared" si="394"/>
        <v>#REF!</v>
      </c>
      <c r="XP224" s="79" t="e">
        <f t="shared" si="394"/>
        <v>#REF!</v>
      </c>
      <c r="XQ224" s="79" t="e">
        <f t="shared" si="394"/>
        <v>#REF!</v>
      </c>
      <c r="XR224" s="79" t="e">
        <f t="shared" si="394"/>
        <v>#REF!</v>
      </c>
      <c r="XS224" s="79" t="e">
        <f t="shared" si="394"/>
        <v>#REF!</v>
      </c>
      <c r="XT224" s="79" t="e">
        <f t="shared" si="394"/>
        <v>#REF!</v>
      </c>
      <c r="XU224" s="79" t="e">
        <f t="shared" si="394"/>
        <v>#REF!</v>
      </c>
      <c r="XV224" s="79" t="e">
        <f t="shared" si="394"/>
        <v>#REF!</v>
      </c>
      <c r="XW224" s="79" t="e">
        <f t="shared" si="394"/>
        <v>#REF!</v>
      </c>
      <c r="XX224" s="79" t="e">
        <f t="shared" si="394"/>
        <v>#REF!</v>
      </c>
      <c r="XY224" s="79" t="e">
        <f t="shared" si="394"/>
        <v>#REF!</v>
      </c>
      <c r="XZ224" s="79" t="e">
        <f t="shared" si="394"/>
        <v>#REF!</v>
      </c>
      <c r="YA224" s="79" t="e">
        <f t="shared" si="394"/>
        <v>#REF!</v>
      </c>
      <c r="YB224" s="79" t="e">
        <f t="shared" si="394"/>
        <v>#REF!</v>
      </c>
      <c r="YC224" s="79" t="e">
        <f t="shared" si="394"/>
        <v>#REF!</v>
      </c>
      <c r="YD224" s="79" t="e">
        <f t="shared" si="394"/>
        <v>#REF!</v>
      </c>
      <c r="YE224" s="79" t="e">
        <f t="shared" si="394"/>
        <v>#REF!</v>
      </c>
      <c r="YF224" s="79" t="e">
        <f t="shared" si="394"/>
        <v>#REF!</v>
      </c>
      <c r="YG224" s="79" t="e">
        <f t="shared" si="394"/>
        <v>#REF!</v>
      </c>
      <c r="YH224" s="79" t="e">
        <f t="shared" si="394"/>
        <v>#REF!</v>
      </c>
      <c r="YI224" s="79" t="e">
        <f t="shared" si="394"/>
        <v>#REF!</v>
      </c>
      <c r="YJ224" s="79" t="e">
        <f t="shared" si="394"/>
        <v>#REF!</v>
      </c>
      <c r="YK224" s="79" t="e">
        <f t="shared" si="394"/>
        <v>#REF!</v>
      </c>
      <c r="YL224" s="79" t="e">
        <f t="shared" si="394"/>
        <v>#REF!</v>
      </c>
      <c r="YM224" s="79" t="e">
        <f t="shared" si="394"/>
        <v>#REF!</v>
      </c>
      <c r="YN224" s="79" t="e">
        <f t="shared" si="394"/>
        <v>#REF!</v>
      </c>
      <c r="YO224" s="79" t="e">
        <f t="shared" si="394"/>
        <v>#REF!</v>
      </c>
      <c r="YP224" s="79" t="e">
        <f t="shared" si="394"/>
        <v>#REF!</v>
      </c>
      <c r="YQ224" s="79" t="e">
        <f t="shared" si="394"/>
        <v>#REF!</v>
      </c>
      <c r="YR224" s="79" t="e">
        <f t="shared" si="394"/>
        <v>#REF!</v>
      </c>
      <c r="YS224" s="79" t="e">
        <f t="shared" si="394"/>
        <v>#REF!</v>
      </c>
      <c r="YT224" s="79" t="e">
        <f t="shared" si="394"/>
        <v>#REF!</v>
      </c>
      <c r="YU224" s="79" t="e">
        <f t="shared" si="394"/>
        <v>#REF!</v>
      </c>
      <c r="YV224" s="79" t="e">
        <f t="shared" si="394"/>
        <v>#REF!</v>
      </c>
      <c r="YW224" s="79" t="e">
        <f t="shared" si="394"/>
        <v>#REF!</v>
      </c>
      <c r="YX224" s="79" t="e">
        <f t="shared" si="394"/>
        <v>#REF!</v>
      </c>
      <c r="YY224" s="79" t="e">
        <f t="shared" si="394"/>
        <v>#REF!</v>
      </c>
      <c r="YZ224" s="79" t="e">
        <f t="shared" ref="YZ224:ABK224" si="395">SUM(YZ220:YZ223)</f>
        <v>#REF!</v>
      </c>
      <c r="ZA224" s="79" t="e">
        <f t="shared" si="395"/>
        <v>#REF!</v>
      </c>
      <c r="ZB224" s="79" t="e">
        <f t="shared" si="395"/>
        <v>#REF!</v>
      </c>
      <c r="ZC224" s="79" t="e">
        <f t="shared" si="395"/>
        <v>#REF!</v>
      </c>
      <c r="ZD224" s="79" t="e">
        <f t="shared" si="395"/>
        <v>#REF!</v>
      </c>
      <c r="ZE224" s="79" t="e">
        <f t="shared" si="395"/>
        <v>#REF!</v>
      </c>
      <c r="ZF224" s="79" t="e">
        <f t="shared" si="395"/>
        <v>#REF!</v>
      </c>
      <c r="ZG224" s="79" t="e">
        <f t="shared" si="395"/>
        <v>#REF!</v>
      </c>
      <c r="ZH224" s="79" t="e">
        <f t="shared" si="395"/>
        <v>#REF!</v>
      </c>
      <c r="ZI224" s="79" t="e">
        <f t="shared" si="395"/>
        <v>#REF!</v>
      </c>
      <c r="ZJ224" s="79" t="e">
        <f t="shared" si="395"/>
        <v>#REF!</v>
      </c>
      <c r="ZK224" s="79" t="e">
        <f t="shared" si="395"/>
        <v>#REF!</v>
      </c>
      <c r="ZL224" s="79" t="e">
        <f t="shared" si="395"/>
        <v>#REF!</v>
      </c>
      <c r="ZM224" s="79" t="e">
        <f t="shared" si="395"/>
        <v>#REF!</v>
      </c>
      <c r="ZN224" s="79" t="e">
        <f t="shared" si="395"/>
        <v>#REF!</v>
      </c>
      <c r="ZO224" s="79" t="e">
        <f t="shared" si="395"/>
        <v>#REF!</v>
      </c>
      <c r="ZP224" s="79" t="e">
        <f t="shared" si="395"/>
        <v>#REF!</v>
      </c>
      <c r="ZQ224" s="79" t="e">
        <f t="shared" si="395"/>
        <v>#REF!</v>
      </c>
      <c r="ZR224" s="79" t="e">
        <f t="shared" si="395"/>
        <v>#REF!</v>
      </c>
      <c r="ZS224" s="79" t="e">
        <f t="shared" si="395"/>
        <v>#REF!</v>
      </c>
      <c r="ZT224" s="79" t="e">
        <f t="shared" si="395"/>
        <v>#REF!</v>
      </c>
      <c r="ZU224" s="79" t="e">
        <f t="shared" si="395"/>
        <v>#REF!</v>
      </c>
      <c r="ZV224" s="79" t="e">
        <f t="shared" si="395"/>
        <v>#REF!</v>
      </c>
      <c r="ZW224" s="79" t="e">
        <f t="shared" si="395"/>
        <v>#REF!</v>
      </c>
      <c r="ZX224" s="79" t="e">
        <f t="shared" si="395"/>
        <v>#REF!</v>
      </c>
      <c r="ZY224" s="79" t="e">
        <f t="shared" si="395"/>
        <v>#REF!</v>
      </c>
      <c r="ZZ224" s="79" t="e">
        <f t="shared" si="395"/>
        <v>#REF!</v>
      </c>
      <c r="AAA224" s="79" t="e">
        <f t="shared" si="395"/>
        <v>#REF!</v>
      </c>
      <c r="AAB224" s="79" t="e">
        <f t="shared" si="395"/>
        <v>#REF!</v>
      </c>
      <c r="AAC224" s="79" t="e">
        <f t="shared" si="395"/>
        <v>#REF!</v>
      </c>
      <c r="AAD224" s="79" t="e">
        <f t="shared" si="395"/>
        <v>#REF!</v>
      </c>
      <c r="AAE224" s="79" t="e">
        <f t="shared" si="395"/>
        <v>#REF!</v>
      </c>
      <c r="AAF224" s="79" t="e">
        <f t="shared" si="395"/>
        <v>#REF!</v>
      </c>
      <c r="AAG224" s="79" t="e">
        <f t="shared" si="395"/>
        <v>#REF!</v>
      </c>
      <c r="AAH224" s="79" t="e">
        <f t="shared" si="395"/>
        <v>#REF!</v>
      </c>
      <c r="AAI224" s="79" t="e">
        <f t="shared" si="395"/>
        <v>#REF!</v>
      </c>
      <c r="AAJ224" s="79" t="e">
        <f t="shared" si="395"/>
        <v>#REF!</v>
      </c>
      <c r="AAK224" s="79" t="e">
        <f t="shared" si="395"/>
        <v>#REF!</v>
      </c>
      <c r="AAL224" s="79" t="e">
        <f t="shared" si="395"/>
        <v>#REF!</v>
      </c>
      <c r="AAM224" s="79" t="e">
        <f t="shared" si="395"/>
        <v>#REF!</v>
      </c>
      <c r="AAN224" s="79" t="e">
        <f t="shared" si="395"/>
        <v>#REF!</v>
      </c>
      <c r="AAO224" s="79" t="e">
        <f t="shared" si="395"/>
        <v>#REF!</v>
      </c>
      <c r="AAP224" s="79" t="e">
        <f t="shared" si="395"/>
        <v>#REF!</v>
      </c>
      <c r="AAQ224" s="79" t="e">
        <f t="shared" si="395"/>
        <v>#REF!</v>
      </c>
      <c r="AAR224" s="79" t="e">
        <f t="shared" si="395"/>
        <v>#REF!</v>
      </c>
      <c r="AAS224" s="79" t="e">
        <f t="shared" si="395"/>
        <v>#REF!</v>
      </c>
      <c r="AAT224" s="79" t="e">
        <f t="shared" si="395"/>
        <v>#REF!</v>
      </c>
      <c r="AAU224" s="79" t="e">
        <f t="shared" si="395"/>
        <v>#REF!</v>
      </c>
      <c r="AAV224" s="79" t="e">
        <f t="shared" si="395"/>
        <v>#REF!</v>
      </c>
      <c r="AAW224" s="79" t="e">
        <f t="shared" si="395"/>
        <v>#REF!</v>
      </c>
      <c r="AAX224" s="79" t="e">
        <f t="shared" si="395"/>
        <v>#REF!</v>
      </c>
      <c r="AAY224" s="79" t="e">
        <f t="shared" si="395"/>
        <v>#REF!</v>
      </c>
      <c r="AAZ224" s="79" t="e">
        <f t="shared" si="395"/>
        <v>#REF!</v>
      </c>
      <c r="ABA224" s="79" t="e">
        <f t="shared" si="395"/>
        <v>#REF!</v>
      </c>
      <c r="ABB224" s="79" t="e">
        <f t="shared" si="395"/>
        <v>#REF!</v>
      </c>
      <c r="ABC224" s="79" t="e">
        <f t="shared" si="395"/>
        <v>#REF!</v>
      </c>
      <c r="ABD224" s="79" t="e">
        <f t="shared" si="395"/>
        <v>#REF!</v>
      </c>
      <c r="ABE224" s="79" t="e">
        <f t="shared" si="395"/>
        <v>#REF!</v>
      </c>
      <c r="ABF224" s="79" t="e">
        <f t="shared" si="395"/>
        <v>#REF!</v>
      </c>
      <c r="ABG224" s="79" t="e">
        <f t="shared" si="395"/>
        <v>#REF!</v>
      </c>
      <c r="ABH224" s="79" t="e">
        <f t="shared" si="395"/>
        <v>#REF!</v>
      </c>
      <c r="ABI224" s="79" t="e">
        <f t="shared" si="395"/>
        <v>#REF!</v>
      </c>
      <c r="ABJ224" s="79" t="e">
        <f t="shared" si="395"/>
        <v>#REF!</v>
      </c>
      <c r="ABK224" s="79" t="e">
        <f t="shared" si="395"/>
        <v>#REF!</v>
      </c>
      <c r="ABL224" s="79" t="e">
        <f t="shared" ref="ABL224:ACX224" si="396">SUM(ABL220:ABL223)</f>
        <v>#REF!</v>
      </c>
      <c r="ABM224" s="79" t="e">
        <f t="shared" si="396"/>
        <v>#REF!</v>
      </c>
      <c r="ABN224" s="79" t="e">
        <f t="shared" si="396"/>
        <v>#REF!</v>
      </c>
      <c r="ABO224" s="79" t="e">
        <f t="shared" si="396"/>
        <v>#REF!</v>
      </c>
      <c r="ABP224" s="79" t="e">
        <f t="shared" si="396"/>
        <v>#REF!</v>
      </c>
      <c r="ABQ224" s="79" t="e">
        <f t="shared" si="396"/>
        <v>#REF!</v>
      </c>
      <c r="ABR224" s="79" t="e">
        <f t="shared" si="396"/>
        <v>#REF!</v>
      </c>
      <c r="ABS224" s="79" t="e">
        <f t="shared" si="396"/>
        <v>#REF!</v>
      </c>
      <c r="ABT224" s="79" t="e">
        <f t="shared" si="396"/>
        <v>#REF!</v>
      </c>
      <c r="ABU224" s="79" t="e">
        <f t="shared" si="396"/>
        <v>#REF!</v>
      </c>
      <c r="ABV224" s="79" t="e">
        <f t="shared" si="396"/>
        <v>#REF!</v>
      </c>
      <c r="ABW224" s="79" t="e">
        <f t="shared" si="396"/>
        <v>#REF!</v>
      </c>
      <c r="ABX224" s="79" t="e">
        <f t="shared" si="396"/>
        <v>#REF!</v>
      </c>
      <c r="ABY224" s="79" t="e">
        <f t="shared" si="396"/>
        <v>#REF!</v>
      </c>
      <c r="ABZ224" s="79" t="e">
        <f t="shared" si="396"/>
        <v>#REF!</v>
      </c>
      <c r="ACA224" s="79" t="e">
        <f t="shared" si="396"/>
        <v>#REF!</v>
      </c>
      <c r="ACB224" s="79" t="e">
        <f t="shared" si="396"/>
        <v>#REF!</v>
      </c>
      <c r="ACC224" s="79" t="e">
        <f t="shared" si="396"/>
        <v>#REF!</v>
      </c>
      <c r="ACD224" s="79" t="e">
        <f t="shared" si="396"/>
        <v>#REF!</v>
      </c>
      <c r="ACE224" s="79" t="e">
        <f t="shared" si="396"/>
        <v>#REF!</v>
      </c>
      <c r="ACF224" s="79" t="e">
        <f t="shared" si="396"/>
        <v>#REF!</v>
      </c>
      <c r="ACG224" s="79" t="e">
        <f t="shared" si="396"/>
        <v>#REF!</v>
      </c>
      <c r="ACH224" s="79" t="e">
        <f t="shared" si="396"/>
        <v>#REF!</v>
      </c>
      <c r="ACI224" s="79" t="e">
        <f t="shared" si="396"/>
        <v>#REF!</v>
      </c>
      <c r="ACJ224" s="79" t="e">
        <f t="shared" si="396"/>
        <v>#REF!</v>
      </c>
      <c r="ACK224" s="79" t="e">
        <f t="shared" si="396"/>
        <v>#REF!</v>
      </c>
      <c r="ACL224" s="79" t="e">
        <f t="shared" si="396"/>
        <v>#REF!</v>
      </c>
      <c r="ACM224" s="79" t="e">
        <f t="shared" si="396"/>
        <v>#REF!</v>
      </c>
      <c r="ACN224" s="79" t="e">
        <f t="shared" si="396"/>
        <v>#REF!</v>
      </c>
      <c r="ACO224" s="79" t="e">
        <f t="shared" si="396"/>
        <v>#REF!</v>
      </c>
      <c r="ACP224" s="79" t="e">
        <f t="shared" si="396"/>
        <v>#REF!</v>
      </c>
      <c r="ACQ224" s="79" t="e">
        <f t="shared" si="396"/>
        <v>#REF!</v>
      </c>
      <c r="ACR224" s="79" t="e">
        <f t="shared" si="396"/>
        <v>#REF!</v>
      </c>
      <c r="ACS224" s="79" t="e">
        <f t="shared" si="396"/>
        <v>#REF!</v>
      </c>
      <c r="ACT224" s="79" t="e">
        <f t="shared" si="396"/>
        <v>#REF!</v>
      </c>
      <c r="ACU224" s="79" t="e">
        <f t="shared" si="396"/>
        <v>#REF!</v>
      </c>
      <c r="ACV224" s="79" t="e">
        <f t="shared" si="396"/>
        <v>#REF!</v>
      </c>
      <c r="ACW224" s="79" t="e">
        <f t="shared" si="396"/>
        <v>#REF!</v>
      </c>
      <c r="ACX224" s="79" t="e">
        <f t="shared" si="396"/>
        <v>#REF!</v>
      </c>
      <c r="ACY224" s="79"/>
      <c r="ACZ224" s="79"/>
      <c r="ADA224" s="79"/>
      <c r="ADB224" s="79"/>
      <c r="ADC224" s="79"/>
      <c r="ADD224" s="79"/>
      <c r="ADE224" s="79"/>
      <c r="ADF224" s="79"/>
      <c r="ADG224" s="79"/>
      <c r="ADH224" s="79"/>
      <c r="ADI224" s="79"/>
      <c r="ADJ224" s="79"/>
      <c r="ADK224" s="79"/>
      <c r="ADL224" s="79"/>
      <c r="ADM224" s="79"/>
      <c r="ADN224" s="79"/>
      <c r="AQP224" s="165"/>
    </row>
    <row r="225" spans="4:794 1134:1134" ht="14.25" x14ac:dyDescent="0.45">
      <c r="D225" t="s">
        <v>408</v>
      </c>
      <c r="E225" s="79" t="e">
        <f>E224/#REF!*1000</f>
        <v>#REF!</v>
      </c>
      <c r="F225" s="79" t="e">
        <f>F224/#REF!*1000</f>
        <v>#REF!</v>
      </c>
      <c r="G225" s="79" t="e">
        <f>G224/#REF!*1000</f>
        <v>#REF!</v>
      </c>
      <c r="H225" s="79" t="e">
        <f>H224/#REF!*1000</f>
        <v>#REF!</v>
      </c>
      <c r="I225" s="79" t="e">
        <f>I224/#REF!*1000</f>
        <v>#REF!</v>
      </c>
      <c r="J225" s="79" t="e">
        <f>J224/#REF!*1000</f>
        <v>#REF!</v>
      </c>
      <c r="K225" s="79" t="e">
        <f>K224/#REF!*1000</f>
        <v>#REF!</v>
      </c>
      <c r="L225" s="79" t="e">
        <f>L224/#REF!*1000</f>
        <v>#REF!</v>
      </c>
      <c r="M225" s="79" t="e">
        <f>M224/#REF!*1000</f>
        <v>#REF!</v>
      </c>
      <c r="N225" s="79" t="e">
        <f>N224/#REF!*1000</f>
        <v>#REF!</v>
      </c>
      <c r="O225" s="79" t="e">
        <f>O224/#REF!*1000</f>
        <v>#REF!</v>
      </c>
      <c r="P225" s="79" t="e">
        <f>P224/#REF!*1000</f>
        <v>#REF!</v>
      </c>
      <c r="Q225" s="79" t="e">
        <f>Q224/#REF!*1000</f>
        <v>#REF!</v>
      </c>
      <c r="R225" s="79" t="e">
        <f>R224/#REF!*1000</f>
        <v>#REF!</v>
      </c>
      <c r="S225" s="79" t="e">
        <f>S224/#REF!*1000</f>
        <v>#REF!</v>
      </c>
      <c r="T225" s="79" t="e">
        <f>T224/#REF!*1000</f>
        <v>#REF!</v>
      </c>
      <c r="U225" s="79" t="e">
        <f>U224/#REF!*1000</f>
        <v>#REF!</v>
      </c>
      <c r="V225" s="79" t="e">
        <f>V224/#REF!*1000</f>
        <v>#REF!</v>
      </c>
      <c r="W225" s="79" t="e">
        <f>W224/#REF!*1000</f>
        <v>#REF!</v>
      </c>
      <c r="X225" s="79" t="e">
        <f>X224/#REF!*1000</f>
        <v>#REF!</v>
      </c>
      <c r="Y225" s="79" t="e">
        <f>Y224/#REF!*1000</f>
        <v>#REF!</v>
      </c>
      <c r="Z225" s="79" t="e">
        <f>Z224/#REF!*1000</f>
        <v>#REF!</v>
      </c>
      <c r="AA225" s="79" t="e">
        <f>AA224/#REF!*1000</f>
        <v>#REF!</v>
      </c>
      <c r="AB225" s="79" t="e">
        <f>AB224/#REF!*1000</f>
        <v>#REF!</v>
      </c>
      <c r="AC225" s="79" t="e">
        <f>AC224/#REF!*1000</f>
        <v>#REF!</v>
      </c>
      <c r="AD225" s="79" t="e">
        <f>AD224/#REF!*1000</f>
        <v>#REF!</v>
      </c>
      <c r="AE225" s="79" t="e">
        <f>AE224/#REF!*1000</f>
        <v>#REF!</v>
      </c>
      <c r="AF225" s="79" t="e">
        <f>AF224/#REF!*1000</f>
        <v>#REF!</v>
      </c>
      <c r="AG225" s="79" t="e">
        <f>AG224/#REF!*1000</f>
        <v>#REF!</v>
      </c>
      <c r="AH225" s="79" t="e">
        <f>AH224/#REF!*1000</f>
        <v>#REF!</v>
      </c>
      <c r="AI225" s="79" t="e">
        <f>AI224/#REF!*1000</f>
        <v>#REF!</v>
      </c>
      <c r="AJ225" s="79" t="e">
        <f>AJ224/#REF!*1000</f>
        <v>#REF!</v>
      </c>
      <c r="AK225" s="79" t="e">
        <f>AK224/#REF!*1000</f>
        <v>#REF!</v>
      </c>
      <c r="AL225" s="79" t="e">
        <f>AL224/#REF!*1000</f>
        <v>#REF!</v>
      </c>
      <c r="AM225" s="79" t="e">
        <f>AM224/#REF!*1000</f>
        <v>#REF!</v>
      </c>
      <c r="AN225" s="79" t="e">
        <f>AN224/#REF!*1000</f>
        <v>#REF!</v>
      </c>
      <c r="AO225" s="79" t="e">
        <f>AO224/#REF!*1000</f>
        <v>#REF!</v>
      </c>
      <c r="AP225" s="79" t="e">
        <f>AP224/#REF!*1000</f>
        <v>#REF!</v>
      </c>
      <c r="AQ225" s="79" t="e">
        <f>AQ224/#REF!*1000</f>
        <v>#REF!</v>
      </c>
      <c r="AR225" s="79" t="e">
        <f>AR224/#REF!*1000</f>
        <v>#REF!</v>
      </c>
      <c r="AS225" s="79" t="e">
        <f>AS224/#REF!*1000</f>
        <v>#REF!</v>
      </c>
      <c r="AT225" s="79" t="e">
        <f>AT224/#REF!*1000</f>
        <v>#REF!</v>
      </c>
      <c r="AU225" s="79" t="e">
        <f>AU224/#REF!*1000</f>
        <v>#REF!</v>
      </c>
      <c r="AV225" s="79" t="e">
        <f>AV224/#REF!*1000</f>
        <v>#REF!</v>
      </c>
      <c r="AW225" s="79" t="e">
        <f>AW224/#REF!*1000</f>
        <v>#REF!</v>
      </c>
      <c r="AX225" s="79" t="e">
        <f>AX224/#REF!*1000</f>
        <v>#REF!</v>
      </c>
      <c r="AY225" s="79" t="e">
        <f>AY224/#REF!*1000</f>
        <v>#REF!</v>
      </c>
      <c r="AZ225" s="79" t="e">
        <f>AZ224/#REF!*1000</f>
        <v>#REF!</v>
      </c>
      <c r="BA225" s="79" t="e">
        <f>BA224/#REF!*1000</f>
        <v>#REF!</v>
      </c>
      <c r="BB225" s="79" t="e">
        <f>BB224/#REF!*1000</f>
        <v>#REF!</v>
      </c>
      <c r="BC225" s="79" t="e">
        <f>BC224/#REF!*1000</f>
        <v>#REF!</v>
      </c>
      <c r="BD225" s="79" t="e">
        <f>BD224/#REF!*1000</f>
        <v>#REF!</v>
      </c>
      <c r="BE225" s="79" t="e">
        <f>BE224/#REF!*1000</f>
        <v>#REF!</v>
      </c>
      <c r="BF225" s="79" t="e">
        <f>BF224/#REF!*1000</f>
        <v>#REF!</v>
      </c>
      <c r="BG225" s="79" t="e">
        <f>BG224/#REF!*1000</f>
        <v>#REF!</v>
      </c>
      <c r="BH225" s="79" t="e">
        <f>BH224/#REF!*1000</f>
        <v>#REF!</v>
      </c>
      <c r="BI225" s="79" t="e">
        <f>BI224/#REF!*1000</f>
        <v>#REF!</v>
      </c>
      <c r="BJ225" s="79" t="e">
        <f>BJ224/#REF!*1000</f>
        <v>#REF!</v>
      </c>
      <c r="BK225" s="79" t="e">
        <f>BK224/#REF!*1000</f>
        <v>#REF!</v>
      </c>
      <c r="BL225" s="79" t="e">
        <f>BL224/#REF!*1000</f>
        <v>#REF!</v>
      </c>
      <c r="BM225" s="79" t="e">
        <f>BM224/#REF!*1000</f>
        <v>#REF!</v>
      </c>
      <c r="BN225" s="79" t="e">
        <f>BN224/#REF!*1000</f>
        <v>#REF!</v>
      </c>
      <c r="BO225" s="79" t="e">
        <f>BO224/#REF!*1000</f>
        <v>#REF!</v>
      </c>
      <c r="BP225" s="79" t="e">
        <f>BP224/#REF!*1000</f>
        <v>#REF!</v>
      </c>
      <c r="BQ225" s="79" t="e">
        <f>BQ224/#REF!*1000</f>
        <v>#REF!</v>
      </c>
      <c r="BR225" s="79" t="e">
        <f>BR224/#REF!*1000</f>
        <v>#REF!</v>
      </c>
      <c r="BS225" s="79" t="e">
        <f>BS224/#REF!*1000</f>
        <v>#REF!</v>
      </c>
      <c r="BT225" s="79" t="e">
        <f>BT224/#REF!*1000</f>
        <v>#REF!</v>
      </c>
      <c r="BU225" s="79" t="e">
        <f>BU224/#REF!*1000</f>
        <v>#REF!</v>
      </c>
      <c r="BV225" s="79" t="e">
        <f>BV224/#REF!*1000</f>
        <v>#REF!</v>
      </c>
      <c r="BW225" s="79" t="e">
        <f>BW224/#REF!*1000</f>
        <v>#REF!</v>
      </c>
      <c r="BX225" s="79" t="e">
        <f>BX224/#REF!*1000</f>
        <v>#REF!</v>
      </c>
      <c r="BY225" s="79" t="e">
        <f>BY224/#REF!*1000</f>
        <v>#REF!</v>
      </c>
      <c r="BZ225" s="79" t="e">
        <f>BZ224/#REF!*1000</f>
        <v>#REF!</v>
      </c>
      <c r="CA225" s="79" t="e">
        <f>CA224/#REF!*1000</f>
        <v>#REF!</v>
      </c>
      <c r="CB225" s="79" t="e">
        <f>CB224/#REF!*1000</f>
        <v>#REF!</v>
      </c>
      <c r="CC225" s="79" t="e">
        <f>CC224/#REF!*1000</f>
        <v>#REF!</v>
      </c>
      <c r="CD225" s="79" t="e">
        <f>CD224/#REF!*1000</f>
        <v>#REF!</v>
      </c>
      <c r="CE225" s="79" t="e">
        <f>CE224/#REF!*1000</f>
        <v>#REF!</v>
      </c>
      <c r="CF225" s="79" t="e">
        <f>CF224/#REF!*1000</f>
        <v>#REF!</v>
      </c>
      <c r="CG225" s="79" t="e">
        <f>CG224/#REF!*1000</f>
        <v>#REF!</v>
      </c>
      <c r="CH225" s="79" t="e">
        <f>CH224/#REF!*1000</f>
        <v>#REF!</v>
      </c>
      <c r="CI225" s="79" t="e">
        <f>CI224/#REF!*1000</f>
        <v>#REF!</v>
      </c>
      <c r="CJ225" s="79" t="e">
        <f>CJ224/#REF!*1000</f>
        <v>#REF!</v>
      </c>
      <c r="CK225" s="79" t="e">
        <f>CK224/#REF!*1000</f>
        <v>#REF!</v>
      </c>
      <c r="CL225" s="79" t="e">
        <f>CL224/#REF!*1000</f>
        <v>#REF!</v>
      </c>
      <c r="CM225" s="79" t="e">
        <f>CM224/#REF!*1000</f>
        <v>#REF!</v>
      </c>
      <c r="CN225" s="79" t="e">
        <f>CN224/#REF!*1000</f>
        <v>#REF!</v>
      </c>
      <c r="CO225" s="79" t="e">
        <f>CO224/#REF!*1000</f>
        <v>#REF!</v>
      </c>
      <c r="CP225" s="79" t="e">
        <f>CP224/#REF!*1000</f>
        <v>#REF!</v>
      </c>
      <c r="CQ225" s="79" t="e">
        <f>CQ224/#REF!*1000</f>
        <v>#REF!</v>
      </c>
      <c r="CR225" s="79" t="e">
        <f>CR224/#REF!*1000</f>
        <v>#REF!</v>
      </c>
      <c r="CS225" s="79" t="e">
        <f>CS224/#REF!*1000</f>
        <v>#REF!</v>
      </c>
      <c r="CT225" s="79" t="e">
        <f>CT224/#REF!*1000</f>
        <v>#REF!</v>
      </c>
      <c r="CU225" s="79" t="e">
        <f>CU224/#REF!*1000</f>
        <v>#REF!</v>
      </c>
      <c r="CV225" s="79" t="e">
        <f>CV224/#REF!*1000</f>
        <v>#REF!</v>
      </c>
      <c r="CW225" s="79" t="e">
        <f>CW224/#REF!*1000</f>
        <v>#REF!</v>
      </c>
      <c r="CX225" s="79" t="e">
        <f>CX224/#REF!*1000</f>
        <v>#REF!</v>
      </c>
      <c r="CY225" s="79" t="e">
        <f>CY224/#REF!*1000</f>
        <v>#REF!</v>
      </c>
      <c r="CZ225" s="79" t="e">
        <f>CZ224/#REF!*1000</f>
        <v>#REF!</v>
      </c>
      <c r="DA225" s="79" t="e">
        <f>DA224/#REF!*1000</f>
        <v>#REF!</v>
      </c>
      <c r="DB225" s="79" t="e">
        <f>DB224/#REF!*1000</f>
        <v>#REF!</v>
      </c>
      <c r="DC225" s="79" t="e">
        <f>DC224/#REF!*1000</f>
        <v>#REF!</v>
      </c>
      <c r="DD225" s="79" t="e">
        <f>DD224/#REF!*1000</f>
        <v>#REF!</v>
      </c>
      <c r="DE225" s="79" t="e">
        <f>DE224/#REF!*1000</f>
        <v>#REF!</v>
      </c>
      <c r="DF225" s="79" t="e">
        <f>DF224/#REF!*1000</f>
        <v>#REF!</v>
      </c>
      <c r="DG225" s="79" t="e">
        <f>DG224/#REF!*1000</f>
        <v>#REF!</v>
      </c>
      <c r="DH225" s="79" t="e">
        <f>DH224/#REF!*1000</f>
        <v>#REF!</v>
      </c>
      <c r="DI225" s="79" t="e">
        <f>DI224/#REF!*1000</f>
        <v>#REF!</v>
      </c>
      <c r="DJ225" s="79" t="e">
        <f>DJ224/#REF!*1000</f>
        <v>#REF!</v>
      </c>
      <c r="DK225" s="79" t="e">
        <f>DK224/#REF!*1000</f>
        <v>#REF!</v>
      </c>
      <c r="DL225" s="79" t="e">
        <f>DL224/#REF!*1000</f>
        <v>#REF!</v>
      </c>
      <c r="DM225" s="79" t="e">
        <f>DM224/#REF!*1000</f>
        <v>#REF!</v>
      </c>
      <c r="DN225" s="79" t="e">
        <f>DN224/#REF!*1000</f>
        <v>#REF!</v>
      </c>
      <c r="DO225" s="79" t="e">
        <f>DO224/#REF!*1000</f>
        <v>#REF!</v>
      </c>
      <c r="DP225" s="79" t="e">
        <f>DP224/#REF!*1000</f>
        <v>#REF!</v>
      </c>
      <c r="DQ225" s="79" t="e">
        <f>DQ224/#REF!*1000</f>
        <v>#REF!</v>
      </c>
      <c r="DR225" s="79" t="e">
        <f>DR224/#REF!*1000</f>
        <v>#REF!</v>
      </c>
      <c r="DS225" s="79" t="e">
        <f>DS224/#REF!*1000</f>
        <v>#REF!</v>
      </c>
      <c r="DT225" s="79" t="e">
        <f>DT224/#REF!*1000</f>
        <v>#REF!</v>
      </c>
      <c r="DU225" s="79" t="e">
        <f>DU224/#REF!*1000</f>
        <v>#REF!</v>
      </c>
      <c r="DV225" s="79" t="e">
        <f>DV224/#REF!*1000</f>
        <v>#REF!</v>
      </c>
      <c r="DW225" s="79" t="e">
        <f>DW224/#REF!*1000</f>
        <v>#REF!</v>
      </c>
      <c r="DX225" s="79" t="e">
        <f>DX224/#REF!*1000</f>
        <v>#REF!</v>
      </c>
      <c r="DY225" s="79" t="e">
        <f>DY224/#REF!*1000</f>
        <v>#REF!</v>
      </c>
      <c r="DZ225" s="79" t="e">
        <f>DZ224/#REF!*1000</f>
        <v>#REF!</v>
      </c>
      <c r="EA225" s="79" t="e">
        <f>EA224/#REF!*1000</f>
        <v>#REF!</v>
      </c>
      <c r="EB225" s="79" t="e">
        <f>EB224/#REF!*1000</f>
        <v>#REF!</v>
      </c>
      <c r="EC225" s="79" t="e">
        <f>EC224/#REF!*1000</f>
        <v>#REF!</v>
      </c>
      <c r="ED225" s="79" t="e">
        <f>ED224/#REF!*1000</f>
        <v>#REF!</v>
      </c>
      <c r="EE225" s="79" t="e">
        <f>EE224/#REF!*1000</f>
        <v>#REF!</v>
      </c>
      <c r="EF225" s="79" t="e">
        <f>EF224/#REF!*1000</f>
        <v>#REF!</v>
      </c>
      <c r="EG225" s="79" t="e">
        <f>EG224/#REF!*1000</f>
        <v>#REF!</v>
      </c>
      <c r="EH225" s="79" t="e">
        <f>EH224/#REF!*1000</f>
        <v>#REF!</v>
      </c>
      <c r="EI225" s="79" t="e">
        <f>EI224/#REF!*1000</f>
        <v>#REF!</v>
      </c>
      <c r="EJ225" s="79" t="e">
        <f>EJ224/#REF!*1000</f>
        <v>#REF!</v>
      </c>
      <c r="EK225" s="79" t="e">
        <f>EK224/#REF!*1000</f>
        <v>#REF!</v>
      </c>
      <c r="EL225" s="79" t="e">
        <f>EL224/#REF!*1000</f>
        <v>#REF!</v>
      </c>
      <c r="EM225" s="79" t="e">
        <f>EM224/#REF!*1000</f>
        <v>#REF!</v>
      </c>
      <c r="EN225" s="79" t="e">
        <f>EN224/#REF!*1000</f>
        <v>#REF!</v>
      </c>
      <c r="EO225" s="79" t="e">
        <f>EO224/#REF!*1000</f>
        <v>#REF!</v>
      </c>
      <c r="EP225" s="79" t="e">
        <f>EP224/#REF!*1000</f>
        <v>#REF!</v>
      </c>
      <c r="EQ225" s="79" t="e">
        <f>EQ224/#REF!*1000</f>
        <v>#REF!</v>
      </c>
      <c r="ER225" s="79" t="e">
        <f>ER224/#REF!*1000</f>
        <v>#REF!</v>
      </c>
      <c r="ES225" s="79" t="e">
        <f>ES224/#REF!*1000</f>
        <v>#REF!</v>
      </c>
      <c r="ET225" s="79" t="e">
        <f>ET224/#REF!*1000</f>
        <v>#REF!</v>
      </c>
      <c r="EU225" s="79" t="e">
        <f>EU224/#REF!*1000</f>
        <v>#REF!</v>
      </c>
      <c r="EV225" s="79" t="e">
        <f>EV224/#REF!*1000</f>
        <v>#REF!</v>
      </c>
      <c r="EW225" s="79" t="e">
        <f>EW224/#REF!*1000</f>
        <v>#REF!</v>
      </c>
      <c r="EX225" s="79" t="e">
        <f>EX224/#REF!*1000</f>
        <v>#REF!</v>
      </c>
      <c r="EY225" s="79" t="e">
        <f>EY224/#REF!*1000</f>
        <v>#REF!</v>
      </c>
      <c r="EZ225" s="79" t="e">
        <f>EZ224/#REF!*1000</f>
        <v>#REF!</v>
      </c>
      <c r="FA225" s="79" t="e">
        <f>FA224/#REF!*1000</f>
        <v>#REF!</v>
      </c>
      <c r="FB225" s="79" t="e">
        <f>FB224/#REF!*1000</f>
        <v>#REF!</v>
      </c>
      <c r="FC225" s="79" t="e">
        <f>FC224/#REF!*1000</f>
        <v>#REF!</v>
      </c>
      <c r="FD225" s="79" t="e">
        <f>FD224/#REF!*1000</f>
        <v>#REF!</v>
      </c>
      <c r="FE225" s="79" t="e">
        <f>FE224/#REF!*1000</f>
        <v>#REF!</v>
      </c>
      <c r="FF225" s="79" t="e">
        <f>FF224/#REF!*1000</f>
        <v>#REF!</v>
      </c>
      <c r="FG225" s="79" t="e">
        <f>FG224/#REF!*1000</f>
        <v>#REF!</v>
      </c>
      <c r="FH225" s="79" t="e">
        <f>FH224/#REF!*1000</f>
        <v>#REF!</v>
      </c>
      <c r="FI225" s="79" t="e">
        <f>FI224/#REF!*1000</f>
        <v>#REF!</v>
      </c>
      <c r="FJ225" s="79" t="e">
        <f>FJ224/#REF!*1000</f>
        <v>#REF!</v>
      </c>
      <c r="FK225" s="79" t="e">
        <f>FK224/#REF!*1000</f>
        <v>#REF!</v>
      </c>
      <c r="FL225" s="79" t="e">
        <f>FL224/#REF!*1000</f>
        <v>#REF!</v>
      </c>
      <c r="FM225" s="79" t="e">
        <f>FM224/#REF!*1000</f>
        <v>#REF!</v>
      </c>
      <c r="FN225" s="79" t="e">
        <f>FN224/#REF!*1000</f>
        <v>#REF!</v>
      </c>
      <c r="FO225" s="79" t="e">
        <f>FO224/#REF!*1000</f>
        <v>#REF!</v>
      </c>
      <c r="FP225" s="79" t="e">
        <f>FP224/#REF!*1000</f>
        <v>#REF!</v>
      </c>
      <c r="FQ225" s="79" t="e">
        <f>FQ224/#REF!*1000</f>
        <v>#REF!</v>
      </c>
      <c r="FR225" s="79" t="e">
        <f>FR224/#REF!*1000</f>
        <v>#REF!</v>
      </c>
      <c r="FS225" s="79" t="e">
        <f>FS224/#REF!*1000</f>
        <v>#REF!</v>
      </c>
      <c r="FT225" s="79" t="e">
        <f>FT224/#REF!*1000</f>
        <v>#REF!</v>
      </c>
      <c r="FU225" s="79" t="e">
        <f>FU224/#REF!*1000</f>
        <v>#REF!</v>
      </c>
      <c r="FV225" s="79" t="e">
        <f>FV224/#REF!*1000</f>
        <v>#REF!</v>
      </c>
      <c r="FW225" s="79" t="e">
        <f>FW224/#REF!*1000</f>
        <v>#REF!</v>
      </c>
      <c r="FX225" s="79" t="e">
        <f>FX224/#REF!*1000</f>
        <v>#REF!</v>
      </c>
      <c r="FY225" s="79" t="e">
        <f>FY224/#REF!*1000</f>
        <v>#REF!</v>
      </c>
      <c r="FZ225" s="79" t="e">
        <f>FZ224/#REF!*1000</f>
        <v>#REF!</v>
      </c>
      <c r="GA225" s="79" t="e">
        <f>GA224/#REF!*1000</f>
        <v>#REF!</v>
      </c>
      <c r="GB225" s="79" t="e">
        <f>GB224/#REF!*1000</f>
        <v>#REF!</v>
      </c>
      <c r="GC225" s="79" t="e">
        <f>GC224/#REF!*1000</f>
        <v>#REF!</v>
      </c>
      <c r="GD225" s="79" t="e">
        <f>GD224/#REF!*1000</f>
        <v>#REF!</v>
      </c>
      <c r="GE225" s="79" t="e">
        <f>GE224/#REF!*1000</f>
        <v>#REF!</v>
      </c>
      <c r="GF225" s="79" t="e">
        <f>GF224/#REF!*1000</f>
        <v>#REF!</v>
      </c>
      <c r="GG225" s="79" t="e">
        <f>GG224/#REF!*1000</f>
        <v>#REF!</v>
      </c>
      <c r="GH225" s="79" t="e">
        <f>GH224/#REF!*1000</f>
        <v>#REF!</v>
      </c>
      <c r="GI225" s="79" t="e">
        <f>GI224/#REF!*1000</f>
        <v>#REF!</v>
      </c>
      <c r="GJ225" s="79" t="e">
        <f>GJ224/#REF!*1000</f>
        <v>#REF!</v>
      </c>
      <c r="GK225" s="79" t="e">
        <f>GK224/#REF!*1000</f>
        <v>#REF!</v>
      </c>
      <c r="GL225" s="79" t="e">
        <f>GL224/#REF!*1000</f>
        <v>#REF!</v>
      </c>
      <c r="GM225" s="79" t="e">
        <f>GM224/#REF!*1000</f>
        <v>#REF!</v>
      </c>
      <c r="GN225" s="79" t="e">
        <f>GN224/#REF!*1000</f>
        <v>#REF!</v>
      </c>
      <c r="GO225" s="79" t="e">
        <f>GO224/#REF!*1000</f>
        <v>#REF!</v>
      </c>
      <c r="GP225" s="79" t="e">
        <f>GP224/#REF!*1000</f>
        <v>#REF!</v>
      </c>
      <c r="GQ225" s="79" t="e">
        <f>GQ224/#REF!*1000</f>
        <v>#REF!</v>
      </c>
      <c r="GR225" s="79" t="e">
        <f>GR224/#REF!*1000</f>
        <v>#REF!</v>
      </c>
      <c r="GS225" s="79" t="e">
        <f>GS224/#REF!*1000</f>
        <v>#REF!</v>
      </c>
      <c r="GT225" s="79" t="e">
        <f>GT224/#REF!*1000</f>
        <v>#REF!</v>
      </c>
      <c r="GU225" s="79" t="e">
        <f>GU224/#REF!*1000</f>
        <v>#REF!</v>
      </c>
      <c r="GV225" s="79" t="e">
        <f>GV224/#REF!*1000</f>
        <v>#REF!</v>
      </c>
      <c r="GW225" s="79" t="e">
        <f>GW224/#REF!*1000</f>
        <v>#REF!</v>
      </c>
      <c r="GX225" s="79" t="e">
        <f>GX224/#REF!*1000</f>
        <v>#REF!</v>
      </c>
      <c r="GY225" s="79" t="e">
        <f>GY224/#REF!*1000</f>
        <v>#REF!</v>
      </c>
      <c r="GZ225" s="79" t="e">
        <f>GZ224/#REF!*1000</f>
        <v>#REF!</v>
      </c>
      <c r="HA225" s="79" t="e">
        <f>HA224/#REF!*1000</f>
        <v>#REF!</v>
      </c>
      <c r="HB225" s="79" t="e">
        <f>HB224/#REF!*1000</f>
        <v>#REF!</v>
      </c>
      <c r="HC225" s="79" t="e">
        <f>HC224/#REF!*1000</f>
        <v>#REF!</v>
      </c>
      <c r="HD225" s="79" t="e">
        <f>HD224/#REF!*1000</f>
        <v>#REF!</v>
      </c>
      <c r="HE225" s="79" t="e">
        <f>HE224/#REF!*1000</f>
        <v>#REF!</v>
      </c>
      <c r="HF225" s="79" t="e">
        <f>HF224/#REF!*1000</f>
        <v>#REF!</v>
      </c>
      <c r="HG225" s="79" t="e">
        <f>HG224/#REF!*1000</f>
        <v>#REF!</v>
      </c>
      <c r="HH225" s="79" t="e">
        <f>HH224/#REF!*1000</f>
        <v>#REF!</v>
      </c>
      <c r="HI225" s="79" t="e">
        <f>HI224/#REF!*1000</f>
        <v>#REF!</v>
      </c>
      <c r="HJ225" s="79" t="e">
        <f>HJ224/#REF!*1000</f>
        <v>#REF!</v>
      </c>
      <c r="HK225" s="79" t="e">
        <f>HK224/#REF!*1000</f>
        <v>#REF!</v>
      </c>
      <c r="HL225" s="79" t="e">
        <f>HL224/#REF!*1000</f>
        <v>#REF!</v>
      </c>
      <c r="HM225" s="79" t="e">
        <f>HM224/#REF!*1000</f>
        <v>#REF!</v>
      </c>
      <c r="HN225" s="79" t="e">
        <f>HN224/#REF!*1000</f>
        <v>#REF!</v>
      </c>
      <c r="HO225" s="79" t="e">
        <f>HO224/#REF!*1000</f>
        <v>#REF!</v>
      </c>
      <c r="HP225" s="79" t="e">
        <f>HP224/#REF!*1000</f>
        <v>#REF!</v>
      </c>
      <c r="HQ225" s="79" t="e">
        <f>HQ224/#REF!*1000</f>
        <v>#REF!</v>
      </c>
      <c r="HR225" s="79" t="e">
        <f>HR224/#REF!*1000</f>
        <v>#REF!</v>
      </c>
      <c r="HS225" s="79" t="e">
        <f>HS224/#REF!*1000</f>
        <v>#REF!</v>
      </c>
      <c r="HT225" s="79" t="e">
        <f>HT224/#REF!*1000</f>
        <v>#REF!</v>
      </c>
      <c r="HU225" s="79" t="e">
        <f>HU224/#REF!*1000</f>
        <v>#REF!</v>
      </c>
      <c r="HV225" s="79" t="e">
        <f>HV224/#REF!*1000</f>
        <v>#REF!</v>
      </c>
      <c r="HW225" s="79" t="e">
        <f>HW224/#REF!*1000</f>
        <v>#REF!</v>
      </c>
      <c r="HX225" s="79" t="e">
        <f>HX224/#REF!*1000</f>
        <v>#REF!</v>
      </c>
      <c r="HY225" s="79" t="e">
        <f>HY224/#REF!*1000</f>
        <v>#REF!</v>
      </c>
      <c r="HZ225" s="79" t="e">
        <f>HZ224/#REF!*1000</f>
        <v>#REF!</v>
      </c>
      <c r="IA225" s="79" t="e">
        <f>IA224/#REF!*1000</f>
        <v>#REF!</v>
      </c>
      <c r="IB225" s="79" t="e">
        <f>IB224/#REF!*1000</f>
        <v>#REF!</v>
      </c>
      <c r="IC225" s="79" t="e">
        <f>IC224/#REF!*1000</f>
        <v>#REF!</v>
      </c>
      <c r="ID225" s="79" t="e">
        <f>ID224/#REF!*1000</f>
        <v>#REF!</v>
      </c>
      <c r="IE225" s="79" t="e">
        <f>IE224/#REF!*1000</f>
        <v>#REF!</v>
      </c>
      <c r="IF225" s="79" t="e">
        <f>IF224/#REF!*1000</f>
        <v>#REF!</v>
      </c>
      <c r="IG225" s="79" t="e">
        <f>IG224/#REF!*1000</f>
        <v>#REF!</v>
      </c>
      <c r="IH225" s="79" t="e">
        <f>IH224/#REF!*1000</f>
        <v>#REF!</v>
      </c>
      <c r="II225" s="79" t="e">
        <f>II224/#REF!*1000</f>
        <v>#REF!</v>
      </c>
      <c r="IJ225" s="79" t="e">
        <f>IJ224/#REF!*1000</f>
        <v>#REF!</v>
      </c>
      <c r="IK225" s="79" t="e">
        <f>IK224/#REF!*1000</f>
        <v>#REF!</v>
      </c>
      <c r="IL225" s="79" t="e">
        <f>IL224/#REF!*1000</f>
        <v>#REF!</v>
      </c>
      <c r="IM225" s="79" t="e">
        <f>IM224/#REF!*1000</f>
        <v>#REF!</v>
      </c>
      <c r="IN225" s="79" t="e">
        <f>IN224/#REF!*1000</f>
        <v>#REF!</v>
      </c>
      <c r="IO225" s="79" t="e">
        <f>IO224/#REF!*1000</f>
        <v>#REF!</v>
      </c>
      <c r="IP225" s="79" t="e">
        <f>IP224/#REF!*1000</f>
        <v>#REF!</v>
      </c>
      <c r="IQ225" s="79" t="e">
        <f>IQ224/#REF!*1000</f>
        <v>#REF!</v>
      </c>
      <c r="IR225" s="79" t="e">
        <f>IR224/#REF!*1000</f>
        <v>#REF!</v>
      </c>
      <c r="IS225" s="79" t="e">
        <f>IS224/#REF!*1000</f>
        <v>#REF!</v>
      </c>
      <c r="IT225" s="79" t="e">
        <f>IT224/#REF!*1000</f>
        <v>#REF!</v>
      </c>
      <c r="IU225" s="79" t="e">
        <f>IU224/#REF!*1000</f>
        <v>#REF!</v>
      </c>
      <c r="IV225" s="79" t="e">
        <f>IV224/#REF!*1000</f>
        <v>#REF!</v>
      </c>
      <c r="IW225" s="79" t="e">
        <f>IW224/#REF!*1000</f>
        <v>#REF!</v>
      </c>
      <c r="IX225" s="79" t="e">
        <f>IX224/#REF!*1000</f>
        <v>#REF!</v>
      </c>
      <c r="IY225" s="79" t="e">
        <f>IY224/#REF!*1000</f>
        <v>#REF!</v>
      </c>
      <c r="IZ225" s="79" t="e">
        <f>IZ224/#REF!*1000</f>
        <v>#REF!</v>
      </c>
      <c r="JA225" s="79" t="e">
        <f>JA224/#REF!*1000</f>
        <v>#REF!</v>
      </c>
      <c r="JB225" s="79" t="e">
        <f>JB224/#REF!*1000</f>
        <v>#REF!</v>
      </c>
      <c r="JC225" s="79" t="e">
        <f>JC224/#REF!*1000</f>
        <v>#REF!</v>
      </c>
      <c r="JD225" s="79" t="e">
        <f>JD224/#REF!*1000</f>
        <v>#REF!</v>
      </c>
      <c r="JE225" s="79" t="e">
        <f>JE224/#REF!*1000</f>
        <v>#REF!</v>
      </c>
      <c r="JF225" s="79" t="e">
        <f>JF224/#REF!*1000</f>
        <v>#REF!</v>
      </c>
      <c r="JG225" s="79" t="e">
        <f>JG224/#REF!*1000</f>
        <v>#REF!</v>
      </c>
      <c r="JH225" s="79" t="e">
        <f>JH224/#REF!*1000</f>
        <v>#REF!</v>
      </c>
      <c r="JI225" s="79" t="e">
        <f>JI224/#REF!*1000</f>
        <v>#REF!</v>
      </c>
      <c r="JJ225" s="79" t="e">
        <f>JJ224/#REF!*1000</f>
        <v>#REF!</v>
      </c>
      <c r="JK225" s="79" t="e">
        <f>JK224/#REF!*1000</f>
        <v>#REF!</v>
      </c>
      <c r="JL225" s="79" t="e">
        <f>JL224/#REF!*1000</f>
        <v>#REF!</v>
      </c>
      <c r="JM225" s="79" t="e">
        <f>JM224/#REF!*1000</f>
        <v>#REF!</v>
      </c>
      <c r="JN225" s="79" t="e">
        <f>JN224/#REF!*1000</f>
        <v>#REF!</v>
      </c>
      <c r="JO225" s="79" t="e">
        <f>JO224/#REF!*1000</f>
        <v>#REF!</v>
      </c>
      <c r="JP225" s="79" t="e">
        <f>JP224/#REF!*1000</f>
        <v>#REF!</v>
      </c>
      <c r="JQ225" s="79" t="e">
        <f>JQ224/#REF!*1000</f>
        <v>#REF!</v>
      </c>
      <c r="JR225" s="79" t="e">
        <f>JR224/#REF!*1000</f>
        <v>#REF!</v>
      </c>
      <c r="JS225" s="79" t="e">
        <f>JS224/#REF!*1000</f>
        <v>#REF!</v>
      </c>
      <c r="JT225" s="79" t="e">
        <f>JT224/#REF!*1000</f>
        <v>#REF!</v>
      </c>
      <c r="JU225" s="79" t="e">
        <f>JU224/#REF!*1000</f>
        <v>#REF!</v>
      </c>
      <c r="JV225" s="79" t="e">
        <f>JV224/#REF!*1000</f>
        <v>#REF!</v>
      </c>
      <c r="JW225" s="79" t="e">
        <f>JW224/#REF!*1000</f>
        <v>#REF!</v>
      </c>
      <c r="JX225" s="79" t="e">
        <f>JX224/#REF!*1000</f>
        <v>#REF!</v>
      </c>
      <c r="JY225" s="79" t="e">
        <f>JY224/#REF!*1000</f>
        <v>#REF!</v>
      </c>
      <c r="JZ225" s="79" t="e">
        <f>JZ224/#REF!*1000</f>
        <v>#REF!</v>
      </c>
      <c r="KA225" s="79" t="e">
        <f>KA224/#REF!*1000</f>
        <v>#REF!</v>
      </c>
      <c r="KB225" s="79" t="e">
        <f>KB224/#REF!*1000</f>
        <v>#REF!</v>
      </c>
      <c r="KC225" s="79" t="e">
        <f>KC224/#REF!*1000</f>
        <v>#REF!</v>
      </c>
      <c r="KD225" s="79" t="e">
        <f>KD224/#REF!*1000</f>
        <v>#REF!</v>
      </c>
      <c r="KE225" s="79" t="e">
        <f>KE224/#REF!*1000</f>
        <v>#REF!</v>
      </c>
      <c r="KF225" s="79" t="e">
        <f>KF224/#REF!*1000</f>
        <v>#REF!</v>
      </c>
      <c r="KG225" s="79" t="e">
        <f>KG224/#REF!*1000</f>
        <v>#REF!</v>
      </c>
      <c r="KH225" s="79" t="e">
        <f>KH224/#REF!*1000</f>
        <v>#REF!</v>
      </c>
      <c r="KI225" s="79" t="e">
        <f>KI224/#REF!*1000</f>
        <v>#REF!</v>
      </c>
      <c r="KJ225" s="79" t="e">
        <f>KJ224/#REF!*1000</f>
        <v>#REF!</v>
      </c>
      <c r="KK225" s="79" t="e">
        <f>KK224/#REF!*1000</f>
        <v>#REF!</v>
      </c>
      <c r="KL225" s="79" t="e">
        <f>KL224/#REF!*1000</f>
        <v>#REF!</v>
      </c>
      <c r="KM225" s="79" t="e">
        <f>KM224/#REF!*1000</f>
        <v>#REF!</v>
      </c>
      <c r="KN225" s="79" t="e">
        <f>KN224/#REF!*1000</f>
        <v>#REF!</v>
      </c>
      <c r="KO225" s="79" t="e">
        <f>KO224/#REF!*1000</f>
        <v>#REF!</v>
      </c>
      <c r="KP225" s="79" t="e">
        <f>KP224/#REF!*1000</f>
        <v>#REF!</v>
      </c>
      <c r="KQ225" s="79" t="e">
        <f>KQ224/#REF!*1000</f>
        <v>#REF!</v>
      </c>
      <c r="KR225" s="79" t="e">
        <f>KR224/#REF!*1000</f>
        <v>#REF!</v>
      </c>
      <c r="KS225" s="79" t="e">
        <f>KS224/#REF!*1000</f>
        <v>#REF!</v>
      </c>
      <c r="KT225" s="79" t="e">
        <f>KT224/#REF!*1000</f>
        <v>#REF!</v>
      </c>
      <c r="KU225" s="79" t="e">
        <f>KU224/#REF!*1000</f>
        <v>#REF!</v>
      </c>
      <c r="KV225" s="79" t="e">
        <f>KV224/#REF!*1000</f>
        <v>#REF!</v>
      </c>
      <c r="KW225" s="79" t="e">
        <f>KW224/#REF!*1000</f>
        <v>#REF!</v>
      </c>
      <c r="KX225" s="79" t="e">
        <f>KX224/#REF!*1000</f>
        <v>#REF!</v>
      </c>
      <c r="KY225" s="79" t="e">
        <f>KY224/#REF!*1000</f>
        <v>#REF!</v>
      </c>
      <c r="KZ225" s="79" t="e">
        <f>KZ224/#REF!*1000</f>
        <v>#REF!</v>
      </c>
      <c r="LA225" s="79" t="e">
        <f>LA224/#REF!*1000</f>
        <v>#REF!</v>
      </c>
      <c r="LB225" s="79" t="e">
        <f>LB224/#REF!*1000</f>
        <v>#REF!</v>
      </c>
      <c r="LC225" s="79" t="e">
        <f>LC224/#REF!*1000</f>
        <v>#REF!</v>
      </c>
      <c r="LD225" s="79" t="e">
        <f>LD224/#REF!*1000</f>
        <v>#REF!</v>
      </c>
      <c r="LE225" s="79" t="e">
        <f>LE224/#REF!*1000</f>
        <v>#REF!</v>
      </c>
      <c r="LF225" s="79" t="e">
        <f>LF224/#REF!*1000</f>
        <v>#REF!</v>
      </c>
      <c r="LG225" s="79" t="e">
        <f>LG224/#REF!*1000</f>
        <v>#REF!</v>
      </c>
      <c r="LH225" s="79" t="e">
        <f>LH224/#REF!*1000</f>
        <v>#REF!</v>
      </c>
      <c r="LI225" s="79" t="e">
        <f>LI224/#REF!*1000</f>
        <v>#REF!</v>
      </c>
      <c r="LJ225" s="79" t="e">
        <f>LJ224/#REF!*1000</f>
        <v>#REF!</v>
      </c>
      <c r="LK225" s="79" t="e">
        <f>LK224/#REF!*1000</f>
        <v>#REF!</v>
      </c>
      <c r="LL225" s="79" t="e">
        <f>LL224/#REF!*1000</f>
        <v>#REF!</v>
      </c>
      <c r="LM225" s="79" t="e">
        <f>LM224/#REF!*1000</f>
        <v>#REF!</v>
      </c>
      <c r="LN225" s="79" t="e">
        <f>LN224/#REF!*1000</f>
        <v>#REF!</v>
      </c>
      <c r="LO225" s="79" t="e">
        <f>LO224/#REF!*1000</f>
        <v>#REF!</v>
      </c>
      <c r="LP225" s="79" t="e">
        <f>LP224/#REF!*1000</f>
        <v>#REF!</v>
      </c>
      <c r="LQ225" s="79" t="e">
        <f>LQ224/#REF!*1000</f>
        <v>#REF!</v>
      </c>
      <c r="LR225" s="79" t="e">
        <f>LR224/#REF!*1000</f>
        <v>#REF!</v>
      </c>
      <c r="LS225" s="79" t="e">
        <f>LS224/#REF!*1000</f>
        <v>#REF!</v>
      </c>
      <c r="LT225" s="79" t="e">
        <f>LT224/#REF!*1000</f>
        <v>#REF!</v>
      </c>
      <c r="LU225" s="79" t="e">
        <f>LU224/#REF!*1000</f>
        <v>#REF!</v>
      </c>
      <c r="LV225" s="79" t="e">
        <f>LV224/#REF!*1000</f>
        <v>#REF!</v>
      </c>
      <c r="LW225" s="79" t="e">
        <f>LW224/#REF!*1000</f>
        <v>#REF!</v>
      </c>
      <c r="LX225" s="79" t="e">
        <f>LX224/#REF!*1000</f>
        <v>#REF!</v>
      </c>
      <c r="LY225" s="79" t="e">
        <f>LY224/#REF!*1000</f>
        <v>#REF!</v>
      </c>
      <c r="LZ225" s="79" t="e">
        <f>LZ224/#REF!*1000</f>
        <v>#REF!</v>
      </c>
      <c r="MA225" s="79" t="e">
        <f>MA224/#REF!*1000</f>
        <v>#REF!</v>
      </c>
      <c r="MB225" s="79" t="e">
        <f>MB224/#REF!*1000</f>
        <v>#REF!</v>
      </c>
      <c r="MC225" s="79" t="e">
        <f>MC224/#REF!*1000</f>
        <v>#REF!</v>
      </c>
      <c r="MD225" s="79" t="e">
        <f>MD224/#REF!*1000</f>
        <v>#REF!</v>
      </c>
      <c r="ME225" s="79" t="e">
        <f>ME224/#REF!*1000</f>
        <v>#REF!</v>
      </c>
      <c r="MF225" s="79" t="e">
        <f>MF224/#REF!*1000</f>
        <v>#REF!</v>
      </c>
      <c r="MG225" s="79" t="e">
        <f>MG224/#REF!*1000</f>
        <v>#REF!</v>
      </c>
      <c r="MH225" s="79" t="e">
        <f>MH224/#REF!*1000</f>
        <v>#REF!</v>
      </c>
      <c r="MI225" s="79" t="e">
        <f>MI224/#REF!*1000</f>
        <v>#REF!</v>
      </c>
      <c r="MJ225" s="79" t="e">
        <f>MJ224/#REF!*1000</f>
        <v>#REF!</v>
      </c>
      <c r="MK225" s="79" t="e">
        <f>MK224/#REF!*1000</f>
        <v>#REF!</v>
      </c>
      <c r="ML225" s="79" t="e">
        <f>ML224/#REF!*1000</f>
        <v>#REF!</v>
      </c>
      <c r="MM225" s="79" t="e">
        <f>MM224/#REF!*1000</f>
        <v>#REF!</v>
      </c>
      <c r="MN225" s="79" t="e">
        <f>MN224/#REF!*1000</f>
        <v>#REF!</v>
      </c>
      <c r="MO225" s="79" t="e">
        <f>MO224/#REF!*1000</f>
        <v>#REF!</v>
      </c>
      <c r="MP225" s="79" t="e">
        <f>MP224/#REF!*1000</f>
        <v>#REF!</v>
      </c>
      <c r="MQ225" s="79" t="e">
        <f>MQ224/#REF!*1000</f>
        <v>#REF!</v>
      </c>
      <c r="MR225" s="79" t="e">
        <f>MR224/#REF!*1000</f>
        <v>#REF!</v>
      </c>
      <c r="MS225" s="79" t="e">
        <f>MS224/#REF!*1000</f>
        <v>#REF!</v>
      </c>
      <c r="MT225" s="79" t="e">
        <f>MT224/#REF!*1000</f>
        <v>#REF!</v>
      </c>
      <c r="MU225" s="79" t="e">
        <f>MU224/#REF!*1000</f>
        <v>#REF!</v>
      </c>
      <c r="MV225" s="79" t="e">
        <f>MV224/#REF!*1000</f>
        <v>#REF!</v>
      </c>
      <c r="MW225" s="79" t="e">
        <f>MW224/#REF!*1000</f>
        <v>#REF!</v>
      </c>
      <c r="MX225" s="79" t="e">
        <f>MX224/#REF!*1000</f>
        <v>#REF!</v>
      </c>
      <c r="MY225" s="79" t="e">
        <f>MY224/#REF!*1000</f>
        <v>#REF!</v>
      </c>
      <c r="MZ225" s="79" t="e">
        <f>MZ224/#REF!*1000</f>
        <v>#REF!</v>
      </c>
      <c r="NA225" s="79" t="e">
        <f>NA224/#REF!*1000</f>
        <v>#REF!</v>
      </c>
      <c r="NB225" s="79" t="e">
        <f>NB224/#REF!*1000</f>
        <v>#REF!</v>
      </c>
      <c r="NC225" s="79" t="e">
        <f>NC224/#REF!*1000</f>
        <v>#REF!</v>
      </c>
      <c r="ND225" s="79" t="e">
        <f>ND224/#REF!*1000</f>
        <v>#REF!</v>
      </c>
      <c r="NE225" s="79" t="e">
        <f>NE224/#REF!*1000</f>
        <v>#REF!</v>
      </c>
      <c r="NF225" s="79" t="e">
        <f>NF224/#REF!*1000</f>
        <v>#REF!</v>
      </c>
      <c r="NG225" s="79" t="e">
        <f>NG224/#REF!*1000</f>
        <v>#REF!</v>
      </c>
      <c r="NH225" s="79" t="e">
        <f>NH224/#REF!*1000</f>
        <v>#REF!</v>
      </c>
      <c r="NI225" s="79" t="e">
        <f>NI224/#REF!*1000</f>
        <v>#REF!</v>
      </c>
      <c r="NJ225" s="79" t="e">
        <f>NJ224/#REF!*1000</f>
        <v>#REF!</v>
      </c>
      <c r="NK225" s="79" t="e">
        <f>NK224/#REF!*1000</f>
        <v>#REF!</v>
      </c>
      <c r="NL225" s="79" t="e">
        <f>NL224/#REF!*1000</f>
        <v>#REF!</v>
      </c>
      <c r="NM225" s="79" t="e">
        <f>NM224/#REF!*1000</f>
        <v>#REF!</v>
      </c>
      <c r="NN225" s="79" t="e">
        <f>NN224/#REF!*1000</f>
        <v>#REF!</v>
      </c>
      <c r="NO225" s="79" t="e">
        <f>NO224/#REF!*1000</f>
        <v>#REF!</v>
      </c>
      <c r="NP225" s="79" t="e">
        <f>NP224/#REF!*1000</f>
        <v>#REF!</v>
      </c>
      <c r="NQ225" s="79" t="e">
        <f>NQ224/#REF!*1000</f>
        <v>#REF!</v>
      </c>
      <c r="NR225" s="79" t="e">
        <f>NR224/#REF!*1000</f>
        <v>#REF!</v>
      </c>
      <c r="NS225" s="79" t="e">
        <f>NS224/#REF!*1000</f>
        <v>#REF!</v>
      </c>
      <c r="NT225" s="79" t="e">
        <f>NT224/#REF!*1000</f>
        <v>#REF!</v>
      </c>
      <c r="NU225" s="79" t="e">
        <f>NU224/#REF!*1000</f>
        <v>#REF!</v>
      </c>
      <c r="NV225" s="79" t="e">
        <f>NV224/#REF!*1000</f>
        <v>#REF!</v>
      </c>
      <c r="NW225" s="79" t="e">
        <f>NW224/#REF!*1000</f>
        <v>#REF!</v>
      </c>
      <c r="NX225" s="79" t="e">
        <f>NX224/#REF!*1000</f>
        <v>#REF!</v>
      </c>
      <c r="NY225" s="79" t="e">
        <f>NY224/#REF!*1000</f>
        <v>#REF!</v>
      </c>
      <c r="NZ225" s="79" t="e">
        <f>NZ224/#REF!*1000</f>
        <v>#REF!</v>
      </c>
      <c r="OA225" s="79" t="e">
        <f>OA224/#REF!*1000</f>
        <v>#REF!</v>
      </c>
      <c r="OB225" s="79" t="e">
        <f>OB224/#REF!*1000</f>
        <v>#REF!</v>
      </c>
      <c r="OC225" s="79" t="e">
        <f>OC224/#REF!*1000</f>
        <v>#REF!</v>
      </c>
      <c r="OD225" s="79" t="e">
        <f>OD224/#REF!*1000</f>
        <v>#REF!</v>
      </c>
      <c r="OE225" s="79" t="e">
        <f>OE224/#REF!*1000</f>
        <v>#REF!</v>
      </c>
      <c r="OF225" s="79" t="e">
        <f>OF224/#REF!*1000</f>
        <v>#REF!</v>
      </c>
      <c r="OG225" s="79" t="e">
        <f>OG224/#REF!*1000</f>
        <v>#REF!</v>
      </c>
      <c r="OH225" s="79" t="e">
        <f>OH224/#REF!*1000</f>
        <v>#REF!</v>
      </c>
      <c r="OI225" s="79" t="e">
        <f>OI224/#REF!*1000</f>
        <v>#REF!</v>
      </c>
      <c r="OJ225" s="79" t="e">
        <f>OJ224/#REF!*1000</f>
        <v>#REF!</v>
      </c>
      <c r="OK225" s="79" t="e">
        <f>OK224/#REF!*1000</f>
        <v>#REF!</v>
      </c>
      <c r="OL225" s="79" t="e">
        <f>OL224/#REF!*1000</f>
        <v>#REF!</v>
      </c>
      <c r="OM225" s="79" t="e">
        <f>OM224/#REF!*1000</f>
        <v>#REF!</v>
      </c>
      <c r="ON225" s="79" t="e">
        <f>ON224/#REF!*1000</f>
        <v>#REF!</v>
      </c>
      <c r="OO225" s="79" t="e">
        <f>OO224/#REF!*1000</f>
        <v>#REF!</v>
      </c>
      <c r="OP225" s="79" t="e">
        <f>OP224/#REF!*1000</f>
        <v>#REF!</v>
      </c>
      <c r="OQ225" s="79" t="e">
        <f>OQ224/#REF!*1000</f>
        <v>#REF!</v>
      </c>
      <c r="OR225" s="79" t="e">
        <f>OR224/#REF!*1000</f>
        <v>#REF!</v>
      </c>
      <c r="OS225" s="79" t="e">
        <f>OS224/#REF!*1000</f>
        <v>#REF!</v>
      </c>
      <c r="OT225" s="79" t="e">
        <f>OT224/#REF!*1000</f>
        <v>#REF!</v>
      </c>
      <c r="OU225" s="79" t="e">
        <f>OU224/#REF!*1000</f>
        <v>#REF!</v>
      </c>
      <c r="OV225" s="79" t="e">
        <f>OV224/#REF!*1000</f>
        <v>#REF!</v>
      </c>
      <c r="OW225" s="79" t="e">
        <f>OW224/#REF!*1000</f>
        <v>#REF!</v>
      </c>
      <c r="OX225" s="79" t="e">
        <f>OX224/#REF!*1000</f>
        <v>#REF!</v>
      </c>
      <c r="OY225" s="79" t="e">
        <f>OY224/#REF!*1000</f>
        <v>#REF!</v>
      </c>
      <c r="OZ225" s="79" t="e">
        <f>OZ224/#REF!*1000</f>
        <v>#REF!</v>
      </c>
      <c r="PA225" s="79" t="e">
        <f>PA224/#REF!*1000</f>
        <v>#REF!</v>
      </c>
      <c r="PB225" s="79" t="e">
        <f>PB224/#REF!*1000</f>
        <v>#REF!</v>
      </c>
      <c r="PC225" s="79" t="e">
        <f>PC224/#REF!*1000</f>
        <v>#REF!</v>
      </c>
      <c r="PD225" s="79" t="e">
        <f>PD224/#REF!*1000</f>
        <v>#REF!</v>
      </c>
      <c r="PE225" s="79" t="e">
        <f>PE224/#REF!*1000</f>
        <v>#REF!</v>
      </c>
      <c r="PF225" s="79" t="e">
        <f>PF224/#REF!*1000</f>
        <v>#REF!</v>
      </c>
      <c r="PG225" s="79" t="e">
        <f>PG224/#REF!*1000</f>
        <v>#REF!</v>
      </c>
      <c r="PH225" s="79" t="e">
        <f>PH224/#REF!*1000</f>
        <v>#REF!</v>
      </c>
      <c r="PI225" s="79" t="e">
        <f>PI224/#REF!*1000</f>
        <v>#REF!</v>
      </c>
      <c r="PJ225" s="79" t="e">
        <f>PJ224/#REF!*1000</f>
        <v>#REF!</v>
      </c>
      <c r="PK225" s="79" t="e">
        <f>PK224/#REF!*1000</f>
        <v>#REF!</v>
      </c>
      <c r="PL225" s="79" t="e">
        <f>PL224/#REF!*1000</f>
        <v>#REF!</v>
      </c>
      <c r="PM225" s="79" t="e">
        <f>PM224/#REF!*1000</f>
        <v>#REF!</v>
      </c>
      <c r="PN225" s="79" t="e">
        <f>PN224/#REF!*1000</f>
        <v>#REF!</v>
      </c>
      <c r="PO225" s="79" t="e">
        <f>PO224/#REF!*1000</f>
        <v>#REF!</v>
      </c>
      <c r="PP225" s="79" t="e">
        <f>PP224/#REF!*1000</f>
        <v>#REF!</v>
      </c>
      <c r="PQ225" s="79" t="e">
        <f>PQ224/#REF!*1000</f>
        <v>#REF!</v>
      </c>
      <c r="PR225" s="79" t="e">
        <f>PR224/#REF!*1000</f>
        <v>#REF!</v>
      </c>
      <c r="PS225" s="79" t="e">
        <f>PS224/#REF!*1000</f>
        <v>#REF!</v>
      </c>
      <c r="PT225" s="79" t="e">
        <f>PT224/#REF!*1000</f>
        <v>#REF!</v>
      </c>
      <c r="PU225" s="79" t="e">
        <f>PU224/#REF!*1000</f>
        <v>#REF!</v>
      </c>
      <c r="PV225" s="79" t="e">
        <f>PV224/#REF!*1000</f>
        <v>#REF!</v>
      </c>
      <c r="PW225" s="79" t="e">
        <f>PW224/#REF!*1000</f>
        <v>#REF!</v>
      </c>
      <c r="PX225" s="79" t="e">
        <f>PX224/#REF!*1000</f>
        <v>#REF!</v>
      </c>
      <c r="PY225" s="79" t="e">
        <f>PY224/#REF!*1000</f>
        <v>#REF!</v>
      </c>
      <c r="PZ225" s="79" t="e">
        <f>PZ224/#REF!*1000</f>
        <v>#REF!</v>
      </c>
      <c r="QA225" s="79" t="e">
        <f>QA224/#REF!*1000</f>
        <v>#REF!</v>
      </c>
      <c r="QB225" s="79" t="e">
        <f>QB224/#REF!*1000</f>
        <v>#REF!</v>
      </c>
      <c r="QC225" s="79" t="e">
        <f>QC224/#REF!*1000</f>
        <v>#REF!</v>
      </c>
      <c r="QD225" s="79" t="e">
        <f>QD224/#REF!*1000</f>
        <v>#REF!</v>
      </c>
      <c r="QE225" s="79" t="e">
        <f>QE224/#REF!*1000</f>
        <v>#REF!</v>
      </c>
      <c r="QF225" s="79" t="e">
        <f>QF224/#REF!*1000</f>
        <v>#REF!</v>
      </c>
      <c r="QG225" s="79" t="e">
        <f>QG224/#REF!*1000</f>
        <v>#REF!</v>
      </c>
      <c r="QH225" s="79" t="e">
        <f>QH224/#REF!*1000</f>
        <v>#REF!</v>
      </c>
      <c r="QI225" s="79" t="e">
        <f>QI224/#REF!*1000</f>
        <v>#REF!</v>
      </c>
      <c r="QJ225" s="79" t="e">
        <f>QJ224/#REF!*1000</f>
        <v>#REF!</v>
      </c>
      <c r="QK225" s="79" t="e">
        <f>QK224/#REF!*1000</f>
        <v>#REF!</v>
      </c>
      <c r="QL225" s="79" t="e">
        <f>QL224/#REF!*1000</f>
        <v>#REF!</v>
      </c>
      <c r="QM225" s="79" t="e">
        <f>QM224/#REF!*1000</f>
        <v>#REF!</v>
      </c>
      <c r="QN225" s="79" t="e">
        <f>QN224/#REF!*1000</f>
        <v>#REF!</v>
      </c>
      <c r="QO225" s="79" t="e">
        <f>QO224/#REF!*1000</f>
        <v>#REF!</v>
      </c>
      <c r="QP225" s="79" t="e">
        <f>QP224/#REF!*1000</f>
        <v>#REF!</v>
      </c>
      <c r="QQ225" s="79" t="e">
        <f>QQ224/#REF!*1000</f>
        <v>#REF!</v>
      </c>
      <c r="QR225" s="79" t="e">
        <f>QR224/#REF!*1000</f>
        <v>#REF!</v>
      </c>
      <c r="QS225" s="79" t="e">
        <f>QS224/#REF!*1000</f>
        <v>#REF!</v>
      </c>
      <c r="QT225" s="79" t="e">
        <f>QT224/#REF!*1000</f>
        <v>#REF!</v>
      </c>
      <c r="QU225" s="79" t="e">
        <f>QU224/#REF!*1000</f>
        <v>#REF!</v>
      </c>
      <c r="QV225" s="79" t="e">
        <f>QV224/#REF!*1000</f>
        <v>#REF!</v>
      </c>
      <c r="QW225" s="79" t="e">
        <f>QW224/#REF!*1000</f>
        <v>#REF!</v>
      </c>
      <c r="QX225" s="79" t="e">
        <f>QX224/#REF!*1000</f>
        <v>#REF!</v>
      </c>
      <c r="QY225" s="79" t="e">
        <f>QY224/#REF!*1000</f>
        <v>#REF!</v>
      </c>
      <c r="QZ225" s="79" t="e">
        <f>QZ224/#REF!*1000</f>
        <v>#REF!</v>
      </c>
      <c r="RA225" s="79" t="e">
        <f>RA224/#REF!*1000</f>
        <v>#REF!</v>
      </c>
      <c r="RB225" s="79" t="e">
        <f>RB224/#REF!*1000</f>
        <v>#REF!</v>
      </c>
      <c r="RC225" s="79" t="e">
        <f>RC224/#REF!*1000</f>
        <v>#REF!</v>
      </c>
      <c r="RD225" s="79" t="e">
        <f>RD224/#REF!*1000</f>
        <v>#REF!</v>
      </c>
      <c r="RE225" s="79" t="e">
        <f>RE224/#REF!*1000</f>
        <v>#REF!</v>
      </c>
      <c r="RF225" s="79" t="e">
        <f>RF224/#REF!*1000</f>
        <v>#REF!</v>
      </c>
      <c r="RG225" s="79" t="e">
        <f>RG224/#REF!*1000</f>
        <v>#REF!</v>
      </c>
      <c r="RH225" s="79" t="e">
        <f>RH224/#REF!*1000</f>
        <v>#REF!</v>
      </c>
      <c r="RI225" s="79" t="e">
        <f>RI224/#REF!*1000</f>
        <v>#REF!</v>
      </c>
      <c r="RJ225" s="79" t="e">
        <f>RJ224/#REF!*1000</f>
        <v>#REF!</v>
      </c>
      <c r="RK225" s="79" t="e">
        <f>RK224/#REF!*1000</f>
        <v>#REF!</v>
      </c>
      <c r="RL225" s="79" t="e">
        <f>RL224/#REF!*1000</f>
        <v>#REF!</v>
      </c>
      <c r="RM225" s="79" t="e">
        <f>RM224/#REF!*1000</f>
        <v>#REF!</v>
      </c>
      <c r="RN225" s="79" t="e">
        <f>RN224/#REF!*1000</f>
        <v>#REF!</v>
      </c>
      <c r="RO225" s="79" t="e">
        <f>RO224/#REF!*1000</f>
        <v>#REF!</v>
      </c>
      <c r="RP225" s="79" t="e">
        <f>RP224/#REF!*1000</f>
        <v>#REF!</v>
      </c>
      <c r="RQ225" s="79" t="e">
        <f>RQ224/#REF!*1000</f>
        <v>#REF!</v>
      </c>
      <c r="RR225" s="79" t="e">
        <f>RR224/#REF!*1000</f>
        <v>#REF!</v>
      </c>
      <c r="RS225" s="79" t="e">
        <f>RS224/#REF!*1000</f>
        <v>#REF!</v>
      </c>
      <c r="RT225" s="79" t="e">
        <f>RT224/#REF!*1000</f>
        <v>#REF!</v>
      </c>
      <c r="RU225" s="79" t="e">
        <f>RU224/#REF!*1000</f>
        <v>#REF!</v>
      </c>
      <c r="RV225" s="79" t="e">
        <f>RV224/#REF!*1000</f>
        <v>#REF!</v>
      </c>
      <c r="RW225" s="79" t="e">
        <f>RW224/#REF!*1000</f>
        <v>#REF!</v>
      </c>
      <c r="RX225" s="79" t="e">
        <f>RX224/#REF!*1000</f>
        <v>#REF!</v>
      </c>
      <c r="RY225" s="79" t="e">
        <f>RY224/#REF!*1000</f>
        <v>#REF!</v>
      </c>
      <c r="RZ225" s="79" t="e">
        <f>RZ224/#REF!*1000</f>
        <v>#REF!</v>
      </c>
      <c r="SA225" s="79" t="e">
        <f>SA224/#REF!*1000</f>
        <v>#REF!</v>
      </c>
      <c r="SB225" s="79" t="e">
        <f>SB224/#REF!*1000</f>
        <v>#REF!</v>
      </c>
      <c r="SC225" s="79" t="e">
        <f>SC224/#REF!*1000</f>
        <v>#REF!</v>
      </c>
      <c r="SD225" s="79" t="e">
        <f>SD224/#REF!*1000</f>
        <v>#REF!</v>
      </c>
      <c r="SE225" s="79" t="e">
        <f>SE224/#REF!*1000</f>
        <v>#REF!</v>
      </c>
      <c r="SF225" s="79" t="e">
        <f>SF224/#REF!*1000</f>
        <v>#REF!</v>
      </c>
      <c r="SG225" s="79" t="e">
        <f>SG224/#REF!*1000</f>
        <v>#REF!</v>
      </c>
      <c r="SH225" s="79" t="e">
        <f>SH224/#REF!*1000</f>
        <v>#REF!</v>
      </c>
      <c r="SI225" s="79" t="e">
        <f>SI224/#REF!*1000</f>
        <v>#REF!</v>
      </c>
      <c r="SJ225" s="79" t="e">
        <f>SJ224/#REF!*1000</f>
        <v>#REF!</v>
      </c>
      <c r="SK225" s="79" t="e">
        <f>SK224/#REF!*1000</f>
        <v>#REF!</v>
      </c>
      <c r="SL225" s="79" t="e">
        <f>SL224/#REF!*1000</f>
        <v>#REF!</v>
      </c>
      <c r="SM225" s="79" t="e">
        <f>SM224/#REF!*1000</f>
        <v>#REF!</v>
      </c>
      <c r="SN225" s="79" t="e">
        <f>SN224/#REF!*1000</f>
        <v>#REF!</v>
      </c>
      <c r="SO225" s="79" t="e">
        <f>SO224/#REF!*1000</f>
        <v>#REF!</v>
      </c>
      <c r="SP225" s="79" t="e">
        <f>SP224/#REF!*1000</f>
        <v>#REF!</v>
      </c>
      <c r="SQ225" s="79" t="e">
        <f>SQ224/#REF!*1000</f>
        <v>#REF!</v>
      </c>
      <c r="SR225" s="79" t="e">
        <f>SR224/#REF!*1000</f>
        <v>#REF!</v>
      </c>
      <c r="SS225" s="79" t="e">
        <f>SS224/#REF!*1000</f>
        <v>#REF!</v>
      </c>
      <c r="ST225" s="79" t="e">
        <f>ST224/#REF!*1000</f>
        <v>#REF!</v>
      </c>
      <c r="SU225" s="79" t="e">
        <f>SU224/#REF!*1000</f>
        <v>#REF!</v>
      </c>
      <c r="SV225" s="79" t="e">
        <f>SV224/#REF!*1000</f>
        <v>#REF!</v>
      </c>
      <c r="SW225" s="79" t="e">
        <f>SW224/#REF!*1000</f>
        <v>#REF!</v>
      </c>
      <c r="SX225" s="79" t="e">
        <f>SX224/#REF!*1000</f>
        <v>#REF!</v>
      </c>
      <c r="SY225" s="79" t="e">
        <f>SY224/#REF!*1000</f>
        <v>#REF!</v>
      </c>
      <c r="SZ225" s="79" t="e">
        <f>SZ224/#REF!*1000</f>
        <v>#REF!</v>
      </c>
      <c r="TA225" s="79" t="e">
        <f>TA224/#REF!*1000</f>
        <v>#REF!</v>
      </c>
      <c r="TB225" s="79" t="e">
        <f>TB224/#REF!*1000</f>
        <v>#REF!</v>
      </c>
      <c r="TC225" s="79" t="e">
        <f>TC224/#REF!*1000</f>
        <v>#REF!</v>
      </c>
      <c r="TD225" s="79" t="e">
        <f>TD224/#REF!*1000</f>
        <v>#REF!</v>
      </c>
      <c r="TE225" s="79" t="e">
        <f>TE224/#REF!*1000</f>
        <v>#REF!</v>
      </c>
      <c r="TF225" s="79" t="e">
        <f>TF224/#REF!*1000</f>
        <v>#REF!</v>
      </c>
      <c r="TG225" s="79" t="e">
        <f>TG224/#REF!*1000</f>
        <v>#REF!</v>
      </c>
      <c r="TH225" s="79" t="e">
        <f>TH224/#REF!*1000</f>
        <v>#REF!</v>
      </c>
      <c r="TI225" s="79" t="e">
        <f>TI224/#REF!*1000</f>
        <v>#REF!</v>
      </c>
      <c r="TJ225" s="79" t="e">
        <f>TJ224/#REF!*1000</f>
        <v>#REF!</v>
      </c>
      <c r="TK225" s="79" t="e">
        <f>TK224/#REF!*1000</f>
        <v>#REF!</v>
      </c>
      <c r="TL225" s="79" t="e">
        <f>TL224/#REF!*1000</f>
        <v>#REF!</v>
      </c>
      <c r="TM225" s="79" t="e">
        <f>TM224/#REF!*1000</f>
        <v>#REF!</v>
      </c>
      <c r="TN225" s="79" t="e">
        <f>TN224/#REF!*1000</f>
        <v>#REF!</v>
      </c>
      <c r="TO225" s="79" t="e">
        <f>TO224/#REF!*1000</f>
        <v>#REF!</v>
      </c>
      <c r="TP225" s="79" t="e">
        <f>TP224/#REF!*1000</f>
        <v>#REF!</v>
      </c>
      <c r="TQ225" s="79" t="e">
        <f>TQ224/#REF!*1000</f>
        <v>#REF!</v>
      </c>
      <c r="TR225" s="79" t="e">
        <f>TR224/#REF!*1000</f>
        <v>#REF!</v>
      </c>
      <c r="TS225" s="79" t="e">
        <f>TS224/#REF!*1000</f>
        <v>#REF!</v>
      </c>
      <c r="TT225" s="79" t="e">
        <f>TT224/#REF!*1000</f>
        <v>#REF!</v>
      </c>
      <c r="TU225" s="79" t="e">
        <f>TU224/#REF!*1000</f>
        <v>#REF!</v>
      </c>
      <c r="TV225" s="79" t="e">
        <f>TV224/#REF!*1000</f>
        <v>#REF!</v>
      </c>
      <c r="TW225" s="79" t="e">
        <f>TW224/#REF!*1000</f>
        <v>#REF!</v>
      </c>
      <c r="TX225" s="79" t="e">
        <f>TX224/#REF!*1000</f>
        <v>#REF!</v>
      </c>
      <c r="TY225" s="79" t="e">
        <f>TY224/#REF!*1000</f>
        <v>#REF!</v>
      </c>
      <c r="TZ225" s="79" t="e">
        <f>TZ224/#REF!*1000</f>
        <v>#REF!</v>
      </c>
      <c r="UA225" s="79" t="e">
        <f>UA224/#REF!*1000</f>
        <v>#REF!</v>
      </c>
      <c r="UB225" s="79" t="e">
        <f>UB224/#REF!*1000</f>
        <v>#REF!</v>
      </c>
      <c r="UC225" s="79" t="e">
        <f>UC224/#REF!*1000</f>
        <v>#REF!</v>
      </c>
      <c r="UD225" s="79" t="e">
        <f>UD224/#REF!*1000</f>
        <v>#REF!</v>
      </c>
      <c r="UE225" s="79" t="e">
        <f>UE224/#REF!*1000</f>
        <v>#REF!</v>
      </c>
      <c r="UF225" s="79" t="e">
        <f>UF224/#REF!*1000</f>
        <v>#REF!</v>
      </c>
      <c r="UG225" s="79" t="e">
        <f>UG224/#REF!*1000</f>
        <v>#REF!</v>
      </c>
      <c r="UH225" s="79" t="e">
        <f>UH224/#REF!*1000</f>
        <v>#REF!</v>
      </c>
      <c r="UI225" s="79" t="e">
        <f>UI224/#REF!*1000</f>
        <v>#REF!</v>
      </c>
      <c r="UJ225" s="79" t="e">
        <f>UJ224/#REF!*1000</f>
        <v>#REF!</v>
      </c>
      <c r="UK225" s="79" t="e">
        <f>UK224/#REF!*1000</f>
        <v>#REF!</v>
      </c>
      <c r="UL225" s="79" t="e">
        <f>UL224/#REF!*1000</f>
        <v>#REF!</v>
      </c>
      <c r="UM225" s="79" t="e">
        <f>UM224/#REF!*1000</f>
        <v>#REF!</v>
      </c>
      <c r="UN225" s="79" t="e">
        <f>UN224/#REF!*1000</f>
        <v>#REF!</v>
      </c>
      <c r="UO225" s="79" t="e">
        <f>UO224/#REF!*1000</f>
        <v>#REF!</v>
      </c>
      <c r="UP225" s="79" t="e">
        <f>UP224/#REF!*1000</f>
        <v>#REF!</v>
      </c>
      <c r="UQ225" s="79" t="e">
        <f>UQ224/#REF!*1000</f>
        <v>#REF!</v>
      </c>
      <c r="UR225" s="79" t="e">
        <f>UR224/#REF!*1000</f>
        <v>#REF!</v>
      </c>
      <c r="US225" s="79" t="e">
        <f>US224/#REF!*1000</f>
        <v>#REF!</v>
      </c>
      <c r="UT225" s="79" t="e">
        <f>UT224/#REF!*1000</f>
        <v>#REF!</v>
      </c>
      <c r="UU225" s="79" t="e">
        <f>UU224/#REF!*1000</f>
        <v>#REF!</v>
      </c>
      <c r="UV225" s="79" t="e">
        <f>UV224/#REF!*1000</f>
        <v>#REF!</v>
      </c>
      <c r="UW225" s="79" t="e">
        <f>UW224/#REF!*1000</f>
        <v>#REF!</v>
      </c>
      <c r="UX225" s="79" t="e">
        <f>UX224/#REF!*1000</f>
        <v>#REF!</v>
      </c>
      <c r="UY225" s="79" t="e">
        <f>UY224/#REF!*1000</f>
        <v>#REF!</v>
      </c>
      <c r="UZ225" s="79" t="e">
        <f>UZ224/#REF!*1000</f>
        <v>#REF!</v>
      </c>
      <c r="VA225" s="79" t="e">
        <f>VA224/#REF!*1000</f>
        <v>#REF!</v>
      </c>
      <c r="VB225" s="79" t="e">
        <f>VB224/#REF!*1000</f>
        <v>#REF!</v>
      </c>
      <c r="VC225" s="79" t="e">
        <f>VC224/#REF!*1000</f>
        <v>#REF!</v>
      </c>
      <c r="VD225" s="79" t="e">
        <f>VD224/#REF!*1000</f>
        <v>#REF!</v>
      </c>
      <c r="VE225" s="79" t="e">
        <f>VE224/#REF!*1000</f>
        <v>#REF!</v>
      </c>
      <c r="VF225" s="79" t="e">
        <f>VF224/#REF!*1000</f>
        <v>#REF!</v>
      </c>
      <c r="VG225" s="79" t="e">
        <f>VG224/#REF!*1000</f>
        <v>#REF!</v>
      </c>
      <c r="VH225" s="79" t="e">
        <f>VH224/#REF!*1000</f>
        <v>#REF!</v>
      </c>
      <c r="VI225" s="79" t="e">
        <f>VI224/#REF!*1000</f>
        <v>#REF!</v>
      </c>
      <c r="VJ225" s="79" t="e">
        <f>VJ224/#REF!*1000</f>
        <v>#REF!</v>
      </c>
      <c r="VK225" s="79" t="e">
        <f>VK224/#REF!*1000</f>
        <v>#REF!</v>
      </c>
      <c r="VL225" s="79" t="e">
        <f>VL224/#REF!*1000</f>
        <v>#REF!</v>
      </c>
      <c r="VM225" s="79" t="e">
        <f>VM224/#REF!*1000</f>
        <v>#REF!</v>
      </c>
      <c r="VN225" s="79" t="e">
        <f>VN224/#REF!*1000</f>
        <v>#REF!</v>
      </c>
      <c r="VO225" s="79" t="e">
        <f>VO224/#REF!*1000</f>
        <v>#REF!</v>
      </c>
      <c r="VP225" s="79" t="e">
        <f>VP224/#REF!*1000</f>
        <v>#REF!</v>
      </c>
      <c r="VQ225" s="79" t="e">
        <f>VQ224/#REF!*1000</f>
        <v>#REF!</v>
      </c>
      <c r="VR225" s="79" t="e">
        <f>VR224/#REF!*1000</f>
        <v>#REF!</v>
      </c>
      <c r="VS225" s="79" t="e">
        <f>VS224/#REF!*1000</f>
        <v>#REF!</v>
      </c>
      <c r="VT225" s="79" t="e">
        <f>VT224/#REF!*1000</f>
        <v>#REF!</v>
      </c>
      <c r="VU225" s="79" t="e">
        <f>VU224/#REF!*1000</f>
        <v>#REF!</v>
      </c>
      <c r="VV225" s="79" t="e">
        <f>VV224/#REF!*1000</f>
        <v>#REF!</v>
      </c>
      <c r="VW225" s="79" t="e">
        <f>VW224/#REF!*1000</f>
        <v>#REF!</v>
      </c>
      <c r="VX225" s="79" t="e">
        <f>VX224/#REF!*1000</f>
        <v>#REF!</v>
      </c>
      <c r="VY225" s="79" t="e">
        <f>VY224/#REF!*1000</f>
        <v>#REF!</v>
      </c>
      <c r="VZ225" s="79" t="e">
        <f>VZ224/#REF!*1000</f>
        <v>#REF!</v>
      </c>
      <c r="WA225" s="79" t="e">
        <f>WA224/#REF!*1000</f>
        <v>#REF!</v>
      </c>
      <c r="WB225" s="79" t="e">
        <f>WB224/#REF!*1000</f>
        <v>#REF!</v>
      </c>
      <c r="WC225" s="79" t="e">
        <f>WC224/#REF!*1000</f>
        <v>#REF!</v>
      </c>
      <c r="WD225" s="79" t="e">
        <f>WD224/#REF!*1000</f>
        <v>#REF!</v>
      </c>
      <c r="WE225" s="79" t="e">
        <f>WE224/#REF!*1000</f>
        <v>#REF!</v>
      </c>
      <c r="WF225" s="79" t="e">
        <f>WF224/#REF!*1000</f>
        <v>#REF!</v>
      </c>
      <c r="WG225" s="79" t="e">
        <f>WG224/#REF!*1000</f>
        <v>#REF!</v>
      </c>
      <c r="WH225" s="79" t="e">
        <f>WH224/#REF!*1000</f>
        <v>#REF!</v>
      </c>
      <c r="WI225" s="79" t="e">
        <f>WI224/#REF!*1000</f>
        <v>#REF!</v>
      </c>
      <c r="WJ225" s="79" t="e">
        <f>WJ224/#REF!*1000</f>
        <v>#REF!</v>
      </c>
      <c r="WK225" s="79" t="e">
        <f>WK224/#REF!*1000</f>
        <v>#REF!</v>
      </c>
      <c r="WL225" s="79" t="e">
        <f>WL224/#REF!*1000</f>
        <v>#REF!</v>
      </c>
      <c r="WM225" s="79" t="e">
        <f>WM224/#REF!*1000</f>
        <v>#REF!</v>
      </c>
      <c r="WN225" s="79" t="e">
        <f>WN224/#REF!*1000</f>
        <v>#REF!</v>
      </c>
      <c r="WO225" s="79" t="e">
        <f>WO224/#REF!*1000</f>
        <v>#REF!</v>
      </c>
      <c r="WP225" s="79" t="e">
        <f>WP224/#REF!*1000</f>
        <v>#REF!</v>
      </c>
      <c r="WQ225" s="79" t="e">
        <f>WQ224/#REF!*1000</f>
        <v>#REF!</v>
      </c>
      <c r="WR225" s="79" t="e">
        <f>WR224/#REF!*1000</f>
        <v>#REF!</v>
      </c>
      <c r="WS225" s="79" t="e">
        <f>WS224/#REF!*1000</f>
        <v>#REF!</v>
      </c>
      <c r="WT225" s="79" t="e">
        <f>WT224/#REF!*1000</f>
        <v>#REF!</v>
      </c>
      <c r="WU225" s="79" t="e">
        <f>WU224/#REF!*1000</f>
        <v>#REF!</v>
      </c>
      <c r="WV225" s="79" t="e">
        <f>WV224/#REF!*1000</f>
        <v>#REF!</v>
      </c>
      <c r="WW225" s="79" t="e">
        <f>WW224/#REF!*1000</f>
        <v>#REF!</v>
      </c>
      <c r="WX225" s="79" t="e">
        <f>WX224/#REF!*1000</f>
        <v>#REF!</v>
      </c>
      <c r="WY225" s="79" t="e">
        <f>WY224/#REF!*1000</f>
        <v>#REF!</v>
      </c>
      <c r="WZ225" s="79" t="e">
        <f>WZ224/#REF!*1000</f>
        <v>#REF!</v>
      </c>
      <c r="XA225" s="79" t="e">
        <f>XA224/#REF!*1000</f>
        <v>#REF!</v>
      </c>
      <c r="XB225" s="79" t="e">
        <f>XB224/#REF!*1000</f>
        <v>#REF!</v>
      </c>
      <c r="XC225" s="79" t="e">
        <f>XC224/#REF!*1000</f>
        <v>#REF!</v>
      </c>
      <c r="XD225" s="79" t="e">
        <f>XD224/#REF!*1000</f>
        <v>#REF!</v>
      </c>
      <c r="XE225" s="79" t="e">
        <f>XE224/#REF!*1000</f>
        <v>#REF!</v>
      </c>
      <c r="XF225" s="79" t="e">
        <f>XF224/#REF!*1000</f>
        <v>#REF!</v>
      </c>
      <c r="XG225" s="79" t="e">
        <f>XG224/#REF!*1000</f>
        <v>#REF!</v>
      </c>
      <c r="XH225" s="79" t="e">
        <f>XH224/#REF!*1000</f>
        <v>#REF!</v>
      </c>
      <c r="XI225" s="79" t="e">
        <f>XI224/#REF!*1000</f>
        <v>#REF!</v>
      </c>
      <c r="XJ225" s="79" t="e">
        <f>XJ224/#REF!*1000</f>
        <v>#REF!</v>
      </c>
      <c r="XK225" s="79" t="e">
        <f>XK224/#REF!*1000</f>
        <v>#REF!</v>
      </c>
      <c r="XL225" s="79" t="e">
        <f>XL224/#REF!*1000</f>
        <v>#REF!</v>
      </c>
      <c r="XM225" s="79" t="e">
        <f>XM224/#REF!*1000</f>
        <v>#REF!</v>
      </c>
      <c r="XN225" s="79" t="e">
        <f>XN224/#REF!*1000</f>
        <v>#REF!</v>
      </c>
      <c r="XO225" s="79" t="e">
        <f>XO224/#REF!*1000</f>
        <v>#REF!</v>
      </c>
      <c r="XP225" s="79" t="e">
        <f>XP224/#REF!*1000</f>
        <v>#REF!</v>
      </c>
      <c r="XQ225" s="79" t="e">
        <f>XQ224/#REF!*1000</f>
        <v>#REF!</v>
      </c>
      <c r="XR225" s="79" t="e">
        <f>XR224/#REF!*1000</f>
        <v>#REF!</v>
      </c>
      <c r="XS225" s="79" t="e">
        <f>XS224/#REF!*1000</f>
        <v>#REF!</v>
      </c>
      <c r="XT225" s="79" t="e">
        <f>XT224/#REF!*1000</f>
        <v>#REF!</v>
      </c>
      <c r="XU225" s="79" t="e">
        <f>XU224/#REF!*1000</f>
        <v>#REF!</v>
      </c>
      <c r="XV225" s="79" t="e">
        <f>XV224/#REF!*1000</f>
        <v>#REF!</v>
      </c>
      <c r="XW225" s="79" t="e">
        <f>XW224/#REF!*1000</f>
        <v>#REF!</v>
      </c>
      <c r="XX225" s="79" t="e">
        <f>XX224/#REF!*1000</f>
        <v>#REF!</v>
      </c>
      <c r="XY225" s="79" t="e">
        <f>XY224/#REF!*1000</f>
        <v>#REF!</v>
      </c>
      <c r="XZ225" s="79" t="e">
        <f>XZ224/#REF!*1000</f>
        <v>#REF!</v>
      </c>
      <c r="YA225" s="79" t="e">
        <f>YA224/#REF!*1000</f>
        <v>#REF!</v>
      </c>
      <c r="YB225" s="79" t="e">
        <f>YB224/#REF!*1000</f>
        <v>#REF!</v>
      </c>
      <c r="YC225" s="79" t="e">
        <f>YC224/#REF!*1000</f>
        <v>#REF!</v>
      </c>
      <c r="YD225" s="79" t="e">
        <f>YD224/#REF!*1000</f>
        <v>#REF!</v>
      </c>
      <c r="YE225" s="79" t="e">
        <f>YE224/#REF!*1000</f>
        <v>#REF!</v>
      </c>
      <c r="YF225" s="79" t="e">
        <f>YF224/#REF!*1000</f>
        <v>#REF!</v>
      </c>
      <c r="YG225" s="79" t="e">
        <f>YG224/#REF!*1000</f>
        <v>#REF!</v>
      </c>
      <c r="YH225" s="79" t="e">
        <f>YH224/#REF!*1000</f>
        <v>#REF!</v>
      </c>
      <c r="YI225" s="79" t="e">
        <f>YI224/#REF!*1000</f>
        <v>#REF!</v>
      </c>
      <c r="YJ225" s="79" t="e">
        <f>YJ224/#REF!*1000</f>
        <v>#REF!</v>
      </c>
      <c r="YK225" s="79" t="e">
        <f>YK224/#REF!*1000</f>
        <v>#REF!</v>
      </c>
      <c r="YL225" s="79" t="e">
        <f>YL224/#REF!*1000</f>
        <v>#REF!</v>
      </c>
      <c r="YM225" s="79" t="e">
        <f>YM224/#REF!*1000</f>
        <v>#REF!</v>
      </c>
      <c r="YN225" s="79" t="e">
        <f>YN224/#REF!*1000</f>
        <v>#REF!</v>
      </c>
      <c r="YO225" s="79" t="e">
        <f>YO224/#REF!*1000</f>
        <v>#REF!</v>
      </c>
      <c r="YP225" s="79" t="e">
        <f>YP224/#REF!*1000</f>
        <v>#REF!</v>
      </c>
      <c r="YQ225" s="79" t="e">
        <f>YQ224/#REF!*1000</f>
        <v>#REF!</v>
      </c>
      <c r="YR225" s="79" t="e">
        <f>YR224/#REF!*1000</f>
        <v>#REF!</v>
      </c>
      <c r="YS225" s="79" t="e">
        <f>YS224/#REF!*1000</f>
        <v>#REF!</v>
      </c>
      <c r="YT225" s="79" t="e">
        <f>YT224/#REF!*1000</f>
        <v>#REF!</v>
      </c>
      <c r="YU225" s="79" t="e">
        <f>YU224/#REF!*1000</f>
        <v>#REF!</v>
      </c>
      <c r="YV225" s="79" t="e">
        <f>YV224/#REF!*1000</f>
        <v>#REF!</v>
      </c>
      <c r="YW225" s="79" t="e">
        <f>YW224/#REF!*1000</f>
        <v>#REF!</v>
      </c>
      <c r="YX225" s="79" t="e">
        <f>YX224/#REF!*1000</f>
        <v>#REF!</v>
      </c>
      <c r="YY225" s="79" t="e">
        <f>YY224/#REF!*1000</f>
        <v>#REF!</v>
      </c>
      <c r="YZ225" s="79" t="e">
        <f>YZ224/#REF!*1000</f>
        <v>#REF!</v>
      </c>
      <c r="ZA225" s="79" t="e">
        <f>ZA224/#REF!*1000</f>
        <v>#REF!</v>
      </c>
      <c r="ZB225" s="79" t="e">
        <f>ZB224/#REF!*1000</f>
        <v>#REF!</v>
      </c>
      <c r="ZC225" s="79" t="e">
        <f>ZC224/#REF!*1000</f>
        <v>#REF!</v>
      </c>
      <c r="ZD225" s="79" t="e">
        <f>ZD224/#REF!*1000</f>
        <v>#REF!</v>
      </c>
      <c r="ZE225" s="79" t="e">
        <f>ZE224/#REF!*1000</f>
        <v>#REF!</v>
      </c>
      <c r="ZF225" s="79" t="e">
        <f>ZF224/#REF!*1000</f>
        <v>#REF!</v>
      </c>
      <c r="ZG225" s="79" t="e">
        <f>ZG224/#REF!*1000</f>
        <v>#REF!</v>
      </c>
      <c r="ZH225" s="79" t="e">
        <f>ZH224/#REF!*1000</f>
        <v>#REF!</v>
      </c>
      <c r="ZI225" s="79" t="e">
        <f>ZI224/#REF!*1000</f>
        <v>#REF!</v>
      </c>
      <c r="ZJ225" s="79" t="e">
        <f>ZJ224/#REF!*1000</f>
        <v>#REF!</v>
      </c>
      <c r="ZK225" s="79" t="e">
        <f>ZK224/#REF!*1000</f>
        <v>#REF!</v>
      </c>
      <c r="ZL225" s="79" t="e">
        <f>ZL224/#REF!*1000</f>
        <v>#REF!</v>
      </c>
      <c r="ZM225" s="79" t="e">
        <f>ZM224/#REF!*1000</f>
        <v>#REF!</v>
      </c>
      <c r="ZN225" s="79" t="e">
        <f>ZN224/#REF!*1000</f>
        <v>#REF!</v>
      </c>
      <c r="ZO225" s="79" t="e">
        <f>ZO224/#REF!*1000</f>
        <v>#REF!</v>
      </c>
      <c r="ZP225" s="79" t="e">
        <f>ZP224/#REF!*1000</f>
        <v>#REF!</v>
      </c>
      <c r="ZQ225" s="79" t="e">
        <f>ZQ224/#REF!*1000</f>
        <v>#REF!</v>
      </c>
      <c r="ZR225" s="79" t="e">
        <f>ZR224/#REF!*1000</f>
        <v>#REF!</v>
      </c>
      <c r="ZS225" s="79" t="e">
        <f>ZS224/#REF!*1000</f>
        <v>#REF!</v>
      </c>
      <c r="ZT225" s="79" t="e">
        <f>ZT224/#REF!*1000</f>
        <v>#REF!</v>
      </c>
      <c r="ZU225" s="79" t="e">
        <f>ZU224/#REF!*1000</f>
        <v>#REF!</v>
      </c>
      <c r="ZV225" s="79" t="e">
        <f>ZV224/#REF!*1000</f>
        <v>#REF!</v>
      </c>
      <c r="ZW225" s="79" t="e">
        <f>ZW224/#REF!*1000</f>
        <v>#REF!</v>
      </c>
      <c r="ZX225" s="79" t="e">
        <f>ZX224/#REF!*1000</f>
        <v>#REF!</v>
      </c>
      <c r="ZY225" s="79" t="e">
        <f>ZY224/#REF!*1000</f>
        <v>#REF!</v>
      </c>
      <c r="ZZ225" s="79" t="e">
        <f>ZZ224/#REF!*1000</f>
        <v>#REF!</v>
      </c>
      <c r="AAA225" s="79" t="e">
        <f>AAA224/#REF!*1000</f>
        <v>#REF!</v>
      </c>
      <c r="AAB225" s="79" t="e">
        <f>AAB224/#REF!*1000</f>
        <v>#REF!</v>
      </c>
      <c r="AAC225" s="79" t="e">
        <f>AAC224/#REF!*1000</f>
        <v>#REF!</v>
      </c>
      <c r="AAD225" s="79" t="e">
        <f>AAD224/#REF!*1000</f>
        <v>#REF!</v>
      </c>
      <c r="AAE225" s="79" t="e">
        <f>AAE224/#REF!*1000</f>
        <v>#REF!</v>
      </c>
      <c r="AAF225" s="79" t="e">
        <f>AAF224/#REF!*1000</f>
        <v>#REF!</v>
      </c>
      <c r="AAG225" s="79" t="e">
        <f>AAG224/#REF!*1000</f>
        <v>#REF!</v>
      </c>
      <c r="AAH225" s="79" t="e">
        <f>AAH224/#REF!*1000</f>
        <v>#REF!</v>
      </c>
      <c r="AAI225" s="79" t="e">
        <f>AAI224/#REF!*1000</f>
        <v>#REF!</v>
      </c>
      <c r="AAJ225" s="79" t="e">
        <f>AAJ224/#REF!*1000</f>
        <v>#REF!</v>
      </c>
      <c r="AAK225" s="79" t="e">
        <f>AAK224/#REF!*1000</f>
        <v>#REF!</v>
      </c>
      <c r="AAL225" s="79" t="e">
        <f>AAL224/#REF!*1000</f>
        <v>#REF!</v>
      </c>
      <c r="AAM225" s="79" t="e">
        <f>AAM224/#REF!*1000</f>
        <v>#REF!</v>
      </c>
      <c r="AAN225" s="79" t="e">
        <f>AAN224/#REF!*1000</f>
        <v>#REF!</v>
      </c>
      <c r="AAO225" s="79" t="e">
        <f>AAO224/#REF!*1000</f>
        <v>#REF!</v>
      </c>
      <c r="AAP225" s="79" t="e">
        <f>AAP224/#REF!*1000</f>
        <v>#REF!</v>
      </c>
      <c r="AAQ225" s="79" t="e">
        <f>AAQ224/#REF!*1000</f>
        <v>#REF!</v>
      </c>
      <c r="AAR225" s="79" t="e">
        <f>AAR224/#REF!*1000</f>
        <v>#REF!</v>
      </c>
      <c r="AAS225" s="79" t="e">
        <f>AAS224/#REF!*1000</f>
        <v>#REF!</v>
      </c>
      <c r="AAT225" s="79" t="e">
        <f>AAT224/#REF!*1000</f>
        <v>#REF!</v>
      </c>
      <c r="AAU225" s="79" t="e">
        <f>AAU224/#REF!*1000</f>
        <v>#REF!</v>
      </c>
      <c r="AAV225" s="79" t="e">
        <f>AAV224/#REF!*1000</f>
        <v>#REF!</v>
      </c>
      <c r="AAW225" s="79" t="e">
        <f>AAW224/#REF!*1000</f>
        <v>#REF!</v>
      </c>
      <c r="AAX225" s="79" t="e">
        <f>AAX224/#REF!*1000</f>
        <v>#REF!</v>
      </c>
      <c r="AAY225" s="79" t="e">
        <f>AAY224/#REF!*1000</f>
        <v>#REF!</v>
      </c>
      <c r="AAZ225" s="79" t="e">
        <f>AAZ224/#REF!*1000</f>
        <v>#REF!</v>
      </c>
      <c r="ABA225" s="79" t="e">
        <f>ABA224/#REF!*1000</f>
        <v>#REF!</v>
      </c>
      <c r="ABB225" s="79" t="e">
        <f>ABB224/#REF!*1000</f>
        <v>#REF!</v>
      </c>
      <c r="ABC225" s="79" t="e">
        <f>ABC224/#REF!*1000</f>
        <v>#REF!</v>
      </c>
      <c r="ABD225" s="79" t="e">
        <f>ABD224/#REF!*1000</f>
        <v>#REF!</v>
      </c>
      <c r="ABE225" s="79" t="e">
        <f>ABE224/#REF!*1000</f>
        <v>#REF!</v>
      </c>
      <c r="ABF225" s="79" t="e">
        <f>ABF224/#REF!*1000</f>
        <v>#REF!</v>
      </c>
      <c r="ABG225" s="79" t="e">
        <f>ABG224/#REF!*1000</f>
        <v>#REF!</v>
      </c>
      <c r="ABH225" s="79" t="e">
        <f>ABH224/#REF!*1000</f>
        <v>#REF!</v>
      </c>
      <c r="ABI225" s="79" t="e">
        <f>ABI224/#REF!*1000</f>
        <v>#REF!</v>
      </c>
      <c r="ABJ225" s="79" t="e">
        <f>ABJ224/#REF!*1000</f>
        <v>#REF!</v>
      </c>
      <c r="ABK225" s="79" t="e">
        <f>ABK224/#REF!*1000</f>
        <v>#REF!</v>
      </c>
      <c r="ABL225" s="79" t="e">
        <f>ABL224/#REF!*1000</f>
        <v>#REF!</v>
      </c>
      <c r="ABM225" s="79" t="e">
        <f>ABM224/#REF!*1000</f>
        <v>#REF!</v>
      </c>
      <c r="ABN225" s="79" t="e">
        <f>ABN224/#REF!*1000</f>
        <v>#REF!</v>
      </c>
      <c r="ABO225" s="79" t="e">
        <f>ABO224/#REF!*1000</f>
        <v>#REF!</v>
      </c>
      <c r="ABP225" s="79" t="e">
        <f>ABP224/#REF!*1000</f>
        <v>#REF!</v>
      </c>
      <c r="ABQ225" s="79" t="e">
        <f>ABQ224/#REF!*1000</f>
        <v>#REF!</v>
      </c>
      <c r="ABR225" s="79" t="e">
        <f>ABR224/#REF!*1000</f>
        <v>#REF!</v>
      </c>
      <c r="ABS225" s="79" t="e">
        <f>ABS224/#REF!*1000</f>
        <v>#REF!</v>
      </c>
      <c r="ABT225" s="79" t="e">
        <f>ABT224/#REF!*1000</f>
        <v>#REF!</v>
      </c>
      <c r="ABU225" s="79" t="e">
        <f>ABU224/#REF!*1000</f>
        <v>#REF!</v>
      </c>
      <c r="ABV225" s="79" t="e">
        <f>ABV224/#REF!*1000</f>
        <v>#REF!</v>
      </c>
      <c r="ABW225" s="79" t="e">
        <f>ABW224/#REF!*1000</f>
        <v>#REF!</v>
      </c>
      <c r="ABX225" s="79" t="e">
        <f>ABX224/#REF!*1000</f>
        <v>#REF!</v>
      </c>
      <c r="ABY225" s="79" t="e">
        <f>ABY224/#REF!*1000</f>
        <v>#REF!</v>
      </c>
      <c r="ABZ225" s="79" t="e">
        <f>ABZ224/#REF!*1000</f>
        <v>#REF!</v>
      </c>
      <c r="ACA225" s="79" t="e">
        <f>ACA224/#REF!*1000</f>
        <v>#REF!</v>
      </c>
      <c r="ACB225" s="79" t="e">
        <f>ACB224/#REF!*1000</f>
        <v>#REF!</v>
      </c>
      <c r="ACC225" s="79" t="e">
        <f>ACC224/#REF!*1000</f>
        <v>#REF!</v>
      </c>
      <c r="ACD225" s="79" t="e">
        <f>ACD224/#REF!*1000</f>
        <v>#REF!</v>
      </c>
      <c r="ACE225" s="79" t="e">
        <f>ACE224/#REF!*1000</f>
        <v>#REF!</v>
      </c>
      <c r="ACF225" s="79" t="e">
        <f>ACF224/#REF!*1000</f>
        <v>#REF!</v>
      </c>
      <c r="ACG225" s="79" t="e">
        <f>ACG224/#REF!*1000</f>
        <v>#REF!</v>
      </c>
      <c r="ACH225" s="79" t="e">
        <f>ACH224/#REF!*1000</f>
        <v>#REF!</v>
      </c>
      <c r="ACI225" s="79" t="e">
        <f>ACI224/#REF!*1000</f>
        <v>#REF!</v>
      </c>
      <c r="ACJ225" s="79" t="e">
        <f>ACJ224/#REF!*1000</f>
        <v>#REF!</v>
      </c>
      <c r="ACK225" s="79" t="e">
        <f>ACK224/#REF!*1000</f>
        <v>#REF!</v>
      </c>
      <c r="ACL225" s="79" t="e">
        <f>ACL224/#REF!*1000</f>
        <v>#REF!</v>
      </c>
      <c r="ACM225" s="79" t="e">
        <f>ACM224/#REF!*1000</f>
        <v>#REF!</v>
      </c>
      <c r="ACN225" s="79" t="e">
        <f>ACN224/#REF!*1000</f>
        <v>#REF!</v>
      </c>
      <c r="ACO225" s="79" t="e">
        <f>ACO224/#REF!*1000</f>
        <v>#REF!</v>
      </c>
      <c r="ACP225" s="79" t="e">
        <f>ACP224/#REF!*1000</f>
        <v>#REF!</v>
      </c>
      <c r="ACQ225" s="79" t="e">
        <f>ACQ224/#REF!*1000</f>
        <v>#REF!</v>
      </c>
      <c r="ACR225" s="79" t="e">
        <f>ACR224/#REF!*1000</f>
        <v>#REF!</v>
      </c>
      <c r="ACS225" s="79" t="e">
        <f>ACS224/#REF!*1000</f>
        <v>#REF!</v>
      </c>
      <c r="ACT225" s="79" t="e">
        <f>ACT224/#REF!*1000</f>
        <v>#REF!</v>
      </c>
      <c r="ACU225" s="79" t="e">
        <f>ACU224/#REF!*1000</f>
        <v>#REF!</v>
      </c>
      <c r="ACV225" s="79" t="e">
        <f>ACV224/#REF!*1000</f>
        <v>#REF!</v>
      </c>
      <c r="ACW225" s="79" t="e">
        <f>ACW224/#REF!*1000</f>
        <v>#REF!</v>
      </c>
      <c r="ACX225" s="79" t="e">
        <f>ACX224/#REF!*1000</f>
        <v>#REF!</v>
      </c>
      <c r="ACY225" s="79"/>
      <c r="ACZ225" s="79"/>
      <c r="ADA225" s="79"/>
      <c r="ADB225" s="79"/>
      <c r="ADC225" s="79"/>
      <c r="ADD225" s="79"/>
      <c r="ADE225" s="79"/>
      <c r="ADF225" s="79"/>
      <c r="ADG225" s="79"/>
      <c r="ADH225" s="79"/>
      <c r="ADI225" s="79"/>
      <c r="ADJ225" s="79"/>
      <c r="ADK225" s="79"/>
      <c r="ADL225" s="79"/>
      <c r="ADM225" s="79"/>
      <c r="ADN225" s="79"/>
      <c r="AQP225" s="165"/>
    </row>
    <row r="226" spans="4:794 1134:1134" ht="14.45" customHeight="1" x14ac:dyDescent="0.45">
      <c r="AQP226" s="165"/>
    </row>
    <row r="227" spans="4:794 1134:1134" ht="14.25" x14ac:dyDescent="0.45">
      <c r="D227" t="s">
        <v>409</v>
      </c>
      <c r="E227" s="79" t="e">
        <f>(#REF!+#REF!)*#REF!/1000</f>
        <v>#REF!</v>
      </c>
      <c r="F227" s="79" t="e">
        <f>(#REF!+#REF!)*#REF!/1000</f>
        <v>#REF!</v>
      </c>
      <c r="G227" s="79" t="e">
        <f>(#REF!+#REF!)*#REF!/1000</f>
        <v>#REF!</v>
      </c>
      <c r="H227" s="79" t="e">
        <f>(#REF!+#REF!)*#REF!/1000</f>
        <v>#REF!</v>
      </c>
      <c r="I227" s="79" t="e">
        <f>(#REF!+#REF!)*#REF!/1000</f>
        <v>#REF!</v>
      </c>
      <c r="J227" s="79" t="e">
        <f>(#REF!+#REF!)*#REF!/1000</f>
        <v>#REF!</v>
      </c>
      <c r="K227" s="79" t="e">
        <f>(#REF!+#REF!)*#REF!/1000</f>
        <v>#REF!</v>
      </c>
      <c r="L227" s="79" t="e">
        <f>(#REF!+#REF!)*#REF!/1000</f>
        <v>#REF!</v>
      </c>
      <c r="M227" s="79" t="e">
        <f>(#REF!+#REF!)*#REF!/1000</f>
        <v>#REF!</v>
      </c>
      <c r="N227" s="79" t="e">
        <f>(#REF!+#REF!)*#REF!/1000</f>
        <v>#REF!</v>
      </c>
      <c r="O227" s="79" t="e">
        <f>(#REF!+#REF!)*#REF!/1000</f>
        <v>#REF!</v>
      </c>
      <c r="P227" s="79" t="e">
        <f>(#REF!+#REF!)*#REF!/1000</f>
        <v>#REF!</v>
      </c>
      <c r="Q227" s="79" t="e">
        <f>(#REF!+#REF!)*#REF!/1000</f>
        <v>#REF!</v>
      </c>
      <c r="R227" s="79" t="e">
        <f>(#REF!+#REF!)*#REF!/1000</f>
        <v>#REF!</v>
      </c>
      <c r="S227" s="79" t="e">
        <f>(#REF!+#REF!)*#REF!/1000</f>
        <v>#REF!</v>
      </c>
      <c r="T227" s="79" t="e">
        <f>(#REF!+#REF!)*#REF!/1000</f>
        <v>#REF!</v>
      </c>
      <c r="U227" s="79" t="e">
        <f>(#REF!+#REF!)*#REF!/1000</f>
        <v>#REF!</v>
      </c>
      <c r="V227" s="79" t="e">
        <f>(#REF!+#REF!)*#REF!/1000</f>
        <v>#REF!</v>
      </c>
      <c r="W227" s="79" t="e">
        <f>(#REF!+#REF!)*#REF!/1000</f>
        <v>#REF!</v>
      </c>
      <c r="X227" s="79" t="e">
        <f>(#REF!+#REF!)*#REF!/1000</f>
        <v>#REF!</v>
      </c>
      <c r="Y227" s="79" t="e">
        <f>(#REF!+#REF!)*#REF!/1000</f>
        <v>#REF!</v>
      </c>
      <c r="Z227" s="79" t="e">
        <f>(#REF!+#REF!)*#REF!/1000</f>
        <v>#REF!</v>
      </c>
      <c r="AA227" s="79" t="e">
        <f>(#REF!+#REF!)*#REF!/1000</f>
        <v>#REF!</v>
      </c>
      <c r="AB227" s="79" t="e">
        <f>(#REF!+#REF!)*#REF!/1000</f>
        <v>#REF!</v>
      </c>
      <c r="AC227" s="79" t="e">
        <f>(#REF!+#REF!)*#REF!/1000</f>
        <v>#REF!</v>
      </c>
      <c r="AD227" s="79" t="e">
        <f>(#REF!+#REF!)*#REF!/1000</f>
        <v>#REF!</v>
      </c>
      <c r="AE227" s="79" t="e">
        <f>(#REF!+#REF!)*#REF!/1000</f>
        <v>#REF!</v>
      </c>
      <c r="AF227" s="79" t="e">
        <f>(#REF!+#REF!)*#REF!/1000</f>
        <v>#REF!</v>
      </c>
      <c r="AG227" s="79" t="e">
        <f>(#REF!+#REF!)*#REF!/1000</f>
        <v>#REF!</v>
      </c>
      <c r="AH227" s="79" t="e">
        <f>(#REF!+#REF!)*#REF!/1000</f>
        <v>#REF!</v>
      </c>
      <c r="AI227" s="79" t="e">
        <f>(#REF!+#REF!)*#REF!/1000</f>
        <v>#REF!</v>
      </c>
      <c r="AJ227" s="79" t="e">
        <f>(#REF!+#REF!)*#REF!/1000</f>
        <v>#REF!</v>
      </c>
      <c r="AK227" s="79" t="e">
        <f>(#REF!+#REF!)*#REF!/1000</f>
        <v>#REF!</v>
      </c>
      <c r="AL227" s="79" t="e">
        <f>(#REF!+#REF!)*#REF!/1000</f>
        <v>#REF!</v>
      </c>
      <c r="AM227" s="79" t="e">
        <f>(#REF!+#REF!)*#REF!/1000</f>
        <v>#REF!</v>
      </c>
      <c r="AN227" s="79" t="e">
        <f>(#REF!+#REF!)*#REF!/1000</f>
        <v>#REF!</v>
      </c>
      <c r="AO227" s="79" t="e">
        <f>(#REF!+#REF!)*#REF!/1000</f>
        <v>#REF!</v>
      </c>
      <c r="AP227" s="79" t="e">
        <f>(#REF!+#REF!)*#REF!/1000</f>
        <v>#REF!</v>
      </c>
      <c r="AQ227" s="79" t="e">
        <f>(#REF!+#REF!)*#REF!/1000</f>
        <v>#REF!</v>
      </c>
      <c r="AR227" s="79" t="e">
        <f>(#REF!+#REF!)*#REF!/1000</f>
        <v>#REF!</v>
      </c>
      <c r="AS227" s="79" t="e">
        <f>(#REF!+#REF!)*#REF!/1000</f>
        <v>#REF!</v>
      </c>
      <c r="AT227" s="79" t="e">
        <f>(#REF!+#REF!)*#REF!/1000</f>
        <v>#REF!</v>
      </c>
      <c r="AU227" s="79" t="e">
        <f>(#REF!+#REF!)*#REF!/1000</f>
        <v>#REF!</v>
      </c>
      <c r="AV227" s="79" t="e">
        <f>(#REF!+#REF!)*#REF!/1000</f>
        <v>#REF!</v>
      </c>
      <c r="AW227" s="79" t="e">
        <f>(#REF!+#REF!)*#REF!/1000</f>
        <v>#REF!</v>
      </c>
      <c r="AX227" s="79" t="e">
        <f>(#REF!+#REF!)*#REF!/1000</f>
        <v>#REF!</v>
      </c>
      <c r="AY227" s="79" t="e">
        <f>(#REF!+#REF!)*#REF!/1000</f>
        <v>#REF!</v>
      </c>
      <c r="AZ227" s="79" t="e">
        <f>(#REF!+#REF!)*#REF!/1000</f>
        <v>#REF!</v>
      </c>
      <c r="BA227" s="79" t="e">
        <f>(#REF!+#REF!)*#REF!/1000</f>
        <v>#REF!</v>
      </c>
      <c r="BB227" s="79" t="e">
        <f>(#REF!+#REF!)*#REF!/1000</f>
        <v>#REF!</v>
      </c>
      <c r="BC227" s="79" t="e">
        <f>(#REF!+#REF!)*#REF!/1000</f>
        <v>#REF!</v>
      </c>
      <c r="BD227" s="79" t="e">
        <f>(#REF!+#REF!)*#REF!/1000</f>
        <v>#REF!</v>
      </c>
      <c r="BE227" s="79" t="e">
        <f>(#REF!+#REF!)*#REF!/1000</f>
        <v>#REF!</v>
      </c>
      <c r="BF227" s="79" t="e">
        <f>(#REF!+#REF!)*#REF!/1000</f>
        <v>#REF!</v>
      </c>
      <c r="BG227" s="79" t="e">
        <f>(#REF!+#REF!)*#REF!/1000</f>
        <v>#REF!</v>
      </c>
      <c r="BH227" s="79" t="e">
        <f>(#REF!+#REF!)*#REF!/1000</f>
        <v>#REF!</v>
      </c>
      <c r="BI227" s="79" t="e">
        <f>(#REF!+#REF!)*#REF!/1000</f>
        <v>#REF!</v>
      </c>
      <c r="BJ227" s="79" t="e">
        <f>(#REF!+#REF!)*#REF!/1000</f>
        <v>#REF!</v>
      </c>
      <c r="BK227" s="79" t="e">
        <f>(#REF!+#REF!)*#REF!/1000</f>
        <v>#REF!</v>
      </c>
      <c r="BL227" s="79" t="e">
        <f>(#REF!+#REF!)*#REF!/1000</f>
        <v>#REF!</v>
      </c>
      <c r="BM227" s="79" t="e">
        <f>(#REF!+#REF!)*#REF!/1000</f>
        <v>#REF!</v>
      </c>
      <c r="BN227" s="79" t="e">
        <f>(#REF!+#REF!)*#REF!/1000</f>
        <v>#REF!</v>
      </c>
      <c r="BO227" s="79" t="e">
        <f>(#REF!+#REF!)*#REF!/1000</f>
        <v>#REF!</v>
      </c>
      <c r="BP227" s="79" t="e">
        <f>(#REF!+#REF!)*#REF!/1000</f>
        <v>#REF!</v>
      </c>
      <c r="BQ227" s="79" t="e">
        <f>(#REF!+#REF!)*#REF!/1000</f>
        <v>#REF!</v>
      </c>
      <c r="BR227" s="79" t="e">
        <f>(#REF!+#REF!)*#REF!/1000</f>
        <v>#REF!</v>
      </c>
      <c r="BS227" s="79" t="e">
        <f>(#REF!+#REF!)*#REF!/1000</f>
        <v>#REF!</v>
      </c>
      <c r="BT227" s="79" t="e">
        <f>(#REF!+#REF!)*#REF!/1000</f>
        <v>#REF!</v>
      </c>
      <c r="BU227" s="79" t="e">
        <f>(#REF!+#REF!)*#REF!/1000</f>
        <v>#REF!</v>
      </c>
      <c r="BV227" s="79" t="e">
        <f>(#REF!+#REF!)*#REF!/1000</f>
        <v>#REF!</v>
      </c>
      <c r="BW227" s="79" t="e">
        <f>(#REF!+#REF!)*#REF!/1000</f>
        <v>#REF!</v>
      </c>
      <c r="BX227" s="79" t="e">
        <f>(#REF!+#REF!)*#REF!/1000</f>
        <v>#REF!</v>
      </c>
      <c r="BY227" s="79" t="e">
        <f>(#REF!+#REF!)*#REF!/1000</f>
        <v>#REF!</v>
      </c>
      <c r="BZ227" s="79" t="e">
        <f>(#REF!+#REF!)*#REF!/1000</f>
        <v>#REF!</v>
      </c>
      <c r="CA227" s="79" t="e">
        <f>(#REF!+#REF!)*#REF!/1000</f>
        <v>#REF!</v>
      </c>
      <c r="CB227" s="79" t="e">
        <f>(#REF!+#REF!)*#REF!/1000</f>
        <v>#REF!</v>
      </c>
      <c r="CC227" s="79" t="e">
        <f>(#REF!+#REF!)*#REF!/1000</f>
        <v>#REF!</v>
      </c>
      <c r="CD227" s="79" t="e">
        <f>(#REF!+#REF!)*#REF!/1000</f>
        <v>#REF!</v>
      </c>
      <c r="CE227" s="79" t="e">
        <f>(#REF!+#REF!)*#REF!/1000</f>
        <v>#REF!</v>
      </c>
      <c r="CF227" s="79" t="e">
        <f>(#REF!+#REF!)*#REF!/1000</f>
        <v>#REF!</v>
      </c>
      <c r="CG227" s="79" t="e">
        <f>(#REF!+#REF!)*#REF!/1000</f>
        <v>#REF!</v>
      </c>
      <c r="CH227" s="79" t="e">
        <f>(#REF!+#REF!)*#REF!/1000</f>
        <v>#REF!</v>
      </c>
      <c r="CI227" s="79" t="e">
        <f>(#REF!+#REF!)*#REF!/1000</f>
        <v>#REF!</v>
      </c>
      <c r="CJ227" s="79" t="e">
        <f>(#REF!+#REF!)*#REF!/1000</f>
        <v>#REF!</v>
      </c>
      <c r="CK227" s="79" t="e">
        <f>(#REF!+#REF!)*#REF!/1000</f>
        <v>#REF!</v>
      </c>
      <c r="CL227" s="79" t="e">
        <f>(#REF!+#REF!)*#REF!/1000</f>
        <v>#REF!</v>
      </c>
      <c r="CM227" s="79" t="e">
        <f>(#REF!+#REF!)*#REF!/1000</f>
        <v>#REF!</v>
      </c>
      <c r="CN227" s="79" t="e">
        <f>(#REF!+#REF!)*#REF!/1000</f>
        <v>#REF!</v>
      </c>
      <c r="CO227" s="79" t="e">
        <f>(#REF!+#REF!)*#REF!/1000</f>
        <v>#REF!</v>
      </c>
      <c r="CP227" s="79" t="e">
        <f>(#REF!+#REF!)*#REF!/1000</f>
        <v>#REF!</v>
      </c>
      <c r="CQ227" s="79" t="e">
        <f>(#REF!+#REF!)*#REF!/1000</f>
        <v>#REF!</v>
      </c>
      <c r="CR227" s="79" t="e">
        <f>(#REF!+#REF!)*#REF!/1000</f>
        <v>#REF!</v>
      </c>
      <c r="CS227" s="79" t="e">
        <f>(#REF!+#REF!)*#REF!/1000</f>
        <v>#REF!</v>
      </c>
      <c r="CT227" s="79" t="e">
        <f>(#REF!+#REF!)*#REF!/1000</f>
        <v>#REF!</v>
      </c>
      <c r="CU227" s="79" t="e">
        <f>(#REF!+#REF!)*#REF!/1000</f>
        <v>#REF!</v>
      </c>
      <c r="CV227" s="79" t="e">
        <f>(#REF!+#REF!)*#REF!/1000</f>
        <v>#REF!</v>
      </c>
      <c r="CW227" s="79" t="e">
        <f>(#REF!+#REF!)*#REF!/1000</f>
        <v>#REF!</v>
      </c>
      <c r="CX227" s="79" t="e">
        <f>(#REF!+#REF!)*#REF!/1000</f>
        <v>#REF!</v>
      </c>
      <c r="CY227" s="79" t="e">
        <f>(#REF!+#REF!)*#REF!/1000</f>
        <v>#REF!</v>
      </c>
      <c r="CZ227" s="79" t="e">
        <f>(#REF!+#REF!)*#REF!/1000</f>
        <v>#REF!</v>
      </c>
      <c r="DA227" s="79" t="e">
        <f>(#REF!+#REF!)*#REF!/1000</f>
        <v>#REF!</v>
      </c>
      <c r="DB227" s="79" t="e">
        <f>(#REF!+#REF!)*#REF!/1000</f>
        <v>#REF!</v>
      </c>
      <c r="DC227" s="79" t="e">
        <f>(#REF!+#REF!)*#REF!/1000</f>
        <v>#REF!</v>
      </c>
      <c r="DD227" s="79" t="e">
        <f>(#REF!+#REF!)*#REF!/1000</f>
        <v>#REF!</v>
      </c>
      <c r="DE227" s="79" t="e">
        <f>(#REF!+#REF!)*#REF!/1000</f>
        <v>#REF!</v>
      </c>
      <c r="DF227" s="79" t="e">
        <f>(#REF!+#REF!)*#REF!/1000</f>
        <v>#REF!</v>
      </c>
      <c r="DG227" s="79" t="e">
        <f>(#REF!+#REF!)*#REF!/1000</f>
        <v>#REF!</v>
      </c>
      <c r="DH227" s="79" t="e">
        <f>(#REF!+#REF!)*#REF!/1000</f>
        <v>#REF!</v>
      </c>
      <c r="DI227" s="79" t="e">
        <f>(#REF!+#REF!)*#REF!/1000</f>
        <v>#REF!</v>
      </c>
      <c r="DJ227" s="79" t="e">
        <f>(#REF!+#REF!)*#REF!/1000</f>
        <v>#REF!</v>
      </c>
      <c r="DK227" s="79" t="e">
        <f>(#REF!+#REF!)*#REF!/1000</f>
        <v>#REF!</v>
      </c>
      <c r="DL227" s="79" t="e">
        <f>(#REF!+#REF!)*#REF!/1000</f>
        <v>#REF!</v>
      </c>
      <c r="DM227" s="79" t="e">
        <f>(#REF!+#REF!)*#REF!/1000</f>
        <v>#REF!</v>
      </c>
      <c r="DN227" s="79" t="e">
        <f>(#REF!+#REF!)*#REF!/1000</f>
        <v>#REF!</v>
      </c>
      <c r="DO227" s="79" t="e">
        <f>(#REF!+#REF!)*#REF!/1000</f>
        <v>#REF!</v>
      </c>
      <c r="DP227" s="79" t="e">
        <f>(#REF!+#REF!)*#REF!/1000</f>
        <v>#REF!</v>
      </c>
      <c r="DQ227" s="79" t="e">
        <f>(#REF!+#REF!)*#REF!/1000</f>
        <v>#REF!</v>
      </c>
      <c r="DR227" s="79" t="e">
        <f>(#REF!+#REF!)*#REF!/1000</f>
        <v>#REF!</v>
      </c>
      <c r="DS227" s="79" t="e">
        <f>(#REF!+#REF!)*#REF!/1000</f>
        <v>#REF!</v>
      </c>
      <c r="DT227" s="79" t="e">
        <f>(#REF!+#REF!)*#REF!/1000</f>
        <v>#REF!</v>
      </c>
      <c r="DU227" s="79" t="e">
        <f>(#REF!+#REF!)*#REF!/1000</f>
        <v>#REF!</v>
      </c>
      <c r="DV227" s="79" t="e">
        <f>(#REF!+#REF!)*#REF!/1000</f>
        <v>#REF!</v>
      </c>
      <c r="DW227" s="79" t="e">
        <f>(#REF!+#REF!)*#REF!/1000</f>
        <v>#REF!</v>
      </c>
      <c r="DX227" s="79" t="e">
        <f>(#REF!+#REF!)*#REF!/1000</f>
        <v>#REF!</v>
      </c>
      <c r="DY227" s="79" t="e">
        <f>(#REF!+#REF!)*#REF!/1000</f>
        <v>#REF!</v>
      </c>
      <c r="DZ227" s="79" t="e">
        <f>(#REF!+#REF!)*#REF!/1000</f>
        <v>#REF!</v>
      </c>
      <c r="EA227" s="79" t="e">
        <f>(#REF!+#REF!)*#REF!/1000</f>
        <v>#REF!</v>
      </c>
      <c r="EB227" s="79" t="e">
        <f>(#REF!+#REF!)*#REF!/1000</f>
        <v>#REF!</v>
      </c>
      <c r="EC227" s="79" t="e">
        <f>(#REF!+#REF!)*#REF!/1000</f>
        <v>#REF!</v>
      </c>
      <c r="ED227" s="79" t="e">
        <f>(#REF!+#REF!)*#REF!/1000</f>
        <v>#REF!</v>
      </c>
      <c r="EE227" s="79" t="e">
        <f>(#REF!+#REF!)*#REF!/1000</f>
        <v>#REF!</v>
      </c>
      <c r="EF227" s="79" t="e">
        <f>(#REF!+#REF!)*#REF!/1000</f>
        <v>#REF!</v>
      </c>
      <c r="EG227" s="79" t="e">
        <f>(#REF!+#REF!)*#REF!/1000</f>
        <v>#REF!</v>
      </c>
      <c r="EH227" s="79" t="e">
        <f>(#REF!+#REF!)*#REF!/1000</f>
        <v>#REF!</v>
      </c>
      <c r="EI227" s="79" t="e">
        <f>(#REF!+#REF!)*#REF!/1000</f>
        <v>#REF!</v>
      </c>
      <c r="EJ227" s="79" t="e">
        <f>(#REF!+#REF!)*#REF!/1000</f>
        <v>#REF!</v>
      </c>
      <c r="EK227" s="79" t="e">
        <f>(#REF!+#REF!)*#REF!/1000</f>
        <v>#REF!</v>
      </c>
      <c r="EL227" s="79" t="e">
        <f>(#REF!+#REF!)*#REF!/1000</f>
        <v>#REF!</v>
      </c>
      <c r="EM227" s="79" t="e">
        <f>(#REF!+#REF!)*#REF!/1000</f>
        <v>#REF!</v>
      </c>
      <c r="EN227" s="79" t="e">
        <f>(#REF!+#REF!)*#REF!/1000</f>
        <v>#REF!</v>
      </c>
      <c r="EO227" s="79" t="e">
        <f>(#REF!+#REF!)*#REF!/1000</f>
        <v>#REF!</v>
      </c>
      <c r="EP227" s="79" t="e">
        <f>(#REF!+#REF!)*#REF!/1000</f>
        <v>#REF!</v>
      </c>
      <c r="EQ227" s="79" t="e">
        <f>(#REF!+#REF!)*#REF!/1000</f>
        <v>#REF!</v>
      </c>
      <c r="ER227" s="79" t="e">
        <f>(#REF!+#REF!)*#REF!/1000</f>
        <v>#REF!</v>
      </c>
      <c r="ES227" s="79" t="e">
        <f>(#REF!+#REF!)*#REF!/1000</f>
        <v>#REF!</v>
      </c>
      <c r="ET227" s="79" t="e">
        <f>(#REF!+#REF!)*#REF!/1000</f>
        <v>#REF!</v>
      </c>
      <c r="EU227" s="79" t="e">
        <f>(#REF!+#REF!)*#REF!/1000</f>
        <v>#REF!</v>
      </c>
      <c r="EV227" s="79" t="e">
        <f>(#REF!+#REF!)*#REF!/1000</f>
        <v>#REF!</v>
      </c>
      <c r="EW227" s="79" t="e">
        <f>(#REF!+#REF!)*#REF!/1000</f>
        <v>#REF!</v>
      </c>
      <c r="EX227" s="79" t="e">
        <f>(#REF!+#REF!)*#REF!/1000</f>
        <v>#REF!</v>
      </c>
      <c r="EY227" s="79" t="e">
        <f>(#REF!+#REF!)*#REF!/1000</f>
        <v>#REF!</v>
      </c>
      <c r="EZ227" s="79" t="e">
        <f>(#REF!+#REF!)*#REF!/1000</f>
        <v>#REF!</v>
      </c>
      <c r="FA227" s="79" t="e">
        <f>(#REF!+#REF!)*#REF!/1000</f>
        <v>#REF!</v>
      </c>
      <c r="FB227" s="79" t="e">
        <f>(#REF!+#REF!)*#REF!/1000</f>
        <v>#REF!</v>
      </c>
      <c r="FC227" s="79" t="e">
        <f>(#REF!+#REF!)*#REF!/1000</f>
        <v>#REF!</v>
      </c>
      <c r="FD227" s="79" t="e">
        <f>(#REF!+#REF!)*#REF!/1000</f>
        <v>#REF!</v>
      </c>
      <c r="FE227" s="79" t="e">
        <f>(#REF!+#REF!)*#REF!/1000</f>
        <v>#REF!</v>
      </c>
      <c r="FF227" s="79" t="e">
        <f>(#REF!+#REF!)*#REF!/1000</f>
        <v>#REF!</v>
      </c>
      <c r="FG227" s="79" t="e">
        <f>(#REF!+#REF!)*#REF!/1000</f>
        <v>#REF!</v>
      </c>
      <c r="FH227" s="79" t="e">
        <f>(#REF!+#REF!)*#REF!/1000</f>
        <v>#REF!</v>
      </c>
      <c r="FI227" s="79" t="e">
        <f>(#REF!+#REF!)*#REF!/1000</f>
        <v>#REF!</v>
      </c>
      <c r="FJ227" s="79" t="e">
        <f>(#REF!+#REF!)*#REF!/1000</f>
        <v>#REF!</v>
      </c>
      <c r="FK227" s="79" t="e">
        <f>(#REF!+#REF!)*#REF!/1000</f>
        <v>#REF!</v>
      </c>
      <c r="FL227" s="79" t="e">
        <f>(#REF!+#REF!)*#REF!/1000</f>
        <v>#REF!</v>
      </c>
      <c r="FM227" s="79" t="e">
        <f>(#REF!+#REF!)*#REF!/1000</f>
        <v>#REF!</v>
      </c>
      <c r="FN227" s="79" t="e">
        <f>(#REF!+#REF!)*#REF!/1000</f>
        <v>#REF!</v>
      </c>
      <c r="FO227" s="79" t="e">
        <f>(#REF!+#REF!)*#REF!/1000</f>
        <v>#REF!</v>
      </c>
      <c r="FP227" s="79" t="e">
        <f>(#REF!+#REF!)*#REF!/1000</f>
        <v>#REF!</v>
      </c>
      <c r="FQ227" s="79" t="e">
        <f>(#REF!+#REF!)*#REF!/1000</f>
        <v>#REF!</v>
      </c>
      <c r="FR227" s="79" t="e">
        <f>(#REF!+#REF!)*#REF!/1000</f>
        <v>#REF!</v>
      </c>
      <c r="FS227" s="79" t="e">
        <f>(#REF!+#REF!)*#REF!/1000</f>
        <v>#REF!</v>
      </c>
      <c r="FT227" s="79" t="e">
        <f>(#REF!+#REF!)*#REF!/1000</f>
        <v>#REF!</v>
      </c>
      <c r="FU227" s="79" t="e">
        <f>(#REF!+#REF!)*#REF!/1000</f>
        <v>#REF!</v>
      </c>
      <c r="FV227" s="79" t="e">
        <f>(#REF!+#REF!)*#REF!/1000</f>
        <v>#REF!</v>
      </c>
      <c r="FW227" s="79" t="e">
        <f>(#REF!+#REF!)*#REF!/1000</f>
        <v>#REF!</v>
      </c>
      <c r="FX227" s="79" t="e">
        <f>(#REF!+#REF!)*#REF!/1000</f>
        <v>#REF!</v>
      </c>
      <c r="FY227" s="79" t="e">
        <f>(#REF!+#REF!)*#REF!/1000</f>
        <v>#REF!</v>
      </c>
      <c r="FZ227" s="79" t="e">
        <f>(#REF!+#REF!)*#REF!/1000</f>
        <v>#REF!</v>
      </c>
      <c r="GA227" s="79" t="e">
        <f>(#REF!+#REF!)*#REF!/1000</f>
        <v>#REF!</v>
      </c>
      <c r="GB227" s="79" t="e">
        <f>(#REF!+#REF!)*#REF!/1000</f>
        <v>#REF!</v>
      </c>
      <c r="GC227" s="79" t="e">
        <f>(#REF!+#REF!)*#REF!/1000</f>
        <v>#REF!</v>
      </c>
      <c r="GD227" s="79" t="e">
        <f>(#REF!+#REF!)*#REF!/1000</f>
        <v>#REF!</v>
      </c>
      <c r="GE227" s="79" t="e">
        <f>(#REF!+#REF!)*#REF!/1000</f>
        <v>#REF!</v>
      </c>
      <c r="GF227" s="79" t="e">
        <f>(#REF!+#REF!)*#REF!/1000</f>
        <v>#REF!</v>
      </c>
      <c r="GG227" s="79" t="e">
        <f>(#REF!+#REF!)*#REF!/1000</f>
        <v>#REF!</v>
      </c>
      <c r="GH227" s="79" t="e">
        <f>(#REF!+#REF!)*#REF!/1000</f>
        <v>#REF!</v>
      </c>
      <c r="GI227" s="79" t="e">
        <f>(#REF!+#REF!)*#REF!/1000</f>
        <v>#REF!</v>
      </c>
      <c r="GJ227" s="79" t="e">
        <f>(#REF!+#REF!)*#REF!/1000</f>
        <v>#REF!</v>
      </c>
      <c r="GK227" s="79" t="e">
        <f>(#REF!+#REF!)*#REF!/1000</f>
        <v>#REF!</v>
      </c>
      <c r="GL227" s="79" t="e">
        <f>(#REF!+#REF!)*#REF!/1000</f>
        <v>#REF!</v>
      </c>
      <c r="GM227" s="79" t="e">
        <f>(#REF!+#REF!)*#REF!/1000</f>
        <v>#REF!</v>
      </c>
      <c r="GN227" s="79" t="e">
        <f>(#REF!+#REF!)*#REF!/1000</f>
        <v>#REF!</v>
      </c>
      <c r="GO227" s="79" t="e">
        <f>(#REF!+#REF!)*#REF!/1000</f>
        <v>#REF!</v>
      </c>
      <c r="GP227" s="79" t="e">
        <f>(#REF!+#REF!)*#REF!/1000</f>
        <v>#REF!</v>
      </c>
      <c r="GQ227" s="79" t="e">
        <f>(#REF!+#REF!)*#REF!/1000</f>
        <v>#REF!</v>
      </c>
      <c r="GR227" s="79" t="e">
        <f>(#REF!+#REF!)*#REF!/1000</f>
        <v>#REF!</v>
      </c>
      <c r="GS227" s="79" t="e">
        <f>(#REF!+#REF!)*#REF!/1000</f>
        <v>#REF!</v>
      </c>
      <c r="GT227" s="79" t="e">
        <f>(#REF!+#REF!)*#REF!/1000</f>
        <v>#REF!</v>
      </c>
      <c r="GU227" s="79" t="e">
        <f>(#REF!+#REF!)*#REF!/1000</f>
        <v>#REF!</v>
      </c>
      <c r="GV227" s="79" t="e">
        <f>(#REF!+#REF!)*#REF!/1000</f>
        <v>#REF!</v>
      </c>
      <c r="GW227" s="79" t="e">
        <f>(#REF!+#REF!)*#REF!/1000</f>
        <v>#REF!</v>
      </c>
      <c r="GX227" s="79" t="e">
        <f>(#REF!+#REF!)*#REF!/1000</f>
        <v>#REF!</v>
      </c>
      <c r="GY227" s="79" t="e">
        <f>(#REF!+#REF!)*#REF!/1000</f>
        <v>#REF!</v>
      </c>
      <c r="GZ227" s="79" t="e">
        <f>(#REF!+#REF!)*#REF!/1000</f>
        <v>#REF!</v>
      </c>
      <c r="HA227" s="79" t="e">
        <f>(#REF!+#REF!)*#REF!/1000</f>
        <v>#REF!</v>
      </c>
      <c r="HB227" s="79" t="e">
        <f>(#REF!+#REF!)*#REF!/1000</f>
        <v>#REF!</v>
      </c>
      <c r="HC227" s="79" t="e">
        <f>(#REF!+#REF!)*#REF!/1000</f>
        <v>#REF!</v>
      </c>
      <c r="HD227" s="79" t="e">
        <f>(#REF!+#REF!)*#REF!/1000</f>
        <v>#REF!</v>
      </c>
      <c r="HE227" s="79" t="e">
        <f>(#REF!+#REF!)*#REF!/1000</f>
        <v>#REF!</v>
      </c>
      <c r="HF227" s="79" t="e">
        <f>(#REF!+#REF!)*#REF!/1000</f>
        <v>#REF!</v>
      </c>
      <c r="HG227" s="79" t="e">
        <f>(#REF!+#REF!)*#REF!/1000</f>
        <v>#REF!</v>
      </c>
      <c r="HH227" s="79" t="e">
        <f>(#REF!+#REF!)*#REF!/1000</f>
        <v>#REF!</v>
      </c>
      <c r="HI227" s="79" t="e">
        <f>(#REF!+#REF!)*#REF!/1000</f>
        <v>#REF!</v>
      </c>
      <c r="HJ227" s="79" t="e">
        <f>(#REF!+#REF!)*#REF!/1000</f>
        <v>#REF!</v>
      </c>
      <c r="HK227" s="79" t="e">
        <f>(#REF!+#REF!)*#REF!/1000</f>
        <v>#REF!</v>
      </c>
      <c r="HL227" s="79" t="e">
        <f>(#REF!+#REF!)*#REF!/1000</f>
        <v>#REF!</v>
      </c>
      <c r="HM227" s="79" t="e">
        <f>(#REF!+#REF!)*#REF!/1000</f>
        <v>#REF!</v>
      </c>
      <c r="HN227" s="79" t="e">
        <f>(#REF!+#REF!)*#REF!/1000</f>
        <v>#REF!</v>
      </c>
      <c r="HO227" s="79" t="e">
        <f>(#REF!+#REF!)*#REF!/1000</f>
        <v>#REF!</v>
      </c>
      <c r="HP227" s="79" t="e">
        <f>(#REF!+#REF!)*#REF!/1000</f>
        <v>#REF!</v>
      </c>
      <c r="HQ227" s="79" t="e">
        <f>(#REF!+#REF!)*#REF!/1000</f>
        <v>#REF!</v>
      </c>
      <c r="HR227" s="79" t="e">
        <f>(#REF!+#REF!)*#REF!/1000</f>
        <v>#REF!</v>
      </c>
      <c r="HS227" s="79" t="e">
        <f>(#REF!+#REF!)*#REF!/1000</f>
        <v>#REF!</v>
      </c>
      <c r="HT227" s="79" t="e">
        <f>(#REF!+#REF!)*#REF!/1000</f>
        <v>#REF!</v>
      </c>
      <c r="HU227" s="79" t="e">
        <f>(#REF!+#REF!)*#REF!/1000</f>
        <v>#REF!</v>
      </c>
      <c r="HV227" s="79" t="e">
        <f>(#REF!+#REF!)*#REF!/1000</f>
        <v>#REF!</v>
      </c>
      <c r="HW227" s="79" t="e">
        <f>(#REF!+#REF!)*#REF!/1000</f>
        <v>#REF!</v>
      </c>
      <c r="HX227" s="79" t="e">
        <f>(#REF!+#REF!)*#REF!/1000</f>
        <v>#REF!</v>
      </c>
      <c r="HY227" s="79" t="e">
        <f>(#REF!+#REF!)*#REF!/1000</f>
        <v>#REF!</v>
      </c>
      <c r="HZ227" s="79" t="e">
        <f>(#REF!+#REF!)*#REF!/1000</f>
        <v>#REF!</v>
      </c>
      <c r="IA227" s="79" t="e">
        <f>(#REF!+#REF!)*#REF!/1000</f>
        <v>#REF!</v>
      </c>
      <c r="IB227" s="79" t="e">
        <f>(#REF!+#REF!)*#REF!/1000</f>
        <v>#REF!</v>
      </c>
      <c r="IC227" s="79" t="e">
        <f>(#REF!+#REF!)*#REF!/1000</f>
        <v>#REF!</v>
      </c>
      <c r="ID227" s="79" t="e">
        <f>(#REF!+#REF!)*#REF!/1000</f>
        <v>#REF!</v>
      </c>
      <c r="IE227" s="79" t="e">
        <f>(#REF!+#REF!)*#REF!/1000</f>
        <v>#REF!</v>
      </c>
      <c r="IF227" s="79" t="e">
        <f>(#REF!+#REF!)*#REF!/1000</f>
        <v>#REF!</v>
      </c>
      <c r="IG227" s="79" t="e">
        <f>(#REF!+#REF!)*#REF!/1000</f>
        <v>#REF!</v>
      </c>
      <c r="IH227" s="79" t="e">
        <f>(#REF!+#REF!)*#REF!/1000</f>
        <v>#REF!</v>
      </c>
      <c r="II227" s="79" t="e">
        <f>(#REF!+#REF!)*#REF!/1000</f>
        <v>#REF!</v>
      </c>
      <c r="IJ227" s="79" t="e">
        <f>(#REF!+#REF!)*#REF!/1000</f>
        <v>#REF!</v>
      </c>
      <c r="IK227" s="79" t="e">
        <f>(#REF!+#REF!)*#REF!/1000</f>
        <v>#REF!</v>
      </c>
      <c r="IL227" s="79" t="e">
        <f>(#REF!+#REF!)*#REF!/1000</f>
        <v>#REF!</v>
      </c>
      <c r="IM227" s="79" t="e">
        <f>(#REF!+#REF!)*#REF!/1000</f>
        <v>#REF!</v>
      </c>
      <c r="IN227" s="79" t="e">
        <f>(#REF!+#REF!)*#REF!/1000</f>
        <v>#REF!</v>
      </c>
      <c r="IO227" s="79" t="e">
        <f>(#REF!+#REF!)*#REF!/1000</f>
        <v>#REF!</v>
      </c>
      <c r="IP227" s="79" t="e">
        <f>(#REF!+#REF!)*#REF!/1000</f>
        <v>#REF!</v>
      </c>
      <c r="IQ227" s="79" t="e">
        <f>(#REF!+#REF!)*#REF!/1000</f>
        <v>#REF!</v>
      </c>
      <c r="IR227" s="79" t="e">
        <f>(#REF!+#REF!)*#REF!/1000</f>
        <v>#REF!</v>
      </c>
      <c r="IS227" s="79" t="e">
        <f>(#REF!+#REF!)*#REF!/1000</f>
        <v>#REF!</v>
      </c>
      <c r="IT227" s="79" t="e">
        <f>(#REF!+#REF!)*#REF!/1000</f>
        <v>#REF!</v>
      </c>
      <c r="IU227" s="79" t="e">
        <f>(#REF!+#REF!)*#REF!/1000</f>
        <v>#REF!</v>
      </c>
      <c r="IV227" s="79" t="e">
        <f>(#REF!+#REF!)*#REF!/1000</f>
        <v>#REF!</v>
      </c>
      <c r="IW227" s="79" t="e">
        <f>(#REF!+#REF!)*#REF!/1000</f>
        <v>#REF!</v>
      </c>
      <c r="IX227" s="79" t="e">
        <f>(#REF!+#REF!)*#REF!/1000</f>
        <v>#REF!</v>
      </c>
      <c r="IY227" s="79" t="e">
        <f>(#REF!+#REF!)*#REF!/1000</f>
        <v>#REF!</v>
      </c>
      <c r="IZ227" s="79" t="e">
        <f>(#REF!+#REF!)*#REF!/1000</f>
        <v>#REF!</v>
      </c>
      <c r="JA227" s="79" t="e">
        <f>(#REF!+#REF!)*#REF!/1000</f>
        <v>#REF!</v>
      </c>
      <c r="JB227" s="79" t="e">
        <f>(#REF!+#REF!)*#REF!/1000</f>
        <v>#REF!</v>
      </c>
      <c r="JC227" s="79" t="e">
        <f>(#REF!+#REF!)*#REF!/1000</f>
        <v>#REF!</v>
      </c>
      <c r="JD227" s="79" t="e">
        <f>(#REF!+#REF!)*#REF!/1000</f>
        <v>#REF!</v>
      </c>
      <c r="JE227" s="79" t="e">
        <f>(#REF!+#REF!)*#REF!/1000</f>
        <v>#REF!</v>
      </c>
      <c r="JF227" s="79" t="e">
        <f>(#REF!+#REF!)*#REF!/1000</f>
        <v>#REF!</v>
      </c>
      <c r="JG227" s="79" t="e">
        <f>(#REF!+#REF!)*#REF!/1000</f>
        <v>#REF!</v>
      </c>
      <c r="JH227" s="79" t="e">
        <f>(#REF!+#REF!)*#REF!/1000</f>
        <v>#REF!</v>
      </c>
      <c r="JI227" s="79" t="e">
        <f>(#REF!+#REF!)*#REF!/1000</f>
        <v>#REF!</v>
      </c>
      <c r="JJ227" s="79" t="e">
        <f>(#REF!+#REF!)*#REF!/1000</f>
        <v>#REF!</v>
      </c>
      <c r="JK227" s="79" t="e">
        <f>(#REF!+#REF!)*#REF!/1000</f>
        <v>#REF!</v>
      </c>
      <c r="JL227" s="79" t="e">
        <f>(#REF!+#REF!)*#REF!/1000</f>
        <v>#REF!</v>
      </c>
      <c r="JM227" s="79" t="e">
        <f>(#REF!+#REF!)*#REF!/1000</f>
        <v>#REF!</v>
      </c>
      <c r="JN227" s="79" t="e">
        <f>(#REF!+#REF!)*#REF!/1000</f>
        <v>#REF!</v>
      </c>
      <c r="JO227" s="79" t="e">
        <f>(#REF!+#REF!)*#REF!/1000</f>
        <v>#REF!</v>
      </c>
      <c r="JP227" s="79" t="e">
        <f>(#REF!+#REF!)*#REF!/1000</f>
        <v>#REF!</v>
      </c>
      <c r="JQ227" s="79" t="e">
        <f>(#REF!+#REF!)*#REF!/1000</f>
        <v>#REF!</v>
      </c>
      <c r="JR227" s="79" t="e">
        <f>(#REF!+#REF!)*#REF!/1000</f>
        <v>#REF!</v>
      </c>
      <c r="JS227" s="79" t="e">
        <f>(#REF!+#REF!)*#REF!/1000</f>
        <v>#REF!</v>
      </c>
      <c r="JT227" s="79" t="e">
        <f>(#REF!+#REF!)*#REF!/1000</f>
        <v>#REF!</v>
      </c>
      <c r="JU227" s="79" t="e">
        <f>(#REF!+#REF!)*#REF!/1000</f>
        <v>#REF!</v>
      </c>
      <c r="JV227" s="79" t="e">
        <f>(#REF!+#REF!)*#REF!/1000</f>
        <v>#REF!</v>
      </c>
      <c r="JW227" s="79" t="e">
        <f>(#REF!+#REF!)*#REF!/1000</f>
        <v>#REF!</v>
      </c>
      <c r="JX227" s="79" t="e">
        <f>(#REF!+#REF!)*#REF!/1000</f>
        <v>#REF!</v>
      </c>
      <c r="JY227" s="79" t="e">
        <f>(#REF!+#REF!)*#REF!/1000</f>
        <v>#REF!</v>
      </c>
      <c r="JZ227" s="79" t="e">
        <f>(#REF!+#REF!)*#REF!/1000</f>
        <v>#REF!</v>
      </c>
      <c r="KA227" s="79" t="e">
        <f>(#REF!+#REF!)*#REF!/1000</f>
        <v>#REF!</v>
      </c>
      <c r="KB227" s="79" t="e">
        <f>(#REF!+#REF!)*#REF!/1000</f>
        <v>#REF!</v>
      </c>
      <c r="KC227" s="79" t="e">
        <f>(#REF!+#REF!)*#REF!/1000</f>
        <v>#REF!</v>
      </c>
      <c r="KD227" s="79" t="e">
        <f>(#REF!+#REF!)*#REF!/1000</f>
        <v>#REF!</v>
      </c>
      <c r="KE227" s="79" t="e">
        <f>(#REF!+#REF!)*#REF!/1000</f>
        <v>#REF!</v>
      </c>
      <c r="KF227" s="79" t="e">
        <f>(#REF!+#REF!)*#REF!/1000</f>
        <v>#REF!</v>
      </c>
      <c r="KG227" s="79" t="e">
        <f>(#REF!+#REF!)*#REF!/1000</f>
        <v>#REF!</v>
      </c>
      <c r="KH227" s="79" t="e">
        <f>(#REF!+#REF!)*#REF!/1000</f>
        <v>#REF!</v>
      </c>
      <c r="KI227" s="79" t="e">
        <f>(#REF!+#REF!)*#REF!/1000</f>
        <v>#REF!</v>
      </c>
      <c r="KJ227" s="79" t="e">
        <f>(#REF!+#REF!)*#REF!/1000</f>
        <v>#REF!</v>
      </c>
      <c r="KK227" s="79" t="e">
        <f>(#REF!+#REF!)*#REF!/1000</f>
        <v>#REF!</v>
      </c>
      <c r="KL227" s="79" t="e">
        <f>(#REF!+#REF!)*#REF!/1000</f>
        <v>#REF!</v>
      </c>
      <c r="KM227" s="79" t="e">
        <f>(#REF!+#REF!)*#REF!/1000</f>
        <v>#REF!</v>
      </c>
      <c r="KN227" s="79" t="e">
        <f>(#REF!+#REF!)*#REF!/1000</f>
        <v>#REF!</v>
      </c>
      <c r="KO227" s="79" t="e">
        <f>(#REF!+#REF!)*#REF!/1000</f>
        <v>#REF!</v>
      </c>
      <c r="KP227" s="79" t="e">
        <f>(#REF!+#REF!)*#REF!/1000</f>
        <v>#REF!</v>
      </c>
      <c r="KQ227" s="79" t="e">
        <f>(#REF!+#REF!)*#REF!/1000</f>
        <v>#REF!</v>
      </c>
      <c r="KR227" s="79" t="e">
        <f>(#REF!+#REF!)*#REF!/1000</f>
        <v>#REF!</v>
      </c>
      <c r="KS227" s="79" t="e">
        <f>(#REF!+#REF!)*#REF!/1000</f>
        <v>#REF!</v>
      </c>
      <c r="KT227" s="79" t="e">
        <f>(#REF!+#REF!)*#REF!/1000</f>
        <v>#REF!</v>
      </c>
      <c r="KU227" s="79" t="e">
        <f>(#REF!+#REF!)*#REF!/1000</f>
        <v>#REF!</v>
      </c>
      <c r="KV227" s="79" t="e">
        <f>(#REF!+#REF!)*#REF!/1000</f>
        <v>#REF!</v>
      </c>
      <c r="KW227" s="79" t="e">
        <f>(#REF!+#REF!)*#REF!/1000</f>
        <v>#REF!</v>
      </c>
      <c r="KX227" s="79" t="e">
        <f>(#REF!+#REF!)*#REF!/1000</f>
        <v>#REF!</v>
      </c>
      <c r="KY227" s="79" t="e">
        <f>(#REF!+#REF!)*#REF!/1000</f>
        <v>#REF!</v>
      </c>
      <c r="KZ227" s="79" t="e">
        <f>(#REF!+#REF!)*#REF!/1000</f>
        <v>#REF!</v>
      </c>
      <c r="LA227" s="79" t="e">
        <f>(#REF!+#REF!)*#REF!/1000</f>
        <v>#REF!</v>
      </c>
      <c r="LB227" s="79" t="e">
        <f>(#REF!+#REF!)*#REF!/1000</f>
        <v>#REF!</v>
      </c>
      <c r="LC227" s="79" t="e">
        <f>(#REF!+#REF!)*#REF!/1000</f>
        <v>#REF!</v>
      </c>
      <c r="LD227" s="79" t="e">
        <f>(#REF!+#REF!)*#REF!/1000</f>
        <v>#REF!</v>
      </c>
      <c r="LE227" s="79" t="e">
        <f>(#REF!+#REF!)*#REF!/1000</f>
        <v>#REF!</v>
      </c>
      <c r="LF227" s="79" t="e">
        <f>(#REF!+#REF!)*#REF!/1000</f>
        <v>#REF!</v>
      </c>
      <c r="LG227" s="79" t="e">
        <f>(#REF!+#REF!)*#REF!/1000</f>
        <v>#REF!</v>
      </c>
      <c r="LH227" s="79" t="e">
        <f>(#REF!+#REF!)*#REF!/1000</f>
        <v>#REF!</v>
      </c>
      <c r="LI227" s="79" t="e">
        <f>(#REF!+#REF!)*#REF!/1000</f>
        <v>#REF!</v>
      </c>
      <c r="LJ227" s="79" t="e">
        <f>(#REF!+#REF!)*#REF!/1000</f>
        <v>#REF!</v>
      </c>
      <c r="LK227" s="79" t="e">
        <f>(#REF!+#REF!)*#REF!/1000</f>
        <v>#REF!</v>
      </c>
      <c r="LL227" s="79" t="e">
        <f>(#REF!+#REF!)*#REF!/1000</f>
        <v>#REF!</v>
      </c>
      <c r="LM227" s="79" t="e">
        <f>(#REF!+#REF!)*#REF!/1000</f>
        <v>#REF!</v>
      </c>
      <c r="LN227" s="79" t="e">
        <f>(#REF!+#REF!)*#REF!/1000</f>
        <v>#REF!</v>
      </c>
      <c r="LO227" s="79" t="e">
        <f>(#REF!+#REF!)*#REF!/1000</f>
        <v>#REF!</v>
      </c>
      <c r="LP227" s="79" t="e">
        <f>(#REF!+#REF!)*#REF!/1000</f>
        <v>#REF!</v>
      </c>
      <c r="LQ227" s="79" t="e">
        <f>(#REF!+#REF!)*#REF!/1000</f>
        <v>#REF!</v>
      </c>
      <c r="LR227" s="79" t="e">
        <f>(#REF!+#REF!)*#REF!/1000</f>
        <v>#REF!</v>
      </c>
      <c r="LS227" s="79" t="e">
        <f>(#REF!+#REF!)*#REF!/1000</f>
        <v>#REF!</v>
      </c>
      <c r="LT227" s="79" t="e">
        <f>(#REF!+#REF!)*#REF!/1000</f>
        <v>#REF!</v>
      </c>
      <c r="LU227" s="79" t="e">
        <f>(#REF!+#REF!)*#REF!/1000</f>
        <v>#REF!</v>
      </c>
      <c r="LV227" s="79" t="e">
        <f>(#REF!+#REF!)*#REF!/1000</f>
        <v>#REF!</v>
      </c>
      <c r="LW227" s="79" t="e">
        <f>(#REF!+#REF!)*#REF!/1000</f>
        <v>#REF!</v>
      </c>
      <c r="LX227" s="79" t="e">
        <f>(#REF!+#REF!)*#REF!/1000</f>
        <v>#REF!</v>
      </c>
      <c r="LY227" s="79" t="e">
        <f>(#REF!+#REF!)*#REF!/1000</f>
        <v>#REF!</v>
      </c>
      <c r="LZ227" s="79" t="e">
        <f>(#REF!+#REF!)*#REF!/1000</f>
        <v>#REF!</v>
      </c>
      <c r="MA227" s="79" t="e">
        <f>(#REF!+#REF!)*#REF!/1000</f>
        <v>#REF!</v>
      </c>
      <c r="MB227" s="79" t="e">
        <f>(#REF!+#REF!)*#REF!/1000</f>
        <v>#REF!</v>
      </c>
      <c r="MC227" s="79" t="e">
        <f>(#REF!+#REF!)*#REF!/1000</f>
        <v>#REF!</v>
      </c>
      <c r="MD227" s="79" t="e">
        <f>(#REF!+#REF!)*#REF!/1000</f>
        <v>#REF!</v>
      </c>
      <c r="ME227" s="79" t="e">
        <f>(#REF!+#REF!)*#REF!/1000</f>
        <v>#REF!</v>
      </c>
      <c r="MF227" s="79" t="e">
        <f>(#REF!+#REF!)*#REF!/1000</f>
        <v>#REF!</v>
      </c>
      <c r="MG227" s="79" t="e">
        <f>(#REF!+#REF!)*#REF!/1000</f>
        <v>#REF!</v>
      </c>
      <c r="MH227" s="79" t="e">
        <f>(#REF!+#REF!)*#REF!/1000</f>
        <v>#REF!</v>
      </c>
      <c r="MI227" s="79" t="e">
        <f>(#REF!+#REF!)*#REF!/1000</f>
        <v>#REF!</v>
      </c>
      <c r="MJ227" s="79" t="e">
        <f>(#REF!+#REF!)*#REF!/1000</f>
        <v>#REF!</v>
      </c>
      <c r="MK227" s="79" t="e">
        <f>(#REF!+#REF!)*#REF!/1000</f>
        <v>#REF!</v>
      </c>
      <c r="ML227" s="79" t="e">
        <f>(#REF!+#REF!)*#REF!/1000</f>
        <v>#REF!</v>
      </c>
      <c r="MM227" s="79" t="e">
        <f>(#REF!+#REF!)*#REF!/1000</f>
        <v>#REF!</v>
      </c>
      <c r="MN227" s="79" t="e">
        <f>(#REF!+#REF!)*#REF!/1000</f>
        <v>#REF!</v>
      </c>
      <c r="MO227" s="79" t="e">
        <f>(#REF!+#REF!)*#REF!/1000</f>
        <v>#REF!</v>
      </c>
      <c r="MP227" s="79" t="e">
        <f>(#REF!+#REF!)*#REF!/1000</f>
        <v>#REF!</v>
      </c>
      <c r="MQ227" s="79" t="e">
        <f>(#REF!+#REF!)*#REF!/1000</f>
        <v>#REF!</v>
      </c>
      <c r="MR227" s="79" t="e">
        <f>(#REF!+#REF!)*#REF!/1000</f>
        <v>#REF!</v>
      </c>
      <c r="MS227" s="79" t="e">
        <f>(#REF!+#REF!)*#REF!/1000</f>
        <v>#REF!</v>
      </c>
      <c r="MT227" s="79" t="e">
        <f>(#REF!+#REF!)*#REF!/1000</f>
        <v>#REF!</v>
      </c>
      <c r="MU227" s="79" t="e">
        <f>(#REF!+#REF!)*#REF!/1000</f>
        <v>#REF!</v>
      </c>
      <c r="MV227" s="79" t="e">
        <f>(#REF!+#REF!)*#REF!/1000</f>
        <v>#REF!</v>
      </c>
      <c r="MW227" s="79" t="e">
        <f>(#REF!+#REF!)*#REF!/1000</f>
        <v>#REF!</v>
      </c>
      <c r="MX227" s="79" t="e">
        <f>(#REF!+#REF!)*#REF!/1000</f>
        <v>#REF!</v>
      </c>
      <c r="MY227" s="79" t="e">
        <f>(#REF!+#REF!)*#REF!/1000</f>
        <v>#REF!</v>
      </c>
      <c r="MZ227" s="79" t="e">
        <f>(#REF!+#REF!)*#REF!/1000</f>
        <v>#REF!</v>
      </c>
      <c r="NA227" s="79" t="e">
        <f>(#REF!+#REF!)*#REF!/1000</f>
        <v>#REF!</v>
      </c>
      <c r="NB227" s="79" t="e">
        <f>(#REF!+#REF!)*#REF!/1000</f>
        <v>#REF!</v>
      </c>
      <c r="NC227" s="79" t="e">
        <f>(#REF!+#REF!)*#REF!/1000</f>
        <v>#REF!</v>
      </c>
      <c r="ND227" s="79" t="e">
        <f>(#REF!+#REF!)*#REF!/1000</f>
        <v>#REF!</v>
      </c>
      <c r="NE227" s="79" t="e">
        <f>(#REF!+#REF!)*#REF!/1000</f>
        <v>#REF!</v>
      </c>
      <c r="NF227" s="79" t="e">
        <f>(#REF!+#REF!)*#REF!/1000</f>
        <v>#REF!</v>
      </c>
      <c r="NG227" s="79" t="e">
        <f>(#REF!+#REF!)*#REF!/1000</f>
        <v>#REF!</v>
      </c>
      <c r="NH227" s="79" t="e">
        <f>(#REF!+#REF!)*#REF!/1000</f>
        <v>#REF!</v>
      </c>
      <c r="NI227" s="79" t="e">
        <f>(#REF!+#REF!)*#REF!/1000</f>
        <v>#REF!</v>
      </c>
      <c r="NJ227" s="79" t="e">
        <f>(#REF!+#REF!)*#REF!/1000</f>
        <v>#REF!</v>
      </c>
      <c r="NK227" s="79" t="e">
        <f>(#REF!+#REF!)*#REF!/1000</f>
        <v>#REF!</v>
      </c>
      <c r="NL227" s="79" t="e">
        <f>(#REF!+#REF!)*#REF!/1000</f>
        <v>#REF!</v>
      </c>
      <c r="NM227" s="79" t="e">
        <f>(#REF!+#REF!)*#REF!/1000</f>
        <v>#REF!</v>
      </c>
      <c r="NN227" s="79" t="e">
        <f>(#REF!+#REF!)*#REF!/1000</f>
        <v>#REF!</v>
      </c>
      <c r="NO227" s="79" t="e">
        <f>(#REF!+#REF!)*#REF!/1000</f>
        <v>#REF!</v>
      </c>
      <c r="NP227" s="79" t="e">
        <f>(#REF!+#REF!)*#REF!/1000</f>
        <v>#REF!</v>
      </c>
      <c r="NQ227" s="79" t="e">
        <f>(#REF!+#REF!)*#REF!/1000</f>
        <v>#REF!</v>
      </c>
      <c r="NR227" s="79" t="e">
        <f>(#REF!+#REF!)*#REF!/1000</f>
        <v>#REF!</v>
      </c>
      <c r="NS227" s="79" t="e">
        <f>(#REF!+#REF!)*#REF!/1000</f>
        <v>#REF!</v>
      </c>
      <c r="NT227" s="79" t="e">
        <f>(#REF!+#REF!)*#REF!/1000</f>
        <v>#REF!</v>
      </c>
      <c r="NU227" s="79" t="e">
        <f>(#REF!+#REF!)*#REF!/1000</f>
        <v>#REF!</v>
      </c>
      <c r="NV227" s="79" t="e">
        <f>(#REF!+#REF!)*#REF!/1000</f>
        <v>#REF!</v>
      </c>
      <c r="NW227" s="79" t="e">
        <f>(#REF!+#REF!)*#REF!/1000</f>
        <v>#REF!</v>
      </c>
      <c r="NX227" s="79" t="e">
        <f>(#REF!+#REF!)*#REF!/1000</f>
        <v>#REF!</v>
      </c>
      <c r="NY227" s="79" t="e">
        <f>(#REF!+#REF!)*#REF!/1000</f>
        <v>#REF!</v>
      </c>
      <c r="NZ227" s="79" t="e">
        <f>(#REF!+#REF!)*#REF!/1000</f>
        <v>#REF!</v>
      </c>
      <c r="OA227" s="79" t="e">
        <f>(#REF!+#REF!)*#REF!/1000</f>
        <v>#REF!</v>
      </c>
      <c r="OB227" s="79" t="e">
        <f>(#REF!+#REF!)*#REF!/1000</f>
        <v>#REF!</v>
      </c>
      <c r="OC227" s="79" t="e">
        <f>(#REF!+#REF!)*#REF!/1000</f>
        <v>#REF!</v>
      </c>
      <c r="OD227" s="79" t="e">
        <f>(#REF!+#REF!)*#REF!/1000</f>
        <v>#REF!</v>
      </c>
      <c r="OE227" s="79" t="e">
        <f>(#REF!+#REF!)*#REF!/1000</f>
        <v>#REF!</v>
      </c>
      <c r="OF227" s="79" t="e">
        <f>(#REF!+#REF!)*#REF!/1000</f>
        <v>#REF!</v>
      </c>
      <c r="OG227" s="79" t="e">
        <f>(#REF!+#REF!)*#REF!/1000</f>
        <v>#REF!</v>
      </c>
      <c r="OH227" s="79" t="e">
        <f>(#REF!+#REF!)*#REF!/1000</f>
        <v>#REF!</v>
      </c>
      <c r="OI227" s="79" t="e">
        <f>(#REF!+#REF!)*#REF!/1000</f>
        <v>#REF!</v>
      </c>
      <c r="OJ227" s="79" t="e">
        <f>(#REF!+#REF!)*#REF!/1000</f>
        <v>#REF!</v>
      </c>
      <c r="OK227" s="79" t="e">
        <f>(#REF!+#REF!)*#REF!/1000</f>
        <v>#REF!</v>
      </c>
      <c r="OL227" s="79" t="e">
        <f>(#REF!+#REF!)*#REF!/1000</f>
        <v>#REF!</v>
      </c>
      <c r="OM227" s="79" t="e">
        <f>(#REF!+#REF!)*#REF!/1000</f>
        <v>#REF!</v>
      </c>
      <c r="ON227" s="79" t="e">
        <f>(#REF!+#REF!)*#REF!/1000</f>
        <v>#REF!</v>
      </c>
      <c r="OO227" s="79" t="e">
        <f>(#REF!+#REF!)*#REF!/1000</f>
        <v>#REF!</v>
      </c>
      <c r="OP227" s="79" t="e">
        <f>(#REF!+#REF!)*#REF!/1000</f>
        <v>#REF!</v>
      </c>
      <c r="OQ227" s="79" t="e">
        <f>(#REF!+#REF!)*#REF!/1000</f>
        <v>#REF!</v>
      </c>
      <c r="OR227" s="79" t="e">
        <f>(#REF!+#REF!)*#REF!/1000</f>
        <v>#REF!</v>
      </c>
      <c r="OS227" s="79" t="e">
        <f>(#REF!+#REF!)*#REF!/1000</f>
        <v>#REF!</v>
      </c>
      <c r="OT227" s="79" t="e">
        <f>(#REF!+#REF!)*#REF!/1000</f>
        <v>#REF!</v>
      </c>
      <c r="OU227" s="79" t="e">
        <f>(#REF!+#REF!)*#REF!/1000</f>
        <v>#REF!</v>
      </c>
      <c r="OV227" s="79" t="e">
        <f>(#REF!+#REF!)*#REF!/1000</f>
        <v>#REF!</v>
      </c>
      <c r="OW227" s="79" t="e">
        <f>(#REF!+#REF!)*#REF!/1000</f>
        <v>#REF!</v>
      </c>
      <c r="OX227" s="79" t="e">
        <f>(#REF!+#REF!)*#REF!/1000</f>
        <v>#REF!</v>
      </c>
      <c r="OY227" s="79" t="e">
        <f>(#REF!+#REF!)*#REF!/1000</f>
        <v>#REF!</v>
      </c>
      <c r="OZ227" s="79" t="e">
        <f>(#REF!+#REF!)*#REF!/1000</f>
        <v>#REF!</v>
      </c>
      <c r="PA227" s="79" t="e">
        <f>(#REF!+#REF!)*#REF!/1000</f>
        <v>#REF!</v>
      </c>
      <c r="PB227" s="79" t="e">
        <f>(#REF!+#REF!)*#REF!/1000</f>
        <v>#REF!</v>
      </c>
      <c r="PC227" s="79" t="e">
        <f>(#REF!+#REF!)*#REF!/1000</f>
        <v>#REF!</v>
      </c>
      <c r="PD227" s="79" t="e">
        <f>(#REF!+#REF!)*#REF!/1000</f>
        <v>#REF!</v>
      </c>
      <c r="PE227" s="79" t="e">
        <f>(#REF!+#REF!)*#REF!/1000</f>
        <v>#REF!</v>
      </c>
      <c r="PF227" s="79" t="e">
        <f>(#REF!+#REF!)*#REF!/1000</f>
        <v>#REF!</v>
      </c>
      <c r="PG227" s="79" t="e">
        <f>(#REF!+#REF!)*#REF!/1000</f>
        <v>#REF!</v>
      </c>
      <c r="PH227" s="79" t="e">
        <f>(#REF!+#REF!)*#REF!/1000</f>
        <v>#REF!</v>
      </c>
      <c r="PI227" s="79" t="e">
        <f>(#REF!+#REF!)*#REF!/1000</f>
        <v>#REF!</v>
      </c>
      <c r="PJ227" s="79" t="e">
        <f>(#REF!+#REF!)*#REF!/1000</f>
        <v>#REF!</v>
      </c>
      <c r="PK227" s="79" t="e">
        <f>(#REF!+#REF!)*#REF!/1000</f>
        <v>#REF!</v>
      </c>
      <c r="PL227" s="79" t="e">
        <f>(#REF!+#REF!)*#REF!/1000</f>
        <v>#REF!</v>
      </c>
      <c r="PM227" s="79" t="e">
        <f>(#REF!+#REF!)*#REF!/1000</f>
        <v>#REF!</v>
      </c>
      <c r="PN227" s="79" t="e">
        <f>(#REF!+#REF!)*#REF!/1000</f>
        <v>#REF!</v>
      </c>
      <c r="PO227" s="79" t="e">
        <f>(#REF!+#REF!)*#REF!/1000</f>
        <v>#REF!</v>
      </c>
      <c r="PP227" s="79" t="e">
        <f>(#REF!+#REF!)*#REF!/1000</f>
        <v>#REF!</v>
      </c>
      <c r="PQ227" s="79" t="e">
        <f>(#REF!+#REF!)*#REF!/1000</f>
        <v>#REF!</v>
      </c>
      <c r="PR227" s="79" t="e">
        <f>(#REF!+#REF!)*#REF!/1000</f>
        <v>#REF!</v>
      </c>
      <c r="PS227" s="79" t="e">
        <f>(#REF!+#REF!)*#REF!/1000</f>
        <v>#REF!</v>
      </c>
      <c r="PT227" s="79" t="e">
        <f>(#REF!+#REF!)*#REF!/1000</f>
        <v>#REF!</v>
      </c>
      <c r="PU227" s="79" t="e">
        <f>(#REF!+#REF!)*#REF!/1000</f>
        <v>#REF!</v>
      </c>
      <c r="PV227" s="79" t="e">
        <f>(#REF!+#REF!)*#REF!/1000</f>
        <v>#REF!</v>
      </c>
      <c r="PW227" s="79" t="e">
        <f>(#REF!+#REF!)*#REF!/1000</f>
        <v>#REF!</v>
      </c>
      <c r="PX227" s="79" t="e">
        <f>(#REF!+#REF!)*#REF!/1000</f>
        <v>#REF!</v>
      </c>
      <c r="PY227" s="79" t="e">
        <f>(#REF!+#REF!)*#REF!/1000</f>
        <v>#REF!</v>
      </c>
      <c r="PZ227" s="79" t="e">
        <f>(#REF!+#REF!)*#REF!/1000</f>
        <v>#REF!</v>
      </c>
      <c r="QA227" s="79" t="e">
        <f>(#REF!+#REF!)*#REF!/1000</f>
        <v>#REF!</v>
      </c>
      <c r="QB227" s="79" t="e">
        <f>(#REF!+#REF!)*#REF!/1000</f>
        <v>#REF!</v>
      </c>
      <c r="QC227" s="79" t="e">
        <f>(#REF!+#REF!)*#REF!/1000</f>
        <v>#REF!</v>
      </c>
      <c r="QD227" s="79" t="e">
        <f>(#REF!+#REF!)*#REF!/1000</f>
        <v>#REF!</v>
      </c>
      <c r="QE227" s="79" t="e">
        <f>(#REF!+#REF!)*#REF!/1000</f>
        <v>#REF!</v>
      </c>
      <c r="QF227" s="79" t="e">
        <f>(#REF!+#REF!)*#REF!/1000</f>
        <v>#REF!</v>
      </c>
      <c r="QG227" s="79" t="e">
        <f>(#REF!+#REF!)*#REF!/1000</f>
        <v>#REF!</v>
      </c>
      <c r="QH227" s="79" t="e">
        <f>(#REF!+#REF!)*#REF!/1000</f>
        <v>#REF!</v>
      </c>
      <c r="QI227" s="79" t="e">
        <f>(#REF!+#REF!)*#REF!/1000</f>
        <v>#REF!</v>
      </c>
      <c r="QJ227" s="79" t="e">
        <f>(#REF!+#REF!)*#REF!/1000</f>
        <v>#REF!</v>
      </c>
      <c r="QK227" s="79" t="e">
        <f>(#REF!+#REF!)*#REF!/1000</f>
        <v>#REF!</v>
      </c>
      <c r="QL227" s="79" t="e">
        <f>(#REF!+#REF!)*#REF!/1000</f>
        <v>#REF!</v>
      </c>
      <c r="QM227" s="79" t="e">
        <f>(#REF!+#REF!)*#REF!/1000</f>
        <v>#REF!</v>
      </c>
      <c r="QN227" s="79" t="e">
        <f>(#REF!+#REF!)*#REF!/1000</f>
        <v>#REF!</v>
      </c>
      <c r="QO227" s="79" t="e">
        <f>(#REF!+#REF!)*#REF!/1000</f>
        <v>#REF!</v>
      </c>
      <c r="QP227" s="79" t="e">
        <f>(#REF!+#REF!)*#REF!/1000</f>
        <v>#REF!</v>
      </c>
      <c r="QQ227" s="79" t="e">
        <f>(#REF!+#REF!)*#REF!/1000</f>
        <v>#REF!</v>
      </c>
      <c r="QR227" s="79" t="e">
        <f>(#REF!+#REF!)*#REF!/1000</f>
        <v>#REF!</v>
      </c>
      <c r="QS227" s="79" t="e">
        <f>(#REF!+#REF!)*#REF!/1000</f>
        <v>#REF!</v>
      </c>
      <c r="QT227" s="79" t="e">
        <f>(#REF!+#REF!)*#REF!/1000</f>
        <v>#REF!</v>
      </c>
      <c r="QU227" s="79" t="e">
        <f>(#REF!+#REF!)*#REF!/1000</f>
        <v>#REF!</v>
      </c>
      <c r="QV227" s="79" t="e">
        <f>(#REF!+#REF!)*#REF!/1000</f>
        <v>#REF!</v>
      </c>
      <c r="QW227" s="79" t="e">
        <f>(#REF!+#REF!)*#REF!/1000</f>
        <v>#REF!</v>
      </c>
      <c r="QX227" s="79" t="e">
        <f>(#REF!+#REF!)*#REF!/1000</f>
        <v>#REF!</v>
      </c>
      <c r="QY227" s="79" t="e">
        <f>(#REF!+#REF!)*#REF!/1000</f>
        <v>#REF!</v>
      </c>
      <c r="QZ227" s="79" t="e">
        <f>(#REF!+#REF!)*#REF!/1000</f>
        <v>#REF!</v>
      </c>
      <c r="RA227" s="79" t="e">
        <f>(#REF!+#REF!)*#REF!/1000</f>
        <v>#REF!</v>
      </c>
      <c r="RB227" s="79" t="e">
        <f>(#REF!+#REF!)*#REF!/1000</f>
        <v>#REF!</v>
      </c>
      <c r="RC227" s="79" t="e">
        <f>(#REF!+#REF!)*#REF!/1000</f>
        <v>#REF!</v>
      </c>
      <c r="RD227" s="79" t="e">
        <f>(#REF!+#REF!)*#REF!/1000</f>
        <v>#REF!</v>
      </c>
      <c r="RE227" s="79" t="e">
        <f>(#REF!+#REF!)*#REF!/1000</f>
        <v>#REF!</v>
      </c>
      <c r="RF227" s="79" t="e">
        <f>(#REF!+#REF!)*#REF!/1000</f>
        <v>#REF!</v>
      </c>
      <c r="RG227" s="79" t="e">
        <f>(#REF!+#REF!)*#REF!/1000</f>
        <v>#REF!</v>
      </c>
      <c r="RH227" s="79" t="e">
        <f>(#REF!+#REF!)*#REF!/1000</f>
        <v>#REF!</v>
      </c>
      <c r="RI227" s="79" t="e">
        <f>(#REF!+#REF!)*#REF!/1000</f>
        <v>#REF!</v>
      </c>
      <c r="RJ227" s="79" t="e">
        <f>(#REF!+#REF!)*#REF!/1000</f>
        <v>#REF!</v>
      </c>
      <c r="RK227" s="79" t="e">
        <f>(#REF!+#REF!)*#REF!/1000</f>
        <v>#REF!</v>
      </c>
      <c r="RL227" s="79" t="e">
        <f>(#REF!+#REF!)*#REF!/1000</f>
        <v>#REF!</v>
      </c>
      <c r="RM227" s="79" t="e">
        <f>(#REF!+#REF!)*#REF!/1000</f>
        <v>#REF!</v>
      </c>
      <c r="RN227" s="79" t="e">
        <f>(#REF!+#REF!)*#REF!/1000</f>
        <v>#REF!</v>
      </c>
      <c r="RO227" s="79" t="e">
        <f>(#REF!+#REF!)*#REF!/1000</f>
        <v>#REF!</v>
      </c>
      <c r="RP227" s="79" t="e">
        <f>(#REF!+#REF!)*#REF!/1000</f>
        <v>#REF!</v>
      </c>
      <c r="RQ227" s="79" t="e">
        <f>(#REF!+#REF!)*#REF!/1000</f>
        <v>#REF!</v>
      </c>
      <c r="RR227" s="79" t="e">
        <f>(#REF!+#REF!)*#REF!/1000</f>
        <v>#REF!</v>
      </c>
      <c r="RS227" s="79" t="e">
        <f>(#REF!+#REF!)*#REF!/1000</f>
        <v>#REF!</v>
      </c>
      <c r="RT227" s="79" t="e">
        <f>(#REF!+#REF!)*#REF!/1000</f>
        <v>#REF!</v>
      </c>
      <c r="RU227" s="79" t="e">
        <f>(#REF!+#REF!)*#REF!/1000</f>
        <v>#REF!</v>
      </c>
      <c r="RV227" s="79" t="e">
        <f>(#REF!+#REF!)*#REF!/1000</f>
        <v>#REF!</v>
      </c>
      <c r="RW227" s="79" t="e">
        <f>(#REF!+#REF!)*#REF!/1000</f>
        <v>#REF!</v>
      </c>
      <c r="RX227" s="79" t="e">
        <f>(#REF!+#REF!)*#REF!/1000</f>
        <v>#REF!</v>
      </c>
      <c r="RY227" s="79" t="e">
        <f>(#REF!+#REF!)*#REF!/1000</f>
        <v>#REF!</v>
      </c>
      <c r="RZ227" s="79" t="e">
        <f>(#REF!+#REF!)*#REF!/1000</f>
        <v>#REF!</v>
      </c>
      <c r="SA227" s="79" t="e">
        <f>(#REF!+#REF!)*#REF!/1000</f>
        <v>#REF!</v>
      </c>
      <c r="SB227" s="79" t="e">
        <f>(#REF!+#REF!)*#REF!/1000</f>
        <v>#REF!</v>
      </c>
      <c r="SC227" s="79" t="e">
        <f>(#REF!+#REF!)*#REF!/1000</f>
        <v>#REF!</v>
      </c>
      <c r="SD227" s="79" t="e">
        <f>(#REF!+#REF!)*#REF!/1000</f>
        <v>#REF!</v>
      </c>
      <c r="SE227" s="79" t="e">
        <f>(#REF!+#REF!)*#REF!/1000</f>
        <v>#REF!</v>
      </c>
      <c r="SF227" s="79" t="e">
        <f>(#REF!+#REF!)*#REF!/1000</f>
        <v>#REF!</v>
      </c>
      <c r="SG227" s="79" t="e">
        <f>(#REF!+#REF!)*#REF!/1000</f>
        <v>#REF!</v>
      </c>
      <c r="SH227" s="79" t="e">
        <f>(#REF!+#REF!)*#REF!/1000</f>
        <v>#REF!</v>
      </c>
      <c r="SI227" s="79" t="e">
        <f>(#REF!+#REF!)*#REF!/1000</f>
        <v>#REF!</v>
      </c>
      <c r="SJ227" s="79" t="e">
        <f>(#REF!+#REF!)*#REF!/1000</f>
        <v>#REF!</v>
      </c>
      <c r="SK227" s="79" t="e">
        <f>(#REF!+#REF!)*#REF!/1000</f>
        <v>#REF!</v>
      </c>
      <c r="SL227" s="79" t="e">
        <f>(#REF!+#REF!)*#REF!/1000</f>
        <v>#REF!</v>
      </c>
      <c r="SM227" s="79" t="e">
        <f>(#REF!+#REF!)*#REF!/1000</f>
        <v>#REF!</v>
      </c>
      <c r="SN227" s="79" t="e">
        <f>(#REF!+#REF!)*#REF!/1000</f>
        <v>#REF!</v>
      </c>
      <c r="SO227" s="79" t="e">
        <f>(#REF!+#REF!)*#REF!/1000</f>
        <v>#REF!</v>
      </c>
      <c r="SP227" s="79" t="e">
        <f>(#REF!+#REF!)*#REF!/1000</f>
        <v>#REF!</v>
      </c>
      <c r="SQ227" s="79" t="e">
        <f>(#REF!+#REF!)*#REF!/1000</f>
        <v>#REF!</v>
      </c>
      <c r="SR227" s="79" t="e">
        <f>(#REF!+#REF!)*#REF!/1000</f>
        <v>#REF!</v>
      </c>
      <c r="SS227" s="79" t="e">
        <f>(#REF!+#REF!)*#REF!/1000</f>
        <v>#REF!</v>
      </c>
      <c r="ST227" s="79" t="e">
        <f>(#REF!+#REF!)*#REF!/1000</f>
        <v>#REF!</v>
      </c>
      <c r="SU227" s="79" t="e">
        <f>(#REF!+#REF!)*#REF!/1000</f>
        <v>#REF!</v>
      </c>
      <c r="SV227" s="79" t="e">
        <f>(#REF!+#REF!)*#REF!/1000</f>
        <v>#REF!</v>
      </c>
      <c r="SW227" s="79" t="e">
        <f>(#REF!+#REF!)*#REF!/1000</f>
        <v>#REF!</v>
      </c>
      <c r="SX227" s="79" t="e">
        <f>(#REF!+#REF!)*#REF!/1000</f>
        <v>#REF!</v>
      </c>
      <c r="SY227" s="79" t="e">
        <f>(#REF!+#REF!)*#REF!/1000</f>
        <v>#REF!</v>
      </c>
      <c r="SZ227" s="79" t="e">
        <f>(#REF!+#REF!)*#REF!/1000</f>
        <v>#REF!</v>
      </c>
      <c r="TA227" s="79" t="e">
        <f>(#REF!+#REF!)*#REF!/1000</f>
        <v>#REF!</v>
      </c>
      <c r="TB227" s="79" t="e">
        <f>(#REF!+#REF!)*#REF!/1000</f>
        <v>#REF!</v>
      </c>
      <c r="TC227" s="79" t="e">
        <f>(#REF!+#REF!)*#REF!/1000</f>
        <v>#REF!</v>
      </c>
      <c r="TD227" s="79" t="e">
        <f>(#REF!+#REF!)*#REF!/1000</f>
        <v>#REF!</v>
      </c>
      <c r="TE227" s="79" t="e">
        <f>(#REF!+#REF!)*#REF!/1000</f>
        <v>#REF!</v>
      </c>
      <c r="TF227" s="79" t="e">
        <f>(#REF!+#REF!)*#REF!/1000</f>
        <v>#REF!</v>
      </c>
      <c r="TG227" s="79" t="e">
        <f>(#REF!+#REF!)*#REF!/1000</f>
        <v>#REF!</v>
      </c>
      <c r="TH227" s="79" t="e">
        <f>(#REF!+#REF!)*#REF!/1000</f>
        <v>#REF!</v>
      </c>
      <c r="TI227" s="79" t="e">
        <f>(#REF!+#REF!)*#REF!/1000</f>
        <v>#REF!</v>
      </c>
      <c r="TJ227" s="79" t="e">
        <f>(#REF!+#REF!)*#REF!/1000</f>
        <v>#REF!</v>
      </c>
      <c r="TK227" s="79" t="e">
        <f>(#REF!+#REF!)*#REF!/1000</f>
        <v>#REF!</v>
      </c>
      <c r="TL227" s="79" t="e">
        <f>(#REF!+#REF!)*#REF!/1000</f>
        <v>#REF!</v>
      </c>
      <c r="TM227" s="79" t="e">
        <f>(#REF!+#REF!)*#REF!/1000</f>
        <v>#REF!</v>
      </c>
      <c r="TN227" s="79" t="e">
        <f>(#REF!+#REF!)*#REF!/1000</f>
        <v>#REF!</v>
      </c>
      <c r="TO227" s="79" t="e">
        <f>(#REF!+#REF!)*#REF!/1000</f>
        <v>#REF!</v>
      </c>
      <c r="TP227" s="79" t="e">
        <f>(#REF!+#REF!)*#REF!/1000</f>
        <v>#REF!</v>
      </c>
      <c r="TQ227" s="79" t="e">
        <f>(#REF!+#REF!)*#REF!/1000</f>
        <v>#REF!</v>
      </c>
      <c r="TR227" s="79" t="e">
        <f>(#REF!+#REF!)*#REF!/1000</f>
        <v>#REF!</v>
      </c>
      <c r="TS227" s="79" t="e">
        <f>(#REF!+#REF!)*#REF!/1000</f>
        <v>#REF!</v>
      </c>
      <c r="TT227" s="79" t="e">
        <f>(#REF!+#REF!)*#REF!/1000</f>
        <v>#REF!</v>
      </c>
      <c r="TU227" s="79" t="e">
        <f>(#REF!+#REF!)*#REF!/1000</f>
        <v>#REF!</v>
      </c>
      <c r="TV227" s="79" t="e">
        <f>(#REF!+#REF!)*#REF!/1000</f>
        <v>#REF!</v>
      </c>
      <c r="TW227" s="79" t="e">
        <f>(#REF!+#REF!)*#REF!/1000</f>
        <v>#REF!</v>
      </c>
      <c r="TX227" s="79" t="e">
        <f>(#REF!+#REF!)*#REF!/1000</f>
        <v>#REF!</v>
      </c>
      <c r="TY227" s="79" t="e">
        <f>(#REF!+#REF!)*#REF!/1000</f>
        <v>#REF!</v>
      </c>
      <c r="TZ227" s="79" t="e">
        <f>(#REF!+#REF!)*#REF!/1000</f>
        <v>#REF!</v>
      </c>
      <c r="UA227" s="79" t="e">
        <f>(#REF!+#REF!)*#REF!/1000</f>
        <v>#REF!</v>
      </c>
      <c r="UB227" s="79" t="e">
        <f>(#REF!+#REF!)*#REF!/1000</f>
        <v>#REF!</v>
      </c>
      <c r="UC227" s="79" t="e">
        <f>(#REF!+#REF!)*#REF!/1000</f>
        <v>#REF!</v>
      </c>
      <c r="UD227" s="79" t="e">
        <f>(#REF!+#REF!)*#REF!/1000</f>
        <v>#REF!</v>
      </c>
      <c r="UE227" s="79" t="e">
        <f>(#REF!+#REF!)*#REF!/1000</f>
        <v>#REF!</v>
      </c>
      <c r="UF227" s="79" t="e">
        <f>(#REF!+#REF!)*#REF!/1000</f>
        <v>#REF!</v>
      </c>
      <c r="UG227" s="79" t="e">
        <f>(#REF!+#REF!)*#REF!/1000</f>
        <v>#REF!</v>
      </c>
      <c r="UH227" s="79" t="e">
        <f>(#REF!+#REF!)*#REF!/1000</f>
        <v>#REF!</v>
      </c>
      <c r="UI227" s="79" t="e">
        <f>(#REF!+#REF!)*#REF!/1000</f>
        <v>#REF!</v>
      </c>
      <c r="UJ227" s="79" t="e">
        <f>(#REF!+#REF!)*#REF!/1000</f>
        <v>#REF!</v>
      </c>
      <c r="UK227" s="79" t="e">
        <f>(#REF!+#REF!)*#REF!/1000</f>
        <v>#REF!</v>
      </c>
      <c r="UL227" s="79" t="e">
        <f>(#REF!+#REF!)*#REF!/1000</f>
        <v>#REF!</v>
      </c>
      <c r="UM227" s="79" t="e">
        <f>(#REF!+#REF!)*#REF!/1000</f>
        <v>#REF!</v>
      </c>
      <c r="UN227" s="79" t="e">
        <f>(#REF!+#REF!)*#REF!/1000</f>
        <v>#REF!</v>
      </c>
      <c r="UO227" s="79" t="e">
        <f>(#REF!+#REF!)*#REF!/1000</f>
        <v>#REF!</v>
      </c>
      <c r="UP227" s="79" t="e">
        <f>(#REF!+#REF!)*#REF!/1000</f>
        <v>#REF!</v>
      </c>
      <c r="UQ227" s="79" t="e">
        <f>(#REF!+#REF!)*#REF!/1000</f>
        <v>#REF!</v>
      </c>
      <c r="UR227" s="79" t="e">
        <f>(#REF!+#REF!)*#REF!/1000</f>
        <v>#REF!</v>
      </c>
      <c r="US227" s="79" t="e">
        <f>(#REF!+#REF!)*#REF!/1000</f>
        <v>#REF!</v>
      </c>
      <c r="UT227" s="79" t="e">
        <f>(#REF!+#REF!)*#REF!/1000</f>
        <v>#REF!</v>
      </c>
      <c r="UU227" s="79" t="e">
        <f>(#REF!+#REF!)*#REF!/1000</f>
        <v>#REF!</v>
      </c>
      <c r="UV227" s="79" t="e">
        <f>(#REF!+#REF!)*#REF!/1000</f>
        <v>#REF!</v>
      </c>
      <c r="UW227" s="79" t="e">
        <f>(#REF!+#REF!)*#REF!/1000</f>
        <v>#REF!</v>
      </c>
      <c r="UX227" s="79" t="e">
        <f>(#REF!+#REF!)*#REF!/1000</f>
        <v>#REF!</v>
      </c>
      <c r="UY227" s="79" t="e">
        <f>(#REF!+#REF!)*#REF!/1000</f>
        <v>#REF!</v>
      </c>
      <c r="UZ227" s="79" t="e">
        <f>(#REF!+#REF!)*#REF!/1000</f>
        <v>#REF!</v>
      </c>
      <c r="VA227" s="79" t="e">
        <f>(#REF!+#REF!)*#REF!/1000</f>
        <v>#REF!</v>
      </c>
      <c r="VB227" s="79" t="e">
        <f>(#REF!+#REF!)*#REF!/1000</f>
        <v>#REF!</v>
      </c>
      <c r="VC227" s="79" t="e">
        <f>(#REF!+#REF!)*#REF!/1000</f>
        <v>#REF!</v>
      </c>
      <c r="VD227" s="79" t="e">
        <f>(#REF!+#REF!)*#REF!/1000</f>
        <v>#REF!</v>
      </c>
      <c r="VE227" s="79" t="e">
        <f>(#REF!+#REF!)*#REF!/1000</f>
        <v>#REF!</v>
      </c>
      <c r="VF227" s="79" t="e">
        <f>(#REF!+#REF!)*#REF!/1000</f>
        <v>#REF!</v>
      </c>
      <c r="VG227" s="79" t="e">
        <f>(#REF!+#REF!)*#REF!/1000</f>
        <v>#REF!</v>
      </c>
      <c r="VH227" s="79" t="e">
        <f>(#REF!+#REF!)*#REF!/1000</f>
        <v>#REF!</v>
      </c>
      <c r="VI227" s="79" t="e">
        <f>(#REF!+#REF!)*#REF!/1000</f>
        <v>#REF!</v>
      </c>
      <c r="VJ227" s="79" t="e">
        <f>(#REF!+#REF!)*#REF!/1000</f>
        <v>#REF!</v>
      </c>
      <c r="VK227" s="79" t="e">
        <f>(#REF!+#REF!)*#REF!/1000</f>
        <v>#REF!</v>
      </c>
      <c r="VL227" s="79" t="e">
        <f>(#REF!+#REF!)*#REF!/1000</f>
        <v>#REF!</v>
      </c>
      <c r="VM227" s="79" t="e">
        <f>(#REF!+#REF!)*#REF!/1000</f>
        <v>#REF!</v>
      </c>
      <c r="VN227" s="79" t="e">
        <f>(#REF!+#REF!)*#REF!/1000</f>
        <v>#REF!</v>
      </c>
      <c r="VO227" s="79" t="e">
        <f>(#REF!+#REF!)*#REF!/1000</f>
        <v>#REF!</v>
      </c>
      <c r="VP227" s="79" t="e">
        <f>(#REF!+#REF!)*#REF!/1000</f>
        <v>#REF!</v>
      </c>
      <c r="VQ227" s="79" t="e">
        <f>(#REF!+#REF!)*#REF!/1000</f>
        <v>#REF!</v>
      </c>
      <c r="VR227" s="79" t="e">
        <f>(#REF!+#REF!)*#REF!/1000</f>
        <v>#REF!</v>
      </c>
      <c r="VS227" s="79" t="e">
        <f>(#REF!+#REF!)*#REF!/1000</f>
        <v>#REF!</v>
      </c>
      <c r="VT227" s="79" t="e">
        <f>(#REF!+#REF!)*#REF!/1000</f>
        <v>#REF!</v>
      </c>
      <c r="VU227" s="79" t="e">
        <f>(#REF!+#REF!)*#REF!/1000</f>
        <v>#REF!</v>
      </c>
      <c r="VV227" s="79" t="e">
        <f>(#REF!+#REF!)*#REF!/1000</f>
        <v>#REF!</v>
      </c>
      <c r="VW227" s="79" t="e">
        <f>(#REF!+#REF!)*#REF!/1000</f>
        <v>#REF!</v>
      </c>
      <c r="VX227" s="79" t="e">
        <f>(#REF!+#REF!)*#REF!/1000</f>
        <v>#REF!</v>
      </c>
      <c r="VY227" s="79" t="e">
        <f>(#REF!+#REF!)*#REF!/1000</f>
        <v>#REF!</v>
      </c>
      <c r="VZ227" s="79" t="e">
        <f>(#REF!+#REF!)*#REF!/1000</f>
        <v>#REF!</v>
      </c>
      <c r="WA227" s="79" t="e">
        <f>(#REF!+#REF!)*#REF!/1000</f>
        <v>#REF!</v>
      </c>
      <c r="WB227" s="79" t="e">
        <f>(#REF!+#REF!)*#REF!/1000</f>
        <v>#REF!</v>
      </c>
      <c r="WC227" s="79" t="e">
        <f>(#REF!+#REF!)*#REF!/1000</f>
        <v>#REF!</v>
      </c>
      <c r="WD227" s="79" t="e">
        <f>(#REF!+#REF!)*#REF!/1000</f>
        <v>#REF!</v>
      </c>
      <c r="WE227" s="79" t="e">
        <f>(#REF!+#REF!)*#REF!/1000</f>
        <v>#REF!</v>
      </c>
      <c r="WF227" s="79" t="e">
        <f>(#REF!+#REF!)*#REF!/1000</f>
        <v>#REF!</v>
      </c>
      <c r="WG227" s="79" t="e">
        <f>(#REF!+#REF!)*#REF!/1000</f>
        <v>#REF!</v>
      </c>
      <c r="WH227" s="79" t="e">
        <f>(#REF!+#REF!)*#REF!/1000</f>
        <v>#REF!</v>
      </c>
      <c r="WI227" s="79" t="e">
        <f>(#REF!+#REF!)*#REF!/1000</f>
        <v>#REF!</v>
      </c>
      <c r="WJ227" s="79" t="e">
        <f>(#REF!+#REF!)*#REF!/1000</f>
        <v>#REF!</v>
      </c>
      <c r="WK227" s="79" t="e">
        <f>(#REF!+#REF!)*#REF!/1000</f>
        <v>#REF!</v>
      </c>
      <c r="WL227" s="79" t="e">
        <f>(#REF!+#REF!)*#REF!/1000</f>
        <v>#REF!</v>
      </c>
      <c r="WM227" s="79" t="e">
        <f>(#REF!+#REF!)*#REF!/1000</f>
        <v>#REF!</v>
      </c>
      <c r="WN227" s="79" t="e">
        <f>(#REF!+#REF!)*#REF!/1000</f>
        <v>#REF!</v>
      </c>
      <c r="WO227" s="79" t="e">
        <f>(#REF!+#REF!)*#REF!/1000</f>
        <v>#REF!</v>
      </c>
      <c r="WP227" s="79" t="e">
        <f>(#REF!+#REF!)*#REF!/1000</f>
        <v>#REF!</v>
      </c>
      <c r="WQ227" s="79" t="e">
        <f>(#REF!+#REF!)*#REF!/1000</f>
        <v>#REF!</v>
      </c>
      <c r="WR227" s="79" t="e">
        <f>(#REF!+#REF!)*#REF!/1000</f>
        <v>#REF!</v>
      </c>
      <c r="WS227" s="79" t="e">
        <f>(#REF!+#REF!)*#REF!/1000</f>
        <v>#REF!</v>
      </c>
      <c r="WT227" s="79" t="e">
        <f>(#REF!+#REF!)*#REF!/1000</f>
        <v>#REF!</v>
      </c>
      <c r="WU227" s="79" t="e">
        <f>(#REF!+#REF!)*#REF!/1000</f>
        <v>#REF!</v>
      </c>
      <c r="WV227" s="79" t="e">
        <f>(#REF!+#REF!)*#REF!/1000</f>
        <v>#REF!</v>
      </c>
      <c r="WW227" s="79" t="e">
        <f>(#REF!+#REF!)*#REF!/1000</f>
        <v>#REF!</v>
      </c>
      <c r="WX227" s="79" t="e">
        <f>(#REF!+#REF!)*#REF!/1000</f>
        <v>#REF!</v>
      </c>
      <c r="WY227" s="79" t="e">
        <f>(#REF!+#REF!)*#REF!/1000</f>
        <v>#REF!</v>
      </c>
      <c r="WZ227" s="79" t="e">
        <f>(#REF!+#REF!)*#REF!/1000</f>
        <v>#REF!</v>
      </c>
      <c r="XA227" s="79" t="e">
        <f>(#REF!+#REF!)*#REF!/1000</f>
        <v>#REF!</v>
      </c>
      <c r="XB227" s="79" t="e">
        <f>(#REF!+#REF!)*#REF!/1000</f>
        <v>#REF!</v>
      </c>
      <c r="XC227" s="79" t="e">
        <f>(#REF!+#REF!)*#REF!/1000</f>
        <v>#REF!</v>
      </c>
      <c r="XD227" s="79" t="e">
        <f>(#REF!+#REF!)*#REF!/1000</f>
        <v>#REF!</v>
      </c>
      <c r="XE227" s="79" t="e">
        <f>(#REF!+#REF!)*#REF!/1000</f>
        <v>#REF!</v>
      </c>
      <c r="XF227" s="79" t="e">
        <f>(#REF!+#REF!)*#REF!/1000</f>
        <v>#REF!</v>
      </c>
      <c r="XG227" s="79" t="e">
        <f>(#REF!+#REF!)*#REF!/1000</f>
        <v>#REF!</v>
      </c>
      <c r="XH227" s="79" t="e">
        <f>(#REF!+#REF!)*#REF!/1000</f>
        <v>#REF!</v>
      </c>
      <c r="XI227" s="79" t="e">
        <f>(#REF!+#REF!)*#REF!/1000</f>
        <v>#REF!</v>
      </c>
      <c r="XJ227" s="79" t="e">
        <f>(#REF!+#REF!)*#REF!/1000</f>
        <v>#REF!</v>
      </c>
      <c r="XK227" s="79" t="e">
        <f>(#REF!+#REF!)*#REF!/1000</f>
        <v>#REF!</v>
      </c>
      <c r="XL227" s="79" t="e">
        <f>(#REF!+#REF!)*#REF!/1000</f>
        <v>#REF!</v>
      </c>
      <c r="XM227" s="79" t="e">
        <f>(#REF!+#REF!)*#REF!/1000</f>
        <v>#REF!</v>
      </c>
      <c r="XN227" s="79" t="e">
        <f>(#REF!+#REF!)*#REF!/1000</f>
        <v>#REF!</v>
      </c>
      <c r="XO227" s="79" t="e">
        <f>(#REF!+#REF!)*#REF!/1000</f>
        <v>#REF!</v>
      </c>
      <c r="XP227" s="79" t="e">
        <f>(#REF!+#REF!)*#REF!/1000</f>
        <v>#REF!</v>
      </c>
      <c r="XQ227" s="79" t="e">
        <f>(#REF!+#REF!)*#REF!/1000</f>
        <v>#REF!</v>
      </c>
      <c r="XR227" s="79" t="e">
        <f>(#REF!+#REF!)*#REF!/1000</f>
        <v>#REF!</v>
      </c>
      <c r="XS227" s="79" t="e">
        <f>(#REF!+#REF!)*#REF!/1000</f>
        <v>#REF!</v>
      </c>
      <c r="XT227" s="79" t="e">
        <f>(#REF!+#REF!)*#REF!/1000</f>
        <v>#REF!</v>
      </c>
      <c r="XU227" s="79" t="e">
        <f>(#REF!+#REF!)*#REF!/1000</f>
        <v>#REF!</v>
      </c>
      <c r="XV227" s="79" t="e">
        <f>(#REF!+#REF!)*#REF!/1000</f>
        <v>#REF!</v>
      </c>
      <c r="XW227" s="79" t="e">
        <f>(#REF!+#REF!)*#REF!/1000</f>
        <v>#REF!</v>
      </c>
      <c r="XX227" s="79" t="e">
        <f>(#REF!+#REF!)*#REF!/1000</f>
        <v>#REF!</v>
      </c>
      <c r="XY227" s="79" t="e">
        <f>(#REF!+#REF!)*#REF!/1000</f>
        <v>#REF!</v>
      </c>
      <c r="XZ227" s="79" t="e">
        <f>(#REF!+#REF!)*#REF!/1000</f>
        <v>#REF!</v>
      </c>
      <c r="YA227" s="79" t="e">
        <f>(#REF!+#REF!)*#REF!/1000</f>
        <v>#REF!</v>
      </c>
      <c r="YB227" s="79" t="e">
        <f>(#REF!+#REF!)*#REF!/1000</f>
        <v>#REF!</v>
      </c>
      <c r="YC227" s="79" t="e">
        <f>(#REF!+#REF!)*#REF!/1000</f>
        <v>#REF!</v>
      </c>
      <c r="YD227" s="79" t="e">
        <f>(#REF!+#REF!)*#REF!/1000</f>
        <v>#REF!</v>
      </c>
      <c r="YE227" s="79" t="e">
        <f>(#REF!+#REF!)*#REF!/1000</f>
        <v>#REF!</v>
      </c>
      <c r="YF227" s="79" t="e">
        <f>(#REF!+#REF!)*#REF!/1000</f>
        <v>#REF!</v>
      </c>
      <c r="YG227" s="79" t="e">
        <f>(#REF!+#REF!)*#REF!/1000</f>
        <v>#REF!</v>
      </c>
      <c r="YH227" s="79" t="e">
        <f>(#REF!+#REF!)*#REF!/1000</f>
        <v>#REF!</v>
      </c>
      <c r="YI227" s="79" t="e">
        <f>(#REF!+#REF!)*#REF!/1000</f>
        <v>#REF!</v>
      </c>
      <c r="YJ227" s="79" t="e">
        <f>(#REF!+#REF!)*#REF!/1000</f>
        <v>#REF!</v>
      </c>
      <c r="YK227" s="79" t="e">
        <f>(#REF!+#REF!)*#REF!/1000</f>
        <v>#REF!</v>
      </c>
      <c r="YL227" s="79" t="e">
        <f>(#REF!+#REF!)*#REF!/1000</f>
        <v>#REF!</v>
      </c>
      <c r="YM227" s="79" t="e">
        <f>(#REF!+#REF!)*#REF!/1000</f>
        <v>#REF!</v>
      </c>
      <c r="YN227" s="79" t="e">
        <f>(#REF!+#REF!)*#REF!/1000</f>
        <v>#REF!</v>
      </c>
      <c r="YO227" s="79" t="e">
        <f>(#REF!+#REF!)*#REF!/1000</f>
        <v>#REF!</v>
      </c>
      <c r="YP227" s="79" t="e">
        <f>(#REF!+#REF!)*#REF!/1000</f>
        <v>#REF!</v>
      </c>
      <c r="YQ227" s="79" t="e">
        <f>(#REF!+#REF!)*#REF!/1000</f>
        <v>#REF!</v>
      </c>
      <c r="YR227" s="79" t="e">
        <f>(#REF!+#REF!)*#REF!/1000</f>
        <v>#REF!</v>
      </c>
      <c r="YS227" s="79" t="e">
        <f>(#REF!+#REF!)*#REF!/1000</f>
        <v>#REF!</v>
      </c>
      <c r="YT227" s="79" t="e">
        <f>(#REF!+#REF!)*#REF!/1000</f>
        <v>#REF!</v>
      </c>
      <c r="YU227" s="79" t="e">
        <f>(#REF!+#REF!)*#REF!/1000</f>
        <v>#REF!</v>
      </c>
      <c r="YV227" s="79" t="e">
        <f>(#REF!+#REF!)*#REF!/1000</f>
        <v>#REF!</v>
      </c>
      <c r="YW227" s="79" t="e">
        <f>(#REF!+#REF!)*#REF!/1000</f>
        <v>#REF!</v>
      </c>
      <c r="YX227" s="79" t="e">
        <f>(#REF!+#REF!)*#REF!/1000</f>
        <v>#REF!</v>
      </c>
      <c r="YY227" s="79" t="e">
        <f>(#REF!+#REF!)*#REF!/1000</f>
        <v>#REF!</v>
      </c>
      <c r="YZ227" s="79" t="e">
        <f>(#REF!+#REF!)*#REF!/1000</f>
        <v>#REF!</v>
      </c>
      <c r="ZA227" s="79" t="e">
        <f>(#REF!+#REF!)*#REF!/1000</f>
        <v>#REF!</v>
      </c>
      <c r="ZB227" s="79" t="e">
        <f>(#REF!+#REF!)*#REF!/1000</f>
        <v>#REF!</v>
      </c>
      <c r="ZC227" s="79" t="e">
        <f>(#REF!+#REF!)*#REF!/1000</f>
        <v>#REF!</v>
      </c>
      <c r="ZD227" s="79" t="e">
        <f>(#REF!+#REF!)*#REF!/1000</f>
        <v>#REF!</v>
      </c>
      <c r="ZE227" s="79" t="e">
        <f>(#REF!+#REF!)*#REF!/1000</f>
        <v>#REF!</v>
      </c>
      <c r="ZF227" s="79" t="e">
        <f>(#REF!+#REF!)*#REF!/1000</f>
        <v>#REF!</v>
      </c>
      <c r="ZG227" s="79" t="e">
        <f>(#REF!+#REF!)*#REF!/1000</f>
        <v>#REF!</v>
      </c>
      <c r="ZH227" s="79" t="e">
        <f>(#REF!+#REF!)*#REF!/1000</f>
        <v>#REF!</v>
      </c>
      <c r="ZI227" s="79" t="e">
        <f>(#REF!+#REF!)*#REF!/1000</f>
        <v>#REF!</v>
      </c>
      <c r="ZJ227" s="79" t="e">
        <f>(#REF!+#REF!)*#REF!/1000</f>
        <v>#REF!</v>
      </c>
      <c r="ZK227" s="79" t="e">
        <f>(#REF!+#REF!)*#REF!/1000</f>
        <v>#REF!</v>
      </c>
      <c r="ZL227" s="79" t="e">
        <f>(#REF!+#REF!)*#REF!/1000</f>
        <v>#REF!</v>
      </c>
      <c r="ZM227" s="79" t="e">
        <f>(#REF!+#REF!)*#REF!/1000</f>
        <v>#REF!</v>
      </c>
      <c r="ZN227" s="79" t="e">
        <f>(#REF!+#REF!)*#REF!/1000</f>
        <v>#REF!</v>
      </c>
      <c r="ZO227" s="79" t="e">
        <f>(#REF!+#REF!)*#REF!/1000</f>
        <v>#REF!</v>
      </c>
      <c r="ZP227" s="79" t="e">
        <f>(#REF!+#REF!)*#REF!/1000</f>
        <v>#REF!</v>
      </c>
      <c r="ZQ227" s="79" t="e">
        <f>(#REF!+#REF!)*#REF!/1000</f>
        <v>#REF!</v>
      </c>
      <c r="ZR227" s="79" t="e">
        <f>(#REF!+#REF!)*#REF!/1000</f>
        <v>#REF!</v>
      </c>
      <c r="ZS227" s="79" t="e">
        <f>(#REF!+#REF!)*#REF!/1000</f>
        <v>#REF!</v>
      </c>
      <c r="ZT227" s="79" t="e">
        <f>(#REF!+#REF!)*#REF!/1000</f>
        <v>#REF!</v>
      </c>
      <c r="ZU227" s="79" t="e">
        <f>(#REF!+#REF!)*#REF!/1000</f>
        <v>#REF!</v>
      </c>
      <c r="ZV227" s="79" t="e">
        <f>(#REF!+#REF!)*#REF!/1000</f>
        <v>#REF!</v>
      </c>
      <c r="ZW227" s="79" t="e">
        <f>(#REF!+#REF!)*#REF!/1000</f>
        <v>#REF!</v>
      </c>
      <c r="ZX227" s="79" t="e">
        <f>(#REF!+#REF!)*#REF!/1000</f>
        <v>#REF!</v>
      </c>
      <c r="ZY227" s="79" t="e">
        <f>(#REF!+#REF!)*#REF!/1000</f>
        <v>#REF!</v>
      </c>
      <c r="ZZ227" s="79" t="e">
        <f>(#REF!+#REF!)*#REF!/1000</f>
        <v>#REF!</v>
      </c>
      <c r="AAA227" s="79" t="e">
        <f>(#REF!+#REF!)*#REF!/1000</f>
        <v>#REF!</v>
      </c>
      <c r="AAB227" s="79" t="e">
        <f>(#REF!+#REF!)*#REF!/1000</f>
        <v>#REF!</v>
      </c>
      <c r="AAC227" s="79" t="e">
        <f>(#REF!+#REF!)*#REF!/1000</f>
        <v>#REF!</v>
      </c>
      <c r="AAD227" s="79" t="e">
        <f>(#REF!+#REF!)*#REF!/1000</f>
        <v>#REF!</v>
      </c>
      <c r="AAE227" s="79" t="e">
        <f>(#REF!+#REF!)*#REF!/1000</f>
        <v>#REF!</v>
      </c>
      <c r="AAF227" s="79" t="e">
        <f>(#REF!+#REF!)*#REF!/1000</f>
        <v>#REF!</v>
      </c>
      <c r="AAG227" s="79" t="e">
        <f>(#REF!+#REF!)*#REF!/1000</f>
        <v>#REF!</v>
      </c>
      <c r="AAH227" s="79" t="e">
        <f>(#REF!+#REF!)*#REF!/1000</f>
        <v>#REF!</v>
      </c>
      <c r="AAI227" s="79" t="e">
        <f>(#REF!+#REF!)*#REF!/1000</f>
        <v>#REF!</v>
      </c>
      <c r="AAJ227" s="79" t="e">
        <f>(#REF!+#REF!)*#REF!/1000</f>
        <v>#REF!</v>
      </c>
      <c r="AAK227" s="79" t="e">
        <f>(#REF!+#REF!)*#REF!/1000</f>
        <v>#REF!</v>
      </c>
      <c r="AAL227" s="79" t="e">
        <f>(#REF!+#REF!)*#REF!/1000</f>
        <v>#REF!</v>
      </c>
      <c r="AAM227" s="79" t="e">
        <f>(#REF!+#REF!)*#REF!/1000</f>
        <v>#REF!</v>
      </c>
      <c r="AAN227" s="79" t="e">
        <f>(#REF!+#REF!)*#REF!/1000</f>
        <v>#REF!</v>
      </c>
      <c r="AAO227" s="79" t="e">
        <f>(#REF!+#REF!)*#REF!/1000</f>
        <v>#REF!</v>
      </c>
      <c r="AAP227" s="79" t="e">
        <f>(#REF!+#REF!)*#REF!/1000</f>
        <v>#REF!</v>
      </c>
      <c r="AAQ227" s="79" t="e">
        <f>(#REF!+#REF!)*#REF!/1000</f>
        <v>#REF!</v>
      </c>
      <c r="AAR227" s="79" t="e">
        <f>(#REF!+#REF!)*#REF!/1000</f>
        <v>#REF!</v>
      </c>
      <c r="AAS227" s="79" t="e">
        <f>(#REF!+#REF!)*#REF!/1000</f>
        <v>#REF!</v>
      </c>
      <c r="AAT227" s="79" t="e">
        <f>(#REF!+#REF!)*#REF!/1000</f>
        <v>#REF!</v>
      </c>
      <c r="AAU227" s="79" t="e">
        <f>(#REF!+#REF!)*#REF!/1000</f>
        <v>#REF!</v>
      </c>
      <c r="AAV227" s="79" t="e">
        <f>(#REF!+#REF!)*#REF!/1000</f>
        <v>#REF!</v>
      </c>
      <c r="AAW227" s="79" t="e">
        <f>(#REF!+#REF!)*#REF!/1000</f>
        <v>#REF!</v>
      </c>
      <c r="AAX227" s="79" t="e">
        <f>(#REF!+#REF!)*#REF!/1000</f>
        <v>#REF!</v>
      </c>
      <c r="AAY227" s="79" t="e">
        <f>(#REF!+#REF!)*#REF!/1000</f>
        <v>#REF!</v>
      </c>
      <c r="AAZ227" s="79" t="e">
        <f>(#REF!+#REF!)*#REF!/1000</f>
        <v>#REF!</v>
      </c>
      <c r="ABA227" s="79" t="e">
        <f>(#REF!+#REF!)*#REF!/1000</f>
        <v>#REF!</v>
      </c>
      <c r="ABB227" s="79" t="e">
        <f>(#REF!+#REF!)*#REF!/1000</f>
        <v>#REF!</v>
      </c>
      <c r="ABC227" s="79" t="e">
        <f>(#REF!+#REF!)*#REF!/1000</f>
        <v>#REF!</v>
      </c>
      <c r="ABD227" s="79" t="e">
        <f>(#REF!+#REF!)*#REF!/1000</f>
        <v>#REF!</v>
      </c>
      <c r="ABE227" s="79" t="e">
        <f>(#REF!+#REF!)*#REF!/1000</f>
        <v>#REF!</v>
      </c>
      <c r="ABF227" s="79" t="e">
        <f>(#REF!+#REF!)*#REF!/1000</f>
        <v>#REF!</v>
      </c>
      <c r="ABG227" s="79" t="e">
        <f>(#REF!+#REF!)*#REF!/1000</f>
        <v>#REF!</v>
      </c>
      <c r="ABH227" s="79" t="e">
        <f>(#REF!+#REF!)*#REF!/1000</f>
        <v>#REF!</v>
      </c>
      <c r="ABI227" s="79" t="e">
        <f>(#REF!+#REF!)*#REF!/1000</f>
        <v>#REF!</v>
      </c>
      <c r="ABJ227" s="79" t="e">
        <f>(#REF!+#REF!)*#REF!/1000</f>
        <v>#REF!</v>
      </c>
      <c r="ABK227" s="79" t="e">
        <f>(#REF!+#REF!)*#REF!/1000</f>
        <v>#REF!</v>
      </c>
      <c r="ABL227" s="79" t="e">
        <f>(#REF!+#REF!)*#REF!/1000</f>
        <v>#REF!</v>
      </c>
      <c r="ABM227" s="79" t="e">
        <f>(#REF!+#REF!)*#REF!/1000</f>
        <v>#REF!</v>
      </c>
      <c r="ABN227" s="79" t="e">
        <f>(#REF!+#REF!)*#REF!/1000</f>
        <v>#REF!</v>
      </c>
      <c r="ABO227" s="79" t="e">
        <f>(#REF!+#REF!)*#REF!/1000</f>
        <v>#REF!</v>
      </c>
      <c r="ABP227" s="79" t="e">
        <f>(#REF!+#REF!)*#REF!/1000</f>
        <v>#REF!</v>
      </c>
      <c r="ABQ227" s="79" t="e">
        <f>(#REF!+#REF!)*#REF!/1000</f>
        <v>#REF!</v>
      </c>
      <c r="ABR227" s="79" t="e">
        <f>(#REF!+#REF!)*#REF!/1000</f>
        <v>#REF!</v>
      </c>
      <c r="ABS227" s="79" t="e">
        <f>(#REF!+#REF!)*#REF!/1000</f>
        <v>#REF!</v>
      </c>
      <c r="ABT227" s="79" t="e">
        <f>(#REF!+#REF!)*#REF!/1000</f>
        <v>#REF!</v>
      </c>
      <c r="ABU227" s="79" t="e">
        <f>(#REF!+#REF!)*#REF!/1000</f>
        <v>#REF!</v>
      </c>
      <c r="ABV227" s="79" t="e">
        <f>(#REF!+#REF!)*#REF!/1000</f>
        <v>#REF!</v>
      </c>
      <c r="ABW227" s="79" t="e">
        <f>(#REF!+#REF!)*#REF!/1000</f>
        <v>#REF!</v>
      </c>
      <c r="ABX227" s="79" t="e">
        <f>(#REF!+#REF!)*#REF!/1000</f>
        <v>#REF!</v>
      </c>
      <c r="ABY227" s="79" t="e">
        <f>(#REF!+#REF!)*#REF!/1000</f>
        <v>#REF!</v>
      </c>
      <c r="ABZ227" s="79" t="e">
        <f>(#REF!+#REF!)*#REF!/1000</f>
        <v>#REF!</v>
      </c>
      <c r="ACA227" s="79" t="e">
        <f>(#REF!+#REF!)*#REF!/1000</f>
        <v>#REF!</v>
      </c>
      <c r="ACB227" s="79" t="e">
        <f>(#REF!+#REF!)*#REF!/1000</f>
        <v>#REF!</v>
      </c>
      <c r="ACC227" s="79" t="e">
        <f>(#REF!+#REF!)*#REF!/1000</f>
        <v>#REF!</v>
      </c>
      <c r="ACD227" s="79" t="e">
        <f>(#REF!+#REF!)*#REF!/1000</f>
        <v>#REF!</v>
      </c>
      <c r="ACE227" s="79" t="e">
        <f>(#REF!+#REF!)*#REF!/1000</f>
        <v>#REF!</v>
      </c>
      <c r="ACF227" s="79" t="e">
        <f>(#REF!+#REF!)*#REF!/1000</f>
        <v>#REF!</v>
      </c>
      <c r="ACG227" s="79" t="e">
        <f>(#REF!+#REF!)*#REF!/1000</f>
        <v>#REF!</v>
      </c>
      <c r="ACH227" s="79" t="e">
        <f>(#REF!+#REF!)*#REF!/1000</f>
        <v>#REF!</v>
      </c>
      <c r="ACI227" s="79" t="e">
        <f>(#REF!+#REF!)*#REF!/1000</f>
        <v>#REF!</v>
      </c>
      <c r="ACJ227" s="79" t="e">
        <f>(#REF!+#REF!)*#REF!/1000</f>
        <v>#REF!</v>
      </c>
      <c r="ACK227" s="79" t="e">
        <f>(#REF!+#REF!)*#REF!/1000</f>
        <v>#REF!</v>
      </c>
      <c r="ACL227" s="79" t="e">
        <f>(#REF!+#REF!)*#REF!/1000</f>
        <v>#REF!</v>
      </c>
      <c r="ACM227" s="79" t="e">
        <f>(#REF!+#REF!)*#REF!/1000</f>
        <v>#REF!</v>
      </c>
      <c r="ACN227" s="79" t="e">
        <f>(#REF!+#REF!)*#REF!/1000</f>
        <v>#REF!</v>
      </c>
      <c r="ACO227" s="79" t="e">
        <f>(#REF!+#REF!)*#REF!/1000</f>
        <v>#REF!</v>
      </c>
      <c r="ACP227" s="79" t="e">
        <f>(#REF!+#REF!)*#REF!/1000</f>
        <v>#REF!</v>
      </c>
      <c r="ACQ227" s="79" t="e">
        <f>(#REF!+#REF!)*#REF!/1000</f>
        <v>#REF!</v>
      </c>
      <c r="ACR227" s="79" t="e">
        <f>(#REF!+#REF!)*#REF!/1000</f>
        <v>#REF!</v>
      </c>
      <c r="ACS227" s="79" t="e">
        <f>(#REF!+#REF!)*#REF!/1000</f>
        <v>#REF!</v>
      </c>
      <c r="ACT227" s="79" t="e">
        <f>(#REF!+#REF!)*#REF!/1000</f>
        <v>#REF!</v>
      </c>
      <c r="ACU227" s="79" t="e">
        <f>(#REF!+#REF!)*#REF!/1000</f>
        <v>#REF!</v>
      </c>
      <c r="ACV227" s="79" t="e">
        <f>(#REF!+#REF!)*#REF!/1000</f>
        <v>#REF!</v>
      </c>
      <c r="ACW227" s="79" t="e">
        <f>(#REF!+#REF!)*#REF!/1000</f>
        <v>#REF!</v>
      </c>
      <c r="ACX227" s="79" t="e">
        <f>(#REF!+#REF!)*#REF!/1000</f>
        <v>#REF!</v>
      </c>
      <c r="ACY227" s="79"/>
      <c r="ACZ227" s="79"/>
      <c r="ADA227" s="79"/>
      <c r="ADB227" s="79"/>
      <c r="ADC227" s="79"/>
      <c r="ADD227" s="79"/>
      <c r="ADE227" s="79"/>
      <c r="ADF227" s="79"/>
      <c r="ADG227" s="79"/>
      <c r="ADH227" s="79"/>
      <c r="ADI227" s="79"/>
      <c r="ADJ227" s="79"/>
      <c r="ADK227" s="79"/>
      <c r="ADL227" s="79"/>
      <c r="ADM227" s="79"/>
      <c r="ADN227" s="79"/>
      <c r="AQP227" s="165"/>
    </row>
    <row r="228" spans="4:794 1134:1134" ht="14.25" x14ac:dyDescent="0.45">
      <c r="D228" t="s">
        <v>410</v>
      </c>
      <c r="E228" s="79" t="e">
        <f>(#REF!+#REF!)*#REF!/1000</f>
        <v>#REF!</v>
      </c>
      <c r="F228" s="79" t="e">
        <f>(#REF!+#REF!)*#REF!/1000</f>
        <v>#REF!</v>
      </c>
      <c r="G228" s="79" t="e">
        <f>(#REF!+#REF!)*#REF!/1000</f>
        <v>#REF!</v>
      </c>
      <c r="H228" s="79" t="e">
        <f>(#REF!+#REF!)*#REF!/1000</f>
        <v>#REF!</v>
      </c>
      <c r="I228" s="79" t="e">
        <f>(#REF!+#REF!)*#REF!/1000</f>
        <v>#REF!</v>
      </c>
      <c r="J228" s="79" t="e">
        <f>(#REF!+#REF!)*#REF!/1000</f>
        <v>#REF!</v>
      </c>
      <c r="K228" s="79" t="e">
        <f>(#REF!+#REF!)*#REF!/1000</f>
        <v>#REF!</v>
      </c>
      <c r="L228" s="79" t="e">
        <f>(#REF!+#REF!)*#REF!/1000</f>
        <v>#REF!</v>
      </c>
      <c r="M228" s="79" t="e">
        <f>(#REF!+#REF!)*#REF!/1000</f>
        <v>#REF!</v>
      </c>
      <c r="N228" s="79" t="e">
        <f>(#REF!+#REF!)*#REF!/1000</f>
        <v>#REF!</v>
      </c>
      <c r="O228" s="79" t="e">
        <f>(#REF!+#REF!)*#REF!/1000</f>
        <v>#REF!</v>
      </c>
      <c r="P228" s="79" t="e">
        <f>(#REF!+#REF!)*#REF!/1000</f>
        <v>#REF!</v>
      </c>
      <c r="Q228" s="79" t="e">
        <f>(#REF!+#REF!)*#REF!/1000</f>
        <v>#REF!</v>
      </c>
      <c r="R228" s="79" t="e">
        <f>(#REF!+#REF!)*#REF!/1000</f>
        <v>#REF!</v>
      </c>
      <c r="S228" s="79" t="e">
        <f>(#REF!+#REF!)*#REF!/1000</f>
        <v>#REF!</v>
      </c>
      <c r="T228" s="79" t="e">
        <f>(#REF!+#REF!)*#REF!/1000</f>
        <v>#REF!</v>
      </c>
      <c r="U228" s="79" t="e">
        <f>(#REF!+#REF!)*#REF!/1000</f>
        <v>#REF!</v>
      </c>
      <c r="V228" s="79" t="e">
        <f>(#REF!+#REF!)*#REF!/1000</f>
        <v>#REF!</v>
      </c>
      <c r="W228" s="79" t="e">
        <f>(#REF!+#REF!)*#REF!/1000</f>
        <v>#REF!</v>
      </c>
      <c r="X228" s="79" t="e">
        <f>(#REF!+#REF!)*#REF!/1000</f>
        <v>#REF!</v>
      </c>
      <c r="Y228" s="79" t="e">
        <f>(#REF!+#REF!)*#REF!/1000</f>
        <v>#REF!</v>
      </c>
      <c r="Z228" s="79" t="e">
        <f>(#REF!+#REF!)*#REF!/1000</f>
        <v>#REF!</v>
      </c>
      <c r="AA228" s="79" t="e">
        <f>(#REF!+#REF!)*#REF!/1000</f>
        <v>#REF!</v>
      </c>
      <c r="AB228" s="79" t="e">
        <f>(#REF!+#REF!)*#REF!/1000</f>
        <v>#REF!</v>
      </c>
      <c r="AC228" s="79" t="e">
        <f>(#REF!+#REF!)*#REF!/1000</f>
        <v>#REF!</v>
      </c>
      <c r="AD228" s="79" t="e">
        <f>(#REF!+#REF!)*#REF!/1000</f>
        <v>#REF!</v>
      </c>
      <c r="AE228" s="79" t="e">
        <f>(#REF!+#REF!)*#REF!/1000</f>
        <v>#REF!</v>
      </c>
      <c r="AF228" s="79" t="e">
        <f>(#REF!+#REF!)*#REF!/1000</f>
        <v>#REF!</v>
      </c>
      <c r="AG228" s="79" t="e">
        <f>(#REF!+#REF!)*#REF!/1000</f>
        <v>#REF!</v>
      </c>
      <c r="AH228" s="79" t="e">
        <f>(#REF!+#REF!)*#REF!/1000</f>
        <v>#REF!</v>
      </c>
      <c r="AI228" s="79" t="e">
        <f>(#REF!+#REF!)*#REF!/1000</f>
        <v>#REF!</v>
      </c>
      <c r="AJ228" s="79" t="e">
        <f>(#REF!+#REF!)*#REF!/1000</f>
        <v>#REF!</v>
      </c>
      <c r="AK228" s="79" t="e">
        <f>(#REF!+#REF!)*#REF!/1000</f>
        <v>#REF!</v>
      </c>
      <c r="AL228" s="79" t="e">
        <f>(#REF!+#REF!)*#REF!/1000</f>
        <v>#REF!</v>
      </c>
      <c r="AM228" s="79" t="e">
        <f>(#REF!+#REF!)*#REF!/1000</f>
        <v>#REF!</v>
      </c>
      <c r="AN228" s="79" t="e">
        <f>(#REF!+#REF!)*#REF!/1000</f>
        <v>#REF!</v>
      </c>
      <c r="AO228" s="79" t="e">
        <f>(#REF!+#REF!)*#REF!/1000</f>
        <v>#REF!</v>
      </c>
      <c r="AP228" s="79" t="e">
        <f>(#REF!+#REF!)*#REF!/1000</f>
        <v>#REF!</v>
      </c>
      <c r="AQ228" s="79" t="e">
        <f>(#REF!+#REF!)*#REF!/1000</f>
        <v>#REF!</v>
      </c>
      <c r="AR228" s="79" t="e">
        <f>(#REF!+#REF!)*#REF!/1000</f>
        <v>#REF!</v>
      </c>
      <c r="AS228" s="79" t="e">
        <f>(#REF!+#REF!)*#REF!/1000</f>
        <v>#REF!</v>
      </c>
      <c r="AT228" s="79" t="e">
        <f>(#REF!+#REF!)*#REF!/1000</f>
        <v>#REF!</v>
      </c>
      <c r="AU228" s="79" t="e">
        <f>(#REF!+#REF!)*#REF!/1000</f>
        <v>#REF!</v>
      </c>
      <c r="AV228" s="79" t="e">
        <f>(#REF!+#REF!)*#REF!/1000</f>
        <v>#REF!</v>
      </c>
      <c r="AW228" s="79" t="e">
        <f>(#REF!+#REF!)*#REF!/1000</f>
        <v>#REF!</v>
      </c>
      <c r="AX228" s="79" t="e">
        <f>(#REF!+#REF!)*#REF!/1000</f>
        <v>#REF!</v>
      </c>
      <c r="AY228" s="79" t="e">
        <f>(#REF!+#REF!)*#REF!/1000</f>
        <v>#REF!</v>
      </c>
      <c r="AZ228" s="79" t="e">
        <f>(#REF!+#REF!)*#REF!/1000</f>
        <v>#REF!</v>
      </c>
      <c r="BA228" s="79" t="e">
        <f>(#REF!+#REF!)*#REF!/1000</f>
        <v>#REF!</v>
      </c>
      <c r="BB228" s="79" t="e">
        <f>(#REF!+#REF!)*#REF!/1000</f>
        <v>#REF!</v>
      </c>
      <c r="BC228" s="79" t="e">
        <f>(#REF!+#REF!)*#REF!/1000</f>
        <v>#REF!</v>
      </c>
      <c r="BD228" s="79" t="e">
        <f>(#REF!+#REF!)*#REF!/1000</f>
        <v>#REF!</v>
      </c>
      <c r="BE228" s="79" t="e">
        <f>(#REF!+#REF!)*#REF!/1000</f>
        <v>#REF!</v>
      </c>
      <c r="BF228" s="79" t="e">
        <f>(#REF!+#REF!)*#REF!/1000</f>
        <v>#REF!</v>
      </c>
      <c r="BG228" s="79" t="e">
        <f>(#REF!+#REF!)*#REF!/1000</f>
        <v>#REF!</v>
      </c>
      <c r="BH228" s="79" t="e">
        <f>(#REF!+#REF!)*#REF!/1000</f>
        <v>#REF!</v>
      </c>
      <c r="BI228" s="79" t="e">
        <f>(#REF!+#REF!)*#REF!/1000</f>
        <v>#REF!</v>
      </c>
      <c r="BJ228" s="79" t="e">
        <f>(#REF!+#REF!)*#REF!/1000</f>
        <v>#REF!</v>
      </c>
      <c r="BK228" s="79" t="e">
        <f>(#REF!+#REF!)*#REF!/1000</f>
        <v>#REF!</v>
      </c>
      <c r="BL228" s="79" t="e">
        <f>(#REF!+#REF!)*#REF!/1000</f>
        <v>#REF!</v>
      </c>
      <c r="BM228" s="79" t="e">
        <f>(#REF!+#REF!)*#REF!/1000</f>
        <v>#REF!</v>
      </c>
      <c r="BN228" s="79" t="e">
        <f>(#REF!+#REF!)*#REF!/1000</f>
        <v>#REF!</v>
      </c>
      <c r="BO228" s="79" t="e">
        <f>(#REF!+#REF!)*#REF!/1000</f>
        <v>#REF!</v>
      </c>
      <c r="BP228" s="79" t="e">
        <f>(#REF!+#REF!)*#REF!/1000</f>
        <v>#REF!</v>
      </c>
      <c r="BQ228" s="79" t="e">
        <f>(#REF!+#REF!)*#REF!/1000</f>
        <v>#REF!</v>
      </c>
      <c r="BR228" s="79" t="e">
        <f>(#REF!+#REF!)*#REF!/1000</f>
        <v>#REF!</v>
      </c>
      <c r="BS228" s="79" t="e">
        <f>(#REF!+#REF!)*#REF!/1000</f>
        <v>#REF!</v>
      </c>
      <c r="BT228" s="79" t="e">
        <f>(#REF!+#REF!)*#REF!/1000</f>
        <v>#REF!</v>
      </c>
      <c r="BU228" s="79" t="e">
        <f>(#REF!+#REF!)*#REF!/1000</f>
        <v>#REF!</v>
      </c>
      <c r="BV228" s="79" t="e">
        <f>(#REF!+#REF!)*#REF!/1000</f>
        <v>#REF!</v>
      </c>
      <c r="BW228" s="79" t="e">
        <f>(#REF!+#REF!)*#REF!/1000</f>
        <v>#REF!</v>
      </c>
      <c r="BX228" s="79" t="e">
        <f>(#REF!+#REF!)*#REF!/1000</f>
        <v>#REF!</v>
      </c>
      <c r="BY228" s="79" t="e">
        <f>(#REF!+#REF!)*#REF!/1000</f>
        <v>#REF!</v>
      </c>
      <c r="BZ228" s="79" t="e">
        <f>(#REF!+#REF!)*#REF!/1000</f>
        <v>#REF!</v>
      </c>
      <c r="CA228" s="79" t="e">
        <f>(#REF!+#REF!)*#REF!/1000</f>
        <v>#REF!</v>
      </c>
      <c r="CB228" s="79" t="e">
        <f>(#REF!+#REF!)*#REF!/1000</f>
        <v>#REF!</v>
      </c>
      <c r="CC228" s="79" t="e">
        <f>(#REF!+#REF!)*#REF!/1000</f>
        <v>#REF!</v>
      </c>
      <c r="CD228" s="79" t="e">
        <f>(#REF!+#REF!)*#REF!/1000</f>
        <v>#REF!</v>
      </c>
      <c r="CE228" s="79" t="e">
        <f>(#REF!+#REF!)*#REF!/1000</f>
        <v>#REF!</v>
      </c>
      <c r="CF228" s="79" t="e">
        <f>(#REF!+#REF!)*#REF!/1000</f>
        <v>#REF!</v>
      </c>
      <c r="CG228" s="79" t="e">
        <f>(#REF!+#REF!)*#REF!/1000</f>
        <v>#REF!</v>
      </c>
      <c r="CH228" s="79" t="e">
        <f>(#REF!+#REF!)*#REF!/1000</f>
        <v>#REF!</v>
      </c>
      <c r="CI228" s="79" t="e">
        <f>(#REF!+#REF!)*#REF!/1000</f>
        <v>#REF!</v>
      </c>
      <c r="CJ228" s="79" t="e">
        <f>(#REF!+#REF!)*#REF!/1000</f>
        <v>#REF!</v>
      </c>
      <c r="CK228" s="79" t="e">
        <f>(#REF!+#REF!)*#REF!/1000</f>
        <v>#REF!</v>
      </c>
      <c r="CL228" s="79" t="e">
        <f>(#REF!+#REF!)*#REF!/1000</f>
        <v>#REF!</v>
      </c>
      <c r="CM228" s="79" t="e">
        <f>(#REF!+#REF!)*#REF!/1000</f>
        <v>#REF!</v>
      </c>
      <c r="CN228" s="79" t="e">
        <f>(#REF!+#REF!)*#REF!/1000</f>
        <v>#REF!</v>
      </c>
      <c r="CO228" s="79" t="e">
        <f>(#REF!+#REF!)*#REF!/1000</f>
        <v>#REF!</v>
      </c>
      <c r="CP228" s="79" t="e">
        <f>(#REF!+#REF!)*#REF!/1000</f>
        <v>#REF!</v>
      </c>
      <c r="CQ228" s="79" t="e">
        <f>(#REF!+#REF!)*#REF!/1000</f>
        <v>#REF!</v>
      </c>
      <c r="CR228" s="79" t="e">
        <f>(#REF!+#REF!)*#REF!/1000</f>
        <v>#REF!</v>
      </c>
      <c r="CS228" s="79" t="e">
        <f>(#REF!+#REF!)*#REF!/1000</f>
        <v>#REF!</v>
      </c>
      <c r="CT228" s="79" t="e">
        <f>(#REF!+#REF!)*#REF!/1000</f>
        <v>#REF!</v>
      </c>
      <c r="CU228" s="79" t="e">
        <f>(#REF!+#REF!)*#REF!/1000</f>
        <v>#REF!</v>
      </c>
      <c r="CV228" s="79" t="e">
        <f>(#REF!+#REF!)*#REF!/1000</f>
        <v>#REF!</v>
      </c>
      <c r="CW228" s="79" t="e">
        <f>(#REF!+#REF!)*#REF!/1000</f>
        <v>#REF!</v>
      </c>
      <c r="CX228" s="79" t="e">
        <f>(#REF!+#REF!)*#REF!/1000</f>
        <v>#REF!</v>
      </c>
      <c r="CY228" s="79" t="e">
        <f>(#REF!+#REF!)*#REF!/1000</f>
        <v>#REF!</v>
      </c>
      <c r="CZ228" s="79" t="e">
        <f>(#REF!+#REF!)*#REF!/1000</f>
        <v>#REF!</v>
      </c>
      <c r="DA228" s="79" t="e">
        <f>(#REF!+#REF!)*#REF!/1000</f>
        <v>#REF!</v>
      </c>
      <c r="DB228" s="79" t="e">
        <f>(#REF!+#REF!)*#REF!/1000</f>
        <v>#REF!</v>
      </c>
      <c r="DC228" s="79" t="e">
        <f>(#REF!+#REF!)*#REF!/1000</f>
        <v>#REF!</v>
      </c>
      <c r="DD228" s="79" t="e">
        <f>(#REF!+#REF!)*#REF!/1000</f>
        <v>#REF!</v>
      </c>
      <c r="DE228" s="79" t="e">
        <f>(#REF!+#REF!)*#REF!/1000</f>
        <v>#REF!</v>
      </c>
      <c r="DF228" s="79" t="e">
        <f>(#REF!+#REF!)*#REF!/1000</f>
        <v>#REF!</v>
      </c>
      <c r="DG228" s="79" t="e">
        <f>(#REF!+#REF!)*#REF!/1000</f>
        <v>#REF!</v>
      </c>
      <c r="DH228" s="79" t="e">
        <f>(#REF!+#REF!)*#REF!/1000</f>
        <v>#REF!</v>
      </c>
      <c r="DI228" s="79" t="e">
        <f>(#REF!+#REF!)*#REF!/1000</f>
        <v>#REF!</v>
      </c>
      <c r="DJ228" s="79" t="e">
        <f>(#REF!+#REF!)*#REF!/1000</f>
        <v>#REF!</v>
      </c>
      <c r="DK228" s="79" t="e">
        <f>(#REF!+#REF!)*#REF!/1000</f>
        <v>#REF!</v>
      </c>
      <c r="DL228" s="79" t="e">
        <f>(#REF!+#REF!)*#REF!/1000</f>
        <v>#REF!</v>
      </c>
      <c r="DM228" s="79" t="e">
        <f>(#REF!+#REF!)*#REF!/1000</f>
        <v>#REF!</v>
      </c>
      <c r="DN228" s="79" t="e">
        <f>(#REF!+#REF!)*#REF!/1000</f>
        <v>#REF!</v>
      </c>
      <c r="DO228" s="79" t="e">
        <f>(#REF!+#REF!)*#REF!/1000</f>
        <v>#REF!</v>
      </c>
      <c r="DP228" s="79" t="e">
        <f>(#REF!+#REF!)*#REF!/1000</f>
        <v>#REF!</v>
      </c>
      <c r="DQ228" s="79" t="e">
        <f>(#REF!+#REF!)*#REF!/1000</f>
        <v>#REF!</v>
      </c>
      <c r="DR228" s="79" t="e">
        <f>(#REF!+#REF!)*#REF!/1000</f>
        <v>#REF!</v>
      </c>
      <c r="DS228" s="79" t="e">
        <f>(#REF!+#REF!)*#REF!/1000</f>
        <v>#REF!</v>
      </c>
      <c r="DT228" s="79" t="e">
        <f>(#REF!+#REF!)*#REF!/1000</f>
        <v>#REF!</v>
      </c>
      <c r="DU228" s="79" t="e">
        <f>(#REF!+#REF!)*#REF!/1000</f>
        <v>#REF!</v>
      </c>
      <c r="DV228" s="79" t="e">
        <f>(#REF!+#REF!)*#REF!/1000</f>
        <v>#REF!</v>
      </c>
      <c r="DW228" s="79" t="e">
        <f>(#REF!+#REF!)*#REF!/1000</f>
        <v>#REF!</v>
      </c>
      <c r="DX228" s="79" t="e">
        <f>(#REF!+#REF!)*#REF!/1000</f>
        <v>#REF!</v>
      </c>
      <c r="DY228" s="79" t="e">
        <f>(#REF!+#REF!)*#REF!/1000</f>
        <v>#REF!</v>
      </c>
      <c r="DZ228" s="79" t="e">
        <f>(#REF!+#REF!)*#REF!/1000</f>
        <v>#REF!</v>
      </c>
      <c r="EA228" s="79" t="e">
        <f>(#REF!+#REF!)*#REF!/1000</f>
        <v>#REF!</v>
      </c>
      <c r="EB228" s="79" t="e">
        <f>(#REF!+#REF!)*#REF!/1000</f>
        <v>#REF!</v>
      </c>
      <c r="EC228" s="79" t="e">
        <f>(#REF!+#REF!)*#REF!/1000</f>
        <v>#REF!</v>
      </c>
      <c r="ED228" s="79" t="e">
        <f>(#REF!+#REF!)*#REF!/1000</f>
        <v>#REF!</v>
      </c>
      <c r="EE228" s="79" t="e">
        <f>(#REF!+#REF!)*#REF!/1000</f>
        <v>#REF!</v>
      </c>
      <c r="EF228" s="79" t="e">
        <f>(#REF!+#REF!)*#REF!/1000</f>
        <v>#REF!</v>
      </c>
      <c r="EG228" s="79" t="e">
        <f>(#REF!+#REF!)*#REF!/1000</f>
        <v>#REF!</v>
      </c>
      <c r="EH228" s="79" t="e">
        <f>(#REF!+#REF!)*#REF!/1000</f>
        <v>#REF!</v>
      </c>
      <c r="EI228" s="79" t="e">
        <f>(#REF!+#REF!)*#REF!/1000</f>
        <v>#REF!</v>
      </c>
      <c r="EJ228" s="79" t="e">
        <f>(#REF!+#REF!)*#REF!/1000</f>
        <v>#REF!</v>
      </c>
      <c r="EK228" s="79" t="e">
        <f>(#REF!+#REF!)*#REF!/1000</f>
        <v>#REF!</v>
      </c>
      <c r="EL228" s="79" t="e">
        <f>(#REF!+#REF!)*#REF!/1000</f>
        <v>#REF!</v>
      </c>
      <c r="EM228" s="79" t="e">
        <f>(#REF!+#REF!)*#REF!/1000</f>
        <v>#REF!</v>
      </c>
      <c r="EN228" s="79" t="e">
        <f>(#REF!+#REF!)*#REF!/1000</f>
        <v>#REF!</v>
      </c>
      <c r="EO228" s="79" t="e">
        <f>(#REF!+#REF!)*#REF!/1000</f>
        <v>#REF!</v>
      </c>
      <c r="EP228" s="79" t="e">
        <f>(#REF!+#REF!)*#REF!/1000</f>
        <v>#REF!</v>
      </c>
      <c r="EQ228" s="79" t="e">
        <f>(#REF!+#REF!)*#REF!/1000</f>
        <v>#REF!</v>
      </c>
      <c r="ER228" s="79" t="e">
        <f>(#REF!+#REF!)*#REF!/1000</f>
        <v>#REF!</v>
      </c>
      <c r="ES228" s="79" t="e">
        <f>(#REF!+#REF!)*#REF!/1000</f>
        <v>#REF!</v>
      </c>
      <c r="ET228" s="79" t="e">
        <f>(#REF!+#REF!)*#REF!/1000</f>
        <v>#REF!</v>
      </c>
      <c r="EU228" s="79" t="e">
        <f>(#REF!+#REF!)*#REF!/1000</f>
        <v>#REF!</v>
      </c>
      <c r="EV228" s="79" t="e">
        <f>(#REF!+#REF!)*#REF!/1000</f>
        <v>#REF!</v>
      </c>
      <c r="EW228" s="79" t="e">
        <f>(#REF!+#REF!)*#REF!/1000</f>
        <v>#REF!</v>
      </c>
      <c r="EX228" s="79" t="e">
        <f>(#REF!+#REF!)*#REF!/1000</f>
        <v>#REF!</v>
      </c>
      <c r="EY228" s="79" t="e">
        <f>(#REF!+#REF!)*#REF!/1000</f>
        <v>#REF!</v>
      </c>
      <c r="EZ228" s="79" t="e">
        <f>(#REF!+#REF!)*#REF!/1000</f>
        <v>#REF!</v>
      </c>
      <c r="FA228" s="79" t="e">
        <f>(#REF!+#REF!)*#REF!/1000</f>
        <v>#REF!</v>
      </c>
      <c r="FB228" s="79" t="e">
        <f>(#REF!+#REF!)*#REF!/1000</f>
        <v>#REF!</v>
      </c>
      <c r="FC228" s="79" t="e">
        <f>(#REF!+#REF!)*#REF!/1000</f>
        <v>#REF!</v>
      </c>
      <c r="FD228" s="79" t="e">
        <f>(#REF!+#REF!)*#REF!/1000</f>
        <v>#REF!</v>
      </c>
      <c r="FE228" s="79" t="e">
        <f>(#REF!+#REF!)*#REF!/1000</f>
        <v>#REF!</v>
      </c>
      <c r="FF228" s="79" t="e">
        <f>(#REF!+#REF!)*#REF!/1000</f>
        <v>#REF!</v>
      </c>
      <c r="FG228" s="79" t="e">
        <f>(#REF!+#REF!)*#REF!/1000</f>
        <v>#REF!</v>
      </c>
      <c r="FH228" s="79" t="e">
        <f>(#REF!+#REF!)*#REF!/1000</f>
        <v>#REF!</v>
      </c>
      <c r="FI228" s="79" t="e">
        <f>(#REF!+#REF!)*#REF!/1000</f>
        <v>#REF!</v>
      </c>
      <c r="FJ228" s="79" t="e">
        <f>(#REF!+#REF!)*#REF!/1000</f>
        <v>#REF!</v>
      </c>
      <c r="FK228" s="79" t="e">
        <f>(#REF!+#REF!)*#REF!/1000</f>
        <v>#REF!</v>
      </c>
      <c r="FL228" s="79" t="e">
        <f>(#REF!+#REF!)*#REF!/1000</f>
        <v>#REF!</v>
      </c>
      <c r="FM228" s="79" t="e">
        <f>(#REF!+#REF!)*#REF!/1000</f>
        <v>#REF!</v>
      </c>
      <c r="FN228" s="79" t="e">
        <f>(#REF!+#REF!)*#REF!/1000</f>
        <v>#REF!</v>
      </c>
      <c r="FO228" s="79" t="e">
        <f>(#REF!+#REF!)*#REF!/1000</f>
        <v>#REF!</v>
      </c>
      <c r="FP228" s="79" t="e">
        <f>(#REF!+#REF!)*#REF!/1000</f>
        <v>#REF!</v>
      </c>
      <c r="FQ228" s="79" t="e">
        <f>(#REF!+#REF!)*#REF!/1000</f>
        <v>#REF!</v>
      </c>
      <c r="FR228" s="79" t="e">
        <f>(#REF!+#REF!)*#REF!/1000</f>
        <v>#REF!</v>
      </c>
      <c r="FS228" s="79" t="e">
        <f>(#REF!+#REF!)*#REF!/1000</f>
        <v>#REF!</v>
      </c>
      <c r="FT228" s="79" t="e">
        <f>(#REF!+#REF!)*#REF!/1000</f>
        <v>#REF!</v>
      </c>
      <c r="FU228" s="79" t="e">
        <f>(#REF!+#REF!)*#REF!/1000</f>
        <v>#REF!</v>
      </c>
      <c r="FV228" s="79" t="e">
        <f>(#REF!+#REF!)*#REF!/1000</f>
        <v>#REF!</v>
      </c>
      <c r="FW228" s="79" t="e">
        <f>(#REF!+#REF!)*#REF!/1000</f>
        <v>#REF!</v>
      </c>
      <c r="FX228" s="79" t="e">
        <f>(#REF!+#REF!)*#REF!/1000</f>
        <v>#REF!</v>
      </c>
      <c r="FY228" s="79" t="e">
        <f>(#REF!+#REF!)*#REF!/1000</f>
        <v>#REF!</v>
      </c>
      <c r="FZ228" s="79" t="e">
        <f>(#REF!+#REF!)*#REF!/1000</f>
        <v>#REF!</v>
      </c>
      <c r="GA228" s="79" t="e">
        <f>(#REF!+#REF!)*#REF!/1000</f>
        <v>#REF!</v>
      </c>
      <c r="GB228" s="79" t="e">
        <f>(#REF!+#REF!)*#REF!/1000</f>
        <v>#REF!</v>
      </c>
      <c r="GC228" s="79" t="e">
        <f>(#REF!+#REF!)*#REF!/1000</f>
        <v>#REF!</v>
      </c>
      <c r="GD228" s="79" t="e">
        <f>(#REF!+#REF!)*#REF!/1000</f>
        <v>#REF!</v>
      </c>
      <c r="GE228" s="79" t="e">
        <f>(#REF!+#REF!)*#REF!/1000</f>
        <v>#REF!</v>
      </c>
      <c r="GF228" s="79" t="e">
        <f>(#REF!+#REF!)*#REF!/1000</f>
        <v>#REF!</v>
      </c>
      <c r="GG228" s="79" t="e">
        <f>(#REF!+#REF!)*#REF!/1000</f>
        <v>#REF!</v>
      </c>
      <c r="GH228" s="79" t="e">
        <f>(#REF!+#REF!)*#REF!/1000</f>
        <v>#REF!</v>
      </c>
      <c r="GI228" s="79" t="e">
        <f>(#REF!+#REF!)*#REF!/1000</f>
        <v>#REF!</v>
      </c>
      <c r="GJ228" s="79" t="e">
        <f>(#REF!+#REF!)*#REF!/1000</f>
        <v>#REF!</v>
      </c>
      <c r="GK228" s="79" t="e">
        <f>(#REF!+#REF!)*#REF!/1000</f>
        <v>#REF!</v>
      </c>
      <c r="GL228" s="79" t="e">
        <f>(#REF!+#REF!)*#REF!/1000</f>
        <v>#REF!</v>
      </c>
      <c r="GM228" s="79" t="e">
        <f>(#REF!+#REF!)*#REF!/1000</f>
        <v>#REF!</v>
      </c>
      <c r="GN228" s="79" t="e">
        <f>(#REF!+#REF!)*#REF!/1000</f>
        <v>#REF!</v>
      </c>
      <c r="GO228" s="79" t="e">
        <f>(#REF!+#REF!)*#REF!/1000</f>
        <v>#REF!</v>
      </c>
      <c r="GP228" s="79" t="e">
        <f>(#REF!+#REF!)*#REF!/1000</f>
        <v>#REF!</v>
      </c>
      <c r="GQ228" s="79" t="e">
        <f>(#REF!+#REF!)*#REF!/1000</f>
        <v>#REF!</v>
      </c>
      <c r="GR228" s="79" t="e">
        <f>(#REF!+#REF!)*#REF!/1000</f>
        <v>#REF!</v>
      </c>
      <c r="GS228" s="79" t="e">
        <f>(#REF!+#REF!)*#REF!/1000</f>
        <v>#REF!</v>
      </c>
      <c r="GT228" s="79" t="e">
        <f>(#REF!+#REF!)*#REF!/1000</f>
        <v>#REF!</v>
      </c>
      <c r="GU228" s="79" t="e">
        <f>(#REF!+#REF!)*#REF!/1000</f>
        <v>#REF!</v>
      </c>
      <c r="GV228" s="79" t="e">
        <f>(#REF!+#REF!)*#REF!/1000</f>
        <v>#REF!</v>
      </c>
      <c r="GW228" s="79" t="e">
        <f>(#REF!+#REF!)*#REF!/1000</f>
        <v>#REF!</v>
      </c>
      <c r="GX228" s="79" t="e">
        <f>(#REF!+#REF!)*#REF!/1000</f>
        <v>#REF!</v>
      </c>
      <c r="GY228" s="79" t="e">
        <f>(#REF!+#REF!)*#REF!/1000</f>
        <v>#REF!</v>
      </c>
      <c r="GZ228" s="79" t="e">
        <f>(#REF!+#REF!)*#REF!/1000</f>
        <v>#REF!</v>
      </c>
      <c r="HA228" s="79" t="e">
        <f>(#REF!+#REF!)*#REF!/1000</f>
        <v>#REF!</v>
      </c>
      <c r="HB228" s="79" t="e">
        <f>(#REF!+#REF!)*#REF!/1000</f>
        <v>#REF!</v>
      </c>
      <c r="HC228" s="79" t="e">
        <f>(#REF!+#REF!)*#REF!/1000</f>
        <v>#REF!</v>
      </c>
      <c r="HD228" s="79" t="e">
        <f>(#REF!+#REF!)*#REF!/1000</f>
        <v>#REF!</v>
      </c>
      <c r="HE228" s="79" t="e">
        <f>(#REF!+#REF!)*#REF!/1000</f>
        <v>#REF!</v>
      </c>
      <c r="HF228" s="79" t="e">
        <f>(#REF!+#REF!)*#REF!/1000</f>
        <v>#REF!</v>
      </c>
      <c r="HG228" s="79" t="e">
        <f>(#REF!+#REF!)*#REF!/1000</f>
        <v>#REF!</v>
      </c>
      <c r="HH228" s="79" t="e">
        <f>(#REF!+#REF!)*#REF!/1000</f>
        <v>#REF!</v>
      </c>
      <c r="HI228" s="79" t="e">
        <f>(#REF!+#REF!)*#REF!/1000</f>
        <v>#REF!</v>
      </c>
      <c r="HJ228" s="79" t="e">
        <f>(#REF!+#REF!)*#REF!/1000</f>
        <v>#REF!</v>
      </c>
      <c r="HK228" s="79" t="e">
        <f>(#REF!+#REF!)*#REF!/1000</f>
        <v>#REF!</v>
      </c>
      <c r="HL228" s="79" t="e">
        <f>(#REF!+#REF!)*#REF!/1000</f>
        <v>#REF!</v>
      </c>
      <c r="HM228" s="79" t="e">
        <f>(#REF!+#REF!)*#REF!/1000</f>
        <v>#REF!</v>
      </c>
      <c r="HN228" s="79" t="e">
        <f>(#REF!+#REF!)*#REF!/1000</f>
        <v>#REF!</v>
      </c>
      <c r="HO228" s="79" t="e">
        <f>(#REF!+#REF!)*#REF!/1000</f>
        <v>#REF!</v>
      </c>
      <c r="HP228" s="79" t="e">
        <f>(#REF!+#REF!)*#REF!/1000</f>
        <v>#REF!</v>
      </c>
      <c r="HQ228" s="79" t="e">
        <f>(#REF!+#REF!)*#REF!/1000</f>
        <v>#REF!</v>
      </c>
      <c r="HR228" s="79" t="e">
        <f>(#REF!+#REF!)*#REF!/1000</f>
        <v>#REF!</v>
      </c>
      <c r="HS228" s="79" t="e">
        <f>(#REF!+#REF!)*#REF!/1000</f>
        <v>#REF!</v>
      </c>
      <c r="HT228" s="79" t="e">
        <f>(#REF!+#REF!)*#REF!/1000</f>
        <v>#REF!</v>
      </c>
      <c r="HU228" s="79" t="e">
        <f>(#REF!+#REF!)*#REF!/1000</f>
        <v>#REF!</v>
      </c>
      <c r="HV228" s="79" t="e">
        <f>(#REF!+#REF!)*#REF!/1000</f>
        <v>#REF!</v>
      </c>
      <c r="HW228" s="79" t="e">
        <f>(#REF!+#REF!)*#REF!/1000</f>
        <v>#REF!</v>
      </c>
      <c r="HX228" s="79" t="e">
        <f>(#REF!+#REF!)*#REF!/1000</f>
        <v>#REF!</v>
      </c>
      <c r="HY228" s="79" t="e">
        <f>(#REF!+#REF!)*#REF!/1000</f>
        <v>#REF!</v>
      </c>
      <c r="HZ228" s="79" t="e">
        <f>(#REF!+#REF!)*#REF!/1000</f>
        <v>#REF!</v>
      </c>
      <c r="IA228" s="79" t="e">
        <f>(#REF!+#REF!)*#REF!/1000</f>
        <v>#REF!</v>
      </c>
      <c r="IB228" s="79" t="e">
        <f>(#REF!+#REF!)*#REF!/1000</f>
        <v>#REF!</v>
      </c>
      <c r="IC228" s="79" t="e">
        <f>(#REF!+#REF!)*#REF!/1000</f>
        <v>#REF!</v>
      </c>
      <c r="ID228" s="79" t="e">
        <f>(#REF!+#REF!)*#REF!/1000</f>
        <v>#REF!</v>
      </c>
      <c r="IE228" s="79" t="e">
        <f>(#REF!+#REF!)*#REF!/1000</f>
        <v>#REF!</v>
      </c>
      <c r="IF228" s="79" t="e">
        <f>(#REF!+#REF!)*#REF!/1000</f>
        <v>#REF!</v>
      </c>
      <c r="IG228" s="79" t="e">
        <f>(#REF!+#REF!)*#REF!/1000</f>
        <v>#REF!</v>
      </c>
      <c r="IH228" s="79" t="e">
        <f>(#REF!+#REF!)*#REF!/1000</f>
        <v>#REF!</v>
      </c>
      <c r="II228" s="79" t="e">
        <f>(#REF!+#REF!)*#REF!/1000</f>
        <v>#REF!</v>
      </c>
      <c r="IJ228" s="79" t="e">
        <f>(#REF!+#REF!)*#REF!/1000</f>
        <v>#REF!</v>
      </c>
      <c r="IK228" s="79" t="e">
        <f>(#REF!+#REF!)*#REF!/1000</f>
        <v>#REF!</v>
      </c>
      <c r="IL228" s="79" t="e">
        <f>(#REF!+#REF!)*#REF!/1000</f>
        <v>#REF!</v>
      </c>
      <c r="IM228" s="79" t="e">
        <f>(#REF!+#REF!)*#REF!/1000</f>
        <v>#REF!</v>
      </c>
      <c r="IN228" s="79" t="e">
        <f>(#REF!+#REF!)*#REF!/1000</f>
        <v>#REF!</v>
      </c>
      <c r="IO228" s="79" t="e">
        <f>(#REF!+#REF!)*#REF!/1000</f>
        <v>#REF!</v>
      </c>
      <c r="IP228" s="79" t="e">
        <f>(#REF!+#REF!)*#REF!/1000</f>
        <v>#REF!</v>
      </c>
      <c r="IQ228" s="79" t="e">
        <f>(#REF!+#REF!)*#REF!/1000</f>
        <v>#REF!</v>
      </c>
      <c r="IR228" s="79" t="e">
        <f>(#REF!+#REF!)*#REF!/1000</f>
        <v>#REF!</v>
      </c>
      <c r="IS228" s="79" t="e">
        <f>(#REF!+#REF!)*#REF!/1000</f>
        <v>#REF!</v>
      </c>
      <c r="IT228" s="79" t="e">
        <f>(#REF!+#REF!)*#REF!/1000</f>
        <v>#REF!</v>
      </c>
      <c r="IU228" s="79" t="e">
        <f>(#REF!+#REF!)*#REF!/1000</f>
        <v>#REF!</v>
      </c>
      <c r="IV228" s="79" t="e">
        <f>(#REF!+#REF!)*#REF!/1000</f>
        <v>#REF!</v>
      </c>
      <c r="IW228" s="79" t="e">
        <f>(#REF!+#REF!)*#REF!/1000</f>
        <v>#REF!</v>
      </c>
      <c r="IX228" s="79" t="e">
        <f>(#REF!+#REF!)*#REF!/1000</f>
        <v>#REF!</v>
      </c>
      <c r="IY228" s="79" t="e">
        <f>(#REF!+#REF!)*#REF!/1000</f>
        <v>#REF!</v>
      </c>
      <c r="IZ228" s="79" t="e">
        <f>(#REF!+#REF!)*#REF!/1000</f>
        <v>#REF!</v>
      </c>
      <c r="JA228" s="79" t="e">
        <f>(#REF!+#REF!)*#REF!/1000</f>
        <v>#REF!</v>
      </c>
      <c r="JB228" s="79" t="e">
        <f>(#REF!+#REF!)*#REF!/1000</f>
        <v>#REF!</v>
      </c>
      <c r="JC228" s="79" t="e">
        <f>(#REF!+#REF!)*#REF!/1000</f>
        <v>#REF!</v>
      </c>
      <c r="JD228" s="79" t="e">
        <f>(#REF!+#REF!)*#REF!/1000</f>
        <v>#REF!</v>
      </c>
      <c r="JE228" s="79" t="e">
        <f>(#REF!+#REF!)*#REF!/1000</f>
        <v>#REF!</v>
      </c>
      <c r="JF228" s="79" t="e">
        <f>(#REF!+#REF!)*#REF!/1000</f>
        <v>#REF!</v>
      </c>
      <c r="JG228" s="79" t="e">
        <f>(#REF!+#REF!)*#REF!/1000</f>
        <v>#REF!</v>
      </c>
      <c r="JH228" s="79" t="e">
        <f>(#REF!+#REF!)*#REF!/1000</f>
        <v>#REF!</v>
      </c>
      <c r="JI228" s="79" t="e">
        <f>(#REF!+#REF!)*#REF!/1000</f>
        <v>#REF!</v>
      </c>
      <c r="JJ228" s="79" t="e">
        <f>(#REF!+#REF!)*#REF!/1000</f>
        <v>#REF!</v>
      </c>
      <c r="JK228" s="79" t="e">
        <f>(#REF!+#REF!)*#REF!/1000</f>
        <v>#REF!</v>
      </c>
      <c r="JL228" s="79" t="e">
        <f>(#REF!+#REF!)*#REF!/1000</f>
        <v>#REF!</v>
      </c>
      <c r="JM228" s="79" t="e">
        <f>(#REF!+#REF!)*#REF!/1000</f>
        <v>#REF!</v>
      </c>
      <c r="JN228" s="79" t="e">
        <f>(#REF!+#REF!)*#REF!/1000</f>
        <v>#REF!</v>
      </c>
      <c r="JO228" s="79" t="e">
        <f>(#REF!+#REF!)*#REF!/1000</f>
        <v>#REF!</v>
      </c>
      <c r="JP228" s="79" t="e">
        <f>(#REF!+#REF!)*#REF!/1000</f>
        <v>#REF!</v>
      </c>
      <c r="JQ228" s="79" t="e">
        <f>(#REF!+#REF!)*#REF!/1000</f>
        <v>#REF!</v>
      </c>
      <c r="JR228" s="79" t="e">
        <f>(#REF!+#REF!)*#REF!/1000</f>
        <v>#REF!</v>
      </c>
      <c r="JS228" s="79" t="e">
        <f>(#REF!+#REF!)*#REF!/1000</f>
        <v>#REF!</v>
      </c>
      <c r="JT228" s="79" t="e">
        <f>(#REF!+#REF!)*#REF!/1000</f>
        <v>#REF!</v>
      </c>
      <c r="JU228" s="79" t="e">
        <f>(#REF!+#REF!)*#REF!/1000</f>
        <v>#REF!</v>
      </c>
      <c r="JV228" s="79" t="e">
        <f>(#REF!+#REF!)*#REF!/1000</f>
        <v>#REF!</v>
      </c>
      <c r="JW228" s="79" t="e">
        <f>(#REF!+#REF!)*#REF!/1000</f>
        <v>#REF!</v>
      </c>
      <c r="JX228" s="79" t="e">
        <f>(#REF!+#REF!)*#REF!/1000</f>
        <v>#REF!</v>
      </c>
      <c r="JY228" s="79" t="e">
        <f>(#REF!+#REF!)*#REF!/1000</f>
        <v>#REF!</v>
      </c>
      <c r="JZ228" s="79" t="e">
        <f>(#REF!+#REF!)*#REF!/1000</f>
        <v>#REF!</v>
      </c>
      <c r="KA228" s="79" t="e">
        <f>(#REF!+#REF!)*#REF!/1000</f>
        <v>#REF!</v>
      </c>
      <c r="KB228" s="79" t="e">
        <f>(#REF!+#REF!)*#REF!/1000</f>
        <v>#REF!</v>
      </c>
      <c r="KC228" s="79" t="e">
        <f>(#REF!+#REF!)*#REF!/1000</f>
        <v>#REF!</v>
      </c>
      <c r="KD228" s="79" t="e">
        <f>(#REF!+#REF!)*#REF!/1000</f>
        <v>#REF!</v>
      </c>
      <c r="KE228" s="79" t="e">
        <f>(#REF!+#REF!)*#REF!/1000</f>
        <v>#REF!</v>
      </c>
      <c r="KF228" s="79" t="e">
        <f>(#REF!+#REF!)*#REF!/1000</f>
        <v>#REF!</v>
      </c>
      <c r="KG228" s="79" t="e">
        <f>(#REF!+#REF!)*#REF!/1000</f>
        <v>#REF!</v>
      </c>
      <c r="KH228" s="79" t="e">
        <f>(#REF!+#REF!)*#REF!/1000</f>
        <v>#REF!</v>
      </c>
      <c r="KI228" s="79" t="e">
        <f>(#REF!+#REF!)*#REF!/1000</f>
        <v>#REF!</v>
      </c>
      <c r="KJ228" s="79" t="e">
        <f>(#REF!+#REF!)*#REF!/1000</f>
        <v>#REF!</v>
      </c>
      <c r="KK228" s="79" t="e">
        <f>(#REF!+#REF!)*#REF!/1000</f>
        <v>#REF!</v>
      </c>
      <c r="KL228" s="79" t="e">
        <f>(#REF!+#REF!)*#REF!/1000</f>
        <v>#REF!</v>
      </c>
      <c r="KM228" s="79" t="e">
        <f>(#REF!+#REF!)*#REF!/1000</f>
        <v>#REF!</v>
      </c>
      <c r="KN228" s="79" t="e">
        <f>(#REF!+#REF!)*#REF!/1000</f>
        <v>#REF!</v>
      </c>
      <c r="KO228" s="79" t="e">
        <f>(#REF!+#REF!)*#REF!/1000</f>
        <v>#REF!</v>
      </c>
      <c r="KP228" s="79" t="e">
        <f>(#REF!+#REF!)*#REF!/1000</f>
        <v>#REF!</v>
      </c>
      <c r="KQ228" s="79" t="e">
        <f>(#REF!+#REF!)*#REF!/1000</f>
        <v>#REF!</v>
      </c>
      <c r="KR228" s="79" t="e">
        <f>(#REF!+#REF!)*#REF!/1000</f>
        <v>#REF!</v>
      </c>
      <c r="KS228" s="79" t="e">
        <f>(#REF!+#REF!)*#REF!/1000</f>
        <v>#REF!</v>
      </c>
      <c r="KT228" s="79" t="e">
        <f>(#REF!+#REF!)*#REF!/1000</f>
        <v>#REF!</v>
      </c>
      <c r="KU228" s="79" t="e">
        <f>(#REF!+#REF!)*#REF!/1000</f>
        <v>#REF!</v>
      </c>
      <c r="KV228" s="79" t="e">
        <f>(#REF!+#REF!)*#REF!/1000</f>
        <v>#REF!</v>
      </c>
      <c r="KW228" s="79" t="e">
        <f>(#REF!+#REF!)*#REF!/1000</f>
        <v>#REF!</v>
      </c>
      <c r="KX228" s="79" t="e">
        <f>(#REF!+#REF!)*#REF!/1000</f>
        <v>#REF!</v>
      </c>
      <c r="KY228" s="79" t="e">
        <f>(#REF!+#REF!)*#REF!/1000</f>
        <v>#REF!</v>
      </c>
      <c r="KZ228" s="79" t="e">
        <f>(#REF!+#REF!)*#REF!/1000</f>
        <v>#REF!</v>
      </c>
      <c r="LA228" s="79" t="e">
        <f>(#REF!+#REF!)*#REF!/1000</f>
        <v>#REF!</v>
      </c>
      <c r="LB228" s="79" t="e">
        <f>(#REF!+#REF!)*#REF!/1000</f>
        <v>#REF!</v>
      </c>
      <c r="LC228" s="79" t="e">
        <f>(#REF!+#REF!)*#REF!/1000</f>
        <v>#REF!</v>
      </c>
      <c r="LD228" s="79" t="e">
        <f>(#REF!+#REF!)*#REF!/1000</f>
        <v>#REF!</v>
      </c>
      <c r="LE228" s="79" t="e">
        <f>(#REF!+#REF!)*#REF!/1000</f>
        <v>#REF!</v>
      </c>
      <c r="LF228" s="79" t="e">
        <f>(#REF!+#REF!)*#REF!/1000</f>
        <v>#REF!</v>
      </c>
      <c r="LG228" s="79" t="e">
        <f>(#REF!+#REF!)*#REF!/1000</f>
        <v>#REF!</v>
      </c>
      <c r="LH228" s="79" t="e">
        <f>(#REF!+#REF!)*#REF!/1000</f>
        <v>#REF!</v>
      </c>
      <c r="LI228" s="79" t="e">
        <f>(#REF!+#REF!)*#REF!/1000</f>
        <v>#REF!</v>
      </c>
      <c r="LJ228" s="79" t="e">
        <f>(#REF!+#REF!)*#REF!/1000</f>
        <v>#REF!</v>
      </c>
      <c r="LK228" s="79" t="e">
        <f>(#REF!+#REF!)*#REF!/1000</f>
        <v>#REF!</v>
      </c>
      <c r="LL228" s="79" t="e">
        <f>(#REF!+#REF!)*#REF!/1000</f>
        <v>#REF!</v>
      </c>
      <c r="LM228" s="79" t="e">
        <f>(#REF!+#REF!)*#REF!/1000</f>
        <v>#REF!</v>
      </c>
      <c r="LN228" s="79" t="e">
        <f>(#REF!+#REF!)*#REF!/1000</f>
        <v>#REF!</v>
      </c>
      <c r="LO228" s="79" t="e">
        <f>(#REF!+#REF!)*#REF!/1000</f>
        <v>#REF!</v>
      </c>
      <c r="LP228" s="79" t="e">
        <f>(#REF!+#REF!)*#REF!/1000</f>
        <v>#REF!</v>
      </c>
      <c r="LQ228" s="79" t="e">
        <f>(#REF!+#REF!)*#REF!/1000</f>
        <v>#REF!</v>
      </c>
      <c r="LR228" s="79" t="e">
        <f>(#REF!+#REF!)*#REF!/1000</f>
        <v>#REF!</v>
      </c>
      <c r="LS228" s="79" t="e">
        <f>(#REF!+#REF!)*#REF!/1000</f>
        <v>#REF!</v>
      </c>
      <c r="LT228" s="79" t="e">
        <f>(#REF!+#REF!)*#REF!/1000</f>
        <v>#REF!</v>
      </c>
      <c r="LU228" s="79" t="e">
        <f>(#REF!+#REF!)*#REF!/1000</f>
        <v>#REF!</v>
      </c>
      <c r="LV228" s="79" t="e">
        <f>(#REF!+#REF!)*#REF!/1000</f>
        <v>#REF!</v>
      </c>
      <c r="LW228" s="79" t="e">
        <f>(#REF!+#REF!)*#REF!/1000</f>
        <v>#REF!</v>
      </c>
      <c r="LX228" s="79" t="e">
        <f>(#REF!+#REF!)*#REF!/1000</f>
        <v>#REF!</v>
      </c>
      <c r="LY228" s="79" t="e">
        <f>(#REF!+#REF!)*#REF!/1000</f>
        <v>#REF!</v>
      </c>
      <c r="LZ228" s="79" t="e">
        <f>(#REF!+#REF!)*#REF!/1000</f>
        <v>#REF!</v>
      </c>
      <c r="MA228" s="79" t="e">
        <f>(#REF!+#REF!)*#REF!/1000</f>
        <v>#REF!</v>
      </c>
      <c r="MB228" s="79" t="e">
        <f>(#REF!+#REF!)*#REF!/1000</f>
        <v>#REF!</v>
      </c>
      <c r="MC228" s="79" t="e">
        <f>(#REF!+#REF!)*#REF!/1000</f>
        <v>#REF!</v>
      </c>
      <c r="MD228" s="79" t="e">
        <f>(#REF!+#REF!)*#REF!/1000</f>
        <v>#REF!</v>
      </c>
      <c r="ME228" s="79" t="e">
        <f>(#REF!+#REF!)*#REF!/1000</f>
        <v>#REF!</v>
      </c>
      <c r="MF228" s="79" t="e">
        <f>(#REF!+#REF!)*#REF!/1000</f>
        <v>#REF!</v>
      </c>
      <c r="MG228" s="79" t="e">
        <f>(#REF!+#REF!)*#REF!/1000</f>
        <v>#REF!</v>
      </c>
      <c r="MH228" s="79" t="e">
        <f>(#REF!+#REF!)*#REF!/1000</f>
        <v>#REF!</v>
      </c>
      <c r="MI228" s="79" t="e">
        <f>(#REF!+#REF!)*#REF!/1000</f>
        <v>#REF!</v>
      </c>
      <c r="MJ228" s="79" t="e">
        <f>(#REF!+#REF!)*#REF!/1000</f>
        <v>#REF!</v>
      </c>
      <c r="MK228" s="79" t="e">
        <f>(#REF!+#REF!)*#REF!/1000</f>
        <v>#REF!</v>
      </c>
      <c r="ML228" s="79" t="e">
        <f>(#REF!+#REF!)*#REF!/1000</f>
        <v>#REF!</v>
      </c>
      <c r="MM228" s="79" t="e">
        <f>(#REF!+#REF!)*#REF!/1000</f>
        <v>#REF!</v>
      </c>
      <c r="MN228" s="79" t="e">
        <f>(#REF!+#REF!)*#REF!/1000</f>
        <v>#REF!</v>
      </c>
      <c r="MO228" s="79" t="e">
        <f>(#REF!+#REF!)*#REF!/1000</f>
        <v>#REF!</v>
      </c>
      <c r="MP228" s="79" t="e">
        <f>(#REF!+#REF!)*#REF!/1000</f>
        <v>#REF!</v>
      </c>
      <c r="MQ228" s="79" t="e">
        <f>(#REF!+#REF!)*#REF!/1000</f>
        <v>#REF!</v>
      </c>
      <c r="MR228" s="79" t="e">
        <f>(#REF!+#REF!)*#REF!/1000</f>
        <v>#REF!</v>
      </c>
      <c r="MS228" s="79" t="e">
        <f>(#REF!+#REF!)*#REF!/1000</f>
        <v>#REF!</v>
      </c>
      <c r="MT228" s="79" t="e">
        <f>(#REF!+#REF!)*#REF!/1000</f>
        <v>#REF!</v>
      </c>
      <c r="MU228" s="79" t="e">
        <f>(#REF!+#REF!)*#REF!/1000</f>
        <v>#REF!</v>
      </c>
      <c r="MV228" s="79" t="e">
        <f>(#REF!+#REF!)*#REF!/1000</f>
        <v>#REF!</v>
      </c>
      <c r="MW228" s="79" t="e">
        <f>(#REF!+#REF!)*#REF!/1000</f>
        <v>#REF!</v>
      </c>
      <c r="MX228" s="79" t="e">
        <f>(#REF!+#REF!)*#REF!/1000</f>
        <v>#REF!</v>
      </c>
      <c r="MY228" s="79" t="e">
        <f>(#REF!+#REF!)*#REF!/1000</f>
        <v>#REF!</v>
      </c>
      <c r="MZ228" s="79" t="e">
        <f>(#REF!+#REF!)*#REF!/1000</f>
        <v>#REF!</v>
      </c>
      <c r="NA228" s="79" t="e">
        <f>(#REF!+#REF!)*#REF!/1000</f>
        <v>#REF!</v>
      </c>
      <c r="NB228" s="79" t="e">
        <f>(#REF!+#REF!)*#REF!/1000</f>
        <v>#REF!</v>
      </c>
      <c r="NC228" s="79" t="e">
        <f>(#REF!+#REF!)*#REF!/1000</f>
        <v>#REF!</v>
      </c>
      <c r="ND228" s="79" t="e">
        <f>(#REF!+#REF!)*#REF!/1000</f>
        <v>#REF!</v>
      </c>
      <c r="NE228" s="79" t="e">
        <f>(#REF!+#REF!)*#REF!/1000</f>
        <v>#REF!</v>
      </c>
      <c r="NF228" s="79" t="e">
        <f>(#REF!+#REF!)*#REF!/1000</f>
        <v>#REF!</v>
      </c>
      <c r="NG228" s="79" t="e">
        <f>(#REF!+#REF!)*#REF!/1000</f>
        <v>#REF!</v>
      </c>
      <c r="NH228" s="79" t="e">
        <f>(#REF!+#REF!)*#REF!/1000</f>
        <v>#REF!</v>
      </c>
      <c r="NI228" s="79" t="e">
        <f>(#REF!+#REF!)*#REF!/1000</f>
        <v>#REF!</v>
      </c>
      <c r="NJ228" s="79" t="e">
        <f>(#REF!+#REF!)*#REF!/1000</f>
        <v>#REF!</v>
      </c>
      <c r="NK228" s="79" t="e">
        <f>(#REF!+#REF!)*#REF!/1000</f>
        <v>#REF!</v>
      </c>
      <c r="NL228" s="79" t="e">
        <f>(#REF!+#REF!)*#REF!/1000</f>
        <v>#REF!</v>
      </c>
      <c r="NM228" s="79" t="e">
        <f>(#REF!+#REF!)*#REF!/1000</f>
        <v>#REF!</v>
      </c>
      <c r="NN228" s="79" t="e">
        <f>(#REF!+#REF!)*#REF!/1000</f>
        <v>#REF!</v>
      </c>
      <c r="NO228" s="79" t="e">
        <f>(#REF!+#REF!)*#REF!/1000</f>
        <v>#REF!</v>
      </c>
      <c r="NP228" s="79" t="e">
        <f>(#REF!+#REF!)*#REF!/1000</f>
        <v>#REF!</v>
      </c>
      <c r="NQ228" s="79" t="e">
        <f>(#REF!+#REF!)*#REF!/1000</f>
        <v>#REF!</v>
      </c>
      <c r="NR228" s="79" t="e">
        <f>(#REF!+#REF!)*#REF!/1000</f>
        <v>#REF!</v>
      </c>
      <c r="NS228" s="79" t="e">
        <f>(#REF!+#REF!)*#REF!/1000</f>
        <v>#REF!</v>
      </c>
      <c r="NT228" s="79" t="e">
        <f>(#REF!+#REF!)*#REF!/1000</f>
        <v>#REF!</v>
      </c>
      <c r="NU228" s="79" t="e">
        <f>(#REF!+#REF!)*#REF!/1000</f>
        <v>#REF!</v>
      </c>
      <c r="NV228" s="79" t="e">
        <f>(#REF!+#REF!)*#REF!/1000</f>
        <v>#REF!</v>
      </c>
      <c r="NW228" s="79" t="e">
        <f>(#REF!+#REF!)*#REF!/1000</f>
        <v>#REF!</v>
      </c>
      <c r="NX228" s="79" t="e">
        <f>(#REF!+#REF!)*#REF!/1000</f>
        <v>#REF!</v>
      </c>
      <c r="NY228" s="79" t="e">
        <f>(#REF!+#REF!)*#REF!/1000</f>
        <v>#REF!</v>
      </c>
      <c r="NZ228" s="79" t="e">
        <f>(#REF!+#REF!)*#REF!/1000</f>
        <v>#REF!</v>
      </c>
      <c r="OA228" s="79" t="e">
        <f>(#REF!+#REF!)*#REF!/1000</f>
        <v>#REF!</v>
      </c>
      <c r="OB228" s="79" t="e">
        <f>(#REF!+#REF!)*#REF!/1000</f>
        <v>#REF!</v>
      </c>
      <c r="OC228" s="79" t="e">
        <f>(#REF!+#REF!)*#REF!/1000</f>
        <v>#REF!</v>
      </c>
      <c r="OD228" s="79" t="e">
        <f>(#REF!+#REF!)*#REF!/1000</f>
        <v>#REF!</v>
      </c>
      <c r="OE228" s="79" t="e">
        <f>(#REF!+#REF!)*#REF!/1000</f>
        <v>#REF!</v>
      </c>
      <c r="OF228" s="79" t="e">
        <f>(#REF!+#REF!)*#REF!/1000</f>
        <v>#REF!</v>
      </c>
      <c r="OG228" s="79" t="e">
        <f>(#REF!+#REF!)*#REF!/1000</f>
        <v>#REF!</v>
      </c>
      <c r="OH228" s="79" t="e">
        <f>(#REF!+#REF!)*#REF!/1000</f>
        <v>#REF!</v>
      </c>
      <c r="OI228" s="79" t="e">
        <f>(#REF!+#REF!)*#REF!/1000</f>
        <v>#REF!</v>
      </c>
      <c r="OJ228" s="79" t="e">
        <f>(#REF!+#REF!)*#REF!/1000</f>
        <v>#REF!</v>
      </c>
      <c r="OK228" s="79" t="e">
        <f>(#REF!+#REF!)*#REF!/1000</f>
        <v>#REF!</v>
      </c>
      <c r="OL228" s="79" t="e">
        <f>(#REF!+#REF!)*#REF!/1000</f>
        <v>#REF!</v>
      </c>
      <c r="OM228" s="79" t="e">
        <f>(#REF!+#REF!)*#REF!/1000</f>
        <v>#REF!</v>
      </c>
      <c r="ON228" s="79" t="e">
        <f>(#REF!+#REF!)*#REF!/1000</f>
        <v>#REF!</v>
      </c>
      <c r="OO228" s="79" t="e">
        <f>(#REF!+#REF!)*#REF!/1000</f>
        <v>#REF!</v>
      </c>
      <c r="OP228" s="79" t="e">
        <f>(#REF!+#REF!)*#REF!/1000</f>
        <v>#REF!</v>
      </c>
      <c r="OQ228" s="79" t="e">
        <f>(#REF!+#REF!)*#REF!/1000</f>
        <v>#REF!</v>
      </c>
      <c r="OR228" s="79" t="e">
        <f>(#REF!+#REF!)*#REF!/1000</f>
        <v>#REF!</v>
      </c>
      <c r="OS228" s="79" t="e">
        <f>(#REF!+#REF!)*#REF!/1000</f>
        <v>#REF!</v>
      </c>
      <c r="OT228" s="79" t="e">
        <f>(#REF!+#REF!)*#REF!/1000</f>
        <v>#REF!</v>
      </c>
      <c r="OU228" s="79" t="e">
        <f>(#REF!+#REF!)*#REF!/1000</f>
        <v>#REF!</v>
      </c>
      <c r="OV228" s="79" t="e">
        <f>(#REF!+#REF!)*#REF!/1000</f>
        <v>#REF!</v>
      </c>
      <c r="OW228" s="79" t="e">
        <f>(#REF!+#REF!)*#REF!/1000</f>
        <v>#REF!</v>
      </c>
      <c r="OX228" s="79" t="e">
        <f>(#REF!+#REF!)*#REF!/1000</f>
        <v>#REF!</v>
      </c>
      <c r="OY228" s="79" t="e">
        <f>(#REF!+#REF!)*#REF!/1000</f>
        <v>#REF!</v>
      </c>
      <c r="OZ228" s="79" t="e">
        <f>(#REF!+#REF!)*#REF!/1000</f>
        <v>#REF!</v>
      </c>
      <c r="PA228" s="79" t="e">
        <f>(#REF!+#REF!)*#REF!/1000</f>
        <v>#REF!</v>
      </c>
      <c r="PB228" s="79" t="e">
        <f>(#REF!+#REF!)*#REF!/1000</f>
        <v>#REF!</v>
      </c>
      <c r="PC228" s="79" t="e">
        <f>(#REF!+#REF!)*#REF!/1000</f>
        <v>#REF!</v>
      </c>
      <c r="PD228" s="79" t="e">
        <f>(#REF!+#REF!)*#REF!/1000</f>
        <v>#REF!</v>
      </c>
      <c r="PE228" s="79" t="e">
        <f>(#REF!+#REF!)*#REF!/1000</f>
        <v>#REF!</v>
      </c>
      <c r="PF228" s="79" t="e">
        <f>(#REF!+#REF!)*#REF!/1000</f>
        <v>#REF!</v>
      </c>
      <c r="PG228" s="79" t="e">
        <f>(#REF!+#REF!)*#REF!/1000</f>
        <v>#REF!</v>
      </c>
      <c r="PH228" s="79" t="e">
        <f>(#REF!+#REF!)*#REF!/1000</f>
        <v>#REF!</v>
      </c>
      <c r="PI228" s="79" t="e">
        <f>(#REF!+#REF!)*#REF!/1000</f>
        <v>#REF!</v>
      </c>
      <c r="PJ228" s="79" t="e">
        <f>(#REF!+#REF!)*#REF!/1000</f>
        <v>#REF!</v>
      </c>
      <c r="PK228" s="79" t="e">
        <f>(#REF!+#REF!)*#REF!/1000</f>
        <v>#REF!</v>
      </c>
      <c r="PL228" s="79" t="e">
        <f>(#REF!+#REF!)*#REF!/1000</f>
        <v>#REF!</v>
      </c>
      <c r="PM228" s="79" t="e">
        <f>(#REF!+#REF!)*#REF!/1000</f>
        <v>#REF!</v>
      </c>
      <c r="PN228" s="79" t="e">
        <f>(#REF!+#REF!)*#REF!/1000</f>
        <v>#REF!</v>
      </c>
      <c r="PO228" s="79" t="e">
        <f>(#REF!+#REF!)*#REF!/1000</f>
        <v>#REF!</v>
      </c>
      <c r="PP228" s="79" t="e">
        <f>(#REF!+#REF!)*#REF!/1000</f>
        <v>#REF!</v>
      </c>
      <c r="PQ228" s="79" t="e">
        <f>(#REF!+#REF!)*#REF!/1000</f>
        <v>#REF!</v>
      </c>
      <c r="PR228" s="79" t="e">
        <f>(#REF!+#REF!)*#REF!/1000</f>
        <v>#REF!</v>
      </c>
      <c r="PS228" s="79" t="e">
        <f>(#REF!+#REF!)*#REF!/1000</f>
        <v>#REF!</v>
      </c>
      <c r="PT228" s="79" t="e">
        <f>(#REF!+#REF!)*#REF!/1000</f>
        <v>#REF!</v>
      </c>
      <c r="PU228" s="79" t="e">
        <f>(#REF!+#REF!)*#REF!/1000</f>
        <v>#REF!</v>
      </c>
      <c r="PV228" s="79" t="e">
        <f>(#REF!+#REF!)*#REF!/1000</f>
        <v>#REF!</v>
      </c>
      <c r="PW228" s="79" t="e">
        <f>(#REF!+#REF!)*#REF!/1000</f>
        <v>#REF!</v>
      </c>
      <c r="PX228" s="79" t="e">
        <f>(#REF!+#REF!)*#REF!/1000</f>
        <v>#REF!</v>
      </c>
      <c r="PY228" s="79" t="e">
        <f>(#REF!+#REF!)*#REF!/1000</f>
        <v>#REF!</v>
      </c>
      <c r="PZ228" s="79" t="e">
        <f>(#REF!+#REF!)*#REF!/1000</f>
        <v>#REF!</v>
      </c>
      <c r="QA228" s="79" t="e">
        <f>(#REF!+#REF!)*#REF!/1000</f>
        <v>#REF!</v>
      </c>
      <c r="QB228" s="79" t="e">
        <f>(#REF!+#REF!)*#REF!/1000</f>
        <v>#REF!</v>
      </c>
      <c r="QC228" s="79" t="e">
        <f>(#REF!+#REF!)*#REF!/1000</f>
        <v>#REF!</v>
      </c>
      <c r="QD228" s="79" t="e">
        <f>(#REF!+#REF!)*#REF!/1000</f>
        <v>#REF!</v>
      </c>
      <c r="QE228" s="79" t="e">
        <f>(#REF!+#REF!)*#REF!/1000</f>
        <v>#REF!</v>
      </c>
      <c r="QF228" s="79" t="e">
        <f>(#REF!+#REF!)*#REF!/1000</f>
        <v>#REF!</v>
      </c>
      <c r="QG228" s="79" t="e">
        <f>(#REF!+#REF!)*#REF!/1000</f>
        <v>#REF!</v>
      </c>
      <c r="QH228" s="79" t="e">
        <f>(#REF!+#REF!)*#REF!/1000</f>
        <v>#REF!</v>
      </c>
      <c r="QI228" s="79" t="e">
        <f>(#REF!+#REF!)*#REF!/1000</f>
        <v>#REF!</v>
      </c>
      <c r="QJ228" s="79" t="e">
        <f>(#REF!+#REF!)*#REF!/1000</f>
        <v>#REF!</v>
      </c>
      <c r="QK228" s="79" t="e">
        <f>(#REF!+#REF!)*#REF!/1000</f>
        <v>#REF!</v>
      </c>
      <c r="QL228" s="79" t="e">
        <f>(#REF!+#REF!)*#REF!/1000</f>
        <v>#REF!</v>
      </c>
      <c r="QM228" s="79" t="e">
        <f>(#REF!+#REF!)*#REF!/1000</f>
        <v>#REF!</v>
      </c>
      <c r="QN228" s="79" t="e">
        <f>(#REF!+#REF!)*#REF!/1000</f>
        <v>#REF!</v>
      </c>
      <c r="QO228" s="79" t="e">
        <f>(#REF!+#REF!)*#REF!/1000</f>
        <v>#REF!</v>
      </c>
      <c r="QP228" s="79" t="e">
        <f>(#REF!+#REF!)*#REF!/1000</f>
        <v>#REF!</v>
      </c>
      <c r="QQ228" s="79" t="e">
        <f>(#REF!+#REF!)*#REF!/1000</f>
        <v>#REF!</v>
      </c>
      <c r="QR228" s="79" t="e">
        <f>(#REF!+#REF!)*#REF!/1000</f>
        <v>#REF!</v>
      </c>
      <c r="QS228" s="79" t="e">
        <f>(#REF!+#REF!)*#REF!/1000</f>
        <v>#REF!</v>
      </c>
      <c r="QT228" s="79" t="e">
        <f>(#REF!+#REF!)*#REF!/1000</f>
        <v>#REF!</v>
      </c>
      <c r="QU228" s="79" t="e">
        <f>(#REF!+#REF!)*#REF!/1000</f>
        <v>#REF!</v>
      </c>
      <c r="QV228" s="79" t="e">
        <f>(#REF!+#REF!)*#REF!/1000</f>
        <v>#REF!</v>
      </c>
      <c r="QW228" s="79" t="e">
        <f>(#REF!+#REF!)*#REF!/1000</f>
        <v>#REF!</v>
      </c>
      <c r="QX228" s="79" t="e">
        <f>(#REF!+#REF!)*#REF!/1000</f>
        <v>#REF!</v>
      </c>
      <c r="QY228" s="79" t="e">
        <f>(#REF!+#REF!)*#REF!/1000</f>
        <v>#REF!</v>
      </c>
      <c r="QZ228" s="79" t="e">
        <f>(#REF!+#REF!)*#REF!/1000</f>
        <v>#REF!</v>
      </c>
      <c r="RA228" s="79" t="e">
        <f>(#REF!+#REF!)*#REF!/1000</f>
        <v>#REF!</v>
      </c>
      <c r="RB228" s="79" t="e">
        <f>(#REF!+#REF!)*#REF!/1000</f>
        <v>#REF!</v>
      </c>
      <c r="RC228" s="79" t="e">
        <f>(#REF!+#REF!)*#REF!/1000</f>
        <v>#REF!</v>
      </c>
      <c r="RD228" s="79" t="e">
        <f>(#REF!+#REF!)*#REF!/1000</f>
        <v>#REF!</v>
      </c>
      <c r="RE228" s="79" t="e">
        <f>(#REF!+#REF!)*#REF!/1000</f>
        <v>#REF!</v>
      </c>
      <c r="RF228" s="79" t="e">
        <f>(#REF!+#REF!)*#REF!/1000</f>
        <v>#REF!</v>
      </c>
      <c r="RG228" s="79" t="e">
        <f>(#REF!+#REF!)*#REF!/1000</f>
        <v>#REF!</v>
      </c>
      <c r="RH228" s="79" t="e">
        <f>(#REF!+#REF!)*#REF!/1000</f>
        <v>#REF!</v>
      </c>
      <c r="RI228" s="79" t="e">
        <f>(#REF!+#REF!)*#REF!/1000</f>
        <v>#REF!</v>
      </c>
      <c r="RJ228" s="79" t="e">
        <f>(#REF!+#REF!)*#REF!/1000</f>
        <v>#REF!</v>
      </c>
      <c r="RK228" s="79" t="e">
        <f>(#REF!+#REF!)*#REF!/1000</f>
        <v>#REF!</v>
      </c>
      <c r="RL228" s="79" t="e">
        <f>(#REF!+#REF!)*#REF!/1000</f>
        <v>#REF!</v>
      </c>
      <c r="RM228" s="79" t="e">
        <f>(#REF!+#REF!)*#REF!/1000</f>
        <v>#REF!</v>
      </c>
      <c r="RN228" s="79" t="e">
        <f>(#REF!+#REF!)*#REF!/1000</f>
        <v>#REF!</v>
      </c>
      <c r="RO228" s="79" t="e">
        <f>(#REF!+#REF!)*#REF!/1000</f>
        <v>#REF!</v>
      </c>
      <c r="RP228" s="79" t="e">
        <f>(#REF!+#REF!)*#REF!/1000</f>
        <v>#REF!</v>
      </c>
      <c r="RQ228" s="79" t="e">
        <f>(#REF!+#REF!)*#REF!/1000</f>
        <v>#REF!</v>
      </c>
      <c r="RR228" s="79" t="e">
        <f>(#REF!+#REF!)*#REF!/1000</f>
        <v>#REF!</v>
      </c>
      <c r="RS228" s="79" t="e">
        <f>(#REF!+#REF!)*#REF!/1000</f>
        <v>#REF!</v>
      </c>
      <c r="RT228" s="79" t="e">
        <f>(#REF!+#REF!)*#REF!/1000</f>
        <v>#REF!</v>
      </c>
      <c r="RU228" s="79" t="e">
        <f>(#REF!+#REF!)*#REF!/1000</f>
        <v>#REF!</v>
      </c>
      <c r="RV228" s="79" t="e">
        <f>(#REF!+#REF!)*#REF!/1000</f>
        <v>#REF!</v>
      </c>
      <c r="RW228" s="79" t="e">
        <f>(#REF!+#REF!)*#REF!/1000</f>
        <v>#REF!</v>
      </c>
      <c r="RX228" s="79" t="e">
        <f>(#REF!+#REF!)*#REF!/1000</f>
        <v>#REF!</v>
      </c>
      <c r="RY228" s="79" t="e">
        <f>(#REF!+#REF!)*#REF!/1000</f>
        <v>#REF!</v>
      </c>
      <c r="RZ228" s="79" t="e">
        <f>(#REF!+#REF!)*#REF!/1000</f>
        <v>#REF!</v>
      </c>
      <c r="SA228" s="79" t="e">
        <f>(#REF!+#REF!)*#REF!/1000</f>
        <v>#REF!</v>
      </c>
      <c r="SB228" s="79" t="e">
        <f>(#REF!+#REF!)*#REF!/1000</f>
        <v>#REF!</v>
      </c>
      <c r="SC228" s="79" t="e">
        <f>(#REF!+#REF!)*#REF!/1000</f>
        <v>#REF!</v>
      </c>
      <c r="SD228" s="79" t="e">
        <f>(#REF!+#REF!)*#REF!/1000</f>
        <v>#REF!</v>
      </c>
      <c r="SE228" s="79" t="e">
        <f>(#REF!+#REF!)*#REF!/1000</f>
        <v>#REF!</v>
      </c>
      <c r="SF228" s="79" t="e">
        <f>(#REF!+#REF!)*#REF!/1000</f>
        <v>#REF!</v>
      </c>
      <c r="SG228" s="79" t="e">
        <f>(#REF!+#REF!)*#REF!/1000</f>
        <v>#REF!</v>
      </c>
      <c r="SH228" s="79" t="e">
        <f>(#REF!+#REF!)*#REF!/1000</f>
        <v>#REF!</v>
      </c>
      <c r="SI228" s="79" t="e">
        <f>(#REF!+#REF!)*#REF!/1000</f>
        <v>#REF!</v>
      </c>
      <c r="SJ228" s="79" t="e">
        <f>(#REF!+#REF!)*#REF!/1000</f>
        <v>#REF!</v>
      </c>
      <c r="SK228" s="79" t="e">
        <f>(#REF!+#REF!)*#REF!/1000</f>
        <v>#REF!</v>
      </c>
      <c r="SL228" s="79" t="e">
        <f>(#REF!+#REF!)*#REF!/1000</f>
        <v>#REF!</v>
      </c>
      <c r="SM228" s="79" t="e">
        <f>(#REF!+#REF!)*#REF!/1000</f>
        <v>#REF!</v>
      </c>
      <c r="SN228" s="79" t="e">
        <f>(#REF!+#REF!)*#REF!/1000</f>
        <v>#REF!</v>
      </c>
      <c r="SO228" s="79" t="e">
        <f>(#REF!+#REF!)*#REF!/1000</f>
        <v>#REF!</v>
      </c>
      <c r="SP228" s="79" t="e">
        <f>(#REF!+#REF!)*#REF!/1000</f>
        <v>#REF!</v>
      </c>
      <c r="SQ228" s="79" t="e">
        <f>(#REF!+#REF!)*#REF!/1000</f>
        <v>#REF!</v>
      </c>
      <c r="SR228" s="79" t="e">
        <f>(#REF!+#REF!)*#REF!/1000</f>
        <v>#REF!</v>
      </c>
      <c r="SS228" s="79" t="e">
        <f>(#REF!+#REF!)*#REF!/1000</f>
        <v>#REF!</v>
      </c>
      <c r="ST228" s="79" t="e">
        <f>(#REF!+#REF!)*#REF!/1000</f>
        <v>#REF!</v>
      </c>
      <c r="SU228" s="79" t="e">
        <f>(#REF!+#REF!)*#REF!/1000</f>
        <v>#REF!</v>
      </c>
      <c r="SV228" s="79" t="e">
        <f>(#REF!+#REF!)*#REF!/1000</f>
        <v>#REF!</v>
      </c>
      <c r="SW228" s="79" t="e">
        <f>(#REF!+#REF!)*#REF!/1000</f>
        <v>#REF!</v>
      </c>
      <c r="SX228" s="79" t="e">
        <f>(#REF!+#REF!)*#REF!/1000</f>
        <v>#REF!</v>
      </c>
      <c r="SY228" s="79" t="e">
        <f>(#REF!+#REF!)*#REF!/1000</f>
        <v>#REF!</v>
      </c>
      <c r="SZ228" s="79" t="e">
        <f>(#REF!+#REF!)*#REF!/1000</f>
        <v>#REF!</v>
      </c>
      <c r="TA228" s="79" t="e">
        <f>(#REF!+#REF!)*#REF!/1000</f>
        <v>#REF!</v>
      </c>
      <c r="TB228" s="79" t="e">
        <f>(#REF!+#REF!)*#REF!/1000</f>
        <v>#REF!</v>
      </c>
      <c r="TC228" s="79" t="e">
        <f>(#REF!+#REF!)*#REF!/1000</f>
        <v>#REF!</v>
      </c>
      <c r="TD228" s="79" t="e">
        <f>(#REF!+#REF!)*#REF!/1000</f>
        <v>#REF!</v>
      </c>
      <c r="TE228" s="79" t="e">
        <f>(#REF!+#REF!)*#REF!/1000</f>
        <v>#REF!</v>
      </c>
      <c r="TF228" s="79" t="e">
        <f>(#REF!+#REF!)*#REF!/1000</f>
        <v>#REF!</v>
      </c>
      <c r="TG228" s="79" t="e">
        <f>(#REF!+#REF!)*#REF!/1000</f>
        <v>#REF!</v>
      </c>
      <c r="TH228" s="79" t="e">
        <f>(#REF!+#REF!)*#REF!/1000</f>
        <v>#REF!</v>
      </c>
      <c r="TI228" s="79" t="e">
        <f>(#REF!+#REF!)*#REF!/1000</f>
        <v>#REF!</v>
      </c>
      <c r="TJ228" s="79" t="e">
        <f>(#REF!+#REF!)*#REF!/1000</f>
        <v>#REF!</v>
      </c>
      <c r="TK228" s="79" t="e">
        <f>(#REF!+#REF!)*#REF!/1000</f>
        <v>#REF!</v>
      </c>
      <c r="TL228" s="79" t="e">
        <f>(#REF!+#REF!)*#REF!/1000</f>
        <v>#REF!</v>
      </c>
      <c r="TM228" s="79" t="e">
        <f>(#REF!+#REF!)*#REF!/1000</f>
        <v>#REF!</v>
      </c>
      <c r="TN228" s="79" t="e">
        <f>(#REF!+#REF!)*#REF!/1000</f>
        <v>#REF!</v>
      </c>
      <c r="TO228" s="79" t="e">
        <f>(#REF!+#REF!)*#REF!/1000</f>
        <v>#REF!</v>
      </c>
      <c r="TP228" s="79" t="e">
        <f>(#REF!+#REF!)*#REF!/1000</f>
        <v>#REF!</v>
      </c>
      <c r="TQ228" s="79" t="e">
        <f>(#REF!+#REF!)*#REF!/1000</f>
        <v>#REF!</v>
      </c>
      <c r="TR228" s="79" t="e">
        <f>(#REF!+#REF!)*#REF!/1000</f>
        <v>#REF!</v>
      </c>
      <c r="TS228" s="79" t="e">
        <f>(#REF!+#REF!)*#REF!/1000</f>
        <v>#REF!</v>
      </c>
      <c r="TT228" s="79" t="e">
        <f>(#REF!+#REF!)*#REF!/1000</f>
        <v>#REF!</v>
      </c>
      <c r="TU228" s="79" t="e">
        <f>(#REF!+#REF!)*#REF!/1000</f>
        <v>#REF!</v>
      </c>
      <c r="TV228" s="79" t="e">
        <f>(#REF!+#REF!)*#REF!/1000</f>
        <v>#REF!</v>
      </c>
      <c r="TW228" s="79" t="e">
        <f>(#REF!+#REF!)*#REF!/1000</f>
        <v>#REF!</v>
      </c>
      <c r="TX228" s="79" t="e">
        <f>(#REF!+#REF!)*#REF!/1000</f>
        <v>#REF!</v>
      </c>
      <c r="TY228" s="79" t="e">
        <f>(#REF!+#REF!)*#REF!/1000</f>
        <v>#REF!</v>
      </c>
      <c r="TZ228" s="79" t="e">
        <f>(#REF!+#REF!)*#REF!/1000</f>
        <v>#REF!</v>
      </c>
      <c r="UA228" s="79" t="e">
        <f>(#REF!+#REF!)*#REF!/1000</f>
        <v>#REF!</v>
      </c>
      <c r="UB228" s="79" t="e">
        <f>(#REF!+#REF!)*#REF!/1000</f>
        <v>#REF!</v>
      </c>
      <c r="UC228" s="79" t="e">
        <f>(#REF!+#REF!)*#REF!/1000</f>
        <v>#REF!</v>
      </c>
      <c r="UD228" s="79" t="e">
        <f>(#REF!+#REF!)*#REF!/1000</f>
        <v>#REF!</v>
      </c>
      <c r="UE228" s="79" t="e">
        <f>(#REF!+#REF!)*#REF!/1000</f>
        <v>#REF!</v>
      </c>
      <c r="UF228" s="79" t="e">
        <f>(#REF!+#REF!)*#REF!/1000</f>
        <v>#REF!</v>
      </c>
      <c r="UG228" s="79" t="e">
        <f>(#REF!+#REF!)*#REF!/1000</f>
        <v>#REF!</v>
      </c>
      <c r="UH228" s="79" t="e">
        <f>(#REF!+#REF!)*#REF!/1000</f>
        <v>#REF!</v>
      </c>
      <c r="UI228" s="79" t="e">
        <f>(#REF!+#REF!)*#REF!/1000</f>
        <v>#REF!</v>
      </c>
      <c r="UJ228" s="79" t="e">
        <f>(#REF!+#REF!)*#REF!/1000</f>
        <v>#REF!</v>
      </c>
      <c r="UK228" s="79" t="e">
        <f>(#REF!+#REF!)*#REF!/1000</f>
        <v>#REF!</v>
      </c>
      <c r="UL228" s="79" t="e">
        <f>(#REF!+#REF!)*#REF!/1000</f>
        <v>#REF!</v>
      </c>
      <c r="UM228" s="79" t="e">
        <f>(#REF!+#REF!)*#REF!/1000</f>
        <v>#REF!</v>
      </c>
      <c r="UN228" s="79" t="e">
        <f>(#REF!+#REF!)*#REF!/1000</f>
        <v>#REF!</v>
      </c>
      <c r="UO228" s="79" t="e">
        <f>(#REF!+#REF!)*#REF!/1000</f>
        <v>#REF!</v>
      </c>
      <c r="UP228" s="79" t="e">
        <f>(#REF!+#REF!)*#REF!/1000</f>
        <v>#REF!</v>
      </c>
      <c r="UQ228" s="79" t="e">
        <f>(#REF!+#REF!)*#REF!/1000</f>
        <v>#REF!</v>
      </c>
      <c r="UR228" s="79" t="e">
        <f>(#REF!+#REF!)*#REF!/1000</f>
        <v>#REF!</v>
      </c>
      <c r="US228" s="79" t="e">
        <f>(#REF!+#REF!)*#REF!/1000</f>
        <v>#REF!</v>
      </c>
      <c r="UT228" s="79" t="e">
        <f>(#REF!+#REF!)*#REF!/1000</f>
        <v>#REF!</v>
      </c>
      <c r="UU228" s="79" t="e">
        <f>(#REF!+#REF!)*#REF!/1000</f>
        <v>#REF!</v>
      </c>
      <c r="UV228" s="79" t="e">
        <f>(#REF!+#REF!)*#REF!/1000</f>
        <v>#REF!</v>
      </c>
      <c r="UW228" s="79" t="e">
        <f>(#REF!+#REF!)*#REF!/1000</f>
        <v>#REF!</v>
      </c>
      <c r="UX228" s="79" t="e">
        <f>(#REF!+#REF!)*#REF!/1000</f>
        <v>#REF!</v>
      </c>
      <c r="UY228" s="79" t="e">
        <f>(#REF!+#REF!)*#REF!/1000</f>
        <v>#REF!</v>
      </c>
      <c r="UZ228" s="79" t="e">
        <f>(#REF!+#REF!)*#REF!/1000</f>
        <v>#REF!</v>
      </c>
      <c r="VA228" s="79" t="e">
        <f>(#REF!+#REF!)*#REF!/1000</f>
        <v>#REF!</v>
      </c>
      <c r="VB228" s="79" t="e">
        <f>(#REF!+#REF!)*#REF!/1000</f>
        <v>#REF!</v>
      </c>
      <c r="VC228" s="79" t="e">
        <f>(#REF!+#REF!)*#REF!/1000</f>
        <v>#REF!</v>
      </c>
      <c r="VD228" s="79" t="e">
        <f>(#REF!+#REF!)*#REF!/1000</f>
        <v>#REF!</v>
      </c>
      <c r="VE228" s="79" t="e">
        <f>(#REF!+#REF!)*#REF!/1000</f>
        <v>#REF!</v>
      </c>
      <c r="VF228" s="79" t="e">
        <f>(#REF!+#REF!)*#REF!/1000</f>
        <v>#REF!</v>
      </c>
      <c r="VG228" s="79" t="e">
        <f>(#REF!+#REF!)*#REF!/1000</f>
        <v>#REF!</v>
      </c>
      <c r="VH228" s="79" t="e">
        <f>(#REF!+#REF!)*#REF!/1000</f>
        <v>#REF!</v>
      </c>
      <c r="VI228" s="79" t="e">
        <f>(#REF!+#REF!)*#REF!/1000</f>
        <v>#REF!</v>
      </c>
      <c r="VJ228" s="79" t="e">
        <f>(#REF!+#REF!)*#REF!/1000</f>
        <v>#REF!</v>
      </c>
      <c r="VK228" s="79" t="e">
        <f>(#REF!+#REF!)*#REF!/1000</f>
        <v>#REF!</v>
      </c>
      <c r="VL228" s="79" t="e">
        <f>(#REF!+#REF!)*#REF!/1000</f>
        <v>#REF!</v>
      </c>
      <c r="VM228" s="79" t="e">
        <f>(#REF!+#REF!)*#REF!/1000</f>
        <v>#REF!</v>
      </c>
      <c r="VN228" s="79" t="e">
        <f>(#REF!+#REF!)*#REF!/1000</f>
        <v>#REF!</v>
      </c>
      <c r="VO228" s="79" t="e">
        <f>(#REF!+#REF!)*#REF!/1000</f>
        <v>#REF!</v>
      </c>
      <c r="VP228" s="79" t="e">
        <f>(#REF!+#REF!)*#REF!/1000</f>
        <v>#REF!</v>
      </c>
      <c r="VQ228" s="79" t="e">
        <f>(#REF!+#REF!)*#REF!/1000</f>
        <v>#REF!</v>
      </c>
      <c r="VR228" s="79" t="e">
        <f>(#REF!+#REF!)*#REF!/1000</f>
        <v>#REF!</v>
      </c>
      <c r="VS228" s="79" t="e">
        <f>(#REF!+#REF!)*#REF!/1000</f>
        <v>#REF!</v>
      </c>
      <c r="VT228" s="79" t="e">
        <f>(#REF!+#REF!)*#REF!/1000</f>
        <v>#REF!</v>
      </c>
      <c r="VU228" s="79" t="e">
        <f>(#REF!+#REF!)*#REF!/1000</f>
        <v>#REF!</v>
      </c>
      <c r="VV228" s="79" t="e">
        <f>(#REF!+#REF!)*#REF!/1000</f>
        <v>#REF!</v>
      </c>
      <c r="VW228" s="79" t="e">
        <f>(#REF!+#REF!)*#REF!/1000</f>
        <v>#REF!</v>
      </c>
      <c r="VX228" s="79" t="e">
        <f>(#REF!+#REF!)*#REF!/1000</f>
        <v>#REF!</v>
      </c>
      <c r="VY228" s="79" t="e">
        <f>(#REF!+#REF!)*#REF!/1000</f>
        <v>#REF!</v>
      </c>
      <c r="VZ228" s="79" t="e">
        <f>(#REF!+#REF!)*#REF!/1000</f>
        <v>#REF!</v>
      </c>
      <c r="WA228" s="79" t="e">
        <f>(#REF!+#REF!)*#REF!/1000</f>
        <v>#REF!</v>
      </c>
      <c r="WB228" s="79" t="e">
        <f>(#REF!+#REF!)*#REF!/1000</f>
        <v>#REF!</v>
      </c>
      <c r="WC228" s="79" t="e">
        <f>(#REF!+#REF!)*#REF!/1000</f>
        <v>#REF!</v>
      </c>
      <c r="WD228" s="79" t="e">
        <f>(#REF!+#REF!)*#REF!/1000</f>
        <v>#REF!</v>
      </c>
      <c r="WE228" s="79" t="e">
        <f>(#REF!+#REF!)*#REF!/1000</f>
        <v>#REF!</v>
      </c>
      <c r="WF228" s="79" t="e">
        <f>(#REF!+#REF!)*#REF!/1000</f>
        <v>#REF!</v>
      </c>
      <c r="WG228" s="79" t="e">
        <f>(#REF!+#REF!)*#REF!/1000</f>
        <v>#REF!</v>
      </c>
      <c r="WH228" s="79" t="e">
        <f>(#REF!+#REF!)*#REF!/1000</f>
        <v>#REF!</v>
      </c>
      <c r="WI228" s="79" t="e">
        <f>(#REF!+#REF!)*#REF!/1000</f>
        <v>#REF!</v>
      </c>
      <c r="WJ228" s="79" t="e">
        <f>(#REF!+#REF!)*#REF!/1000</f>
        <v>#REF!</v>
      </c>
      <c r="WK228" s="79" t="e">
        <f>(#REF!+#REF!)*#REF!/1000</f>
        <v>#REF!</v>
      </c>
      <c r="WL228" s="79" t="e">
        <f>(#REF!+#REF!)*#REF!/1000</f>
        <v>#REF!</v>
      </c>
      <c r="WM228" s="79" t="e">
        <f>(#REF!+#REF!)*#REF!/1000</f>
        <v>#REF!</v>
      </c>
      <c r="WN228" s="79" t="e">
        <f>(#REF!+#REF!)*#REF!/1000</f>
        <v>#REF!</v>
      </c>
      <c r="WO228" s="79" t="e">
        <f>(#REF!+#REF!)*#REF!/1000</f>
        <v>#REF!</v>
      </c>
      <c r="WP228" s="79" t="e">
        <f>(#REF!+#REF!)*#REF!/1000</f>
        <v>#REF!</v>
      </c>
      <c r="WQ228" s="79" t="e">
        <f>(#REF!+#REF!)*#REF!/1000</f>
        <v>#REF!</v>
      </c>
      <c r="WR228" s="79" t="e">
        <f>(#REF!+#REF!)*#REF!/1000</f>
        <v>#REF!</v>
      </c>
      <c r="WS228" s="79" t="e">
        <f>(#REF!+#REF!)*#REF!/1000</f>
        <v>#REF!</v>
      </c>
      <c r="WT228" s="79" t="e">
        <f>(#REF!+#REF!)*#REF!/1000</f>
        <v>#REF!</v>
      </c>
      <c r="WU228" s="79" t="e">
        <f>(#REF!+#REF!)*#REF!/1000</f>
        <v>#REF!</v>
      </c>
      <c r="WV228" s="79" t="e">
        <f>(#REF!+#REF!)*#REF!/1000</f>
        <v>#REF!</v>
      </c>
      <c r="WW228" s="79" t="e">
        <f>(#REF!+#REF!)*#REF!/1000</f>
        <v>#REF!</v>
      </c>
      <c r="WX228" s="79" t="e">
        <f>(#REF!+#REF!)*#REF!/1000</f>
        <v>#REF!</v>
      </c>
      <c r="WY228" s="79" t="e">
        <f>(#REF!+#REF!)*#REF!/1000</f>
        <v>#REF!</v>
      </c>
      <c r="WZ228" s="79" t="e">
        <f>(#REF!+#REF!)*#REF!/1000</f>
        <v>#REF!</v>
      </c>
      <c r="XA228" s="79" t="e">
        <f>(#REF!+#REF!)*#REF!/1000</f>
        <v>#REF!</v>
      </c>
      <c r="XB228" s="79" t="e">
        <f>(#REF!+#REF!)*#REF!/1000</f>
        <v>#REF!</v>
      </c>
      <c r="XC228" s="79" t="e">
        <f>(#REF!+#REF!)*#REF!/1000</f>
        <v>#REF!</v>
      </c>
      <c r="XD228" s="79" t="e">
        <f>(#REF!+#REF!)*#REF!/1000</f>
        <v>#REF!</v>
      </c>
      <c r="XE228" s="79" t="e">
        <f>(#REF!+#REF!)*#REF!/1000</f>
        <v>#REF!</v>
      </c>
      <c r="XF228" s="79" t="e">
        <f>(#REF!+#REF!)*#REF!/1000</f>
        <v>#REF!</v>
      </c>
      <c r="XG228" s="79" t="e">
        <f>(#REF!+#REF!)*#REF!/1000</f>
        <v>#REF!</v>
      </c>
      <c r="XH228" s="79" t="e">
        <f>(#REF!+#REF!)*#REF!/1000</f>
        <v>#REF!</v>
      </c>
      <c r="XI228" s="79" t="e">
        <f>(#REF!+#REF!)*#REF!/1000</f>
        <v>#REF!</v>
      </c>
      <c r="XJ228" s="79" t="e">
        <f>(#REF!+#REF!)*#REF!/1000</f>
        <v>#REF!</v>
      </c>
      <c r="XK228" s="79" t="e">
        <f>(#REF!+#REF!)*#REF!/1000</f>
        <v>#REF!</v>
      </c>
      <c r="XL228" s="79" t="e">
        <f>(#REF!+#REF!)*#REF!/1000</f>
        <v>#REF!</v>
      </c>
      <c r="XM228" s="79" t="e">
        <f>(#REF!+#REF!)*#REF!/1000</f>
        <v>#REF!</v>
      </c>
      <c r="XN228" s="79" t="e">
        <f>(#REF!+#REF!)*#REF!/1000</f>
        <v>#REF!</v>
      </c>
      <c r="XO228" s="79" t="e">
        <f>(#REF!+#REF!)*#REF!/1000</f>
        <v>#REF!</v>
      </c>
      <c r="XP228" s="79" t="e">
        <f>(#REF!+#REF!)*#REF!/1000</f>
        <v>#REF!</v>
      </c>
      <c r="XQ228" s="79" t="e">
        <f>(#REF!+#REF!)*#REF!/1000</f>
        <v>#REF!</v>
      </c>
      <c r="XR228" s="79" t="e">
        <f>(#REF!+#REF!)*#REF!/1000</f>
        <v>#REF!</v>
      </c>
      <c r="XS228" s="79" t="e">
        <f>(#REF!+#REF!)*#REF!/1000</f>
        <v>#REF!</v>
      </c>
      <c r="XT228" s="79" t="e">
        <f>(#REF!+#REF!)*#REF!/1000</f>
        <v>#REF!</v>
      </c>
      <c r="XU228" s="79" t="e">
        <f>(#REF!+#REF!)*#REF!/1000</f>
        <v>#REF!</v>
      </c>
      <c r="XV228" s="79" t="e">
        <f>(#REF!+#REF!)*#REF!/1000</f>
        <v>#REF!</v>
      </c>
      <c r="XW228" s="79" t="e">
        <f>(#REF!+#REF!)*#REF!/1000</f>
        <v>#REF!</v>
      </c>
      <c r="XX228" s="79" t="e">
        <f>(#REF!+#REF!)*#REF!/1000</f>
        <v>#REF!</v>
      </c>
      <c r="XY228" s="79" t="e">
        <f>(#REF!+#REF!)*#REF!/1000</f>
        <v>#REF!</v>
      </c>
      <c r="XZ228" s="79" t="e">
        <f>(#REF!+#REF!)*#REF!/1000</f>
        <v>#REF!</v>
      </c>
      <c r="YA228" s="79" t="e">
        <f>(#REF!+#REF!)*#REF!/1000</f>
        <v>#REF!</v>
      </c>
      <c r="YB228" s="79" t="e">
        <f>(#REF!+#REF!)*#REF!/1000</f>
        <v>#REF!</v>
      </c>
      <c r="YC228" s="79" t="e">
        <f>(#REF!+#REF!)*#REF!/1000</f>
        <v>#REF!</v>
      </c>
      <c r="YD228" s="79" t="e">
        <f>(#REF!+#REF!)*#REF!/1000</f>
        <v>#REF!</v>
      </c>
      <c r="YE228" s="79" t="e">
        <f>(#REF!+#REF!)*#REF!/1000</f>
        <v>#REF!</v>
      </c>
      <c r="YF228" s="79" t="e">
        <f>(#REF!+#REF!)*#REF!/1000</f>
        <v>#REF!</v>
      </c>
      <c r="YG228" s="79" t="e">
        <f>(#REF!+#REF!)*#REF!/1000</f>
        <v>#REF!</v>
      </c>
      <c r="YH228" s="79" t="e">
        <f>(#REF!+#REF!)*#REF!/1000</f>
        <v>#REF!</v>
      </c>
      <c r="YI228" s="79" t="e">
        <f>(#REF!+#REF!)*#REF!/1000</f>
        <v>#REF!</v>
      </c>
      <c r="YJ228" s="79" t="e">
        <f>(#REF!+#REF!)*#REF!/1000</f>
        <v>#REF!</v>
      </c>
      <c r="YK228" s="79" t="e">
        <f>(#REF!+#REF!)*#REF!/1000</f>
        <v>#REF!</v>
      </c>
      <c r="YL228" s="79" t="e">
        <f>(#REF!+#REF!)*#REF!/1000</f>
        <v>#REF!</v>
      </c>
      <c r="YM228" s="79" t="e">
        <f>(#REF!+#REF!)*#REF!/1000</f>
        <v>#REF!</v>
      </c>
      <c r="YN228" s="79" t="e">
        <f>(#REF!+#REF!)*#REF!/1000</f>
        <v>#REF!</v>
      </c>
      <c r="YO228" s="79" t="e">
        <f>(#REF!+#REF!)*#REF!/1000</f>
        <v>#REF!</v>
      </c>
      <c r="YP228" s="79" t="e">
        <f>(#REF!+#REF!)*#REF!/1000</f>
        <v>#REF!</v>
      </c>
      <c r="YQ228" s="79" t="e">
        <f>(#REF!+#REF!)*#REF!/1000</f>
        <v>#REF!</v>
      </c>
      <c r="YR228" s="79" t="e">
        <f>(#REF!+#REF!)*#REF!/1000</f>
        <v>#REF!</v>
      </c>
      <c r="YS228" s="79" t="e">
        <f>(#REF!+#REF!)*#REF!/1000</f>
        <v>#REF!</v>
      </c>
      <c r="YT228" s="79" t="e">
        <f>(#REF!+#REF!)*#REF!/1000</f>
        <v>#REF!</v>
      </c>
      <c r="YU228" s="79" t="e">
        <f>(#REF!+#REF!)*#REF!/1000</f>
        <v>#REF!</v>
      </c>
      <c r="YV228" s="79" t="e">
        <f>(#REF!+#REF!)*#REF!/1000</f>
        <v>#REF!</v>
      </c>
      <c r="YW228" s="79" t="e">
        <f>(#REF!+#REF!)*#REF!/1000</f>
        <v>#REF!</v>
      </c>
      <c r="YX228" s="79" t="e">
        <f>(#REF!+#REF!)*#REF!/1000</f>
        <v>#REF!</v>
      </c>
      <c r="YY228" s="79" t="e">
        <f>(#REF!+#REF!)*#REF!/1000</f>
        <v>#REF!</v>
      </c>
      <c r="YZ228" s="79" t="e">
        <f>(#REF!+#REF!)*#REF!/1000</f>
        <v>#REF!</v>
      </c>
      <c r="ZA228" s="79" t="e">
        <f>(#REF!+#REF!)*#REF!/1000</f>
        <v>#REF!</v>
      </c>
      <c r="ZB228" s="79" t="e">
        <f>(#REF!+#REF!)*#REF!/1000</f>
        <v>#REF!</v>
      </c>
      <c r="ZC228" s="79" t="e">
        <f>(#REF!+#REF!)*#REF!/1000</f>
        <v>#REF!</v>
      </c>
      <c r="ZD228" s="79" t="e">
        <f>(#REF!+#REF!)*#REF!/1000</f>
        <v>#REF!</v>
      </c>
      <c r="ZE228" s="79" t="e">
        <f>(#REF!+#REF!)*#REF!/1000</f>
        <v>#REF!</v>
      </c>
      <c r="ZF228" s="79" t="e">
        <f>(#REF!+#REF!)*#REF!/1000</f>
        <v>#REF!</v>
      </c>
      <c r="ZG228" s="79" t="e">
        <f>(#REF!+#REF!)*#REF!/1000</f>
        <v>#REF!</v>
      </c>
      <c r="ZH228" s="79" t="e">
        <f>(#REF!+#REF!)*#REF!/1000</f>
        <v>#REF!</v>
      </c>
      <c r="ZI228" s="79" t="e">
        <f>(#REF!+#REF!)*#REF!/1000</f>
        <v>#REF!</v>
      </c>
      <c r="ZJ228" s="79" t="e">
        <f>(#REF!+#REF!)*#REF!/1000</f>
        <v>#REF!</v>
      </c>
      <c r="ZK228" s="79" t="e">
        <f>(#REF!+#REF!)*#REF!/1000</f>
        <v>#REF!</v>
      </c>
      <c r="ZL228" s="79" t="e">
        <f>(#REF!+#REF!)*#REF!/1000</f>
        <v>#REF!</v>
      </c>
      <c r="ZM228" s="79" t="e">
        <f>(#REF!+#REF!)*#REF!/1000</f>
        <v>#REF!</v>
      </c>
      <c r="ZN228" s="79" t="e">
        <f>(#REF!+#REF!)*#REF!/1000</f>
        <v>#REF!</v>
      </c>
      <c r="ZO228" s="79" t="e">
        <f>(#REF!+#REF!)*#REF!/1000</f>
        <v>#REF!</v>
      </c>
      <c r="ZP228" s="79" t="e">
        <f>(#REF!+#REF!)*#REF!/1000</f>
        <v>#REF!</v>
      </c>
      <c r="ZQ228" s="79" t="e">
        <f>(#REF!+#REF!)*#REF!/1000</f>
        <v>#REF!</v>
      </c>
      <c r="ZR228" s="79" t="e">
        <f>(#REF!+#REF!)*#REF!/1000</f>
        <v>#REF!</v>
      </c>
      <c r="ZS228" s="79" t="e">
        <f>(#REF!+#REF!)*#REF!/1000</f>
        <v>#REF!</v>
      </c>
      <c r="ZT228" s="79" t="e">
        <f>(#REF!+#REF!)*#REF!/1000</f>
        <v>#REF!</v>
      </c>
      <c r="ZU228" s="79" t="e">
        <f>(#REF!+#REF!)*#REF!/1000</f>
        <v>#REF!</v>
      </c>
      <c r="ZV228" s="79" t="e">
        <f>(#REF!+#REF!)*#REF!/1000</f>
        <v>#REF!</v>
      </c>
      <c r="ZW228" s="79" t="e">
        <f>(#REF!+#REF!)*#REF!/1000</f>
        <v>#REF!</v>
      </c>
      <c r="ZX228" s="79" t="e">
        <f>(#REF!+#REF!)*#REF!/1000</f>
        <v>#REF!</v>
      </c>
      <c r="ZY228" s="79" t="e">
        <f>(#REF!+#REF!)*#REF!/1000</f>
        <v>#REF!</v>
      </c>
      <c r="ZZ228" s="79" t="e">
        <f>(#REF!+#REF!)*#REF!/1000</f>
        <v>#REF!</v>
      </c>
      <c r="AAA228" s="79" t="e">
        <f>(#REF!+#REF!)*#REF!/1000</f>
        <v>#REF!</v>
      </c>
      <c r="AAB228" s="79" t="e">
        <f>(#REF!+#REF!)*#REF!/1000</f>
        <v>#REF!</v>
      </c>
      <c r="AAC228" s="79" t="e">
        <f>(#REF!+#REF!)*#REF!/1000</f>
        <v>#REF!</v>
      </c>
      <c r="AAD228" s="79" t="e">
        <f>(#REF!+#REF!)*#REF!/1000</f>
        <v>#REF!</v>
      </c>
      <c r="AAE228" s="79" t="e">
        <f>(#REF!+#REF!)*#REF!/1000</f>
        <v>#REF!</v>
      </c>
      <c r="AAF228" s="79" t="e">
        <f>(#REF!+#REF!)*#REF!/1000</f>
        <v>#REF!</v>
      </c>
      <c r="AAG228" s="79" t="e">
        <f>(#REF!+#REF!)*#REF!/1000</f>
        <v>#REF!</v>
      </c>
      <c r="AAH228" s="79" t="e">
        <f>(#REF!+#REF!)*#REF!/1000</f>
        <v>#REF!</v>
      </c>
      <c r="AAI228" s="79" t="e">
        <f>(#REF!+#REF!)*#REF!/1000</f>
        <v>#REF!</v>
      </c>
      <c r="AAJ228" s="79" t="e">
        <f>(#REF!+#REF!)*#REF!/1000</f>
        <v>#REF!</v>
      </c>
      <c r="AAK228" s="79" t="e">
        <f>(#REF!+#REF!)*#REF!/1000</f>
        <v>#REF!</v>
      </c>
      <c r="AAL228" s="79" t="e">
        <f>(#REF!+#REF!)*#REF!/1000</f>
        <v>#REF!</v>
      </c>
      <c r="AAM228" s="79" t="e">
        <f>(#REF!+#REF!)*#REF!/1000</f>
        <v>#REF!</v>
      </c>
      <c r="AAN228" s="79" t="e">
        <f>(#REF!+#REF!)*#REF!/1000</f>
        <v>#REF!</v>
      </c>
      <c r="AAO228" s="79" t="e">
        <f>(#REF!+#REF!)*#REF!/1000</f>
        <v>#REF!</v>
      </c>
      <c r="AAP228" s="79" t="e">
        <f>(#REF!+#REF!)*#REF!/1000</f>
        <v>#REF!</v>
      </c>
      <c r="AAQ228" s="79" t="e">
        <f>(#REF!+#REF!)*#REF!/1000</f>
        <v>#REF!</v>
      </c>
      <c r="AAR228" s="79" t="e">
        <f>(#REF!+#REF!)*#REF!/1000</f>
        <v>#REF!</v>
      </c>
      <c r="AAS228" s="79" t="e">
        <f>(#REF!+#REF!)*#REF!/1000</f>
        <v>#REF!</v>
      </c>
      <c r="AAT228" s="79" t="e">
        <f>(#REF!+#REF!)*#REF!/1000</f>
        <v>#REF!</v>
      </c>
      <c r="AAU228" s="79" t="e">
        <f>(#REF!+#REF!)*#REF!/1000</f>
        <v>#REF!</v>
      </c>
      <c r="AAV228" s="79" t="e">
        <f>(#REF!+#REF!)*#REF!/1000</f>
        <v>#REF!</v>
      </c>
      <c r="AAW228" s="79" t="e">
        <f>(#REF!+#REF!)*#REF!/1000</f>
        <v>#REF!</v>
      </c>
      <c r="AAX228" s="79" t="e">
        <f>(#REF!+#REF!)*#REF!/1000</f>
        <v>#REF!</v>
      </c>
      <c r="AAY228" s="79" t="e">
        <f>(#REF!+#REF!)*#REF!/1000</f>
        <v>#REF!</v>
      </c>
      <c r="AAZ228" s="79" t="e">
        <f>(#REF!+#REF!)*#REF!/1000</f>
        <v>#REF!</v>
      </c>
      <c r="ABA228" s="79" t="e">
        <f>(#REF!+#REF!)*#REF!/1000</f>
        <v>#REF!</v>
      </c>
      <c r="ABB228" s="79" t="e">
        <f>(#REF!+#REF!)*#REF!/1000</f>
        <v>#REF!</v>
      </c>
      <c r="ABC228" s="79" t="e">
        <f>(#REF!+#REF!)*#REF!/1000</f>
        <v>#REF!</v>
      </c>
      <c r="ABD228" s="79" t="e">
        <f>(#REF!+#REF!)*#REF!/1000</f>
        <v>#REF!</v>
      </c>
      <c r="ABE228" s="79" t="e">
        <f>(#REF!+#REF!)*#REF!/1000</f>
        <v>#REF!</v>
      </c>
      <c r="ABF228" s="79" t="e">
        <f>(#REF!+#REF!)*#REF!/1000</f>
        <v>#REF!</v>
      </c>
      <c r="ABG228" s="79" t="e">
        <f>(#REF!+#REF!)*#REF!/1000</f>
        <v>#REF!</v>
      </c>
      <c r="ABH228" s="79" t="e">
        <f>(#REF!+#REF!)*#REF!/1000</f>
        <v>#REF!</v>
      </c>
      <c r="ABI228" s="79" t="e">
        <f>(#REF!+#REF!)*#REF!/1000</f>
        <v>#REF!</v>
      </c>
      <c r="ABJ228" s="79" t="e">
        <f>(#REF!+#REF!)*#REF!/1000</f>
        <v>#REF!</v>
      </c>
      <c r="ABK228" s="79" t="e">
        <f>(#REF!+#REF!)*#REF!/1000</f>
        <v>#REF!</v>
      </c>
      <c r="ABL228" s="79" t="e">
        <f>(#REF!+#REF!)*#REF!/1000</f>
        <v>#REF!</v>
      </c>
      <c r="ABM228" s="79" t="e">
        <f>(#REF!+#REF!)*#REF!/1000</f>
        <v>#REF!</v>
      </c>
      <c r="ABN228" s="79" t="e">
        <f>(#REF!+#REF!)*#REF!/1000</f>
        <v>#REF!</v>
      </c>
      <c r="ABO228" s="79" t="e">
        <f>(#REF!+#REF!)*#REF!/1000</f>
        <v>#REF!</v>
      </c>
      <c r="ABP228" s="79" t="e">
        <f>(#REF!+#REF!)*#REF!/1000</f>
        <v>#REF!</v>
      </c>
      <c r="ABQ228" s="79" t="e">
        <f>(#REF!+#REF!)*#REF!/1000</f>
        <v>#REF!</v>
      </c>
      <c r="ABR228" s="79" t="e">
        <f>(#REF!+#REF!)*#REF!/1000</f>
        <v>#REF!</v>
      </c>
      <c r="ABS228" s="79" t="e">
        <f>(#REF!+#REF!)*#REF!/1000</f>
        <v>#REF!</v>
      </c>
      <c r="ABT228" s="79" t="e">
        <f>(#REF!+#REF!)*#REF!/1000</f>
        <v>#REF!</v>
      </c>
      <c r="ABU228" s="79" t="e">
        <f>(#REF!+#REF!)*#REF!/1000</f>
        <v>#REF!</v>
      </c>
      <c r="ABV228" s="79" t="e">
        <f>(#REF!+#REF!)*#REF!/1000</f>
        <v>#REF!</v>
      </c>
      <c r="ABW228" s="79" t="e">
        <f>(#REF!+#REF!)*#REF!/1000</f>
        <v>#REF!</v>
      </c>
      <c r="ABX228" s="79" t="e">
        <f>(#REF!+#REF!)*#REF!/1000</f>
        <v>#REF!</v>
      </c>
      <c r="ABY228" s="79" t="e">
        <f>(#REF!+#REF!)*#REF!/1000</f>
        <v>#REF!</v>
      </c>
      <c r="ABZ228" s="79" t="e">
        <f>(#REF!+#REF!)*#REF!/1000</f>
        <v>#REF!</v>
      </c>
      <c r="ACA228" s="79" t="e">
        <f>(#REF!+#REF!)*#REF!/1000</f>
        <v>#REF!</v>
      </c>
      <c r="ACB228" s="79" t="e">
        <f>(#REF!+#REF!)*#REF!/1000</f>
        <v>#REF!</v>
      </c>
      <c r="ACC228" s="79" t="e">
        <f>(#REF!+#REF!)*#REF!/1000</f>
        <v>#REF!</v>
      </c>
      <c r="ACD228" s="79" t="e">
        <f>(#REF!+#REF!)*#REF!/1000</f>
        <v>#REF!</v>
      </c>
      <c r="ACE228" s="79" t="e">
        <f>(#REF!+#REF!)*#REF!/1000</f>
        <v>#REF!</v>
      </c>
      <c r="ACF228" s="79" t="e">
        <f>(#REF!+#REF!)*#REF!/1000</f>
        <v>#REF!</v>
      </c>
      <c r="ACG228" s="79" t="e">
        <f>(#REF!+#REF!)*#REF!/1000</f>
        <v>#REF!</v>
      </c>
      <c r="ACH228" s="79" t="e">
        <f>(#REF!+#REF!)*#REF!/1000</f>
        <v>#REF!</v>
      </c>
      <c r="ACI228" s="79" t="e">
        <f>(#REF!+#REF!)*#REF!/1000</f>
        <v>#REF!</v>
      </c>
      <c r="ACJ228" s="79" t="e">
        <f>(#REF!+#REF!)*#REF!/1000</f>
        <v>#REF!</v>
      </c>
      <c r="ACK228" s="79" t="e">
        <f>(#REF!+#REF!)*#REF!/1000</f>
        <v>#REF!</v>
      </c>
      <c r="ACL228" s="79" t="e">
        <f>(#REF!+#REF!)*#REF!/1000</f>
        <v>#REF!</v>
      </c>
      <c r="ACM228" s="79" t="e">
        <f>(#REF!+#REF!)*#REF!/1000</f>
        <v>#REF!</v>
      </c>
      <c r="ACN228" s="79" t="e">
        <f>(#REF!+#REF!)*#REF!/1000</f>
        <v>#REF!</v>
      </c>
      <c r="ACO228" s="79" t="e">
        <f>(#REF!+#REF!)*#REF!/1000</f>
        <v>#REF!</v>
      </c>
      <c r="ACP228" s="79" t="e">
        <f>(#REF!+#REF!)*#REF!/1000</f>
        <v>#REF!</v>
      </c>
      <c r="ACQ228" s="79" t="e">
        <f>(#REF!+#REF!)*#REF!/1000</f>
        <v>#REF!</v>
      </c>
      <c r="ACR228" s="79" t="e">
        <f>(#REF!+#REF!)*#REF!/1000</f>
        <v>#REF!</v>
      </c>
      <c r="ACS228" s="79" t="e">
        <f>(#REF!+#REF!)*#REF!/1000</f>
        <v>#REF!</v>
      </c>
      <c r="ACT228" s="79" t="e">
        <f>(#REF!+#REF!)*#REF!/1000</f>
        <v>#REF!</v>
      </c>
      <c r="ACU228" s="79" t="e">
        <f>(#REF!+#REF!)*#REF!/1000</f>
        <v>#REF!</v>
      </c>
      <c r="ACV228" s="79" t="e">
        <f>(#REF!+#REF!)*#REF!/1000</f>
        <v>#REF!</v>
      </c>
      <c r="ACW228" s="79" t="e">
        <f>(#REF!+#REF!)*#REF!/1000</f>
        <v>#REF!</v>
      </c>
      <c r="ACX228" s="79" t="e">
        <f>(#REF!+#REF!)*#REF!/1000</f>
        <v>#REF!</v>
      </c>
      <c r="ACY228" s="79"/>
      <c r="ACZ228" s="79"/>
      <c r="ADA228" s="79"/>
      <c r="ADB228" s="79"/>
      <c r="ADC228" s="79"/>
      <c r="ADD228" s="79"/>
      <c r="ADE228" s="79"/>
      <c r="ADF228" s="79"/>
      <c r="ADG228" s="79"/>
      <c r="ADH228" s="79"/>
      <c r="ADI228" s="79"/>
      <c r="ADJ228" s="79"/>
      <c r="ADK228" s="79"/>
      <c r="ADL228" s="79"/>
      <c r="ADM228" s="79"/>
      <c r="ADN228" s="79"/>
      <c r="AQP228" s="165"/>
    </row>
    <row r="229" spans="4:794 1134:1134" ht="14.25" x14ac:dyDescent="0.45">
      <c r="D229" t="s">
        <v>411</v>
      </c>
      <c r="E229" s="79" t="e">
        <f>(#REF!+#REF!)*#REF!/1000</f>
        <v>#REF!</v>
      </c>
      <c r="F229" s="79" t="e">
        <f>(#REF!+#REF!)*#REF!/1000</f>
        <v>#REF!</v>
      </c>
      <c r="G229" s="79" t="e">
        <f>(#REF!+#REF!)*#REF!/1000</f>
        <v>#REF!</v>
      </c>
      <c r="H229" s="79" t="e">
        <f>(#REF!+#REF!)*#REF!/1000</f>
        <v>#REF!</v>
      </c>
      <c r="I229" s="79" t="e">
        <f>(#REF!+#REF!)*#REF!/1000</f>
        <v>#REF!</v>
      </c>
      <c r="J229" s="79" t="e">
        <f>(#REF!+#REF!)*#REF!/1000</f>
        <v>#REF!</v>
      </c>
      <c r="K229" s="79" t="e">
        <f>(#REF!+#REF!)*#REF!/1000</f>
        <v>#REF!</v>
      </c>
      <c r="L229" s="79" t="e">
        <f>(#REF!+#REF!)*#REF!/1000</f>
        <v>#REF!</v>
      </c>
      <c r="M229" s="79" t="e">
        <f>(#REF!+#REF!)*#REF!/1000</f>
        <v>#REF!</v>
      </c>
      <c r="N229" s="79" t="e">
        <f>(#REF!+#REF!)*#REF!/1000</f>
        <v>#REF!</v>
      </c>
      <c r="O229" s="79" t="e">
        <f>(#REF!+#REF!)*#REF!/1000</f>
        <v>#REF!</v>
      </c>
      <c r="P229" s="79" t="e">
        <f>(#REF!+#REF!)*#REF!/1000</f>
        <v>#REF!</v>
      </c>
      <c r="Q229" s="79" t="e">
        <f>(#REF!+#REF!)*#REF!/1000</f>
        <v>#REF!</v>
      </c>
      <c r="R229" s="79" t="e">
        <f>(#REF!+#REF!)*#REF!/1000</f>
        <v>#REF!</v>
      </c>
      <c r="S229" s="79" t="e">
        <f>(#REF!+#REF!)*#REF!/1000</f>
        <v>#REF!</v>
      </c>
      <c r="T229" s="79" t="e">
        <f>(#REF!+#REF!)*#REF!/1000</f>
        <v>#REF!</v>
      </c>
      <c r="U229" s="79" t="e">
        <f>(#REF!+#REF!)*#REF!/1000</f>
        <v>#REF!</v>
      </c>
      <c r="V229" s="79" t="e">
        <f>(#REF!+#REF!)*#REF!/1000</f>
        <v>#REF!</v>
      </c>
      <c r="W229" s="79" t="e">
        <f>(#REF!+#REF!)*#REF!/1000</f>
        <v>#REF!</v>
      </c>
      <c r="X229" s="79" t="e">
        <f>(#REF!+#REF!)*#REF!/1000</f>
        <v>#REF!</v>
      </c>
      <c r="Y229" s="79" t="e">
        <f>(#REF!+#REF!)*#REF!/1000</f>
        <v>#REF!</v>
      </c>
      <c r="Z229" s="79" t="e">
        <f>(#REF!+#REF!)*#REF!/1000</f>
        <v>#REF!</v>
      </c>
      <c r="AA229" s="79" t="e">
        <f>(#REF!+#REF!)*#REF!/1000</f>
        <v>#REF!</v>
      </c>
      <c r="AB229" s="79" t="e">
        <f>(#REF!+#REF!)*#REF!/1000</f>
        <v>#REF!</v>
      </c>
      <c r="AC229" s="79" t="e">
        <f>(#REF!+#REF!)*#REF!/1000</f>
        <v>#REF!</v>
      </c>
      <c r="AD229" s="79" t="e">
        <f>(#REF!+#REF!)*#REF!/1000</f>
        <v>#REF!</v>
      </c>
      <c r="AE229" s="79" t="e">
        <f>(#REF!+#REF!)*#REF!/1000</f>
        <v>#REF!</v>
      </c>
      <c r="AF229" s="79" t="e">
        <f>(#REF!+#REF!)*#REF!/1000</f>
        <v>#REF!</v>
      </c>
      <c r="AG229" s="79" t="e">
        <f>(#REF!+#REF!)*#REF!/1000</f>
        <v>#REF!</v>
      </c>
      <c r="AH229" s="79" t="e">
        <f>(#REF!+#REF!)*#REF!/1000</f>
        <v>#REF!</v>
      </c>
      <c r="AI229" s="79" t="e">
        <f>(#REF!+#REF!)*#REF!/1000</f>
        <v>#REF!</v>
      </c>
      <c r="AJ229" s="79" t="e">
        <f>(#REF!+#REF!)*#REF!/1000</f>
        <v>#REF!</v>
      </c>
      <c r="AK229" s="79" t="e">
        <f>(#REF!+#REF!)*#REF!/1000</f>
        <v>#REF!</v>
      </c>
      <c r="AL229" s="79" t="e">
        <f>(#REF!+#REF!)*#REF!/1000</f>
        <v>#REF!</v>
      </c>
      <c r="AM229" s="79" t="e">
        <f>(#REF!+#REF!)*#REF!/1000</f>
        <v>#REF!</v>
      </c>
      <c r="AN229" s="79" t="e">
        <f>(#REF!+#REF!)*#REF!/1000</f>
        <v>#REF!</v>
      </c>
      <c r="AO229" s="79" t="e">
        <f>(#REF!+#REF!)*#REF!/1000</f>
        <v>#REF!</v>
      </c>
      <c r="AP229" s="79" t="e">
        <f>(#REF!+#REF!)*#REF!/1000</f>
        <v>#REF!</v>
      </c>
      <c r="AQ229" s="79" t="e">
        <f>(#REF!+#REF!)*#REF!/1000</f>
        <v>#REF!</v>
      </c>
      <c r="AR229" s="79" t="e">
        <f>(#REF!+#REF!)*#REF!/1000</f>
        <v>#REF!</v>
      </c>
      <c r="AS229" s="79" t="e">
        <f>(#REF!+#REF!)*#REF!/1000</f>
        <v>#REF!</v>
      </c>
      <c r="AT229" s="79" t="e">
        <f>(#REF!+#REF!)*#REF!/1000</f>
        <v>#REF!</v>
      </c>
      <c r="AU229" s="79" t="e">
        <f>(#REF!+#REF!)*#REF!/1000</f>
        <v>#REF!</v>
      </c>
      <c r="AV229" s="79" t="e">
        <f>(#REF!+#REF!)*#REF!/1000</f>
        <v>#REF!</v>
      </c>
      <c r="AW229" s="79" t="e">
        <f>(#REF!+#REF!)*#REF!/1000</f>
        <v>#REF!</v>
      </c>
      <c r="AX229" s="79" t="e">
        <f>(#REF!+#REF!)*#REF!/1000</f>
        <v>#REF!</v>
      </c>
      <c r="AY229" s="79" t="e">
        <f>(#REF!+#REF!)*#REF!/1000</f>
        <v>#REF!</v>
      </c>
      <c r="AZ229" s="79" t="e">
        <f>(#REF!+#REF!)*#REF!/1000</f>
        <v>#REF!</v>
      </c>
      <c r="BA229" s="79" t="e">
        <f>(#REF!+#REF!)*#REF!/1000</f>
        <v>#REF!</v>
      </c>
      <c r="BB229" s="79" t="e">
        <f>(#REF!+#REF!)*#REF!/1000</f>
        <v>#REF!</v>
      </c>
      <c r="BC229" s="79" t="e">
        <f>(#REF!+#REF!)*#REF!/1000</f>
        <v>#REF!</v>
      </c>
      <c r="BD229" s="79" t="e">
        <f>(#REF!+#REF!)*#REF!/1000</f>
        <v>#REF!</v>
      </c>
      <c r="BE229" s="79" t="e">
        <f>(#REF!+#REF!)*#REF!/1000</f>
        <v>#REF!</v>
      </c>
      <c r="BF229" s="79" t="e">
        <f>(#REF!+#REF!)*#REF!/1000</f>
        <v>#REF!</v>
      </c>
      <c r="BG229" s="79" t="e">
        <f>(#REF!+#REF!)*#REF!/1000</f>
        <v>#REF!</v>
      </c>
      <c r="BH229" s="79" t="e">
        <f>(#REF!+#REF!)*#REF!/1000</f>
        <v>#REF!</v>
      </c>
      <c r="BI229" s="79" t="e">
        <f>(#REF!+#REF!)*#REF!/1000</f>
        <v>#REF!</v>
      </c>
      <c r="BJ229" s="79" t="e">
        <f>(#REF!+#REF!)*#REF!/1000</f>
        <v>#REF!</v>
      </c>
      <c r="BK229" s="79" t="e">
        <f>(#REF!+#REF!)*#REF!/1000</f>
        <v>#REF!</v>
      </c>
      <c r="BL229" s="79" t="e">
        <f>(#REF!+#REF!)*#REF!/1000</f>
        <v>#REF!</v>
      </c>
      <c r="BM229" s="79" t="e">
        <f>(#REF!+#REF!)*#REF!/1000</f>
        <v>#REF!</v>
      </c>
      <c r="BN229" s="79" t="e">
        <f>(#REF!+#REF!)*#REF!/1000</f>
        <v>#REF!</v>
      </c>
      <c r="BO229" s="79" t="e">
        <f>(#REF!+#REF!)*#REF!/1000</f>
        <v>#REF!</v>
      </c>
      <c r="BP229" s="79" t="e">
        <f>(#REF!+#REF!)*#REF!/1000</f>
        <v>#REF!</v>
      </c>
      <c r="BQ229" s="79" t="e">
        <f>(#REF!+#REF!)*#REF!/1000</f>
        <v>#REF!</v>
      </c>
      <c r="BR229" s="79" t="e">
        <f>(#REF!+#REF!)*#REF!/1000</f>
        <v>#REF!</v>
      </c>
      <c r="BS229" s="79" t="e">
        <f>(#REF!+#REF!)*#REF!/1000</f>
        <v>#REF!</v>
      </c>
      <c r="BT229" s="79" t="e">
        <f>(#REF!+#REF!)*#REF!/1000</f>
        <v>#REF!</v>
      </c>
      <c r="BU229" s="79" t="e">
        <f>(#REF!+#REF!)*#REF!/1000</f>
        <v>#REF!</v>
      </c>
      <c r="BV229" s="79" t="e">
        <f>(#REF!+#REF!)*#REF!/1000</f>
        <v>#REF!</v>
      </c>
      <c r="BW229" s="79" t="e">
        <f>(#REF!+#REF!)*#REF!/1000</f>
        <v>#REF!</v>
      </c>
      <c r="BX229" s="79" t="e">
        <f>(#REF!+#REF!)*#REF!/1000</f>
        <v>#REF!</v>
      </c>
      <c r="BY229" s="79" t="e">
        <f>(#REF!+#REF!)*#REF!/1000</f>
        <v>#REF!</v>
      </c>
      <c r="BZ229" s="79" t="e">
        <f>(#REF!+#REF!)*#REF!/1000</f>
        <v>#REF!</v>
      </c>
      <c r="CA229" s="79" t="e">
        <f>(#REF!+#REF!)*#REF!/1000</f>
        <v>#REF!</v>
      </c>
      <c r="CB229" s="79" t="e">
        <f>(#REF!+#REF!)*#REF!/1000</f>
        <v>#REF!</v>
      </c>
      <c r="CC229" s="79" t="e">
        <f>(#REF!+#REF!)*#REF!/1000</f>
        <v>#REF!</v>
      </c>
      <c r="CD229" s="79" t="e">
        <f>(#REF!+#REF!)*#REF!/1000</f>
        <v>#REF!</v>
      </c>
      <c r="CE229" s="79" t="e">
        <f>(#REF!+#REF!)*#REF!/1000</f>
        <v>#REF!</v>
      </c>
      <c r="CF229" s="79" t="e">
        <f>(#REF!+#REF!)*#REF!/1000</f>
        <v>#REF!</v>
      </c>
      <c r="CG229" s="79" t="e">
        <f>(#REF!+#REF!)*#REF!/1000</f>
        <v>#REF!</v>
      </c>
      <c r="CH229" s="79" t="e">
        <f>(#REF!+#REF!)*#REF!/1000</f>
        <v>#REF!</v>
      </c>
      <c r="CI229" s="79" t="e">
        <f>(#REF!+#REF!)*#REF!/1000</f>
        <v>#REF!</v>
      </c>
      <c r="CJ229" s="79" t="e">
        <f>(#REF!+#REF!)*#REF!/1000</f>
        <v>#REF!</v>
      </c>
      <c r="CK229" s="79" t="e">
        <f>(#REF!+#REF!)*#REF!/1000</f>
        <v>#REF!</v>
      </c>
      <c r="CL229" s="79" t="e">
        <f>(#REF!+#REF!)*#REF!/1000</f>
        <v>#REF!</v>
      </c>
      <c r="CM229" s="79" t="e">
        <f>(#REF!+#REF!)*#REF!/1000</f>
        <v>#REF!</v>
      </c>
      <c r="CN229" s="79" t="e">
        <f>(#REF!+#REF!)*#REF!/1000</f>
        <v>#REF!</v>
      </c>
      <c r="CO229" s="79" t="e">
        <f>(#REF!+#REF!)*#REF!/1000</f>
        <v>#REF!</v>
      </c>
      <c r="CP229" s="79" t="e">
        <f>(#REF!+#REF!)*#REF!/1000</f>
        <v>#REF!</v>
      </c>
      <c r="CQ229" s="79" t="e">
        <f>(#REF!+#REF!)*#REF!/1000</f>
        <v>#REF!</v>
      </c>
      <c r="CR229" s="79" t="e">
        <f>(#REF!+#REF!)*#REF!/1000</f>
        <v>#REF!</v>
      </c>
      <c r="CS229" s="79" t="e">
        <f>(#REF!+#REF!)*#REF!/1000</f>
        <v>#REF!</v>
      </c>
      <c r="CT229" s="79" t="e">
        <f>(#REF!+#REF!)*#REF!/1000</f>
        <v>#REF!</v>
      </c>
      <c r="CU229" s="79" t="e">
        <f>(#REF!+#REF!)*#REF!/1000</f>
        <v>#REF!</v>
      </c>
      <c r="CV229" s="79" t="e">
        <f>(#REF!+#REF!)*#REF!/1000</f>
        <v>#REF!</v>
      </c>
      <c r="CW229" s="79" t="e">
        <f>(#REF!+#REF!)*#REF!/1000</f>
        <v>#REF!</v>
      </c>
      <c r="CX229" s="79" t="e">
        <f>(#REF!+#REF!)*#REF!/1000</f>
        <v>#REF!</v>
      </c>
      <c r="CY229" s="79" t="e">
        <f>(#REF!+#REF!)*#REF!/1000</f>
        <v>#REF!</v>
      </c>
      <c r="CZ229" s="79" t="e">
        <f>(#REF!+#REF!)*#REF!/1000</f>
        <v>#REF!</v>
      </c>
      <c r="DA229" s="79" t="e">
        <f>(#REF!+#REF!)*#REF!/1000</f>
        <v>#REF!</v>
      </c>
      <c r="DB229" s="79" t="e">
        <f>(#REF!+#REF!)*#REF!/1000</f>
        <v>#REF!</v>
      </c>
      <c r="DC229" s="79" t="e">
        <f>(#REF!+#REF!)*#REF!/1000</f>
        <v>#REF!</v>
      </c>
      <c r="DD229" s="79" t="e">
        <f>(#REF!+#REF!)*#REF!/1000</f>
        <v>#REF!</v>
      </c>
      <c r="DE229" s="79" t="e">
        <f>(#REF!+#REF!)*#REF!/1000</f>
        <v>#REF!</v>
      </c>
      <c r="DF229" s="79" t="e">
        <f>(#REF!+#REF!)*#REF!/1000</f>
        <v>#REF!</v>
      </c>
      <c r="DG229" s="79" t="e">
        <f>(#REF!+#REF!)*#REF!/1000</f>
        <v>#REF!</v>
      </c>
      <c r="DH229" s="79" t="e">
        <f>(#REF!+#REF!)*#REF!/1000</f>
        <v>#REF!</v>
      </c>
      <c r="DI229" s="79" t="e">
        <f>(#REF!+#REF!)*#REF!/1000</f>
        <v>#REF!</v>
      </c>
      <c r="DJ229" s="79" t="e">
        <f>(#REF!+#REF!)*#REF!/1000</f>
        <v>#REF!</v>
      </c>
      <c r="DK229" s="79" t="e">
        <f>(#REF!+#REF!)*#REF!/1000</f>
        <v>#REF!</v>
      </c>
      <c r="DL229" s="79" t="e">
        <f>(#REF!+#REF!)*#REF!/1000</f>
        <v>#REF!</v>
      </c>
      <c r="DM229" s="79" t="e">
        <f>(#REF!+#REF!)*#REF!/1000</f>
        <v>#REF!</v>
      </c>
      <c r="DN229" s="79" t="e">
        <f>(#REF!+#REF!)*#REF!/1000</f>
        <v>#REF!</v>
      </c>
      <c r="DO229" s="79" t="e">
        <f>(#REF!+#REF!)*#REF!/1000</f>
        <v>#REF!</v>
      </c>
      <c r="DP229" s="79" t="e">
        <f>(#REF!+#REF!)*#REF!/1000</f>
        <v>#REF!</v>
      </c>
      <c r="DQ229" s="79" t="e">
        <f>(#REF!+#REF!)*#REF!/1000</f>
        <v>#REF!</v>
      </c>
      <c r="DR229" s="79" t="e">
        <f>(#REF!+#REF!)*#REF!/1000</f>
        <v>#REF!</v>
      </c>
      <c r="DS229" s="79" t="e">
        <f>(#REF!+#REF!)*#REF!/1000</f>
        <v>#REF!</v>
      </c>
      <c r="DT229" s="79" t="e">
        <f>(#REF!+#REF!)*#REF!/1000</f>
        <v>#REF!</v>
      </c>
      <c r="DU229" s="79" t="e">
        <f>(#REF!+#REF!)*#REF!/1000</f>
        <v>#REF!</v>
      </c>
      <c r="DV229" s="79" t="e">
        <f>(#REF!+#REF!)*#REF!/1000</f>
        <v>#REF!</v>
      </c>
      <c r="DW229" s="79" t="e">
        <f>(#REF!+#REF!)*#REF!/1000</f>
        <v>#REF!</v>
      </c>
      <c r="DX229" s="79" t="e">
        <f>(#REF!+#REF!)*#REF!/1000</f>
        <v>#REF!</v>
      </c>
      <c r="DY229" s="79" t="e">
        <f>(#REF!+#REF!)*#REF!/1000</f>
        <v>#REF!</v>
      </c>
      <c r="DZ229" s="79" t="e">
        <f>(#REF!+#REF!)*#REF!/1000</f>
        <v>#REF!</v>
      </c>
      <c r="EA229" s="79" t="e">
        <f>(#REF!+#REF!)*#REF!/1000</f>
        <v>#REF!</v>
      </c>
      <c r="EB229" s="79" t="e">
        <f>(#REF!+#REF!)*#REF!/1000</f>
        <v>#REF!</v>
      </c>
      <c r="EC229" s="79" t="e">
        <f>(#REF!+#REF!)*#REF!/1000</f>
        <v>#REF!</v>
      </c>
      <c r="ED229" s="79" t="e">
        <f>(#REF!+#REF!)*#REF!/1000</f>
        <v>#REF!</v>
      </c>
      <c r="EE229" s="79" t="e">
        <f>(#REF!+#REF!)*#REF!/1000</f>
        <v>#REF!</v>
      </c>
      <c r="EF229" s="79" t="e">
        <f>(#REF!+#REF!)*#REF!/1000</f>
        <v>#REF!</v>
      </c>
      <c r="EG229" s="79" t="e">
        <f>(#REF!+#REF!)*#REF!/1000</f>
        <v>#REF!</v>
      </c>
      <c r="EH229" s="79" t="e">
        <f>(#REF!+#REF!)*#REF!/1000</f>
        <v>#REF!</v>
      </c>
      <c r="EI229" s="79" t="e">
        <f>(#REF!+#REF!)*#REF!/1000</f>
        <v>#REF!</v>
      </c>
      <c r="EJ229" s="79" t="e">
        <f>(#REF!+#REF!)*#REF!/1000</f>
        <v>#REF!</v>
      </c>
      <c r="EK229" s="79" t="e">
        <f>(#REF!+#REF!)*#REF!/1000</f>
        <v>#REF!</v>
      </c>
      <c r="EL229" s="79" t="e">
        <f>(#REF!+#REF!)*#REF!/1000</f>
        <v>#REF!</v>
      </c>
      <c r="EM229" s="79" t="e">
        <f>(#REF!+#REF!)*#REF!/1000</f>
        <v>#REF!</v>
      </c>
      <c r="EN229" s="79" t="e">
        <f>(#REF!+#REF!)*#REF!/1000</f>
        <v>#REF!</v>
      </c>
      <c r="EO229" s="79" t="e">
        <f>(#REF!+#REF!)*#REF!/1000</f>
        <v>#REF!</v>
      </c>
      <c r="EP229" s="79" t="e">
        <f>(#REF!+#REF!)*#REF!/1000</f>
        <v>#REF!</v>
      </c>
      <c r="EQ229" s="79" t="e">
        <f>(#REF!+#REF!)*#REF!/1000</f>
        <v>#REF!</v>
      </c>
      <c r="ER229" s="79" t="e">
        <f>(#REF!+#REF!)*#REF!/1000</f>
        <v>#REF!</v>
      </c>
      <c r="ES229" s="79" t="e">
        <f>(#REF!+#REF!)*#REF!/1000</f>
        <v>#REF!</v>
      </c>
      <c r="ET229" s="79" t="e">
        <f>(#REF!+#REF!)*#REF!/1000</f>
        <v>#REF!</v>
      </c>
      <c r="EU229" s="79" t="e">
        <f>(#REF!+#REF!)*#REF!/1000</f>
        <v>#REF!</v>
      </c>
      <c r="EV229" s="79" t="e">
        <f>(#REF!+#REF!)*#REF!/1000</f>
        <v>#REF!</v>
      </c>
      <c r="EW229" s="79" t="e">
        <f>(#REF!+#REF!)*#REF!/1000</f>
        <v>#REF!</v>
      </c>
      <c r="EX229" s="79" t="e">
        <f>(#REF!+#REF!)*#REF!/1000</f>
        <v>#REF!</v>
      </c>
      <c r="EY229" s="79" t="e">
        <f>(#REF!+#REF!)*#REF!/1000</f>
        <v>#REF!</v>
      </c>
      <c r="EZ229" s="79" t="e">
        <f>(#REF!+#REF!)*#REF!/1000</f>
        <v>#REF!</v>
      </c>
      <c r="FA229" s="79" t="e">
        <f>(#REF!+#REF!)*#REF!/1000</f>
        <v>#REF!</v>
      </c>
      <c r="FB229" s="79" t="e">
        <f>(#REF!+#REF!)*#REF!/1000</f>
        <v>#REF!</v>
      </c>
      <c r="FC229" s="79" t="e">
        <f>(#REF!+#REF!)*#REF!/1000</f>
        <v>#REF!</v>
      </c>
      <c r="FD229" s="79" t="e">
        <f>(#REF!+#REF!)*#REF!/1000</f>
        <v>#REF!</v>
      </c>
      <c r="FE229" s="79" t="e">
        <f>(#REF!+#REF!)*#REF!/1000</f>
        <v>#REF!</v>
      </c>
      <c r="FF229" s="79" t="e">
        <f>(#REF!+#REF!)*#REF!/1000</f>
        <v>#REF!</v>
      </c>
      <c r="FG229" s="79" t="e">
        <f>(#REF!+#REF!)*#REF!/1000</f>
        <v>#REF!</v>
      </c>
      <c r="FH229" s="79" t="e">
        <f>(#REF!+#REF!)*#REF!/1000</f>
        <v>#REF!</v>
      </c>
      <c r="FI229" s="79" t="e">
        <f>(#REF!+#REF!)*#REF!/1000</f>
        <v>#REF!</v>
      </c>
      <c r="FJ229" s="79" t="e">
        <f>(#REF!+#REF!)*#REF!/1000</f>
        <v>#REF!</v>
      </c>
      <c r="FK229" s="79" t="e">
        <f>(#REF!+#REF!)*#REF!/1000</f>
        <v>#REF!</v>
      </c>
      <c r="FL229" s="79" t="e">
        <f>(#REF!+#REF!)*#REF!/1000</f>
        <v>#REF!</v>
      </c>
      <c r="FM229" s="79" t="e">
        <f>(#REF!+#REF!)*#REF!/1000</f>
        <v>#REF!</v>
      </c>
      <c r="FN229" s="79" t="e">
        <f>(#REF!+#REF!)*#REF!/1000</f>
        <v>#REF!</v>
      </c>
      <c r="FO229" s="79" t="e">
        <f>(#REF!+#REF!)*#REF!/1000</f>
        <v>#REF!</v>
      </c>
      <c r="FP229" s="79" t="e">
        <f>(#REF!+#REF!)*#REF!/1000</f>
        <v>#REF!</v>
      </c>
      <c r="FQ229" s="79" t="e">
        <f>(#REF!+#REF!)*#REF!/1000</f>
        <v>#REF!</v>
      </c>
      <c r="FR229" s="79" t="e">
        <f>(#REF!+#REF!)*#REF!/1000</f>
        <v>#REF!</v>
      </c>
      <c r="FS229" s="79" t="e">
        <f>(#REF!+#REF!)*#REF!/1000</f>
        <v>#REF!</v>
      </c>
      <c r="FT229" s="79" t="e">
        <f>(#REF!+#REF!)*#REF!/1000</f>
        <v>#REF!</v>
      </c>
      <c r="FU229" s="79" t="e">
        <f>(#REF!+#REF!)*#REF!/1000</f>
        <v>#REF!</v>
      </c>
      <c r="FV229" s="79" t="e">
        <f>(#REF!+#REF!)*#REF!/1000</f>
        <v>#REF!</v>
      </c>
      <c r="FW229" s="79" t="e">
        <f>(#REF!+#REF!)*#REF!/1000</f>
        <v>#REF!</v>
      </c>
      <c r="FX229" s="79" t="e">
        <f>(#REF!+#REF!)*#REF!/1000</f>
        <v>#REF!</v>
      </c>
      <c r="FY229" s="79" t="e">
        <f>(#REF!+#REF!)*#REF!/1000</f>
        <v>#REF!</v>
      </c>
      <c r="FZ229" s="79" t="e">
        <f>(#REF!+#REF!)*#REF!/1000</f>
        <v>#REF!</v>
      </c>
      <c r="GA229" s="79" t="e">
        <f>(#REF!+#REF!)*#REF!/1000</f>
        <v>#REF!</v>
      </c>
      <c r="GB229" s="79" t="e">
        <f>(#REF!+#REF!)*#REF!/1000</f>
        <v>#REF!</v>
      </c>
      <c r="GC229" s="79" t="e">
        <f>(#REF!+#REF!)*#REF!/1000</f>
        <v>#REF!</v>
      </c>
      <c r="GD229" s="79" t="e">
        <f>(#REF!+#REF!)*#REF!/1000</f>
        <v>#REF!</v>
      </c>
      <c r="GE229" s="79" t="e">
        <f>(#REF!+#REF!)*#REF!/1000</f>
        <v>#REF!</v>
      </c>
      <c r="GF229" s="79" t="e">
        <f>(#REF!+#REF!)*#REF!/1000</f>
        <v>#REF!</v>
      </c>
      <c r="GG229" s="79" t="e">
        <f>(#REF!+#REF!)*#REF!/1000</f>
        <v>#REF!</v>
      </c>
      <c r="GH229" s="79" t="e">
        <f>(#REF!+#REF!)*#REF!/1000</f>
        <v>#REF!</v>
      </c>
      <c r="GI229" s="79" t="e">
        <f>(#REF!+#REF!)*#REF!/1000</f>
        <v>#REF!</v>
      </c>
      <c r="GJ229" s="79" t="e">
        <f>(#REF!+#REF!)*#REF!/1000</f>
        <v>#REF!</v>
      </c>
      <c r="GK229" s="79" t="e">
        <f>(#REF!+#REF!)*#REF!/1000</f>
        <v>#REF!</v>
      </c>
      <c r="GL229" s="79" t="e">
        <f>(#REF!+#REF!)*#REF!/1000</f>
        <v>#REF!</v>
      </c>
      <c r="GM229" s="79" t="e">
        <f>(#REF!+#REF!)*#REF!/1000</f>
        <v>#REF!</v>
      </c>
      <c r="GN229" s="79" t="e">
        <f>(#REF!+#REF!)*#REF!/1000</f>
        <v>#REF!</v>
      </c>
      <c r="GO229" s="79" t="e">
        <f>(#REF!+#REF!)*#REF!/1000</f>
        <v>#REF!</v>
      </c>
      <c r="GP229" s="79" t="e">
        <f>(#REF!+#REF!)*#REF!/1000</f>
        <v>#REF!</v>
      </c>
      <c r="GQ229" s="79" t="e">
        <f>(#REF!+#REF!)*#REF!/1000</f>
        <v>#REF!</v>
      </c>
      <c r="GR229" s="79" t="e">
        <f>(#REF!+#REF!)*#REF!/1000</f>
        <v>#REF!</v>
      </c>
      <c r="GS229" s="79" t="e">
        <f>(#REF!+#REF!)*#REF!/1000</f>
        <v>#REF!</v>
      </c>
      <c r="GT229" s="79" t="e">
        <f>(#REF!+#REF!)*#REF!/1000</f>
        <v>#REF!</v>
      </c>
      <c r="GU229" s="79" t="e">
        <f>(#REF!+#REF!)*#REF!/1000</f>
        <v>#REF!</v>
      </c>
      <c r="GV229" s="79" t="e">
        <f>(#REF!+#REF!)*#REF!/1000</f>
        <v>#REF!</v>
      </c>
      <c r="GW229" s="79" t="e">
        <f>(#REF!+#REF!)*#REF!/1000</f>
        <v>#REF!</v>
      </c>
      <c r="GX229" s="79" t="e">
        <f>(#REF!+#REF!)*#REF!/1000</f>
        <v>#REF!</v>
      </c>
      <c r="GY229" s="79" t="e">
        <f>(#REF!+#REF!)*#REF!/1000</f>
        <v>#REF!</v>
      </c>
      <c r="GZ229" s="79" t="e">
        <f>(#REF!+#REF!)*#REF!/1000</f>
        <v>#REF!</v>
      </c>
      <c r="HA229" s="79" t="e">
        <f>(#REF!+#REF!)*#REF!/1000</f>
        <v>#REF!</v>
      </c>
      <c r="HB229" s="79" t="e">
        <f>(#REF!+#REF!)*#REF!/1000</f>
        <v>#REF!</v>
      </c>
      <c r="HC229" s="79" t="e">
        <f>(#REF!+#REF!)*#REF!/1000</f>
        <v>#REF!</v>
      </c>
      <c r="HD229" s="79" t="e">
        <f>(#REF!+#REF!)*#REF!/1000</f>
        <v>#REF!</v>
      </c>
      <c r="HE229" s="79" t="e">
        <f>(#REF!+#REF!)*#REF!/1000</f>
        <v>#REF!</v>
      </c>
      <c r="HF229" s="79" t="e">
        <f>(#REF!+#REF!)*#REF!/1000</f>
        <v>#REF!</v>
      </c>
      <c r="HG229" s="79" t="e">
        <f>(#REF!+#REF!)*#REF!/1000</f>
        <v>#REF!</v>
      </c>
      <c r="HH229" s="79" t="e">
        <f>(#REF!+#REF!)*#REF!/1000</f>
        <v>#REF!</v>
      </c>
      <c r="HI229" s="79" t="e">
        <f>(#REF!+#REF!)*#REF!/1000</f>
        <v>#REF!</v>
      </c>
      <c r="HJ229" s="79" t="e">
        <f>(#REF!+#REF!)*#REF!/1000</f>
        <v>#REF!</v>
      </c>
      <c r="HK229" s="79" t="e">
        <f>(#REF!+#REF!)*#REF!/1000</f>
        <v>#REF!</v>
      </c>
      <c r="HL229" s="79" t="e">
        <f>(#REF!+#REF!)*#REF!/1000</f>
        <v>#REF!</v>
      </c>
      <c r="HM229" s="79" t="e">
        <f>(#REF!+#REF!)*#REF!/1000</f>
        <v>#REF!</v>
      </c>
      <c r="HN229" s="79" t="e">
        <f>(#REF!+#REF!)*#REF!/1000</f>
        <v>#REF!</v>
      </c>
      <c r="HO229" s="79" t="e">
        <f>(#REF!+#REF!)*#REF!/1000</f>
        <v>#REF!</v>
      </c>
      <c r="HP229" s="79" t="e">
        <f>(#REF!+#REF!)*#REF!/1000</f>
        <v>#REF!</v>
      </c>
      <c r="HQ229" s="79" t="e">
        <f>(#REF!+#REF!)*#REF!/1000</f>
        <v>#REF!</v>
      </c>
      <c r="HR229" s="79" t="e">
        <f>(#REF!+#REF!)*#REF!/1000</f>
        <v>#REF!</v>
      </c>
      <c r="HS229" s="79" t="e">
        <f>(#REF!+#REF!)*#REF!/1000</f>
        <v>#REF!</v>
      </c>
      <c r="HT229" s="79" t="e">
        <f>(#REF!+#REF!)*#REF!/1000</f>
        <v>#REF!</v>
      </c>
      <c r="HU229" s="79" t="e">
        <f>(#REF!+#REF!)*#REF!/1000</f>
        <v>#REF!</v>
      </c>
      <c r="HV229" s="79" t="e">
        <f>(#REF!+#REF!)*#REF!/1000</f>
        <v>#REF!</v>
      </c>
      <c r="HW229" s="79" t="e">
        <f>(#REF!+#REF!)*#REF!/1000</f>
        <v>#REF!</v>
      </c>
      <c r="HX229" s="79" t="e">
        <f>(#REF!+#REF!)*#REF!/1000</f>
        <v>#REF!</v>
      </c>
      <c r="HY229" s="79" t="e">
        <f>(#REF!+#REF!)*#REF!/1000</f>
        <v>#REF!</v>
      </c>
      <c r="HZ229" s="79" t="e">
        <f>(#REF!+#REF!)*#REF!/1000</f>
        <v>#REF!</v>
      </c>
      <c r="IA229" s="79" t="e">
        <f>(#REF!+#REF!)*#REF!/1000</f>
        <v>#REF!</v>
      </c>
      <c r="IB229" s="79" t="e">
        <f>(#REF!+#REF!)*#REF!/1000</f>
        <v>#REF!</v>
      </c>
      <c r="IC229" s="79" t="e">
        <f>(#REF!+#REF!)*#REF!/1000</f>
        <v>#REF!</v>
      </c>
      <c r="ID229" s="79" t="e">
        <f>(#REF!+#REF!)*#REF!/1000</f>
        <v>#REF!</v>
      </c>
      <c r="IE229" s="79" t="e">
        <f>(#REF!+#REF!)*#REF!/1000</f>
        <v>#REF!</v>
      </c>
      <c r="IF229" s="79" t="e">
        <f>(#REF!+#REF!)*#REF!/1000</f>
        <v>#REF!</v>
      </c>
      <c r="IG229" s="79" t="e">
        <f>(#REF!+#REF!)*#REF!/1000</f>
        <v>#REF!</v>
      </c>
      <c r="IH229" s="79" t="e">
        <f>(#REF!+#REF!)*#REF!/1000</f>
        <v>#REF!</v>
      </c>
      <c r="II229" s="79" t="e">
        <f>(#REF!+#REF!)*#REF!/1000</f>
        <v>#REF!</v>
      </c>
      <c r="IJ229" s="79" t="e">
        <f>(#REF!+#REF!)*#REF!/1000</f>
        <v>#REF!</v>
      </c>
      <c r="IK229" s="79" t="e">
        <f>(#REF!+#REF!)*#REF!/1000</f>
        <v>#REF!</v>
      </c>
      <c r="IL229" s="79" t="e">
        <f>(#REF!+#REF!)*#REF!/1000</f>
        <v>#REF!</v>
      </c>
      <c r="IM229" s="79" t="e">
        <f>(#REF!+#REF!)*#REF!/1000</f>
        <v>#REF!</v>
      </c>
      <c r="IN229" s="79" t="e">
        <f>(#REF!+#REF!)*#REF!/1000</f>
        <v>#REF!</v>
      </c>
      <c r="IO229" s="79" t="e">
        <f>(#REF!+#REF!)*#REF!/1000</f>
        <v>#REF!</v>
      </c>
      <c r="IP229" s="79" t="e">
        <f>(#REF!+#REF!)*#REF!/1000</f>
        <v>#REF!</v>
      </c>
      <c r="IQ229" s="79" t="e">
        <f>(#REF!+#REF!)*#REF!/1000</f>
        <v>#REF!</v>
      </c>
      <c r="IR229" s="79" t="e">
        <f>(#REF!+#REF!)*#REF!/1000</f>
        <v>#REF!</v>
      </c>
      <c r="IS229" s="79" t="e">
        <f>(#REF!+#REF!)*#REF!/1000</f>
        <v>#REF!</v>
      </c>
      <c r="IT229" s="79" t="e">
        <f>(#REF!+#REF!)*#REF!/1000</f>
        <v>#REF!</v>
      </c>
      <c r="IU229" s="79" t="e">
        <f>(#REF!+#REF!)*#REF!/1000</f>
        <v>#REF!</v>
      </c>
      <c r="IV229" s="79" t="e">
        <f>(#REF!+#REF!)*#REF!/1000</f>
        <v>#REF!</v>
      </c>
      <c r="IW229" s="79" t="e">
        <f>(#REF!+#REF!)*#REF!/1000</f>
        <v>#REF!</v>
      </c>
      <c r="IX229" s="79" t="e">
        <f>(#REF!+#REF!)*#REF!/1000</f>
        <v>#REF!</v>
      </c>
      <c r="IY229" s="79" t="e">
        <f>(#REF!+#REF!)*#REF!/1000</f>
        <v>#REF!</v>
      </c>
      <c r="IZ229" s="79" t="e">
        <f>(#REF!+#REF!)*#REF!/1000</f>
        <v>#REF!</v>
      </c>
      <c r="JA229" s="79" t="e">
        <f>(#REF!+#REF!)*#REF!/1000</f>
        <v>#REF!</v>
      </c>
      <c r="JB229" s="79" t="e">
        <f>(#REF!+#REF!)*#REF!/1000</f>
        <v>#REF!</v>
      </c>
      <c r="JC229" s="79" t="e">
        <f>(#REF!+#REF!)*#REF!/1000</f>
        <v>#REF!</v>
      </c>
      <c r="JD229" s="79" t="e">
        <f>(#REF!+#REF!)*#REF!/1000</f>
        <v>#REF!</v>
      </c>
      <c r="JE229" s="79" t="e">
        <f>(#REF!+#REF!)*#REF!/1000</f>
        <v>#REF!</v>
      </c>
      <c r="JF229" s="79" t="e">
        <f>(#REF!+#REF!)*#REF!/1000</f>
        <v>#REF!</v>
      </c>
      <c r="JG229" s="79" t="e">
        <f>(#REF!+#REF!)*#REF!/1000</f>
        <v>#REF!</v>
      </c>
      <c r="JH229" s="79" t="e">
        <f>(#REF!+#REF!)*#REF!/1000</f>
        <v>#REF!</v>
      </c>
      <c r="JI229" s="79" t="e">
        <f>(#REF!+#REF!)*#REF!/1000</f>
        <v>#REF!</v>
      </c>
      <c r="JJ229" s="79" t="e">
        <f>(#REF!+#REF!)*#REF!/1000</f>
        <v>#REF!</v>
      </c>
      <c r="JK229" s="79" t="e">
        <f>(#REF!+#REF!)*#REF!/1000</f>
        <v>#REF!</v>
      </c>
      <c r="JL229" s="79" t="e">
        <f>(#REF!+#REF!)*#REF!/1000</f>
        <v>#REF!</v>
      </c>
      <c r="JM229" s="79" t="e">
        <f>(#REF!+#REF!)*#REF!/1000</f>
        <v>#REF!</v>
      </c>
      <c r="JN229" s="79" t="e">
        <f>(#REF!+#REF!)*#REF!/1000</f>
        <v>#REF!</v>
      </c>
      <c r="JO229" s="79" t="e">
        <f>(#REF!+#REF!)*#REF!/1000</f>
        <v>#REF!</v>
      </c>
      <c r="JP229" s="79" t="e">
        <f>(#REF!+#REF!)*#REF!/1000</f>
        <v>#REF!</v>
      </c>
      <c r="JQ229" s="79" t="e">
        <f>(#REF!+#REF!)*#REF!/1000</f>
        <v>#REF!</v>
      </c>
      <c r="JR229" s="79" t="e">
        <f>(#REF!+#REF!)*#REF!/1000</f>
        <v>#REF!</v>
      </c>
      <c r="JS229" s="79" t="e">
        <f>(#REF!+#REF!)*#REF!/1000</f>
        <v>#REF!</v>
      </c>
      <c r="JT229" s="79" t="e">
        <f>(#REF!+#REF!)*#REF!/1000</f>
        <v>#REF!</v>
      </c>
      <c r="JU229" s="79" t="e">
        <f>(#REF!+#REF!)*#REF!/1000</f>
        <v>#REF!</v>
      </c>
      <c r="JV229" s="79" t="e">
        <f>(#REF!+#REF!)*#REF!/1000</f>
        <v>#REF!</v>
      </c>
      <c r="JW229" s="79" t="e">
        <f>(#REF!+#REF!)*#REF!/1000</f>
        <v>#REF!</v>
      </c>
      <c r="JX229" s="79" t="e">
        <f>(#REF!+#REF!)*#REF!/1000</f>
        <v>#REF!</v>
      </c>
      <c r="JY229" s="79" t="e">
        <f>(#REF!+#REF!)*#REF!/1000</f>
        <v>#REF!</v>
      </c>
      <c r="JZ229" s="79" t="e">
        <f>(#REF!+#REF!)*#REF!/1000</f>
        <v>#REF!</v>
      </c>
      <c r="KA229" s="79" t="e">
        <f>(#REF!+#REF!)*#REF!/1000</f>
        <v>#REF!</v>
      </c>
      <c r="KB229" s="79" t="e">
        <f>(#REF!+#REF!)*#REF!/1000</f>
        <v>#REF!</v>
      </c>
      <c r="KC229" s="79" t="e">
        <f>(#REF!+#REF!)*#REF!/1000</f>
        <v>#REF!</v>
      </c>
      <c r="KD229" s="79" t="e">
        <f>(#REF!+#REF!)*#REF!/1000</f>
        <v>#REF!</v>
      </c>
      <c r="KE229" s="79" t="e">
        <f>(#REF!+#REF!)*#REF!/1000</f>
        <v>#REF!</v>
      </c>
      <c r="KF229" s="79" t="e">
        <f>(#REF!+#REF!)*#REF!/1000</f>
        <v>#REF!</v>
      </c>
      <c r="KG229" s="79" t="e">
        <f>(#REF!+#REF!)*#REF!/1000</f>
        <v>#REF!</v>
      </c>
      <c r="KH229" s="79" t="e">
        <f>(#REF!+#REF!)*#REF!/1000</f>
        <v>#REF!</v>
      </c>
      <c r="KI229" s="79" t="e">
        <f>(#REF!+#REF!)*#REF!/1000</f>
        <v>#REF!</v>
      </c>
      <c r="KJ229" s="79" t="e">
        <f>(#REF!+#REF!)*#REF!/1000</f>
        <v>#REF!</v>
      </c>
      <c r="KK229" s="79" t="e">
        <f>(#REF!+#REF!)*#REF!/1000</f>
        <v>#REF!</v>
      </c>
      <c r="KL229" s="79" t="e">
        <f>(#REF!+#REF!)*#REF!/1000</f>
        <v>#REF!</v>
      </c>
      <c r="KM229" s="79" t="e">
        <f>(#REF!+#REF!)*#REF!/1000</f>
        <v>#REF!</v>
      </c>
      <c r="KN229" s="79" t="e">
        <f>(#REF!+#REF!)*#REF!/1000</f>
        <v>#REF!</v>
      </c>
      <c r="KO229" s="79" t="e">
        <f>(#REF!+#REF!)*#REF!/1000</f>
        <v>#REF!</v>
      </c>
      <c r="KP229" s="79" t="e">
        <f>(#REF!+#REF!)*#REF!/1000</f>
        <v>#REF!</v>
      </c>
      <c r="KQ229" s="79" t="e">
        <f>(#REF!+#REF!)*#REF!/1000</f>
        <v>#REF!</v>
      </c>
      <c r="KR229" s="79" t="e">
        <f>(#REF!+#REF!)*#REF!/1000</f>
        <v>#REF!</v>
      </c>
      <c r="KS229" s="79" t="e">
        <f>(#REF!+#REF!)*#REF!/1000</f>
        <v>#REF!</v>
      </c>
      <c r="KT229" s="79" t="e">
        <f>(#REF!+#REF!)*#REF!/1000</f>
        <v>#REF!</v>
      </c>
      <c r="KU229" s="79" t="e">
        <f>(#REF!+#REF!)*#REF!/1000</f>
        <v>#REF!</v>
      </c>
      <c r="KV229" s="79" t="e">
        <f>(#REF!+#REF!)*#REF!/1000</f>
        <v>#REF!</v>
      </c>
      <c r="KW229" s="79" t="e">
        <f>(#REF!+#REF!)*#REF!/1000</f>
        <v>#REF!</v>
      </c>
      <c r="KX229" s="79" t="e">
        <f>(#REF!+#REF!)*#REF!/1000</f>
        <v>#REF!</v>
      </c>
      <c r="KY229" s="79" t="e">
        <f>(#REF!+#REF!)*#REF!/1000</f>
        <v>#REF!</v>
      </c>
      <c r="KZ229" s="79" t="e">
        <f>(#REF!+#REF!)*#REF!/1000</f>
        <v>#REF!</v>
      </c>
      <c r="LA229" s="79" t="e">
        <f>(#REF!+#REF!)*#REF!/1000</f>
        <v>#REF!</v>
      </c>
      <c r="LB229" s="79" t="e">
        <f>(#REF!+#REF!)*#REF!/1000</f>
        <v>#REF!</v>
      </c>
      <c r="LC229" s="79" t="e">
        <f>(#REF!+#REF!)*#REF!/1000</f>
        <v>#REF!</v>
      </c>
      <c r="LD229" s="79" t="e">
        <f>(#REF!+#REF!)*#REF!/1000</f>
        <v>#REF!</v>
      </c>
      <c r="LE229" s="79" t="e">
        <f>(#REF!+#REF!)*#REF!/1000</f>
        <v>#REF!</v>
      </c>
      <c r="LF229" s="79" t="e">
        <f>(#REF!+#REF!)*#REF!/1000</f>
        <v>#REF!</v>
      </c>
      <c r="LG229" s="79" t="e">
        <f>(#REF!+#REF!)*#REF!/1000</f>
        <v>#REF!</v>
      </c>
      <c r="LH229" s="79" t="e">
        <f>(#REF!+#REF!)*#REF!/1000</f>
        <v>#REF!</v>
      </c>
      <c r="LI229" s="79" t="e">
        <f>(#REF!+#REF!)*#REF!/1000</f>
        <v>#REF!</v>
      </c>
      <c r="LJ229" s="79" t="e">
        <f>(#REF!+#REF!)*#REF!/1000</f>
        <v>#REF!</v>
      </c>
      <c r="LK229" s="79" t="e">
        <f>(#REF!+#REF!)*#REF!/1000</f>
        <v>#REF!</v>
      </c>
      <c r="LL229" s="79" t="e">
        <f>(#REF!+#REF!)*#REF!/1000</f>
        <v>#REF!</v>
      </c>
      <c r="LM229" s="79" t="e">
        <f>(#REF!+#REF!)*#REF!/1000</f>
        <v>#REF!</v>
      </c>
      <c r="LN229" s="79" t="e">
        <f>(#REF!+#REF!)*#REF!/1000</f>
        <v>#REF!</v>
      </c>
      <c r="LO229" s="79" t="e">
        <f>(#REF!+#REF!)*#REF!/1000</f>
        <v>#REF!</v>
      </c>
      <c r="LP229" s="79" t="e">
        <f>(#REF!+#REF!)*#REF!/1000</f>
        <v>#REF!</v>
      </c>
      <c r="LQ229" s="79" t="e">
        <f>(#REF!+#REF!)*#REF!/1000</f>
        <v>#REF!</v>
      </c>
      <c r="LR229" s="79" t="e">
        <f>(#REF!+#REF!)*#REF!/1000</f>
        <v>#REF!</v>
      </c>
      <c r="LS229" s="79" t="e">
        <f>(#REF!+#REF!)*#REF!/1000</f>
        <v>#REF!</v>
      </c>
      <c r="LT229" s="79" t="e">
        <f>(#REF!+#REF!)*#REF!/1000</f>
        <v>#REF!</v>
      </c>
      <c r="LU229" s="79" t="e">
        <f>(#REF!+#REF!)*#REF!/1000</f>
        <v>#REF!</v>
      </c>
      <c r="LV229" s="79" t="e">
        <f>(#REF!+#REF!)*#REF!/1000</f>
        <v>#REF!</v>
      </c>
      <c r="LW229" s="79" t="e">
        <f>(#REF!+#REF!)*#REF!/1000</f>
        <v>#REF!</v>
      </c>
      <c r="LX229" s="79" t="e">
        <f>(#REF!+#REF!)*#REF!/1000</f>
        <v>#REF!</v>
      </c>
      <c r="LY229" s="79" t="e">
        <f>(#REF!+#REF!)*#REF!/1000</f>
        <v>#REF!</v>
      </c>
      <c r="LZ229" s="79" t="e">
        <f>(#REF!+#REF!)*#REF!/1000</f>
        <v>#REF!</v>
      </c>
      <c r="MA229" s="79" t="e">
        <f>(#REF!+#REF!)*#REF!/1000</f>
        <v>#REF!</v>
      </c>
      <c r="MB229" s="79" t="e">
        <f>(#REF!+#REF!)*#REF!/1000</f>
        <v>#REF!</v>
      </c>
      <c r="MC229" s="79" t="e">
        <f>(#REF!+#REF!)*#REF!/1000</f>
        <v>#REF!</v>
      </c>
      <c r="MD229" s="79" t="e">
        <f>(#REF!+#REF!)*#REF!/1000</f>
        <v>#REF!</v>
      </c>
      <c r="ME229" s="79" t="e">
        <f>(#REF!+#REF!)*#REF!/1000</f>
        <v>#REF!</v>
      </c>
      <c r="MF229" s="79" t="e">
        <f>(#REF!+#REF!)*#REF!/1000</f>
        <v>#REF!</v>
      </c>
      <c r="MG229" s="79" t="e">
        <f>(#REF!+#REF!)*#REF!/1000</f>
        <v>#REF!</v>
      </c>
      <c r="MH229" s="79" t="e">
        <f>(#REF!+#REF!)*#REF!/1000</f>
        <v>#REF!</v>
      </c>
      <c r="MI229" s="79" t="e">
        <f>(#REF!+#REF!)*#REF!/1000</f>
        <v>#REF!</v>
      </c>
      <c r="MJ229" s="79" t="e">
        <f>(#REF!+#REF!)*#REF!/1000</f>
        <v>#REF!</v>
      </c>
      <c r="MK229" s="79" t="e">
        <f>(#REF!+#REF!)*#REF!/1000</f>
        <v>#REF!</v>
      </c>
      <c r="ML229" s="79" t="e">
        <f>(#REF!+#REF!)*#REF!/1000</f>
        <v>#REF!</v>
      </c>
      <c r="MM229" s="79" t="e">
        <f>(#REF!+#REF!)*#REF!/1000</f>
        <v>#REF!</v>
      </c>
      <c r="MN229" s="79" t="e">
        <f>(#REF!+#REF!)*#REF!/1000</f>
        <v>#REF!</v>
      </c>
      <c r="MO229" s="79" t="e">
        <f>(#REF!+#REF!)*#REF!/1000</f>
        <v>#REF!</v>
      </c>
      <c r="MP229" s="79" t="e">
        <f>(#REF!+#REF!)*#REF!/1000</f>
        <v>#REF!</v>
      </c>
      <c r="MQ229" s="79" t="e">
        <f>(#REF!+#REF!)*#REF!/1000</f>
        <v>#REF!</v>
      </c>
      <c r="MR229" s="79" t="e">
        <f>(#REF!+#REF!)*#REF!/1000</f>
        <v>#REF!</v>
      </c>
      <c r="MS229" s="79" t="e">
        <f>(#REF!+#REF!)*#REF!/1000</f>
        <v>#REF!</v>
      </c>
      <c r="MT229" s="79" t="e">
        <f>(#REF!+#REF!)*#REF!/1000</f>
        <v>#REF!</v>
      </c>
      <c r="MU229" s="79" t="e">
        <f>(#REF!+#REF!)*#REF!/1000</f>
        <v>#REF!</v>
      </c>
      <c r="MV229" s="79" t="e">
        <f>(#REF!+#REF!)*#REF!/1000</f>
        <v>#REF!</v>
      </c>
      <c r="MW229" s="79" t="e">
        <f>(#REF!+#REF!)*#REF!/1000</f>
        <v>#REF!</v>
      </c>
      <c r="MX229" s="79" t="e">
        <f>(#REF!+#REF!)*#REF!/1000</f>
        <v>#REF!</v>
      </c>
      <c r="MY229" s="79" t="e">
        <f>(#REF!+#REF!)*#REF!/1000</f>
        <v>#REF!</v>
      </c>
      <c r="MZ229" s="79" t="e">
        <f>(#REF!+#REF!)*#REF!/1000</f>
        <v>#REF!</v>
      </c>
      <c r="NA229" s="79" t="e">
        <f>(#REF!+#REF!)*#REF!/1000</f>
        <v>#REF!</v>
      </c>
      <c r="NB229" s="79" t="e">
        <f>(#REF!+#REF!)*#REF!/1000</f>
        <v>#REF!</v>
      </c>
      <c r="NC229" s="79" t="e">
        <f>(#REF!+#REF!)*#REF!/1000</f>
        <v>#REF!</v>
      </c>
      <c r="ND229" s="79" t="e">
        <f>(#REF!+#REF!)*#REF!/1000</f>
        <v>#REF!</v>
      </c>
      <c r="NE229" s="79" t="e">
        <f>(#REF!+#REF!)*#REF!/1000</f>
        <v>#REF!</v>
      </c>
      <c r="NF229" s="79" t="e">
        <f>(#REF!+#REF!)*#REF!/1000</f>
        <v>#REF!</v>
      </c>
      <c r="NG229" s="79" t="e">
        <f>(#REF!+#REF!)*#REF!/1000</f>
        <v>#REF!</v>
      </c>
      <c r="NH229" s="79" t="e">
        <f>(#REF!+#REF!)*#REF!/1000</f>
        <v>#REF!</v>
      </c>
      <c r="NI229" s="79" t="e">
        <f>(#REF!+#REF!)*#REF!/1000</f>
        <v>#REF!</v>
      </c>
      <c r="NJ229" s="79" t="e">
        <f>(#REF!+#REF!)*#REF!/1000</f>
        <v>#REF!</v>
      </c>
      <c r="NK229" s="79" t="e">
        <f>(#REF!+#REF!)*#REF!/1000</f>
        <v>#REF!</v>
      </c>
      <c r="NL229" s="79" t="e">
        <f>(#REF!+#REF!)*#REF!/1000</f>
        <v>#REF!</v>
      </c>
      <c r="NM229" s="79" t="e">
        <f>(#REF!+#REF!)*#REF!/1000</f>
        <v>#REF!</v>
      </c>
      <c r="NN229" s="79" t="e">
        <f>(#REF!+#REF!)*#REF!/1000</f>
        <v>#REF!</v>
      </c>
      <c r="NO229" s="79" t="e">
        <f>(#REF!+#REF!)*#REF!/1000</f>
        <v>#REF!</v>
      </c>
      <c r="NP229" s="79" t="e">
        <f>(#REF!+#REF!)*#REF!/1000</f>
        <v>#REF!</v>
      </c>
      <c r="NQ229" s="79" t="e">
        <f>(#REF!+#REF!)*#REF!/1000</f>
        <v>#REF!</v>
      </c>
      <c r="NR229" s="79" t="e">
        <f>(#REF!+#REF!)*#REF!/1000</f>
        <v>#REF!</v>
      </c>
      <c r="NS229" s="79" t="e">
        <f>(#REF!+#REF!)*#REF!/1000</f>
        <v>#REF!</v>
      </c>
      <c r="NT229" s="79" t="e">
        <f>(#REF!+#REF!)*#REF!/1000</f>
        <v>#REF!</v>
      </c>
      <c r="NU229" s="79" t="e">
        <f>(#REF!+#REF!)*#REF!/1000</f>
        <v>#REF!</v>
      </c>
      <c r="NV229" s="79" t="e">
        <f>(#REF!+#REF!)*#REF!/1000</f>
        <v>#REF!</v>
      </c>
      <c r="NW229" s="79" t="e">
        <f>(#REF!+#REF!)*#REF!/1000</f>
        <v>#REF!</v>
      </c>
      <c r="NX229" s="79" t="e">
        <f>(#REF!+#REF!)*#REF!/1000</f>
        <v>#REF!</v>
      </c>
      <c r="NY229" s="79" t="e">
        <f>(#REF!+#REF!)*#REF!/1000</f>
        <v>#REF!</v>
      </c>
      <c r="NZ229" s="79" t="e">
        <f>(#REF!+#REF!)*#REF!/1000</f>
        <v>#REF!</v>
      </c>
      <c r="OA229" s="79" t="e">
        <f>(#REF!+#REF!)*#REF!/1000</f>
        <v>#REF!</v>
      </c>
      <c r="OB229" s="79" t="e">
        <f>(#REF!+#REF!)*#REF!/1000</f>
        <v>#REF!</v>
      </c>
      <c r="OC229" s="79" t="e">
        <f>(#REF!+#REF!)*#REF!/1000</f>
        <v>#REF!</v>
      </c>
      <c r="OD229" s="79" t="e">
        <f>(#REF!+#REF!)*#REF!/1000</f>
        <v>#REF!</v>
      </c>
      <c r="OE229" s="79" t="e">
        <f>(#REF!+#REF!)*#REF!/1000</f>
        <v>#REF!</v>
      </c>
      <c r="OF229" s="79" t="e">
        <f>(#REF!+#REF!)*#REF!/1000</f>
        <v>#REF!</v>
      </c>
      <c r="OG229" s="79" t="e">
        <f>(#REF!+#REF!)*#REF!/1000</f>
        <v>#REF!</v>
      </c>
      <c r="OH229" s="79" t="e">
        <f>(#REF!+#REF!)*#REF!/1000</f>
        <v>#REF!</v>
      </c>
      <c r="OI229" s="79" t="e">
        <f>(#REF!+#REF!)*#REF!/1000</f>
        <v>#REF!</v>
      </c>
      <c r="OJ229" s="79" t="e">
        <f>(#REF!+#REF!)*#REF!/1000</f>
        <v>#REF!</v>
      </c>
      <c r="OK229" s="79" t="e">
        <f>(#REF!+#REF!)*#REF!/1000</f>
        <v>#REF!</v>
      </c>
      <c r="OL229" s="79" t="e">
        <f>(#REF!+#REF!)*#REF!/1000</f>
        <v>#REF!</v>
      </c>
      <c r="OM229" s="79" t="e">
        <f>(#REF!+#REF!)*#REF!/1000</f>
        <v>#REF!</v>
      </c>
      <c r="ON229" s="79" t="e">
        <f>(#REF!+#REF!)*#REF!/1000</f>
        <v>#REF!</v>
      </c>
      <c r="OO229" s="79" t="e">
        <f>(#REF!+#REF!)*#REF!/1000</f>
        <v>#REF!</v>
      </c>
      <c r="OP229" s="79" t="e">
        <f>(#REF!+#REF!)*#REF!/1000</f>
        <v>#REF!</v>
      </c>
      <c r="OQ229" s="79" t="e">
        <f>(#REF!+#REF!)*#REF!/1000</f>
        <v>#REF!</v>
      </c>
      <c r="OR229" s="79" t="e">
        <f>(#REF!+#REF!)*#REF!/1000</f>
        <v>#REF!</v>
      </c>
      <c r="OS229" s="79" t="e">
        <f>(#REF!+#REF!)*#REF!/1000</f>
        <v>#REF!</v>
      </c>
      <c r="OT229" s="79" t="e">
        <f>(#REF!+#REF!)*#REF!/1000</f>
        <v>#REF!</v>
      </c>
      <c r="OU229" s="79" t="e">
        <f>(#REF!+#REF!)*#REF!/1000</f>
        <v>#REF!</v>
      </c>
      <c r="OV229" s="79" t="e">
        <f>(#REF!+#REF!)*#REF!/1000</f>
        <v>#REF!</v>
      </c>
      <c r="OW229" s="79" t="e">
        <f>(#REF!+#REF!)*#REF!/1000</f>
        <v>#REF!</v>
      </c>
      <c r="OX229" s="79" t="e">
        <f>(#REF!+#REF!)*#REF!/1000</f>
        <v>#REF!</v>
      </c>
      <c r="OY229" s="79" t="e">
        <f>(#REF!+#REF!)*#REF!/1000</f>
        <v>#REF!</v>
      </c>
      <c r="OZ229" s="79" t="e">
        <f>(#REF!+#REF!)*#REF!/1000</f>
        <v>#REF!</v>
      </c>
      <c r="PA229" s="79" t="e">
        <f>(#REF!+#REF!)*#REF!/1000</f>
        <v>#REF!</v>
      </c>
      <c r="PB229" s="79" t="e">
        <f>(#REF!+#REF!)*#REF!/1000</f>
        <v>#REF!</v>
      </c>
      <c r="PC229" s="79" t="e">
        <f>(#REF!+#REF!)*#REF!/1000</f>
        <v>#REF!</v>
      </c>
      <c r="PD229" s="79" t="e">
        <f>(#REF!+#REF!)*#REF!/1000</f>
        <v>#REF!</v>
      </c>
      <c r="PE229" s="79" t="e">
        <f>(#REF!+#REF!)*#REF!/1000</f>
        <v>#REF!</v>
      </c>
      <c r="PF229" s="79" t="e">
        <f>(#REF!+#REF!)*#REF!/1000</f>
        <v>#REF!</v>
      </c>
      <c r="PG229" s="79" t="e">
        <f>(#REF!+#REF!)*#REF!/1000</f>
        <v>#REF!</v>
      </c>
      <c r="PH229" s="79" t="e">
        <f>(#REF!+#REF!)*#REF!/1000</f>
        <v>#REF!</v>
      </c>
      <c r="PI229" s="79" t="e">
        <f>(#REF!+#REF!)*#REF!/1000</f>
        <v>#REF!</v>
      </c>
      <c r="PJ229" s="79" t="e">
        <f>(#REF!+#REF!)*#REF!/1000</f>
        <v>#REF!</v>
      </c>
      <c r="PK229" s="79" t="e">
        <f>(#REF!+#REF!)*#REF!/1000</f>
        <v>#REF!</v>
      </c>
      <c r="PL229" s="79" t="e">
        <f>(#REF!+#REF!)*#REF!/1000</f>
        <v>#REF!</v>
      </c>
      <c r="PM229" s="79" t="e">
        <f>(#REF!+#REF!)*#REF!/1000</f>
        <v>#REF!</v>
      </c>
      <c r="PN229" s="79" t="e">
        <f>(#REF!+#REF!)*#REF!/1000</f>
        <v>#REF!</v>
      </c>
      <c r="PO229" s="79" t="e">
        <f>(#REF!+#REF!)*#REF!/1000</f>
        <v>#REF!</v>
      </c>
      <c r="PP229" s="79" t="e">
        <f>(#REF!+#REF!)*#REF!/1000</f>
        <v>#REF!</v>
      </c>
      <c r="PQ229" s="79" t="e">
        <f>(#REF!+#REF!)*#REF!/1000</f>
        <v>#REF!</v>
      </c>
      <c r="PR229" s="79" t="e">
        <f>(#REF!+#REF!)*#REF!/1000</f>
        <v>#REF!</v>
      </c>
      <c r="PS229" s="79" t="e">
        <f>(#REF!+#REF!)*#REF!/1000</f>
        <v>#REF!</v>
      </c>
      <c r="PT229" s="79" t="e">
        <f>(#REF!+#REF!)*#REF!/1000</f>
        <v>#REF!</v>
      </c>
      <c r="PU229" s="79" t="e">
        <f>(#REF!+#REF!)*#REF!/1000</f>
        <v>#REF!</v>
      </c>
      <c r="PV229" s="79" t="e">
        <f>(#REF!+#REF!)*#REF!/1000</f>
        <v>#REF!</v>
      </c>
      <c r="PW229" s="79" t="e">
        <f>(#REF!+#REF!)*#REF!/1000</f>
        <v>#REF!</v>
      </c>
      <c r="PX229" s="79" t="e">
        <f>(#REF!+#REF!)*#REF!/1000</f>
        <v>#REF!</v>
      </c>
      <c r="PY229" s="79" t="e">
        <f>(#REF!+#REF!)*#REF!/1000</f>
        <v>#REF!</v>
      </c>
      <c r="PZ229" s="79" t="e">
        <f>(#REF!+#REF!)*#REF!/1000</f>
        <v>#REF!</v>
      </c>
      <c r="QA229" s="79" t="e">
        <f>(#REF!+#REF!)*#REF!/1000</f>
        <v>#REF!</v>
      </c>
      <c r="QB229" s="79" t="e">
        <f>(#REF!+#REF!)*#REF!/1000</f>
        <v>#REF!</v>
      </c>
      <c r="QC229" s="79" t="e">
        <f>(#REF!+#REF!)*#REF!/1000</f>
        <v>#REF!</v>
      </c>
      <c r="QD229" s="79" t="e">
        <f>(#REF!+#REF!)*#REF!/1000</f>
        <v>#REF!</v>
      </c>
      <c r="QE229" s="79" t="e">
        <f>(#REF!+#REF!)*#REF!/1000</f>
        <v>#REF!</v>
      </c>
      <c r="QF229" s="79" t="e">
        <f>(#REF!+#REF!)*#REF!/1000</f>
        <v>#REF!</v>
      </c>
      <c r="QG229" s="79" t="e">
        <f>(#REF!+#REF!)*#REF!/1000</f>
        <v>#REF!</v>
      </c>
      <c r="QH229" s="79" t="e">
        <f>(#REF!+#REF!)*#REF!/1000</f>
        <v>#REF!</v>
      </c>
      <c r="QI229" s="79" t="e">
        <f>(#REF!+#REF!)*#REF!/1000</f>
        <v>#REF!</v>
      </c>
      <c r="QJ229" s="79" t="e">
        <f>(#REF!+#REF!)*#REF!/1000</f>
        <v>#REF!</v>
      </c>
      <c r="QK229" s="79" t="e">
        <f>(#REF!+#REF!)*#REF!/1000</f>
        <v>#REF!</v>
      </c>
      <c r="QL229" s="79" t="e">
        <f>(#REF!+#REF!)*#REF!/1000</f>
        <v>#REF!</v>
      </c>
      <c r="QM229" s="79" t="e">
        <f>(#REF!+#REF!)*#REF!/1000</f>
        <v>#REF!</v>
      </c>
      <c r="QN229" s="79" t="e">
        <f>(#REF!+#REF!)*#REF!/1000</f>
        <v>#REF!</v>
      </c>
      <c r="QO229" s="79" t="e">
        <f>(#REF!+#REF!)*#REF!/1000</f>
        <v>#REF!</v>
      </c>
      <c r="QP229" s="79" t="e">
        <f>(#REF!+#REF!)*#REF!/1000</f>
        <v>#REF!</v>
      </c>
      <c r="QQ229" s="79" t="e">
        <f>(#REF!+#REF!)*#REF!/1000</f>
        <v>#REF!</v>
      </c>
      <c r="QR229" s="79" t="e">
        <f>(#REF!+#REF!)*#REF!/1000</f>
        <v>#REF!</v>
      </c>
      <c r="QS229" s="79" t="e">
        <f>(#REF!+#REF!)*#REF!/1000</f>
        <v>#REF!</v>
      </c>
      <c r="QT229" s="79" t="e">
        <f>(#REF!+#REF!)*#REF!/1000</f>
        <v>#REF!</v>
      </c>
      <c r="QU229" s="79" t="e">
        <f>(#REF!+#REF!)*#REF!/1000</f>
        <v>#REF!</v>
      </c>
      <c r="QV229" s="79" t="e">
        <f>(#REF!+#REF!)*#REF!/1000</f>
        <v>#REF!</v>
      </c>
      <c r="QW229" s="79" t="e">
        <f>(#REF!+#REF!)*#REF!/1000</f>
        <v>#REF!</v>
      </c>
      <c r="QX229" s="79" t="e">
        <f>(#REF!+#REF!)*#REF!/1000</f>
        <v>#REF!</v>
      </c>
      <c r="QY229" s="79" t="e">
        <f>(#REF!+#REF!)*#REF!/1000</f>
        <v>#REF!</v>
      </c>
      <c r="QZ229" s="79" t="e">
        <f>(#REF!+#REF!)*#REF!/1000</f>
        <v>#REF!</v>
      </c>
      <c r="RA229" s="79" t="e">
        <f>(#REF!+#REF!)*#REF!/1000</f>
        <v>#REF!</v>
      </c>
      <c r="RB229" s="79" t="e">
        <f>(#REF!+#REF!)*#REF!/1000</f>
        <v>#REF!</v>
      </c>
      <c r="RC229" s="79" t="e">
        <f>(#REF!+#REF!)*#REF!/1000</f>
        <v>#REF!</v>
      </c>
      <c r="RD229" s="79" t="e">
        <f>(#REF!+#REF!)*#REF!/1000</f>
        <v>#REF!</v>
      </c>
      <c r="RE229" s="79" t="e">
        <f>(#REF!+#REF!)*#REF!/1000</f>
        <v>#REF!</v>
      </c>
      <c r="RF229" s="79" t="e">
        <f>(#REF!+#REF!)*#REF!/1000</f>
        <v>#REF!</v>
      </c>
      <c r="RG229" s="79" t="e">
        <f>(#REF!+#REF!)*#REF!/1000</f>
        <v>#REF!</v>
      </c>
      <c r="RH229" s="79" t="e">
        <f>(#REF!+#REF!)*#REF!/1000</f>
        <v>#REF!</v>
      </c>
      <c r="RI229" s="79" t="e">
        <f>(#REF!+#REF!)*#REF!/1000</f>
        <v>#REF!</v>
      </c>
      <c r="RJ229" s="79" t="e">
        <f>(#REF!+#REF!)*#REF!/1000</f>
        <v>#REF!</v>
      </c>
      <c r="RK229" s="79" t="e">
        <f>(#REF!+#REF!)*#REF!/1000</f>
        <v>#REF!</v>
      </c>
      <c r="RL229" s="79" t="e">
        <f>(#REF!+#REF!)*#REF!/1000</f>
        <v>#REF!</v>
      </c>
      <c r="RM229" s="79" t="e">
        <f>(#REF!+#REF!)*#REF!/1000</f>
        <v>#REF!</v>
      </c>
      <c r="RN229" s="79" t="e">
        <f>(#REF!+#REF!)*#REF!/1000</f>
        <v>#REF!</v>
      </c>
      <c r="RO229" s="79" t="e">
        <f>(#REF!+#REF!)*#REF!/1000</f>
        <v>#REF!</v>
      </c>
      <c r="RP229" s="79" t="e">
        <f>(#REF!+#REF!)*#REF!/1000</f>
        <v>#REF!</v>
      </c>
      <c r="RQ229" s="79" t="e">
        <f>(#REF!+#REF!)*#REF!/1000</f>
        <v>#REF!</v>
      </c>
      <c r="RR229" s="79" t="e">
        <f>(#REF!+#REF!)*#REF!/1000</f>
        <v>#REF!</v>
      </c>
      <c r="RS229" s="79" t="e">
        <f>(#REF!+#REF!)*#REF!/1000</f>
        <v>#REF!</v>
      </c>
      <c r="RT229" s="79" t="e">
        <f>(#REF!+#REF!)*#REF!/1000</f>
        <v>#REF!</v>
      </c>
      <c r="RU229" s="79" t="e">
        <f>(#REF!+#REF!)*#REF!/1000</f>
        <v>#REF!</v>
      </c>
      <c r="RV229" s="79" t="e">
        <f>(#REF!+#REF!)*#REF!/1000</f>
        <v>#REF!</v>
      </c>
      <c r="RW229" s="79" t="e">
        <f>(#REF!+#REF!)*#REF!/1000</f>
        <v>#REF!</v>
      </c>
      <c r="RX229" s="79" t="e">
        <f>(#REF!+#REF!)*#REF!/1000</f>
        <v>#REF!</v>
      </c>
      <c r="RY229" s="79" t="e">
        <f>(#REF!+#REF!)*#REF!/1000</f>
        <v>#REF!</v>
      </c>
      <c r="RZ229" s="79" t="e">
        <f>(#REF!+#REF!)*#REF!/1000</f>
        <v>#REF!</v>
      </c>
      <c r="SA229" s="79" t="e">
        <f>(#REF!+#REF!)*#REF!/1000</f>
        <v>#REF!</v>
      </c>
      <c r="SB229" s="79" t="e">
        <f>(#REF!+#REF!)*#REF!/1000</f>
        <v>#REF!</v>
      </c>
      <c r="SC229" s="79" t="e">
        <f>(#REF!+#REF!)*#REF!/1000</f>
        <v>#REF!</v>
      </c>
      <c r="SD229" s="79" t="e">
        <f>(#REF!+#REF!)*#REF!/1000</f>
        <v>#REF!</v>
      </c>
      <c r="SE229" s="79" t="e">
        <f>(#REF!+#REF!)*#REF!/1000</f>
        <v>#REF!</v>
      </c>
      <c r="SF229" s="79" t="e">
        <f>(#REF!+#REF!)*#REF!/1000</f>
        <v>#REF!</v>
      </c>
      <c r="SG229" s="79" t="e">
        <f>(#REF!+#REF!)*#REF!/1000</f>
        <v>#REF!</v>
      </c>
      <c r="SH229" s="79" t="e">
        <f>(#REF!+#REF!)*#REF!/1000</f>
        <v>#REF!</v>
      </c>
      <c r="SI229" s="79" t="e">
        <f>(#REF!+#REF!)*#REF!/1000</f>
        <v>#REF!</v>
      </c>
      <c r="SJ229" s="79" t="e">
        <f>(#REF!+#REF!)*#REF!/1000</f>
        <v>#REF!</v>
      </c>
      <c r="SK229" s="79" t="e">
        <f>(#REF!+#REF!)*#REF!/1000</f>
        <v>#REF!</v>
      </c>
      <c r="SL229" s="79" t="e">
        <f>(#REF!+#REF!)*#REF!/1000</f>
        <v>#REF!</v>
      </c>
      <c r="SM229" s="79" t="e">
        <f>(#REF!+#REF!)*#REF!/1000</f>
        <v>#REF!</v>
      </c>
      <c r="SN229" s="79" t="e">
        <f>(#REF!+#REF!)*#REF!/1000</f>
        <v>#REF!</v>
      </c>
      <c r="SO229" s="79" t="e">
        <f>(#REF!+#REF!)*#REF!/1000</f>
        <v>#REF!</v>
      </c>
      <c r="SP229" s="79" t="e">
        <f>(#REF!+#REF!)*#REF!/1000</f>
        <v>#REF!</v>
      </c>
      <c r="SQ229" s="79" t="e">
        <f>(#REF!+#REF!)*#REF!/1000</f>
        <v>#REF!</v>
      </c>
      <c r="SR229" s="79" t="e">
        <f>(#REF!+#REF!)*#REF!/1000</f>
        <v>#REF!</v>
      </c>
      <c r="SS229" s="79" t="e">
        <f>(#REF!+#REF!)*#REF!/1000</f>
        <v>#REF!</v>
      </c>
      <c r="ST229" s="79" t="e">
        <f>(#REF!+#REF!)*#REF!/1000</f>
        <v>#REF!</v>
      </c>
      <c r="SU229" s="79" t="e">
        <f>(#REF!+#REF!)*#REF!/1000</f>
        <v>#REF!</v>
      </c>
      <c r="SV229" s="79" t="e">
        <f>(#REF!+#REF!)*#REF!/1000</f>
        <v>#REF!</v>
      </c>
      <c r="SW229" s="79" t="e">
        <f>(#REF!+#REF!)*#REF!/1000</f>
        <v>#REF!</v>
      </c>
      <c r="SX229" s="79" t="e">
        <f>(#REF!+#REF!)*#REF!/1000</f>
        <v>#REF!</v>
      </c>
      <c r="SY229" s="79" t="e">
        <f>(#REF!+#REF!)*#REF!/1000</f>
        <v>#REF!</v>
      </c>
      <c r="SZ229" s="79" t="e">
        <f>(#REF!+#REF!)*#REF!/1000</f>
        <v>#REF!</v>
      </c>
      <c r="TA229" s="79" t="e">
        <f>(#REF!+#REF!)*#REF!/1000</f>
        <v>#REF!</v>
      </c>
      <c r="TB229" s="79" t="e">
        <f>(#REF!+#REF!)*#REF!/1000</f>
        <v>#REF!</v>
      </c>
      <c r="TC229" s="79" t="e">
        <f>(#REF!+#REF!)*#REF!/1000</f>
        <v>#REF!</v>
      </c>
      <c r="TD229" s="79" t="e">
        <f>(#REF!+#REF!)*#REF!/1000</f>
        <v>#REF!</v>
      </c>
      <c r="TE229" s="79" t="e">
        <f>(#REF!+#REF!)*#REF!/1000</f>
        <v>#REF!</v>
      </c>
      <c r="TF229" s="79" t="e">
        <f>(#REF!+#REF!)*#REF!/1000</f>
        <v>#REF!</v>
      </c>
      <c r="TG229" s="79" t="e">
        <f>(#REF!+#REF!)*#REF!/1000</f>
        <v>#REF!</v>
      </c>
      <c r="TH229" s="79" t="e">
        <f>(#REF!+#REF!)*#REF!/1000</f>
        <v>#REF!</v>
      </c>
      <c r="TI229" s="79" t="e">
        <f>(#REF!+#REF!)*#REF!/1000</f>
        <v>#REF!</v>
      </c>
      <c r="TJ229" s="79" t="e">
        <f>(#REF!+#REF!)*#REF!/1000</f>
        <v>#REF!</v>
      </c>
      <c r="TK229" s="79" t="e">
        <f>(#REF!+#REF!)*#REF!/1000</f>
        <v>#REF!</v>
      </c>
      <c r="TL229" s="79" t="e">
        <f>(#REF!+#REF!)*#REF!/1000</f>
        <v>#REF!</v>
      </c>
      <c r="TM229" s="79" t="e">
        <f>(#REF!+#REF!)*#REF!/1000</f>
        <v>#REF!</v>
      </c>
      <c r="TN229" s="79" t="e">
        <f>(#REF!+#REF!)*#REF!/1000</f>
        <v>#REF!</v>
      </c>
      <c r="TO229" s="79" t="e">
        <f>(#REF!+#REF!)*#REF!/1000</f>
        <v>#REF!</v>
      </c>
      <c r="TP229" s="79" t="e">
        <f>(#REF!+#REF!)*#REF!/1000</f>
        <v>#REF!</v>
      </c>
      <c r="TQ229" s="79" t="e">
        <f>(#REF!+#REF!)*#REF!/1000</f>
        <v>#REF!</v>
      </c>
      <c r="TR229" s="79" t="e">
        <f>(#REF!+#REF!)*#REF!/1000</f>
        <v>#REF!</v>
      </c>
      <c r="TS229" s="79" t="e">
        <f>(#REF!+#REF!)*#REF!/1000</f>
        <v>#REF!</v>
      </c>
      <c r="TT229" s="79" t="e">
        <f>(#REF!+#REF!)*#REF!/1000</f>
        <v>#REF!</v>
      </c>
      <c r="TU229" s="79" t="e">
        <f>(#REF!+#REF!)*#REF!/1000</f>
        <v>#REF!</v>
      </c>
      <c r="TV229" s="79" t="e">
        <f>(#REF!+#REF!)*#REF!/1000</f>
        <v>#REF!</v>
      </c>
      <c r="TW229" s="79" t="e">
        <f>(#REF!+#REF!)*#REF!/1000</f>
        <v>#REF!</v>
      </c>
      <c r="TX229" s="79" t="e">
        <f>(#REF!+#REF!)*#REF!/1000</f>
        <v>#REF!</v>
      </c>
      <c r="TY229" s="79" t="e">
        <f>(#REF!+#REF!)*#REF!/1000</f>
        <v>#REF!</v>
      </c>
      <c r="TZ229" s="79" t="e">
        <f>(#REF!+#REF!)*#REF!/1000</f>
        <v>#REF!</v>
      </c>
      <c r="UA229" s="79" t="e">
        <f>(#REF!+#REF!)*#REF!/1000</f>
        <v>#REF!</v>
      </c>
      <c r="UB229" s="79" t="e">
        <f>(#REF!+#REF!)*#REF!/1000</f>
        <v>#REF!</v>
      </c>
      <c r="UC229" s="79" t="e">
        <f>(#REF!+#REF!)*#REF!/1000</f>
        <v>#REF!</v>
      </c>
      <c r="UD229" s="79" t="e">
        <f>(#REF!+#REF!)*#REF!/1000</f>
        <v>#REF!</v>
      </c>
      <c r="UE229" s="79" t="e">
        <f>(#REF!+#REF!)*#REF!/1000</f>
        <v>#REF!</v>
      </c>
      <c r="UF229" s="79" t="e">
        <f>(#REF!+#REF!)*#REF!/1000</f>
        <v>#REF!</v>
      </c>
      <c r="UG229" s="79" t="e">
        <f>(#REF!+#REF!)*#REF!/1000</f>
        <v>#REF!</v>
      </c>
      <c r="UH229" s="79" t="e">
        <f>(#REF!+#REF!)*#REF!/1000</f>
        <v>#REF!</v>
      </c>
      <c r="UI229" s="79" t="e">
        <f>(#REF!+#REF!)*#REF!/1000</f>
        <v>#REF!</v>
      </c>
      <c r="UJ229" s="79" t="e">
        <f>(#REF!+#REF!)*#REF!/1000</f>
        <v>#REF!</v>
      </c>
      <c r="UK229" s="79" t="e">
        <f>(#REF!+#REF!)*#REF!/1000</f>
        <v>#REF!</v>
      </c>
      <c r="UL229" s="79" t="e">
        <f>(#REF!+#REF!)*#REF!/1000</f>
        <v>#REF!</v>
      </c>
      <c r="UM229" s="79" t="e">
        <f>(#REF!+#REF!)*#REF!/1000</f>
        <v>#REF!</v>
      </c>
      <c r="UN229" s="79" t="e">
        <f>(#REF!+#REF!)*#REF!/1000</f>
        <v>#REF!</v>
      </c>
      <c r="UO229" s="79" t="e">
        <f>(#REF!+#REF!)*#REF!/1000</f>
        <v>#REF!</v>
      </c>
      <c r="UP229" s="79" t="e">
        <f>(#REF!+#REF!)*#REF!/1000</f>
        <v>#REF!</v>
      </c>
      <c r="UQ229" s="79" t="e">
        <f>(#REF!+#REF!)*#REF!/1000</f>
        <v>#REF!</v>
      </c>
      <c r="UR229" s="79" t="e">
        <f>(#REF!+#REF!)*#REF!/1000</f>
        <v>#REF!</v>
      </c>
      <c r="US229" s="79" t="e">
        <f>(#REF!+#REF!)*#REF!/1000</f>
        <v>#REF!</v>
      </c>
      <c r="UT229" s="79" t="e">
        <f>(#REF!+#REF!)*#REF!/1000</f>
        <v>#REF!</v>
      </c>
      <c r="UU229" s="79" t="e">
        <f>(#REF!+#REF!)*#REF!/1000</f>
        <v>#REF!</v>
      </c>
      <c r="UV229" s="79" t="e">
        <f>(#REF!+#REF!)*#REF!/1000</f>
        <v>#REF!</v>
      </c>
      <c r="UW229" s="79" t="e">
        <f>(#REF!+#REF!)*#REF!/1000</f>
        <v>#REF!</v>
      </c>
      <c r="UX229" s="79" t="e">
        <f>(#REF!+#REF!)*#REF!/1000</f>
        <v>#REF!</v>
      </c>
      <c r="UY229" s="79" t="e">
        <f>(#REF!+#REF!)*#REF!/1000</f>
        <v>#REF!</v>
      </c>
      <c r="UZ229" s="79" t="e">
        <f>(#REF!+#REF!)*#REF!/1000</f>
        <v>#REF!</v>
      </c>
      <c r="VA229" s="79" t="e">
        <f>(#REF!+#REF!)*#REF!/1000</f>
        <v>#REF!</v>
      </c>
      <c r="VB229" s="79" t="e">
        <f>(#REF!+#REF!)*#REF!/1000</f>
        <v>#REF!</v>
      </c>
      <c r="VC229" s="79" t="e">
        <f>(#REF!+#REF!)*#REF!/1000</f>
        <v>#REF!</v>
      </c>
      <c r="VD229" s="79" t="e">
        <f>(#REF!+#REF!)*#REF!/1000</f>
        <v>#REF!</v>
      </c>
      <c r="VE229" s="79" t="e">
        <f>(#REF!+#REF!)*#REF!/1000</f>
        <v>#REF!</v>
      </c>
      <c r="VF229" s="79" t="e">
        <f>(#REF!+#REF!)*#REF!/1000</f>
        <v>#REF!</v>
      </c>
      <c r="VG229" s="79" t="e">
        <f>(#REF!+#REF!)*#REF!/1000</f>
        <v>#REF!</v>
      </c>
      <c r="VH229" s="79" t="e">
        <f>(#REF!+#REF!)*#REF!/1000</f>
        <v>#REF!</v>
      </c>
      <c r="VI229" s="79" t="e">
        <f>(#REF!+#REF!)*#REF!/1000</f>
        <v>#REF!</v>
      </c>
      <c r="VJ229" s="79" t="e">
        <f>(#REF!+#REF!)*#REF!/1000</f>
        <v>#REF!</v>
      </c>
      <c r="VK229" s="79" t="e">
        <f>(#REF!+#REF!)*#REF!/1000</f>
        <v>#REF!</v>
      </c>
      <c r="VL229" s="79" t="e">
        <f>(#REF!+#REF!)*#REF!/1000</f>
        <v>#REF!</v>
      </c>
      <c r="VM229" s="79" t="e">
        <f>(#REF!+#REF!)*#REF!/1000</f>
        <v>#REF!</v>
      </c>
      <c r="VN229" s="79" t="e">
        <f>(#REF!+#REF!)*#REF!/1000</f>
        <v>#REF!</v>
      </c>
      <c r="VO229" s="79" t="e">
        <f>(#REF!+#REF!)*#REF!/1000</f>
        <v>#REF!</v>
      </c>
      <c r="VP229" s="79" t="e">
        <f>(#REF!+#REF!)*#REF!/1000</f>
        <v>#REF!</v>
      </c>
      <c r="VQ229" s="79" t="e">
        <f>(#REF!+#REF!)*#REF!/1000</f>
        <v>#REF!</v>
      </c>
      <c r="VR229" s="79" t="e">
        <f>(#REF!+#REF!)*#REF!/1000</f>
        <v>#REF!</v>
      </c>
      <c r="VS229" s="79" t="e">
        <f>(#REF!+#REF!)*#REF!/1000</f>
        <v>#REF!</v>
      </c>
      <c r="VT229" s="79" t="e">
        <f>(#REF!+#REF!)*#REF!/1000</f>
        <v>#REF!</v>
      </c>
      <c r="VU229" s="79" t="e">
        <f>(#REF!+#REF!)*#REF!/1000</f>
        <v>#REF!</v>
      </c>
      <c r="VV229" s="79" t="e">
        <f>(#REF!+#REF!)*#REF!/1000</f>
        <v>#REF!</v>
      </c>
      <c r="VW229" s="79" t="e">
        <f>(#REF!+#REF!)*#REF!/1000</f>
        <v>#REF!</v>
      </c>
      <c r="VX229" s="79" t="e">
        <f>(#REF!+#REF!)*#REF!/1000</f>
        <v>#REF!</v>
      </c>
      <c r="VY229" s="79" t="e">
        <f>(#REF!+#REF!)*#REF!/1000</f>
        <v>#REF!</v>
      </c>
      <c r="VZ229" s="79" t="e">
        <f>(#REF!+#REF!)*#REF!/1000</f>
        <v>#REF!</v>
      </c>
      <c r="WA229" s="79" t="e">
        <f>(#REF!+#REF!)*#REF!/1000</f>
        <v>#REF!</v>
      </c>
      <c r="WB229" s="79" t="e">
        <f>(#REF!+#REF!)*#REF!/1000</f>
        <v>#REF!</v>
      </c>
      <c r="WC229" s="79" t="e">
        <f>(#REF!+#REF!)*#REF!/1000</f>
        <v>#REF!</v>
      </c>
      <c r="WD229" s="79" t="e">
        <f>(#REF!+#REF!)*#REF!/1000</f>
        <v>#REF!</v>
      </c>
      <c r="WE229" s="79" t="e">
        <f>(#REF!+#REF!)*#REF!/1000</f>
        <v>#REF!</v>
      </c>
      <c r="WF229" s="79" t="e">
        <f>(#REF!+#REF!)*#REF!/1000</f>
        <v>#REF!</v>
      </c>
      <c r="WG229" s="79" t="e">
        <f>(#REF!+#REF!)*#REF!/1000</f>
        <v>#REF!</v>
      </c>
      <c r="WH229" s="79" t="e">
        <f>(#REF!+#REF!)*#REF!/1000</f>
        <v>#REF!</v>
      </c>
      <c r="WI229" s="79" t="e">
        <f>(#REF!+#REF!)*#REF!/1000</f>
        <v>#REF!</v>
      </c>
      <c r="WJ229" s="79" t="e">
        <f>(#REF!+#REF!)*#REF!/1000</f>
        <v>#REF!</v>
      </c>
      <c r="WK229" s="79" t="e">
        <f>(#REF!+#REF!)*#REF!/1000</f>
        <v>#REF!</v>
      </c>
      <c r="WL229" s="79" t="e">
        <f>(#REF!+#REF!)*#REF!/1000</f>
        <v>#REF!</v>
      </c>
      <c r="WM229" s="79" t="e">
        <f>(#REF!+#REF!)*#REF!/1000</f>
        <v>#REF!</v>
      </c>
      <c r="WN229" s="79" t="e">
        <f>(#REF!+#REF!)*#REF!/1000</f>
        <v>#REF!</v>
      </c>
      <c r="WO229" s="79" t="e">
        <f>(#REF!+#REF!)*#REF!/1000</f>
        <v>#REF!</v>
      </c>
      <c r="WP229" s="79" t="e">
        <f>(#REF!+#REF!)*#REF!/1000</f>
        <v>#REF!</v>
      </c>
      <c r="WQ229" s="79" t="e">
        <f>(#REF!+#REF!)*#REF!/1000</f>
        <v>#REF!</v>
      </c>
      <c r="WR229" s="79" t="e">
        <f>(#REF!+#REF!)*#REF!/1000</f>
        <v>#REF!</v>
      </c>
      <c r="WS229" s="79" t="e">
        <f>(#REF!+#REF!)*#REF!/1000</f>
        <v>#REF!</v>
      </c>
      <c r="WT229" s="79" t="e">
        <f>(#REF!+#REF!)*#REF!/1000</f>
        <v>#REF!</v>
      </c>
      <c r="WU229" s="79" t="e">
        <f>(#REF!+#REF!)*#REF!/1000</f>
        <v>#REF!</v>
      </c>
      <c r="WV229" s="79" t="e">
        <f>(#REF!+#REF!)*#REF!/1000</f>
        <v>#REF!</v>
      </c>
      <c r="WW229" s="79" t="e">
        <f>(#REF!+#REF!)*#REF!/1000</f>
        <v>#REF!</v>
      </c>
      <c r="WX229" s="79" t="e">
        <f>(#REF!+#REF!)*#REF!/1000</f>
        <v>#REF!</v>
      </c>
      <c r="WY229" s="79" t="e">
        <f>(#REF!+#REF!)*#REF!/1000</f>
        <v>#REF!</v>
      </c>
      <c r="WZ229" s="79" t="e">
        <f>(#REF!+#REF!)*#REF!/1000</f>
        <v>#REF!</v>
      </c>
      <c r="XA229" s="79" t="e">
        <f>(#REF!+#REF!)*#REF!/1000</f>
        <v>#REF!</v>
      </c>
      <c r="XB229" s="79" t="e">
        <f>(#REF!+#REF!)*#REF!/1000</f>
        <v>#REF!</v>
      </c>
      <c r="XC229" s="79" t="e">
        <f>(#REF!+#REF!)*#REF!/1000</f>
        <v>#REF!</v>
      </c>
      <c r="XD229" s="79" t="e">
        <f>(#REF!+#REF!)*#REF!/1000</f>
        <v>#REF!</v>
      </c>
      <c r="XE229" s="79" t="e">
        <f>(#REF!+#REF!)*#REF!/1000</f>
        <v>#REF!</v>
      </c>
      <c r="XF229" s="79" t="e">
        <f>(#REF!+#REF!)*#REF!/1000</f>
        <v>#REF!</v>
      </c>
      <c r="XG229" s="79" t="e">
        <f>(#REF!+#REF!)*#REF!/1000</f>
        <v>#REF!</v>
      </c>
      <c r="XH229" s="79" t="e">
        <f>(#REF!+#REF!)*#REF!/1000</f>
        <v>#REF!</v>
      </c>
      <c r="XI229" s="79" t="e">
        <f>(#REF!+#REF!)*#REF!/1000</f>
        <v>#REF!</v>
      </c>
      <c r="XJ229" s="79" t="e">
        <f>(#REF!+#REF!)*#REF!/1000</f>
        <v>#REF!</v>
      </c>
      <c r="XK229" s="79" t="e">
        <f>(#REF!+#REF!)*#REF!/1000</f>
        <v>#REF!</v>
      </c>
      <c r="XL229" s="79" t="e">
        <f>(#REF!+#REF!)*#REF!/1000</f>
        <v>#REF!</v>
      </c>
      <c r="XM229" s="79" t="e">
        <f>(#REF!+#REF!)*#REF!/1000</f>
        <v>#REF!</v>
      </c>
      <c r="XN229" s="79" t="e">
        <f>(#REF!+#REF!)*#REF!/1000</f>
        <v>#REF!</v>
      </c>
      <c r="XO229" s="79" t="e">
        <f>(#REF!+#REF!)*#REF!/1000</f>
        <v>#REF!</v>
      </c>
      <c r="XP229" s="79" t="e">
        <f>(#REF!+#REF!)*#REF!/1000</f>
        <v>#REF!</v>
      </c>
      <c r="XQ229" s="79" t="e">
        <f>(#REF!+#REF!)*#REF!/1000</f>
        <v>#REF!</v>
      </c>
      <c r="XR229" s="79" t="e">
        <f>(#REF!+#REF!)*#REF!/1000</f>
        <v>#REF!</v>
      </c>
      <c r="XS229" s="79" t="e">
        <f>(#REF!+#REF!)*#REF!/1000</f>
        <v>#REF!</v>
      </c>
      <c r="XT229" s="79" t="e">
        <f>(#REF!+#REF!)*#REF!/1000</f>
        <v>#REF!</v>
      </c>
      <c r="XU229" s="79" t="e">
        <f>(#REF!+#REF!)*#REF!/1000</f>
        <v>#REF!</v>
      </c>
      <c r="XV229" s="79" t="e">
        <f>(#REF!+#REF!)*#REF!/1000</f>
        <v>#REF!</v>
      </c>
      <c r="XW229" s="79" t="e">
        <f>(#REF!+#REF!)*#REF!/1000</f>
        <v>#REF!</v>
      </c>
      <c r="XX229" s="79" t="e">
        <f>(#REF!+#REF!)*#REF!/1000</f>
        <v>#REF!</v>
      </c>
      <c r="XY229" s="79" t="e">
        <f>(#REF!+#REF!)*#REF!/1000</f>
        <v>#REF!</v>
      </c>
      <c r="XZ229" s="79" t="e">
        <f>(#REF!+#REF!)*#REF!/1000</f>
        <v>#REF!</v>
      </c>
      <c r="YA229" s="79" t="e">
        <f>(#REF!+#REF!)*#REF!/1000</f>
        <v>#REF!</v>
      </c>
      <c r="YB229" s="79" t="e">
        <f>(#REF!+#REF!)*#REF!/1000</f>
        <v>#REF!</v>
      </c>
      <c r="YC229" s="79" t="e">
        <f>(#REF!+#REF!)*#REF!/1000</f>
        <v>#REF!</v>
      </c>
      <c r="YD229" s="79" t="e">
        <f>(#REF!+#REF!)*#REF!/1000</f>
        <v>#REF!</v>
      </c>
      <c r="YE229" s="79" t="e">
        <f>(#REF!+#REF!)*#REF!/1000</f>
        <v>#REF!</v>
      </c>
      <c r="YF229" s="79" t="e">
        <f>(#REF!+#REF!)*#REF!/1000</f>
        <v>#REF!</v>
      </c>
      <c r="YG229" s="79" t="e">
        <f>(#REF!+#REF!)*#REF!/1000</f>
        <v>#REF!</v>
      </c>
      <c r="YH229" s="79" t="e">
        <f>(#REF!+#REF!)*#REF!/1000</f>
        <v>#REF!</v>
      </c>
      <c r="YI229" s="79" t="e">
        <f>(#REF!+#REF!)*#REF!/1000</f>
        <v>#REF!</v>
      </c>
      <c r="YJ229" s="79" t="e">
        <f>(#REF!+#REF!)*#REF!/1000</f>
        <v>#REF!</v>
      </c>
      <c r="YK229" s="79" t="e">
        <f>(#REF!+#REF!)*#REF!/1000</f>
        <v>#REF!</v>
      </c>
      <c r="YL229" s="79" t="e">
        <f>(#REF!+#REF!)*#REF!/1000</f>
        <v>#REF!</v>
      </c>
      <c r="YM229" s="79" t="e">
        <f>(#REF!+#REF!)*#REF!/1000</f>
        <v>#REF!</v>
      </c>
      <c r="YN229" s="79" t="e">
        <f>(#REF!+#REF!)*#REF!/1000</f>
        <v>#REF!</v>
      </c>
      <c r="YO229" s="79" t="e">
        <f>(#REF!+#REF!)*#REF!/1000</f>
        <v>#REF!</v>
      </c>
      <c r="YP229" s="79" t="e">
        <f>(#REF!+#REF!)*#REF!/1000</f>
        <v>#REF!</v>
      </c>
      <c r="YQ229" s="79" t="e">
        <f>(#REF!+#REF!)*#REF!/1000</f>
        <v>#REF!</v>
      </c>
      <c r="YR229" s="79" t="e">
        <f>(#REF!+#REF!)*#REF!/1000</f>
        <v>#REF!</v>
      </c>
      <c r="YS229" s="79" t="e">
        <f>(#REF!+#REF!)*#REF!/1000</f>
        <v>#REF!</v>
      </c>
      <c r="YT229" s="79" t="e">
        <f>(#REF!+#REF!)*#REF!/1000</f>
        <v>#REF!</v>
      </c>
      <c r="YU229" s="79" t="e">
        <f>(#REF!+#REF!)*#REF!/1000</f>
        <v>#REF!</v>
      </c>
      <c r="YV229" s="79" t="e">
        <f>(#REF!+#REF!)*#REF!/1000</f>
        <v>#REF!</v>
      </c>
      <c r="YW229" s="79" t="e">
        <f>(#REF!+#REF!)*#REF!/1000</f>
        <v>#REF!</v>
      </c>
      <c r="YX229" s="79" t="e">
        <f>(#REF!+#REF!)*#REF!/1000</f>
        <v>#REF!</v>
      </c>
      <c r="YY229" s="79" t="e">
        <f>(#REF!+#REF!)*#REF!/1000</f>
        <v>#REF!</v>
      </c>
      <c r="YZ229" s="79" t="e">
        <f>(#REF!+#REF!)*#REF!/1000</f>
        <v>#REF!</v>
      </c>
      <c r="ZA229" s="79" t="e">
        <f>(#REF!+#REF!)*#REF!/1000</f>
        <v>#REF!</v>
      </c>
      <c r="ZB229" s="79" t="e">
        <f>(#REF!+#REF!)*#REF!/1000</f>
        <v>#REF!</v>
      </c>
      <c r="ZC229" s="79" t="e">
        <f>(#REF!+#REF!)*#REF!/1000</f>
        <v>#REF!</v>
      </c>
      <c r="ZD229" s="79" t="e">
        <f>(#REF!+#REF!)*#REF!/1000</f>
        <v>#REF!</v>
      </c>
      <c r="ZE229" s="79" t="e">
        <f>(#REF!+#REF!)*#REF!/1000</f>
        <v>#REF!</v>
      </c>
      <c r="ZF229" s="79" t="e">
        <f>(#REF!+#REF!)*#REF!/1000</f>
        <v>#REF!</v>
      </c>
      <c r="ZG229" s="79" t="e">
        <f>(#REF!+#REF!)*#REF!/1000</f>
        <v>#REF!</v>
      </c>
      <c r="ZH229" s="79" t="e">
        <f>(#REF!+#REF!)*#REF!/1000</f>
        <v>#REF!</v>
      </c>
      <c r="ZI229" s="79" t="e">
        <f>(#REF!+#REF!)*#REF!/1000</f>
        <v>#REF!</v>
      </c>
      <c r="ZJ229" s="79" t="e">
        <f>(#REF!+#REF!)*#REF!/1000</f>
        <v>#REF!</v>
      </c>
      <c r="ZK229" s="79" t="e">
        <f>(#REF!+#REF!)*#REF!/1000</f>
        <v>#REF!</v>
      </c>
      <c r="ZL229" s="79" t="e">
        <f>(#REF!+#REF!)*#REF!/1000</f>
        <v>#REF!</v>
      </c>
      <c r="ZM229" s="79" t="e">
        <f>(#REF!+#REF!)*#REF!/1000</f>
        <v>#REF!</v>
      </c>
      <c r="ZN229" s="79" t="e">
        <f>(#REF!+#REF!)*#REF!/1000</f>
        <v>#REF!</v>
      </c>
      <c r="ZO229" s="79" t="e">
        <f>(#REF!+#REF!)*#REF!/1000</f>
        <v>#REF!</v>
      </c>
      <c r="ZP229" s="79" t="e">
        <f>(#REF!+#REF!)*#REF!/1000</f>
        <v>#REF!</v>
      </c>
      <c r="ZQ229" s="79" t="e">
        <f>(#REF!+#REF!)*#REF!/1000</f>
        <v>#REF!</v>
      </c>
      <c r="ZR229" s="79" t="e">
        <f>(#REF!+#REF!)*#REF!/1000</f>
        <v>#REF!</v>
      </c>
      <c r="ZS229" s="79" t="e">
        <f>(#REF!+#REF!)*#REF!/1000</f>
        <v>#REF!</v>
      </c>
      <c r="ZT229" s="79" t="e">
        <f>(#REF!+#REF!)*#REF!/1000</f>
        <v>#REF!</v>
      </c>
      <c r="ZU229" s="79" t="e">
        <f>(#REF!+#REF!)*#REF!/1000</f>
        <v>#REF!</v>
      </c>
      <c r="ZV229" s="79" t="e">
        <f>(#REF!+#REF!)*#REF!/1000</f>
        <v>#REF!</v>
      </c>
      <c r="ZW229" s="79" t="e">
        <f>(#REF!+#REF!)*#REF!/1000</f>
        <v>#REF!</v>
      </c>
      <c r="ZX229" s="79" t="e">
        <f>(#REF!+#REF!)*#REF!/1000</f>
        <v>#REF!</v>
      </c>
      <c r="ZY229" s="79" t="e">
        <f>(#REF!+#REF!)*#REF!/1000</f>
        <v>#REF!</v>
      </c>
      <c r="ZZ229" s="79" t="e">
        <f>(#REF!+#REF!)*#REF!/1000</f>
        <v>#REF!</v>
      </c>
      <c r="AAA229" s="79" t="e">
        <f>(#REF!+#REF!)*#REF!/1000</f>
        <v>#REF!</v>
      </c>
      <c r="AAB229" s="79" t="e">
        <f>(#REF!+#REF!)*#REF!/1000</f>
        <v>#REF!</v>
      </c>
      <c r="AAC229" s="79" t="e">
        <f>(#REF!+#REF!)*#REF!/1000</f>
        <v>#REF!</v>
      </c>
      <c r="AAD229" s="79" t="e">
        <f>(#REF!+#REF!)*#REF!/1000</f>
        <v>#REF!</v>
      </c>
      <c r="AAE229" s="79" t="e">
        <f>(#REF!+#REF!)*#REF!/1000</f>
        <v>#REF!</v>
      </c>
      <c r="AAF229" s="79" t="e">
        <f>(#REF!+#REF!)*#REF!/1000</f>
        <v>#REF!</v>
      </c>
      <c r="AAG229" s="79" t="e">
        <f>(#REF!+#REF!)*#REF!/1000</f>
        <v>#REF!</v>
      </c>
      <c r="AAH229" s="79" t="e">
        <f>(#REF!+#REF!)*#REF!/1000</f>
        <v>#REF!</v>
      </c>
      <c r="AAI229" s="79" t="e">
        <f>(#REF!+#REF!)*#REF!/1000</f>
        <v>#REF!</v>
      </c>
      <c r="AAJ229" s="79" t="e">
        <f>(#REF!+#REF!)*#REF!/1000</f>
        <v>#REF!</v>
      </c>
      <c r="AAK229" s="79" t="e">
        <f>(#REF!+#REF!)*#REF!/1000</f>
        <v>#REF!</v>
      </c>
      <c r="AAL229" s="79" t="e">
        <f>(#REF!+#REF!)*#REF!/1000</f>
        <v>#REF!</v>
      </c>
      <c r="AAM229" s="79" t="e">
        <f>(#REF!+#REF!)*#REF!/1000</f>
        <v>#REF!</v>
      </c>
      <c r="AAN229" s="79" t="e">
        <f>(#REF!+#REF!)*#REF!/1000</f>
        <v>#REF!</v>
      </c>
      <c r="AAO229" s="79" t="e">
        <f>(#REF!+#REF!)*#REF!/1000</f>
        <v>#REF!</v>
      </c>
      <c r="AAP229" s="79" t="e">
        <f>(#REF!+#REF!)*#REF!/1000</f>
        <v>#REF!</v>
      </c>
      <c r="AAQ229" s="79" t="e">
        <f>(#REF!+#REF!)*#REF!/1000</f>
        <v>#REF!</v>
      </c>
      <c r="AAR229" s="79" t="e">
        <f>(#REF!+#REF!)*#REF!/1000</f>
        <v>#REF!</v>
      </c>
      <c r="AAS229" s="79" t="e">
        <f>(#REF!+#REF!)*#REF!/1000</f>
        <v>#REF!</v>
      </c>
      <c r="AAT229" s="79" t="e">
        <f>(#REF!+#REF!)*#REF!/1000</f>
        <v>#REF!</v>
      </c>
      <c r="AAU229" s="79" t="e">
        <f>(#REF!+#REF!)*#REF!/1000</f>
        <v>#REF!</v>
      </c>
      <c r="AAV229" s="79" t="e">
        <f>(#REF!+#REF!)*#REF!/1000</f>
        <v>#REF!</v>
      </c>
      <c r="AAW229" s="79" t="e">
        <f>(#REF!+#REF!)*#REF!/1000</f>
        <v>#REF!</v>
      </c>
      <c r="AAX229" s="79" t="e">
        <f>(#REF!+#REF!)*#REF!/1000</f>
        <v>#REF!</v>
      </c>
      <c r="AAY229" s="79" t="e">
        <f>(#REF!+#REF!)*#REF!/1000</f>
        <v>#REF!</v>
      </c>
      <c r="AAZ229" s="79" t="e">
        <f>(#REF!+#REF!)*#REF!/1000</f>
        <v>#REF!</v>
      </c>
      <c r="ABA229" s="79" t="e">
        <f>(#REF!+#REF!)*#REF!/1000</f>
        <v>#REF!</v>
      </c>
      <c r="ABB229" s="79" t="e">
        <f>(#REF!+#REF!)*#REF!/1000</f>
        <v>#REF!</v>
      </c>
      <c r="ABC229" s="79" t="e">
        <f>(#REF!+#REF!)*#REF!/1000</f>
        <v>#REF!</v>
      </c>
      <c r="ABD229" s="79" t="e">
        <f>(#REF!+#REF!)*#REF!/1000</f>
        <v>#REF!</v>
      </c>
      <c r="ABE229" s="79" t="e">
        <f>(#REF!+#REF!)*#REF!/1000</f>
        <v>#REF!</v>
      </c>
      <c r="ABF229" s="79" t="e">
        <f>(#REF!+#REF!)*#REF!/1000</f>
        <v>#REF!</v>
      </c>
      <c r="ABG229" s="79" t="e">
        <f>(#REF!+#REF!)*#REF!/1000</f>
        <v>#REF!</v>
      </c>
      <c r="ABH229" s="79" t="e">
        <f>(#REF!+#REF!)*#REF!/1000</f>
        <v>#REF!</v>
      </c>
      <c r="ABI229" s="79" t="e">
        <f>(#REF!+#REF!)*#REF!/1000</f>
        <v>#REF!</v>
      </c>
      <c r="ABJ229" s="79" t="e">
        <f>(#REF!+#REF!)*#REF!/1000</f>
        <v>#REF!</v>
      </c>
      <c r="ABK229" s="79" t="e">
        <f>(#REF!+#REF!)*#REF!/1000</f>
        <v>#REF!</v>
      </c>
      <c r="ABL229" s="79" t="e">
        <f>(#REF!+#REF!)*#REF!/1000</f>
        <v>#REF!</v>
      </c>
      <c r="ABM229" s="79" t="e">
        <f>(#REF!+#REF!)*#REF!/1000</f>
        <v>#REF!</v>
      </c>
      <c r="ABN229" s="79" t="e">
        <f>(#REF!+#REF!)*#REF!/1000</f>
        <v>#REF!</v>
      </c>
      <c r="ABO229" s="79" t="e">
        <f>(#REF!+#REF!)*#REF!/1000</f>
        <v>#REF!</v>
      </c>
      <c r="ABP229" s="79" t="e">
        <f>(#REF!+#REF!)*#REF!/1000</f>
        <v>#REF!</v>
      </c>
      <c r="ABQ229" s="79" t="e">
        <f>(#REF!+#REF!)*#REF!/1000</f>
        <v>#REF!</v>
      </c>
      <c r="ABR229" s="79" t="e">
        <f>(#REF!+#REF!)*#REF!/1000</f>
        <v>#REF!</v>
      </c>
      <c r="ABS229" s="79" t="e">
        <f>(#REF!+#REF!)*#REF!/1000</f>
        <v>#REF!</v>
      </c>
      <c r="ABT229" s="79" t="e">
        <f>(#REF!+#REF!)*#REF!/1000</f>
        <v>#REF!</v>
      </c>
      <c r="ABU229" s="79" t="e">
        <f>(#REF!+#REF!)*#REF!/1000</f>
        <v>#REF!</v>
      </c>
      <c r="ABV229" s="79" t="e">
        <f>(#REF!+#REF!)*#REF!/1000</f>
        <v>#REF!</v>
      </c>
      <c r="ABW229" s="79" t="e">
        <f>(#REF!+#REF!)*#REF!/1000</f>
        <v>#REF!</v>
      </c>
      <c r="ABX229" s="79" t="e">
        <f>(#REF!+#REF!)*#REF!/1000</f>
        <v>#REF!</v>
      </c>
      <c r="ABY229" s="79" t="e">
        <f>(#REF!+#REF!)*#REF!/1000</f>
        <v>#REF!</v>
      </c>
      <c r="ABZ229" s="79" t="e">
        <f>(#REF!+#REF!)*#REF!/1000</f>
        <v>#REF!</v>
      </c>
      <c r="ACA229" s="79" t="e">
        <f>(#REF!+#REF!)*#REF!/1000</f>
        <v>#REF!</v>
      </c>
      <c r="ACB229" s="79" t="e">
        <f>(#REF!+#REF!)*#REF!/1000</f>
        <v>#REF!</v>
      </c>
      <c r="ACC229" s="79" t="e">
        <f>(#REF!+#REF!)*#REF!/1000</f>
        <v>#REF!</v>
      </c>
      <c r="ACD229" s="79" t="e">
        <f>(#REF!+#REF!)*#REF!/1000</f>
        <v>#REF!</v>
      </c>
      <c r="ACE229" s="79" t="e">
        <f>(#REF!+#REF!)*#REF!/1000</f>
        <v>#REF!</v>
      </c>
      <c r="ACF229" s="79" t="e">
        <f>(#REF!+#REF!)*#REF!/1000</f>
        <v>#REF!</v>
      </c>
      <c r="ACG229" s="79" t="e">
        <f>(#REF!+#REF!)*#REF!/1000</f>
        <v>#REF!</v>
      </c>
      <c r="ACH229" s="79" t="e">
        <f>(#REF!+#REF!)*#REF!/1000</f>
        <v>#REF!</v>
      </c>
      <c r="ACI229" s="79" t="e">
        <f>(#REF!+#REF!)*#REF!/1000</f>
        <v>#REF!</v>
      </c>
      <c r="ACJ229" s="79" t="e">
        <f>(#REF!+#REF!)*#REF!/1000</f>
        <v>#REF!</v>
      </c>
      <c r="ACK229" s="79" t="e">
        <f>(#REF!+#REF!)*#REF!/1000</f>
        <v>#REF!</v>
      </c>
      <c r="ACL229" s="79" t="e">
        <f>(#REF!+#REF!)*#REF!/1000</f>
        <v>#REF!</v>
      </c>
      <c r="ACM229" s="79" t="e">
        <f>(#REF!+#REF!)*#REF!/1000</f>
        <v>#REF!</v>
      </c>
      <c r="ACN229" s="79" t="e">
        <f>(#REF!+#REF!)*#REF!/1000</f>
        <v>#REF!</v>
      </c>
      <c r="ACO229" s="79" t="e">
        <f>(#REF!+#REF!)*#REF!/1000</f>
        <v>#REF!</v>
      </c>
      <c r="ACP229" s="79" t="e">
        <f>(#REF!+#REF!)*#REF!/1000</f>
        <v>#REF!</v>
      </c>
      <c r="ACQ229" s="79" t="e">
        <f>(#REF!+#REF!)*#REF!/1000</f>
        <v>#REF!</v>
      </c>
      <c r="ACR229" s="79" t="e">
        <f>(#REF!+#REF!)*#REF!/1000</f>
        <v>#REF!</v>
      </c>
      <c r="ACS229" s="79" t="e">
        <f>(#REF!+#REF!)*#REF!/1000</f>
        <v>#REF!</v>
      </c>
      <c r="ACT229" s="79" t="e">
        <f>(#REF!+#REF!)*#REF!/1000</f>
        <v>#REF!</v>
      </c>
      <c r="ACU229" s="79" t="e">
        <f>(#REF!+#REF!)*#REF!/1000</f>
        <v>#REF!</v>
      </c>
      <c r="ACV229" s="79" t="e">
        <f>(#REF!+#REF!)*#REF!/1000</f>
        <v>#REF!</v>
      </c>
      <c r="ACW229" s="79" t="e">
        <f>(#REF!+#REF!)*#REF!/1000</f>
        <v>#REF!</v>
      </c>
      <c r="ACX229" s="79" t="e">
        <f>(#REF!+#REF!)*#REF!/1000</f>
        <v>#REF!</v>
      </c>
      <c r="ACY229" s="79"/>
      <c r="ACZ229" s="79"/>
      <c r="ADA229" s="79"/>
      <c r="ADB229" s="79"/>
      <c r="ADC229" s="79"/>
      <c r="ADD229" s="79"/>
      <c r="ADE229" s="79"/>
      <c r="ADF229" s="79"/>
      <c r="ADG229" s="79"/>
      <c r="ADH229" s="79"/>
      <c r="ADI229" s="79"/>
      <c r="ADJ229" s="79"/>
      <c r="ADK229" s="79"/>
      <c r="ADL229" s="79"/>
      <c r="ADM229" s="79"/>
      <c r="ADN229" s="79"/>
      <c r="AQP229" s="165"/>
    </row>
    <row r="230" spans="4:794 1134:1134" ht="14.25" x14ac:dyDescent="0.45">
      <c r="D230" t="s">
        <v>412</v>
      </c>
      <c r="E230" s="79" t="e">
        <f>(#REF!+#REF!)*#REF!/1000</f>
        <v>#REF!</v>
      </c>
      <c r="F230" s="79" t="e">
        <f>(#REF!+#REF!)*#REF!/1000</f>
        <v>#REF!</v>
      </c>
      <c r="G230" s="79" t="e">
        <f>(#REF!+#REF!)*#REF!/1000</f>
        <v>#REF!</v>
      </c>
      <c r="H230" s="79" t="e">
        <f>(#REF!+#REF!)*#REF!/1000</f>
        <v>#REF!</v>
      </c>
      <c r="I230" s="79" t="e">
        <f>(#REF!+#REF!)*#REF!/1000</f>
        <v>#REF!</v>
      </c>
      <c r="J230" s="79" t="e">
        <f>(#REF!+#REF!)*#REF!/1000</f>
        <v>#REF!</v>
      </c>
      <c r="K230" s="79" t="e">
        <f>(#REF!+#REF!)*#REF!/1000</f>
        <v>#REF!</v>
      </c>
      <c r="L230" s="79" t="e">
        <f>(#REF!+#REF!)*#REF!/1000</f>
        <v>#REF!</v>
      </c>
      <c r="M230" s="79" t="e">
        <f>(#REF!+#REF!)*#REF!/1000</f>
        <v>#REF!</v>
      </c>
      <c r="N230" s="79" t="e">
        <f>(#REF!+#REF!)*#REF!/1000</f>
        <v>#REF!</v>
      </c>
      <c r="O230" s="79" t="e">
        <f>(#REF!+#REF!)*#REF!/1000</f>
        <v>#REF!</v>
      </c>
      <c r="P230" s="79" t="e">
        <f>(#REF!+#REF!)*#REF!/1000</f>
        <v>#REF!</v>
      </c>
      <c r="Q230" s="79" t="e">
        <f>(#REF!+#REF!)*#REF!/1000</f>
        <v>#REF!</v>
      </c>
      <c r="R230" s="79" t="e">
        <f>(#REF!+#REF!)*#REF!/1000</f>
        <v>#REF!</v>
      </c>
      <c r="S230" s="79" t="e">
        <f>(#REF!+#REF!)*#REF!/1000</f>
        <v>#REF!</v>
      </c>
      <c r="T230" s="79" t="e">
        <f>(#REF!+#REF!)*#REF!/1000</f>
        <v>#REF!</v>
      </c>
      <c r="U230" s="79" t="e">
        <f>(#REF!+#REF!)*#REF!/1000</f>
        <v>#REF!</v>
      </c>
      <c r="V230" s="79" t="e">
        <f>(#REF!+#REF!)*#REF!/1000</f>
        <v>#REF!</v>
      </c>
      <c r="W230" s="79" t="e">
        <f>(#REF!+#REF!)*#REF!/1000</f>
        <v>#REF!</v>
      </c>
      <c r="X230" s="79" t="e">
        <f>(#REF!+#REF!)*#REF!/1000</f>
        <v>#REF!</v>
      </c>
      <c r="Y230" s="79" t="e">
        <f>(#REF!+#REF!)*#REF!/1000</f>
        <v>#REF!</v>
      </c>
      <c r="Z230" s="79" t="e">
        <f>(#REF!+#REF!)*#REF!/1000</f>
        <v>#REF!</v>
      </c>
      <c r="AA230" s="79" t="e">
        <f>(#REF!+#REF!)*#REF!/1000</f>
        <v>#REF!</v>
      </c>
      <c r="AB230" s="79" t="e">
        <f>(#REF!+#REF!)*#REF!/1000</f>
        <v>#REF!</v>
      </c>
      <c r="AC230" s="79" t="e">
        <f>(#REF!+#REF!)*#REF!/1000</f>
        <v>#REF!</v>
      </c>
      <c r="AD230" s="79" t="e">
        <f>(#REF!+#REF!)*#REF!/1000</f>
        <v>#REF!</v>
      </c>
      <c r="AE230" s="79" t="e">
        <f>(#REF!+#REF!)*#REF!/1000</f>
        <v>#REF!</v>
      </c>
      <c r="AF230" s="79" t="e">
        <f>(#REF!+#REF!)*#REF!/1000</f>
        <v>#REF!</v>
      </c>
      <c r="AG230" s="79" t="e">
        <f>(#REF!+#REF!)*#REF!/1000</f>
        <v>#REF!</v>
      </c>
      <c r="AH230" s="79" t="e">
        <f>(#REF!+#REF!)*#REF!/1000</f>
        <v>#REF!</v>
      </c>
      <c r="AI230" s="79" t="e">
        <f>(#REF!+#REF!)*#REF!/1000</f>
        <v>#REF!</v>
      </c>
      <c r="AJ230" s="79" t="e">
        <f>(#REF!+#REF!)*#REF!/1000</f>
        <v>#REF!</v>
      </c>
      <c r="AK230" s="79" t="e">
        <f>(#REF!+#REF!)*#REF!/1000</f>
        <v>#REF!</v>
      </c>
      <c r="AL230" s="79" t="e">
        <f>(#REF!+#REF!)*#REF!/1000</f>
        <v>#REF!</v>
      </c>
      <c r="AM230" s="79" t="e">
        <f>(#REF!+#REF!)*#REF!/1000</f>
        <v>#REF!</v>
      </c>
      <c r="AN230" s="79" t="e">
        <f>(#REF!+#REF!)*#REF!/1000</f>
        <v>#REF!</v>
      </c>
      <c r="AO230" s="79" t="e">
        <f>(#REF!+#REF!)*#REF!/1000</f>
        <v>#REF!</v>
      </c>
      <c r="AP230" s="79" t="e">
        <f>(#REF!+#REF!)*#REF!/1000</f>
        <v>#REF!</v>
      </c>
      <c r="AQ230" s="79" t="e">
        <f>(#REF!+#REF!)*#REF!/1000</f>
        <v>#REF!</v>
      </c>
      <c r="AR230" s="79" t="e">
        <f>(#REF!+#REF!)*#REF!/1000</f>
        <v>#REF!</v>
      </c>
      <c r="AS230" s="79" t="e">
        <f>(#REF!+#REF!)*#REF!/1000</f>
        <v>#REF!</v>
      </c>
      <c r="AT230" s="79" t="e">
        <f>(#REF!+#REF!)*#REF!/1000</f>
        <v>#REF!</v>
      </c>
      <c r="AU230" s="79" t="e">
        <f>(#REF!+#REF!)*#REF!/1000</f>
        <v>#REF!</v>
      </c>
      <c r="AV230" s="79" t="e">
        <f>(#REF!+#REF!)*#REF!/1000</f>
        <v>#REF!</v>
      </c>
      <c r="AW230" s="79" t="e">
        <f>(#REF!+#REF!)*#REF!/1000</f>
        <v>#REF!</v>
      </c>
      <c r="AX230" s="79" t="e">
        <f>(#REF!+#REF!)*#REF!/1000</f>
        <v>#REF!</v>
      </c>
      <c r="AY230" s="79" t="e">
        <f>(#REF!+#REF!)*#REF!/1000</f>
        <v>#REF!</v>
      </c>
      <c r="AZ230" s="79" t="e">
        <f>(#REF!+#REF!)*#REF!/1000</f>
        <v>#REF!</v>
      </c>
      <c r="BA230" s="79" t="e">
        <f>(#REF!+#REF!)*#REF!/1000</f>
        <v>#REF!</v>
      </c>
      <c r="BB230" s="79" t="e">
        <f>(#REF!+#REF!)*#REF!/1000</f>
        <v>#REF!</v>
      </c>
      <c r="BC230" s="79" t="e">
        <f>(#REF!+#REF!)*#REF!/1000</f>
        <v>#REF!</v>
      </c>
      <c r="BD230" s="79" t="e">
        <f>(#REF!+#REF!)*#REF!/1000</f>
        <v>#REF!</v>
      </c>
      <c r="BE230" s="79" t="e">
        <f>(#REF!+#REF!)*#REF!/1000</f>
        <v>#REF!</v>
      </c>
      <c r="BF230" s="79" t="e">
        <f>(#REF!+#REF!)*#REF!/1000</f>
        <v>#REF!</v>
      </c>
      <c r="BG230" s="79" t="e">
        <f>(#REF!+#REF!)*#REF!/1000</f>
        <v>#REF!</v>
      </c>
      <c r="BH230" s="79" t="e">
        <f>(#REF!+#REF!)*#REF!/1000</f>
        <v>#REF!</v>
      </c>
      <c r="BI230" s="79" t="e">
        <f>(#REF!+#REF!)*#REF!/1000</f>
        <v>#REF!</v>
      </c>
      <c r="BJ230" s="79" t="e">
        <f>(#REF!+#REF!)*#REF!/1000</f>
        <v>#REF!</v>
      </c>
      <c r="BK230" s="79" t="e">
        <f>(#REF!+#REF!)*#REF!/1000</f>
        <v>#REF!</v>
      </c>
      <c r="BL230" s="79" t="e">
        <f>(#REF!+#REF!)*#REF!/1000</f>
        <v>#REF!</v>
      </c>
      <c r="BM230" s="79" t="e">
        <f>(#REF!+#REF!)*#REF!/1000</f>
        <v>#REF!</v>
      </c>
      <c r="BN230" s="79" t="e">
        <f>(#REF!+#REF!)*#REF!/1000</f>
        <v>#REF!</v>
      </c>
      <c r="BO230" s="79" t="e">
        <f>(#REF!+#REF!)*#REF!/1000</f>
        <v>#REF!</v>
      </c>
      <c r="BP230" s="79" t="e">
        <f>(#REF!+#REF!)*#REF!/1000</f>
        <v>#REF!</v>
      </c>
      <c r="BQ230" s="79" t="e">
        <f>(#REF!+#REF!)*#REF!/1000</f>
        <v>#REF!</v>
      </c>
      <c r="BR230" s="79" t="e">
        <f>(#REF!+#REF!)*#REF!/1000</f>
        <v>#REF!</v>
      </c>
      <c r="BS230" s="79" t="e">
        <f>(#REF!+#REF!)*#REF!/1000</f>
        <v>#REF!</v>
      </c>
      <c r="BT230" s="79" t="e">
        <f>(#REF!+#REF!)*#REF!/1000</f>
        <v>#REF!</v>
      </c>
      <c r="BU230" s="79" t="e">
        <f>(#REF!+#REF!)*#REF!/1000</f>
        <v>#REF!</v>
      </c>
      <c r="BV230" s="79" t="e">
        <f>(#REF!+#REF!)*#REF!/1000</f>
        <v>#REF!</v>
      </c>
      <c r="BW230" s="79" t="e">
        <f>(#REF!+#REF!)*#REF!/1000</f>
        <v>#REF!</v>
      </c>
      <c r="BX230" s="79" t="e">
        <f>(#REF!+#REF!)*#REF!/1000</f>
        <v>#REF!</v>
      </c>
      <c r="BY230" s="79" t="e">
        <f>(#REF!+#REF!)*#REF!/1000</f>
        <v>#REF!</v>
      </c>
      <c r="BZ230" s="79" t="e">
        <f>(#REF!+#REF!)*#REF!/1000</f>
        <v>#REF!</v>
      </c>
      <c r="CA230" s="79" t="e">
        <f>(#REF!+#REF!)*#REF!/1000</f>
        <v>#REF!</v>
      </c>
      <c r="CB230" s="79" t="e">
        <f>(#REF!+#REF!)*#REF!/1000</f>
        <v>#REF!</v>
      </c>
      <c r="CC230" s="79" t="e">
        <f>(#REF!+#REF!)*#REF!/1000</f>
        <v>#REF!</v>
      </c>
      <c r="CD230" s="79" t="e">
        <f>(#REF!+#REF!)*#REF!/1000</f>
        <v>#REF!</v>
      </c>
      <c r="CE230" s="79" t="e">
        <f>(#REF!+#REF!)*#REF!/1000</f>
        <v>#REF!</v>
      </c>
      <c r="CF230" s="79" t="e">
        <f>(#REF!+#REF!)*#REF!/1000</f>
        <v>#REF!</v>
      </c>
      <c r="CG230" s="79" t="e">
        <f>(#REF!+#REF!)*#REF!/1000</f>
        <v>#REF!</v>
      </c>
      <c r="CH230" s="79" t="e">
        <f>(#REF!+#REF!)*#REF!/1000</f>
        <v>#REF!</v>
      </c>
      <c r="CI230" s="79" t="e">
        <f>(#REF!+#REF!)*#REF!/1000</f>
        <v>#REF!</v>
      </c>
      <c r="CJ230" s="79" t="e">
        <f>(#REF!+#REF!)*#REF!/1000</f>
        <v>#REF!</v>
      </c>
      <c r="CK230" s="79" t="e">
        <f>(#REF!+#REF!)*#REF!/1000</f>
        <v>#REF!</v>
      </c>
      <c r="CL230" s="79" t="e">
        <f>(#REF!+#REF!)*#REF!/1000</f>
        <v>#REF!</v>
      </c>
      <c r="CM230" s="79" t="e">
        <f>(#REF!+#REF!)*#REF!/1000</f>
        <v>#REF!</v>
      </c>
      <c r="CN230" s="79" t="e">
        <f>(#REF!+#REF!)*#REF!/1000</f>
        <v>#REF!</v>
      </c>
      <c r="CO230" s="79" t="e">
        <f>(#REF!+#REF!)*#REF!/1000</f>
        <v>#REF!</v>
      </c>
      <c r="CP230" s="79" t="e">
        <f>(#REF!+#REF!)*#REF!/1000</f>
        <v>#REF!</v>
      </c>
      <c r="CQ230" s="79" t="e">
        <f>(#REF!+#REF!)*#REF!/1000</f>
        <v>#REF!</v>
      </c>
      <c r="CR230" s="79" t="e">
        <f>(#REF!+#REF!)*#REF!/1000</f>
        <v>#REF!</v>
      </c>
      <c r="CS230" s="79" t="e">
        <f>(#REF!+#REF!)*#REF!/1000</f>
        <v>#REF!</v>
      </c>
      <c r="CT230" s="79" t="e">
        <f>(#REF!+#REF!)*#REF!/1000</f>
        <v>#REF!</v>
      </c>
      <c r="CU230" s="79" t="e">
        <f>(#REF!+#REF!)*#REF!/1000</f>
        <v>#REF!</v>
      </c>
      <c r="CV230" s="79" t="e">
        <f>(#REF!+#REF!)*#REF!/1000</f>
        <v>#REF!</v>
      </c>
      <c r="CW230" s="79" t="e">
        <f>(#REF!+#REF!)*#REF!/1000</f>
        <v>#REF!</v>
      </c>
      <c r="CX230" s="79" t="e">
        <f>(#REF!+#REF!)*#REF!/1000</f>
        <v>#REF!</v>
      </c>
      <c r="CY230" s="79" t="e">
        <f>(#REF!+#REF!)*#REF!/1000</f>
        <v>#REF!</v>
      </c>
      <c r="CZ230" s="79" t="e">
        <f>(#REF!+#REF!)*#REF!/1000</f>
        <v>#REF!</v>
      </c>
      <c r="DA230" s="79" t="e">
        <f>(#REF!+#REF!)*#REF!/1000</f>
        <v>#REF!</v>
      </c>
      <c r="DB230" s="79" t="e">
        <f>(#REF!+#REF!)*#REF!/1000</f>
        <v>#REF!</v>
      </c>
      <c r="DC230" s="79" t="e">
        <f>(#REF!+#REF!)*#REF!/1000</f>
        <v>#REF!</v>
      </c>
      <c r="DD230" s="79" t="e">
        <f>(#REF!+#REF!)*#REF!/1000</f>
        <v>#REF!</v>
      </c>
      <c r="DE230" s="79" t="e">
        <f>(#REF!+#REF!)*#REF!/1000</f>
        <v>#REF!</v>
      </c>
      <c r="DF230" s="79" t="e">
        <f>(#REF!+#REF!)*#REF!/1000</f>
        <v>#REF!</v>
      </c>
      <c r="DG230" s="79" t="e">
        <f>(#REF!+#REF!)*#REF!/1000</f>
        <v>#REF!</v>
      </c>
      <c r="DH230" s="79" t="e">
        <f>(#REF!+#REF!)*#REF!/1000</f>
        <v>#REF!</v>
      </c>
      <c r="DI230" s="79" t="e">
        <f>(#REF!+#REF!)*#REF!/1000</f>
        <v>#REF!</v>
      </c>
      <c r="DJ230" s="79" t="e">
        <f>(#REF!+#REF!)*#REF!/1000</f>
        <v>#REF!</v>
      </c>
      <c r="DK230" s="79" t="e">
        <f>(#REF!+#REF!)*#REF!/1000</f>
        <v>#REF!</v>
      </c>
      <c r="DL230" s="79" t="e">
        <f>(#REF!+#REF!)*#REF!/1000</f>
        <v>#REF!</v>
      </c>
      <c r="DM230" s="79" t="e">
        <f>(#REF!+#REF!)*#REF!/1000</f>
        <v>#REF!</v>
      </c>
      <c r="DN230" s="79" t="e">
        <f>(#REF!+#REF!)*#REF!/1000</f>
        <v>#REF!</v>
      </c>
      <c r="DO230" s="79" t="e">
        <f>(#REF!+#REF!)*#REF!/1000</f>
        <v>#REF!</v>
      </c>
      <c r="DP230" s="79" t="e">
        <f>(#REF!+#REF!)*#REF!/1000</f>
        <v>#REF!</v>
      </c>
      <c r="DQ230" s="79" t="e">
        <f>(#REF!+#REF!)*#REF!/1000</f>
        <v>#REF!</v>
      </c>
      <c r="DR230" s="79" t="e">
        <f>(#REF!+#REF!)*#REF!/1000</f>
        <v>#REF!</v>
      </c>
      <c r="DS230" s="79" t="e">
        <f>(#REF!+#REF!)*#REF!/1000</f>
        <v>#REF!</v>
      </c>
      <c r="DT230" s="79" t="e">
        <f>(#REF!+#REF!)*#REF!/1000</f>
        <v>#REF!</v>
      </c>
      <c r="DU230" s="79" t="e">
        <f>(#REF!+#REF!)*#REF!/1000</f>
        <v>#REF!</v>
      </c>
      <c r="DV230" s="79" t="e">
        <f>(#REF!+#REF!)*#REF!/1000</f>
        <v>#REF!</v>
      </c>
      <c r="DW230" s="79" t="e">
        <f>(#REF!+#REF!)*#REF!/1000</f>
        <v>#REF!</v>
      </c>
      <c r="DX230" s="79" t="e">
        <f>(#REF!+#REF!)*#REF!/1000</f>
        <v>#REF!</v>
      </c>
      <c r="DY230" s="79" t="e">
        <f>(#REF!+#REF!)*#REF!/1000</f>
        <v>#REF!</v>
      </c>
      <c r="DZ230" s="79" t="e">
        <f>(#REF!+#REF!)*#REF!/1000</f>
        <v>#REF!</v>
      </c>
      <c r="EA230" s="79" t="e">
        <f>(#REF!+#REF!)*#REF!/1000</f>
        <v>#REF!</v>
      </c>
      <c r="EB230" s="79" t="e">
        <f>(#REF!+#REF!)*#REF!/1000</f>
        <v>#REF!</v>
      </c>
      <c r="EC230" s="79" t="e">
        <f>(#REF!+#REF!)*#REF!/1000</f>
        <v>#REF!</v>
      </c>
      <c r="ED230" s="79" t="e">
        <f>(#REF!+#REF!)*#REF!/1000</f>
        <v>#REF!</v>
      </c>
      <c r="EE230" s="79" t="e">
        <f>(#REF!+#REF!)*#REF!/1000</f>
        <v>#REF!</v>
      </c>
      <c r="EF230" s="79" t="e">
        <f>(#REF!+#REF!)*#REF!/1000</f>
        <v>#REF!</v>
      </c>
      <c r="EG230" s="79" t="e">
        <f>(#REF!+#REF!)*#REF!/1000</f>
        <v>#REF!</v>
      </c>
      <c r="EH230" s="79" t="e">
        <f>(#REF!+#REF!)*#REF!/1000</f>
        <v>#REF!</v>
      </c>
      <c r="EI230" s="79" t="e">
        <f>(#REF!+#REF!)*#REF!/1000</f>
        <v>#REF!</v>
      </c>
      <c r="EJ230" s="79" t="e">
        <f>(#REF!+#REF!)*#REF!/1000</f>
        <v>#REF!</v>
      </c>
      <c r="EK230" s="79" t="e">
        <f>(#REF!+#REF!)*#REF!/1000</f>
        <v>#REF!</v>
      </c>
      <c r="EL230" s="79" t="e">
        <f>(#REF!+#REF!)*#REF!/1000</f>
        <v>#REF!</v>
      </c>
      <c r="EM230" s="79" t="e">
        <f>(#REF!+#REF!)*#REF!/1000</f>
        <v>#REF!</v>
      </c>
      <c r="EN230" s="79" t="e">
        <f>(#REF!+#REF!)*#REF!/1000</f>
        <v>#REF!</v>
      </c>
      <c r="EO230" s="79" t="e">
        <f>(#REF!+#REF!)*#REF!/1000</f>
        <v>#REF!</v>
      </c>
      <c r="EP230" s="79" t="e">
        <f>(#REF!+#REF!)*#REF!/1000</f>
        <v>#REF!</v>
      </c>
      <c r="EQ230" s="79" t="e">
        <f>(#REF!+#REF!)*#REF!/1000</f>
        <v>#REF!</v>
      </c>
      <c r="ER230" s="79" t="e">
        <f>(#REF!+#REF!)*#REF!/1000</f>
        <v>#REF!</v>
      </c>
      <c r="ES230" s="79" t="e">
        <f>(#REF!+#REF!)*#REF!/1000</f>
        <v>#REF!</v>
      </c>
      <c r="ET230" s="79" t="e">
        <f>(#REF!+#REF!)*#REF!/1000</f>
        <v>#REF!</v>
      </c>
      <c r="EU230" s="79" t="e">
        <f>(#REF!+#REF!)*#REF!/1000</f>
        <v>#REF!</v>
      </c>
      <c r="EV230" s="79" t="e">
        <f>(#REF!+#REF!)*#REF!/1000</f>
        <v>#REF!</v>
      </c>
      <c r="EW230" s="79" t="e">
        <f>(#REF!+#REF!)*#REF!/1000</f>
        <v>#REF!</v>
      </c>
      <c r="EX230" s="79" t="e">
        <f>(#REF!+#REF!)*#REF!/1000</f>
        <v>#REF!</v>
      </c>
      <c r="EY230" s="79" t="e">
        <f>(#REF!+#REF!)*#REF!/1000</f>
        <v>#REF!</v>
      </c>
      <c r="EZ230" s="79" t="e">
        <f>(#REF!+#REF!)*#REF!/1000</f>
        <v>#REF!</v>
      </c>
      <c r="FA230" s="79" t="e">
        <f>(#REF!+#REF!)*#REF!/1000</f>
        <v>#REF!</v>
      </c>
      <c r="FB230" s="79" t="e">
        <f>(#REF!+#REF!)*#REF!/1000</f>
        <v>#REF!</v>
      </c>
      <c r="FC230" s="79" t="e">
        <f>(#REF!+#REF!)*#REF!/1000</f>
        <v>#REF!</v>
      </c>
      <c r="FD230" s="79" t="e">
        <f>(#REF!+#REF!)*#REF!/1000</f>
        <v>#REF!</v>
      </c>
      <c r="FE230" s="79" t="e">
        <f>(#REF!+#REF!)*#REF!/1000</f>
        <v>#REF!</v>
      </c>
      <c r="FF230" s="79" t="e">
        <f>(#REF!+#REF!)*#REF!/1000</f>
        <v>#REF!</v>
      </c>
      <c r="FG230" s="79" t="e">
        <f>(#REF!+#REF!)*#REF!/1000</f>
        <v>#REF!</v>
      </c>
      <c r="FH230" s="79" t="e">
        <f>(#REF!+#REF!)*#REF!/1000</f>
        <v>#REF!</v>
      </c>
      <c r="FI230" s="79" t="e">
        <f>(#REF!+#REF!)*#REF!/1000</f>
        <v>#REF!</v>
      </c>
      <c r="FJ230" s="79" t="e">
        <f>(#REF!+#REF!)*#REF!/1000</f>
        <v>#REF!</v>
      </c>
      <c r="FK230" s="79" t="e">
        <f>(#REF!+#REF!)*#REF!/1000</f>
        <v>#REF!</v>
      </c>
      <c r="FL230" s="79" t="e">
        <f>(#REF!+#REF!)*#REF!/1000</f>
        <v>#REF!</v>
      </c>
      <c r="FM230" s="79" t="e">
        <f>(#REF!+#REF!)*#REF!/1000</f>
        <v>#REF!</v>
      </c>
      <c r="FN230" s="79" t="e">
        <f>(#REF!+#REF!)*#REF!/1000</f>
        <v>#REF!</v>
      </c>
      <c r="FO230" s="79" t="e">
        <f>(#REF!+#REF!)*#REF!/1000</f>
        <v>#REF!</v>
      </c>
      <c r="FP230" s="79" t="e">
        <f>(#REF!+#REF!)*#REF!/1000</f>
        <v>#REF!</v>
      </c>
      <c r="FQ230" s="79" t="e">
        <f>(#REF!+#REF!)*#REF!/1000</f>
        <v>#REF!</v>
      </c>
      <c r="FR230" s="79" t="e">
        <f>(#REF!+#REF!)*#REF!/1000</f>
        <v>#REF!</v>
      </c>
      <c r="FS230" s="79" t="e">
        <f>(#REF!+#REF!)*#REF!/1000</f>
        <v>#REF!</v>
      </c>
      <c r="FT230" s="79" t="e">
        <f>(#REF!+#REF!)*#REF!/1000</f>
        <v>#REF!</v>
      </c>
      <c r="FU230" s="79" t="e">
        <f>(#REF!+#REF!)*#REF!/1000</f>
        <v>#REF!</v>
      </c>
      <c r="FV230" s="79" t="e">
        <f>(#REF!+#REF!)*#REF!/1000</f>
        <v>#REF!</v>
      </c>
      <c r="FW230" s="79" t="e">
        <f>(#REF!+#REF!)*#REF!/1000</f>
        <v>#REF!</v>
      </c>
      <c r="FX230" s="79" t="e">
        <f>(#REF!+#REF!)*#REF!/1000</f>
        <v>#REF!</v>
      </c>
      <c r="FY230" s="79" t="e">
        <f>(#REF!+#REF!)*#REF!/1000</f>
        <v>#REF!</v>
      </c>
      <c r="FZ230" s="79" t="e">
        <f>(#REF!+#REF!)*#REF!/1000</f>
        <v>#REF!</v>
      </c>
      <c r="GA230" s="79" t="e">
        <f>(#REF!+#REF!)*#REF!/1000</f>
        <v>#REF!</v>
      </c>
      <c r="GB230" s="79" t="e">
        <f>(#REF!+#REF!)*#REF!/1000</f>
        <v>#REF!</v>
      </c>
      <c r="GC230" s="79" t="e">
        <f>(#REF!+#REF!)*#REF!/1000</f>
        <v>#REF!</v>
      </c>
      <c r="GD230" s="79" t="e">
        <f>(#REF!+#REF!)*#REF!/1000</f>
        <v>#REF!</v>
      </c>
      <c r="GE230" s="79" t="e">
        <f>(#REF!+#REF!)*#REF!/1000</f>
        <v>#REF!</v>
      </c>
      <c r="GF230" s="79" t="e">
        <f>(#REF!+#REF!)*#REF!/1000</f>
        <v>#REF!</v>
      </c>
      <c r="GG230" s="79" t="e">
        <f>(#REF!+#REF!)*#REF!/1000</f>
        <v>#REF!</v>
      </c>
      <c r="GH230" s="79" t="e">
        <f>(#REF!+#REF!)*#REF!/1000</f>
        <v>#REF!</v>
      </c>
      <c r="GI230" s="79" t="e">
        <f>(#REF!+#REF!)*#REF!/1000</f>
        <v>#REF!</v>
      </c>
      <c r="GJ230" s="79" t="e">
        <f>(#REF!+#REF!)*#REF!/1000</f>
        <v>#REF!</v>
      </c>
      <c r="GK230" s="79" t="e">
        <f>(#REF!+#REF!)*#REF!/1000</f>
        <v>#REF!</v>
      </c>
      <c r="GL230" s="79" t="e">
        <f>(#REF!+#REF!)*#REF!/1000</f>
        <v>#REF!</v>
      </c>
      <c r="GM230" s="79" t="e">
        <f>(#REF!+#REF!)*#REF!/1000</f>
        <v>#REF!</v>
      </c>
      <c r="GN230" s="79" t="e">
        <f>(#REF!+#REF!)*#REF!/1000</f>
        <v>#REF!</v>
      </c>
      <c r="GO230" s="79" t="e">
        <f>(#REF!+#REF!)*#REF!/1000</f>
        <v>#REF!</v>
      </c>
      <c r="GP230" s="79" t="e">
        <f>(#REF!+#REF!)*#REF!/1000</f>
        <v>#REF!</v>
      </c>
      <c r="GQ230" s="79" t="e">
        <f>(#REF!+#REF!)*#REF!/1000</f>
        <v>#REF!</v>
      </c>
      <c r="GR230" s="79" t="e">
        <f>(#REF!+#REF!)*#REF!/1000</f>
        <v>#REF!</v>
      </c>
      <c r="GS230" s="79" t="e">
        <f>(#REF!+#REF!)*#REF!/1000</f>
        <v>#REF!</v>
      </c>
      <c r="GT230" s="79" t="e">
        <f>(#REF!+#REF!)*#REF!/1000</f>
        <v>#REF!</v>
      </c>
      <c r="GU230" s="79" t="e">
        <f>(#REF!+#REF!)*#REF!/1000</f>
        <v>#REF!</v>
      </c>
      <c r="GV230" s="79" t="e">
        <f>(#REF!+#REF!)*#REF!/1000</f>
        <v>#REF!</v>
      </c>
      <c r="GW230" s="79" t="e">
        <f>(#REF!+#REF!)*#REF!/1000</f>
        <v>#REF!</v>
      </c>
      <c r="GX230" s="79" t="e">
        <f>(#REF!+#REF!)*#REF!/1000</f>
        <v>#REF!</v>
      </c>
      <c r="GY230" s="79" t="e">
        <f>(#REF!+#REF!)*#REF!/1000</f>
        <v>#REF!</v>
      </c>
      <c r="GZ230" s="79" t="e">
        <f>(#REF!+#REF!)*#REF!/1000</f>
        <v>#REF!</v>
      </c>
      <c r="HA230" s="79" t="e">
        <f>(#REF!+#REF!)*#REF!/1000</f>
        <v>#REF!</v>
      </c>
      <c r="HB230" s="79" t="e">
        <f>(#REF!+#REF!)*#REF!/1000</f>
        <v>#REF!</v>
      </c>
      <c r="HC230" s="79" t="e">
        <f>(#REF!+#REF!)*#REF!/1000</f>
        <v>#REF!</v>
      </c>
      <c r="HD230" s="79" t="e">
        <f>(#REF!+#REF!)*#REF!/1000</f>
        <v>#REF!</v>
      </c>
      <c r="HE230" s="79" t="e">
        <f>(#REF!+#REF!)*#REF!/1000</f>
        <v>#REF!</v>
      </c>
      <c r="HF230" s="79" t="e">
        <f>(#REF!+#REF!)*#REF!/1000</f>
        <v>#REF!</v>
      </c>
      <c r="HG230" s="79" t="e">
        <f>(#REF!+#REF!)*#REF!/1000</f>
        <v>#REF!</v>
      </c>
      <c r="HH230" s="79" t="e">
        <f>(#REF!+#REF!)*#REF!/1000</f>
        <v>#REF!</v>
      </c>
      <c r="HI230" s="79" t="e">
        <f>(#REF!+#REF!)*#REF!/1000</f>
        <v>#REF!</v>
      </c>
      <c r="HJ230" s="79" t="e">
        <f>(#REF!+#REF!)*#REF!/1000</f>
        <v>#REF!</v>
      </c>
      <c r="HK230" s="79" t="e">
        <f>(#REF!+#REF!)*#REF!/1000</f>
        <v>#REF!</v>
      </c>
      <c r="HL230" s="79" t="e">
        <f>(#REF!+#REF!)*#REF!/1000</f>
        <v>#REF!</v>
      </c>
      <c r="HM230" s="79" t="e">
        <f>(#REF!+#REF!)*#REF!/1000</f>
        <v>#REF!</v>
      </c>
      <c r="HN230" s="79" t="e">
        <f>(#REF!+#REF!)*#REF!/1000</f>
        <v>#REF!</v>
      </c>
      <c r="HO230" s="79" t="e">
        <f>(#REF!+#REF!)*#REF!/1000</f>
        <v>#REF!</v>
      </c>
      <c r="HP230" s="79" t="e">
        <f>(#REF!+#REF!)*#REF!/1000</f>
        <v>#REF!</v>
      </c>
      <c r="HQ230" s="79" t="e">
        <f>(#REF!+#REF!)*#REF!/1000</f>
        <v>#REF!</v>
      </c>
      <c r="HR230" s="79" t="e">
        <f>(#REF!+#REF!)*#REF!/1000</f>
        <v>#REF!</v>
      </c>
      <c r="HS230" s="79" t="e">
        <f>(#REF!+#REF!)*#REF!/1000</f>
        <v>#REF!</v>
      </c>
      <c r="HT230" s="79" t="e">
        <f>(#REF!+#REF!)*#REF!/1000</f>
        <v>#REF!</v>
      </c>
      <c r="HU230" s="79" t="e">
        <f>(#REF!+#REF!)*#REF!/1000</f>
        <v>#REF!</v>
      </c>
      <c r="HV230" s="79" t="e">
        <f>(#REF!+#REF!)*#REF!/1000</f>
        <v>#REF!</v>
      </c>
      <c r="HW230" s="79" t="e">
        <f>(#REF!+#REF!)*#REF!/1000</f>
        <v>#REF!</v>
      </c>
      <c r="HX230" s="79" t="e">
        <f>(#REF!+#REF!)*#REF!/1000</f>
        <v>#REF!</v>
      </c>
      <c r="HY230" s="79" t="e">
        <f>(#REF!+#REF!)*#REF!/1000</f>
        <v>#REF!</v>
      </c>
      <c r="HZ230" s="79" t="e">
        <f>(#REF!+#REF!)*#REF!/1000</f>
        <v>#REF!</v>
      </c>
      <c r="IA230" s="79" t="e">
        <f>(#REF!+#REF!)*#REF!/1000</f>
        <v>#REF!</v>
      </c>
      <c r="IB230" s="79" t="e">
        <f>(#REF!+#REF!)*#REF!/1000</f>
        <v>#REF!</v>
      </c>
      <c r="IC230" s="79" t="e">
        <f>(#REF!+#REF!)*#REF!/1000</f>
        <v>#REF!</v>
      </c>
      <c r="ID230" s="79" t="e">
        <f>(#REF!+#REF!)*#REF!/1000</f>
        <v>#REF!</v>
      </c>
      <c r="IE230" s="79" t="e">
        <f>(#REF!+#REF!)*#REF!/1000</f>
        <v>#REF!</v>
      </c>
      <c r="IF230" s="79" t="e">
        <f>(#REF!+#REF!)*#REF!/1000</f>
        <v>#REF!</v>
      </c>
      <c r="IG230" s="79" t="e">
        <f>(#REF!+#REF!)*#REF!/1000</f>
        <v>#REF!</v>
      </c>
      <c r="IH230" s="79" t="e">
        <f>(#REF!+#REF!)*#REF!/1000</f>
        <v>#REF!</v>
      </c>
      <c r="II230" s="79" t="e">
        <f>(#REF!+#REF!)*#REF!/1000</f>
        <v>#REF!</v>
      </c>
      <c r="IJ230" s="79" t="e">
        <f>(#REF!+#REF!)*#REF!/1000</f>
        <v>#REF!</v>
      </c>
      <c r="IK230" s="79" t="e">
        <f>(#REF!+#REF!)*#REF!/1000</f>
        <v>#REF!</v>
      </c>
      <c r="IL230" s="79" t="e">
        <f>(#REF!+#REF!)*#REF!/1000</f>
        <v>#REF!</v>
      </c>
      <c r="IM230" s="79" t="e">
        <f>(#REF!+#REF!)*#REF!/1000</f>
        <v>#REF!</v>
      </c>
      <c r="IN230" s="79" t="e">
        <f>(#REF!+#REF!)*#REF!/1000</f>
        <v>#REF!</v>
      </c>
      <c r="IO230" s="79" t="e">
        <f>(#REF!+#REF!)*#REF!/1000</f>
        <v>#REF!</v>
      </c>
      <c r="IP230" s="79" t="e">
        <f>(#REF!+#REF!)*#REF!/1000</f>
        <v>#REF!</v>
      </c>
      <c r="IQ230" s="79" t="e">
        <f>(#REF!+#REF!)*#REF!/1000</f>
        <v>#REF!</v>
      </c>
      <c r="IR230" s="79" t="e">
        <f>(#REF!+#REF!)*#REF!/1000</f>
        <v>#REF!</v>
      </c>
      <c r="IS230" s="79" t="e">
        <f>(#REF!+#REF!)*#REF!/1000</f>
        <v>#REF!</v>
      </c>
      <c r="IT230" s="79" t="e">
        <f>(#REF!+#REF!)*#REF!/1000</f>
        <v>#REF!</v>
      </c>
      <c r="IU230" s="79" t="e">
        <f>(#REF!+#REF!)*#REF!/1000</f>
        <v>#REF!</v>
      </c>
      <c r="IV230" s="79" t="e">
        <f>(#REF!+#REF!)*#REF!/1000</f>
        <v>#REF!</v>
      </c>
      <c r="IW230" s="79" t="e">
        <f>(#REF!+#REF!)*#REF!/1000</f>
        <v>#REF!</v>
      </c>
      <c r="IX230" s="79" t="e">
        <f>(#REF!+#REF!)*#REF!/1000</f>
        <v>#REF!</v>
      </c>
      <c r="IY230" s="79" t="e">
        <f>(#REF!+#REF!)*#REF!/1000</f>
        <v>#REF!</v>
      </c>
      <c r="IZ230" s="79" t="e">
        <f>(#REF!+#REF!)*#REF!/1000</f>
        <v>#REF!</v>
      </c>
      <c r="JA230" s="79" t="e">
        <f>(#REF!+#REF!)*#REF!/1000</f>
        <v>#REF!</v>
      </c>
      <c r="JB230" s="79" t="e">
        <f>(#REF!+#REF!)*#REF!/1000</f>
        <v>#REF!</v>
      </c>
      <c r="JC230" s="79" t="e">
        <f>(#REF!+#REF!)*#REF!/1000</f>
        <v>#REF!</v>
      </c>
      <c r="JD230" s="79" t="e">
        <f>(#REF!+#REF!)*#REF!/1000</f>
        <v>#REF!</v>
      </c>
      <c r="JE230" s="79" t="e">
        <f>(#REF!+#REF!)*#REF!/1000</f>
        <v>#REF!</v>
      </c>
      <c r="JF230" s="79" t="e">
        <f>(#REF!+#REF!)*#REF!/1000</f>
        <v>#REF!</v>
      </c>
      <c r="JG230" s="79" t="e">
        <f>(#REF!+#REF!)*#REF!/1000</f>
        <v>#REF!</v>
      </c>
      <c r="JH230" s="79" t="e">
        <f>(#REF!+#REF!)*#REF!/1000</f>
        <v>#REF!</v>
      </c>
      <c r="JI230" s="79" t="e">
        <f>(#REF!+#REF!)*#REF!/1000</f>
        <v>#REF!</v>
      </c>
      <c r="JJ230" s="79" t="e">
        <f>(#REF!+#REF!)*#REF!/1000</f>
        <v>#REF!</v>
      </c>
      <c r="JK230" s="79" t="e">
        <f>(#REF!+#REF!)*#REF!/1000</f>
        <v>#REF!</v>
      </c>
      <c r="JL230" s="79" t="e">
        <f>(#REF!+#REF!)*#REF!/1000</f>
        <v>#REF!</v>
      </c>
      <c r="JM230" s="79" t="e">
        <f>(#REF!+#REF!)*#REF!/1000</f>
        <v>#REF!</v>
      </c>
      <c r="JN230" s="79" t="e">
        <f>(#REF!+#REF!)*#REF!/1000</f>
        <v>#REF!</v>
      </c>
      <c r="JO230" s="79" t="e">
        <f>(#REF!+#REF!)*#REF!/1000</f>
        <v>#REF!</v>
      </c>
      <c r="JP230" s="79" t="e">
        <f>(#REF!+#REF!)*#REF!/1000</f>
        <v>#REF!</v>
      </c>
      <c r="JQ230" s="79" t="e">
        <f>(#REF!+#REF!)*#REF!/1000</f>
        <v>#REF!</v>
      </c>
      <c r="JR230" s="79" t="e">
        <f>(#REF!+#REF!)*#REF!/1000</f>
        <v>#REF!</v>
      </c>
      <c r="JS230" s="79" t="e">
        <f>(#REF!+#REF!)*#REF!/1000</f>
        <v>#REF!</v>
      </c>
      <c r="JT230" s="79" t="e">
        <f>(#REF!+#REF!)*#REF!/1000</f>
        <v>#REF!</v>
      </c>
      <c r="JU230" s="79" t="e">
        <f>(#REF!+#REF!)*#REF!/1000</f>
        <v>#REF!</v>
      </c>
      <c r="JV230" s="79" t="e">
        <f>(#REF!+#REF!)*#REF!/1000</f>
        <v>#REF!</v>
      </c>
      <c r="JW230" s="79" t="e">
        <f>(#REF!+#REF!)*#REF!/1000</f>
        <v>#REF!</v>
      </c>
      <c r="JX230" s="79" t="e">
        <f>(#REF!+#REF!)*#REF!/1000</f>
        <v>#REF!</v>
      </c>
      <c r="JY230" s="79" t="e">
        <f>(#REF!+#REF!)*#REF!/1000</f>
        <v>#REF!</v>
      </c>
      <c r="JZ230" s="79" t="e">
        <f>(#REF!+#REF!)*#REF!/1000</f>
        <v>#REF!</v>
      </c>
      <c r="KA230" s="79" t="e">
        <f>(#REF!+#REF!)*#REF!/1000</f>
        <v>#REF!</v>
      </c>
      <c r="KB230" s="79" t="e">
        <f>(#REF!+#REF!)*#REF!/1000</f>
        <v>#REF!</v>
      </c>
      <c r="KC230" s="79" t="e">
        <f>(#REF!+#REF!)*#REF!/1000</f>
        <v>#REF!</v>
      </c>
      <c r="KD230" s="79" t="e">
        <f>(#REF!+#REF!)*#REF!/1000</f>
        <v>#REF!</v>
      </c>
      <c r="KE230" s="79" t="e">
        <f>(#REF!+#REF!)*#REF!/1000</f>
        <v>#REF!</v>
      </c>
      <c r="KF230" s="79" t="e">
        <f>(#REF!+#REF!)*#REF!/1000</f>
        <v>#REF!</v>
      </c>
      <c r="KG230" s="79" t="e">
        <f>(#REF!+#REF!)*#REF!/1000</f>
        <v>#REF!</v>
      </c>
      <c r="KH230" s="79" t="e">
        <f>(#REF!+#REF!)*#REF!/1000</f>
        <v>#REF!</v>
      </c>
      <c r="KI230" s="79" t="e">
        <f>(#REF!+#REF!)*#REF!/1000</f>
        <v>#REF!</v>
      </c>
      <c r="KJ230" s="79" t="e">
        <f>(#REF!+#REF!)*#REF!/1000</f>
        <v>#REF!</v>
      </c>
      <c r="KK230" s="79" t="e">
        <f>(#REF!+#REF!)*#REF!/1000</f>
        <v>#REF!</v>
      </c>
      <c r="KL230" s="79" t="e">
        <f>(#REF!+#REF!)*#REF!/1000</f>
        <v>#REF!</v>
      </c>
      <c r="KM230" s="79" t="e">
        <f>(#REF!+#REF!)*#REF!/1000</f>
        <v>#REF!</v>
      </c>
      <c r="KN230" s="79" t="e">
        <f>(#REF!+#REF!)*#REF!/1000</f>
        <v>#REF!</v>
      </c>
      <c r="KO230" s="79" t="e">
        <f>(#REF!+#REF!)*#REF!/1000</f>
        <v>#REF!</v>
      </c>
      <c r="KP230" s="79" t="e">
        <f>(#REF!+#REF!)*#REF!/1000</f>
        <v>#REF!</v>
      </c>
      <c r="KQ230" s="79" t="e">
        <f>(#REF!+#REF!)*#REF!/1000</f>
        <v>#REF!</v>
      </c>
      <c r="KR230" s="79" t="e">
        <f>(#REF!+#REF!)*#REF!/1000</f>
        <v>#REF!</v>
      </c>
      <c r="KS230" s="79" t="e">
        <f>(#REF!+#REF!)*#REF!/1000</f>
        <v>#REF!</v>
      </c>
      <c r="KT230" s="79" t="e">
        <f>(#REF!+#REF!)*#REF!/1000</f>
        <v>#REF!</v>
      </c>
      <c r="KU230" s="79" t="e">
        <f>(#REF!+#REF!)*#REF!/1000</f>
        <v>#REF!</v>
      </c>
      <c r="KV230" s="79" t="e">
        <f>(#REF!+#REF!)*#REF!/1000</f>
        <v>#REF!</v>
      </c>
      <c r="KW230" s="79" t="e">
        <f>(#REF!+#REF!)*#REF!/1000</f>
        <v>#REF!</v>
      </c>
      <c r="KX230" s="79" t="e">
        <f>(#REF!+#REF!)*#REF!/1000</f>
        <v>#REF!</v>
      </c>
      <c r="KY230" s="79" t="e">
        <f>(#REF!+#REF!)*#REF!/1000</f>
        <v>#REF!</v>
      </c>
      <c r="KZ230" s="79" t="e">
        <f>(#REF!+#REF!)*#REF!/1000</f>
        <v>#REF!</v>
      </c>
      <c r="LA230" s="79" t="e">
        <f>(#REF!+#REF!)*#REF!/1000</f>
        <v>#REF!</v>
      </c>
      <c r="LB230" s="79" t="e">
        <f>(#REF!+#REF!)*#REF!/1000</f>
        <v>#REF!</v>
      </c>
      <c r="LC230" s="79" t="e">
        <f>(#REF!+#REF!)*#REF!/1000</f>
        <v>#REF!</v>
      </c>
      <c r="LD230" s="79" t="e">
        <f>(#REF!+#REF!)*#REF!/1000</f>
        <v>#REF!</v>
      </c>
      <c r="LE230" s="79" t="e">
        <f>(#REF!+#REF!)*#REF!/1000</f>
        <v>#REF!</v>
      </c>
      <c r="LF230" s="79" t="e">
        <f>(#REF!+#REF!)*#REF!/1000</f>
        <v>#REF!</v>
      </c>
      <c r="LG230" s="79" t="e">
        <f>(#REF!+#REF!)*#REF!/1000</f>
        <v>#REF!</v>
      </c>
      <c r="LH230" s="79" t="e">
        <f>(#REF!+#REF!)*#REF!/1000</f>
        <v>#REF!</v>
      </c>
      <c r="LI230" s="79" t="e">
        <f>(#REF!+#REF!)*#REF!/1000</f>
        <v>#REF!</v>
      </c>
      <c r="LJ230" s="79" t="e">
        <f>(#REF!+#REF!)*#REF!/1000</f>
        <v>#REF!</v>
      </c>
      <c r="LK230" s="79" t="e">
        <f>(#REF!+#REF!)*#REF!/1000</f>
        <v>#REF!</v>
      </c>
      <c r="LL230" s="79" t="e">
        <f>(#REF!+#REF!)*#REF!/1000</f>
        <v>#REF!</v>
      </c>
      <c r="LM230" s="79" t="e">
        <f>(#REF!+#REF!)*#REF!/1000</f>
        <v>#REF!</v>
      </c>
      <c r="LN230" s="79" t="e">
        <f>(#REF!+#REF!)*#REF!/1000</f>
        <v>#REF!</v>
      </c>
      <c r="LO230" s="79" t="e">
        <f>(#REF!+#REF!)*#REF!/1000</f>
        <v>#REF!</v>
      </c>
      <c r="LP230" s="79" t="e">
        <f>(#REF!+#REF!)*#REF!/1000</f>
        <v>#REF!</v>
      </c>
      <c r="LQ230" s="79" t="e">
        <f>(#REF!+#REF!)*#REF!/1000</f>
        <v>#REF!</v>
      </c>
      <c r="LR230" s="79" t="e">
        <f>(#REF!+#REF!)*#REF!/1000</f>
        <v>#REF!</v>
      </c>
      <c r="LS230" s="79" t="e">
        <f>(#REF!+#REF!)*#REF!/1000</f>
        <v>#REF!</v>
      </c>
      <c r="LT230" s="79" t="e">
        <f>(#REF!+#REF!)*#REF!/1000</f>
        <v>#REF!</v>
      </c>
      <c r="LU230" s="79" t="e">
        <f>(#REF!+#REF!)*#REF!/1000</f>
        <v>#REF!</v>
      </c>
      <c r="LV230" s="79" t="e">
        <f>(#REF!+#REF!)*#REF!/1000</f>
        <v>#REF!</v>
      </c>
      <c r="LW230" s="79" t="e">
        <f>(#REF!+#REF!)*#REF!/1000</f>
        <v>#REF!</v>
      </c>
      <c r="LX230" s="79" t="e">
        <f>(#REF!+#REF!)*#REF!/1000</f>
        <v>#REF!</v>
      </c>
      <c r="LY230" s="79" t="e">
        <f>(#REF!+#REF!)*#REF!/1000</f>
        <v>#REF!</v>
      </c>
      <c r="LZ230" s="79" t="e">
        <f>(#REF!+#REF!)*#REF!/1000</f>
        <v>#REF!</v>
      </c>
      <c r="MA230" s="79" t="e">
        <f>(#REF!+#REF!)*#REF!/1000</f>
        <v>#REF!</v>
      </c>
      <c r="MB230" s="79" t="e">
        <f>(#REF!+#REF!)*#REF!/1000</f>
        <v>#REF!</v>
      </c>
      <c r="MC230" s="79" t="e">
        <f>(#REF!+#REF!)*#REF!/1000</f>
        <v>#REF!</v>
      </c>
      <c r="MD230" s="79" t="e">
        <f>(#REF!+#REF!)*#REF!/1000</f>
        <v>#REF!</v>
      </c>
      <c r="ME230" s="79" t="e">
        <f>(#REF!+#REF!)*#REF!/1000</f>
        <v>#REF!</v>
      </c>
      <c r="MF230" s="79" t="e">
        <f>(#REF!+#REF!)*#REF!/1000</f>
        <v>#REF!</v>
      </c>
      <c r="MG230" s="79" t="e">
        <f>(#REF!+#REF!)*#REF!/1000</f>
        <v>#REF!</v>
      </c>
      <c r="MH230" s="79" t="e">
        <f>(#REF!+#REF!)*#REF!/1000</f>
        <v>#REF!</v>
      </c>
      <c r="MI230" s="79" t="e">
        <f>(#REF!+#REF!)*#REF!/1000</f>
        <v>#REF!</v>
      </c>
      <c r="MJ230" s="79" t="e">
        <f>(#REF!+#REF!)*#REF!/1000</f>
        <v>#REF!</v>
      </c>
      <c r="MK230" s="79" t="e">
        <f>(#REF!+#REF!)*#REF!/1000</f>
        <v>#REF!</v>
      </c>
      <c r="ML230" s="79" t="e">
        <f>(#REF!+#REF!)*#REF!/1000</f>
        <v>#REF!</v>
      </c>
      <c r="MM230" s="79" t="e">
        <f>(#REF!+#REF!)*#REF!/1000</f>
        <v>#REF!</v>
      </c>
      <c r="MN230" s="79" t="e">
        <f>(#REF!+#REF!)*#REF!/1000</f>
        <v>#REF!</v>
      </c>
      <c r="MO230" s="79" t="e">
        <f>(#REF!+#REF!)*#REF!/1000</f>
        <v>#REF!</v>
      </c>
      <c r="MP230" s="79" t="e">
        <f>(#REF!+#REF!)*#REF!/1000</f>
        <v>#REF!</v>
      </c>
      <c r="MQ230" s="79" t="e">
        <f>(#REF!+#REF!)*#REF!/1000</f>
        <v>#REF!</v>
      </c>
      <c r="MR230" s="79" t="e">
        <f>(#REF!+#REF!)*#REF!/1000</f>
        <v>#REF!</v>
      </c>
      <c r="MS230" s="79" t="e">
        <f>(#REF!+#REF!)*#REF!/1000</f>
        <v>#REF!</v>
      </c>
      <c r="MT230" s="79" t="e">
        <f>(#REF!+#REF!)*#REF!/1000</f>
        <v>#REF!</v>
      </c>
      <c r="MU230" s="79" t="e">
        <f>(#REF!+#REF!)*#REF!/1000</f>
        <v>#REF!</v>
      </c>
      <c r="MV230" s="79" t="e">
        <f>(#REF!+#REF!)*#REF!/1000</f>
        <v>#REF!</v>
      </c>
      <c r="MW230" s="79" t="e">
        <f>(#REF!+#REF!)*#REF!/1000</f>
        <v>#REF!</v>
      </c>
      <c r="MX230" s="79" t="e">
        <f>(#REF!+#REF!)*#REF!/1000</f>
        <v>#REF!</v>
      </c>
      <c r="MY230" s="79" t="e">
        <f>(#REF!+#REF!)*#REF!/1000</f>
        <v>#REF!</v>
      </c>
      <c r="MZ230" s="79" t="e">
        <f>(#REF!+#REF!)*#REF!/1000</f>
        <v>#REF!</v>
      </c>
      <c r="NA230" s="79" t="e">
        <f>(#REF!+#REF!)*#REF!/1000</f>
        <v>#REF!</v>
      </c>
      <c r="NB230" s="79" t="e">
        <f>(#REF!+#REF!)*#REF!/1000</f>
        <v>#REF!</v>
      </c>
      <c r="NC230" s="79" t="e">
        <f>(#REF!+#REF!)*#REF!/1000</f>
        <v>#REF!</v>
      </c>
      <c r="ND230" s="79" t="e">
        <f>(#REF!+#REF!)*#REF!/1000</f>
        <v>#REF!</v>
      </c>
      <c r="NE230" s="79" t="e">
        <f>(#REF!+#REF!)*#REF!/1000</f>
        <v>#REF!</v>
      </c>
      <c r="NF230" s="79" t="e">
        <f>(#REF!+#REF!)*#REF!/1000</f>
        <v>#REF!</v>
      </c>
      <c r="NG230" s="79" t="e">
        <f>(#REF!+#REF!)*#REF!/1000</f>
        <v>#REF!</v>
      </c>
      <c r="NH230" s="79" t="e">
        <f>(#REF!+#REF!)*#REF!/1000</f>
        <v>#REF!</v>
      </c>
      <c r="NI230" s="79" t="e">
        <f>(#REF!+#REF!)*#REF!/1000</f>
        <v>#REF!</v>
      </c>
      <c r="NJ230" s="79" t="e">
        <f>(#REF!+#REF!)*#REF!/1000</f>
        <v>#REF!</v>
      </c>
      <c r="NK230" s="79" t="e">
        <f>(#REF!+#REF!)*#REF!/1000</f>
        <v>#REF!</v>
      </c>
      <c r="NL230" s="79" t="e">
        <f>(#REF!+#REF!)*#REF!/1000</f>
        <v>#REF!</v>
      </c>
      <c r="NM230" s="79" t="e">
        <f>(#REF!+#REF!)*#REF!/1000</f>
        <v>#REF!</v>
      </c>
      <c r="NN230" s="79" t="e">
        <f>(#REF!+#REF!)*#REF!/1000</f>
        <v>#REF!</v>
      </c>
      <c r="NO230" s="79" t="e">
        <f>(#REF!+#REF!)*#REF!/1000</f>
        <v>#REF!</v>
      </c>
      <c r="NP230" s="79" t="e">
        <f>(#REF!+#REF!)*#REF!/1000</f>
        <v>#REF!</v>
      </c>
      <c r="NQ230" s="79" t="e">
        <f>(#REF!+#REF!)*#REF!/1000</f>
        <v>#REF!</v>
      </c>
      <c r="NR230" s="79" t="e">
        <f>(#REF!+#REF!)*#REF!/1000</f>
        <v>#REF!</v>
      </c>
      <c r="NS230" s="79" t="e">
        <f>(#REF!+#REF!)*#REF!/1000</f>
        <v>#REF!</v>
      </c>
      <c r="NT230" s="79" t="e">
        <f>(#REF!+#REF!)*#REF!/1000</f>
        <v>#REF!</v>
      </c>
      <c r="NU230" s="79" t="e">
        <f>(#REF!+#REF!)*#REF!/1000</f>
        <v>#REF!</v>
      </c>
      <c r="NV230" s="79" t="e">
        <f>(#REF!+#REF!)*#REF!/1000</f>
        <v>#REF!</v>
      </c>
      <c r="NW230" s="79" t="e">
        <f>(#REF!+#REF!)*#REF!/1000</f>
        <v>#REF!</v>
      </c>
      <c r="NX230" s="79" t="e">
        <f>(#REF!+#REF!)*#REF!/1000</f>
        <v>#REF!</v>
      </c>
      <c r="NY230" s="79" t="e">
        <f>(#REF!+#REF!)*#REF!/1000</f>
        <v>#REF!</v>
      </c>
      <c r="NZ230" s="79" t="e">
        <f>(#REF!+#REF!)*#REF!/1000</f>
        <v>#REF!</v>
      </c>
      <c r="OA230" s="79" t="e">
        <f>(#REF!+#REF!)*#REF!/1000</f>
        <v>#REF!</v>
      </c>
      <c r="OB230" s="79" t="e">
        <f>(#REF!+#REF!)*#REF!/1000</f>
        <v>#REF!</v>
      </c>
      <c r="OC230" s="79" t="e">
        <f>(#REF!+#REF!)*#REF!/1000</f>
        <v>#REF!</v>
      </c>
      <c r="OD230" s="79" t="e">
        <f>(#REF!+#REF!)*#REF!/1000</f>
        <v>#REF!</v>
      </c>
      <c r="OE230" s="79" t="e">
        <f>(#REF!+#REF!)*#REF!/1000</f>
        <v>#REF!</v>
      </c>
      <c r="OF230" s="79" t="e">
        <f>(#REF!+#REF!)*#REF!/1000</f>
        <v>#REF!</v>
      </c>
      <c r="OG230" s="79" t="e">
        <f>(#REF!+#REF!)*#REF!/1000</f>
        <v>#REF!</v>
      </c>
      <c r="OH230" s="79" t="e">
        <f>(#REF!+#REF!)*#REF!/1000</f>
        <v>#REF!</v>
      </c>
      <c r="OI230" s="79" t="e">
        <f>(#REF!+#REF!)*#REF!/1000</f>
        <v>#REF!</v>
      </c>
      <c r="OJ230" s="79" t="e">
        <f>(#REF!+#REF!)*#REF!/1000</f>
        <v>#REF!</v>
      </c>
      <c r="OK230" s="79" t="e">
        <f>(#REF!+#REF!)*#REF!/1000</f>
        <v>#REF!</v>
      </c>
      <c r="OL230" s="79" t="e">
        <f>(#REF!+#REF!)*#REF!/1000</f>
        <v>#REF!</v>
      </c>
      <c r="OM230" s="79" t="e">
        <f>(#REF!+#REF!)*#REF!/1000</f>
        <v>#REF!</v>
      </c>
      <c r="ON230" s="79" t="e">
        <f>(#REF!+#REF!)*#REF!/1000</f>
        <v>#REF!</v>
      </c>
      <c r="OO230" s="79" t="e">
        <f>(#REF!+#REF!)*#REF!/1000</f>
        <v>#REF!</v>
      </c>
      <c r="OP230" s="79" t="e">
        <f>(#REF!+#REF!)*#REF!/1000</f>
        <v>#REF!</v>
      </c>
      <c r="OQ230" s="79" t="e">
        <f>(#REF!+#REF!)*#REF!/1000</f>
        <v>#REF!</v>
      </c>
      <c r="OR230" s="79" t="e">
        <f>(#REF!+#REF!)*#REF!/1000</f>
        <v>#REF!</v>
      </c>
      <c r="OS230" s="79" t="e">
        <f>(#REF!+#REF!)*#REF!/1000</f>
        <v>#REF!</v>
      </c>
      <c r="OT230" s="79" t="e">
        <f>(#REF!+#REF!)*#REF!/1000</f>
        <v>#REF!</v>
      </c>
      <c r="OU230" s="79" t="e">
        <f>(#REF!+#REF!)*#REF!/1000</f>
        <v>#REF!</v>
      </c>
      <c r="OV230" s="79" t="e">
        <f>(#REF!+#REF!)*#REF!/1000</f>
        <v>#REF!</v>
      </c>
      <c r="OW230" s="79" t="e">
        <f>(#REF!+#REF!)*#REF!/1000</f>
        <v>#REF!</v>
      </c>
      <c r="OX230" s="79" t="e">
        <f>(#REF!+#REF!)*#REF!/1000</f>
        <v>#REF!</v>
      </c>
      <c r="OY230" s="79" t="e">
        <f>(#REF!+#REF!)*#REF!/1000</f>
        <v>#REF!</v>
      </c>
      <c r="OZ230" s="79" t="e">
        <f>(#REF!+#REF!)*#REF!/1000</f>
        <v>#REF!</v>
      </c>
      <c r="PA230" s="79" t="e">
        <f>(#REF!+#REF!)*#REF!/1000</f>
        <v>#REF!</v>
      </c>
      <c r="PB230" s="79" t="e">
        <f>(#REF!+#REF!)*#REF!/1000</f>
        <v>#REF!</v>
      </c>
      <c r="PC230" s="79" t="e">
        <f>(#REF!+#REF!)*#REF!/1000</f>
        <v>#REF!</v>
      </c>
      <c r="PD230" s="79" t="e">
        <f>(#REF!+#REF!)*#REF!/1000</f>
        <v>#REF!</v>
      </c>
      <c r="PE230" s="79" t="e">
        <f>(#REF!+#REF!)*#REF!/1000</f>
        <v>#REF!</v>
      </c>
      <c r="PF230" s="79" t="e">
        <f>(#REF!+#REF!)*#REF!/1000</f>
        <v>#REF!</v>
      </c>
      <c r="PG230" s="79" t="e">
        <f>(#REF!+#REF!)*#REF!/1000</f>
        <v>#REF!</v>
      </c>
      <c r="PH230" s="79" t="e">
        <f>(#REF!+#REF!)*#REF!/1000</f>
        <v>#REF!</v>
      </c>
      <c r="PI230" s="79" t="e">
        <f>(#REF!+#REF!)*#REF!/1000</f>
        <v>#REF!</v>
      </c>
      <c r="PJ230" s="79" t="e">
        <f>(#REF!+#REF!)*#REF!/1000</f>
        <v>#REF!</v>
      </c>
      <c r="PK230" s="79" t="e">
        <f>(#REF!+#REF!)*#REF!/1000</f>
        <v>#REF!</v>
      </c>
      <c r="PL230" s="79" t="e">
        <f>(#REF!+#REF!)*#REF!/1000</f>
        <v>#REF!</v>
      </c>
      <c r="PM230" s="79" t="e">
        <f>(#REF!+#REF!)*#REF!/1000</f>
        <v>#REF!</v>
      </c>
      <c r="PN230" s="79" t="e">
        <f>(#REF!+#REF!)*#REF!/1000</f>
        <v>#REF!</v>
      </c>
      <c r="PO230" s="79" t="e">
        <f>(#REF!+#REF!)*#REF!/1000</f>
        <v>#REF!</v>
      </c>
      <c r="PP230" s="79" t="e">
        <f>(#REF!+#REF!)*#REF!/1000</f>
        <v>#REF!</v>
      </c>
      <c r="PQ230" s="79" t="e">
        <f>(#REF!+#REF!)*#REF!/1000</f>
        <v>#REF!</v>
      </c>
      <c r="PR230" s="79" t="e">
        <f>(#REF!+#REF!)*#REF!/1000</f>
        <v>#REF!</v>
      </c>
      <c r="PS230" s="79" t="e">
        <f>(#REF!+#REF!)*#REF!/1000</f>
        <v>#REF!</v>
      </c>
      <c r="PT230" s="79" t="e">
        <f>(#REF!+#REF!)*#REF!/1000</f>
        <v>#REF!</v>
      </c>
      <c r="PU230" s="79" t="e">
        <f>(#REF!+#REF!)*#REF!/1000</f>
        <v>#REF!</v>
      </c>
      <c r="PV230" s="79" t="e">
        <f>(#REF!+#REF!)*#REF!/1000</f>
        <v>#REF!</v>
      </c>
      <c r="PW230" s="79" t="e">
        <f>(#REF!+#REF!)*#REF!/1000</f>
        <v>#REF!</v>
      </c>
      <c r="PX230" s="79" t="e">
        <f>(#REF!+#REF!)*#REF!/1000</f>
        <v>#REF!</v>
      </c>
      <c r="PY230" s="79" t="e">
        <f>(#REF!+#REF!)*#REF!/1000</f>
        <v>#REF!</v>
      </c>
      <c r="PZ230" s="79" t="e">
        <f>(#REF!+#REF!)*#REF!/1000</f>
        <v>#REF!</v>
      </c>
      <c r="QA230" s="79" t="e">
        <f>(#REF!+#REF!)*#REF!/1000</f>
        <v>#REF!</v>
      </c>
      <c r="QB230" s="79" t="e">
        <f>(#REF!+#REF!)*#REF!/1000</f>
        <v>#REF!</v>
      </c>
      <c r="QC230" s="79" t="e">
        <f>(#REF!+#REF!)*#REF!/1000</f>
        <v>#REF!</v>
      </c>
      <c r="QD230" s="79" t="e">
        <f>(#REF!+#REF!)*#REF!/1000</f>
        <v>#REF!</v>
      </c>
      <c r="QE230" s="79" t="e">
        <f>(#REF!+#REF!)*#REF!/1000</f>
        <v>#REF!</v>
      </c>
      <c r="QF230" s="79" t="e">
        <f>(#REF!+#REF!)*#REF!/1000</f>
        <v>#REF!</v>
      </c>
      <c r="QG230" s="79" t="e">
        <f>(#REF!+#REF!)*#REF!/1000</f>
        <v>#REF!</v>
      </c>
      <c r="QH230" s="79" t="e">
        <f>(#REF!+#REF!)*#REF!/1000</f>
        <v>#REF!</v>
      </c>
      <c r="QI230" s="79" t="e">
        <f>(#REF!+#REF!)*#REF!/1000</f>
        <v>#REF!</v>
      </c>
      <c r="QJ230" s="79" t="e">
        <f>(#REF!+#REF!)*#REF!/1000</f>
        <v>#REF!</v>
      </c>
      <c r="QK230" s="79" t="e">
        <f>(#REF!+#REF!)*#REF!/1000</f>
        <v>#REF!</v>
      </c>
      <c r="QL230" s="79" t="e">
        <f>(#REF!+#REF!)*#REF!/1000</f>
        <v>#REF!</v>
      </c>
      <c r="QM230" s="79" t="e">
        <f>(#REF!+#REF!)*#REF!/1000</f>
        <v>#REF!</v>
      </c>
      <c r="QN230" s="79" t="e">
        <f>(#REF!+#REF!)*#REF!/1000</f>
        <v>#REF!</v>
      </c>
      <c r="QO230" s="79" t="e">
        <f>(#REF!+#REF!)*#REF!/1000</f>
        <v>#REF!</v>
      </c>
      <c r="QP230" s="79" t="e">
        <f>(#REF!+#REF!)*#REF!/1000</f>
        <v>#REF!</v>
      </c>
      <c r="QQ230" s="79" t="e">
        <f>(#REF!+#REF!)*#REF!/1000</f>
        <v>#REF!</v>
      </c>
      <c r="QR230" s="79" t="e">
        <f>(#REF!+#REF!)*#REF!/1000</f>
        <v>#REF!</v>
      </c>
      <c r="QS230" s="79" t="e">
        <f>(#REF!+#REF!)*#REF!/1000</f>
        <v>#REF!</v>
      </c>
      <c r="QT230" s="79" t="e">
        <f>(#REF!+#REF!)*#REF!/1000</f>
        <v>#REF!</v>
      </c>
      <c r="QU230" s="79" t="e">
        <f>(#REF!+#REF!)*#REF!/1000</f>
        <v>#REF!</v>
      </c>
      <c r="QV230" s="79" t="e">
        <f>(#REF!+#REF!)*#REF!/1000</f>
        <v>#REF!</v>
      </c>
      <c r="QW230" s="79" t="e">
        <f>(#REF!+#REF!)*#REF!/1000</f>
        <v>#REF!</v>
      </c>
      <c r="QX230" s="79" t="e">
        <f>(#REF!+#REF!)*#REF!/1000</f>
        <v>#REF!</v>
      </c>
      <c r="QY230" s="79" t="e">
        <f>(#REF!+#REF!)*#REF!/1000</f>
        <v>#REF!</v>
      </c>
      <c r="QZ230" s="79" t="e">
        <f>(#REF!+#REF!)*#REF!/1000</f>
        <v>#REF!</v>
      </c>
      <c r="RA230" s="79" t="e">
        <f>(#REF!+#REF!)*#REF!/1000</f>
        <v>#REF!</v>
      </c>
      <c r="RB230" s="79" t="e">
        <f>(#REF!+#REF!)*#REF!/1000</f>
        <v>#REF!</v>
      </c>
      <c r="RC230" s="79" t="e">
        <f>(#REF!+#REF!)*#REF!/1000</f>
        <v>#REF!</v>
      </c>
      <c r="RD230" s="79" t="e">
        <f>(#REF!+#REF!)*#REF!/1000</f>
        <v>#REF!</v>
      </c>
      <c r="RE230" s="79" t="e">
        <f>(#REF!+#REF!)*#REF!/1000</f>
        <v>#REF!</v>
      </c>
      <c r="RF230" s="79" t="e">
        <f>(#REF!+#REF!)*#REF!/1000</f>
        <v>#REF!</v>
      </c>
      <c r="RG230" s="79" t="e">
        <f>(#REF!+#REF!)*#REF!/1000</f>
        <v>#REF!</v>
      </c>
      <c r="RH230" s="79" t="e">
        <f>(#REF!+#REF!)*#REF!/1000</f>
        <v>#REF!</v>
      </c>
      <c r="RI230" s="79" t="e">
        <f>(#REF!+#REF!)*#REF!/1000</f>
        <v>#REF!</v>
      </c>
      <c r="RJ230" s="79" t="e">
        <f>(#REF!+#REF!)*#REF!/1000</f>
        <v>#REF!</v>
      </c>
      <c r="RK230" s="79" t="e">
        <f>(#REF!+#REF!)*#REF!/1000</f>
        <v>#REF!</v>
      </c>
      <c r="RL230" s="79" t="e">
        <f>(#REF!+#REF!)*#REF!/1000</f>
        <v>#REF!</v>
      </c>
      <c r="RM230" s="79" t="e">
        <f>(#REF!+#REF!)*#REF!/1000</f>
        <v>#REF!</v>
      </c>
      <c r="RN230" s="79" t="e">
        <f>(#REF!+#REF!)*#REF!/1000</f>
        <v>#REF!</v>
      </c>
      <c r="RO230" s="79" t="e">
        <f>(#REF!+#REF!)*#REF!/1000</f>
        <v>#REF!</v>
      </c>
      <c r="RP230" s="79" t="e">
        <f>(#REF!+#REF!)*#REF!/1000</f>
        <v>#REF!</v>
      </c>
      <c r="RQ230" s="79" t="e">
        <f>(#REF!+#REF!)*#REF!/1000</f>
        <v>#REF!</v>
      </c>
      <c r="RR230" s="79" t="e">
        <f>(#REF!+#REF!)*#REF!/1000</f>
        <v>#REF!</v>
      </c>
      <c r="RS230" s="79" t="e">
        <f>(#REF!+#REF!)*#REF!/1000</f>
        <v>#REF!</v>
      </c>
      <c r="RT230" s="79" t="e">
        <f>(#REF!+#REF!)*#REF!/1000</f>
        <v>#REF!</v>
      </c>
      <c r="RU230" s="79" t="e">
        <f>(#REF!+#REF!)*#REF!/1000</f>
        <v>#REF!</v>
      </c>
      <c r="RV230" s="79" t="e">
        <f>(#REF!+#REF!)*#REF!/1000</f>
        <v>#REF!</v>
      </c>
      <c r="RW230" s="79" t="e">
        <f>(#REF!+#REF!)*#REF!/1000</f>
        <v>#REF!</v>
      </c>
      <c r="RX230" s="79" t="e">
        <f>(#REF!+#REF!)*#REF!/1000</f>
        <v>#REF!</v>
      </c>
      <c r="RY230" s="79" t="e">
        <f>(#REF!+#REF!)*#REF!/1000</f>
        <v>#REF!</v>
      </c>
      <c r="RZ230" s="79" t="e">
        <f>(#REF!+#REF!)*#REF!/1000</f>
        <v>#REF!</v>
      </c>
      <c r="SA230" s="79" t="e">
        <f>(#REF!+#REF!)*#REF!/1000</f>
        <v>#REF!</v>
      </c>
      <c r="SB230" s="79" t="e">
        <f>(#REF!+#REF!)*#REF!/1000</f>
        <v>#REF!</v>
      </c>
      <c r="SC230" s="79" t="e">
        <f>(#REF!+#REF!)*#REF!/1000</f>
        <v>#REF!</v>
      </c>
      <c r="SD230" s="79" t="e">
        <f>(#REF!+#REF!)*#REF!/1000</f>
        <v>#REF!</v>
      </c>
      <c r="SE230" s="79" t="e">
        <f>(#REF!+#REF!)*#REF!/1000</f>
        <v>#REF!</v>
      </c>
      <c r="SF230" s="79" t="e">
        <f>(#REF!+#REF!)*#REF!/1000</f>
        <v>#REF!</v>
      </c>
      <c r="SG230" s="79" t="e">
        <f>(#REF!+#REF!)*#REF!/1000</f>
        <v>#REF!</v>
      </c>
      <c r="SH230" s="79" t="e">
        <f>(#REF!+#REF!)*#REF!/1000</f>
        <v>#REF!</v>
      </c>
      <c r="SI230" s="79" t="e">
        <f>(#REF!+#REF!)*#REF!/1000</f>
        <v>#REF!</v>
      </c>
      <c r="SJ230" s="79" t="e">
        <f>(#REF!+#REF!)*#REF!/1000</f>
        <v>#REF!</v>
      </c>
      <c r="SK230" s="79" t="e">
        <f>(#REF!+#REF!)*#REF!/1000</f>
        <v>#REF!</v>
      </c>
      <c r="SL230" s="79" t="e">
        <f>(#REF!+#REF!)*#REF!/1000</f>
        <v>#REF!</v>
      </c>
      <c r="SM230" s="79" t="e">
        <f>(#REF!+#REF!)*#REF!/1000</f>
        <v>#REF!</v>
      </c>
      <c r="SN230" s="79" t="e">
        <f>(#REF!+#REF!)*#REF!/1000</f>
        <v>#REF!</v>
      </c>
      <c r="SO230" s="79" t="e">
        <f>(#REF!+#REF!)*#REF!/1000</f>
        <v>#REF!</v>
      </c>
      <c r="SP230" s="79" t="e">
        <f>(#REF!+#REF!)*#REF!/1000</f>
        <v>#REF!</v>
      </c>
      <c r="SQ230" s="79" t="e">
        <f>(#REF!+#REF!)*#REF!/1000</f>
        <v>#REF!</v>
      </c>
      <c r="SR230" s="79" t="e">
        <f>(#REF!+#REF!)*#REF!/1000</f>
        <v>#REF!</v>
      </c>
      <c r="SS230" s="79" t="e">
        <f>(#REF!+#REF!)*#REF!/1000</f>
        <v>#REF!</v>
      </c>
      <c r="ST230" s="79" t="e">
        <f>(#REF!+#REF!)*#REF!/1000</f>
        <v>#REF!</v>
      </c>
      <c r="SU230" s="79" t="e">
        <f>(#REF!+#REF!)*#REF!/1000</f>
        <v>#REF!</v>
      </c>
      <c r="SV230" s="79" t="e">
        <f>(#REF!+#REF!)*#REF!/1000</f>
        <v>#REF!</v>
      </c>
      <c r="SW230" s="79" t="e">
        <f>(#REF!+#REF!)*#REF!/1000</f>
        <v>#REF!</v>
      </c>
      <c r="SX230" s="79" t="e">
        <f>(#REF!+#REF!)*#REF!/1000</f>
        <v>#REF!</v>
      </c>
      <c r="SY230" s="79" t="e">
        <f>(#REF!+#REF!)*#REF!/1000</f>
        <v>#REF!</v>
      </c>
      <c r="SZ230" s="79" t="e">
        <f>(#REF!+#REF!)*#REF!/1000</f>
        <v>#REF!</v>
      </c>
      <c r="TA230" s="79" t="e">
        <f>(#REF!+#REF!)*#REF!/1000</f>
        <v>#REF!</v>
      </c>
      <c r="TB230" s="79" t="e">
        <f>(#REF!+#REF!)*#REF!/1000</f>
        <v>#REF!</v>
      </c>
      <c r="TC230" s="79" t="e">
        <f>(#REF!+#REF!)*#REF!/1000</f>
        <v>#REF!</v>
      </c>
      <c r="TD230" s="79" t="e">
        <f>(#REF!+#REF!)*#REF!/1000</f>
        <v>#REF!</v>
      </c>
      <c r="TE230" s="79" t="e">
        <f>(#REF!+#REF!)*#REF!/1000</f>
        <v>#REF!</v>
      </c>
      <c r="TF230" s="79" t="e">
        <f>(#REF!+#REF!)*#REF!/1000</f>
        <v>#REF!</v>
      </c>
      <c r="TG230" s="79" t="e">
        <f>(#REF!+#REF!)*#REF!/1000</f>
        <v>#REF!</v>
      </c>
      <c r="TH230" s="79" t="e">
        <f>(#REF!+#REF!)*#REF!/1000</f>
        <v>#REF!</v>
      </c>
      <c r="TI230" s="79" t="e">
        <f>(#REF!+#REF!)*#REF!/1000</f>
        <v>#REF!</v>
      </c>
      <c r="TJ230" s="79" t="e">
        <f>(#REF!+#REF!)*#REF!/1000</f>
        <v>#REF!</v>
      </c>
      <c r="TK230" s="79" t="e">
        <f>(#REF!+#REF!)*#REF!/1000</f>
        <v>#REF!</v>
      </c>
      <c r="TL230" s="79" t="e">
        <f>(#REF!+#REF!)*#REF!/1000</f>
        <v>#REF!</v>
      </c>
      <c r="TM230" s="79" t="e">
        <f>(#REF!+#REF!)*#REF!/1000</f>
        <v>#REF!</v>
      </c>
      <c r="TN230" s="79" t="e">
        <f>(#REF!+#REF!)*#REF!/1000</f>
        <v>#REF!</v>
      </c>
      <c r="TO230" s="79" t="e">
        <f>(#REF!+#REF!)*#REF!/1000</f>
        <v>#REF!</v>
      </c>
      <c r="TP230" s="79" t="e">
        <f>(#REF!+#REF!)*#REF!/1000</f>
        <v>#REF!</v>
      </c>
      <c r="TQ230" s="79" t="e">
        <f>(#REF!+#REF!)*#REF!/1000</f>
        <v>#REF!</v>
      </c>
      <c r="TR230" s="79" t="e">
        <f>(#REF!+#REF!)*#REF!/1000</f>
        <v>#REF!</v>
      </c>
      <c r="TS230" s="79" t="e">
        <f>(#REF!+#REF!)*#REF!/1000</f>
        <v>#REF!</v>
      </c>
      <c r="TT230" s="79" t="e">
        <f>(#REF!+#REF!)*#REF!/1000</f>
        <v>#REF!</v>
      </c>
      <c r="TU230" s="79" t="e">
        <f>(#REF!+#REF!)*#REF!/1000</f>
        <v>#REF!</v>
      </c>
      <c r="TV230" s="79" t="e">
        <f>(#REF!+#REF!)*#REF!/1000</f>
        <v>#REF!</v>
      </c>
      <c r="TW230" s="79" t="e">
        <f>(#REF!+#REF!)*#REF!/1000</f>
        <v>#REF!</v>
      </c>
      <c r="TX230" s="79" t="e">
        <f>(#REF!+#REF!)*#REF!/1000</f>
        <v>#REF!</v>
      </c>
      <c r="TY230" s="79" t="e">
        <f>(#REF!+#REF!)*#REF!/1000</f>
        <v>#REF!</v>
      </c>
      <c r="TZ230" s="79" t="e">
        <f>(#REF!+#REF!)*#REF!/1000</f>
        <v>#REF!</v>
      </c>
      <c r="UA230" s="79" t="e">
        <f>(#REF!+#REF!)*#REF!/1000</f>
        <v>#REF!</v>
      </c>
      <c r="UB230" s="79" t="e">
        <f>(#REF!+#REF!)*#REF!/1000</f>
        <v>#REF!</v>
      </c>
      <c r="UC230" s="79" t="e">
        <f>(#REF!+#REF!)*#REF!/1000</f>
        <v>#REF!</v>
      </c>
      <c r="UD230" s="79" t="e">
        <f>(#REF!+#REF!)*#REF!/1000</f>
        <v>#REF!</v>
      </c>
      <c r="UE230" s="79" t="e">
        <f>(#REF!+#REF!)*#REF!/1000</f>
        <v>#REF!</v>
      </c>
      <c r="UF230" s="79" t="e">
        <f>(#REF!+#REF!)*#REF!/1000</f>
        <v>#REF!</v>
      </c>
      <c r="UG230" s="79" t="e">
        <f>(#REF!+#REF!)*#REF!/1000</f>
        <v>#REF!</v>
      </c>
      <c r="UH230" s="79" t="e">
        <f>(#REF!+#REF!)*#REF!/1000</f>
        <v>#REF!</v>
      </c>
      <c r="UI230" s="79" t="e">
        <f>(#REF!+#REF!)*#REF!/1000</f>
        <v>#REF!</v>
      </c>
      <c r="UJ230" s="79" t="e">
        <f>(#REF!+#REF!)*#REF!/1000</f>
        <v>#REF!</v>
      </c>
      <c r="UK230" s="79" t="e">
        <f>(#REF!+#REF!)*#REF!/1000</f>
        <v>#REF!</v>
      </c>
      <c r="UL230" s="79" t="e">
        <f>(#REF!+#REF!)*#REF!/1000</f>
        <v>#REF!</v>
      </c>
      <c r="UM230" s="79" t="e">
        <f>(#REF!+#REF!)*#REF!/1000</f>
        <v>#REF!</v>
      </c>
      <c r="UN230" s="79" t="e">
        <f>(#REF!+#REF!)*#REF!/1000</f>
        <v>#REF!</v>
      </c>
      <c r="UO230" s="79" t="e">
        <f>(#REF!+#REF!)*#REF!/1000</f>
        <v>#REF!</v>
      </c>
      <c r="UP230" s="79" t="e">
        <f>(#REF!+#REF!)*#REF!/1000</f>
        <v>#REF!</v>
      </c>
      <c r="UQ230" s="79" t="e">
        <f>(#REF!+#REF!)*#REF!/1000</f>
        <v>#REF!</v>
      </c>
      <c r="UR230" s="79" t="e">
        <f>(#REF!+#REF!)*#REF!/1000</f>
        <v>#REF!</v>
      </c>
      <c r="US230" s="79" t="e">
        <f>(#REF!+#REF!)*#REF!/1000</f>
        <v>#REF!</v>
      </c>
      <c r="UT230" s="79" t="e">
        <f>(#REF!+#REF!)*#REF!/1000</f>
        <v>#REF!</v>
      </c>
      <c r="UU230" s="79" t="e">
        <f>(#REF!+#REF!)*#REF!/1000</f>
        <v>#REF!</v>
      </c>
      <c r="UV230" s="79" t="e">
        <f>(#REF!+#REF!)*#REF!/1000</f>
        <v>#REF!</v>
      </c>
      <c r="UW230" s="79" t="e">
        <f>(#REF!+#REF!)*#REF!/1000</f>
        <v>#REF!</v>
      </c>
      <c r="UX230" s="79" t="e">
        <f>(#REF!+#REF!)*#REF!/1000</f>
        <v>#REF!</v>
      </c>
      <c r="UY230" s="79" t="e">
        <f>(#REF!+#REF!)*#REF!/1000</f>
        <v>#REF!</v>
      </c>
      <c r="UZ230" s="79" t="e">
        <f>(#REF!+#REF!)*#REF!/1000</f>
        <v>#REF!</v>
      </c>
      <c r="VA230" s="79" t="e">
        <f>(#REF!+#REF!)*#REF!/1000</f>
        <v>#REF!</v>
      </c>
      <c r="VB230" s="79" t="e">
        <f>(#REF!+#REF!)*#REF!/1000</f>
        <v>#REF!</v>
      </c>
      <c r="VC230" s="79" t="e">
        <f>(#REF!+#REF!)*#REF!/1000</f>
        <v>#REF!</v>
      </c>
      <c r="VD230" s="79" t="e">
        <f>(#REF!+#REF!)*#REF!/1000</f>
        <v>#REF!</v>
      </c>
      <c r="VE230" s="79" t="e">
        <f>(#REF!+#REF!)*#REF!/1000</f>
        <v>#REF!</v>
      </c>
      <c r="VF230" s="79" t="e">
        <f>(#REF!+#REF!)*#REF!/1000</f>
        <v>#REF!</v>
      </c>
      <c r="VG230" s="79" t="e">
        <f>(#REF!+#REF!)*#REF!/1000</f>
        <v>#REF!</v>
      </c>
      <c r="VH230" s="79" t="e">
        <f>(#REF!+#REF!)*#REF!/1000</f>
        <v>#REF!</v>
      </c>
      <c r="VI230" s="79" t="e">
        <f>(#REF!+#REF!)*#REF!/1000</f>
        <v>#REF!</v>
      </c>
      <c r="VJ230" s="79" t="e">
        <f>(#REF!+#REF!)*#REF!/1000</f>
        <v>#REF!</v>
      </c>
      <c r="VK230" s="79" t="e">
        <f>(#REF!+#REF!)*#REF!/1000</f>
        <v>#REF!</v>
      </c>
      <c r="VL230" s="79" t="e">
        <f>(#REF!+#REF!)*#REF!/1000</f>
        <v>#REF!</v>
      </c>
      <c r="VM230" s="79" t="e">
        <f>(#REF!+#REF!)*#REF!/1000</f>
        <v>#REF!</v>
      </c>
      <c r="VN230" s="79" t="e">
        <f>(#REF!+#REF!)*#REF!/1000</f>
        <v>#REF!</v>
      </c>
      <c r="VO230" s="79" t="e">
        <f>(#REF!+#REF!)*#REF!/1000</f>
        <v>#REF!</v>
      </c>
      <c r="VP230" s="79" t="e">
        <f>(#REF!+#REF!)*#REF!/1000</f>
        <v>#REF!</v>
      </c>
      <c r="VQ230" s="79" t="e">
        <f>(#REF!+#REF!)*#REF!/1000</f>
        <v>#REF!</v>
      </c>
      <c r="VR230" s="79" t="e">
        <f>(#REF!+#REF!)*#REF!/1000</f>
        <v>#REF!</v>
      </c>
      <c r="VS230" s="79" t="e">
        <f>(#REF!+#REF!)*#REF!/1000</f>
        <v>#REF!</v>
      </c>
      <c r="VT230" s="79" t="e">
        <f>(#REF!+#REF!)*#REF!/1000</f>
        <v>#REF!</v>
      </c>
      <c r="VU230" s="79" t="e">
        <f>(#REF!+#REF!)*#REF!/1000</f>
        <v>#REF!</v>
      </c>
      <c r="VV230" s="79" t="e">
        <f>(#REF!+#REF!)*#REF!/1000</f>
        <v>#REF!</v>
      </c>
      <c r="VW230" s="79" t="e">
        <f>(#REF!+#REF!)*#REF!/1000</f>
        <v>#REF!</v>
      </c>
      <c r="VX230" s="79" t="e">
        <f>(#REF!+#REF!)*#REF!/1000</f>
        <v>#REF!</v>
      </c>
      <c r="VY230" s="79" t="e">
        <f>(#REF!+#REF!)*#REF!/1000</f>
        <v>#REF!</v>
      </c>
      <c r="VZ230" s="79" t="e">
        <f>(#REF!+#REF!)*#REF!/1000</f>
        <v>#REF!</v>
      </c>
      <c r="WA230" s="79" t="e">
        <f>(#REF!+#REF!)*#REF!/1000</f>
        <v>#REF!</v>
      </c>
      <c r="WB230" s="79" t="e">
        <f>(#REF!+#REF!)*#REF!/1000</f>
        <v>#REF!</v>
      </c>
      <c r="WC230" s="79" t="e">
        <f>(#REF!+#REF!)*#REF!/1000</f>
        <v>#REF!</v>
      </c>
      <c r="WD230" s="79" t="e">
        <f>(#REF!+#REF!)*#REF!/1000</f>
        <v>#REF!</v>
      </c>
      <c r="WE230" s="79" t="e">
        <f>(#REF!+#REF!)*#REF!/1000</f>
        <v>#REF!</v>
      </c>
      <c r="WF230" s="79" t="e">
        <f>(#REF!+#REF!)*#REF!/1000</f>
        <v>#REF!</v>
      </c>
      <c r="WG230" s="79" t="e">
        <f>(#REF!+#REF!)*#REF!/1000</f>
        <v>#REF!</v>
      </c>
      <c r="WH230" s="79" t="e">
        <f>(#REF!+#REF!)*#REF!/1000</f>
        <v>#REF!</v>
      </c>
      <c r="WI230" s="79" t="e">
        <f>(#REF!+#REF!)*#REF!/1000</f>
        <v>#REF!</v>
      </c>
      <c r="WJ230" s="79" t="e">
        <f>(#REF!+#REF!)*#REF!/1000</f>
        <v>#REF!</v>
      </c>
      <c r="WK230" s="79" t="e">
        <f>(#REF!+#REF!)*#REF!/1000</f>
        <v>#REF!</v>
      </c>
      <c r="WL230" s="79" t="e">
        <f>(#REF!+#REF!)*#REF!/1000</f>
        <v>#REF!</v>
      </c>
      <c r="WM230" s="79" t="e">
        <f>(#REF!+#REF!)*#REF!/1000</f>
        <v>#REF!</v>
      </c>
      <c r="WN230" s="79" t="e">
        <f>(#REF!+#REF!)*#REF!/1000</f>
        <v>#REF!</v>
      </c>
      <c r="WO230" s="79" t="e">
        <f>(#REF!+#REF!)*#REF!/1000</f>
        <v>#REF!</v>
      </c>
      <c r="WP230" s="79" t="e">
        <f>(#REF!+#REF!)*#REF!/1000</f>
        <v>#REF!</v>
      </c>
      <c r="WQ230" s="79" t="e">
        <f>(#REF!+#REF!)*#REF!/1000</f>
        <v>#REF!</v>
      </c>
      <c r="WR230" s="79" t="e">
        <f>(#REF!+#REF!)*#REF!/1000</f>
        <v>#REF!</v>
      </c>
      <c r="WS230" s="79" t="e">
        <f>(#REF!+#REF!)*#REF!/1000</f>
        <v>#REF!</v>
      </c>
      <c r="WT230" s="79" t="e">
        <f>(#REF!+#REF!)*#REF!/1000</f>
        <v>#REF!</v>
      </c>
      <c r="WU230" s="79" t="e">
        <f>(#REF!+#REF!)*#REF!/1000</f>
        <v>#REF!</v>
      </c>
      <c r="WV230" s="79" t="e">
        <f>(#REF!+#REF!)*#REF!/1000</f>
        <v>#REF!</v>
      </c>
      <c r="WW230" s="79" t="e">
        <f>(#REF!+#REF!)*#REF!/1000</f>
        <v>#REF!</v>
      </c>
      <c r="WX230" s="79" t="e">
        <f>(#REF!+#REF!)*#REF!/1000</f>
        <v>#REF!</v>
      </c>
      <c r="WY230" s="79" t="e">
        <f>(#REF!+#REF!)*#REF!/1000</f>
        <v>#REF!</v>
      </c>
      <c r="WZ230" s="79" t="e">
        <f>(#REF!+#REF!)*#REF!/1000</f>
        <v>#REF!</v>
      </c>
      <c r="XA230" s="79" t="e">
        <f>(#REF!+#REF!)*#REF!/1000</f>
        <v>#REF!</v>
      </c>
      <c r="XB230" s="79" t="e">
        <f>(#REF!+#REF!)*#REF!/1000</f>
        <v>#REF!</v>
      </c>
      <c r="XC230" s="79" t="e">
        <f>(#REF!+#REF!)*#REF!/1000</f>
        <v>#REF!</v>
      </c>
      <c r="XD230" s="79" t="e">
        <f>(#REF!+#REF!)*#REF!/1000</f>
        <v>#REF!</v>
      </c>
      <c r="XE230" s="79" t="e">
        <f>(#REF!+#REF!)*#REF!/1000</f>
        <v>#REF!</v>
      </c>
      <c r="XF230" s="79" t="e">
        <f>(#REF!+#REF!)*#REF!/1000</f>
        <v>#REF!</v>
      </c>
      <c r="XG230" s="79" t="e">
        <f>(#REF!+#REF!)*#REF!/1000</f>
        <v>#REF!</v>
      </c>
      <c r="XH230" s="79" t="e">
        <f>(#REF!+#REF!)*#REF!/1000</f>
        <v>#REF!</v>
      </c>
      <c r="XI230" s="79" t="e">
        <f>(#REF!+#REF!)*#REF!/1000</f>
        <v>#REF!</v>
      </c>
      <c r="XJ230" s="79" t="e">
        <f>(#REF!+#REF!)*#REF!/1000</f>
        <v>#REF!</v>
      </c>
      <c r="XK230" s="79" t="e">
        <f>(#REF!+#REF!)*#REF!/1000</f>
        <v>#REF!</v>
      </c>
      <c r="XL230" s="79" t="e">
        <f>(#REF!+#REF!)*#REF!/1000</f>
        <v>#REF!</v>
      </c>
      <c r="XM230" s="79" t="e">
        <f>(#REF!+#REF!)*#REF!/1000</f>
        <v>#REF!</v>
      </c>
      <c r="XN230" s="79" t="e">
        <f>(#REF!+#REF!)*#REF!/1000</f>
        <v>#REF!</v>
      </c>
      <c r="XO230" s="79" t="e">
        <f>(#REF!+#REF!)*#REF!/1000</f>
        <v>#REF!</v>
      </c>
      <c r="XP230" s="79" t="e">
        <f>(#REF!+#REF!)*#REF!/1000</f>
        <v>#REF!</v>
      </c>
      <c r="XQ230" s="79" t="e">
        <f>(#REF!+#REF!)*#REF!/1000</f>
        <v>#REF!</v>
      </c>
      <c r="XR230" s="79" t="e">
        <f>(#REF!+#REF!)*#REF!/1000</f>
        <v>#REF!</v>
      </c>
      <c r="XS230" s="79" t="e">
        <f>(#REF!+#REF!)*#REF!/1000</f>
        <v>#REF!</v>
      </c>
      <c r="XT230" s="79" t="e">
        <f>(#REF!+#REF!)*#REF!/1000</f>
        <v>#REF!</v>
      </c>
      <c r="XU230" s="79" t="e">
        <f>(#REF!+#REF!)*#REF!/1000</f>
        <v>#REF!</v>
      </c>
      <c r="XV230" s="79" t="e">
        <f>(#REF!+#REF!)*#REF!/1000</f>
        <v>#REF!</v>
      </c>
      <c r="XW230" s="79" t="e">
        <f>(#REF!+#REF!)*#REF!/1000</f>
        <v>#REF!</v>
      </c>
      <c r="XX230" s="79" t="e">
        <f>(#REF!+#REF!)*#REF!/1000</f>
        <v>#REF!</v>
      </c>
      <c r="XY230" s="79" t="e">
        <f>(#REF!+#REF!)*#REF!/1000</f>
        <v>#REF!</v>
      </c>
      <c r="XZ230" s="79" t="e">
        <f>(#REF!+#REF!)*#REF!/1000</f>
        <v>#REF!</v>
      </c>
      <c r="YA230" s="79" t="e">
        <f>(#REF!+#REF!)*#REF!/1000</f>
        <v>#REF!</v>
      </c>
      <c r="YB230" s="79" t="e">
        <f>(#REF!+#REF!)*#REF!/1000</f>
        <v>#REF!</v>
      </c>
      <c r="YC230" s="79" t="e">
        <f>(#REF!+#REF!)*#REF!/1000</f>
        <v>#REF!</v>
      </c>
      <c r="YD230" s="79" t="e">
        <f>(#REF!+#REF!)*#REF!/1000</f>
        <v>#REF!</v>
      </c>
      <c r="YE230" s="79" t="e">
        <f>(#REF!+#REF!)*#REF!/1000</f>
        <v>#REF!</v>
      </c>
      <c r="YF230" s="79" t="e">
        <f>(#REF!+#REF!)*#REF!/1000</f>
        <v>#REF!</v>
      </c>
      <c r="YG230" s="79" t="e">
        <f>(#REF!+#REF!)*#REF!/1000</f>
        <v>#REF!</v>
      </c>
      <c r="YH230" s="79" t="e">
        <f>(#REF!+#REF!)*#REF!/1000</f>
        <v>#REF!</v>
      </c>
      <c r="YI230" s="79" t="e">
        <f>(#REF!+#REF!)*#REF!/1000</f>
        <v>#REF!</v>
      </c>
      <c r="YJ230" s="79" t="e">
        <f>(#REF!+#REF!)*#REF!/1000</f>
        <v>#REF!</v>
      </c>
      <c r="YK230" s="79" t="e">
        <f>(#REF!+#REF!)*#REF!/1000</f>
        <v>#REF!</v>
      </c>
      <c r="YL230" s="79" t="e">
        <f>(#REF!+#REF!)*#REF!/1000</f>
        <v>#REF!</v>
      </c>
      <c r="YM230" s="79" t="e">
        <f>(#REF!+#REF!)*#REF!/1000</f>
        <v>#REF!</v>
      </c>
      <c r="YN230" s="79" t="e">
        <f>(#REF!+#REF!)*#REF!/1000</f>
        <v>#REF!</v>
      </c>
      <c r="YO230" s="79" t="e">
        <f>(#REF!+#REF!)*#REF!/1000</f>
        <v>#REF!</v>
      </c>
      <c r="YP230" s="79" t="e">
        <f>(#REF!+#REF!)*#REF!/1000</f>
        <v>#REF!</v>
      </c>
      <c r="YQ230" s="79" t="e">
        <f>(#REF!+#REF!)*#REF!/1000</f>
        <v>#REF!</v>
      </c>
      <c r="YR230" s="79" t="e">
        <f>(#REF!+#REF!)*#REF!/1000</f>
        <v>#REF!</v>
      </c>
      <c r="YS230" s="79" t="e">
        <f>(#REF!+#REF!)*#REF!/1000</f>
        <v>#REF!</v>
      </c>
      <c r="YT230" s="79" t="e">
        <f>(#REF!+#REF!)*#REF!/1000</f>
        <v>#REF!</v>
      </c>
      <c r="YU230" s="79" t="e">
        <f>(#REF!+#REF!)*#REF!/1000</f>
        <v>#REF!</v>
      </c>
      <c r="YV230" s="79" t="e">
        <f>(#REF!+#REF!)*#REF!/1000</f>
        <v>#REF!</v>
      </c>
      <c r="YW230" s="79" t="e">
        <f>(#REF!+#REF!)*#REF!/1000</f>
        <v>#REF!</v>
      </c>
      <c r="YX230" s="79" t="e">
        <f>(#REF!+#REF!)*#REF!/1000</f>
        <v>#REF!</v>
      </c>
      <c r="YY230" s="79" t="e">
        <f>(#REF!+#REF!)*#REF!/1000</f>
        <v>#REF!</v>
      </c>
      <c r="YZ230" s="79" t="e">
        <f>(#REF!+#REF!)*#REF!/1000</f>
        <v>#REF!</v>
      </c>
      <c r="ZA230" s="79" t="e">
        <f>(#REF!+#REF!)*#REF!/1000</f>
        <v>#REF!</v>
      </c>
      <c r="ZB230" s="79" t="e">
        <f>(#REF!+#REF!)*#REF!/1000</f>
        <v>#REF!</v>
      </c>
      <c r="ZC230" s="79" t="e">
        <f>(#REF!+#REF!)*#REF!/1000</f>
        <v>#REF!</v>
      </c>
      <c r="ZD230" s="79" t="e">
        <f>(#REF!+#REF!)*#REF!/1000</f>
        <v>#REF!</v>
      </c>
      <c r="ZE230" s="79" t="e">
        <f>(#REF!+#REF!)*#REF!/1000</f>
        <v>#REF!</v>
      </c>
      <c r="ZF230" s="79" t="e">
        <f>(#REF!+#REF!)*#REF!/1000</f>
        <v>#REF!</v>
      </c>
      <c r="ZG230" s="79" t="e">
        <f>(#REF!+#REF!)*#REF!/1000</f>
        <v>#REF!</v>
      </c>
      <c r="ZH230" s="79" t="e">
        <f>(#REF!+#REF!)*#REF!/1000</f>
        <v>#REF!</v>
      </c>
      <c r="ZI230" s="79" t="e">
        <f>(#REF!+#REF!)*#REF!/1000</f>
        <v>#REF!</v>
      </c>
      <c r="ZJ230" s="79" t="e">
        <f>(#REF!+#REF!)*#REF!/1000</f>
        <v>#REF!</v>
      </c>
      <c r="ZK230" s="79" t="e">
        <f>(#REF!+#REF!)*#REF!/1000</f>
        <v>#REF!</v>
      </c>
      <c r="ZL230" s="79" t="e">
        <f>(#REF!+#REF!)*#REF!/1000</f>
        <v>#REF!</v>
      </c>
      <c r="ZM230" s="79" t="e">
        <f>(#REF!+#REF!)*#REF!/1000</f>
        <v>#REF!</v>
      </c>
      <c r="ZN230" s="79" t="e">
        <f>(#REF!+#REF!)*#REF!/1000</f>
        <v>#REF!</v>
      </c>
      <c r="ZO230" s="79" t="e">
        <f>(#REF!+#REF!)*#REF!/1000</f>
        <v>#REF!</v>
      </c>
      <c r="ZP230" s="79" t="e">
        <f>(#REF!+#REF!)*#REF!/1000</f>
        <v>#REF!</v>
      </c>
      <c r="ZQ230" s="79" t="e">
        <f>(#REF!+#REF!)*#REF!/1000</f>
        <v>#REF!</v>
      </c>
      <c r="ZR230" s="79" t="e">
        <f>(#REF!+#REF!)*#REF!/1000</f>
        <v>#REF!</v>
      </c>
      <c r="ZS230" s="79" t="e">
        <f>(#REF!+#REF!)*#REF!/1000</f>
        <v>#REF!</v>
      </c>
      <c r="ZT230" s="79" t="e">
        <f>(#REF!+#REF!)*#REF!/1000</f>
        <v>#REF!</v>
      </c>
      <c r="ZU230" s="79" t="e">
        <f>(#REF!+#REF!)*#REF!/1000</f>
        <v>#REF!</v>
      </c>
      <c r="ZV230" s="79" t="e">
        <f>(#REF!+#REF!)*#REF!/1000</f>
        <v>#REF!</v>
      </c>
      <c r="ZW230" s="79" t="e">
        <f>(#REF!+#REF!)*#REF!/1000</f>
        <v>#REF!</v>
      </c>
      <c r="ZX230" s="79" t="e">
        <f>(#REF!+#REF!)*#REF!/1000</f>
        <v>#REF!</v>
      </c>
      <c r="ZY230" s="79" t="e">
        <f>(#REF!+#REF!)*#REF!/1000</f>
        <v>#REF!</v>
      </c>
      <c r="ZZ230" s="79" t="e">
        <f>(#REF!+#REF!)*#REF!/1000</f>
        <v>#REF!</v>
      </c>
      <c r="AAA230" s="79" t="e">
        <f>(#REF!+#REF!)*#REF!/1000</f>
        <v>#REF!</v>
      </c>
      <c r="AAB230" s="79" t="e">
        <f>(#REF!+#REF!)*#REF!/1000</f>
        <v>#REF!</v>
      </c>
      <c r="AAC230" s="79" t="e">
        <f>(#REF!+#REF!)*#REF!/1000</f>
        <v>#REF!</v>
      </c>
      <c r="AAD230" s="79" t="e">
        <f>(#REF!+#REF!)*#REF!/1000</f>
        <v>#REF!</v>
      </c>
      <c r="AAE230" s="79" t="e">
        <f>(#REF!+#REF!)*#REF!/1000</f>
        <v>#REF!</v>
      </c>
      <c r="AAF230" s="79" t="e">
        <f>(#REF!+#REF!)*#REF!/1000</f>
        <v>#REF!</v>
      </c>
      <c r="AAG230" s="79" t="e">
        <f>(#REF!+#REF!)*#REF!/1000</f>
        <v>#REF!</v>
      </c>
      <c r="AAH230" s="79" t="e">
        <f>(#REF!+#REF!)*#REF!/1000</f>
        <v>#REF!</v>
      </c>
      <c r="AAI230" s="79" t="e">
        <f>(#REF!+#REF!)*#REF!/1000</f>
        <v>#REF!</v>
      </c>
      <c r="AAJ230" s="79" t="e">
        <f>(#REF!+#REF!)*#REF!/1000</f>
        <v>#REF!</v>
      </c>
      <c r="AAK230" s="79" t="e">
        <f>(#REF!+#REF!)*#REF!/1000</f>
        <v>#REF!</v>
      </c>
      <c r="AAL230" s="79" t="e">
        <f>(#REF!+#REF!)*#REF!/1000</f>
        <v>#REF!</v>
      </c>
      <c r="AAM230" s="79" t="e">
        <f>(#REF!+#REF!)*#REF!/1000</f>
        <v>#REF!</v>
      </c>
      <c r="AAN230" s="79" t="e">
        <f>(#REF!+#REF!)*#REF!/1000</f>
        <v>#REF!</v>
      </c>
      <c r="AAO230" s="79" t="e">
        <f>(#REF!+#REF!)*#REF!/1000</f>
        <v>#REF!</v>
      </c>
      <c r="AAP230" s="79" t="e">
        <f>(#REF!+#REF!)*#REF!/1000</f>
        <v>#REF!</v>
      </c>
      <c r="AAQ230" s="79" t="e">
        <f>(#REF!+#REF!)*#REF!/1000</f>
        <v>#REF!</v>
      </c>
      <c r="AAR230" s="79" t="e">
        <f>(#REF!+#REF!)*#REF!/1000</f>
        <v>#REF!</v>
      </c>
      <c r="AAS230" s="79" t="e">
        <f>(#REF!+#REF!)*#REF!/1000</f>
        <v>#REF!</v>
      </c>
      <c r="AAT230" s="79" t="e">
        <f>(#REF!+#REF!)*#REF!/1000</f>
        <v>#REF!</v>
      </c>
      <c r="AAU230" s="79" t="e">
        <f>(#REF!+#REF!)*#REF!/1000</f>
        <v>#REF!</v>
      </c>
      <c r="AAV230" s="79" t="e">
        <f>(#REF!+#REF!)*#REF!/1000</f>
        <v>#REF!</v>
      </c>
      <c r="AAW230" s="79" t="e">
        <f>(#REF!+#REF!)*#REF!/1000</f>
        <v>#REF!</v>
      </c>
      <c r="AAX230" s="79" t="e">
        <f>(#REF!+#REF!)*#REF!/1000</f>
        <v>#REF!</v>
      </c>
      <c r="AAY230" s="79" t="e">
        <f>(#REF!+#REF!)*#REF!/1000</f>
        <v>#REF!</v>
      </c>
      <c r="AAZ230" s="79" t="e">
        <f>(#REF!+#REF!)*#REF!/1000</f>
        <v>#REF!</v>
      </c>
      <c r="ABA230" s="79" t="e">
        <f>(#REF!+#REF!)*#REF!/1000</f>
        <v>#REF!</v>
      </c>
      <c r="ABB230" s="79" t="e">
        <f>(#REF!+#REF!)*#REF!/1000</f>
        <v>#REF!</v>
      </c>
      <c r="ABC230" s="79" t="e">
        <f>(#REF!+#REF!)*#REF!/1000</f>
        <v>#REF!</v>
      </c>
      <c r="ABD230" s="79" t="e">
        <f>(#REF!+#REF!)*#REF!/1000</f>
        <v>#REF!</v>
      </c>
      <c r="ABE230" s="79" t="e">
        <f>(#REF!+#REF!)*#REF!/1000</f>
        <v>#REF!</v>
      </c>
      <c r="ABF230" s="79" t="e">
        <f>(#REF!+#REF!)*#REF!/1000</f>
        <v>#REF!</v>
      </c>
      <c r="ABG230" s="79" t="e">
        <f>(#REF!+#REF!)*#REF!/1000</f>
        <v>#REF!</v>
      </c>
      <c r="ABH230" s="79" t="e">
        <f>(#REF!+#REF!)*#REF!/1000</f>
        <v>#REF!</v>
      </c>
      <c r="ABI230" s="79" t="e">
        <f>(#REF!+#REF!)*#REF!/1000</f>
        <v>#REF!</v>
      </c>
      <c r="ABJ230" s="79" t="e">
        <f>(#REF!+#REF!)*#REF!/1000</f>
        <v>#REF!</v>
      </c>
      <c r="ABK230" s="79" t="e">
        <f>(#REF!+#REF!)*#REF!/1000</f>
        <v>#REF!</v>
      </c>
      <c r="ABL230" s="79" t="e">
        <f>(#REF!+#REF!)*#REF!/1000</f>
        <v>#REF!</v>
      </c>
      <c r="ABM230" s="79" t="e">
        <f>(#REF!+#REF!)*#REF!/1000</f>
        <v>#REF!</v>
      </c>
      <c r="ABN230" s="79" t="e">
        <f>(#REF!+#REF!)*#REF!/1000</f>
        <v>#REF!</v>
      </c>
      <c r="ABO230" s="79" t="e">
        <f>(#REF!+#REF!)*#REF!/1000</f>
        <v>#REF!</v>
      </c>
      <c r="ABP230" s="79" t="e">
        <f>(#REF!+#REF!)*#REF!/1000</f>
        <v>#REF!</v>
      </c>
      <c r="ABQ230" s="79" t="e">
        <f>(#REF!+#REF!)*#REF!/1000</f>
        <v>#REF!</v>
      </c>
      <c r="ABR230" s="79" t="e">
        <f>(#REF!+#REF!)*#REF!/1000</f>
        <v>#REF!</v>
      </c>
      <c r="ABS230" s="79" t="e">
        <f>(#REF!+#REF!)*#REF!/1000</f>
        <v>#REF!</v>
      </c>
      <c r="ABT230" s="79" t="e">
        <f>(#REF!+#REF!)*#REF!/1000</f>
        <v>#REF!</v>
      </c>
      <c r="ABU230" s="79" t="e">
        <f>(#REF!+#REF!)*#REF!/1000</f>
        <v>#REF!</v>
      </c>
      <c r="ABV230" s="79" t="e">
        <f>(#REF!+#REF!)*#REF!/1000</f>
        <v>#REF!</v>
      </c>
      <c r="ABW230" s="79" t="e">
        <f>(#REF!+#REF!)*#REF!/1000</f>
        <v>#REF!</v>
      </c>
      <c r="ABX230" s="79" t="e">
        <f>(#REF!+#REF!)*#REF!/1000</f>
        <v>#REF!</v>
      </c>
      <c r="ABY230" s="79" t="e">
        <f>(#REF!+#REF!)*#REF!/1000</f>
        <v>#REF!</v>
      </c>
      <c r="ABZ230" s="79" t="e">
        <f>(#REF!+#REF!)*#REF!/1000</f>
        <v>#REF!</v>
      </c>
      <c r="ACA230" s="79" t="e">
        <f>(#REF!+#REF!)*#REF!/1000</f>
        <v>#REF!</v>
      </c>
      <c r="ACB230" s="79" t="e">
        <f>(#REF!+#REF!)*#REF!/1000</f>
        <v>#REF!</v>
      </c>
      <c r="ACC230" s="79" t="e">
        <f>(#REF!+#REF!)*#REF!/1000</f>
        <v>#REF!</v>
      </c>
      <c r="ACD230" s="79" t="e">
        <f>(#REF!+#REF!)*#REF!/1000</f>
        <v>#REF!</v>
      </c>
      <c r="ACE230" s="79" t="e">
        <f>(#REF!+#REF!)*#REF!/1000</f>
        <v>#REF!</v>
      </c>
      <c r="ACF230" s="79" t="e">
        <f>(#REF!+#REF!)*#REF!/1000</f>
        <v>#REF!</v>
      </c>
      <c r="ACG230" s="79" t="e">
        <f>(#REF!+#REF!)*#REF!/1000</f>
        <v>#REF!</v>
      </c>
      <c r="ACH230" s="79" t="e">
        <f>(#REF!+#REF!)*#REF!/1000</f>
        <v>#REF!</v>
      </c>
      <c r="ACI230" s="79" t="e">
        <f>(#REF!+#REF!)*#REF!/1000</f>
        <v>#REF!</v>
      </c>
      <c r="ACJ230" s="79" t="e">
        <f>(#REF!+#REF!)*#REF!/1000</f>
        <v>#REF!</v>
      </c>
      <c r="ACK230" s="79" t="e">
        <f>(#REF!+#REF!)*#REF!/1000</f>
        <v>#REF!</v>
      </c>
      <c r="ACL230" s="79" t="e">
        <f>(#REF!+#REF!)*#REF!/1000</f>
        <v>#REF!</v>
      </c>
      <c r="ACM230" s="79" t="e">
        <f>(#REF!+#REF!)*#REF!/1000</f>
        <v>#REF!</v>
      </c>
      <c r="ACN230" s="79" t="e">
        <f>(#REF!+#REF!)*#REF!/1000</f>
        <v>#REF!</v>
      </c>
      <c r="ACO230" s="79" t="e">
        <f>(#REF!+#REF!)*#REF!/1000</f>
        <v>#REF!</v>
      </c>
      <c r="ACP230" s="79" t="e">
        <f>(#REF!+#REF!)*#REF!/1000</f>
        <v>#REF!</v>
      </c>
      <c r="ACQ230" s="79" t="e">
        <f>(#REF!+#REF!)*#REF!/1000</f>
        <v>#REF!</v>
      </c>
      <c r="ACR230" s="79" t="e">
        <f>(#REF!+#REF!)*#REF!/1000</f>
        <v>#REF!</v>
      </c>
      <c r="ACS230" s="79" t="e">
        <f>(#REF!+#REF!)*#REF!/1000</f>
        <v>#REF!</v>
      </c>
      <c r="ACT230" s="79" t="e">
        <f>(#REF!+#REF!)*#REF!/1000</f>
        <v>#REF!</v>
      </c>
      <c r="ACU230" s="79" t="e">
        <f>(#REF!+#REF!)*#REF!/1000</f>
        <v>#REF!</v>
      </c>
      <c r="ACV230" s="79" t="e">
        <f>(#REF!+#REF!)*#REF!/1000</f>
        <v>#REF!</v>
      </c>
      <c r="ACW230" s="79" t="e">
        <f>(#REF!+#REF!)*#REF!/1000</f>
        <v>#REF!</v>
      </c>
      <c r="ACX230" s="79" t="e">
        <f>(#REF!+#REF!)*#REF!/1000</f>
        <v>#REF!</v>
      </c>
      <c r="ACY230" s="79"/>
      <c r="ACZ230" s="79"/>
      <c r="ADA230" s="79"/>
      <c r="ADB230" s="79"/>
      <c r="ADC230" s="79"/>
      <c r="ADD230" s="79"/>
      <c r="ADE230" s="79"/>
      <c r="ADF230" s="79"/>
      <c r="ADG230" s="79"/>
      <c r="ADH230" s="79"/>
      <c r="ADI230" s="79"/>
      <c r="ADJ230" s="79"/>
      <c r="ADK230" s="79"/>
      <c r="ADL230" s="79"/>
      <c r="ADM230" s="79"/>
      <c r="ADN230" s="79"/>
      <c r="AQP230" s="165"/>
    </row>
    <row r="231" spans="4:794 1134:1134" ht="14.25" x14ac:dyDescent="0.45">
      <c r="D231" t="s">
        <v>413</v>
      </c>
      <c r="E231" s="79" t="e">
        <f>#REF!*#REF!/1000</f>
        <v>#REF!</v>
      </c>
      <c r="F231" s="79" t="e">
        <f>#REF!*#REF!/1000</f>
        <v>#REF!</v>
      </c>
      <c r="G231" s="79" t="e">
        <f>#REF!*#REF!/1000</f>
        <v>#REF!</v>
      </c>
      <c r="H231" s="79" t="e">
        <f>#REF!*#REF!/1000</f>
        <v>#REF!</v>
      </c>
      <c r="I231" s="79" t="e">
        <f>#REF!*#REF!/1000</f>
        <v>#REF!</v>
      </c>
      <c r="J231" s="79" t="e">
        <f>#REF!*#REF!/1000</f>
        <v>#REF!</v>
      </c>
      <c r="K231" s="79" t="e">
        <f>#REF!*#REF!/1000</f>
        <v>#REF!</v>
      </c>
      <c r="L231" s="79" t="e">
        <f>#REF!*#REF!/1000</f>
        <v>#REF!</v>
      </c>
      <c r="M231" s="79" t="e">
        <f>#REF!*#REF!/1000</f>
        <v>#REF!</v>
      </c>
      <c r="N231" s="79" t="e">
        <f>#REF!*#REF!/1000</f>
        <v>#REF!</v>
      </c>
      <c r="O231" s="79" t="e">
        <f>#REF!*#REF!/1000</f>
        <v>#REF!</v>
      </c>
      <c r="P231" s="79" t="e">
        <f>#REF!*#REF!/1000</f>
        <v>#REF!</v>
      </c>
      <c r="Q231" s="79" t="e">
        <f>#REF!*#REF!/1000</f>
        <v>#REF!</v>
      </c>
      <c r="R231" s="79" t="e">
        <f>#REF!*#REF!/1000</f>
        <v>#REF!</v>
      </c>
      <c r="S231" s="79" t="e">
        <f>#REF!*#REF!/1000</f>
        <v>#REF!</v>
      </c>
      <c r="T231" s="79" t="e">
        <f>#REF!*#REF!/1000</f>
        <v>#REF!</v>
      </c>
      <c r="U231" s="79" t="e">
        <f>#REF!*#REF!/1000</f>
        <v>#REF!</v>
      </c>
      <c r="V231" s="79" t="e">
        <f>#REF!*#REF!/1000</f>
        <v>#REF!</v>
      </c>
      <c r="W231" s="79" t="e">
        <f>#REF!*#REF!/1000</f>
        <v>#REF!</v>
      </c>
      <c r="X231" s="79" t="e">
        <f>#REF!*#REF!/1000</f>
        <v>#REF!</v>
      </c>
      <c r="Y231" s="79" t="e">
        <f>#REF!*#REF!/1000</f>
        <v>#REF!</v>
      </c>
      <c r="Z231" s="79" t="e">
        <f>#REF!*#REF!/1000</f>
        <v>#REF!</v>
      </c>
      <c r="AA231" s="79" t="e">
        <f>#REF!*#REF!/1000</f>
        <v>#REF!</v>
      </c>
      <c r="AB231" s="79" t="e">
        <f>#REF!*#REF!/1000</f>
        <v>#REF!</v>
      </c>
      <c r="AC231" s="79" t="e">
        <f>#REF!*#REF!/1000</f>
        <v>#REF!</v>
      </c>
      <c r="AD231" s="79" t="e">
        <f>#REF!*#REF!/1000</f>
        <v>#REF!</v>
      </c>
      <c r="AE231" s="79" t="e">
        <f>#REF!*#REF!/1000</f>
        <v>#REF!</v>
      </c>
      <c r="AF231" s="79" t="e">
        <f>#REF!*#REF!/1000</f>
        <v>#REF!</v>
      </c>
      <c r="AG231" s="79" t="e">
        <f>#REF!*#REF!/1000</f>
        <v>#REF!</v>
      </c>
      <c r="AH231" s="79" t="e">
        <f>#REF!*#REF!/1000</f>
        <v>#REF!</v>
      </c>
      <c r="AI231" s="79" t="e">
        <f>#REF!*#REF!/1000</f>
        <v>#REF!</v>
      </c>
      <c r="AJ231" s="79" t="e">
        <f>#REF!*#REF!/1000</f>
        <v>#REF!</v>
      </c>
      <c r="AK231" s="79" t="e">
        <f>#REF!*#REF!/1000</f>
        <v>#REF!</v>
      </c>
      <c r="AL231" s="79" t="e">
        <f>#REF!*#REF!/1000</f>
        <v>#REF!</v>
      </c>
      <c r="AM231" s="79" t="e">
        <f>#REF!*#REF!/1000</f>
        <v>#REF!</v>
      </c>
      <c r="AN231" s="79" t="e">
        <f>#REF!*#REF!/1000</f>
        <v>#REF!</v>
      </c>
      <c r="AO231" s="79" t="e">
        <f>#REF!*#REF!/1000</f>
        <v>#REF!</v>
      </c>
      <c r="AP231" s="79" t="e">
        <f>#REF!*#REF!/1000</f>
        <v>#REF!</v>
      </c>
      <c r="AQ231" s="79" t="e">
        <f>#REF!*#REF!/1000</f>
        <v>#REF!</v>
      </c>
      <c r="AR231" s="79" t="e">
        <f>#REF!*#REF!/1000</f>
        <v>#REF!</v>
      </c>
      <c r="AS231" s="79" t="e">
        <f>#REF!*#REF!/1000</f>
        <v>#REF!</v>
      </c>
      <c r="AT231" s="79" t="e">
        <f>#REF!*#REF!/1000</f>
        <v>#REF!</v>
      </c>
      <c r="AU231" s="79" t="e">
        <f>#REF!*#REF!/1000</f>
        <v>#REF!</v>
      </c>
      <c r="AV231" s="79" t="e">
        <f>#REF!*#REF!/1000</f>
        <v>#REF!</v>
      </c>
      <c r="AW231" s="79" t="e">
        <f>#REF!*#REF!/1000</f>
        <v>#REF!</v>
      </c>
      <c r="AX231" s="79" t="e">
        <f>#REF!*#REF!/1000</f>
        <v>#REF!</v>
      </c>
      <c r="AY231" s="79" t="e">
        <f>#REF!*#REF!/1000</f>
        <v>#REF!</v>
      </c>
      <c r="AZ231" s="79" t="e">
        <f>#REF!*#REF!/1000</f>
        <v>#REF!</v>
      </c>
      <c r="BA231" s="79" t="e">
        <f>#REF!*#REF!/1000</f>
        <v>#REF!</v>
      </c>
      <c r="BB231" s="79" t="e">
        <f>#REF!*#REF!/1000</f>
        <v>#REF!</v>
      </c>
      <c r="BC231" s="79" t="e">
        <f>#REF!*#REF!/1000</f>
        <v>#REF!</v>
      </c>
      <c r="BD231" s="79" t="e">
        <f>#REF!*#REF!/1000</f>
        <v>#REF!</v>
      </c>
      <c r="BE231" s="79" t="e">
        <f>#REF!*#REF!/1000</f>
        <v>#REF!</v>
      </c>
      <c r="BF231" s="79" t="e">
        <f>#REF!*#REF!/1000</f>
        <v>#REF!</v>
      </c>
      <c r="BG231" s="79" t="e">
        <f>#REF!*#REF!/1000</f>
        <v>#REF!</v>
      </c>
      <c r="BH231" s="79" t="e">
        <f>#REF!*#REF!/1000</f>
        <v>#REF!</v>
      </c>
      <c r="BI231" s="79" t="e">
        <f>#REF!*#REF!/1000</f>
        <v>#REF!</v>
      </c>
      <c r="BJ231" s="79" t="e">
        <f>#REF!*#REF!/1000</f>
        <v>#REF!</v>
      </c>
      <c r="BK231" s="79" t="e">
        <f>#REF!*#REF!/1000</f>
        <v>#REF!</v>
      </c>
      <c r="BL231" s="79" t="e">
        <f>#REF!*#REF!/1000</f>
        <v>#REF!</v>
      </c>
      <c r="BM231" s="79" t="e">
        <f>#REF!*#REF!/1000</f>
        <v>#REF!</v>
      </c>
      <c r="BN231" s="79" t="e">
        <f>#REF!*#REF!/1000</f>
        <v>#REF!</v>
      </c>
      <c r="BO231" s="79" t="e">
        <f>#REF!*#REF!/1000</f>
        <v>#REF!</v>
      </c>
      <c r="BP231" s="79" t="e">
        <f>#REF!*#REF!/1000</f>
        <v>#REF!</v>
      </c>
      <c r="BQ231" s="79" t="e">
        <f>#REF!*#REF!/1000</f>
        <v>#REF!</v>
      </c>
      <c r="BR231" s="79" t="e">
        <f>#REF!*#REF!/1000</f>
        <v>#REF!</v>
      </c>
      <c r="BS231" s="79" t="e">
        <f>#REF!*#REF!/1000</f>
        <v>#REF!</v>
      </c>
      <c r="BT231" s="79" t="e">
        <f>#REF!*#REF!/1000</f>
        <v>#REF!</v>
      </c>
      <c r="BU231" s="79" t="e">
        <f>#REF!*#REF!/1000</f>
        <v>#REF!</v>
      </c>
      <c r="BV231" s="79" t="e">
        <f>#REF!*#REF!/1000</f>
        <v>#REF!</v>
      </c>
      <c r="BW231" s="79" t="e">
        <f>#REF!*#REF!/1000</f>
        <v>#REF!</v>
      </c>
      <c r="BX231" s="79" t="e">
        <f>#REF!*#REF!/1000</f>
        <v>#REF!</v>
      </c>
      <c r="BY231" s="79" t="e">
        <f>#REF!*#REF!/1000</f>
        <v>#REF!</v>
      </c>
      <c r="BZ231" s="79" t="e">
        <f>#REF!*#REF!/1000</f>
        <v>#REF!</v>
      </c>
      <c r="CA231" s="79" t="e">
        <f>#REF!*#REF!/1000</f>
        <v>#REF!</v>
      </c>
      <c r="CB231" s="79" t="e">
        <f>#REF!*#REF!/1000</f>
        <v>#REF!</v>
      </c>
      <c r="CC231" s="79" t="e">
        <f>#REF!*#REF!/1000</f>
        <v>#REF!</v>
      </c>
      <c r="CD231" s="79" t="e">
        <f>#REF!*#REF!/1000</f>
        <v>#REF!</v>
      </c>
      <c r="CE231" s="79" t="e">
        <f>#REF!*#REF!/1000</f>
        <v>#REF!</v>
      </c>
      <c r="CF231" s="79" t="e">
        <f>#REF!*#REF!/1000</f>
        <v>#REF!</v>
      </c>
      <c r="CG231" s="79" t="e">
        <f>#REF!*#REF!/1000</f>
        <v>#REF!</v>
      </c>
      <c r="CH231" s="79" t="e">
        <f>#REF!*#REF!/1000</f>
        <v>#REF!</v>
      </c>
      <c r="CI231" s="79" t="e">
        <f>#REF!*#REF!/1000</f>
        <v>#REF!</v>
      </c>
      <c r="CJ231" s="79" t="e">
        <f>#REF!*#REF!/1000</f>
        <v>#REF!</v>
      </c>
      <c r="CK231" s="79" t="e">
        <f>#REF!*#REF!/1000</f>
        <v>#REF!</v>
      </c>
      <c r="CL231" s="79" t="e">
        <f>#REF!*#REF!/1000</f>
        <v>#REF!</v>
      </c>
      <c r="CM231" s="79" t="e">
        <f>#REF!*#REF!/1000</f>
        <v>#REF!</v>
      </c>
      <c r="CN231" s="79" t="e">
        <f>#REF!*#REF!/1000</f>
        <v>#REF!</v>
      </c>
      <c r="CO231" s="79" t="e">
        <f>#REF!*#REF!/1000</f>
        <v>#REF!</v>
      </c>
      <c r="CP231" s="79" t="e">
        <f>#REF!*#REF!/1000</f>
        <v>#REF!</v>
      </c>
      <c r="CQ231" s="79" t="e">
        <f>#REF!*#REF!/1000</f>
        <v>#REF!</v>
      </c>
      <c r="CR231" s="79" t="e">
        <f>#REF!*#REF!/1000</f>
        <v>#REF!</v>
      </c>
      <c r="CS231" s="79" t="e">
        <f>#REF!*#REF!/1000</f>
        <v>#REF!</v>
      </c>
      <c r="CT231" s="79" t="e">
        <f>#REF!*#REF!/1000</f>
        <v>#REF!</v>
      </c>
      <c r="CU231" s="79" t="e">
        <f>#REF!*#REF!/1000</f>
        <v>#REF!</v>
      </c>
      <c r="CV231" s="79" t="e">
        <f>#REF!*#REF!/1000</f>
        <v>#REF!</v>
      </c>
      <c r="CW231" s="79" t="e">
        <f>#REF!*#REF!/1000</f>
        <v>#REF!</v>
      </c>
      <c r="CX231" s="79" t="e">
        <f>#REF!*#REF!/1000</f>
        <v>#REF!</v>
      </c>
      <c r="CY231" s="79" t="e">
        <f>#REF!*#REF!/1000</f>
        <v>#REF!</v>
      </c>
      <c r="CZ231" s="79" t="e">
        <f>#REF!*#REF!/1000</f>
        <v>#REF!</v>
      </c>
      <c r="DA231" s="79" t="e">
        <f>#REF!*#REF!/1000</f>
        <v>#REF!</v>
      </c>
      <c r="DB231" s="79" t="e">
        <f>#REF!*#REF!/1000</f>
        <v>#REF!</v>
      </c>
      <c r="DC231" s="79" t="e">
        <f>#REF!*#REF!/1000</f>
        <v>#REF!</v>
      </c>
      <c r="DD231" s="79" t="e">
        <f>#REF!*#REF!/1000</f>
        <v>#REF!</v>
      </c>
      <c r="DE231" s="79" t="e">
        <f>#REF!*#REF!/1000</f>
        <v>#REF!</v>
      </c>
      <c r="DF231" s="79" t="e">
        <f>#REF!*#REF!/1000</f>
        <v>#REF!</v>
      </c>
      <c r="DG231" s="79" t="e">
        <f>#REF!*#REF!/1000</f>
        <v>#REF!</v>
      </c>
      <c r="DH231" s="79" t="e">
        <f>#REF!*#REF!/1000</f>
        <v>#REF!</v>
      </c>
      <c r="DI231" s="79" t="e">
        <f>#REF!*#REF!/1000</f>
        <v>#REF!</v>
      </c>
      <c r="DJ231" s="79" t="e">
        <f>#REF!*#REF!/1000</f>
        <v>#REF!</v>
      </c>
      <c r="DK231" s="79" t="e">
        <f>#REF!*#REF!/1000</f>
        <v>#REF!</v>
      </c>
      <c r="DL231" s="79" t="e">
        <f>#REF!*#REF!/1000</f>
        <v>#REF!</v>
      </c>
      <c r="DM231" s="79" t="e">
        <f>#REF!*#REF!/1000</f>
        <v>#REF!</v>
      </c>
      <c r="DN231" s="79" t="e">
        <f>#REF!*#REF!/1000</f>
        <v>#REF!</v>
      </c>
      <c r="DO231" s="79" t="e">
        <f>#REF!*#REF!/1000</f>
        <v>#REF!</v>
      </c>
      <c r="DP231" s="79" t="e">
        <f>#REF!*#REF!/1000</f>
        <v>#REF!</v>
      </c>
      <c r="DQ231" s="79" t="e">
        <f>#REF!*#REF!/1000</f>
        <v>#REF!</v>
      </c>
      <c r="DR231" s="79" t="e">
        <f>#REF!*#REF!/1000</f>
        <v>#REF!</v>
      </c>
      <c r="DS231" s="79" t="e">
        <f>#REF!*#REF!/1000</f>
        <v>#REF!</v>
      </c>
      <c r="DT231" s="79" t="e">
        <f>#REF!*#REF!/1000</f>
        <v>#REF!</v>
      </c>
      <c r="DU231" s="79" t="e">
        <f>#REF!*#REF!/1000</f>
        <v>#REF!</v>
      </c>
      <c r="DV231" s="79" t="e">
        <f>#REF!*#REF!/1000</f>
        <v>#REF!</v>
      </c>
      <c r="DW231" s="79" t="e">
        <f>#REF!*#REF!/1000</f>
        <v>#REF!</v>
      </c>
      <c r="DX231" s="79" t="e">
        <f>#REF!*#REF!/1000</f>
        <v>#REF!</v>
      </c>
      <c r="DY231" s="79" t="e">
        <f>#REF!*#REF!/1000</f>
        <v>#REF!</v>
      </c>
      <c r="DZ231" s="79" t="e">
        <f>#REF!*#REF!/1000</f>
        <v>#REF!</v>
      </c>
      <c r="EA231" s="79" t="e">
        <f>#REF!*#REF!/1000</f>
        <v>#REF!</v>
      </c>
      <c r="EB231" s="79" t="e">
        <f>#REF!*#REF!/1000</f>
        <v>#REF!</v>
      </c>
      <c r="EC231" s="79" t="e">
        <f>#REF!*#REF!/1000</f>
        <v>#REF!</v>
      </c>
      <c r="ED231" s="79" t="e">
        <f>#REF!*#REF!/1000</f>
        <v>#REF!</v>
      </c>
      <c r="EE231" s="79" t="e">
        <f>#REF!*#REF!/1000</f>
        <v>#REF!</v>
      </c>
      <c r="EF231" s="79" t="e">
        <f>#REF!*#REF!/1000</f>
        <v>#REF!</v>
      </c>
      <c r="EG231" s="79" t="e">
        <f>#REF!*#REF!/1000</f>
        <v>#REF!</v>
      </c>
      <c r="EH231" s="79" t="e">
        <f>#REF!*#REF!/1000</f>
        <v>#REF!</v>
      </c>
      <c r="EI231" s="79" t="e">
        <f>#REF!*#REF!/1000</f>
        <v>#REF!</v>
      </c>
      <c r="EJ231" s="79" t="e">
        <f>#REF!*#REF!/1000</f>
        <v>#REF!</v>
      </c>
      <c r="EK231" s="79" t="e">
        <f>#REF!*#REF!/1000</f>
        <v>#REF!</v>
      </c>
      <c r="EL231" s="79" t="e">
        <f>#REF!*#REF!/1000</f>
        <v>#REF!</v>
      </c>
      <c r="EM231" s="79" t="e">
        <f>#REF!*#REF!/1000</f>
        <v>#REF!</v>
      </c>
      <c r="EN231" s="79" t="e">
        <f>#REF!*#REF!/1000</f>
        <v>#REF!</v>
      </c>
      <c r="EO231" s="79" t="e">
        <f>#REF!*#REF!/1000</f>
        <v>#REF!</v>
      </c>
      <c r="EP231" s="79" t="e">
        <f>#REF!*#REF!/1000</f>
        <v>#REF!</v>
      </c>
      <c r="EQ231" s="79" t="e">
        <f>#REF!*#REF!/1000</f>
        <v>#REF!</v>
      </c>
      <c r="ER231" s="79" t="e">
        <f>#REF!*#REF!/1000</f>
        <v>#REF!</v>
      </c>
      <c r="ES231" s="79" t="e">
        <f>#REF!*#REF!/1000</f>
        <v>#REF!</v>
      </c>
      <c r="ET231" s="79" t="e">
        <f>#REF!*#REF!/1000</f>
        <v>#REF!</v>
      </c>
      <c r="EU231" s="79" t="e">
        <f>#REF!*#REF!/1000</f>
        <v>#REF!</v>
      </c>
      <c r="EV231" s="79" t="e">
        <f>#REF!*#REF!/1000</f>
        <v>#REF!</v>
      </c>
      <c r="EW231" s="79" t="e">
        <f>#REF!*#REF!/1000</f>
        <v>#REF!</v>
      </c>
      <c r="EX231" s="79" t="e">
        <f>#REF!*#REF!/1000</f>
        <v>#REF!</v>
      </c>
      <c r="EY231" s="79" t="e">
        <f>#REF!*#REF!/1000</f>
        <v>#REF!</v>
      </c>
      <c r="EZ231" s="79" t="e">
        <f>#REF!*#REF!/1000</f>
        <v>#REF!</v>
      </c>
      <c r="FA231" s="79" t="e">
        <f>#REF!*#REF!/1000</f>
        <v>#REF!</v>
      </c>
      <c r="FB231" s="79" t="e">
        <f>#REF!*#REF!/1000</f>
        <v>#REF!</v>
      </c>
      <c r="FC231" s="79" t="e">
        <f>#REF!*#REF!/1000</f>
        <v>#REF!</v>
      </c>
      <c r="FD231" s="79" t="e">
        <f>#REF!*#REF!/1000</f>
        <v>#REF!</v>
      </c>
      <c r="FE231" s="79" t="e">
        <f>#REF!*#REF!/1000</f>
        <v>#REF!</v>
      </c>
      <c r="FF231" s="79" t="e">
        <f>#REF!*#REF!/1000</f>
        <v>#REF!</v>
      </c>
      <c r="FG231" s="79" t="e">
        <f>#REF!*#REF!/1000</f>
        <v>#REF!</v>
      </c>
      <c r="FH231" s="79" t="e">
        <f>#REF!*#REF!/1000</f>
        <v>#REF!</v>
      </c>
      <c r="FI231" s="79" t="e">
        <f>#REF!*#REF!/1000</f>
        <v>#REF!</v>
      </c>
      <c r="FJ231" s="79" t="e">
        <f>#REF!*#REF!/1000</f>
        <v>#REF!</v>
      </c>
      <c r="FK231" s="79" t="e">
        <f>#REF!*#REF!/1000</f>
        <v>#REF!</v>
      </c>
      <c r="FL231" s="79" t="e">
        <f>#REF!*#REF!/1000</f>
        <v>#REF!</v>
      </c>
      <c r="FM231" s="79" t="e">
        <f>#REF!*#REF!/1000</f>
        <v>#REF!</v>
      </c>
      <c r="FN231" s="79" t="e">
        <f>#REF!*#REF!/1000</f>
        <v>#REF!</v>
      </c>
      <c r="FO231" s="79" t="e">
        <f>#REF!*#REF!/1000</f>
        <v>#REF!</v>
      </c>
      <c r="FP231" s="79" t="e">
        <f>#REF!*#REF!/1000</f>
        <v>#REF!</v>
      </c>
      <c r="FQ231" s="79" t="e">
        <f>#REF!*#REF!/1000</f>
        <v>#REF!</v>
      </c>
      <c r="FR231" s="79" t="e">
        <f>#REF!*#REF!/1000</f>
        <v>#REF!</v>
      </c>
      <c r="FS231" s="79" t="e">
        <f>#REF!*#REF!/1000</f>
        <v>#REF!</v>
      </c>
      <c r="FT231" s="79" t="e">
        <f>#REF!*#REF!/1000</f>
        <v>#REF!</v>
      </c>
      <c r="FU231" s="79" t="e">
        <f>#REF!*#REF!/1000</f>
        <v>#REF!</v>
      </c>
      <c r="FV231" s="79" t="e">
        <f>#REF!*#REF!/1000</f>
        <v>#REF!</v>
      </c>
      <c r="FW231" s="79" t="e">
        <f>#REF!*#REF!/1000</f>
        <v>#REF!</v>
      </c>
      <c r="FX231" s="79" t="e">
        <f>#REF!*#REF!/1000</f>
        <v>#REF!</v>
      </c>
      <c r="FY231" s="79" t="e">
        <f>#REF!*#REF!/1000</f>
        <v>#REF!</v>
      </c>
      <c r="FZ231" s="79" t="e">
        <f>#REF!*#REF!/1000</f>
        <v>#REF!</v>
      </c>
      <c r="GA231" s="79" t="e">
        <f>#REF!*#REF!/1000</f>
        <v>#REF!</v>
      </c>
      <c r="GB231" s="79" t="e">
        <f>#REF!*#REF!/1000</f>
        <v>#REF!</v>
      </c>
      <c r="GC231" s="79" t="e">
        <f>#REF!*#REF!/1000</f>
        <v>#REF!</v>
      </c>
      <c r="GD231" s="79" t="e">
        <f>#REF!*#REF!/1000</f>
        <v>#REF!</v>
      </c>
      <c r="GE231" s="79" t="e">
        <f>#REF!*#REF!/1000</f>
        <v>#REF!</v>
      </c>
      <c r="GF231" s="79" t="e">
        <f>#REF!*#REF!/1000</f>
        <v>#REF!</v>
      </c>
      <c r="GG231" s="79" t="e">
        <f>#REF!*#REF!/1000</f>
        <v>#REF!</v>
      </c>
      <c r="GH231" s="79" t="e">
        <f>#REF!*#REF!/1000</f>
        <v>#REF!</v>
      </c>
      <c r="GI231" s="79" t="e">
        <f>#REF!*#REF!/1000</f>
        <v>#REF!</v>
      </c>
      <c r="GJ231" s="79" t="e">
        <f>#REF!*#REF!/1000</f>
        <v>#REF!</v>
      </c>
      <c r="GK231" s="79" t="e">
        <f>#REF!*#REF!/1000</f>
        <v>#REF!</v>
      </c>
      <c r="GL231" s="79" t="e">
        <f>#REF!*#REF!/1000</f>
        <v>#REF!</v>
      </c>
      <c r="GM231" s="79" t="e">
        <f>#REF!*#REF!/1000</f>
        <v>#REF!</v>
      </c>
      <c r="GN231" s="79" t="e">
        <f>#REF!*#REF!/1000</f>
        <v>#REF!</v>
      </c>
      <c r="GO231" s="79" t="e">
        <f>#REF!*#REF!/1000</f>
        <v>#REF!</v>
      </c>
      <c r="GP231" s="79" t="e">
        <f>#REF!*#REF!/1000</f>
        <v>#REF!</v>
      </c>
      <c r="GQ231" s="79" t="e">
        <f>#REF!*#REF!/1000</f>
        <v>#REF!</v>
      </c>
      <c r="GR231" s="79" t="e">
        <f>#REF!*#REF!/1000</f>
        <v>#REF!</v>
      </c>
      <c r="GS231" s="79" t="e">
        <f>#REF!*#REF!/1000</f>
        <v>#REF!</v>
      </c>
      <c r="GT231" s="79" t="e">
        <f>#REF!*#REF!/1000</f>
        <v>#REF!</v>
      </c>
      <c r="GU231" s="79" t="e">
        <f>#REF!*#REF!/1000</f>
        <v>#REF!</v>
      </c>
      <c r="GV231" s="79" t="e">
        <f>#REF!*#REF!/1000</f>
        <v>#REF!</v>
      </c>
      <c r="GW231" s="79" t="e">
        <f>#REF!*#REF!/1000</f>
        <v>#REF!</v>
      </c>
      <c r="GX231" s="79" t="e">
        <f>#REF!*#REF!/1000</f>
        <v>#REF!</v>
      </c>
      <c r="GY231" s="79" t="e">
        <f>#REF!*#REF!/1000</f>
        <v>#REF!</v>
      </c>
      <c r="GZ231" s="79" t="e">
        <f>#REF!*#REF!/1000</f>
        <v>#REF!</v>
      </c>
      <c r="HA231" s="79" t="e">
        <f>#REF!*#REF!/1000</f>
        <v>#REF!</v>
      </c>
      <c r="HB231" s="79" t="e">
        <f>#REF!*#REF!/1000</f>
        <v>#REF!</v>
      </c>
      <c r="HC231" s="79" t="e">
        <f>#REF!*#REF!/1000</f>
        <v>#REF!</v>
      </c>
      <c r="HD231" s="79" t="e">
        <f>#REF!*#REF!/1000</f>
        <v>#REF!</v>
      </c>
      <c r="HE231" s="79" t="e">
        <f>#REF!*#REF!/1000</f>
        <v>#REF!</v>
      </c>
      <c r="HF231" s="79" t="e">
        <f>#REF!*#REF!/1000</f>
        <v>#REF!</v>
      </c>
      <c r="HG231" s="79" t="e">
        <f>#REF!*#REF!/1000</f>
        <v>#REF!</v>
      </c>
      <c r="HH231" s="79" t="e">
        <f>#REF!*#REF!/1000</f>
        <v>#REF!</v>
      </c>
      <c r="HI231" s="79" t="e">
        <f>#REF!*#REF!/1000</f>
        <v>#REF!</v>
      </c>
      <c r="HJ231" s="79" t="e">
        <f>#REF!*#REF!/1000</f>
        <v>#REF!</v>
      </c>
      <c r="HK231" s="79" t="e">
        <f>#REF!*#REF!/1000</f>
        <v>#REF!</v>
      </c>
      <c r="HL231" s="79" t="e">
        <f>#REF!*#REF!/1000</f>
        <v>#REF!</v>
      </c>
      <c r="HM231" s="79" t="e">
        <f>#REF!*#REF!/1000</f>
        <v>#REF!</v>
      </c>
      <c r="HN231" s="79" t="e">
        <f>#REF!*#REF!/1000</f>
        <v>#REF!</v>
      </c>
      <c r="HO231" s="79" t="e">
        <f>#REF!*#REF!/1000</f>
        <v>#REF!</v>
      </c>
      <c r="HP231" s="79" t="e">
        <f>#REF!*#REF!/1000</f>
        <v>#REF!</v>
      </c>
      <c r="HQ231" s="79" t="e">
        <f>#REF!*#REF!/1000</f>
        <v>#REF!</v>
      </c>
      <c r="HR231" s="79" t="e">
        <f>#REF!*#REF!/1000</f>
        <v>#REF!</v>
      </c>
      <c r="HS231" s="79" t="e">
        <f>#REF!*#REF!/1000</f>
        <v>#REF!</v>
      </c>
      <c r="HT231" s="79" t="e">
        <f>#REF!*#REF!/1000</f>
        <v>#REF!</v>
      </c>
      <c r="HU231" s="79" t="e">
        <f>#REF!*#REF!/1000</f>
        <v>#REF!</v>
      </c>
      <c r="HV231" s="79" t="e">
        <f>#REF!*#REF!/1000</f>
        <v>#REF!</v>
      </c>
      <c r="HW231" s="79" t="e">
        <f>#REF!*#REF!/1000</f>
        <v>#REF!</v>
      </c>
      <c r="HX231" s="79" t="e">
        <f>#REF!*#REF!/1000</f>
        <v>#REF!</v>
      </c>
      <c r="HY231" s="79" t="e">
        <f>#REF!*#REF!/1000</f>
        <v>#REF!</v>
      </c>
      <c r="HZ231" s="79" t="e">
        <f>#REF!*#REF!/1000</f>
        <v>#REF!</v>
      </c>
      <c r="IA231" s="79" t="e">
        <f>#REF!*#REF!/1000</f>
        <v>#REF!</v>
      </c>
      <c r="IB231" s="79" t="e">
        <f>#REF!*#REF!/1000</f>
        <v>#REF!</v>
      </c>
      <c r="IC231" s="79" t="e">
        <f>#REF!*#REF!/1000</f>
        <v>#REF!</v>
      </c>
      <c r="ID231" s="79" t="e">
        <f>#REF!*#REF!/1000</f>
        <v>#REF!</v>
      </c>
      <c r="IE231" s="79" t="e">
        <f>#REF!*#REF!/1000</f>
        <v>#REF!</v>
      </c>
      <c r="IF231" s="79" t="e">
        <f>#REF!*#REF!/1000</f>
        <v>#REF!</v>
      </c>
      <c r="IG231" s="79" t="e">
        <f>#REF!*#REF!/1000</f>
        <v>#REF!</v>
      </c>
      <c r="IH231" s="79" t="e">
        <f>#REF!*#REF!/1000</f>
        <v>#REF!</v>
      </c>
      <c r="II231" s="79" t="e">
        <f>#REF!*#REF!/1000</f>
        <v>#REF!</v>
      </c>
      <c r="IJ231" s="79" t="e">
        <f>#REF!*#REF!/1000</f>
        <v>#REF!</v>
      </c>
      <c r="IK231" s="79" t="e">
        <f>#REF!*#REF!/1000</f>
        <v>#REF!</v>
      </c>
      <c r="IL231" s="79" t="e">
        <f>#REF!*#REF!/1000</f>
        <v>#REF!</v>
      </c>
      <c r="IM231" s="79" t="e">
        <f>#REF!*#REF!/1000</f>
        <v>#REF!</v>
      </c>
      <c r="IN231" s="79" t="e">
        <f>#REF!*#REF!/1000</f>
        <v>#REF!</v>
      </c>
      <c r="IO231" s="79" t="e">
        <f>#REF!*#REF!/1000</f>
        <v>#REF!</v>
      </c>
      <c r="IP231" s="79" t="e">
        <f>#REF!*#REF!/1000</f>
        <v>#REF!</v>
      </c>
      <c r="IQ231" s="79" t="e">
        <f>#REF!*#REF!/1000</f>
        <v>#REF!</v>
      </c>
      <c r="IR231" s="79" t="e">
        <f>#REF!*#REF!/1000</f>
        <v>#REF!</v>
      </c>
      <c r="IS231" s="79" t="e">
        <f>#REF!*#REF!/1000</f>
        <v>#REF!</v>
      </c>
      <c r="IT231" s="79" t="e">
        <f>#REF!*#REF!/1000</f>
        <v>#REF!</v>
      </c>
      <c r="IU231" s="79" t="e">
        <f>#REF!*#REF!/1000</f>
        <v>#REF!</v>
      </c>
      <c r="IV231" s="79" t="e">
        <f>#REF!*#REF!/1000</f>
        <v>#REF!</v>
      </c>
      <c r="IW231" s="79" t="e">
        <f>#REF!*#REF!/1000</f>
        <v>#REF!</v>
      </c>
      <c r="IX231" s="79" t="e">
        <f>#REF!*#REF!/1000</f>
        <v>#REF!</v>
      </c>
      <c r="IY231" s="79" t="e">
        <f>#REF!*#REF!/1000</f>
        <v>#REF!</v>
      </c>
      <c r="IZ231" s="79" t="e">
        <f>#REF!*#REF!/1000</f>
        <v>#REF!</v>
      </c>
      <c r="JA231" s="79" t="e">
        <f>#REF!*#REF!/1000</f>
        <v>#REF!</v>
      </c>
      <c r="JB231" s="79" t="e">
        <f>#REF!*#REF!/1000</f>
        <v>#REF!</v>
      </c>
      <c r="JC231" s="79" t="e">
        <f>#REF!*#REF!/1000</f>
        <v>#REF!</v>
      </c>
      <c r="JD231" s="79" t="e">
        <f>#REF!*#REF!/1000</f>
        <v>#REF!</v>
      </c>
      <c r="JE231" s="79" t="e">
        <f>#REF!*#REF!/1000</f>
        <v>#REF!</v>
      </c>
      <c r="JF231" s="79" t="e">
        <f>#REF!*#REF!/1000</f>
        <v>#REF!</v>
      </c>
      <c r="JG231" s="79" t="e">
        <f>#REF!*#REF!/1000</f>
        <v>#REF!</v>
      </c>
      <c r="JH231" s="79" t="e">
        <f>#REF!*#REF!/1000</f>
        <v>#REF!</v>
      </c>
      <c r="JI231" s="79" t="e">
        <f>#REF!*#REF!/1000</f>
        <v>#REF!</v>
      </c>
      <c r="JJ231" s="79" t="e">
        <f>#REF!*#REF!/1000</f>
        <v>#REF!</v>
      </c>
      <c r="JK231" s="79" t="e">
        <f>#REF!*#REF!/1000</f>
        <v>#REF!</v>
      </c>
      <c r="JL231" s="79" t="e">
        <f>#REF!*#REF!/1000</f>
        <v>#REF!</v>
      </c>
      <c r="JM231" s="79" t="e">
        <f>#REF!*#REF!/1000</f>
        <v>#REF!</v>
      </c>
      <c r="JN231" s="79" t="e">
        <f>#REF!*#REF!/1000</f>
        <v>#REF!</v>
      </c>
      <c r="JO231" s="79" t="e">
        <f>#REF!*#REF!/1000</f>
        <v>#REF!</v>
      </c>
      <c r="JP231" s="79" t="e">
        <f>#REF!*#REF!/1000</f>
        <v>#REF!</v>
      </c>
      <c r="JQ231" s="79" t="e">
        <f>#REF!*#REF!/1000</f>
        <v>#REF!</v>
      </c>
      <c r="JR231" s="79" t="e">
        <f>#REF!*#REF!/1000</f>
        <v>#REF!</v>
      </c>
      <c r="JS231" s="79" t="e">
        <f>#REF!*#REF!/1000</f>
        <v>#REF!</v>
      </c>
      <c r="JT231" s="79" t="e">
        <f>#REF!*#REF!/1000</f>
        <v>#REF!</v>
      </c>
      <c r="JU231" s="79" t="e">
        <f>#REF!*#REF!/1000</f>
        <v>#REF!</v>
      </c>
      <c r="JV231" s="79" t="e">
        <f>#REF!*#REF!/1000</f>
        <v>#REF!</v>
      </c>
      <c r="JW231" s="79" t="e">
        <f>#REF!*#REF!/1000</f>
        <v>#REF!</v>
      </c>
      <c r="JX231" s="79" t="e">
        <f>#REF!*#REF!/1000</f>
        <v>#REF!</v>
      </c>
      <c r="JY231" s="79" t="e">
        <f>#REF!*#REF!/1000</f>
        <v>#REF!</v>
      </c>
      <c r="JZ231" s="79" t="e">
        <f>#REF!*#REF!/1000</f>
        <v>#REF!</v>
      </c>
      <c r="KA231" s="79" t="e">
        <f>#REF!*#REF!/1000</f>
        <v>#REF!</v>
      </c>
      <c r="KB231" s="79" t="e">
        <f>#REF!*#REF!/1000</f>
        <v>#REF!</v>
      </c>
      <c r="KC231" s="79" t="e">
        <f>#REF!*#REF!/1000</f>
        <v>#REF!</v>
      </c>
      <c r="KD231" s="79" t="e">
        <f>#REF!*#REF!/1000</f>
        <v>#REF!</v>
      </c>
      <c r="KE231" s="79" t="e">
        <f>#REF!*#REF!/1000</f>
        <v>#REF!</v>
      </c>
      <c r="KF231" s="79" t="e">
        <f>#REF!*#REF!/1000</f>
        <v>#REF!</v>
      </c>
      <c r="KG231" s="79" t="e">
        <f>#REF!*#REF!/1000</f>
        <v>#REF!</v>
      </c>
      <c r="KH231" s="79" t="e">
        <f>#REF!*#REF!/1000</f>
        <v>#REF!</v>
      </c>
      <c r="KI231" s="79" t="e">
        <f>#REF!*#REF!/1000</f>
        <v>#REF!</v>
      </c>
      <c r="KJ231" s="79" t="e">
        <f>#REF!*#REF!/1000</f>
        <v>#REF!</v>
      </c>
      <c r="KK231" s="79" t="e">
        <f>#REF!*#REF!/1000</f>
        <v>#REF!</v>
      </c>
      <c r="KL231" s="79" t="e">
        <f>#REF!*#REF!/1000</f>
        <v>#REF!</v>
      </c>
      <c r="KM231" s="79" t="e">
        <f>#REF!*#REF!/1000</f>
        <v>#REF!</v>
      </c>
      <c r="KN231" s="79" t="e">
        <f>#REF!*#REF!/1000</f>
        <v>#REF!</v>
      </c>
      <c r="KO231" s="79" t="e">
        <f>#REF!*#REF!/1000</f>
        <v>#REF!</v>
      </c>
      <c r="KP231" s="79" t="e">
        <f>#REF!*#REF!/1000</f>
        <v>#REF!</v>
      </c>
      <c r="KQ231" s="79" t="e">
        <f>#REF!*#REF!/1000</f>
        <v>#REF!</v>
      </c>
      <c r="KR231" s="79" t="e">
        <f>#REF!*#REF!/1000</f>
        <v>#REF!</v>
      </c>
      <c r="KS231" s="79" t="e">
        <f>#REF!*#REF!/1000</f>
        <v>#REF!</v>
      </c>
      <c r="KT231" s="79" t="e">
        <f>#REF!*#REF!/1000</f>
        <v>#REF!</v>
      </c>
      <c r="KU231" s="79" t="e">
        <f>#REF!*#REF!/1000</f>
        <v>#REF!</v>
      </c>
      <c r="KV231" s="79" t="e">
        <f>#REF!*#REF!/1000</f>
        <v>#REF!</v>
      </c>
      <c r="KW231" s="79" t="e">
        <f>#REF!*#REF!/1000</f>
        <v>#REF!</v>
      </c>
      <c r="KX231" s="79" t="e">
        <f>#REF!*#REF!/1000</f>
        <v>#REF!</v>
      </c>
      <c r="KY231" s="79" t="e">
        <f>#REF!*#REF!/1000</f>
        <v>#REF!</v>
      </c>
      <c r="KZ231" s="79" t="e">
        <f>#REF!*#REF!/1000</f>
        <v>#REF!</v>
      </c>
      <c r="LA231" s="79" t="e">
        <f>#REF!*#REF!/1000</f>
        <v>#REF!</v>
      </c>
      <c r="LB231" s="79" t="e">
        <f>#REF!*#REF!/1000</f>
        <v>#REF!</v>
      </c>
      <c r="LC231" s="79" t="e">
        <f>#REF!*#REF!/1000</f>
        <v>#REF!</v>
      </c>
      <c r="LD231" s="79" t="e">
        <f>#REF!*#REF!/1000</f>
        <v>#REF!</v>
      </c>
      <c r="LE231" s="79" t="e">
        <f>#REF!*#REF!/1000</f>
        <v>#REF!</v>
      </c>
      <c r="LF231" s="79" t="e">
        <f>#REF!*#REF!/1000</f>
        <v>#REF!</v>
      </c>
      <c r="LG231" s="79" t="e">
        <f>#REF!*#REF!/1000</f>
        <v>#REF!</v>
      </c>
      <c r="LH231" s="79" t="e">
        <f>#REF!*#REF!/1000</f>
        <v>#REF!</v>
      </c>
      <c r="LI231" s="79" t="e">
        <f>#REF!*#REF!/1000</f>
        <v>#REF!</v>
      </c>
      <c r="LJ231" s="79" t="e">
        <f>#REF!*#REF!/1000</f>
        <v>#REF!</v>
      </c>
      <c r="LK231" s="79" t="e">
        <f>#REF!*#REF!/1000</f>
        <v>#REF!</v>
      </c>
      <c r="LL231" s="79" t="e">
        <f>#REF!*#REF!/1000</f>
        <v>#REF!</v>
      </c>
      <c r="LM231" s="79" t="e">
        <f>#REF!*#REF!/1000</f>
        <v>#REF!</v>
      </c>
      <c r="LN231" s="79" t="e">
        <f>#REF!*#REF!/1000</f>
        <v>#REF!</v>
      </c>
      <c r="LO231" s="79" t="e">
        <f>#REF!*#REF!/1000</f>
        <v>#REF!</v>
      </c>
      <c r="LP231" s="79" t="e">
        <f>#REF!*#REF!/1000</f>
        <v>#REF!</v>
      </c>
      <c r="LQ231" s="79" t="e">
        <f>#REF!*#REF!/1000</f>
        <v>#REF!</v>
      </c>
      <c r="LR231" s="79" t="e">
        <f>#REF!*#REF!/1000</f>
        <v>#REF!</v>
      </c>
      <c r="LS231" s="79" t="e">
        <f>#REF!*#REF!/1000</f>
        <v>#REF!</v>
      </c>
      <c r="LT231" s="79" t="e">
        <f>#REF!*#REF!/1000</f>
        <v>#REF!</v>
      </c>
      <c r="LU231" s="79" t="e">
        <f>#REF!*#REF!/1000</f>
        <v>#REF!</v>
      </c>
      <c r="LV231" s="79" t="e">
        <f>#REF!*#REF!/1000</f>
        <v>#REF!</v>
      </c>
      <c r="LW231" s="79" t="e">
        <f>#REF!*#REF!/1000</f>
        <v>#REF!</v>
      </c>
      <c r="LX231" s="79" t="e">
        <f>#REF!*#REF!/1000</f>
        <v>#REF!</v>
      </c>
      <c r="LY231" s="79" t="e">
        <f>#REF!*#REF!/1000</f>
        <v>#REF!</v>
      </c>
      <c r="LZ231" s="79" t="e">
        <f>#REF!*#REF!/1000</f>
        <v>#REF!</v>
      </c>
      <c r="MA231" s="79" t="e">
        <f>#REF!*#REF!/1000</f>
        <v>#REF!</v>
      </c>
      <c r="MB231" s="79" t="e">
        <f>#REF!*#REF!/1000</f>
        <v>#REF!</v>
      </c>
      <c r="MC231" s="79" t="e">
        <f>#REF!*#REF!/1000</f>
        <v>#REF!</v>
      </c>
      <c r="MD231" s="79" t="e">
        <f>#REF!*#REF!/1000</f>
        <v>#REF!</v>
      </c>
      <c r="ME231" s="79" t="e">
        <f>#REF!*#REF!/1000</f>
        <v>#REF!</v>
      </c>
      <c r="MF231" s="79" t="e">
        <f>#REF!*#REF!/1000</f>
        <v>#REF!</v>
      </c>
      <c r="MG231" s="79" t="e">
        <f>#REF!*#REF!/1000</f>
        <v>#REF!</v>
      </c>
      <c r="MH231" s="79" t="e">
        <f>#REF!*#REF!/1000</f>
        <v>#REF!</v>
      </c>
      <c r="MI231" s="79" t="e">
        <f>#REF!*#REF!/1000</f>
        <v>#REF!</v>
      </c>
      <c r="MJ231" s="79" t="e">
        <f>#REF!*#REF!/1000</f>
        <v>#REF!</v>
      </c>
      <c r="MK231" s="79" t="e">
        <f>#REF!*#REF!/1000</f>
        <v>#REF!</v>
      </c>
      <c r="ML231" s="79" t="e">
        <f>#REF!*#REF!/1000</f>
        <v>#REF!</v>
      </c>
      <c r="MM231" s="79" t="e">
        <f>#REF!*#REF!/1000</f>
        <v>#REF!</v>
      </c>
      <c r="MN231" s="79" t="e">
        <f>#REF!*#REF!/1000</f>
        <v>#REF!</v>
      </c>
      <c r="MO231" s="79" t="e">
        <f>#REF!*#REF!/1000</f>
        <v>#REF!</v>
      </c>
      <c r="MP231" s="79" t="e">
        <f>#REF!*#REF!/1000</f>
        <v>#REF!</v>
      </c>
      <c r="MQ231" s="79" t="e">
        <f>#REF!*#REF!/1000</f>
        <v>#REF!</v>
      </c>
      <c r="MR231" s="79" t="e">
        <f>#REF!*#REF!/1000</f>
        <v>#REF!</v>
      </c>
      <c r="MS231" s="79" t="e">
        <f>#REF!*#REF!/1000</f>
        <v>#REF!</v>
      </c>
      <c r="MT231" s="79" t="e">
        <f>#REF!*#REF!/1000</f>
        <v>#REF!</v>
      </c>
      <c r="MU231" s="79" t="e">
        <f>#REF!*#REF!/1000</f>
        <v>#REF!</v>
      </c>
      <c r="MV231" s="79" t="e">
        <f>#REF!*#REF!/1000</f>
        <v>#REF!</v>
      </c>
      <c r="MW231" s="79" t="e">
        <f>#REF!*#REF!/1000</f>
        <v>#REF!</v>
      </c>
      <c r="MX231" s="79" t="e">
        <f>#REF!*#REF!/1000</f>
        <v>#REF!</v>
      </c>
      <c r="MY231" s="79" t="e">
        <f>#REF!*#REF!/1000</f>
        <v>#REF!</v>
      </c>
      <c r="MZ231" s="79" t="e">
        <f>#REF!*#REF!/1000</f>
        <v>#REF!</v>
      </c>
      <c r="NA231" s="79" t="e">
        <f>#REF!*#REF!/1000</f>
        <v>#REF!</v>
      </c>
      <c r="NB231" s="79" t="e">
        <f>#REF!*#REF!/1000</f>
        <v>#REF!</v>
      </c>
      <c r="NC231" s="79" t="e">
        <f>#REF!*#REF!/1000</f>
        <v>#REF!</v>
      </c>
      <c r="ND231" s="79" t="e">
        <f>#REF!*#REF!/1000</f>
        <v>#REF!</v>
      </c>
      <c r="NE231" s="79" t="e">
        <f>#REF!*#REF!/1000</f>
        <v>#REF!</v>
      </c>
      <c r="NF231" s="79" t="e">
        <f>#REF!*#REF!/1000</f>
        <v>#REF!</v>
      </c>
      <c r="NG231" s="79" t="e">
        <f>#REF!*#REF!/1000</f>
        <v>#REF!</v>
      </c>
      <c r="NH231" s="79" t="e">
        <f>#REF!*#REF!/1000</f>
        <v>#REF!</v>
      </c>
      <c r="NI231" s="79" t="e">
        <f>#REF!*#REF!/1000</f>
        <v>#REF!</v>
      </c>
      <c r="NJ231" s="79" t="e">
        <f>#REF!*#REF!/1000</f>
        <v>#REF!</v>
      </c>
      <c r="NK231" s="79" t="e">
        <f>#REF!*#REF!/1000</f>
        <v>#REF!</v>
      </c>
      <c r="NL231" s="79" t="e">
        <f>#REF!*#REF!/1000</f>
        <v>#REF!</v>
      </c>
      <c r="NM231" s="79" t="e">
        <f>#REF!*#REF!/1000</f>
        <v>#REF!</v>
      </c>
      <c r="NN231" s="79" t="e">
        <f>#REF!*#REF!/1000</f>
        <v>#REF!</v>
      </c>
      <c r="NO231" s="79" t="e">
        <f>#REF!*#REF!/1000</f>
        <v>#REF!</v>
      </c>
      <c r="NP231" s="79" t="e">
        <f>#REF!*#REF!/1000</f>
        <v>#REF!</v>
      </c>
      <c r="NQ231" s="79" t="e">
        <f>#REF!*#REF!/1000</f>
        <v>#REF!</v>
      </c>
      <c r="NR231" s="79" t="e">
        <f>#REF!*#REF!/1000</f>
        <v>#REF!</v>
      </c>
      <c r="NS231" s="79" t="e">
        <f>#REF!*#REF!/1000</f>
        <v>#REF!</v>
      </c>
      <c r="NT231" s="79" t="e">
        <f>#REF!*#REF!/1000</f>
        <v>#REF!</v>
      </c>
      <c r="NU231" s="79" t="e">
        <f>#REF!*#REF!/1000</f>
        <v>#REF!</v>
      </c>
      <c r="NV231" s="79" t="e">
        <f>#REF!*#REF!/1000</f>
        <v>#REF!</v>
      </c>
      <c r="NW231" s="79" t="e">
        <f>#REF!*#REF!/1000</f>
        <v>#REF!</v>
      </c>
      <c r="NX231" s="79" t="e">
        <f>#REF!*#REF!/1000</f>
        <v>#REF!</v>
      </c>
      <c r="NY231" s="79" t="e">
        <f>#REF!*#REF!/1000</f>
        <v>#REF!</v>
      </c>
      <c r="NZ231" s="79" t="e">
        <f>#REF!*#REF!/1000</f>
        <v>#REF!</v>
      </c>
      <c r="OA231" s="79" t="e">
        <f>#REF!*#REF!/1000</f>
        <v>#REF!</v>
      </c>
      <c r="OB231" s="79" t="e">
        <f>#REF!*#REF!/1000</f>
        <v>#REF!</v>
      </c>
      <c r="OC231" s="79" t="e">
        <f>#REF!*#REF!/1000</f>
        <v>#REF!</v>
      </c>
      <c r="OD231" s="79" t="e">
        <f>#REF!*#REF!/1000</f>
        <v>#REF!</v>
      </c>
      <c r="OE231" s="79" t="e">
        <f>#REF!*#REF!/1000</f>
        <v>#REF!</v>
      </c>
      <c r="OF231" s="79" t="e">
        <f>#REF!*#REF!/1000</f>
        <v>#REF!</v>
      </c>
      <c r="OG231" s="79" t="e">
        <f>#REF!*#REF!/1000</f>
        <v>#REF!</v>
      </c>
      <c r="OH231" s="79" t="e">
        <f>#REF!*#REF!/1000</f>
        <v>#REF!</v>
      </c>
      <c r="OI231" s="79" t="e">
        <f>#REF!*#REF!/1000</f>
        <v>#REF!</v>
      </c>
      <c r="OJ231" s="79" t="e">
        <f>#REF!*#REF!/1000</f>
        <v>#REF!</v>
      </c>
      <c r="OK231" s="79" t="e">
        <f>#REF!*#REF!/1000</f>
        <v>#REF!</v>
      </c>
      <c r="OL231" s="79" t="e">
        <f>#REF!*#REF!/1000</f>
        <v>#REF!</v>
      </c>
      <c r="OM231" s="79" t="e">
        <f>#REF!*#REF!/1000</f>
        <v>#REF!</v>
      </c>
      <c r="ON231" s="79" t="e">
        <f>#REF!*#REF!/1000</f>
        <v>#REF!</v>
      </c>
      <c r="OO231" s="79" t="e">
        <f>#REF!*#REF!/1000</f>
        <v>#REF!</v>
      </c>
      <c r="OP231" s="79" t="e">
        <f>#REF!*#REF!/1000</f>
        <v>#REF!</v>
      </c>
      <c r="OQ231" s="79" t="e">
        <f>#REF!*#REF!/1000</f>
        <v>#REF!</v>
      </c>
      <c r="OR231" s="79" t="e">
        <f>#REF!*#REF!/1000</f>
        <v>#REF!</v>
      </c>
      <c r="OS231" s="79" t="e">
        <f>#REF!*#REF!/1000</f>
        <v>#REF!</v>
      </c>
      <c r="OT231" s="79" t="e">
        <f>#REF!*#REF!/1000</f>
        <v>#REF!</v>
      </c>
      <c r="OU231" s="79" t="e">
        <f>#REF!*#REF!/1000</f>
        <v>#REF!</v>
      </c>
      <c r="OV231" s="79" t="e">
        <f>#REF!*#REF!/1000</f>
        <v>#REF!</v>
      </c>
      <c r="OW231" s="79" t="e">
        <f>#REF!*#REF!/1000</f>
        <v>#REF!</v>
      </c>
      <c r="OX231" s="79" t="e">
        <f>#REF!*#REF!/1000</f>
        <v>#REF!</v>
      </c>
      <c r="OY231" s="79" t="e">
        <f>#REF!*#REF!/1000</f>
        <v>#REF!</v>
      </c>
      <c r="OZ231" s="79" t="e">
        <f>#REF!*#REF!/1000</f>
        <v>#REF!</v>
      </c>
      <c r="PA231" s="79" t="e">
        <f>#REF!*#REF!/1000</f>
        <v>#REF!</v>
      </c>
      <c r="PB231" s="79" t="e">
        <f>#REF!*#REF!/1000</f>
        <v>#REF!</v>
      </c>
      <c r="PC231" s="79" t="e">
        <f>#REF!*#REF!/1000</f>
        <v>#REF!</v>
      </c>
      <c r="PD231" s="79" t="e">
        <f>#REF!*#REF!/1000</f>
        <v>#REF!</v>
      </c>
      <c r="PE231" s="79" t="e">
        <f>#REF!*#REF!/1000</f>
        <v>#REF!</v>
      </c>
      <c r="PF231" s="79" t="e">
        <f>#REF!*#REF!/1000</f>
        <v>#REF!</v>
      </c>
      <c r="PG231" s="79" t="e">
        <f>#REF!*#REF!/1000</f>
        <v>#REF!</v>
      </c>
      <c r="PH231" s="79" t="e">
        <f>#REF!*#REF!/1000</f>
        <v>#REF!</v>
      </c>
      <c r="PI231" s="79" t="e">
        <f>#REF!*#REF!/1000</f>
        <v>#REF!</v>
      </c>
      <c r="PJ231" s="79" t="e">
        <f>#REF!*#REF!/1000</f>
        <v>#REF!</v>
      </c>
      <c r="PK231" s="79" t="e">
        <f>#REF!*#REF!/1000</f>
        <v>#REF!</v>
      </c>
      <c r="PL231" s="79" t="e">
        <f>#REF!*#REF!/1000</f>
        <v>#REF!</v>
      </c>
      <c r="PM231" s="79" t="e">
        <f>#REF!*#REF!/1000</f>
        <v>#REF!</v>
      </c>
      <c r="PN231" s="79" t="e">
        <f>#REF!*#REF!/1000</f>
        <v>#REF!</v>
      </c>
      <c r="PO231" s="79" t="e">
        <f>#REF!*#REF!/1000</f>
        <v>#REF!</v>
      </c>
      <c r="PP231" s="79" t="e">
        <f>#REF!*#REF!/1000</f>
        <v>#REF!</v>
      </c>
      <c r="PQ231" s="79" t="e">
        <f>#REF!*#REF!/1000</f>
        <v>#REF!</v>
      </c>
      <c r="PR231" s="79" t="e">
        <f>#REF!*#REF!/1000</f>
        <v>#REF!</v>
      </c>
      <c r="PS231" s="79" t="e">
        <f>#REF!*#REF!/1000</f>
        <v>#REF!</v>
      </c>
      <c r="PT231" s="79" t="e">
        <f>#REF!*#REF!/1000</f>
        <v>#REF!</v>
      </c>
      <c r="PU231" s="79" t="e">
        <f>#REF!*#REF!/1000</f>
        <v>#REF!</v>
      </c>
      <c r="PV231" s="79" t="e">
        <f>#REF!*#REF!/1000</f>
        <v>#REF!</v>
      </c>
      <c r="PW231" s="79" t="e">
        <f>#REF!*#REF!/1000</f>
        <v>#REF!</v>
      </c>
      <c r="PX231" s="79" t="e">
        <f>#REF!*#REF!/1000</f>
        <v>#REF!</v>
      </c>
      <c r="PY231" s="79" t="e">
        <f>#REF!*#REF!/1000</f>
        <v>#REF!</v>
      </c>
      <c r="PZ231" s="79" t="e">
        <f>#REF!*#REF!/1000</f>
        <v>#REF!</v>
      </c>
      <c r="QA231" s="79" t="e">
        <f>#REF!*#REF!/1000</f>
        <v>#REF!</v>
      </c>
      <c r="QB231" s="79" t="e">
        <f>#REF!*#REF!/1000</f>
        <v>#REF!</v>
      </c>
      <c r="QC231" s="79" t="e">
        <f>#REF!*#REF!/1000</f>
        <v>#REF!</v>
      </c>
      <c r="QD231" s="79" t="e">
        <f>#REF!*#REF!/1000</f>
        <v>#REF!</v>
      </c>
      <c r="QE231" s="79" t="e">
        <f>#REF!*#REF!/1000</f>
        <v>#REF!</v>
      </c>
      <c r="QF231" s="79" t="e">
        <f>#REF!*#REF!/1000</f>
        <v>#REF!</v>
      </c>
      <c r="QG231" s="79" t="e">
        <f>#REF!*#REF!/1000</f>
        <v>#REF!</v>
      </c>
      <c r="QH231" s="79" t="e">
        <f>#REF!*#REF!/1000</f>
        <v>#REF!</v>
      </c>
      <c r="QI231" s="79" t="e">
        <f>#REF!*#REF!/1000</f>
        <v>#REF!</v>
      </c>
      <c r="QJ231" s="79" t="e">
        <f>#REF!*#REF!/1000</f>
        <v>#REF!</v>
      </c>
      <c r="QK231" s="79" t="e">
        <f>#REF!*#REF!/1000</f>
        <v>#REF!</v>
      </c>
      <c r="QL231" s="79" t="e">
        <f>#REF!*#REF!/1000</f>
        <v>#REF!</v>
      </c>
      <c r="QM231" s="79" t="e">
        <f>#REF!*#REF!/1000</f>
        <v>#REF!</v>
      </c>
      <c r="QN231" s="79" t="e">
        <f>#REF!*#REF!/1000</f>
        <v>#REF!</v>
      </c>
      <c r="QO231" s="79" t="e">
        <f>#REF!*#REF!/1000</f>
        <v>#REF!</v>
      </c>
      <c r="QP231" s="79" t="e">
        <f>#REF!*#REF!/1000</f>
        <v>#REF!</v>
      </c>
      <c r="QQ231" s="79" t="e">
        <f>#REF!*#REF!/1000</f>
        <v>#REF!</v>
      </c>
      <c r="QR231" s="79" t="e">
        <f>#REF!*#REF!/1000</f>
        <v>#REF!</v>
      </c>
      <c r="QS231" s="79" t="e">
        <f>#REF!*#REF!/1000</f>
        <v>#REF!</v>
      </c>
      <c r="QT231" s="79" t="e">
        <f>#REF!*#REF!/1000</f>
        <v>#REF!</v>
      </c>
      <c r="QU231" s="79" t="e">
        <f>#REF!*#REF!/1000</f>
        <v>#REF!</v>
      </c>
      <c r="QV231" s="79" t="e">
        <f>#REF!*#REF!/1000</f>
        <v>#REF!</v>
      </c>
      <c r="QW231" s="79" t="e">
        <f>#REF!*#REF!/1000</f>
        <v>#REF!</v>
      </c>
      <c r="QX231" s="79" t="e">
        <f>#REF!*#REF!/1000</f>
        <v>#REF!</v>
      </c>
      <c r="QY231" s="79" t="e">
        <f>#REF!*#REF!/1000</f>
        <v>#REF!</v>
      </c>
      <c r="QZ231" s="79" t="e">
        <f>#REF!*#REF!/1000</f>
        <v>#REF!</v>
      </c>
      <c r="RA231" s="79" t="e">
        <f>#REF!*#REF!/1000</f>
        <v>#REF!</v>
      </c>
      <c r="RB231" s="79" t="e">
        <f>#REF!*#REF!/1000</f>
        <v>#REF!</v>
      </c>
      <c r="RC231" s="79" t="e">
        <f>#REF!*#REF!/1000</f>
        <v>#REF!</v>
      </c>
      <c r="RD231" s="79" t="e">
        <f>#REF!*#REF!/1000</f>
        <v>#REF!</v>
      </c>
      <c r="RE231" s="79" t="e">
        <f>#REF!*#REF!/1000</f>
        <v>#REF!</v>
      </c>
      <c r="RF231" s="79" t="e">
        <f>#REF!*#REF!/1000</f>
        <v>#REF!</v>
      </c>
      <c r="RG231" s="79" t="e">
        <f>#REF!*#REF!/1000</f>
        <v>#REF!</v>
      </c>
      <c r="RH231" s="79" t="e">
        <f>#REF!*#REF!/1000</f>
        <v>#REF!</v>
      </c>
      <c r="RI231" s="79" t="e">
        <f>#REF!*#REF!/1000</f>
        <v>#REF!</v>
      </c>
      <c r="RJ231" s="79" t="e">
        <f>#REF!*#REF!/1000</f>
        <v>#REF!</v>
      </c>
      <c r="RK231" s="79" t="e">
        <f>#REF!*#REF!/1000</f>
        <v>#REF!</v>
      </c>
      <c r="RL231" s="79" t="e">
        <f>#REF!*#REF!/1000</f>
        <v>#REF!</v>
      </c>
      <c r="RM231" s="79" t="e">
        <f>#REF!*#REF!/1000</f>
        <v>#REF!</v>
      </c>
      <c r="RN231" s="79" t="e">
        <f>#REF!*#REF!/1000</f>
        <v>#REF!</v>
      </c>
      <c r="RO231" s="79" t="e">
        <f>#REF!*#REF!/1000</f>
        <v>#REF!</v>
      </c>
      <c r="RP231" s="79" t="e">
        <f>#REF!*#REF!/1000</f>
        <v>#REF!</v>
      </c>
      <c r="RQ231" s="79" t="e">
        <f>#REF!*#REF!/1000</f>
        <v>#REF!</v>
      </c>
      <c r="RR231" s="79" t="e">
        <f>#REF!*#REF!/1000</f>
        <v>#REF!</v>
      </c>
      <c r="RS231" s="79" t="e">
        <f>#REF!*#REF!/1000</f>
        <v>#REF!</v>
      </c>
      <c r="RT231" s="79" t="e">
        <f>#REF!*#REF!/1000</f>
        <v>#REF!</v>
      </c>
      <c r="RU231" s="79" t="e">
        <f>#REF!*#REF!/1000</f>
        <v>#REF!</v>
      </c>
      <c r="RV231" s="79" t="e">
        <f>#REF!*#REF!/1000</f>
        <v>#REF!</v>
      </c>
      <c r="RW231" s="79" t="e">
        <f>#REF!*#REF!/1000</f>
        <v>#REF!</v>
      </c>
      <c r="RX231" s="79" t="e">
        <f>#REF!*#REF!/1000</f>
        <v>#REF!</v>
      </c>
      <c r="RY231" s="79" t="e">
        <f>#REF!*#REF!/1000</f>
        <v>#REF!</v>
      </c>
      <c r="RZ231" s="79" t="e">
        <f>#REF!*#REF!/1000</f>
        <v>#REF!</v>
      </c>
      <c r="SA231" s="79" t="e">
        <f>#REF!*#REF!/1000</f>
        <v>#REF!</v>
      </c>
      <c r="SB231" s="79" t="e">
        <f>#REF!*#REF!/1000</f>
        <v>#REF!</v>
      </c>
      <c r="SC231" s="79" t="e">
        <f>#REF!*#REF!/1000</f>
        <v>#REF!</v>
      </c>
      <c r="SD231" s="79" t="e">
        <f>#REF!*#REF!/1000</f>
        <v>#REF!</v>
      </c>
      <c r="SE231" s="79" t="e">
        <f>#REF!*#REF!/1000</f>
        <v>#REF!</v>
      </c>
      <c r="SF231" s="79" t="e">
        <f>#REF!*#REF!/1000</f>
        <v>#REF!</v>
      </c>
      <c r="SG231" s="79" t="e">
        <f>#REF!*#REF!/1000</f>
        <v>#REF!</v>
      </c>
      <c r="SH231" s="79" t="e">
        <f>#REF!*#REF!/1000</f>
        <v>#REF!</v>
      </c>
      <c r="SI231" s="79" t="e">
        <f>#REF!*#REF!/1000</f>
        <v>#REF!</v>
      </c>
      <c r="SJ231" s="79" t="e">
        <f>#REF!*#REF!/1000</f>
        <v>#REF!</v>
      </c>
      <c r="SK231" s="79" t="e">
        <f>#REF!*#REF!/1000</f>
        <v>#REF!</v>
      </c>
      <c r="SL231" s="79" t="e">
        <f>#REF!*#REF!/1000</f>
        <v>#REF!</v>
      </c>
      <c r="SM231" s="79" t="e">
        <f>#REF!*#REF!/1000</f>
        <v>#REF!</v>
      </c>
      <c r="SN231" s="79" t="e">
        <f>#REF!*#REF!/1000</f>
        <v>#REF!</v>
      </c>
      <c r="SO231" s="79" t="e">
        <f>#REF!*#REF!/1000</f>
        <v>#REF!</v>
      </c>
      <c r="SP231" s="79" t="e">
        <f>#REF!*#REF!/1000</f>
        <v>#REF!</v>
      </c>
      <c r="SQ231" s="79" t="e">
        <f>#REF!*#REF!/1000</f>
        <v>#REF!</v>
      </c>
      <c r="SR231" s="79" t="e">
        <f>#REF!*#REF!/1000</f>
        <v>#REF!</v>
      </c>
      <c r="SS231" s="79" t="e">
        <f>#REF!*#REF!/1000</f>
        <v>#REF!</v>
      </c>
      <c r="ST231" s="79" t="e">
        <f>#REF!*#REF!/1000</f>
        <v>#REF!</v>
      </c>
      <c r="SU231" s="79" t="e">
        <f>#REF!*#REF!/1000</f>
        <v>#REF!</v>
      </c>
      <c r="SV231" s="79" t="e">
        <f>#REF!*#REF!/1000</f>
        <v>#REF!</v>
      </c>
      <c r="SW231" s="79" t="e">
        <f>#REF!*#REF!/1000</f>
        <v>#REF!</v>
      </c>
      <c r="SX231" s="79" t="e">
        <f>#REF!*#REF!/1000</f>
        <v>#REF!</v>
      </c>
      <c r="SY231" s="79" t="e">
        <f>#REF!*#REF!/1000</f>
        <v>#REF!</v>
      </c>
      <c r="SZ231" s="79" t="e">
        <f>#REF!*#REF!/1000</f>
        <v>#REF!</v>
      </c>
      <c r="TA231" s="79" t="e">
        <f>#REF!*#REF!/1000</f>
        <v>#REF!</v>
      </c>
      <c r="TB231" s="79" t="e">
        <f>#REF!*#REF!/1000</f>
        <v>#REF!</v>
      </c>
      <c r="TC231" s="79" t="e">
        <f>#REF!*#REF!/1000</f>
        <v>#REF!</v>
      </c>
      <c r="TD231" s="79" t="e">
        <f>#REF!*#REF!/1000</f>
        <v>#REF!</v>
      </c>
      <c r="TE231" s="79" t="e">
        <f>#REF!*#REF!/1000</f>
        <v>#REF!</v>
      </c>
      <c r="TF231" s="79" t="e">
        <f>#REF!*#REF!/1000</f>
        <v>#REF!</v>
      </c>
      <c r="TG231" s="79" t="e">
        <f>#REF!*#REF!/1000</f>
        <v>#REF!</v>
      </c>
      <c r="TH231" s="79" t="e">
        <f>#REF!*#REF!/1000</f>
        <v>#REF!</v>
      </c>
      <c r="TI231" s="79" t="e">
        <f>#REF!*#REF!/1000</f>
        <v>#REF!</v>
      </c>
      <c r="TJ231" s="79" t="e">
        <f>#REF!*#REF!/1000</f>
        <v>#REF!</v>
      </c>
      <c r="TK231" s="79" t="e">
        <f>#REF!*#REF!/1000</f>
        <v>#REF!</v>
      </c>
      <c r="TL231" s="79" t="e">
        <f>#REF!*#REF!/1000</f>
        <v>#REF!</v>
      </c>
      <c r="TM231" s="79" t="e">
        <f>#REF!*#REF!/1000</f>
        <v>#REF!</v>
      </c>
      <c r="TN231" s="79" t="e">
        <f>#REF!*#REF!/1000</f>
        <v>#REF!</v>
      </c>
      <c r="TO231" s="79" t="e">
        <f>#REF!*#REF!/1000</f>
        <v>#REF!</v>
      </c>
      <c r="TP231" s="79" t="e">
        <f>#REF!*#REF!/1000</f>
        <v>#REF!</v>
      </c>
      <c r="TQ231" s="79" t="e">
        <f>#REF!*#REF!/1000</f>
        <v>#REF!</v>
      </c>
      <c r="TR231" s="79" t="e">
        <f>#REF!*#REF!/1000</f>
        <v>#REF!</v>
      </c>
      <c r="TS231" s="79" t="e">
        <f>#REF!*#REF!/1000</f>
        <v>#REF!</v>
      </c>
      <c r="TT231" s="79" t="e">
        <f>#REF!*#REF!/1000</f>
        <v>#REF!</v>
      </c>
      <c r="TU231" s="79" t="e">
        <f>#REF!*#REF!/1000</f>
        <v>#REF!</v>
      </c>
      <c r="TV231" s="79" t="e">
        <f>#REF!*#REF!/1000</f>
        <v>#REF!</v>
      </c>
      <c r="TW231" s="79" t="e">
        <f>#REF!*#REF!/1000</f>
        <v>#REF!</v>
      </c>
      <c r="TX231" s="79" t="e">
        <f>#REF!*#REF!/1000</f>
        <v>#REF!</v>
      </c>
      <c r="TY231" s="79" t="e">
        <f>#REF!*#REF!/1000</f>
        <v>#REF!</v>
      </c>
      <c r="TZ231" s="79" t="e">
        <f>#REF!*#REF!/1000</f>
        <v>#REF!</v>
      </c>
      <c r="UA231" s="79" t="e">
        <f>#REF!*#REF!/1000</f>
        <v>#REF!</v>
      </c>
      <c r="UB231" s="79" t="e">
        <f>#REF!*#REF!/1000</f>
        <v>#REF!</v>
      </c>
      <c r="UC231" s="79" t="e">
        <f>#REF!*#REF!/1000</f>
        <v>#REF!</v>
      </c>
      <c r="UD231" s="79" t="e">
        <f>#REF!*#REF!/1000</f>
        <v>#REF!</v>
      </c>
      <c r="UE231" s="79" t="e">
        <f>#REF!*#REF!/1000</f>
        <v>#REF!</v>
      </c>
      <c r="UF231" s="79" t="e">
        <f>#REF!*#REF!/1000</f>
        <v>#REF!</v>
      </c>
      <c r="UG231" s="79" t="e">
        <f>#REF!*#REF!/1000</f>
        <v>#REF!</v>
      </c>
      <c r="UH231" s="79" t="e">
        <f>#REF!*#REF!/1000</f>
        <v>#REF!</v>
      </c>
      <c r="UI231" s="79" t="e">
        <f>#REF!*#REF!/1000</f>
        <v>#REF!</v>
      </c>
      <c r="UJ231" s="79" t="e">
        <f>#REF!*#REF!/1000</f>
        <v>#REF!</v>
      </c>
      <c r="UK231" s="79" t="e">
        <f>#REF!*#REF!/1000</f>
        <v>#REF!</v>
      </c>
      <c r="UL231" s="79" t="e">
        <f>#REF!*#REF!/1000</f>
        <v>#REF!</v>
      </c>
      <c r="UM231" s="79" t="e">
        <f>#REF!*#REF!/1000</f>
        <v>#REF!</v>
      </c>
      <c r="UN231" s="79" t="e">
        <f>#REF!*#REF!/1000</f>
        <v>#REF!</v>
      </c>
      <c r="UO231" s="79" t="e">
        <f>#REF!*#REF!/1000</f>
        <v>#REF!</v>
      </c>
      <c r="UP231" s="79" t="e">
        <f>#REF!*#REF!/1000</f>
        <v>#REF!</v>
      </c>
      <c r="UQ231" s="79" t="e">
        <f>#REF!*#REF!/1000</f>
        <v>#REF!</v>
      </c>
      <c r="UR231" s="79" t="e">
        <f>#REF!*#REF!/1000</f>
        <v>#REF!</v>
      </c>
      <c r="US231" s="79" t="e">
        <f>#REF!*#REF!/1000</f>
        <v>#REF!</v>
      </c>
      <c r="UT231" s="79" t="e">
        <f>#REF!*#REF!/1000</f>
        <v>#REF!</v>
      </c>
      <c r="UU231" s="79" t="e">
        <f>#REF!*#REF!/1000</f>
        <v>#REF!</v>
      </c>
      <c r="UV231" s="79" t="e">
        <f>#REF!*#REF!/1000</f>
        <v>#REF!</v>
      </c>
      <c r="UW231" s="79" t="e">
        <f>#REF!*#REF!/1000</f>
        <v>#REF!</v>
      </c>
      <c r="UX231" s="79" t="e">
        <f>#REF!*#REF!/1000</f>
        <v>#REF!</v>
      </c>
      <c r="UY231" s="79" t="e">
        <f>#REF!*#REF!/1000</f>
        <v>#REF!</v>
      </c>
      <c r="UZ231" s="79" t="e">
        <f>#REF!*#REF!/1000</f>
        <v>#REF!</v>
      </c>
      <c r="VA231" s="79" t="e">
        <f>#REF!*#REF!/1000</f>
        <v>#REF!</v>
      </c>
      <c r="VB231" s="79" t="e">
        <f>#REF!*#REF!/1000</f>
        <v>#REF!</v>
      </c>
      <c r="VC231" s="79" t="e">
        <f>#REF!*#REF!/1000</f>
        <v>#REF!</v>
      </c>
      <c r="VD231" s="79" t="e">
        <f>#REF!*#REF!/1000</f>
        <v>#REF!</v>
      </c>
      <c r="VE231" s="79" t="e">
        <f>#REF!*#REF!/1000</f>
        <v>#REF!</v>
      </c>
      <c r="VF231" s="79" t="e">
        <f>#REF!*#REF!/1000</f>
        <v>#REF!</v>
      </c>
      <c r="VG231" s="79" t="e">
        <f>#REF!*#REF!/1000</f>
        <v>#REF!</v>
      </c>
      <c r="VH231" s="79" t="e">
        <f>#REF!*#REF!/1000</f>
        <v>#REF!</v>
      </c>
      <c r="VI231" s="79" t="e">
        <f>#REF!*#REF!/1000</f>
        <v>#REF!</v>
      </c>
      <c r="VJ231" s="79" t="e">
        <f>#REF!*#REF!/1000</f>
        <v>#REF!</v>
      </c>
      <c r="VK231" s="79" t="e">
        <f>#REF!*#REF!/1000</f>
        <v>#REF!</v>
      </c>
      <c r="VL231" s="79" t="e">
        <f>#REF!*#REF!/1000</f>
        <v>#REF!</v>
      </c>
      <c r="VM231" s="79" t="e">
        <f>#REF!*#REF!/1000</f>
        <v>#REF!</v>
      </c>
      <c r="VN231" s="79" t="e">
        <f>#REF!*#REF!/1000</f>
        <v>#REF!</v>
      </c>
      <c r="VO231" s="79" t="e">
        <f>#REF!*#REF!/1000</f>
        <v>#REF!</v>
      </c>
      <c r="VP231" s="79" t="e">
        <f>#REF!*#REF!/1000</f>
        <v>#REF!</v>
      </c>
      <c r="VQ231" s="79" t="e">
        <f>#REF!*#REF!/1000</f>
        <v>#REF!</v>
      </c>
      <c r="VR231" s="79" t="e">
        <f>#REF!*#REF!/1000</f>
        <v>#REF!</v>
      </c>
      <c r="VS231" s="79" t="e">
        <f>#REF!*#REF!/1000</f>
        <v>#REF!</v>
      </c>
      <c r="VT231" s="79" t="e">
        <f>#REF!*#REF!/1000</f>
        <v>#REF!</v>
      </c>
      <c r="VU231" s="79" t="e">
        <f>#REF!*#REF!/1000</f>
        <v>#REF!</v>
      </c>
      <c r="VV231" s="79" t="e">
        <f>#REF!*#REF!/1000</f>
        <v>#REF!</v>
      </c>
      <c r="VW231" s="79" t="e">
        <f>#REF!*#REF!/1000</f>
        <v>#REF!</v>
      </c>
      <c r="VX231" s="79" t="e">
        <f>#REF!*#REF!/1000</f>
        <v>#REF!</v>
      </c>
      <c r="VY231" s="79" t="e">
        <f>#REF!*#REF!/1000</f>
        <v>#REF!</v>
      </c>
      <c r="VZ231" s="79" t="e">
        <f>#REF!*#REF!/1000</f>
        <v>#REF!</v>
      </c>
      <c r="WA231" s="79" t="e">
        <f>#REF!*#REF!/1000</f>
        <v>#REF!</v>
      </c>
      <c r="WB231" s="79" t="e">
        <f>#REF!*#REF!/1000</f>
        <v>#REF!</v>
      </c>
      <c r="WC231" s="79" t="e">
        <f>#REF!*#REF!/1000</f>
        <v>#REF!</v>
      </c>
      <c r="WD231" s="79" t="e">
        <f>#REF!*#REF!/1000</f>
        <v>#REF!</v>
      </c>
      <c r="WE231" s="79" t="e">
        <f>#REF!*#REF!/1000</f>
        <v>#REF!</v>
      </c>
      <c r="WF231" s="79" t="e">
        <f>#REF!*#REF!/1000</f>
        <v>#REF!</v>
      </c>
      <c r="WG231" s="79" t="e">
        <f>#REF!*#REF!/1000</f>
        <v>#REF!</v>
      </c>
      <c r="WH231" s="79" t="e">
        <f>#REF!*#REF!/1000</f>
        <v>#REF!</v>
      </c>
      <c r="WI231" s="79" t="e">
        <f>#REF!*#REF!/1000</f>
        <v>#REF!</v>
      </c>
      <c r="WJ231" s="79" t="e">
        <f>#REF!*#REF!/1000</f>
        <v>#REF!</v>
      </c>
      <c r="WK231" s="79" t="e">
        <f>#REF!*#REF!/1000</f>
        <v>#REF!</v>
      </c>
      <c r="WL231" s="79" t="e">
        <f>#REF!*#REF!/1000</f>
        <v>#REF!</v>
      </c>
      <c r="WM231" s="79" t="e">
        <f>#REF!*#REF!/1000</f>
        <v>#REF!</v>
      </c>
      <c r="WN231" s="79" t="e">
        <f>#REF!*#REF!/1000</f>
        <v>#REF!</v>
      </c>
      <c r="WO231" s="79" t="e">
        <f>#REF!*#REF!/1000</f>
        <v>#REF!</v>
      </c>
      <c r="WP231" s="79" t="e">
        <f>#REF!*#REF!/1000</f>
        <v>#REF!</v>
      </c>
      <c r="WQ231" s="79" t="e">
        <f>#REF!*#REF!/1000</f>
        <v>#REF!</v>
      </c>
      <c r="WR231" s="79" t="e">
        <f>#REF!*#REF!/1000</f>
        <v>#REF!</v>
      </c>
      <c r="WS231" s="79" t="e">
        <f>#REF!*#REF!/1000</f>
        <v>#REF!</v>
      </c>
      <c r="WT231" s="79" t="e">
        <f>#REF!*#REF!/1000</f>
        <v>#REF!</v>
      </c>
      <c r="WU231" s="79" t="e">
        <f>#REF!*#REF!/1000</f>
        <v>#REF!</v>
      </c>
      <c r="WV231" s="79" t="e">
        <f>#REF!*#REF!/1000</f>
        <v>#REF!</v>
      </c>
      <c r="WW231" s="79" t="e">
        <f>#REF!*#REF!/1000</f>
        <v>#REF!</v>
      </c>
      <c r="WX231" s="79" t="e">
        <f>#REF!*#REF!/1000</f>
        <v>#REF!</v>
      </c>
      <c r="WY231" s="79" t="e">
        <f>#REF!*#REF!/1000</f>
        <v>#REF!</v>
      </c>
      <c r="WZ231" s="79" t="e">
        <f>#REF!*#REF!/1000</f>
        <v>#REF!</v>
      </c>
      <c r="XA231" s="79" t="e">
        <f>#REF!*#REF!/1000</f>
        <v>#REF!</v>
      </c>
      <c r="XB231" s="79" t="e">
        <f>#REF!*#REF!/1000</f>
        <v>#REF!</v>
      </c>
      <c r="XC231" s="79" t="e">
        <f>#REF!*#REF!/1000</f>
        <v>#REF!</v>
      </c>
      <c r="XD231" s="79" t="e">
        <f>#REF!*#REF!/1000</f>
        <v>#REF!</v>
      </c>
      <c r="XE231" s="79" t="e">
        <f>#REF!*#REF!/1000</f>
        <v>#REF!</v>
      </c>
      <c r="XF231" s="79" t="e">
        <f>#REF!*#REF!/1000</f>
        <v>#REF!</v>
      </c>
      <c r="XG231" s="79" t="e">
        <f>#REF!*#REF!/1000</f>
        <v>#REF!</v>
      </c>
      <c r="XH231" s="79" t="e">
        <f>#REF!*#REF!/1000</f>
        <v>#REF!</v>
      </c>
      <c r="XI231" s="79" t="e">
        <f>#REF!*#REF!/1000</f>
        <v>#REF!</v>
      </c>
      <c r="XJ231" s="79" t="e">
        <f>#REF!*#REF!/1000</f>
        <v>#REF!</v>
      </c>
      <c r="XK231" s="79" t="e">
        <f>#REF!*#REF!/1000</f>
        <v>#REF!</v>
      </c>
      <c r="XL231" s="79" t="e">
        <f>#REF!*#REF!/1000</f>
        <v>#REF!</v>
      </c>
      <c r="XM231" s="79" t="e">
        <f>#REF!*#REF!/1000</f>
        <v>#REF!</v>
      </c>
      <c r="XN231" s="79" t="e">
        <f>#REF!*#REF!/1000</f>
        <v>#REF!</v>
      </c>
      <c r="XO231" s="79" t="e">
        <f>#REF!*#REF!/1000</f>
        <v>#REF!</v>
      </c>
      <c r="XP231" s="79" t="e">
        <f>#REF!*#REF!/1000</f>
        <v>#REF!</v>
      </c>
      <c r="XQ231" s="79" t="e">
        <f>#REF!*#REF!/1000</f>
        <v>#REF!</v>
      </c>
      <c r="XR231" s="79" t="e">
        <f>#REF!*#REF!/1000</f>
        <v>#REF!</v>
      </c>
      <c r="XS231" s="79" t="e">
        <f>#REF!*#REF!/1000</f>
        <v>#REF!</v>
      </c>
      <c r="XT231" s="79" t="e">
        <f>#REF!*#REF!/1000</f>
        <v>#REF!</v>
      </c>
      <c r="XU231" s="79" t="e">
        <f>#REF!*#REF!/1000</f>
        <v>#REF!</v>
      </c>
      <c r="XV231" s="79" t="e">
        <f>#REF!*#REF!/1000</f>
        <v>#REF!</v>
      </c>
      <c r="XW231" s="79" t="e">
        <f>#REF!*#REF!/1000</f>
        <v>#REF!</v>
      </c>
      <c r="XX231" s="79" t="e">
        <f>#REF!*#REF!/1000</f>
        <v>#REF!</v>
      </c>
      <c r="XY231" s="79" t="e">
        <f>#REF!*#REF!/1000</f>
        <v>#REF!</v>
      </c>
      <c r="XZ231" s="79" t="e">
        <f>#REF!*#REF!/1000</f>
        <v>#REF!</v>
      </c>
      <c r="YA231" s="79" t="e">
        <f>#REF!*#REF!/1000</f>
        <v>#REF!</v>
      </c>
      <c r="YB231" s="79" t="e">
        <f>#REF!*#REF!/1000</f>
        <v>#REF!</v>
      </c>
      <c r="YC231" s="79" t="e">
        <f>#REF!*#REF!/1000</f>
        <v>#REF!</v>
      </c>
      <c r="YD231" s="79" t="e">
        <f>#REF!*#REF!/1000</f>
        <v>#REF!</v>
      </c>
      <c r="YE231" s="79" t="e">
        <f>#REF!*#REF!/1000</f>
        <v>#REF!</v>
      </c>
      <c r="YF231" s="79" t="e">
        <f>#REF!*#REF!/1000</f>
        <v>#REF!</v>
      </c>
      <c r="YG231" s="79" t="e">
        <f>#REF!*#REF!/1000</f>
        <v>#REF!</v>
      </c>
      <c r="YH231" s="79" t="e">
        <f>#REF!*#REF!/1000</f>
        <v>#REF!</v>
      </c>
      <c r="YI231" s="79" t="e">
        <f>#REF!*#REF!/1000</f>
        <v>#REF!</v>
      </c>
      <c r="YJ231" s="79" t="e">
        <f>#REF!*#REF!/1000</f>
        <v>#REF!</v>
      </c>
      <c r="YK231" s="79" t="e">
        <f>#REF!*#REF!/1000</f>
        <v>#REF!</v>
      </c>
      <c r="YL231" s="79" t="e">
        <f>#REF!*#REF!/1000</f>
        <v>#REF!</v>
      </c>
      <c r="YM231" s="79" t="e">
        <f>#REF!*#REF!/1000</f>
        <v>#REF!</v>
      </c>
      <c r="YN231" s="79" t="e">
        <f>#REF!*#REF!/1000</f>
        <v>#REF!</v>
      </c>
      <c r="YO231" s="79" t="e">
        <f>#REF!*#REF!/1000</f>
        <v>#REF!</v>
      </c>
      <c r="YP231" s="79" t="e">
        <f>#REF!*#REF!/1000</f>
        <v>#REF!</v>
      </c>
      <c r="YQ231" s="79" t="e">
        <f>#REF!*#REF!/1000</f>
        <v>#REF!</v>
      </c>
      <c r="YR231" s="79" t="e">
        <f>#REF!*#REF!/1000</f>
        <v>#REF!</v>
      </c>
      <c r="YS231" s="79" t="e">
        <f>#REF!*#REF!/1000</f>
        <v>#REF!</v>
      </c>
      <c r="YT231" s="79" t="e">
        <f>#REF!*#REF!/1000</f>
        <v>#REF!</v>
      </c>
      <c r="YU231" s="79" t="e">
        <f>#REF!*#REF!/1000</f>
        <v>#REF!</v>
      </c>
      <c r="YV231" s="79" t="e">
        <f>#REF!*#REF!/1000</f>
        <v>#REF!</v>
      </c>
      <c r="YW231" s="79" t="e">
        <f>#REF!*#REF!/1000</f>
        <v>#REF!</v>
      </c>
      <c r="YX231" s="79" t="e">
        <f>#REF!*#REF!/1000</f>
        <v>#REF!</v>
      </c>
      <c r="YY231" s="79" t="e">
        <f>#REF!*#REF!/1000</f>
        <v>#REF!</v>
      </c>
      <c r="YZ231" s="79" t="e">
        <f>#REF!*#REF!/1000</f>
        <v>#REF!</v>
      </c>
      <c r="ZA231" s="79" t="e">
        <f>#REF!*#REF!/1000</f>
        <v>#REF!</v>
      </c>
      <c r="ZB231" s="79" t="e">
        <f>#REF!*#REF!/1000</f>
        <v>#REF!</v>
      </c>
      <c r="ZC231" s="79" t="e">
        <f>#REF!*#REF!/1000</f>
        <v>#REF!</v>
      </c>
      <c r="ZD231" s="79" t="e">
        <f>#REF!*#REF!/1000</f>
        <v>#REF!</v>
      </c>
      <c r="ZE231" s="79" t="e">
        <f>#REF!*#REF!/1000</f>
        <v>#REF!</v>
      </c>
      <c r="ZF231" s="79" t="e">
        <f>#REF!*#REF!/1000</f>
        <v>#REF!</v>
      </c>
      <c r="ZG231" s="79" t="e">
        <f>#REF!*#REF!/1000</f>
        <v>#REF!</v>
      </c>
      <c r="ZH231" s="79" t="e">
        <f>#REF!*#REF!/1000</f>
        <v>#REF!</v>
      </c>
      <c r="ZI231" s="79" t="e">
        <f>#REF!*#REF!/1000</f>
        <v>#REF!</v>
      </c>
      <c r="ZJ231" s="79" t="e">
        <f>#REF!*#REF!/1000</f>
        <v>#REF!</v>
      </c>
      <c r="ZK231" s="79" t="e">
        <f>#REF!*#REF!/1000</f>
        <v>#REF!</v>
      </c>
      <c r="ZL231" s="79" t="e">
        <f>#REF!*#REF!/1000</f>
        <v>#REF!</v>
      </c>
      <c r="ZM231" s="79" t="e">
        <f>#REF!*#REF!/1000</f>
        <v>#REF!</v>
      </c>
      <c r="ZN231" s="79" t="e">
        <f>#REF!*#REF!/1000</f>
        <v>#REF!</v>
      </c>
      <c r="ZO231" s="79" t="e">
        <f>#REF!*#REF!/1000</f>
        <v>#REF!</v>
      </c>
      <c r="ZP231" s="79" t="e">
        <f>#REF!*#REF!/1000</f>
        <v>#REF!</v>
      </c>
      <c r="ZQ231" s="79" t="e">
        <f>#REF!*#REF!/1000</f>
        <v>#REF!</v>
      </c>
      <c r="ZR231" s="79" t="e">
        <f>#REF!*#REF!/1000</f>
        <v>#REF!</v>
      </c>
      <c r="ZS231" s="79" t="e">
        <f>#REF!*#REF!/1000</f>
        <v>#REF!</v>
      </c>
      <c r="ZT231" s="79" t="e">
        <f>#REF!*#REF!/1000</f>
        <v>#REF!</v>
      </c>
      <c r="ZU231" s="79" t="e">
        <f>#REF!*#REF!/1000</f>
        <v>#REF!</v>
      </c>
      <c r="ZV231" s="79" t="e">
        <f>#REF!*#REF!/1000</f>
        <v>#REF!</v>
      </c>
      <c r="ZW231" s="79" t="e">
        <f>#REF!*#REF!/1000</f>
        <v>#REF!</v>
      </c>
      <c r="ZX231" s="79" t="e">
        <f>#REF!*#REF!/1000</f>
        <v>#REF!</v>
      </c>
      <c r="ZY231" s="79" t="e">
        <f>#REF!*#REF!/1000</f>
        <v>#REF!</v>
      </c>
      <c r="ZZ231" s="79" t="e">
        <f>#REF!*#REF!/1000</f>
        <v>#REF!</v>
      </c>
      <c r="AAA231" s="79" t="e">
        <f>#REF!*#REF!/1000</f>
        <v>#REF!</v>
      </c>
      <c r="AAB231" s="79" t="e">
        <f>#REF!*#REF!/1000</f>
        <v>#REF!</v>
      </c>
      <c r="AAC231" s="79" t="e">
        <f>#REF!*#REF!/1000</f>
        <v>#REF!</v>
      </c>
      <c r="AAD231" s="79" t="e">
        <f>#REF!*#REF!/1000</f>
        <v>#REF!</v>
      </c>
      <c r="AAE231" s="79" t="e">
        <f>#REF!*#REF!/1000</f>
        <v>#REF!</v>
      </c>
      <c r="AAF231" s="79" t="e">
        <f>#REF!*#REF!/1000</f>
        <v>#REF!</v>
      </c>
      <c r="AAG231" s="79" t="e">
        <f>#REF!*#REF!/1000</f>
        <v>#REF!</v>
      </c>
      <c r="AAH231" s="79" t="e">
        <f>#REF!*#REF!/1000</f>
        <v>#REF!</v>
      </c>
      <c r="AAI231" s="79" t="e">
        <f>#REF!*#REF!/1000</f>
        <v>#REF!</v>
      </c>
      <c r="AAJ231" s="79" t="e">
        <f>#REF!*#REF!/1000</f>
        <v>#REF!</v>
      </c>
      <c r="AAK231" s="79" t="e">
        <f>#REF!*#REF!/1000</f>
        <v>#REF!</v>
      </c>
      <c r="AAL231" s="79" t="e">
        <f>#REF!*#REF!/1000</f>
        <v>#REF!</v>
      </c>
      <c r="AAM231" s="79" t="e">
        <f>#REF!*#REF!/1000</f>
        <v>#REF!</v>
      </c>
      <c r="AAN231" s="79" t="e">
        <f>#REF!*#REF!/1000</f>
        <v>#REF!</v>
      </c>
      <c r="AAO231" s="79" t="e">
        <f>#REF!*#REF!/1000</f>
        <v>#REF!</v>
      </c>
      <c r="AAP231" s="79" t="e">
        <f>#REF!*#REF!/1000</f>
        <v>#REF!</v>
      </c>
      <c r="AAQ231" s="79" t="e">
        <f>#REF!*#REF!/1000</f>
        <v>#REF!</v>
      </c>
      <c r="AAR231" s="79" t="e">
        <f>#REF!*#REF!/1000</f>
        <v>#REF!</v>
      </c>
      <c r="AAS231" s="79" t="e">
        <f>#REF!*#REF!/1000</f>
        <v>#REF!</v>
      </c>
      <c r="AAT231" s="79" t="e">
        <f>#REF!*#REF!/1000</f>
        <v>#REF!</v>
      </c>
      <c r="AAU231" s="79" t="e">
        <f>#REF!*#REF!/1000</f>
        <v>#REF!</v>
      </c>
      <c r="AAV231" s="79" t="e">
        <f>#REF!*#REF!/1000</f>
        <v>#REF!</v>
      </c>
      <c r="AAW231" s="79" t="e">
        <f>#REF!*#REF!/1000</f>
        <v>#REF!</v>
      </c>
      <c r="AAX231" s="79" t="e">
        <f>#REF!*#REF!/1000</f>
        <v>#REF!</v>
      </c>
      <c r="AAY231" s="79" t="e">
        <f>#REF!*#REF!/1000</f>
        <v>#REF!</v>
      </c>
      <c r="AAZ231" s="79" t="e">
        <f>#REF!*#REF!/1000</f>
        <v>#REF!</v>
      </c>
      <c r="ABA231" s="79" t="e">
        <f>#REF!*#REF!/1000</f>
        <v>#REF!</v>
      </c>
      <c r="ABB231" s="79" t="e">
        <f>#REF!*#REF!/1000</f>
        <v>#REF!</v>
      </c>
      <c r="ABC231" s="79" t="e">
        <f>#REF!*#REF!/1000</f>
        <v>#REF!</v>
      </c>
      <c r="ABD231" s="79" t="e">
        <f>#REF!*#REF!/1000</f>
        <v>#REF!</v>
      </c>
      <c r="ABE231" s="79" t="e">
        <f>#REF!*#REF!/1000</f>
        <v>#REF!</v>
      </c>
      <c r="ABF231" s="79" t="e">
        <f>#REF!*#REF!/1000</f>
        <v>#REF!</v>
      </c>
      <c r="ABG231" s="79" t="e">
        <f>#REF!*#REF!/1000</f>
        <v>#REF!</v>
      </c>
      <c r="ABH231" s="79" t="e">
        <f>#REF!*#REF!/1000</f>
        <v>#REF!</v>
      </c>
      <c r="ABI231" s="79" t="e">
        <f>#REF!*#REF!/1000</f>
        <v>#REF!</v>
      </c>
      <c r="ABJ231" s="79" t="e">
        <f>#REF!*#REF!/1000</f>
        <v>#REF!</v>
      </c>
      <c r="ABK231" s="79" t="e">
        <f>#REF!*#REF!/1000</f>
        <v>#REF!</v>
      </c>
      <c r="ABL231" s="79" t="e">
        <f>#REF!*#REF!/1000</f>
        <v>#REF!</v>
      </c>
      <c r="ABM231" s="79" t="e">
        <f>#REF!*#REF!/1000</f>
        <v>#REF!</v>
      </c>
      <c r="ABN231" s="79" t="e">
        <f>#REF!*#REF!/1000</f>
        <v>#REF!</v>
      </c>
      <c r="ABO231" s="79" t="e">
        <f>#REF!*#REF!/1000</f>
        <v>#REF!</v>
      </c>
      <c r="ABP231" s="79" t="e">
        <f>#REF!*#REF!/1000</f>
        <v>#REF!</v>
      </c>
      <c r="ABQ231" s="79" t="e">
        <f>#REF!*#REF!/1000</f>
        <v>#REF!</v>
      </c>
      <c r="ABR231" s="79" t="e">
        <f>#REF!*#REF!/1000</f>
        <v>#REF!</v>
      </c>
      <c r="ABS231" s="79" t="e">
        <f>#REF!*#REF!/1000</f>
        <v>#REF!</v>
      </c>
      <c r="ABT231" s="79" t="e">
        <f>#REF!*#REF!/1000</f>
        <v>#REF!</v>
      </c>
      <c r="ABU231" s="79" t="e">
        <f>#REF!*#REF!/1000</f>
        <v>#REF!</v>
      </c>
      <c r="ABV231" s="79" t="e">
        <f>#REF!*#REF!/1000</f>
        <v>#REF!</v>
      </c>
      <c r="ABW231" s="79" t="e">
        <f>#REF!*#REF!/1000</f>
        <v>#REF!</v>
      </c>
      <c r="ABX231" s="79" t="e">
        <f>#REF!*#REF!/1000</f>
        <v>#REF!</v>
      </c>
      <c r="ABY231" s="79" t="e">
        <f>#REF!*#REF!/1000</f>
        <v>#REF!</v>
      </c>
      <c r="ABZ231" s="79" t="e">
        <f>#REF!*#REF!/1000</f>
        <v>#REF!</v>
      </c>
      <c r="ACA231" s="79" t="e">
        <f>#REF!*#REF!/1000</f>
        <v>#REF!</v>
      </c>
      <c r="ACB231" s="79" t="e">
        <f>#REF!*#REF!/1000</f>
        <v>#REF!</v>
      </c>
      <c r="ACC231" s="79" t="e">
        <f>#REF!*#REF!/1000</f>
        <v>#REF!</v>
      </c>
      <c r="ACD231" s="79" t="e">
        <f>#REF!*#REF!/1000</f>
        <v>#REF!</v>
      </c>
      <c r="ACE231" s="79" t="e">
        <f>#REF!*#REF!/1000</f>
        <v>#REF!</v>
      </c>
      <c r="ACF231" s="79" t="e">
        <f>#REF!*#REF!/1000</f>
        <v>#REF!</v>
      </c>
      <c r="ACG231" s="79" t="e">
        <f>#REF!*#REF!/1000</f>
        <v>#REF!</v>
      </c>
      <c r="ACH231" s="79" t="e">
        <f>#REF!*#REF!/1000</f>
        <v>#REF!</v>
      </c>
      <c r="ACI231" s="79" t="e">
        <f>#REF!*#REF!/1000</f>
        <v>#REF!</v>
      </c>
      <c r="ACJ231" s="79" t="e">
        <f>#REF!*#REF!/1000</f>
        <v>#REF!</v>
      </c>
      <c r="ACK231" s="79" t="e">
        <f>#REF!*#REF!/1000</f>
        <v>#REF!</v>
      </c>
      <c r="ACL231" s="79" t="e">
        <f>#REF!*#REF!/1000</f>
        <v>#REF!</v>
      </c>
      <c r="ACM231" s="79" t="e">
        <f>#REF!*#REF!/1000</f>
        <v>#REF!</v>
      </c>
      <c r="ACN231" s="79" t="e">
        <f>#REF!*#REF!/1000</f>
        <v>#REF!</v>
      </c>
      <c r="ACO231" s="79" t="e">
        <f>#REF!*#REF!/1000</f>
        <v>#REF!</v>
      </c>
      <c r="ACP231" s="79" t="e">
        <f>#REF!*#REF!/1000</f>
        <v>#REF!</v>
      </c>
      <c r="ACQ231" s="79" t="e">
        <f>#REF!*#REF!/1000</f>
        <v>#REF!</v>
      </c>
      <c r="ACR231" s="79" t="e">
        <f>#REF!*#REF!/1000</f>
        <v>#REF!</v>
      </c>
      <c r="ACS231" s="79" t="e">
        <f>#REF!*#REF!/1000</f>
        <v>#REF!</v>
      </c>
      <c r="ACT231" s="79" t="e">
        <f>#REF!*#REF!/1000</f>
        <v>#REF!</v>
      </c>
      <c r="ACU231" s="79" t="e">
        <f>#REF!*#REF!/1000</f>
        <v>#REF!</v>
      </c>
      <c r="ACV231" s="79" t="e">
        <f>#REF!*#REF!/1000</f>
        <v>#REF!</v>
      </c>
      <c r="ACW231" s="79" t="e">
        <f>#REF!*#REF!/1000</f>
        <v>#REF!</v>
      </c>
      <c r="ACX231" s="79" t="e">
        <f>#REF!*#REF!/1000</f>
        <v>#REF!</v>
      </c>
      <c r="ACY231" s="79"/>
      <c r="ACZ231" s="79"/>
      <c r="ADA231" s="79"/>
      <c r="ADB231" s="79"/>
      <c r="ADC231" s="79"/>
      <c r="ADD231" s="79"/>
      <c r="ADE231" s="79"/>
      <c r="ADF231" s="79"/>
      <c r="ADG231" s="79"/>
      <c r="ADH231" s="79"/>
      <c r="ADI231" s="79"/>
      <c r="ADJ231" s="79"/>
      <c r="ADK231" s="79"/>
      <c r="ADL231" s="79"/>
      <c r="ADM231" s="79"/>
      <c r="ADN231" s="79"/>
      <c r="AQP231" s="165"/>
    </row>
    <row r="232" spans="4:794 1134:1134" ht="14.25" x14ac:dyDescent="0.45">
      <c r="D232" t="s">
        <v>414</v>
      </c>
      <c r="E232" s="79" t="e">
        <f>#REF!*#REF!/1000</f>
        <v>#REF!</v>
      </c>
      <c r="F232" s="79" t="e">
        <f>#REF!*#REF!/1000</f>
        <v>#REF!</v>
      </c>
      <c r="G232" s="79" t="e">
        <f>#REF!*#REF!/1000</f>
        <v>#REF!</v>
      </c>
      <c r="H232" s="79" t="e">
        <f>#REF!*#REF!/1000</f>
        <v>#REF!</v>
      </c>
      <c r="I232" s="79" t="e">
        <f>#REF!*#REF!/1000</f>
        <v>#REF!</v>
      </c>
      <c r="J232" s="79" t="e">
        <f>#REF!*#REF!/1000</f>
        <v>#REF!</v>
      </c>
      <c r="K232" s="79" t="e">
        <f>#REF!*#REF!/1000</f>
        <v>#REF!</v>
      </c>
      <c r="L232" s="79" t="e">
        <f>#REF!*#REF!/1000</f>
        <v>#REF!</v>
      </c>
      <c r="M232" s="79" t="e">
        <f>#REF!*#REF!/1000</f>
        <v>#REF!</v>
      </c>
      <c r="N232" s="79" t="e">
        <f>#REF!*#REF!/1000</f>
        <v>#REF!</v>
      </c>
      <c r="O232" s="79" t="e">
        <f>#REF!*#REF!/1000</f>
        <v>#REF!</v>
      </c>
      <c r="P232" s="79" t="e">
        <f>#REF!*#REF!/1000</f>
        <v>#REF!</v>
      </c>
      <c r="Q232" s="79" t="e">
        <f>#REF!*#REF!/1000</f>
        <v>#REF!</v>
      </c>
      <c r="R232" s="79" t="e">
        <f>#REF!*#REF!/1000</f>
        <v>#REF!</v>
      </c>
      <c r="S232" s="79" t="e">
        <f>#REF!*#REF!/1000</f>
        <v>#REF!</v>
      </c>
      <c r="T232" s="79" t="e">
        <f>#REF!*#REF!/1000</f>
        <v>#REF!</v>
      </c>
      <c r="U232" s="79" t="e">
        <f>#REF!*#REF!/1000</f>
        <v>#REF!</v>
      </c>
      <c r="V232" s="79" t="e">
        <f>#REF!*#REF!/1000</f>
        <v>#REF!</v>
      </c>
      <c r="W232" s="79" t="e">
        <f>#REF!*#REF!/1000</f>
        <v>#REF!</v>
      </c>
      <c r="X232" s="79" t="e">
        <f>#REF!*#REF!/1000</f>
        <v>#REF!</v>
      </c>
      <c r="Y232" s="79" t="e">
        <f>#REF!*#REF!/1000</f>
        <v>#REF!</v>
      </c>
      <c r="Z232" s="79" t="e">
        <f>#REF!*#REF!/1000</f>
        <v>#REF!</v>
      </c>
      <c r="AA232" s="79" t="e">
        <f>#REF!*#REF!/1000</f>
        <v>#REF!</v>
      </c>
      <c r="AB232" s="79" t="e">
        <f>#REF!*#REF!/1000</f>
        <v>#REF!</v>
      </c>
      <c r="AC232" s="79" t="e">
        <f>#REF!*#REF!/1000</f>
        <v>#REF!</v>
      </c>
      <c r="AD232" s="79" t="e">
        <f>#REF!*#REF!/1000</f>
        <v>#REF!</v>
      </c>
      <c r="AE232" s="79" t="e">
        <f>#REF!*#REF!/1000</f>
        <v>#REF!</v>
      </c>
      <c r="AF232" s="79" t="e">
        <f>#REF!*#REF!/1000</f>
        <v>#REF!</v>
      </c>
      <c r="AG232" s="79" t="e">
        <f>#REF!*#REF!/1000</f>
        <v>#REF!</v>
      </c>
      <c r="AH232" s="79" t="e">
        <f>#REF!*#REF!/1000</f>
        <v>#REF!</v>
      </c>
      <c r="AI232" s="79" t="e">
        <f>#REF!*#REF!/1000</f>
        <v>#REF!</v>
      </c>
      <c r="AJ232" s="79" t="e">
        <f>#REF!*#REF!/1000</f>
        <v>#REF!</v>
      </c>
      <c r="AK232" s="79" t="e">
        <f>#REF!*#REF!/1000</f>
        <v>#REF!</v>
      </c>
      <c r="AL232" s="79" t="e">
        <f>#REF!*#REF!/1000</f>
        <v>#REF!</v>
      </c>
      <c r="AM232" s="79" t="e">
        <f>#REF!*#REF!/1000</f>
        <v>#REF!</v>
      </c>
      <c r="AN232" s="79" t="e">
        <f>#REF!*#REF!/1000</f>
        <v>#REF!</v>
      </c>
      <c r="AO232" s="79" t="e">
        <f>#REF!*#REF!/1000</f>
        <v>#REF!</v>
      </c>
      <c r="AP232" s="79" t="e">
        <f>#REF!*#REF!/1000</f>
        <v>#REF!</v>
      </c>
      <c r="AQ232" s="79" t="e">
        <f>#REF!*#REF!/1000</f>
        <v>#REF!</v>
      </c>
      <c r="AR232" s="79" t="e">
        <f>#REF!*#REF!/1000</f>
        <v>#REF!</v>
      </c>
      <c r="AS232" s="79" t="e">
        <f>#REF!*#REF!/1000</f>
        <v>#REF!</v>
      </c>
      <c r="AT232" s="79" t="e">
        <f>#REF!*#REF!/1000</f>
        <v>#REF!</v>
      </c>
      <c r="AU232" s="79" t="e">
        <f>#REF!*#REF!/1000</f>
        <v>#REF!</v>
      </c>
      <c r="AV232" s="79" t="e">
        <f>#REF!*#REF!/1000</f>
        <v>#REF!</v>
      </c>
      <c r="AW232" s="79" t="e">
        <f>#REF!*#REF!/1000</f>
        <v>#REF!</v>
      </c>
      <c r="AX232" s="79" t="e">
        <f>#REF!*#REF!/1000</f>
        <v>#REF!</v>
      </c>
      <c r="AY232" s="79" t="e">
        <f>#REF!*#REF!/1000</f>
        <v>#REF!</v>
      </c>
      <c r="AZ232" s="79" t="e">
        <f>#REF!*#REF!/1000</f>
        <v>#REF!</v>
      </c>
      <c r="BA232" s="79" t="e">
        <f>#REF!*#REF!/1000</f>
        <v>#REF!</v>
      </c>
      <c r="BB232" s="79" t="e">
        <f>#REF!*#REF!/1000</f>
        <v>#REF!</v>
      </c>
      <c r="BC232" s="79" t="e">
        <f>#REF!*#REF!/1000</f>
        <v>#REF!</v>
      </c>
      <c r="BD232" s="79" t="e">
        <f>#REF!*#REF!/1000</f>
        <v>#REF!</v>
      </c>
      <c r="BE232" s="79" t="e">
        <f>#REF!*#REF!/1000</f>
        <v>#REF!</v>
      </c>
      <c r="BF232" s="79" t="e">
        <f>#REF!*#REF!/1000</f>
        <v>#REF!</v>
      </c>
      <c r="BG232" s="79" t="e">
        <f>#REF!*#REF!/1000</f>
        <v>#REF!</v>
      </c>
      <c r="BH232" s="79" t="e">
        <f>#REF!*#REF!/1000</f>
        <v>#REF!</v>
      </c>
      <c r="BI232" s="79" t="e">
        <f>#REF!*#REF!/1000</f>
        <v>#REF!</v>
      </c>
      <c r="BJ232" s="79" t="e">
        <f>#REF!*#REF!/1000</f>
        <v>#REF!</v>
      </c>
      <c r="BK232" s="79" t="e">
        <f>#REF!*#REF!/1000</f>
        <v>#REF!</v>
      </c>
      <c r="BL232" s="79" t="e">
        <f>#REF!*#REF!/1000</f>
        <v>#REF!</v>
      </c>
      <c r="BM232" s="79" t="e">
        <f>#REF!*#REF!/1000</f>
        <v>#REF!</v>
      </c>
      <c r="BN232" s="79" t="e">
        <f>#REF!*#REF!/1000</f>
        <v>#REF!</v>
      </c>
      <c r="BO232" s="79" t="e">
        <f>#REF!*#REF!/1000</f>
        <v>#REF!</v>
      </c>
      <c r="BP232" s="79" t="e">
        <f>#REF!*#REF!/1000</f>
        <v>#REF!</v>
      </c>
      <c r="BQ232" s="79" t="e">
        <f>#REF!*#REF!/1000</f>
        <v>#REF!</v>
      </c>
      <c r="BR232" s="79" t="e">
        <f>#REF!*#REF!/1000</f>
        <v>#REF!</v>
      </c>
      <c r="BS232" s="79" t="e">
        <f>#REF!*#REF!/1000</f>
        <v>#REF!</v>
      </c>
      <c r="BT232" s="79" t="e">
        <f>#REF!*#REF!/1000</f>
        <v>#REF!</v>
      </c>
      <c r="BU232" s="79" t="e">
        <f>#REF!*#REF!/1000</f>
        <v>#REF!</v>
      </c>
      <c r="BV232" s="79" t="e">
        <f>#REF!*#REF!/1000</f>
        <v>#REF!</v>
      </c>
      <c r="BW232" s="79" t="e">
        <f>#REF!*#REF!/1000</f>
        <v>#REF!</v>
      </c>
      <c r="BX232" s="79" t="e">
        <f>#REF!*#REF!/1000</f>
        <v>#REF!</v>
      </c>
      <c r="BY232" s="79" t="e">
        <f>#REF!*#REF!/1000</f>
        <v>#REF!</v>
      </c>
      <c r="BZ232" s="79" t="e">
        <f>#REF!*#REF!/1000</f>
        <v>#REF!</v>
      </c>
      <c r="CA232" s="79" t="e">
        <f>#REF!*#REF!/1000</f>
        <v>#REF!</v>
      </c>
      <c r="CB232" s="79" t="e">
        <f>#REF!*#REF!/1000</f>
        <v>#REF!</v>
      </c>
      <c r="CC232" s="79" t="e">
        <f>#REF!*#REF!/1000</f>
        <v>#REF!</v>
      </c>
      <c r="CD232" s="79" t="e">
        <f>#REF!*#REF!/1000</f>
        <v>#REF!</v>
      </c>
      <c r="CE232" s="79" t="e">
        <f>#REF!*#REF!/1000</f>
        <v>#REF!</v>
      </c>
      <c r="CF232" s="79" t="e">
        <f>#REF!*#REF!/1000</f>
        <v>#REF!</v>
      </c>
      <c r="CG232" s="79" t="e">
        <f>#REF!*#REF!/1000</f>
        <v>#REF!</v>
      </c>
      <c r="CH232" s="79" t="e">
        <f>#REF!*#REF!/1000</f>
        <v>#REF!</v>
      </c>
      <c r="CI232" s="79" t="e">
        <f>#REF!*#REF!/1000</f>
        <v>#REF!</v>
      </c>
      <c r="CJ232" s="79" t="e">
        <f>#REF!*#REF!/1000</f>
        <v>#REF!</v>
      </c>
      <c r="CK232" s="79" t="e">
        <f>#REF!*#REF!/1000</f>
        <v>#REF!</v>
      </c>
      <c r="CL232" s="79" t="e">
        <f>#REF!*#REF!/1000</f>
        <v>#REF!</v>
      </c>
      <c r="CM232" s="79" t="e">
        <f>#REF!*#REF!/1000</f>
        <v>#REF!</v>
      </c>
      <c r="CN232" s="79" t="e">
        <f>#REF!*#REF!/1000</f>
        <v>#REF!</v>
      </c>
      <c r="CO232" s="79" t="e">
        <f>#REF!*#REF!/1000</f>
        <v>#REF!</v>
      </c>
      <c r="CP232" s="79" t="e">
        <f>#REF!*#REF!/1000</f>
        <v>#REF!</v>
      </c>
      <c r="CQ232" s="79" t="e">
        <f>#REF!*#REF!/1000</f>
        <v>#REF!</v>
      </c>
      <c r="CR232" s="79" t="e">
        <f>#REF!*#REF!/1000</f>
        <v>#REF!</v>
      </c>
      <c r="CS232" s="79" t="e">
        <f>#REF!*#REF!/1000</f>
        <v>#REF!</v>
      </c>
      <c r="CT232" s="79" t="e">
        <f>#REF!*#REF!/1000</f>
        <v>#REF!</v>
      </c>
      <c r="CU232" s="79" t="e">
        <f>#REF!*#REF!/1000</f>
        <v>#REF!</v>
      </c>
      <c r="CV232" s="79" t="e">
        <f>#REF!*#REF!/1000</f>
        <v>#REF!</v>
      </c>
      <c r="CW232" s="79" t="e">
        <f>#REF!*#REF!/1000</f>
        <v>#REF!</v>
      </c>
      <c r="CX232" s="79" t="e">
        <f>#REF!*#REF!/1000</f>
        <v>#REF!</v>
      </c>
      <c r="CY232" s="79" t="e">
        <f>#REF!*#REF!/1000</f>
        <v>#REF!</v>
      </c>
      <c r="CZ232" s="79" t="e">
        <f>#REF!*#REF!/1000</f>
        <v>#REF!</v>
      </c>
      <c r="DA232" s="79" t="e">
        <f>#REF!*#REF!/1000</f>
        <v>#REF!</v>
      </c>
      <c r="DB232" s="79" t="e">
        <f>#REF!*#REF!/1000</f>
        <v>#REF!</v>
      </c>
      <c r="DC232" s="79" t="e">
        <f>#REF!*#REF!/1000</f>
        <v>#REF!</v>
      </c>
      <c r="DD232" s="79" t="e">
        <f>#REF!*#REF!/1000</f>
        <v>#REF!</v>
      </c>
      <c r="DE232" s="79" t="e">
        <f>#REF!*#REF!/1000</f>
        <v>#REF!</v>
      </c>
      <c r="DF232" s="79" t="e">
        <f>#REF!*#REF!/1000</f>
        <v>#REF!</v>
      </c>
      <c r="DG232" s="79" t="e">
        <f>#REF!*#REF!/1000</f>
        <v>#REF!</v>
      </c>
      <c r="DH232" s="79" t="e">
        <f>#REF!*#REF!/1000</f>
        <v>#REF!</v>
      </c>
      <c r="DI232" s="79" t="e">
        <f>#REF!*#REF!/1000</f>
        <v>#REF!</v>
      </c>
      <c r="DJ232" s="79" t="e">
        <f>#REF!*#REF!/1000</f>
        <v>#REF!</v>
      </c>
      <c r="DK232" s="79" t="e">
        <f>#REF!*#REF!/1000</f>
        <v>#REF!</v>
      </c>
      <c r="DL232" s="79" t="e">
        <f>#REF!*#REF!/1000</f>
        <v>#REF!</v>
      </c>
      <c r="DM232" s="79" t="e">
        <f>#REF!*#REF!/1000</f>
        <v>#REF!</v>
      </c>
      <c r="DN232" s="79" t="e">
        <f>#REF!*#REF!/1000</f>
        <v>#REF!</v>
      </c>
      <c r="DO232" s="79" t="e">
        <f>#REF!*#REF!/1000</f>
        <v>#REF!</v>
      </c>
      <c r="DP232" s="79" t="e">
        <f>#REF!*#REF!/1000</f>
        <v>#REF!</v>
      </c>
      <c r="DQ232" s="79" t="e">
        <f>#REF!*#REF!/1000</f>
        <v>#REF!</v>
      </c>
      <c r="DR232" s="79" t="e">
        <f>#REF!*#REF!/1000</f>
        <v>#REF!</v>
      </c>
      <c r="DS232" s="79" t="e">
        <f>#REF!*#REF!/1000</f>
        <v>#REF!</v>
      </c>
      <c r="DT232" s="79" t="e">
        <f>#REF!*#REF!/1000</f>
        <v>#REF!</v>
      </c>
      <c r="DU232" s="79" t="e">
        <f>#REF!*#REF!/1000</f>
        <v>#REF!</v>
      </c>
      <c r="DV232" s="79" t="e">
        <f>#REF!*#REF!/1000</f>
        <v>#REF!</v>
      </c>
      <c r="DW232" s="79" t="e">
        <f>#REF!*#REF!/1000</f>
        <v>#REF!</v>
      </c>
      <c r="DX232" s="79" t="e">
        <f>#REF!*#REF!/1000</f>
        <v>#REF!</v>
      </c>
      <c r="DY232" s="79" t="e">
        <f>#REF!*#REF!/1000</f>
        <v>#REF!</v>
      </c>
      <c r="DZ232" s="79" t="e">
        <f>#REF!*#REF!/1000</f>
        <v>#REF!</v>
      </c>
      <c r="EA232" s="79" t="e">
        <f>#REF!*#REF!/1000</f>
        <v>#REF!</v>
      </c>
      <c r="EB232" s="79" t="e">
        <f>#REF!*#REF!/1000</f>
        <v>#REF!</v>
      </c>
      <c r="EC232" s="79" t="e">
        <f>#REF!*#REF!/1000</f>
        <v>#REF!</v>
      </c>
      <c r="ED232" s="79" t="e">
        <f>#REF!*#REF!/1000</f>
        <v>#REF!</v>
      </c>
      <c r="EE232" s="79" t="e">
        <f>#REF!*#REF!/1000</f>
        <v>#REF!</v>
      </c>
      <c r="EF232" s="79" t="e">
        <f>#REF!*#REF!/1000</f>
        <v>#REF!</v>
      </c>
      <c r="EG232" s="79" t="e">
        <f>#REF!*#REF!/1000</f>
        <v>#REF!</v>
      </c>
      <c r="EH232" s="79" t="e">
        <f>#REF!*#REF!/1000</f>
        <v>#REF!</v>
      </c>
      <c r="EI232" s="79" t="e">
        <f>#REF!*#REF!/1000</f>
        <v>#REF!</v>
      </c>
      <c r="EJ232" s="79" t="e">
        <f>#REF!*#REF!/1000</f>
        <v>#REF!</v>
      </c>
      <c r="EK232" s="79" t="e">
        <f>#REF!*#REF!/1000</f>
        <v>#REF!</v>
      </c>
      <c r="EL232" s="79" t="e">
        <f>#REF!*#REF!/1000</f>
        <v>#REF!</v>
      </c>
      <c r="EM232" s="79" t="e">
        <f>#REF!*#REF!/1000</f>
        <v>#REF!</v>
      </c>
      <c r="EN232" s="79" t="e">
        <f>#REF!*#REF!/1000</f>
        <v>#REF!</v>
      </c>
      <c r="EO232" s="79" t="e">
        <f>#REF!*#REF!/1000</f>
        <v>#REF!</v>
      </c>
      <c r="EP232" s="79" t="e">
        <f>#REF!*#REF!/1000</f>
        <v>#REF!</v>
      </c>
      <c r="EQ232" s="79" t="e">
        <f>#REF!*#REF!/1000</f>
        <v>#REF!</v>
      </c>
      <c r="ER232" s="79" t="e">
        <f>#REF!*#REF!/1000</f>
        <v>#REF!</v>
      </c>
      <c r="ES232" s="79" t="e">
        <f>#REF!*#REF!/1000</f>
        <v>#REF!</v>
      </c>
      <c r="ET232" s="79" t="e">
        <f>#REF!*#REF!/1000</f>
        <v>#REF!</v>
      </c>
      <c r="EU232" s="79" t="e">
        <f>#REF!*#REF!/1000</f>
        <v>#REF!</v>
      </c>
      <c r="EV232" s="79" t="e">
        <f>#REF!*#REF!/1000</f>
        <v>#REF!</v>
      </c>
      <c r="EW232" s="79" t="e">
        <f>#REF!*#REF!/1000</f>
        <v>#REF!</v>
      </c>
      <c r="EX232" s="79" t="e">
        <f>#REF!*#REF!/1000</f>
        <v>#REF!</v>
      </c>
      <c r="EY232" s="79" t="e">
        <f>#REF!*#REF!/1000</f>
        <v>#REF!</v>
      </c>
      <c r="EZ232" s="79" t="e">
        <f>#REF!*#REF!/1000</f>
        <v>#REF!</v>
      </c>
      <c r="FA232" s="79" t="e">
        <f>#REF!*#REF!/1000</f>
        <v>#REF!</v>
      </c>
      <c r="FB232" s="79" t="e">
        <f>#REF!*#REF!/1000</f>
        <v>#REF!</v>
      </c>
      <c r="FC232" s="79" t="e">
        <f>#REF!*#REF!/1000</f>
        <v>#REF!</v>
      </c>
      <c r="FD232" s="79" t="e">
        <f>#REF!*#REF!/1000</f>
        <v>#REF!</v>
      </c>
      <c r="FE232" s="79" t="e">
        <f>#REF!*#REF!/1000</f>
        <v>#REF!</v>
      </c>
      <c r="FF232" s="79" t="e">
        <f>#REF!*#REF!/1000</f>
        <v>#REF!</v>
      </c>
      <c r="FG232" s="79" t="e">
        <f>#REF!*#REF!/1000</f>
        <v>#REF!</v>
      </c>
      <c r="FH232" s="79" t="e">
        <f>#REF!*#REF!/1000</f>
        <v>#REF!</v>
      </c>
      <c r="FI232" s="79" t="e">
        <f>#REF!*#REF!/1000</f>
        <v>#REF!</v>
      </c>
      <c r="FJ232" s="79" t="e">
        <f>#REF!*#REF!/1000</f>
        <v>#REF!</v>
      </c>
      <c r="FK232" s="79" t="e">
        <f>#REF!*#REF!/1000</f>
        <v>#REF!</v>
      </c>
      <c r="FL232" s="79" t="e">
        <f>#REF!*#REF!/1000</f>
        <v>#REF!</v>
      </c>
      <c r="FM232" s="79" t="e">
        <f>#REF!*#REF!/1000</f>
        <v>#REF!</v>
      </c>
      <c r="FN232" s="79" t="e">
        <f>#REF!*#REF!/1000</f>
        <v>#REF!</v>
      </c>
      <c r="FO232" s="79" t="e">
        <f>#REF!*#REF!/1000</f>
        <v>#REF!</v>
      </c>
      <c r="FP232" s="79" t="e">
        <f>#REF!*#REF!/1000</f>
        <v>#REF!</v>
      </c>
      <c r="FQ232" s="79" t="e">
        <f>#REF!*#REF!/1000</f>
        <v>#REF!</v>
      </c>
      <c r="FR232" s="79" t="e">
        <f>#REF!*#REF!/1000</f>
        <v>#REF!</v>
      </c>
      <c r="FS232" s="79" t="e">
        <f>#REF!*#REF!/1000</f>
        <v>#REF!</v>
      </c>
      <c r="FT232" s="79" t="e">
        <f>#REF!*#REF!/1000</f>
        <v>#REF!</v>
      </c>
      <c r="FU232" s="79" t="e">
        <f>#REF!*#REF!/1000</f>
        <v>#REF!</v>
      </c>
      <c r="FV232" s="79" t="e">
        <f>#REF!*#REF!/1000</f>
        <v>#REF!</v>
      </c>
      <c r="FW232" s="79" t="e">
        <f>#REF!*#REF!/1000</f>
        <v>#REF!</v>
      </c>
      <c r="FX232" s="79" t="e">
        <f>#REF!*#REF!/1000</f>
        <v>#REF!</v>
      </c>
      <c r="FY232" s="79" t="e">
        <f>#REF!*#REF!/1000</f>
        <v>#REF!</v>
      </c>
      <c r="FZ232" s="79" t="e">
        <f>#REF!*#REF!/1000</f>
        <v>#REF!</v>
      </c>
      <c r="GA232" s="79" t="e">
        <f>#REF!*#REF!/1000</f>
        <v>#REF!</v>
      </c>
      <c r="GB232" s="79" t="e">
        <f>#REF!*#REF!/1000</f>
        <v>#REF!</v>
      </c>
      <c r="GC232" s="79" t="e">
        <f>#REF!*#REF!/1000</f>
        <v>#REF!</v>
      </c>
      <c r="GD232" s="79" t="e">
        <f>#REF!*#REF!/1000</f>
        <v>#REF!</v>
      </c>
      <c r="GE232" s="79" t="e">
        <f>#REF!*#REF!/1000</f>
        <v>#REF!</v>
      </c>
      <c r="GF232" s="79" t="e">
        <f>#REF!*#REF!/1000</f>
        <v>#REF!</v>
      </c>
      <c r="GG232" s="79" t="e">
        <f>#REF!*#REF!/1000</f>
        <v>#REF!</v>
      </c>
      <c r="GH232" s="79" t="e">
        <f>#REF!*#REF!/1000</f>
        <v>#REF!</v>
      </c>
      <c r="GI232" s="79" t="e">
        <f>#REF!*#REF!/1000</f>
        <v>#REF!</v>
      </c>
      <c r="GJ232" s="79" t="e">
        <f>#REF!*#REF!/1000</f>
        <v>#REF!</v>
      </c>
      <c r="GK232" s="79" t="e">
        <f>#REF!*#REF!/1000</f>
        <v>#REF!</v>
      </c>
      <c r="GL232" s="79" t="e">
        <f>#REF!*#REF!/1000</f>
        <v>#REF!</v>
      </c>
      <c r="GM232" s="79" t="e">
        <f>#REF!*#REF!/1000</f>
        <v>#REF!</v>
      </c>
      <c r="GN232" s="79" t="e">
        <f>#REF!*#REF!/1000</f>
        <v>#REF!</v>
      </c>
      <c r="GO232" s="79" t="e">
        <f>#REF!*#REF!/1000</f>
        <v>#REF!</v>
      </c>
      <c r="GP232" s="79" t="e">
        <f>#REF!*#REF!/1000</f>
        <v>#REF!</v>
      </c>
      <c r="GQ232" s="79" t="e">
        <f>#REF!*#REF!/1000</f>
        <v>#REF!</v>
      </c>
      <c r="GR232" s="79" t="e">
        <f>#REF!*#REF!/1000</f>
        <v>#REF!</v>
      </c>
      <c r="GS232" s="79" t="e">
        <f>#REF!*#REF!/1000</f>
        <v>#REF!</v>
      </c>
      <c r="GT232" s="79" t="e">
        <f>#REF!*#REF!/1000</f>
        <v>#REF!</v>
      </c>
      <c r="GU232" s="79" t="e">
        <f>#REF!*#REF!/1000</f>
        <v>#REF!</v>
      </c>
      <c r="GV232" s="79" t="e">
        <f>#REF!*#REF!/1000</f>
        <v>#REF!</v>
      </c>
      <c r="GW232" s="79" t="e">
        <f>#REF!*#REF!/1000</f>
        <v>#REF!</v>
      </c>
      <c r="GX232" s="79" t="e">
        <f>#REF!*#REF!/1000</f>
        <v>#REF!</v>
      </c>
      <c r="GY232" s="79" t="e">
        <f>#REF!*#REF!/1000</f>
        <v>#REF!</v>
      </c>
      <c r="GZ232" s="79" t="e">
        <f>#REF!*#REF!/1000</f>
        <v>#REF!</v>
      </c>
      <c r="HA232" s="79" t="e">
        <f>#REF!*#REF!/1000</f>
        <v>#REF!</v>
      </c>
      <c r="HB232" s="79" t="e">
        <f>#REF!*#REF!/1000</f>
        <v>#REF!</v>
      </c>
      <c r="HC232" s="79" t="e">
        <f>#REF!*#REF!/1000</f>
        <v>#REF!</v>
      </c>
      <c r="HD232" s="79" t="e">
        <f>#REF!*#REF!/1000</f>
        <v>#REF!</v>
      </c>
      <c r="HE232" s="79" t="e">
        <f>#REF!*#REF!/1000</f>
        <v>#REF!</v>
      </c>
      <c r="HF232" s="79" t="e">
        <f>#REF!*#REF!/1000</f>
        <v>#REF!</v>
      </c>
      <c r="HG232" s="79" t="e">
        <f>#REF!*#REF!/1000</f>
        <v>#REF!</v>
      </c>
      <c r="HH232" s="79" t="e">
        <f>#REF!*#REF!/1000</f>
        <v>#REF!</v>
      </c>
      <c r="HI232" s="79" t="e">
        <f>#REF!*#REF!/1000</f>
        <v>#REF!</v>
      </c>
      <c r="HJ232" s="79" t="e">
        <f>#REF!*#REF!/1000</f>
        <v>#REF!</v>
      </c>
      <c r="HK232" s="79" t="e">
        <f>#REF!*#REF!/1000</f>
        <v>#REF!</v>
      </c>
      <c r="HL232" s="79" t="e">
        <f>#REF!*#REF!/1000</f>
        <v>#REF!</v>
      </c>
      <c r="HM232" s="79" t="e">
        <f>#REF!*#REF!/1000</f>
        <v>#REF!</v>
      </c>
      <c r="HN232" s="79" t="e">
        <f>#REF!*#REF!/1000</f>
        <v>#REF!</v>
      </c>
      <c r="HO232" s="79" t="e">
        <f>#REF!*#REF!/1000</f>
        <v>#REF!</v>
      </c>
      <c r="HP232" s="79" t="e">
        <f>#REF!*#REF!/1000</f>
        <v>#REF!</v>
      </c>
      <c r="HQ232" s="79" t="e">
        <f>#REF!*#REF!/1000</f>
        <v>#REF!</v>
      </c>
      <c r="HR232" s="79" t="e">
        <f>#REF!*#REF!/1000</f>
        <v>#REF!</v>
      </c>
      <c r="HS232" s="79" t="e">
        <f>#REF!*#REF!/1000</f>
        <v>#REF!</v>
      </c>
      <c r="HT232" s="79" t="e">
        <f>#REF!*#REF!/1000</f>
        <v>#REF!</v>
      </c>
      <c r="HU232" s="79" t="e">
        <f>#REF!*#REF!/1000</f>
        <v>#REF!</v>
      </c>
      <c r="HV232" s="79" t="e">
        <f>#REF!*#REF!/1000</f>
        <v>#REF!</v>
      </c>
      <c r="HW232" s="79" t="e">
        <f>#REF!*#REF!/1000</f>
        <v>#REF!</v>
      </c>
      <c r="HX232" s="79" t="e">
        <f>#REF!*#REF!/1000</f>
        <v>#REF!</v>
      </c>
      <c r="HY232" s="79" t="e">
        <f>#REF!*#REF!/1000</f>
        <v>#REF!</v>
      </c>
      <c r="HZ232" s="79" t="e">
        <f>#REF!*#REF!/1000</f>
        <v>#REF!</v>
      </c>
      <c r="IA232" s="79" t="e">
        <f>#REF!*#REF!/1000</f>
        <v>#REF!</v>
      </c>
      <c r="IB232" s="79" t="e">
        <f>#REF!*#REF!/1000</f>
        <v>#REF!</v>
      </c>
      <c r="IC232" s="79" t="e">
        <f>#REF!*#REF!/1000</f>
        <v>#REF!</v>
      </c>
      <c r="ID232" s="79" t="e">
        <f>#REF!*#REF!/1000</f>
        <v>#REF!</v>
      </c>
      <c r="IE232" s="79" t="e">
        <f>#REF!*#REF!/1000</f>
        <v>#REF!</v>
      </c>
      <c r="IF232" s="79" t="e">
        <f>#REF!*#REF!/1000</f>
        <v>#REF!</v>
      </c>
      <c r="IG232" s="79" t="e">
        <f>#REF!*#REF!/1000</f>
        <v>#REF!</v>
      </c>
      <c r="IH232" s="79" t="e">
        <f>#REF!*#REF!/1000</f>
        <v>#REF!</v>
      </c>
      <c r="II232" s="79" t="e">
        <f>#REF!*#REF!/1000</f>
        <v>#REF!</v>
      </c>
      <c r="IJ232" s="79" t="e">
        <f>#REF!*#REF!/1000</f>
        <v>#REF!</v>
      </c>
      <c r="IK232" s="79" t="e">
        <f>#REF!*#REF!/1000</f>
        <v>#REF!</v>
      </c>
      <c r="IL232" s="79" t="e">
        <f>#REF!*#REF!/1000</f>
        <v>#REF!</v>
      </c>
      <c r="IM232" s="79" t="e">
        <f>#REF!*#REF!/1000</f>
        <v>#REF!</v>
      </c>
      <c r="IN232" s="79" t="e">
        <f>#REF!*#REF!/1000</f>
        <v>#REF!</v>
      </c>
      <c r="IO232" s="79" t="e">
        <f>#REF!*#REF!/1000</f>
        <v>#REF!</v>
      </c>
      <c r="IP232" s="79" t="e">
        <f>#REF!*#REF!/1000</f>
        <v>#REF!</v>
      </c>
      <c r="IQ232" s="79" t="e">
        <f>#REF!*#REF!/1000</f>
        <v>#REF!</v>
      </c>
      <c r="IR232" s="79" t="e">
        <f>#REF!*#REF!/1000</f>
        <v>#REF!</v>
      </c>
      <c r="IS232" s="79" t="e">
        <f>#REF!*#REF!/1000</f>
        <v>#REF!</v>
      </c>
      <c r="IT232" s="79" t="e">
        <f>#REF!*#REF!/1000</f>
        <v>#REF!</v>
      </c>
      <c r="IU232" s="79" t="e">
        <f>#REF!*#REF!/1000</f>
        <v>#REF!</v>
      </c>
      <c r="IV232" s="79" t="e">
        <f>#REF!*#REF!/1000</f>
        <v>#REF!</v>
      </c>
      <c r="IW232" s="79" t="e">
        <f>#REF!*#REF!/1000</f>
        <v>#REF!</v>
      </c>
      <c r="IX232" s="79" t="e">
        <f>#REF!*#REF!/1000</f>
        <v>#REF!</v>
      </c>
      <c r="IY232" s="79" t="e">
        <f>#REF!*#REF!/1000</f>
        <v>#REF!</v>
      </c>
      <c r="IZ232" s="79" t="e">
        <f>#REF!*#REF!/1000</f>
        <v>#REF!</v>
      </c>
      <c r="JA232" s="79" t="e">
        <f>#REF!*#REF!/1000</f>
        <v>#REF!</v>
      </c>
      <c r="JB232" s="79" t="e">
        <f>#REF!*#REF!/1000</f>
        <v>#REF!</v>
      </c>
      <c r="JC232" s="79" t="e">
        <f>#REF!*#REF!/1000</f>
        <v>#REF!</v>
      </c>
      <c r="JD232" s="79" t="e">
        <f>#REF!*#REF!/1000</f>
        <v>#REF!</v>
      </c>
      <c r="JE232" s="79" t="e">
        <f>#REF!*#REF!/1000</f>
        <v>#REF!</v>
      </c>
      <c r="JF232" s="79" t="e">
        <f>#REF!*#REF!/1000</f>
        <v>#REF!</v>
      </c>
      <c r="JG232" s="79" t="e">
        <f>#REF!*#REF!/1000</f>
        <v>#REF!</v>
      </c>
      <c r="JH232" s="79" t="e">
        <f>#REF!*#REF!/1000</f>
        <v>#REF!</v>
      </c>
      <c r="JI232" s="79" t="e">
        <f>#REF!*#REF!/1000</f>
        <v>#REF!</v>
      </c>
      <c r="JJ232" s="79" t="e">
        <f>#REF!*#REF!/1000</f>
        <v>#REF!</v>
      </c>
      <c r="JK232" s="79" t="e">
        <f>#REF!*#REF!/1000</f>
        <v>#REF!</v>
      </c>
      <c r="JL232" s="79" t="e">
        <f>#REF!*#REF!/1000</f>
        <v>#REF!</v>
      </c>
      <c r="JM232" s="79" t="e">
        <f>#REF!*#REF!/1000</f>
        <v>#REF!</v>
      </c>
      <c r="JN232" s="79" t="e">
        <f>#REF!*#REF!/1000</f>
        <v>#REF!</v>
      </c>
      <c r="JO232" s="79" t="e">
        <f>#REF!*#REF!/1000</f>
        <v>#REF!</v>
      </c>
      <c r="JP232" s="79" t="e">
        <f>#REF!*#REF!/1000</f>
        <v>#REF!</v>
      </c>
      <c r="JQ232" s="79" t="e">
        <f>#REF!*#REF!/1000</f>
        <v>#REF!</v>
      </c>
      <c r="JR232" s="79" t="e">
        <f>#REF!*#REF!/1000</f>
        <v>#REF!</v>
      </c>
      <c r="JS232" s="79" t="e">
        <f>#REF!*#REF!/1000</f>
        <v>#REF!</v>
      </c>
      <c r="JT232" s="79" t="e">
        <f>#REF!*#REF!/1000</f>
        <v>#REF!</v>
      </c>
      <c r="JU232" s="79" t="e">
        <f>#REF!*#REF!/1000</f>
        <v>#REF!</v>
      </c>
      <c r="JV232" s="79" t="e">
        <f>#REF!*#REF!/1000</f>
        <v>#REF!</v>
      </c>
      <c r="JW232" s="79" t="e">
        <f>#REF!*#REF!/1000</f>
        <v>#REF!</v>
      </c>
      <c r="JX232" s="79" t="e">
        <f>#REF!*#REF!/1000</f>
        <v>#REF!</v>
      </c>
      <c r="JY232" s="79" t="e">
        <f>#REF!*#REF!/1000</f>
        <v>#REF!</v>
      </c>
      <c r="JZ232" s="79" t="e">
        <f>#REF!*#REF!/1000</f>
        <v>#REF!</v>
      </c>
      <c r="KA232" s="79" t="e">
        <f>#REF!*#REF!/1000</f>
        <v>#REF!</v>
      </c>
      <c r="KB232" s="79" t="e">
        <f>#REF!*#REF!/1000</f>
        <v>#REF!</v>
      </c>
      <c r="KC232" s="79" t="e">
        <f>#REF!*#REF!/1000</f>
        <v>#REF!</v>
      </c>
      <c r="KD232" s="79" t="e">
        <f>#REF!*#REF!/1000</f>
        <v>#REF!</v>
      </c>
      <c r="KE232" s="79" t="e">
        <f>#REF!*#REF!/1000</f>
        <v>#REF!</v>
      </c>
      <c r="KF232" s="79" t="e">
        <f>#REF!*#REF!/1000</f>
        <v>#REF!</v>
      </c>
      <c r="KG232" s="79" t="e">
        <f>#REF!*#REF!/1000</f>
        <v>#REF!</v>
      </c>
      <c r="KH232" s="79" t="e">
        <f>#REF!*#REF!/1000</f>
        <v>#REF!</v>
      </c>
      <c r="KI232" s="79" t="e">
        <f>#REF!*#REF!/1000</f>
        <v>#REF!</v>
      </c>
      <c r="KJ232" s="79" t="e">
        <f>#REF!*#REF!/1000</f>
        <v>#REF!</v>
      </c>
      <c r="KK232" s="79" t="e">
        <f>#REF!*#REF!/1000</f>
        <v>#REF!</v>
      </c>
      <c r="KL232" s="79" t="e">
        <f>#REF!*#REF!/1000</f>
        <v>#REF!</v>
      </c>
      <c r="KM232" s="79" t="e">
        <f>#REF!*#REF!/1000</f>
        <v>#REF!</v>
      </c>
      <c r="KN232" s="79" t="e">
        <f>#REF!*#REF!/1000</f>
        <v>#REF!</v>
      </c>
      <c r="KO232" s="79" t="e">
        <f>#REF!*#REF!/1000</f>
        <v>#REF!</v>
      </c>
      <c r="KP232" s="79" t="e">
        <f>#REF!*#REF!/1000</f>
        <v>#REF!</v>
      </c>
      <c r="KQ232" s="79" t="e">
        <f>#REF!*#REF!/1000</f>
        <v>#REF!</v>
      </c>
      <c r="KR232" s="79" t="e">
        <f>#REF!*#REF!/1000</f>
        <v>#REF!</v>
      </c>
      <c r="KS232" s="79" t="e">
        <f>#REF!*#REF!/1000</f>
        <v>#REF!</v>
      </c>
      <c r="KT232" s="79" t="e">
        <f>#REF!*#REF!/1000</f>
        <v>#REF!</v>
      </c>
      <c r="KU232" s="79" t="e">
        <f>#REF!*#REF!/1000</f>
        <v>#REF!</v>
      </c>
      <c r="KV232" s="79" t="e">
        <f>#REF!*#REF!/1000</f>
        <v>#REF!</v>
      </c>
      <c r="KW232" s="79" t="e">
        <f>#REF!*#REF!/1000</f>
        <v>#REF!</v>
      </c>
      <c r="KX232" s="79" t="e">
        <f>#REF!*#REF!/1000</f>
        <v>#REF!</v>
      </c>
      <c r="KY232" s="79" t="e">
        <f>#REF!*#REF!/1000</f>
        <v>#REF!</v>
      </c>
      <c r="KZ232" s="79" t="e">
        <f>#REF!*#REF!/1000</f>
        <v>#REF!</v>
      </c>
      <c r="LA232" s="79" t="e">
        <f>#REF!*#REF!/1000</f>
        <v>#REF!</v>
      </c>
      <c r="LB232" s="79" t="e">
        <f>#REF!*#REF!/1000</f>
        <v>#REF!</v>
      </c>
      <c r="LC232" s="79" t="e">
        <f>#REF!*#REF!/1000</f>
        <v>#REF!</v>
      </c>
      <c r="LD232" s="79" t="e">
        <f>#REF!*#REF!/1000</f>
        <v>#REF!</v>
      </c>
      <c r="LE232" s="79" t="e">
        <f>#REF!*#REF!/1000</f>
        <v>#REF!</v>
      </c>
      <c r="LF232" s="79" t="e">
        <f>#REF!*#REF!/1000</f>
        <v>#REF!</v>
      </c>
      <c r="LG232" s="79" t="e">
        <f>#REF!*#REF!/1000</f>
        <v>#REF!</v>
      </c>
      <c r="LH232" s="79" t="e">
        <f>#REF!*#REF!/1000</f>
        <v>#REF!</v>
      </c>
      <c r="LI232" s="79" t="e">
        <f>#REF!*#REF!/1000</f>
        <v>#REF!</v>
      </c>
      <c r="LJ232" s="79" t="e">
        <f>#REF!*#REF!/1000</f>
        <v>#REF!</v>
      </c>
      <c r="LK232" s="79" t="e">
        <f>#REF!*#REF!/1000</f>
        <v>#REF!</v>
      </c>
      <c r="LL232" s="79" t="e">
        <f>#REF!*#REF!/1000</f>
        <v>#REF!</v>
      </c>
      <c r="LM232" s="79" t="e">
        <f>#REF!*#REF!/1000</f>
        <v>#REF!</v>
      </c>
      <c r="LN232" s="79" t="e">
        <f>#REF!*#REF!/1000</f>
        <v>#REF!</v>
      </c>
      <c r="LO232" s="79" t="e">
        <f>#REF!*#REF!/1000</f>
        <v>#REF!</v>
      </c>
      <c r="LP232" s="79" t="e">
        <f>#REF!*#REF!/1000</f>
        <v>#REF!</v>
      </c>
      <c r="LQ232" s="79" t="e">
        <f>#REF!*#REF!/1000</f>
        <v>#REF!</v>
      </c>
      <c r="LR232" s="79" t="e">
        <f>#REF!*#REF!/1000</f>
        <v>#REF!</v>
      </c>
      <c r="LS232" s="79" t="e">
        <f>#REF!*#REF!/1000</f>
        <v>#REF!</v>
      </c>
      <c r="LT232" s="79" t="e">
        <f>#REF!*#REF!/1000</f>
        <v>#REF!</v>
      </c>
      <c r="LU232" s="79" t="e">
        <f>#REF!*#REF!/1000</f>
        <v>#REF!</v>
      </c>
      <c r="LV232" s="79" t="e">
        <f>#REF!*#REF!/1000</f>
        <v>#REF!</v>
      </c>
      <c r="LW232" s="79" t="e">
        <f>#REF!*#REF!/1000</f>
        <v>#REF!</v>
      </c>
      <c r="LX232" s="79" t="e">
        <f>#REF!*#REF!/1000</f>
        <v>#REF!</v>
      </c>
      <c r="LY232" s="79" t="e">
        <f>#REF!*#REF!/1000</f>
        <v>#REF!</v>
      </c>
      <c r="LZ232" s="79" t="e">
        <f>#REF!*#REF!/1000</f>
        <v>#REF!</v>
      </c>
      <c r="MA232" s="79" t="e">
        <f>#REF!*#REF!/1000</f>
        <v>#REF!</v>
      </c>
      <c r="MB232" s="79" t="e">
        <f>#REF!*#REF!/1000</f>
        <v>#REF!</v>
      </c>
      <c r="MC232" s="79" t="e">
        <f>#REF!*#REF!/1000</f>
        <v>#REF!</v>
      </c>
      <c r="MD232" s="79" t="e">
        <f>#REF!*#REF!/1000</f>
        <v>#REF!</v>
      </c>
      <c r="ME232" s="79" t="e">
        <f>#REF!*#REF!/1000</f>
        <v>#REF!</v>
      </c>
      <c r="MF232" s="79" t="e">
        <f>#REF!*#REF!/1000</f>
        <v>#REF!</v>
      </c>
      <c r="MG232" s="79" t="e">
        <f>#REF!*#REF!/1000</f>
        <v>#REF!</v>
      </c>
      <c r="MH232" s="79" t="e">
        <f>#REF!*#REF!/1000</f>
        <v>#REF!</v>
      </c>
      <c r="MI232" s="79" t="e">
        <f>#REF!*#REF!/1000</f>
        <v>#REF!</v>
      </c>
      <c r="MJ232" s="79" t="e">
        <f>#REF!*#REF!/1000</f>
        <v>#REF!</v>
      </c>
      <c r="MK232" s="79" t="e">
        <f>#REF!*#REF!/1000</f>
        <v>#REF!</v>
      </c>
      <c r="ML232" s="79" t="e">
        <f>#REF!*#REF!/1000</f>
        <v>#REF!</v>
      </c>
      <c r="MM232" s="79" t="e">
        <f>#REF!*#REF!/1000</f>
        <v>#REF!</v>
      </c>
      <c r="MN232" s="79" t="e">
        <f>#REF!*#REF!/1000</f>
        <v>#REF!</v>
      </c>
      <c r="MO232" s="79" t="e">
        <f>#REF!*#REF!/1000</f>
        <v>#REF!</v>
      </c>
      <c r="MP232" s="79" t="e">
        <f>#REF!*#REF!/1000</f>
        <v>#REF!</v>
      </c>
      <c r="MQ232" s="79" t="e">
        <f>#REF!*#REF!/1000</f>
        <v>#REF!</v>
      </c>
      <c r="MR232" s="79" t="e">
        <f>#REF!*#REF!/1000</f>
        <v>#REF!</v>
      </c>
      <c r="MS232" s="79" t="e">
        <f>#REF!*#REF!/1000</f>
        <v>#REF!</v>
      </c>
      <c r="MT232" s="79" t="e">
        <f>#REF!*#REF!/1000</f>
        <v>#REF!</v>
      </c>
      <c r="MU232" s="79" t="e">
        <f>#REF!*#REF!/1000</f>
        <v>#REF!</v>
      </c>
      <c r="MV232" s="79" t="e">
        <f>#REF!*#REF!/1000</f>
        <v>#REF!</v>
      </c>
      <c r="MW232" s="79" t="e">
        <f>#REF!*#REF!/1000</f>
        <v>#REF!</v>
      </c>
      <c r="MX232" s="79" t="e">
        <f>#REF!*#REF!/1000</f>
        <v>#REF!</v>
      </c>
      <c r="MY232" s="79" t="e">
        <f>#REF!*#REF!/1000</f>
        <v>#REF!</v>
      </c>
      <c r="MZ232" s="79" t="e">
        <f>#REF!*#REF!/1000</f>
        <v>#REF!</v>
      </c>
      <c r="NA232" s="79" t="e">
        <f>#REF!*#REF!/1000</f>
        <v>#REF!</v>
      </c>
      <c r="NB232" s="79" t="e">
        <f>#REF!*#REF!/1000</f>
        <v>#REF!</v>
      </c>
      <c r="NC232" s="79" t="e">
        <f>#REF!*#REF!/1000</f>
        <v>#REF!</v>
      </c>
      <c r="ND232" s="79" t="e">
        <f>#REF!*#REF!/1000</f>
        <v>#REF!</v>
      </c>
      <c r="NE232" s="79" t="e">
        <f>#REF!*#REF!/1000</f>
        <v>#REF!</v>
      </c>
      <c r="NF232" s="79" t="e">
        <f>#REF!*#REF!/1000</f>
        <v>#REF!</v>
      </c>
      <c r="NG232" s="79" t="e">
        <f>#REF!*#REF!/1000</f>
        <v>#REF!</v>
      </c>
      <c r="NH232" s="79" t="e">
        <f>#REF!*#REF!/1000</f>
        <v>#REF!</v>
      </c>
      <c r="NI232" s="79" t="e">
        <f>#REF!*#REF!/1000</f>
        <v>#REF!</v>
      </c>
      <c r="NJ232" s="79" t="e">
        <f>#REF!*#REF!/1000</f>
        <v>#REF!</v>
      </c>
      <c r="NK232" s="79" t="e">
        <f>#REF!*#REF!/1000</f>
        <v>#REF!</v>
      </c>
      <c r="NL232" s="79" t="e">
        <f>#REF!*#REF!/1000</f>
        <v>#REF!</v>
      </c>
      <c r="NM232" s="79" t="e">
        <f>#REF!*#REF!/1000</f>
        <v>#REF!</v>
      </c>
      <c r="NN232" s="79" t="e">
        <f>#REF!*#REF!/1000</f>
        <v>#REF!</v>
      </c>
      <c r="NO232" s="79" t="e">
        <f>#REF!*#REF!/1000</f>
        <v>#REF!</v>
      </c>
      <c r="NP232" s="79" t="e">
        <f>#REF!*#REF!/1000</f>
        <v>#REF!</v>
      </c>
      <c r="NQ232" s="79" t="e">
        <f>#REF!*#REF!/1000</f>
        <v>#REF!</v>
      </c>
      <c r="NR232" s="79" t="e">
        <f>#REF!*#REF!/1000</f>
        <v>#REF!</v>
      </c>
      <c r="NS232" s="79" t="e">
        <f>#REF!*#REF!/1000</f>
        <v>#REF!</v>
      </c>
      <c r="NT232" s="79" t="e">
        <f>#REF!*#REF!/1000</f>
        <v>#REF!</v>
      </c>
      <c r="NU232" s="79" t="e">
        <f>#REF!*#REF!/1000</f>
        <v>#REF!</v>
      </c>
      <c r="NV232" s="79" t="e">
        <f>#REF!*#REF!/1000</f>
        <v>#REF!</v>
      </c>
      <c r="NW232" s="79" t="e">
        <f>#REF!*#REF!/1000</f>
        <v>#REF!</v>
      </c>
      <c r="NX232" s="79" t="e">
        <f>#REF!*#REF!/1000</f>
        <v>#REF!</v>
      </c>
      <c r="NY232" s="79" t="e">
        <f>#REF!*#REF!/1000</f>
        <v>#REF!</v>
      </c>
      <c r="NZ232" s="79" t="e">
        <f>#REF!*#REF!/1000</f>
        <v>#REF!</v>
      </c>
      <c r="OA232" s="79" t="e">
        <f>#REF!*#REF!/1000</f>
        <v>#REF!</v>
      </c>
      <c r="OB232" s="79" t="e">
        <f>#REF!*#REF!/1000</f>
        <v>#REF!</v>
      </c>
      <c r="OC232" s="79" t="e">
        <f>#REF!*#REF!/1000</f>
        <v>#REF!</v>
      </c>
      <c r="OD232" s="79" t="e">
        <f>#REF!*#REF!/1000</f>
        <v>#REF!</v>
      </c>
      <c r="OE232" s="79" t="e">
        <f>#REF!*#REF!/1000</f>
        <v>#REF!</v>
      </c>
      <c r="OF232" s="79" t="e">
        <f>#REF!*#REF!/1000</f>
        <v>#REF!</v>
      </c>
      <c r="OG232" s="79" t="e">
        <f>#REF!*#REF!/1000</f>
        <v>#REF!</v>
      </c>
      <c r="OH232" s="79" t="e">
        <f>#REF!*#REF!/1000</f>
        <v>#REF!</v>
      </c>
      <c r="OI232" s="79" t="e">
        <f>#REF!*#REF!/1000</f>
        <v>#REF!</v>
      </c>
      <c r="OJ232" s="79" t="e">
        <f>#REF!*#REF!/1000</f>
        <v>#REF!</v>
      </c>
      <c r="OK232" s="79" t="e">
        <f>#REF!*#REF!/1000</f>
        <v>#REF!</v>
      </c>
      <c r="OL232" s="79" t="e">
        <f>#REF!*#REF!/1000</f>
        <v>#REF!</v>
      </c>
      <c r="OM232" s="79" t="e">
        <f>#REF!*#REF!/1000</f>
        <v>#REF!</v>
      </c>
      <c r="ON232" s="79" t="e">
        <f>#REF!*#REF!/1000</f>
        <v>#REF!</v>
      </c>
      <c r="OO232" s="79" t="e">
        <f>#REF!*#REF!/1000</f>
        <v>#REF!</v>
      </c>
      <c r="OP232" s="79" t="e">
        <f>#REF!*#REF!/1000</f>
        <v>#REF!</v>
      </c>
      <c r="OQ232" s="79" t="e">
        <f>#REF!*#REF!/1000</f>
        <v>#REF!</v>
      </c>
      <c r="OR232" s="79" t="e">
        <f>#REF!*#REF!/1000</f>
        <v>#REF!</v>
      </c>
      <c r="OS232" s="79" t="e">
        <f>#REF!*#REF!/1000</f>
        <v>#REF!</v>
      </c>
      <c r="OT232" s="79" t="e">
        <f>#REF!*#REF!/1000</f>
        <v>#REF!</v>
      </c>
      <c r="OU232" s="79" t="e">
        <f>#REF!*#REF!/1000</f>
        <v>#REF!</v>
      </c>
      <c r="OV232" s="79" t="e">
        <f>#REF!*#REF!/1000</f>
        <v>#REF!</v>
      </c>
      <c r="OW232" s="79" t="e">
        <f>#REF!*#REF!/1000</f>
        <v>#REF!</v>
      </c>
      <c r="OX232" s="79" t="e">
        <f>#REF!*#REF!/1000</f>
        <v>#REF!</v>
      </c>
      <c r="OY232" s="79" t="e">
        <f>#REF!*#REF!/1000</f>
        <v>#REF!</v>
      </c>
      <c r="OZ232" s="79" t="e">
        <f>#REF!*#REF!/1000</f>
        <v>#REF!</v>
      </c>
      <c r="PA232" s="79" t="e">
        <f>#REF!*#REF!/1000</f>
        <v>#REF!</v>
      </c>
      <c r="PB232" s="79" t="e">
        <f>#REF!*#REF!/1000</f>
        <v>#REF!</v>
      </c>
      <c r="PC232" s="79" t="e">
        <f>#REF!*#REF!/1000</f>
        <v>#REF!</v>
      </c>
      <c r="PD232" s="79" t="e">
        <f>#REF!*#REF!/1000</f>
        <v>#REF!</v>
      </c>
      <c r="PE232" s="79" t="e">
        <f>#REF!*#REF!/1000</f>
        <v>#REF!</v>
      </c>
      <c r="PF232" s="79" t="e">
        <f>#REF!*#REF!/1000</f>
        <v>#REF!</v>
      </c>
      <c r="PG232" s="79" t="e">
        <f>#REF!*#REF!/1000</f>
        <v>#REF!</v>
      </c>
      <c r="PH232" s="79" t="e">
        <f>#REF!*#REF!/1000</f>
        <v>#REF!</v>
      </c>
      <c r="PI232" s="79" t="e">
        <f>#REF!*#REF!/1000</f>
        <v>#REF!</v>
      </c>
      <c r="PJ232" s="79" t="e">
        <f>#REF!*#REF!/1000</f>
        <v>#REF!</v>
      </c>
      <c r="PK232" s="79" t="e">
        <f>#REF!*#REF!/1000</f>
        <v>#REF!</v>
      </c>
      <c r="PL232" s="79" t="e">
        <f>#REF!*#REF!/1000</f>
        <v>#REF!</v>
      </c>
      <c r="PM232" s="79" t="e">
        <f>#REF!*#REF!/1000</f>
        <v>#REF!</v>
      </c>
      <c r="PN232" s="79" t="e">
        <f>#REF!*#REF!/1000</f>
        <v>#REF!</v>
      </c>
      <c r="PO232" s="79" t="e">
        <f>#REF!*#REF!/1000</f>
        <v>#REF!</v>
      </c>
      <c r="PP232" s="79" t="e">
        <f>#REF!*#REF!/1000</f>
        <v>#REF!</v>
      </c>
      <c r="PQ232" s="79" t="e">
        <f>#REF!*#REF!/1000</f>
        <v>#REF!</v>
      </c>
      <c r="PR232" s="79" t="e">
        <f>#REF!*#REF!/1000</f>
        <v>#REF!</v>
      </c>
      <c r="PS232" s="79" t="e">
        <f>#REF!*#REF!/1000</f>
        <v>#REF!</v>
      </c>
      <c r="PT232" s="79" t="e">
        <f>#REF!*#REF!/1000</f>
        <v>#REF!</v>
      </c>
      <c r="PU232" s="79" t="e">
        <f>#REF!*#REF!/1000</f>
        <v>#REF!</v>
      </c>
      <c r="PV232" s="79" t="e">
        <f>#REF!*#REF!/1000</f>
        <v>#REF!</v>
      </c>
      <c r="PW232" s="79" t="e">
        <f>#REF!*#REF!/1000</f>
        <v>#REF!</v>
      </c>
      <c r="PX232" s="79" t="e">
        <f>#REF!*#REF!/1000</f>
        <v>#REF!</v>
      </c>
      <c r="PY232" s="79" t="e">
        <f>#REF!*#REF!/1000</f>
        <v>#REF!</v>
      </c>
      <c r="PZ232" s="79" t="e">
        <f>#REF!*#REF!/1000</f>
        <v>#REF!</v>
      </c>
      <c r="QA232" s="79" t="e">
        <f>#REF!*#REF!/1000</f>
        <v>#REF!</v>
      </c>
      <c r="QB232" s="79" t="e">
        <f>#REF!*#REF!/1000</f>
        <v>#REF!</v>
      </c>
      <c r="QC232" s="79" t="e">
        <f>#REF!*#REF!/1000</f>
        <v>#REF!</v>
      </c>
      <c r="QD232" s="79" t="e">
        <f>#REF!*#REF!/1000</f>
        <v>#REF!</v>
      </c>
      <c r="QE232" s="79" t="e">
        <f>#REF!*#REF!/1000</f>
        <v>#REF!</v>
      </c>
      <c r="QF232" s="79" t="e">
        <f>#REF!*#REF!/1000</f>
        <v>#REF!</v>
      </c>
      <c r="QG232" s="79" t="e">
        <f>#REF!*#REF!/1000</f>
        <v>#REF!</v>
      </c>
      <c r="QH232" s="79" t="e">
        <f>#REF!*#REF!/1000</f>
        <v>#REF!</v>
      </c>
      <c r="QI232" s="79" t="e">
        <f>#REF!*#REF!/1000</f>
        <v>#REF!</v>
      </c>
      <c r="QJ232" s="79" t="e">
        <f>#REF!*#REF!/1000</f>
        <v>#REF!</v>
      </c>
      <c r="QK232" s="79" t="e">
        <f>#REF!*#REF!/1000</f>
        <v>#REF!</v>
      </c>
      <c r="QL232" s="79" t="e">
        <f>#REF!*#REF!/1000</f>
        <v>#REF!</v>
      </c>
      <c r="QM232" s="79" t="e">
        <f>#REF!*#REF!/1000</f>
        <v>#REF!</v>
      </c>
      <c r="QN232" s="79" t="e">
        <f>#REF!*#REF!/1000</f>
        <v>#REF!</v>
      </c>
      <c r="QO232" s="79" t="e">
        <f>#REF!*#REF!/1000</f>
        <v>#REF!</v>
      </c>
      <c r="QP232" s="79" t="e">
        <f>#REF!*#REF!/1000</f>
        <v>#REF!</v>
      </c>
      <c r="QQ232" s="79" t="e">
        <f>#REF!*#REF!/1000</f>
        <v>#REF!</v>
      </c>
      <c r="QR232" s="79" t="e">
        <f>#REF!*#REF!/1000</f>
        <v>#REF!</v>
      </c>
      <c r="QS232" s="79" t="e">
        <f>#REF!*#REF!/1000</f>
        <v>#REF!</v>
      </c>
      <c r="QT232" s="79" t="e">
        <f>#REF!*#REF!/1000</f>
        <v>#REF!</v>
      </c>
      <c r="QU232" s="79" t="e">
        <f>#REF!*#REF!/1000</f>
        <v>#REF!</v>
      </c>
      <c r="QV232" s="79" t="e">
        <f>#REF!*#REF!/1000</f>
        <v>#REF!</v>
      </c>
      <c r="QW232" s="79" t="e">
        <f>#REF!*#REF!/1000</f>
        <v>#REF!</v>
      </c>
      <c r="QX232" s="79" t="e">
        <f>#REF!*#REF!/1000</f>
        <v>#REF!</v>
      </c>
      <c r="QY232" s="79" t="e">
        <f>#REF!*#REF!/1000</f>
        <v>#REF!</v>
      </c>
      <c r="QZ232" s="79" t="e">
        <f>#REF!*#REF!/1000</f>
        <v>#REF!</v>
      </c>
      <c r="RA232" s="79" t="e">
        <f>#REF!*#REF!/1000</f>
        <v>#REF!</v>
      </c>
      <c r="RB232" s="79" t="e">
        <f>#REF!*#REF!/1000</f>
        <v>#REF!</v>
      </c>
      <c r="RC232" s="79" t="e">
        <f>#REF!*#REF!/1000</f>
        <v>#REF!</v>
      </c>
      <c r="RD232" s="79" t="e">
        <f>#REF!*#REF!/1000</f>
        <v>#REF!</v>
      </c>
      <c r="RE232" s="79" t="e">
        <f>#REF!*#REF!/1000</f>
        <v>#REF!</v>
      </c>
      <c r="RF232" s="79" t="e">
        <f>#REF!*#REF!/1000</f>
        <v>#REF!</v>
      </c>
      <c r="RG232" s="79" t="e">
        <f>#REF!*#REF!/1000</f>
        <v>#REF!</v>
      </c>
      <c r="RH232" s="79" t="e">
        <f>#REF!*#REF!/1000</f>
        <v>#REF!</v>
      </c>
      <c r="RI232" s="79" t="e">
        <f>#REF!*#REF!/1000</f>
        <v>#REF!</v>
      </c>
      <c r="RJ232" s="79" t="e">
        <f>#REF!*#REF!/1000</f>
        <v>#REF!</v>
      </c>
      <c r="RK232" s="79" t="e">
        <f>#REF!*#REF!/1000</f>
        <v>#REF!</v>
      </c>
      <c r="RL232" s="79" t="e">
        <f>#REF!*#REF!/1000</f>
        <v>#REF!</v>
      </c>
      <c r="RM232" s="79" t="e">
        <f>#REF!*#REF!/1000</f>
        <v>#REF!</v>
      </c>
      <c r="RN232" s="79" t="e">
        <f>#REF!*#REF!/1000</f>
        <v>#REF!</v>
      </c>
      <c r="RO232" s="79" t="e">
        <f>#REF!*#REF!/1000</f>
        <v>#REF!</v>
      </c>
      <c r="RP232" s="79" t="e">
        <f>#REF!*#REF!/1000</f>
        <v>#REF!</v>
      </c>
      <c r="RQ232" s="79" t="e">
        <f>#REF!*#REF!/1000</f>
        <v>#REF!</v>
      </c>
      <c r="RR232" s="79" t="e">
        <f>#REF!*#REF!/1000</f>
        <v>#REF!</v>
      </c>
      <c r="RS232" s="79" t="e">
        <f>#REF!*#REF!/1000</f>
        <v>#REF!</v>
      </c>
      <c r="RT232" s="79" t="e">
        <f>#REF!*#REF!/1000</f>
        <v>#REF!</v>
      </c>
      <c r="RU232" s="79" t="e">
        <f>#REF!*#REF!/1000</f>
        <v>#REF!</v>
      </c>
      <c r="RV232" s="79" t="e">
        <f>#REF!*#REF!/1000</f>
        <v>#REF!</v>
      </c>
      <c r="RW232" s="79" t="e">
        <f>#REF!*#REF!/1000</f>
        <v>#REF!</v>
      </c>
      <c r="RX232" s="79" t="e">
        <f>#REF!*#REF!/1000</f>
        <v>#REF!</v>
      </c>
      <c r="RY232" s="79" t="e">
        <f>#REF!*#REF!/1000</f>
        <v>#REF!</v>
      </c>
      <c r="RZ232" s="79" t="e">
        <f>#REF!*#REF!/1000</f>
        <v>#REF!</v>
      </c>
      <c r="SA232" s="79" t="e">
        <f>#REF!*#REF!/1000</f>
        <v>#REF!</v>
      </c>
      <c r="SB232" s="79" t="e">
        <f>#REF!*#REF!/1000</f>
        <v>#REF!</v>
      </c>
      <c r="SC232" s="79" t="e">
        <f>#REF!*#REF!/1000</f>
        <v>#REF!</v>
      </c>
      <c r="SD232" s="79" t="e">
        <f>#REF!*#REF!/1000</f>
        <v>#REF!</v>
      </c>
      <c r="SE232" s="79" t="e">
        <f>#REF!*#REF!/1000</f>
        <v>#REF!</v>
      </c>
      <c r="SF232" s="79" t="e">
        <f>#REF!*#REF!/1000</f>
        <v>#REF!</v>
      </c>
      <c r="SG232" s="79" t="e">
        <f>#REF!*#REF!/1000</f>
        <v>#REF!</v>
      </c>
      <c r="SH232" s="79" t="e">
        <f>#REF!*#REF!/1000</f>
        <v>#REF!</v>
      </c>
      <c r="SI232" s="79" t="e">
        <f>#REF!*#REF!/1000</f>
        <v>#REF!</v>
      </c>
      <c r="SJ232" s="79" t="e">
        <f>#REF!*#REF!/1000</f>
        <v>#REF!</v>
      </c>
      <c r="SK232" s="79" t="e">
        <f>#REF!*#REF!/1000</f>
        <v>#REF!</v>
      </c>
      <c r="SL232" s="79" t="e">
        <f>#REF!*#REF!/1000</f>
        <v>#REF!</v>
      </c>
      <c r="SM232" s="79" t="e">
        <f>#REF!*#REF!/1000</f>
        <v>#REF!</v>
      </c>
      <c r="SN232" s="79" t="e">
        <f>#REF!*#REF!/1000</f>
        <v>#REF!</v>
      </c>
      <c r="SO232" s="79" t="e">
        <f>#REF!*#REF!/1000</f>
        <v>#REF!</v>
      </c>
      <c r="SP232" s="79" t="e">
        <f>#REF!*#REF!/1000</f>
        <v>#REF!</v>
      </c>
      <c r="SQ232" s="79" t="e">
        <f>#REF!*#REF!/1000</f>
        <v>#REF!</v>
      </c>
      <c r="SR232" s="79" t="e">
        <f>#REF!*#REF!/1000</f>
        <v>#REF!</v>
      </c>
      <c r="SS232" s="79" t="e">
        <f>#REF!*#REF!/1000</f>
        <v>#REF!</v>
      </c>
      <c r="ST232" s="79" t="e">
        <f>#REF!*#REF!/1000</f>
        <v>#REF!</v>
      </c>
      <c r="SU232" s="79" t="e">
        <f>#REF!*#REF!/1000</f>
        <v>#REF!</v>
      </c>
      <c r="SV232" s="79" t="e">
        <f>#REF!*#REF!/1000</f>
        <v>#REF!</v>
      </c>
      <c r="SW232" s="79" t="e">
        <f>#REF!*#REF!/1000</f>
        <v>#REF!</v>
      </c>
      <c r="SX232" s="79" t="e">
        <f>#REF!*#REF!/1000</f>
        <v>#REF!</v>
      </c>
      <c r="SY232" s="79" t="e">
        <f>#REF!*#REF!/1000</f>
        <v>#REF!</v>
      </c>
      <c r="SZ232" s="79" t="e">
        <f>#REF!*#REF!/1000</f>
        <v>#REF!</v>
      </c>
      <c r="TA232" s="79" t="e">
        <f>#REF!*#REF!/1000</f>
        <v>#REF!</v>
      </c>
      <c r="TB232" s="79" t="e">
        <f>#REF!*#REF!/1000</f>
        <v>#REF!</v>
      </c>
      <c r="TC232" s="79" t="e">
        <f>#REF!*#REF!/1000</f>
        <v>#REF!</v>
      </c>
      <c r="TD232" s="79" t="e">
        <f>#REF!*#REF!/1000</f>
        <v>#REF!</v>
      </c>
      <c r="TE232" s="79" t="e">
        <f>#REF!*#REF!/1000</f>
        <v>#REF!</v>
      </c>
      <c r="TF232" s="79" t="e">
        <f>#REF!*#REF!/1000</f>
        <v>#REF!</v>
      </c>
      <c r="TG232" s="79" t="e">
        <f>#REF!*#REF!/1000</f>
        <v>#REF!</v>
      </c>
      <c r="TH232" s="79" t="e">
        <f>#REF!*#REF!/1000</f>
        <v>#REF!</v>
      </c>
      <c r="TI232" s="79" t="e">
        <f>#REF!*#REF!/1000</f>
        <v>#REF!</v>
      </c>
      <c r="TJ232" s="79" t="e">
        <f>#REF!*#REF!/1000</f>
        <v>#REF!</v>
      </c>
      <c r="TK232" s="79" t="e">
        <f>#REF!*#REF!/1000</f>
        <v>#REF!</v>
      </c>
      <c r="TL232" s="79" t="e">
        <f>#REF!*#REF!/1000</f>
        <v>#REF!</v>
      </c>
      <c r="TM232" s="79" t="e">
        <f>#REF!*#REF!/1000</f>
        <v>#REF!</v>
      </c>
      <c r="TN232" s="79" t="e">
        <f>#REF!*#REF!/1000</f>
        <v>#REF!</v>
      </c>
      <c r="TO232" s="79" t="e">
        <f>#REF!*#REF!/1000</f>
        <v>#REF!</v>
      </c>
      <c r="TP232" s="79" t="e">
        <f>#REF!*#REF!/1000</f>
        <v>#REF!</v>
      </c>
      <c r="TQ232" s="79" t="e">
        <f>#REF!*#REF!/1000</f>
        <v>#REF!</v>
      </c>
      <c r="TR232" s="79" t="e">
        <f>#REF!*#REF!/1000</f>
        <v>#REF!</v>
      </c>
      <c r="TS232" s="79" t="e">
        <f>#REF!*#REF!/1000</f>
        <v>#REF!</v>
      </c>
      <c r="TT232" s="79" t="e">
        <f>#REF!*#REF!/1000</f>
        <v>#REF!</v>
      </c>
      <c r="TU232" s="79" t="e">
        <f>#REF!*#REF!/1000</f>
        <v>#REF!</v>
      </c>
      <c r="TV232" s="79" t="e">
        <f>#REF!*#REF!/1000</f>
        <v>#REF!</v>
      </c>
      <c r="TW232" s="79" t="e">
        <f>#REF!*#REF!/1000</f>
        <v>#REF!</v>
      </c>
      <c r="TX232" s="79" t="e">
        <f>#REF!*#REF!/1000</f>
        <v>#REF!</v>
      </c>
      <c r="TY232" s="79" t="e">
        <f>#REF!*#REF!/1000</f>
        <v>#REF!</v>
      </c>
      <c r="TZ232" s="79" t="e">
        <f>#REF!*#REF!/1000</f>
        <v>#REF!</v>
      </c>
      <c r="UA232" s="79" t="e">
        <f>#REF!*#REF!/1000</f>
        <v>#REF!</v>
      </c>
      <c r="UB232" s="79" t="e">
        <f>#REF!*#REF!/1000</f>
        <v>#REF!</v>
      </c>
      <c r="UC232" s="79" t="e">
        <f>#REF!*#REF!/1000</f>
        <v>#REF!</v>
      </c>
      <c r="UD232" s="79" t="e">
        <f>#REF!*#REF!/1000</f>
        <v>#REF!</v>
      </c>
      <c r="UE232" s="79" t="e">
        <f>#REF!*#REF!/1000</f>
        <v>#REF!</v>
      </c>
      <c r="UF232" s="79" t="e">
        <f>#REF!*#REF!/1000</f>
        <v>#REF!</v>
      </c>
      <c r="UG232" s="79" t="e">
        <f>#REF!*#REF!/1000</f>
        <v>#REF!</v>
      </c>
      <c r="UH232" s="79" t="e">
        <f>#REF!*#REF!/1000</f>
        <v>#REF!</v>
      </c>
      <c r="UI232" s="79" t="e">
        <f>#REF!*#REF!/1000</f>
        <v>#REF!</v>
      </c>
      <c r="UJ232" s="79" t="e">
        <f>#REF!*#REF!/1000</f>
        <v>#REF!</v>
      </c>
      <c r="UK232" s="79" t="e">
        <f>#REF!*#REF!/1000</f>
        <v>#REF!</v>
      </c>
      <c r="UL232" s="79" t="e">
        <f>#REF!*#REF!/1000</f>
        <v>#REF!</v>
      </c>
      <c r="UM232" s="79" t="e">
        <f>#REF!*#REF!/1000</f>
        <v>#REF!</v>
      </c>
      <c r="UN232" s="79" t="e">
        <f>#REF!*#REF!/1000</f>
        <v>#REF!</v>
      </c>
      <c r="UO232" s="79" t="e">
        <f>#REF!*#REF!/1000</f>
        <v>#REF!</v>
      </c>
      <c r="UP232" s="79" t="e">
        <f>#REF!*#REF!/1000</f>
        <v>#REF!</v>
      </c>
      <c r="UQ232" s="79" t="e">
        <f>#REF!*#REF!/1000</f>
        <v>#REF!</v>
      </c>
      <c r="UR232" s="79" t="e">
        <f>#REF!*#REF!/1000</f>
        <v>#REF!</v>
      </c>
      <c r="US232" s="79" t="e">
        <f>#REF!*#REF!/1000</f>
        <v>#REF!</v>
      </c>
      <c r="UT232" s="79" t="e">
        <f>#REF!*#REF!/1000</f>
        <v>#REF!</v>
      </c>
      <c r="UU232" s="79" t="e">
        <f>#REF!*#REF!/1000</f>
        <v>#REF!</v>
      </c>
      <c r="UV232" s="79" t="e">
        <f>#REF!*#REF!/1000</f>
        <v>#REF!</v>
      </c>
      <c r="UW232" s="79" t="e">
        <f>#REF!*#REF!/1000</f>
        <v>#REF!</v>
      </c>
      <c r="UX232" s="79" t="e">
        <f>#REF!*#REF!/1000</f>
        <v>#REF!</v>
      </c>
      <c r="UY232" s="79" t="e">
        <f>#REF!*#REF!/1000</f>
        <v>#REF!</v>
      </c>
      <c r="UZ232" s="79" t="e">
        <f>#REF!*#REF!/1000</f>
        <v>#REF!</v>
      </c>
      <c r="VA232" s="79" t="e">
        <f>#REF!*#REF!/1000</f>
        <v>#REF!</v>
      </c>
      <c r="VB232" s="79" t="e">
        <f>#REF!*#REF!/1000</f>
        <v>#REF!</v>
      </c>
      <c r="VC232" s="79" t="e">
        <f>#REF!*#REF!/1000</f>
        <v>#REF!</v>
      </c>
      <c r="VD232" s="79" t="e">
        <f>#REF!*#REF!/1000</f>
        <v>#REF!</v>
      </c>
      <c r="VE232" s="79" t="e">
        <f>#REF!*#REF!/1000</f>
        <v>#REF!</v>
      </c>
      <c r="VF232" s="79" t="e">
        <f>#REF!*#REF!/1000</f>
        <v>#REF!</v>
      </c>
      <c r="VG232" s="79" t="e">
        <f>#REF!*#REF!/1000</f>
        <v>#REF!</v>
      </c>
      <c r="VH232" s="79" t="e">
        <f>#REF!*#REF!/1000</f>
        <v>#REF!</v>
      </c>
      <c r="VI232" s="79" t="e">
        <f>#REF!*#REF!/1000</f>
        <v>#REF!</v>
      </c>
      <c r="VJ232" s="79" t="e">
        <f>#REF!*#REF!/1000</f>
        <v>#REF!</v>
      </c>
      <c r="VK232" s="79" t="e">
        <f>#REF!*#REF!/1000</f>
        <v>#REF!</v>
      </c>
      <c r="VL232" s="79" t="e">
        <f>#REF!*#REF!/1000</f>
        <v>#REF!</v>
      </c>
      <c r="VM232" s="79" t="e">
        <f>#REF!*#REF!/1000</f>
        <v>#REF!</v>
      </c>
      <c r="VN232" s="79" t="e">
        <f>#REF!*#REF!/1000</f>
        <v>#REF!</v>
      </c>
      <c r="VO232" s="79" t="e">
        <f>#REF!*#REF!/1000</f>
        <v>#REF!</v>
      </c>
      <c r="VP232" s="79" t="e">
        <f>#REF!*#REF!/1000</f>
        <v>#REF!</v>
      </c>
      <c r="VQ232" s="79" t="e">
        <f>#REF!*#REF!/1000</f>
        <v>#REF!</v>
      </c>
      <c r="VR232" s="79" t="e">
        <f>#REF!*#REF!/1000</f>
        <v>#REF!</v>
      </c>
      <c r="VS232" s="79" t="e">
        <f>#REF!*#REF!/1000</f>
        <v>#REF!</v>
      </c>
      <c r="VT232" s="79" t="e">
        <f>#REF!*#REF!/1000</f>
        <v>#REF!</v>
      </c>
      <c r="VU232" s="79" t="e">
        <f>#REF!*#REF!/1000</f>
        <v>#REF!</v>
      </c>
      <c r="VV232" s="79" t="e">
        <f>#REF!*#REF!/1000</f>
        <v>#REF!</v>
      </c>
      <c r="VW232" s="79" t="e">
        <f>#REF!*#REF!/1000</f>
        <v>#REF!</v>
      </c>
      <c r="VX232" s="79" t="e">
        <f>#REF!*#REF!/1000</f>
        <v>#REF!</v>
      </c>
      <c r="VY232" s="79" t="e">
        <f>#REF!*#REF!/1000</f>
        <v>#REF!</v>
      </c>
      <c r="VZ232" s="79" t="e">
        <f>#REF!*#REF!/1000</f>
        <v>#REF!</v>
      </c>
      <c r="WA232" s="79" t="e">
        <f>#REF!*#REF!/1000</f>
        <v>#REF!</v>
      </c>
      <c r="WB232" s="79" t="e">
        <f>#REF!*#REF!/1000</f>
        <v>#REF!</v>
      </c>
      <c r="WC232" s="79" t="e">
        <f>#REF!*#REF!/1000</f>
        <v>#REF!</v>
      </c>
      <c r="WD232" s="79" t="e">
        <f>#REF!*#REF!/1000</f>
        <v>#REF!</v>
      </c>
      <c r="WE232" s="79" t="e">
        <f>#REF!*#REF!/1000</f>
        <v>#REF!</v>
      </c>
      <c r="WF232" s="79" t="e">
        <f>#REF!*#REF!/1000</f>
        <v>#REF!</v>
      </c>
      <c r="WG232" s="79" t="e">
        <f>#REF!*#REF!/1000</f>
        <v>#REF!</v>
      </c>
      <c r="WH232" s="79" t="e">
        <f>#REF!*#REF!/1000</f>
        <v>#REF!</v>
      </c>
      <c r="WI232" s="79" t="e">
        <f>#REF!*#REF!/1000</f>
        <v>#REF!</v>
      </c>
      <c r="WJ232" s="79" t="e">
        <f>#REF!*#REF!/1000</f>
        <v>#REF!</v>
      </c>
      <c r="WK232" s="79" t="e">
        <f>#REF!*#REF!/1000</f>
        <v>#REF!</v>
      </c>
      <c r="WL232" s="79" t="e">
        <f>#REF!*#REF!/1000</f>
        <v>#REF!</v>
      </c>
      <c r="WM232" s="79" t="e">
        <f>#REF!*#REF!/1000</f>
        <v>#REF!</v>
      </c>
      <c r="WN232" s="79" t="e">
        <f>#REF!*#REF!/1000</f>
        <v>#REF!</v>
      </c>
      <c r="WO232" s="79" t="e">
        <f>#REF!*#REF!/1000</f>
        <v>#REF!</v>
      </c>
      <c r="WP232" s="79" t="e">
        <f>#REF!*#REF!/1000</f>
        <v>#REF!</v>
      </c>
      <c r="WQ232" s="79" t="e">
        <f>#REF!*#REF!/1000</f>
        <v>#REF!</v>
      </c>
      <c r="WR232" s="79" t="e">
        <f>#REF!*#REF!/1000</f>
        <v>#REF!</v>
      </c>
      <c r="WS232" s="79" t="e">
        <f>#REF!*#REF!/1000</f>
        <v>#REF!</v>
      </c>
      <c r="WT232" s="79" t="e">
        <f>#REF!*#REF!/1000</f>
        <v>#REF!</v>
      </c>
      <c r="WU232" s="79" t="e">
        <f>#REF!*#REF!/1000</f>
        <v>#REF!</v>
      </c>
      <c r="WV232" s="79" t="e">
        <f>#REF!*#REF!/1000</f>
        <v>#REF!</v>
      </c>
      <c r="WW232" s="79" t="e">
        <f>#REF!*#REF!/1000</f>
        <v>#REF!</v>
      </c>
      <c r="WX232" s="79" t="e">
        <f>#REF!*#REF!/1000</f>
        <v>#REF!</v>
      </c>
      <c r="WY232" s="79" t="e">
        <f>#REF!*#REF!/1000</f>
        <v>#REF!</v>
      </c>
      <c r="WZ232" s="79" t="e">
        <f>#REF!*#REF!/1000</f>
        <v>#REF!</v>
      </c>
      <c r="XA232" s="79" t="e">
        <f>#REF!*#REF!/1000</f>
        <v>#REF!</v>
      </c>
      <c r="XB232" s="79" t="e">
        <f>#REF!*#REF!/1000</f>
        <v>#REF!</v>
      </c>
      <c r="XC232" s="79" t="e">
        <f>#REF!*#REF!/1000</f>
        <v>#REF!</v>
      </c>
      <c r="XD232" s="79" t="e">
        <f>#REF!*#REF!/1000</f>
        <v>#REF!</v>
      </c>
      <c r="XE232" s="79" t="e">
        <f>#REF!*#REF!/1000</f>
        <v>#REF!</v>
      </c>
      <c r="XF232" s="79" t="e">
        <f>#REF!*#REF!/1000</f>
        <v>#REF!</v>
      </c>
      <c r="XG232" s="79" t="e">
        <f>#REF!*#REF!/1000</f>
        <v>#REF!</v>
      </c>
      <c r="XH232" s="79" t="e">
        <f>#REF!*#REF!/1000</f>
        <v>#REF!</v>
      </c>
      <c r="XI232" s="79" t="e">
        <f>#REF!*#REF!/1000</f>
        <v>#REF!</v>
      </c>
      <c r="XJ232" s="79" t="e">
        <f>#REF!*#REF!/1000</f>
        <v>#REF!</v>
      </c>
      <c r="XK232" s="79" t="e">
        <f>#REF!*#REF!/1000</f>
        <v>#REF!</v>
      </c>
      <c r="XL232" s="79" t="e">
        <f>#REF!*#REF!/1000</f>
        <v>#REF!</v>
      </c>
      <c r="XM232" s="79" t="e">
        <f>#REF!*#REF!/1000</f>
        <v>#REF!</v>
      </c>
      <c r="XN232" s="79" t="e">
        <f>#REF!*#REF!/1000</f>
        <v>#REF!</v>
      </c>
      <c r="XO232" s="79" t="e">
        <f>#REF!*#REF!/1000</f>
        <v>#REF!</v>
      </c>
      <c r="XP232" s="79" t="e">
        <f>#REF!*#REF!/1000</f>
        <v>#REF!</v>
      </c>
      <c r="XQ232" s="79" t="e">
        <f>#REF!*#REF!/1000</f>
        <v>#REF!</v>
      </c>
      <c r="XR232" s="79" t="e">
        <f>#REF!*#REF!/1000</f>
        <v>#REF!</v>
      </c>
      <c r="XS232" s="79" t="e">
        <f>#REF!*#REF!/1000</f>
        <v>#REF!</v>
      </c>
      <c r="XT232" s="79" t="e">
        <f>#REF!*#REF!/1000</f>
        <v>#REF!</v>
      </c>
      <c r="XU232" s="79" t="e">
        <f>#REF!*#REF!/1000</f>
        <v>#REF!</v>
      </c>
      <c r="XV232" s="79" t="e">
        <f>#REF!*#REF!/1000</f>
        <v>#REF!</v>
      </c>
      <c r="XW232" s="79" t="e">
        <f>#REF!*#REF!/1000</f>
        <v>#REF!</v>
      </c>
      <c r="XX232" s="79" t="e">
        <f>#REF!*#REF!/1000</f>
        <v>#REF!</v>
      </c>
      <c r="XY232" s="79" t="e">
        <f>#REF!*#REF!/1000</f>
        <v>#REF!</v>
      </c>
      <c r="XZ232" s="79" t="e">
        <f>#REF!*#REF!/1000</f>
        <v>#REF!</v>
      </c>
      <c r="YA232" s="79" t="e">
        <f>#REF!*#REF!/1000</f>
        <v>#REF!</v>
      </c>
      <c r="YB232" s="79" t="e">
        <f>#REF!*#REF!/1000</f>
        <v>#REF!</v>
      </c>
      <c r="YC232" s="79" t="e">
        <f>#REF!*#REF!/1000</f>
        <v>#REF!</v>
      </c>
      <c r="YD232" s="79" t="e">
        <f>#REF!*#REF!/1000</f>
        <v>#REF!</v>
      </c>
      <c r="YE232" s="79" t="e">
        <f>#REF!*#REF!/1000</f>
        <v>#REF!</v>
      </c>
      <c r="YF232" s="79" t="e">
        <f>#REF!*#REF!/1000</f>
        <v>#REF!</v>
      </c>
      <c r="YG232" s="79" t="e">
        <f>#REF!*#REF!/1000</f>
        <v>#REF!</v>
      </c>
      <c r="YH232" s="79" t="e">
        <f>#REF!*#REF!/1000</f>
        <v>#REF!</v>
      </c>
      <c r="YI232" s="79" t="e">
        <f>#REF!*#REF!/1000</f>
        <v>#REF!</v>
      </c>
      <c r="YJ232" s="79" t="e">
        <f>#REF!*#REF!/1000</f>
        <v>#REF!</v>
      </c>
      <c r="YK232" s="79" t="e">
        <f>#REF!*#REF!/1000</f>
        <v>#REF!</v>
      </c>
      <c r="YL232" s="79" t="e">
        <f>#REF!*#REF!/1000</f>
        <v>#REF!</v>
      </c>
      <c r="YM232" s="79" t="e">
        <f>#REF!*#REF!/1000</f>
        <v>#REF!</v>
      </c>
      <c r="YN232" s="79" t="e">
        <f>#REF!*#REF!/1000</f>
        <v>#REF!</v>
      </c>
      <c r="YO232" s="79" t="e">
        <f>#REF!*#REF!/1000</f>
        <v>#REF!</v>
      </c>
      <c r="YP232" s="79" t="e">
        <f>#REF!*#REF!/1000</f>
        <v>#REF!</v>
      </c>
      <c r="YQ232" s="79" t="e">
        <f>#REF!*#REF!/1000</f>
        <v>#REF!</v>
      </c>
      <c r="YR232" s="79" t="e">
        <f>#REF!*#REF!/1000</f>
        <v>#REF!</v>
      </c>
      <c r="YS232" s="79" t="e">
        <f>#REF!*#REF!/1000</f>
        <v>#REF!</v>
      </c>
      <c r="YT232" s="79" t="e">
        <f>#REF!*#REF!/1000</f>
        <v>#REF!</v>
      </c>
      <c r="YU232" s="79" t="e">
        <f>#REF!*#REF!/1000</f>
        <v>#REF!</v>
      </c>
      <c r="YV232" s="79" t="e">
        <f>#REF!*#REF!/1000</f>
        <v>#REF!</v>
      </c>
      <c r="YW232" s="79" t="e">
        <f>#REF!*#REF!/1000</f>
        <v>#REF!</v>
      </c>
      <c r="YX232" s="79" t="e">
        <f>#REF!*#REF!/1000</f>
        <v>#REF!</v>
      </c>
      <c r="YY232" s="79" t="e">
        <f>#REF!*#REF!/1000</f>
        <v>#REF!</v>
      </c>
      <c r="YZ232" s="79" t="e">
        <f>#REF!*#REF!/1000</f>
        <v>#REF!</v>
      </c>
      <c r="ZA232" s="79" t="e">
        <f>#REF!*#REF!/1000</f>
        <v>#REF!</v>
      </c>
      <c r="ZB232" s="79" t="e">
        <f>#REF!*#REF!/1000</f>
        <v>#REF!</v>
      </c>
      <c r="ZC232" s="79" t="e">
        <f>#REF!*#REF!/1000</f>
        <v>#REF!</v>
      </c>
      <c r="ZD232" s="79" t="e">
        <f>#REF!*#REF!/1000</f>
        <v>#REF!</v>
      </c>
      <c r="ZE232" s="79" t="e">
        <f>#REF!*#REF!/1000</f>
        <v>#REF!</v>
      </c>
      <c r="ZF232" s="79" t="e">
        <f>#REF!*#REF!/1000</f>
        <v>#REF!</v>
      </c>
      <c r="ZG232" s="79" t="e">
        <f>#REF!*#REF!/1000</f>
        <v>#REF!</v>
      </c>
      <c r="ZH232" s="79" t="e">
        <f>#REF!*#REF!/1000</f>
        <v>#REF!</v>
      </c>
      <c r="ZI232" s="79" t="e">
        <f>#REF!*#REF!/1000</f>
        <v>#REF!</v>
      </c>
      <c r="ZJ232" s="79" t="e">
        <f>#REF!*#REF!/1000</f>
        <v>#REF!</v>
      </c>
      <c r="ZK232" s="79" t="e">
        <f>#REF!*#REF!/1000</f>
        <v>#REF!</v>
      </c>
      <c r="ZL232" s="79" t="e">
        <f>#REF!*#REF!/1000</f>
        <v>#REF!</v>
      </c>
      <c r="ZM232" s="79" t="e">
        <f>#REF!*#REF!/1000</f>
        <v>#REF!</v>
      </c>
      <c r="ZN232" s="79" t="e">
        <f>#REF!*#REF!/1000</f>
        <v>#REF!</v>
      </c>
      <c r="ZO232" s="79" t="e">
        <f>#REF!*#REF!/1000</f>
        <v>#REF!</v>
      </c>
      <c r="ZP232" s="79" t="e">
        <f>#REF!*#REF!/1000</f>
        <v>#REF!</v>
      </c>
      <c r="ZQ232" s="79" t="e">
        <f>#REF!*#REF!/1000</f>
        <v>#REF!</v>
      </c>
      <c r="ZR232" s="79" t="e">
        <f>#REF!*#REF!/1000</f>
        <v>#REF!</v>
      </c>
      <c r="ZS232" s="79" t="e">
        <f>#REF!*#REF!/1000</f>
        <v>#REF!</v>
      </c>
      <c r="ZT232" s="79" t="e">
        <f>#REF!*#REF!/1000</f>
        <v>#REF!</v>
      </c>
      <c r="ZU232" s="79" t="e">
        <f>#REF!*#REF!/1000</f>
        <v>#REF!</v>
      </c>
      <c r="ZV232" s="79" t="e">
        <f>#REF!*#REF!/1000</f>
        <v>#REF!</v>
      </c>
      <c r="ZW232" s="79" t="e">
        <f>#REF!*#REF!/1000</f>
        <v>#REF!</v>
      </c>
      <c r="ZX232" s="79" t="e">
        <f>#REF!*#REF!/1000</f>
        <v>#REF!</v>
      </c>
      <c r="ZY232" s="79" t="e">
        <f>#REF!*#REF!/1000</f>
        <v>#REF!</v>
      </c>
      <c r="ZZ232" s="79" t="e">
        <f>#REF!*#REF!/1000</f>
        <v>#REF!</v>
      </c>
      <c r="AAA232" s="79" t="e">
        <f>#REF!*#REF!/1000</f>
        <v>#REF!</v>
      </c>
      <c r="AAB232" s="79" t="e">
        <f>#REF!*#REF!/1000</f>
        <v>#REF!</v>
      </c>
      <c r="AAC232" s="79" t="e">
        <f>#REF!*#REF!/1000</f>
        <v>#REF!</v>
      </c>
      <c r="AAD232" s="79" t="e">
        <f>#REF!*#REF!/1000</f>
        <v>#REF!</v>
      </c>
      <c r="AAE232" s="79" t="e">
        <f>#REF!*#REF!/1000</f>
        <v>#REF!</v>
      </c>
      <c r="AAF232" s="79" t="e">
        <f>#REF!*#REF!/1000</f>
        <v>#REF!</v>
      </c>
      <c r="AAG232" s="79" t="e">
        <f>#REF!*#REF!/1000</f>
        <v>#REF!</v>
      </c>
      <c r="AAH232" s="79" t="e">
        <f>#REF!*#REF!/1000</f>
        <v>#REF!</v>
      </c>
      <c r="AAI232" s="79" t="e">
        <f>#REF!*#REF!/1000</f>
        <v>#REF!</v>
      </c>
      <c r="AAJ232" s="79" t="e">
        <f>#REF!*#REF!/1000</f>
        <v>#REF!</v>
      </c>
      <c r="AAK232" s="79" t="e">
        <f>#REF!*#REF!/1000</f>
        <v>#REF!</v>
      </c>
      <c r="AAL232" s="79" t="e">
        <f>#REF!*#REF!/1000</f>
        <v>#REF!</v>
      </c>
      <c r="AAM232" s="79" t="e">
        <f>#REF!*#REF!/1000</f>
        <v>#REF!</v>
      </c>
      <c r="AAN232" s="79" t="e">
        <f>#REF!*#REF!/1000</f>
        <v>#REF!</v>
      </c>
      <c r="AAO232" s="79" t="e">
        <f>#REF!*#REF!/1000</f>
        <v>#REF!</v>
      </c>
      <c r="AAP232" s="79" t="e">
        <f>#REF!*#REF!/1000</f>
        <v>#REF!</v>
      </c>
      <c r="AAQ232" s="79" t="e">
        <f>#REF!*#REF!/1000</f>
        <v>#REF!</v>
      </c>
      <c r="AAR232" s="79" t="e">
        <f>#REF!*#REF!/1000</f>
        <v>#REF!</v>
      </c>
      <c r="AAS232" s="79" t="e">
        <f>#REF!*#REF!/1000</f>
        <v>#REF!</v>
      </c>
      <c r="AAT232" s="79" t="e">
        <f>#REF!*#REF!/1000</f>
        <v>#REF!</v>
      </c>
      <c r="AAU232" s="79" t="e">
        <f>#REF!*#REF!/1000</f>
        <v>#REF!</v>
      </c>
      <c r="AAV232" s="79" t="e">
        <f>#REF!*#REF!/1000</f>
        <v>#REF!</v>
      </c>
      <c r="AAW232" s="79" t="e">
        <f>#REF!*#REF!/1000</f>
        <v>#REF!</v>
      </c>
      <c r="AAX232" s="79" t="e">
        <f>#REF!*#REF!/1000</f>
        <v>#REF!</v>
      </c>
      <c r="AAY232" s="79" t="e">
        <f>#REF!*#REF!/1000</f>
        <v>#REF!</v>
      </c>
      <c r="AAZ232" s="79" t="e">
        <f>#REF!*#REF!/1000</f>
        <v>#REF!</v>
      </c>
      <c r="ABA232" s="79" t="e">
        <f>#REF!*#REF!/1000</f>
        <v>#REF!</v>
      </c>
      <c r="ABB232" s="79" t="e">
        <f>#REF!*#REF!/1000</f>
        <v>#REF!</v>
      </c>
      <c r="ABC232" s="79" t="e">
        <f>#REF!*#REF!/1000</f>
        <v>#REF!</v>
      </c>
      <c r="ABD232" s="79" t="e">
        <f>#REF!*#REF!/1000</f>
        <v>#REF!</v>
      </c>
      <c r="ABE232" s="79" t="e">
        <f>#REF!*#REF!/1000</f>
        <v>#REF!</v>
      </c>
      <c r="ABF232" s="79" t="e">
        <f>#REF!*#REF!/1000</f>
        <v>#REF!</v>
      </c>
      <c r="ABG232" s="79" t="e">
        <f>#REF!*#REF!/1000</f>
        <v>#REF!</v>
      </c>
      <c r="ABH232" s="79" t="e">
        <f>#REF!*#REF!/1000</f>
        <v>#REF!</v>
      </c>
      <c r="ABI232" s="79" t="e">
        <f>#REF!*#REF!/1000</f>
        <v>#REF!</v>
      </c>
      <c r="ABJ232" s="79" t="e">
        <f>#REF!*#REF!/1000</f>
        <v>#REF!</v>
      </c>
      <c r="ABK232" s="79" t="e">
        <f>#REF!*#REF!/1000</f>
        <v>#REF!</v>
      </c>
      <c r="ABL232" s="79" t="e">
        <f>#REF!*#REF!/1000</f>
        <v>#REF!</v>
      </c>
      <c r="ABM232" s="79" t="e">
        <f>#REF!*#REF!/1000</f>
        <v>#REF!</v>
      </c>
      <c r="ABN232" s="79" t="e">
        <f>#REF!*#REF!/1000</f>
        <v>#REF!</v>
      </c>
      <c r="ABO232" s="79" t="e">
        <f>#REF!*#REF!/1000</f>
        <v>#REF!</v>
      </c>
      <c r="ABP232" s="79" t="e">
        <f>#REF!*#REF!/1000</f>
        <v>#REF!</v>
      </c>
      <c r="ABQ232" s="79" t="e">
        <f>#REF!*#REF!/1000</f>
        <v>#REF!</v>
      </c>
      <c r="ABR232" s="79" t="e">
        <f>#REF!*#REF!/1000</f>
        <v>#REF!</v>
      </c>
      <c r="ABS232" s="79" t="e">
        <f>#REF!*#REF!/1000</f>
        <v>#REF!</v>
      </c>
      <c r="ABT232" s="79" t="e">
        <f>#REF!*#REF!/1000</f>
        <v>#REF!</v>
      </c>
      <c r="ABU232" s="79" t="e">
        <f>#REF!*#REF!/1000</f>
        <v>#REF!</v>
      </c>
      <c r="ABV232" s="79" t="e">
        <f>#REF!*#REF!/1000</f>
        <v>#REF!</v>
      </c>
      <c r="ABW232" s="79" t="e">
        <f>#REF!*#REF!/1000</f>
        <v>#REF!</v>
      </c>
      <c r="ABX232" s="79" t="e">
        <f>#REF!*#REF!/1000</f>
        <v>#REF!</v>
      </c>
      <c r="ABY232" s="79" t="e">
        <f>#REF!*#REF!/1000</f>
        <v>#REF!</v>
      </c>
      <c r="ABZ232" s="79" t="e">
        <f>#REF!*#REF!/1000</f>
        <v>#REF!</v>
      </c>
      <c r="ACA232" s="79" t="e">
        <f>#REF!*#REF!/1000</f>
        <v>#REF!</v>
      </c>
      <c r="ACB232" s="79" t="e">
        <f>#REF!*#REF!/1000</f>
        <v>#REF!</v>
      </c>
      <c r="ACC232" s="79" t="e">
        <f>#REF!*#REF!/1000</f>
        <v>#REF!</v>
      </c>
      <c r="ACD232" s="79" t="e">
        <f>#REF!*#REF!/1000</f>
        <v>#REF!</v>
      </c>
      <c r="ACE232" s="79" t="e">
        <f>#REF!*#REF!/1000</f>
        <v>#REF!</v>
      </c>
      <c r="ACF232" s="79" t="e">
        <f>#REF!*#REF!/1000</f>
        <v>#REF!</v>
      </c>
      <c r="ACG232" s="79" t="e">
        <f>#REF!*#REF!/1000</f>
        <v>#REF!</v>
      </c>
      <c r="ACH232" s="79" t="e">
        <f>#REF!*#REF!/1000</f>
        <v>#REF!</v>
      </c>
      <c r="ACI232" s="79" t="e">
        <f>#REF!*#REF!/1000</f>
        <v>#REF!</v>
      </c>
      <c r="ACJ232" s="79" t="e">
        <f>#REF!*#REF!/1000</f>
        <v>#REF!</v>
      </c>
      <c r="ACK232" s="79" t="e">
        <f>#REF!*#REF!/1000</f>
        <v>#REF!</v>
      </c>
      <c r="ACL232" s="79" t="e">
        <f>#REF!*#REF!/1000</f>
        <v>#REF!</v>
      </c>
      <c r="ACM232" s="79" t="e">
        <f>#REF!*#REF!/1000</f>
        <v>#REF!</v>
      </c>
      <c r="ACN232" s="79" t="e">
        <f>#REF!*#REF!/1000</f>
        <v>#REF!</v>
      </c>
      <c r="ACO232" s="79" t="e">
        <f>#REF!*#REF!/1000</f>
        <v>#REF!</v>
      </c>
      <c r="ACP232" s="79" t="e">
        <f>#REF!*#REF!/1000</f>
        <v>#REF!</v>
      </c>
      <c r="ACQ232" s="79" t="e">
        <f>#REF!*#REF!/1000</f>
        <v>#REF!</v>
      </c>
      <c r="ACR232" s="79" t="e">
        <f>#REF!*#REF!/1000</f>
        <v>#REF!</v>
      </c>
      <c r="ACS232" s="79" t="e">
        <f>#REF!*#REF!/1000</f>
        <v>#REF!</v>
      </c>
      <c r="ACT232" s="79" t="e">
        <f>#REF!*#REF!/1000</f>
        <v>#REF!</v>
      </c>
      <c r="ACU232" s="79" t="e">
        <f>#REF!*#REF!/1000</f>
        <v>#REF!</v>
      </c>
      <c r="ACV232" s="79" t="e">
        <f>#REF!*#REF!/1000</f>
        <v>#REF!</v>
      </c>
      <c r="ACW232" s="79" t="e">
        <f>#REF!*#REF!/1000</f>
        <v>#REF!</v>
      </c>
      <c r="ACX232" s="79" t="e">
        <f>#REF!*#REF!/1000</f>
        <v>#REF!</v>
      </c>
      <c r="ACY232" s="79"/>
      <c r="ACZ232" s="79"/>
      <c r="ADA232" s="79"/>
      <c r="ADB232" s="79"/>
      <c r="ADC232" s="79"/>
      <c r="ADD232" s="79"/>
      <c r="ADE232" s="79"/>
      <c r="ADF232" s="79"/>
      <c r="ADG232" s="79"/>
      <c r="ADH232" s="79"/>
      <c r="ADI232" s="79"/>
      <c r="ADJ232" s="79"/>
      <c r="ADK232" s="79"/>
      <c r="ADL232" s="79"/>
      <c r="ADM232" s="79"/>
      <c r="ADN232" s="79"/>
      <c r="AQP232" s="165"/>
    </row>
    <row r="233" spans="4:794 1134:1134" ht="14.25" x14ac:dyDescent="0.45">
      <c r="D233" t="s">
        <v>415</v>
      </c>
      <c r="E233" s="79" t="e">
        <f>#REF!</f>
        <v>#REF!</v>
      </c>
      <c r="F233" s="79" t="e">
        <f>#REF!</f>
        <v>#REF!</v>
      </c>
      <c r="G233" s="79" t="e">
        <f>#REF!</f>
        <v>#REF!</v>
      </c>
      <c r="H233" s="79" t="e">
        <f>#REF!</f>
        <v>#REF!</v>
      </c>
      <c r="I233" s="79" t="e">
        <f>#REF!</f>
        <v>#REF!</v>
      </c>
      <c r="J233" s="79" t="e">
        <f>#REF!</f>
        <v>#REF!</v>
      </c>
      <c r="K233" s="79" t="e">
        <f>#REF!</f>
        <v>#REF!</v>
      </c>
      <c r="L233" s="79" t="e">
        <f>#REF!</f>
        <v>#REF!</v>
      </c>
      <c r="M233" s="79" t="e">
        <f>#REF!</f>
        <v>#REF!</v>
      </c>
      <c r="N233" s="79" t="e">
        <f>#REF!</f>
        <v>#REF!</v>
      </c>
      <c r="O233" s="79" t="e">
        <f>#REF!</f>
        <v>#REF!</v>
      </c>
      <c r="P233" s="79" t="e">
        <f>#REF!</f>
        <v>#REF!</v>
      </c>
      <c r="Q233" s="79" t="e">
        <f>#REF!</f>
        <v>#REF!</v>
      </c>
      <c r="R233" s="79" t="e">
        <f>#REF!</f>
        <v>#REF!</v>
      </c>
      <c r="S233" s="79" t="e">
        <f>#REF!</f>
        <v>#REF!</v>
      </c>
      <c r="T233" s="79" t="e">
        <f>#REF!</f>
        <v>#REF!</v>
      </c>
      <c r="U233" s="79" t="e">
        <f>#REF!</f>
        <v>#REF!</v>
      </c>
      <c r="V233" s="79" t="e">
        <f>#REF!</f>
        <v>#REF!</v>
      </c>
      <c r="W233" s="79" t="e">
        <f>#REF!</f>
        <v>#REF!</v>
      </c>
      <c r="X233" s="79" t="e">
        <f>#REF!</f>
        <v>#REF!</v>
      </c>
      <c r="Y233" s="79" t="e">
        <f>#REF!</f>
        <v>#REF!</v>
      </c>
      <c r="Z233" s="79" t="e">
        <f>#REF!</f>
        <v>#REF!</v>
      </c>
      <c r="AA233" s="79" t="e">
        <f>#REF!</f>
        <v>#REF!</v>
      </c>
      <c r="AB233" s="79" t="e">
        <f>#REF!</f>
        <v>#REF!</v>
      </c>
      <c r="AC233" s="79" t="e">
        <f>#REF!</f>
        <v>#REF!</v>
      </c>
      <c r="AD233" s="79" t="e">
        <f>#REF!</f>
        <v>#REF!</v>
      </c>
      <c r="AE233" s="79" t="e">
        <f>#REF!</f>
        <v>#REF!</v>
      </c>
      <c r="AF233" s="79" t="e">
        <f>#REF!</f>
        <v>#REF!</v>
      </c>
      <c r="AG233" s="79" t="e">
        <f>#REF!</f>
        <v>#REF!</v>
      </c>
      <c r="AH233" s="79" t="e">
        <f>#REF!</f>
        <v>#REF!</v>
      </c>
      <c r="AI233" s="79" t="e">
        <f>#REF!</f>
        <v>#REF!</v>
      </c>
      <c r="AJ233" s="79" t="e">
        <f>#REF!</f>
        <v>#REF!</v>
      </c>
      <c r="AK233" s="79" t="e">
        <f>#REF!</f>
        <v>#REF!</v>
      </c>
      <c r="AL233" s="79" t="e">
        <f>#REF!</f>
        <v>#REF!</v>
      </c>
      <c r="AM233" s="79" t="e">
        <f>#REF!</f>
        <v>#REF!</v>
      </c>
      <c r="AN233" s="79" t="e">
        <f>#REF!</f>
        <v>#REF!</v>
      </c>
      <c r="AO233" s="79" t="e">
        <f>#REF!</f>
        <v>#REF!</v>
      </c>
      <c r="AP233" s="79" t="e">
        <f>#REF!</f>
        <v>#REF!</v>
      </c>
      <c r="AQ233" s="79" t="e">
        <f>#REF!</f>
        <v>#REF!</v>
      </c>
      <c r="AR233" s="79" t="e">
        <f>#REF!</f>
        <v>#REF!</v>
      </c>
      <c r="AS233" s="79" t="e">
        <f>#REF!</f>
        <v>#REF!</v>
      </c>
      <c r="AT233" s="79" t="e">
        <f>#REF!</f>
        <v>#REF!</v>
      </c>
      <c r="AU233" s="79" t="e">
        <f>#REF!</f>
        <v>#REF!</v>
      </c>
      <c r="AV233" s="79" t="e">
        <f>#REF!</f>
        <v>#REF!</v>
      </c>
      <c r="AW233" s="79" t="e">
        <f>#REF!</f>
        <v>#REF!</v>
      </c>
      <c r="AX233" s="79" t="e">
        <f>#REF!</f>
        <v>#REF!</v>
      </c>
      <c r="AY233" s="79" t="e">
        <f>#REF!</f>
        <v>#REF!</v>
      </c>
      <c r="AZ233" s="79" t="e">
        <f>#REF!</f>
        <v>#REF!</v>
      </c>
      <c r="BA233" s="79" t="e">
        <f>#REF!</f>
        <v>#REF!</v>
      </c>
      <c r="BB233" s="79" t="e">
        <f>#REF!</f>
        <v>#REF!</v>
      </c>
      <c r="BC233" s="79" t="e">
        <f>#REF!</f>
        <v>#REF!</v>
      </c>
      <c r="BD233" s="79" t="e">
        <f>#REF!</f>
        <v>#REF!</v>
      </c>
      <c r="BE233" s="79" t="e">
        <f>#REF!</f>
        <v>#REF!</v>
      </c>
      <c r="BF233" s="79" t="e">
        <f>#REF!</f>
        <v>#REF!</v>
      </c>
      <c r="BG233" s="79" t="e">
        <f>#REF!</f>
        <v>#REF!</v>
      </c>
      <c r="BH233" s="79" t="e">
        <f>#REF!</f>
        <v>#REF!</v>
      </c>
      <c r="BI233" s="79" t="e">
        <f>#REF!</f>
        <v>#REF!</v>
      </c>
      <c r="BJ233" s="79" t="e">
        <f>#REF!</f>
        <v>#REF!</v>
      </c>
      <c r="BK233" s="79" t="e">
        <f>#REF!</f>
        <v>#REF!</v>
      </c>
      <c r="BL233" s="79" t="e">
        <f>#REF!</f>
        <v>#REF!</v>
      </c>
      <c r="BM233" s="79" t="e">
        <f>#REF!</f>
        <v>#REF!</v>
      </c>
      <c r="BN233" s="79" t="e">
        <f>#REF!</f>
        <v>#REF!</v>
      </c>
      <c r="BO233" s="79" t="e">
        <f>#REF!</f>
        <v>#REF!</v>
      </c>
      <c r="BP233" s="79" t="e">
        <f>#REF!</f>
        <v>#REF!</v>
      </c>
      <c r="BQ233" s="79" t="e">
        <f>#REF!</f>
        <v>#REF!</v>
      </c>
      <c r="BR233" s="79" t="e">
        <f>#REF!</f>
        <v>#REF!</v>
      </c>
      <c r="BS233" s="79" t="e">
        <f>#REF!</f>
        <v>#REF!</v>
      </c>
      <c r="BT233" s="79" t="e">
        <f>#REF!</f>
        <v>#REF!</v>
      </c>
      <c r="BU233" s="79" t="e">
        <f>#REF!</f>
        <v>#REF!</v>
      </c>
      <c r="BV233" s="79" t="e">
        <f>#REF!</f>
        <v>#REF!</v>
      </c>
      <c r="BW233" s="79" t="e">
        <f>#REF!</f>
        <v>#REF!</v>
      </c>
      <c r="BX233" s="79" t="e">
        <f>#REF!</f>
        <v>#REF!</v>
      </c>
      <c r="BY233" s="79" t="e">
        <f>#REF!</f>
        <v>#REF!</v>
      </c>
      <c r="BZ233" s="79" t="e">
        <f>#REF!</f>
        <v>#REF!</v>
      </c>
      <c r="CA233" s="79" t="e">
        <f>#REF!</f>
        <v>#REF!</v>
      </c>
      <c r="CB233" s="79" t="e">
        <f>#REF!</f>
        <v>#REF!</v>
      </c>
      <c r="CC233" s="79" t="e">
        <f>#REF!</f>
        <v>#REF!</v>
      </c>
      <c r="CD233" s="79" t="e">
        <f>#REF!</f>
        <v>#REF!</v>
      </c>
      <c r="CE233" s="79" t="e">
        <f>#REF!</f>
        <v>#REF!</v>
      </c>
      <c r="CF233" s="79" t="e">
        <f>#REF!</f>
        <v>#REF!</v>
      </c>
      <c r="CG233" s="79" t="e">
        <f>#REF!</f>
        <v>#REF!</v>
      </c>
      <c r="CH233" s="79" t="e">
        <f>#REF!</f>
        <v>#REF!</v>
      </c>
      <c r="CI233" s="79" t="e">
        <f>#REF!</f>
        <v>#REF!</v>
      </c>
      <c r="CJ233" s="79" t="e">
        <f>#REF!</f>
        <v>#REF!</v>
      </c>
      <c r="CK233" s="79" t="e">
        <f>#REF!</f>
        <v>#REF!</v>
      </c>
      <c r="CL233" s="79" t="e">
        <f>#REF!</f>
        <v>#REF!</v>
      </c>
      <c r="CM233" s="79" t="e">
        <f>#REF!</f>
        <v>#REF!</v>
      </c>
      <c r="CN233" s="79" t="e">
        <f>#REF!</f>
        <v>#REF!</v>
      </c>
      <c r="CO233" s="79" t="e">
        <f>#REF!</f>
        <v>#REF!</v>
      </c>
      <c r="CP233" s="79" t="e">
        <f>#REF!</f>
        <v>#REF!</v>
      </c>
      <c r="CQ233" s="79" t="e">
        <f>#REF!</f>
        <v>#REF!</v>
      </c>
      <c r="CR233" s="79" t="e">
        <f>#REF!</f>
        <v>#REF!</v>
      </c>
      <c r="CS233" s="79" t="e">
        <f>#REF!</f>
        <v>#REF!</v>
      </c>
      <c r="CT233" s="79" t="e">
        <f>#REF!</f>
        <v>#REF!</v>
      </c>
      <c r="CU233" s="79" t="e">
        <f>#REF!</f>
        <v>#REF!</v>
      </c>
      <c r="CV233" s="79" t="e">
        <f>#REF!</f>
        <v>#REF!</v>
      </c>
      <c r="CW233" s="79" t="e">
        <f>#REF!</f>
        <v>#REF!</v>
      </c>
      <c r="CX233" s="79" t="e">
        <f>#REF!</f>
        <v>#REF!</v>
      </c>
      <c r="CY233" s="79" t="e">
        <f>#REF!</f>
        <v>#REF!</v>
      </c>
      <c r="CZ233" s="79" t="e">
        <f>#REF!</f>
        <v>#REF!</v>
      </c>
      <c r="DA233" s="79" t="e">
        <f>#REF!</f>
        <v>#REF!</v>
      </c>
      <c r="DB233" s="79" t="e">
        <f>#REF!</f>
        <v>#REF!</v>
      </c>
      <c r="DC233" s="79" t="e">
        <f>#REF!</f>
        <v>#REF!</v>
      </c>
      <c r="DD233" s="79" t="e">
        <f>#REF!</f>
        <v>#REF!</v>
      </c>
      <c r="DE233" s="79" t="e">
        <f>#REF!</f>
        <v>#REF!</v>
      </c>
      <c r="DF233" s="79" t="e">
        <f>#REF!</f>
        <v>#REF!</v>
      </c>
      <c r="DG233" s="79" t="e">
        <f>#REF!</f>
        <v>#REF!</v>
      </c>
      <c r="DH233" s="79" t="e">
        <f>#REF!</f>
        <v>#REF!</v>
      </c>
      <c r="DI233" s="79" t="e">
        <f>#REF!</f>
        <v>#REF!</v>
      </c>
      <c r="DJ233" s="79" t="e">
        <f>#REF!</f>
        <v>#REF!</v>
      </c>
      <c r="DK233" s="79" t="e">
        <f>#REF!</f>
        <v>#REF!</v>
      </c>
      <c r="DL233" s="79" t="e">
        <f>#REF!</f>
        <v>#REF!</v>
      </c>
      <c r="DM233" s="79" t="e">
        <f>#REF!</f>
        <v>#REF!</v>
      </c>
      <c r="DN233" s="79" t="e">
        <f>#REF!</f>
        <v>#REF!</v>
      </c>
      <c r="DO233" s="79" t="e">
        <f>#REF!</f>
        <v>#REF!</v>
      </c>
      <c r="DP233" s="79" t="e">
        <f>#REF!</f>
        <v>#REF!</v>
      </c>
      <c r="DQ233" s="79" t="e">
        <f>#REF!</f>
        <v>#REF!</v>
      </c>
      <c r="DR233" s="79" t="e">
        <f>#REF!</f>
        <v>#REF!</v>
      </c>
      <c r="DS233" s="79" t="e">
        <f>#REF!</f>
        <v>#REF!</v>
      </c>
      <c r="DT233" s="79" t="e">
        <f>#REF!</f>
        <v>#REF!</v>
      </c>
      <c r="DU233" s="79" t="e">
        <f>#REF!</f>
        <v>#REF!</v>
      </c>
      <c r="DV233" s="79" t="e">
        <f>#REF!</f>
        <v>#REF!</v>
      </c>
      <c r="DW233" s="79" t="e">
        <f>#REF!</f>
        <v>#REF!</v>
      </c>
      <c r="DX233" s="79" t="e">
        <f>#REF!</f>
        <v>#REF!</v>
      </c>
      <c r="DY233" s="79" t="e">
        <f>#REF!</f>
        <v>#REF!</v>
      </c>
      <c r="DZ233" s="79" t="e">
        <f>#REF!</f>
        <v>#REF!</v>
      </c>
      <c r="EA233" s="79" t="e">
        <f>#REF!</f>
        <v>#REF!</v>
      </c>
      <c r="EB233" s="79" t="e">
        <f>#REF!</f>
        <v>#REF!</v>
      </c>
      <c r="EC233" s="79" t="e">
        <f>#REF!</f>
        <v>#REF!</v>
      </c>
      <c r="ED233" s="79" t="e">
        <f>#REF!</f>
        <v>#REF!</v>
      </c>
      <c r="EE233" s="79" t="e">
        <f>#REF!</f>
        <v>#REF!</v>
      </c>
      <c r="EF233" s="79" t="e">
        <f>#REF!</f>
        <v>#REF!</v>
      </c>
      <c r="EG233" s="79" t="e">
        <f>#REF!</f>
        <v>#REF!</v>
      </c>
      <c r="EH233" s="79" t="e">
        <f>#REF!</f>
        <v>#REF!</v>
      </c>
      <c r="EI233" s="79" t="e">
        <f>#REF!</f>
        <v>#REF!</v>
      </c>
      <c r="EJ233" s="79" t="e">
        <f>#REF!</f>
        <v>#REF!</v>
      </c>
      <c r="EK233" s="79" t="e">
        <f>#REF!</f>
        <v>#REF!</v>
      </c>
      <c r="EL233" s="79" t="e">
        <f>#REF!</f>
        <v>#REF!</v>
      </c>
      <c r="EM233" s="79" t="e">
        <f>#REF!</f>
        <v>#REF!</v>
      </c>
      <c r="EN233" s="79" t="e">
        <f>#REF!</f>
        <v>#REF!</v>
      </c>
      <c r="EO233" s="79" t="e">
        <f>#REF!</f>
        <v>#REF!</v>
      </c>
      <c r="EP233" s="79" t="e">
        <f>#REF!</f>
        <v>#REF!</v>
      </c>
      <c r="EQ233" s="79" t="e">
        <f>#REF!</f>
        <v>#REF!</v>
      </c>
      <c r="ER233" s="79" t="e">
        <f>#REF!</f>
        <v>#REF!</v>
      </c>
      <c r="ES233" s="79" t="e">
        <f>#REF!</f>
        <v>#REF!</v>
      </c>
      <c r="ET233" s="79" t="e">
        <f>#REF!</f>
        <v>#REF!</v>
      </c>
      <c r="EU233" s="79" t="e">
        <f>#REF!</f>
        <v>#REF!</v>
      </c>
      <c r="EV233" s="79" t="e">
        <f>#REF!</f>
        <v>#REF!</v>
      </c>
      <c r="EW233" s="79" t="e">
        <f>#REF!</f>
        <v>#REF!</v>
      </c>
      <c r="EX233" s="79" t="e">
        <f>#REF!</f>
        <v>#REF!</v>
      </c>
      <c r="EY233" s="79" t="e">
        <f>#REF!</f>
        <v>#REF!</v>
      </c>
      <c r="EZ233" s="79" t="e">
        <f>#REF!</f>
        <v>#REF!</v>
      </c>
      <c r="FA233" s="79" t="e">
        <f>#REF!</f>
        <v>#REF!</v>
      </c>
      <c r="FB233" s="79" t="e">
        <f>#REF!</f>
        <v>#REF!</v>
      </c>
      <c r="FC233" s="79" t="e">
        <f>#REF!</f>
        <v>#REF!</v>
      </c>
      <c r="FD233" s="79" t="e">
        <f>#REF!</f>
        <v>#REF!</v>
      </c>
      <c r="FE233" s="79" t="e">
        <f>#REF!</f>
        <v>#REF!</v>
      </c>
      <c r="FF233" s="79" t="e">
        <f>#REF!</f>
        <v>#REF!</v>
      </c>
      <c r="FG233" s="79" t="e">
        <f>#REF!</f>
        <v>#REF!</v>
      </c>
      <c r="FH233" s="79" t="e">
        <f>#REF!</f>
        <v>#REF!</v>
      </c>
      <c r="FI233" s="79" t="e">
        <f>#REF!</f>
        <v>#REF!</v>
      </c>
      <c r="FJ233" s="79" t="e">
        <f>#REF!</f>
        <v>#REF!</v>
      </c>
      <c r="FK233" s="79" t="e">
        <f>#REF!</f>
        <v>#REF!</v>
      </c>
      <c r="FL233" s="79" t="e">
        <f>#REF!</f>
        <v>#REF!</v>
      </c>
      <c r="FM233" s="79" t="e">
        <f>#REF!</f>
        <v>#REF!</v>
      </c>
      <c r="FN233" s="79" t="e">
        <f>#REF!</f>
        <v>#REF!</v>
      </c>
      <c r="FO233" s="79" t="e">
        <f>#REF!</f>
        <v>#REF!</v>
      </c>
      <c r="FP233" s="79" t="e">
        <f>#REF!</f>
        <v>#REF!</v>
      </c>
      <c r="FQ233" s="79" t="e">
        <f>#REF!</f>
        <v>#REF!</v>
      </c>
      <c r="FR233" s="79" t="e">
        <f>#REF!</f>
        <v>#REF!</v>
      </c>
      <c r="FS233" s="79" t="e">
        <f>#REF!</f>
        <v>#REF!</v>
      </c>
      <c r="FT233" s="79" t="e">
        <f>#REF!</f>
        <v>#REF!</v>
      </c>
      <c r="FU233" s="79" t="e">
        <f>#REF!</f>
        <v>#REF!</v>
      </c>
      <c r="FV233" s="79" t="e">
        <f>#REF!</f>
        <v>#REF!</v>
      </c>
      <c r="FW233" s="79" t="e">
        <f>#REF!</f>
        <v>#REF!</v>
      </c>
      <c r="FX233" s="79" t="e">
        <f>#REF!</f>
        <v>#REF!</v>
      </c>
      <c r="FY233" s="79" t="e">
        <f>#REF!</f>
        <v>#REF!</v>
      </c>
      <c r="FZ233" s="79" t="e">
        <f>#REF!</f>
        <v>#REF!</v>
      </c>
      <c r="GA233" s="79" t="e">
        <f>#REF!</f>
        <v>#REF!</v>
      </c>
      <c r="GB233" s="79" t="e">
        <f>#REF!</f>
        <v>#REF!</v>
      </c>
      <c r="GC233" s="79" t="e">
        <f>#REF!</f>
        <v>#REF!</v>
      </c>
      <c r="GD233" s="79" t="e">
        <f>#REF!</f>
        <v>#REF!</v>
      </c>
      <c r="GE233" s="79" t="e">
        <f>#REF!</f>
        <v>#REF!</v>
      </c>
      <c r="GF233" s="79" t="e">
        <f>#REF!</f>
        <v>#REF!</v>
      </c>
      <c r="GG233" s="79" t="e">
        <f>#REF!</f>
        <v>#REF!</v>
      </c>
      <c r="GH233" s="79" t="e">
        <f>#REF!</f>
        <v>#REF!</v>
      </c>
      <c r="GI233" s="79" t="e">
        <f>#REF!</f>
        <v>#REF!</v>
      </c>
      <c r="GJ233" s="79" t="e">
        <f>#REF!</f>
        <v>#REF!</v>
      </c>
      <c r="GK233" s="79" t="e">
        <f>#REF!</f>
        <v>#REF!</v>
      </c>
      <c r="GL233" s="79" t="e">
        <f>#REF!</f>
        <v>#REF!</v>
      </c>
      <c r="GM233" s="79" t="e">
        <f>#REF!</f>
        <v>#REF!</v>
      </c>
      <c r="GN233" s="79" t="e">
        <f>#REF!</f>
        <v>#REF!</v>
      </c>
      <c r="GO233" s="79" t="e">
        <f>#REF!</f>
        <v>#REF!</v>
      </c>
      <c r="GP233" s="79" t="e">
        <f>#REF!</f>
        <v>#REF!</v>
      </c>
      <c r="GQ233" s="79" t="e">
        <f>#REF!</f>
        <v>#REF!</v>
      </c>
      <c r="GR233" s="79" t="e">
        <f>#REF!</f>
        <v>#REF!</v>
      </c>
      <c r="GS233" s="79" t="e">
        <f>#REF!</f>
        <v>#REF!</v>
      </c>
      <c r="GT233" s="79" t="e">
        <f>#REF!</f>
        <v>#REF!</v>
      </c>
      <c r="GU233" s="79" t="e">
        <f>#REF!</f>
        <v>#REF!</v>
      </c>
      <c r="GV233" s="79" t="e">
        <f>#REF!</f>
        <v>#REF!</v>
      </c>
      <c r="GW233" s="79" t="e">
        <f>#REF!</f>
        <v>#REF!</v>
      </c>
      <c r="GX233" s="79" t="e">
        <f>#REF!</f>
        <v>#REF!</v>
      </c>
      <c r="GY233" s="79" t="e">
        <f>#REF!</f>
        <v>#REF!</v>
      </c>
      <c r="GZ233" s="79" t="e">
        <f>#REF!</f>
        <v>#REF!</v>
      </c>
      <c r="HA233" s="79" t="e">
        <f>#REF!</f>
        <v>#REF!</v>
      </c>
      <c r="HB233" s="79" t="e">
        <f>#REF!</f>
        <v>#REF!</v>
      </c>
      <c r="HC233" s="79" t="e">
        <f>#REF!</f>
        <v>#REF!</v>
      </c>
      <c r="HD233" s="79" t="e">
        <f>#REF!</f>
        <v>#REF!</v>
      </c>
      <c r="HE233" s="79" t="e">
        <f>#REF!</f>
        <v>#REF!</v>
      </c>
      <c r="HF233" s="79" t="e">
        <f>#REF!</f>
        <v>#REF!</v>
      </c>
      <c r="HG233" s="79" t="e">
        <f>#REF!</f>
        <v>#REF!</v>
      </c>
      <c r="HH233" s="79" t="e">
        <f>#REF!</f>
        <v>#REF!</v>
      </c>
      <c r="HI233" s="79" t="e">
        <f>#REF!</f>
        <v>#REF!</v>
      </c>
      <c r="HJ233" s="79" t="e">
        <f>#REF!</f>
        <v>#REF!</v>
      </c>
      <c r="HK233" s="79" t="e">
        <f>#REF!</f>
        <v>#REF!</v>
      </c>
      <c r="HL233" s="79" t="e">
        <f>#REF!</f>
        <v>#REF!</v>
      </c>
      <c r="HM233" s="79" t="e">
        <f>#REF!</f>
        <v>#REF!</v>
      </c>
      <c r="HN233" s="79" t="e">
        <f>#REF!</f>
        <v>#REF!</v>
      </c>
      <c r="HO233" s="79" t="e">
        <f>#REF!</f>
        <v>#REF!</v>
      </c>
      <c r="HP233" s="79" t="e">
        <f>#REF!</f>
        <v>#REF!</v>
      </c>
      <c r="HQ233" s="79" t="e">
        <f>#REF!</f>
        <v>#REF!</v>
      </c>
      <c r="HR233" s="79" t="e">
        <f>#REF!</f>
        <v>#REF!</v>
      </c>
      <c r="HS233" s="79" t="e">
        <f>#REF!</f>
        <v>#REF!</v>
      </c>
      <c r="HT233" s="79" t="e">
        <f>#REF!</f>
        <v>#REF!</v>
      </c>
      <c r="HU233" s="79" t="e">
        <f>#REF!</f>
        <v>#REF!</v>
      </c>
      <c r="HV233" s="79" t="e">
        <f>#REF!</f>
        <v>#REF!</v>
      </c>
      <c r="HW233" s="79" t="e">
        <f>#REF!</f>
        <v>#REF!</v>
      </c>
      <c r="HX233" s="79" t="e">
        <f>#REF!</f>
        <v>#REF!</v>
      </c>
      <c r="HY233" s="79" t="e">
        <f>#REF!</f>
        <v>#REF!</v>
      </c>
      <c r="HZ233" s="79" t="e">
        <f>#REF!</f>
        <v>#REF!</v>
      </c>
      <c r="IA233" s="79" t="e">
        <f>#REF!</f>
        <v>#REF!</v>
      </c>
      <c r="IB233" s="79" t="e">
        <f>#REF!</f>
        <v>#REF!</v>
      </c>
      <c r="IC233" s="79" t="e">
        <f>#REF!</f>
        <v>#REF!</v>
      </c>
      <c r="ID233" s="79" t="e">
        <f>#REF!</f>
        <v>#REF!</v>
      </c>
      <c r="IE233" s="79" t="e">
        <f>#REF!</f>
        <v>#REF!</v>
      </c>
      <c r="IF233" s="79" t="e">
        <f>#REF!</f>
        <v>#REF!</v>
      </c>
      <c r="IG233" s="79" t="e">
        <f>#REF!</f>
        <v>#REF!</v>
      </c>
      <c r="IH233" s="79" t="e">
        <f>#REF!</f>
        <v>#REF!</v>
      </c>
      <c r="II233" s="79" t="e">
        <f>#REF!</f>
        <v>#REF!</v>
      </c>
      <c r="IJ233" s="79" t="e">
        <f>#REF!</f>
        <v>#REF!</v>
      </c>
      <c r="IK233" s="79" t="e">
        <f>#REF!</f>
        <v>#REF!</v>
      </c>
      <c r="IL233" s="79" t="e">
        <f>#REF!</f>
        <v>#REF!</v>
      </c>
      <c r="IM233" s="79" t="e">
        <f>#REF!</f>
        <v>#REF!</v>
      </c>
      <c r="IN233" s="79" t="e">
        <f>#REF!</f>
        <v>#REF!</v>
      </c>
      <c r="IO233" s="79" t="e">
        <f>#REF!</f>
        <v>#REF!</v>
      </c>
      <c r="IP233" s="79" t="e">
        <f>#REF!</f>
        <v>#REF!</v>
      </c>
      <c r="IQ233" s="79" t="e">
        <f>#REF!</f>
        <v>#REF!</v>
      </c>
      <c r="IR233" s="79" t="e">
        <f>#REF!</f>
        <v>#REF!</v>
      </c>
      <c r="IS233" s="79" t="e">
        <f>#REF!</f>
        <v>#REF!</v>
      </c>
      <c r="IT233" s="79" t="e">
        <f>#REF!</f>
        <v>#REF!</v>
      </c>
      <c r="IU233" s="79" t="e">
        <f>#REF!</f>
        <v>#REF!</v>
      </c>
      <c r="IV233" s="79" t="e">
        <f>#REF!</f>
        <v>#REF!</v>
      </c>
      <c r="IW233" s="79" t="e">
        <f>#REF!</f>
        <v>#REF!</v>
      </c>
      <c r="IX233" s="79" t="e">
        <f>#REF!</f>
        <v>#REF!</v>
      </c>
      <c r="IY233" s="79" t="e">
        <f>#REF!</f>
        <v>#REF!</v>
      </c>
      <c r="IZ233" s="79" t="e">
        <f>#REF!</f>
        <v>#REF!</v>
      </c>
      <c r="JA233" s="79" t="e">
        <f>#REF!</f>
        <v>#REF!</v>
      </c>
      <c r="JB233" s="79" t="e">
        <f>#REF!</f>
        <v>#REF!</v>
      </c>
      <c r="JC233" s="79" t="e">
        <f>#REF!</f>
        <v>#REF!</v>
      </c>
      <c r="JD233" s="79" t="e">
        <f>#REF!</f>
        <v>#REF!</v>
      </c>
      <c r="JE233" s="79" t="e">
        <f>#REF!</f>
        <v>#REF!</v>
      </c>
      <c r="JF233" s="79" t="e">
        <f>#REF!</f>
        <v>#REF!</v>
      </c>
      <c r="JG233" s="79" t="e">
        <f>#REF!</f>
        <v>#REF!</v>
      </c>
      <c r="JH233" s="79" t="e">
        <f>#REF!</f>
        <v>#REF!</v>
      </c>
      <c r="JI233" s="79" t="e">
        <f>#REF!</f>
        <v>#REF!</v>
      </c>
      <c r="JJ233" s="79" t="e">
        <f>#REF!</f>
        <v>#REF!</v>
      </c>
      <c r="JK233" s="79" t="e">
        <f>#REF!</f>
        <v>#REF!</v>
      </c>
      <c r="JL233" s="79" t="e">
        <f>#REF!</f>
        <v>#REF!</v>
      </c>
      <c r="JM233" s="79" t="e">
        <f>#REF!</f>
        <v>#REF!</v>
      </c>
      <c r="JN233" s="79" t="e">
        <f>#REF!</f>
        <v>#REF!</v>
      </c>
      <c r="JO233" s="79" t="e">
        <f>#REF!</f>
        <v>#REF!</v>
      </c>
      <c r="JP233" s="79" t="e">
        <f>#REF!</f>
        <v>#REF!</v>
      </c>
      <c r="JQ233" s="79" t="e">
        <f>#REF!</f>
        <v>#REF!</v>
      </c>
      <c r="JR233" s="79" t="e">
        <f>#REF!</f>
        <v>#REF!</v>
      </c>
      <c r="JS233" s="79" t="e">
        <f>#REF!</f>
        <v>#REF!</v>
      </c>
      <c r="JT233" s="79" t="e">
        <f>#REF!</f>
        <v>#REF!</v>
      </c>
      <c r="JU233" s="79" t="e">
        <f>#REF!</f>
        <v>#REF!</v>
      </c>
      <c r="JV233" s="79" t="e">
        <f>#REF!</f>
        <v>#REF!</v>
      </c>
      <c r="JW233" s="79" t="e">
        <f>#REF!</f>
        <v>#REF!</v>
      </c>
      <c r="JX233" s="79" t="e">
        <f>#REF!</f>
        <v>#REF!</v>
      </c>
      <c r="JY233" s="79" t="e">
        <f>#REF!</f>
        <v>#REF!</v>
      </c>
      <c r="JZ233" s="79" t="e">
        <f>#REF!</f>
        <v>#REF!</v>
      </c>
      <c r="KA233" s="79" t="e">
        <f>#REF!</f>
        <v>#REF!</v>
      </c>
      <c r="KB233" s="79" t="e">
        <f>#REF!</f>
        <v>#REF!</v>
      </c>
      <c r="KC233" s="79" t="e">
        <f>#REF!</f>
        <v>#REF!</v>
      </c>
      <c r="KD233" s="79" t="e">
        <f>#REF!</f>
        <v>#REF!</v>
      </c>
      <c r="KE233" s="79" t="e">
        <f>#REF!</f>
        <v>#REF!</v>
      </c>
      <c r="KF233" s="79" t="e">
        <f>#REF!</f>
        <v>#REF!</v>
      </c>
      <c r="KG233" s="79" t="e">
        <f>#REF!</f>
        <v>#REF!</v>
      </c>
      <c r="KH233" s="79" t="e">
        <f>#REF!</f>
        <v>#REF!</v>
      </c>
      <c r="KI233" s="79" t="e">
        <f>#REF!</f>
        <v>#REF!</v>
      </c>
      <c r="KJ233" s="79" t="e">
        <f>#REF!</f>
        <v>#REF!</v>
      </c>
      <c r="KK233" s="79" t="e">
        <f>#REF!</f>
        <v>#REF!</v>
      </c>
      <c r="KL233" s="79" t="e">
        <f>#REF!</f>
        <v>#REF!</v>
      </c>
      <c r="KM233" s="79" t="e">
        <f>#REF!</f>
        <v>#REF!</v>
      </c>
      <c r="KN233" s="79" t="e">
        <f>#REF!</f>
        <v>#REF!</v>
      </c>
      <c r="KO233" s="79" t="e">
        <f>#REF!</f>
        <v>#REF!</v>
      </c>
      <c r="KP233" s="79" t="e">
        <f>#REF!</f>
        <v>#REF!</v>
      </c>
      <c r="KQ233" s="79" t="e">
        <f>#REF!</f>
        <v>#REF!</v>
      </c>
      <c r="KR233" s="79" t="e">
        <f>#REF!</f>
        <v>#REF!</v>
      </c>
      <c r="KS233" s="79" t="e">
        <f>#REF!</f>
        <v>#REF!</v>
      </c>
      <c r="KT233" s="79" t="e">
        <f>#REF!</f>
        <v>#REF!</v>
      </c>
      <c r="KU233" s="79" t="e">
        <f>#REF!</f>
        <v>#REF!</v>
      </c>
      <c r="KV233" s="79" t="e">
        <f>#REF!</f>
        <v>#REF!</v>
      </c>
      <c r="KW233" s="79" t="e">
        <f>#REF!</f>
        <v>#REF!</v>
      </c>
      <c r="KX233" s="79" t="e">
        <f>#REF!</f>
        <v>#REF!</v>
      </c>
      <c r="KY233" s="79" t="e">
        <f>#REF!</f>
        <v>#REF!</v>
      </c>
      <c r="KZ233" s="79" t="e">
        <f>#REF!</f>
        <v>#REF!</v>
      </c>
      <c r="LA233" s="79" t="e">
        <f>#REF!</f>
        <v>#REF!</v>
      </c>
      <c r="LB233" s="79" t="e">
        <f>#REF!</f>
        <v>#REF!</v>
      </c>
      <c r="LC233" s="79" t="e">
        <f>#REF!</f>
        <v>#REF!</v>
      </c>
      <c r="LD233" s="79" t="e">
        <f>#REF!</f>
        <v>#REF!</v>
      </c>
      <c r="LE233" s="79" t="e">
        <f>#REF!</f>
        <v>#REF!</v>
      </c>
      <c r="LF233" s="79" t="e">
        <f>#REF!</f>
        <v>#REF!</v>
      </c>
      <c r="LG233" s="79" t="e">
        <f>#REF!</f>
        <v>#REF!</v>
      </c>
      <c r="LH233" s="79" t="e">
        <f>#REF!</f>
        <v>#REF!</v>
      </c>
      <c r="LI233" s="79" t="e">
        <f>#REF!</f>
        <v>#REF!</v>
      </c>
      <c r="LJ233" s="79" t="e">
        <f>#REF!</f>
        <v>#REF!</v>
      </c>
      <c r="LK233" s="79" t="e">
        <f>#REF!</f>
        <v>#REF!</v>
      </c>
      <c r="LL233" s="79" t="e">
        <f>#REF!</f>
        <v>#REF!</v>
      </c>
      <c r="LM233" s="79" t="e">
        <f>#REF!</f>
        <v>#REF!</v>
      </c>
      <c r="LN233" s="79" t="e">
        <f>#REF!</f>
        <v>#REF!</v>
      </c>
      <c r="LO233" s="79" t="e">
        <f>#REF!</f>
        <v>#REF!</v>
      </c>
      <c r="LP233" s="79" t="e">
        <f>#REF!</f>
        <v>#REF!</v>
      </c>
      <c r="LQ233" s="79" t="e">
        <f>#REF!</f>
        <v>#REF!</v>
      </c>
      <c r="LR233" s="79" t="e">
        <f>#REF!</f>
        <v>#REF!</v>
      </c>
      <c r="LS233" s="79" t="e">
        <f>#REF!</f>
        <v>#REF!</v>
      </c>
      <c r="LT233" s="79" t="e">
        <f>#REF!</f>
        <v>#REF!</v>
      </c>
      <c r="LU233" s="79" t="e">
        <f>#REF!</f>
        <v>#REF!</v>
      </c>
      <c r="LV233" s="79" t="e">
        <f>#REF!</f>
        <v>#REF!</v>
      </c>
      <c r="LW233" s="79" t="e">
        <f>#REF!</f>
        <v>#REF!</v>
      </c>
      <c r="LX233" s="79" t="e">
        <f>#REF!</f>
        <v>#REF!</v>
      </c>
      <c r="LY233" s="79" t="e">
        <f>#REF!</f>
        <v>#REF!</v>
      </c>
      <c r="LZ233" s="79" t="e">
        <f>#REF!</f>
        <v>#REF!</v>
      </c>
      <c r="MA233" s="79" t="e">
        <f>#REF!</f>
        <v>#REF!</v>
      </c>
      <c r="MB233" s="79" t="e">
        <f>#REF!</f>
        <v>#REF!</v>
      </c>
      <c r="MC233" s="79" t="e">
        <f>#REF!</f>
        <v>#REF!</v>
      </c>
      <c r="MD233" s="79" t="e">
        <f>#REF!</f>
        <v>#REF!</v>
      </c>
      <c r="ME233" s="79" t="e">
        <f>#REF!</f>
        <v>#REF!</v>
      </c>
      <c r="MF233" s="79" t="e">
        <f>#REF!</f>
        <v>#REF!</v>
      </c>
      <c r="MG233" s="79" t="e">
        <f>#REF!</f>
        <v>#REF!</v>
      </c>
      <c r="MH233" s="79" t="e">
        <f>#REF!</f>
        <v>#REF!</v>
      </c>
      <c r="MI233" s="79" t="e">
        <f>#REF!</f>
        <v>#REF!</v>
      </c>
      <c r="MJ233" s="79" t="e">
        <f>#REF!</f>
        <v>#REF!</v>
      </c>
      <c r="MK233" s="79" t="e">
        <f>#REF!</f>
        <v>#REF!</v>
      </c>
      <c r="ML233" s="79" t="e">
        <f>#REF!</f>
        <v>#REF!</v>
      </c>
      <c r="MM233" s="79" t="e">
        <f>#REF!</f>
        <v>#REF!</v>
      </c>
      <c r="MN233" s="79" t="e">
        <f>#REF!</f>
        <v>#REF!</v>
      </c>
      <c r="MO233" s="79" t="e">
        <f>#REF!</f>
        <v>#REF!</v>
      </c>
      <c r="MP233" s="79" t="e">
        <f>#REF!</f>
        <v>#REF!</v>
      </c>
      <c r="MQ233" s="79" t="e">
        <f>#REF!</f>
        <v>#REF!</v>
      </c>
      <c r="MR233" s="79" t="e">
        <f>#REF!</f>
        <v>#REF!</v>
      </c>
      <c r="MS233" s="79" t="e">
        <f>#REF!</f>
        <v>#REF!</v>
      </c>
      <c r="MT233" s="79" t="e">
        <f>#REF!</f>
        <v>#REF!</v>
      </c>
      <c r="MU233" s="79" t="e">
        <f>#REF!</f>
        <v>#REF!</v>
      </c>
      <c r="MV233" s="79" t="e">
        <f>#REF!</f>
        <v>#REF!</v>
      </c>
      <c r="MW233" s="79" t="e">
        <f>#REF!</f>
        <v>#REF!</v>
      </c>
      <c r="MX233" s="79" t="e">
        <f>#REF!</f>
        <v>#REF!</v>
      </c>
      <c r="MY233" s="79" t="e">
        <f>#REF!</f>
        <v>#REF!</v>
      </c>
      <c r="MZ233" s="79" t="e">
        <f>#REF!</f>
        <v>#REF!</v>
      </c>
      <c r="NA233" s="79" t="e">
        <f>#REF!</f>
        <v>#REF!</v>
      </c>
      <c r="NB233" s="79" t="e">
        <f>#REF!</f>
        <v>#REF!</v>
      </c>
      <c r="NC233" s="79" t="e">
        <f>#REF!</f>
        <v>#REF!</v>
      </c>
      <c r="ND233" s="79" t="e">
        <f>#REF!</f>
        <v>#REF!</v>
      </c>
      <c r="NE233" s="79" t="e">
        <f>#REF!</f>
        <v>#REF!</v>
      </c>
      <c r="NF233" s="79" t="e">
        <f>#REF!</f>
        <v>#REF!</v>
      </c>
      <c r="NG233" s="79" t="e">
        <f>#REF!</f>
        <v>#REF!</v>
      </c>
      <c r="NH233" s="79" t="e">
        <f>#REF!</f>
        <v>#REF!</v>
      </c>
      <c r="NI233" s="79" t="e">
        <f>#REF!</f>
        <v>#REF!</v>
      </c>
      <c r="NJ233" s="79" t="e">
        <f>#REF!</f>
        <v>#REF!</v>
      </c>
      <c r="NK233" s="79" t="e">
        <f>#REF!</f>
        <v>#REF!</v>
      </c>
      <c r="NL233" s="79" t="e">
        <f>#REF!</f>
        <v>#REF!</v>
      </c>
      <c r="NM233" s="79" t="e">
        <f>#REF!</f>
        <v>#REF!</v>
      </c>
      <c r="NN233" s="79" t="e">
        <f>#REF!</f>
        <v>#REF!</v>
      </c>
      <c r="NO233" s="79" t="e">
        <f>#REF!</f>
        <v>#REF!</v>
      </c>
      <c r="NP233" s="79" t="e">
        <f>#REF!</f>
        <v>#REF!</v>
      </c>
      <c r="NQ233" s="79" t="e">
        <f>#REF!</f>
        <v>#REF!</v>
      </c>
      <c r="NR233" s="79" t="e">
        <f>#REF!</f>
        <v>#REF!</v>
      </c>
      <c r="NS233" s="79" t="e">
        <f>#REF!</f>
        <v>#REF!</v>
      </c>
      <c r="NT233" s="79" t="e">
        <f>#REF!</f>
        <v>#REF!</v>
      </c>
      <c r="NU233" s="79" t="e">
        <f>#REF!</f>
        <v>#REF!</v>
      </c>
      <c r="NV233" s="79" t="e">
        <f>#REF!</f>
        <v>#REF!</v>
      </c>
      <c r="NW233" s="79" t="e">
        <f>#REF!</f>
        <v>#REF!</v>
      </c>
      <c r="NX233" s="79" t="e">
        <f>#REF!</f>
        <v>#REF!</v>
      </c>
      <c r="NY233" s="79" t="e">
        <f>#REF!</f>
        <v>#REF!</v>
      </c>
      <c r="NZ233" s="79" t="e">
        <f>#REF!</f>
        <v>#REF!</v>
      </c>
      <c r="OA233" s="79" t="e">
        <f>#REF!</f>
        <v>#REF!</v>
      </c>
      <c r="OB233" s="79" t="e">
        <f>#REF!</f>
        <v>#REF!</v>
      </c>
      <c r="OC233" s="79" t="e">
        <f>#REF!</f>
        <v>#REF!</v>
      </c>
      <c r="OD233" s="79" t="e">
        <f>#REF!</f>
        <v>#REF!</v>
      </c>
      <c r="OE233" s="79" t="e">
        <f>#REF!</f>
        <v>#REF!</v>
      </c>
      <c r="OF233" s="79" t="e">
        <f>#REF!</f>
        <v>#REF!</v>
      </c>
      <c r="OG233" s="79" t="e">
        <f>#REF!</f>
        <v>#REF!</v>
      </c>
      <c r="OH233" s="79" t="e">
        <f>#REF!</f>
        <v>#REF!</v>
      </c>
      <c r="OI233" s="79" t="e">
        <f>#REF!</f>
        <v>#REF!</v>
      </c>
      <c r="OJ233" s="79" t="e">
        <f>#REF!</f>
        <v>#REF!</v>
      </c>
      <c r="OK233" s="79" t="e">
        <f>#REF!</f>
        <v>#REF!</v>
      </c>
      <c r="OL233" s="79" t="e">
        <f>#REF!</f>
        <v>#REF!</v>
      </c>
      <c r="OM233" s="79" t="e">
        <f>#REF!</f>
        <v>#REF!</v>
      </c>
      <c r="ON233" s="79" t="e">
        <f>#REF!</f>
        <v>#REF!</v>
      </c>
      <c r="OO233" s="79" t="e">
        <f>#REF!</f>
        <v>#REF!</v>
      </c>
      <c r="OP233" s="79" t="e">
        <f>#REF!</f>
        <v>#REF!</v>
      </c>
      <c r="OQ233" s="79" t="e">
        <f>#REF!</f>
        <v>#REF!</v>
      </c>
      <c r="OR233" s="79" t="e">
        <f>#REF!</f>
        <v>#REF!</v>
      </c>
      <c r="OS233" s="79" t="e">
        <f>#REF!</f>
        <v>#REF!</v>
      </c>
      <c r="OT233" s="79" t="e">
        <f>#REF!</f>
        <v>#REF!</v>
      </c>
      <c r="OU233" s="79" t="e">
        <f>#REF!</f>
        <v>#REF!</v>
      </c>
      <c r="OV233" s="79" t="e">
        <f>#REF!</f>
        <v>#REF!</v>
      </c>
      <c r="OW233" s="79" t="e">
        <f>#REF!</f>
        <v>#REF!</v>
      </c>
      <c r="OX233" s="79" t="e">
        <f>#REF!</f>
        <v>#REF!</v>
      </c>
      <c r="OY233" s="79" t="e">
        <f>#REF!</f>
        <v>#REF!</v>
      </c>
      <c r="OZ233" s="79" t="e">
        <f>#REF!</f>
        <v>#REF!</v>
      </c>
      <c r="PA233" s="79" t="e">
        <f>#REF!</f>
        <v>#REF!</v>
      </c>
      <c r="PB233" s="79" t="e">
        <f>#REF!</f>
        <v>#REF!</v>
      </c>
      <c r="PC233" s="79" t="e">
        <f>#REF!</f>
        <v>#REF!</v>
      </c>
      <c r="PD233" s="79" t="e">
        <f>#REF!</f>
        <v>#REF!</v>
      </c>
      <c r="PE233" s="79" t="e">
        <f>#REF!</f>
        <v>#REF!</v>
      </c>
      <c r="PF233" s="79" t="e">
        <f>#REF!</f>
        <v>#REF!</v>
      </c>
      <c r="PG233" s="79" t="e">
        <f>#REF!</f>
        <v>#REF!</v>
      </c>
      <c r="PH233" s="79" t="e">
        <f>#REF!</f>
        <v>#REF!</v>
      </c>
      <c r="PI233" s="79" t="e">
        <f>#REF!</f>
        <v>#REF!</v>
      </c>
      <c r="PJ233" s="79" t="e">
        <f>#REF!</f>
        <v>#REF!</v>
      </c>
      <c r="PK233" s="79" t="e">
        <f>#REF!</f>
        <v>#REF!</v>
      </c>
      <c r="PL233" s="79" t="e">
        <f>#REF!</f>
        <v>#REF!</v>
      </c>
      <c r="PM233" s="79" t="e">
        <f>#REF!</f>
        <v>#REF!</v>
      </c>
      <c r="PN233" s="79" t="e">
        <f>#REF!</f>
        <v>#REF!</v>
      </c>
      <c r="PO233" s="79" t="e">
        <f>#REF!</f>
        <v>#REF!</v>
      </c>
      <c r="PP233" s="79" t="e">
        <f>#REF!</f>
        <v>#REF!</v>
      </c>
      <c r="PQ233" s="79" t="e">
        <f>#REF!</f>
        <v>#REF!</v>
      </c>
      <c r="PR233" s="79" t="e">
        <f>#REF!</f>
        <v>#REF!</v>
      </c>
      <c r="PS233" s="79" t="e">
        <f>#REF!</f>
        <v>#REF!</v>
      </c>
      <c r="PT233" s="79" t="e">
        <f>#REF!</f>
        <v>#REF!</v>
      </c>
      <c r="PU233" s="79" t="e">
        <f>#REF!</f>
        <v>#REF!</v>
      </c>
      <c r="PV233" s="79" t="e">
        <f>#REF!</f>
        <v>#REF!</v>
      </c>
      <c r="PW233" s="79" t="e">
        <f>#REF!</f>
        <v>#REF!</v>
      </c>
      <c r="PX233" s="79" t="e">
        <f>#REF!</f>
        <v>#REF!</v>
      </c>
      <c r="PY233" s="79" t="e">
        <f>#REF!</f>
        <v>#REF!</v>
      </c>
      <c r="PZ233" s="79" t="e">
        <f>#REF!</f>
        <v>#REF!</v>
      </c>
      <c r="QA233" s="79" t="e">
        <f>#REF!</f>
        <v>#REF!</v>
      </c>
      <c r="QB233" s="79" t="e">
        <f>#REF!</f>
        <v>#REF!</v>
      </c>
      <c r="QC233" s="79" t="e">
        <f>#REF!</f>
        <v>#REF!</v>
      </c>
      <c r="QD233" s="79" t="e">
        <f>#REF!</f>
        <v>#REF!</v>
      </c>
      <c r="QE233" s="79" t="e">
        <f>#REF!</f>
        <v>#REF!</v>
      </c>
      <c r="QF233" s="79" t="e">
        <f>#REF!</f>
        <v>#REF!</v>
      </c>
      <c r="QG233" s="79" t="e">
        <f>#REF!</f>
        <v>#REF!</v>
      </c>
      <c r="QH233" s="79" t="e">
        <f>#REF!</f>
        <v>#REF!</v>
      </c>
      <c r="QI233" s="79" t="e">
        <f>#REF!</f>
        <v>#REF!</v>
      </c>
      <c r="QJ233" s="79" t="e">
        <f>#REF!</f>
        <v>#REF!</v>
      </c>
      <c r="QK233" s="79" t="e">
        <f>#REF!</f>
        <v>#REF!</v>
      </c>
      <c r="QL233" s="79" t="e">
        <f>#REF!</f>
        <v>#REF!</v>
      </c>
      <c r="QM233" s="79" t="e">
        <f>#REF!</f>
        <v>#REF!</v>
      </c>
      <c r="QN233" s="79" t="e">
        <f>#REF!</f>
        <v>#REF!</v>
      </c>
      <c r="QO233" s="79" t="e">
        <f>#REF!</f>
        <v>#REF!</v>
      </c>
      <c r="QP233" s="79" t="e">
        <f>#REF!</f>
        <v>#REF!</v>
      </c>
      <c r="QQ233" s="79" t="e">
        <f>#REF!</f>
        <v>#REF!</v>
      </c>
      <c r="QR233" s="79" t="e">
        <f>#REF!</f>
        <v>#REF!</v>
      </c>
      <c r="QS233" s="79" t="e">
        <f>#REF!</f>
        <v>#REF!</v>
      </c>
      <c r="QT233" s="79" t="e">
        <f>#REF!</f>
        <v>#REF!</v>
      </c>
      <c r="QU233" s="79" t="e">
        <f>#REF!</f>
        <v>#REF!</v>
      </c>
      <c r="QV233" s="79" t="e">
        <f>#REF!</f>
        <v>#REF!</v>
      </c>
      <c r="QW233" s="79" t="e">
        <f>#REF!</f>
        <v>#REF!</v>
      </c>
      <c r="QX233" s="79" t="e">
        <f>#REF!</f>
        <v>#REF!</v>
      </c>
      <c r="QY233" s="79" t="e">
        <f>#REF!</f>
        <v>#REF!</v>
      </c>
      <c r="QZ233" s="79" t="e">
        <f>#REF!</f>
        <v>#REF!</v>
      </c>
      <c r="RA233" s="79" t="e">
        <f>#REF!</f>
        <v>#REF!</v>
      </c>
      <c r="RB233" s="79" t="e">
        <f>#REF!</f>
        <v>#REF!</v>
      </c>
      <c r="RC233" s="79" t="e">
        <f>#REF!</f>
        <v>#REF!</v>
      </c>
      <c r="RD233" s="79" t="e">
        <f>#REF!</f>
        <v>#REF!</v>
      </c>
      <c r="RE233" s="79" t="e">
        <f>#REF!</f>
        <v>#REF!</v>
      </c>
      <c r="RF233" s="79" t="e">
        <f>#REF!</f>
        <v>#REF!</v>
      </c>
      <c r="RG233" s="79" t="e">
        <f>#REF!</f>
        <v>#REF!</v>
      </c>
      <c r="RH233" s="79" t="e">
        <f>#REF!</f>
        <v>#REF!</v>
      </c>
      <c r="RI233" s="79" t="e">
        <f>#REF!</f>
        <v>#REF!</v>
      </c>
      <c r="RJ233" s="79" t="e">
        <f>#REF!</f>
        <v>#REF!</v>
      </c>
      <c r="RK233" s="79" t="e">
        <f>#REF!</f>
        <v>#REF!</v>
      </c>
      <c r="RL233" s="79" t="e">
        <f>#REF!</f>
        <v>#REF!</v>
      </c>
      <c r="RM233" s="79" t="e">
        <f>#REF!</f>
        <v>#REF!</v>
      </c>
      <c r="RN233" s="79" t="e">
        <f>#REF!</f>
        <v>#REF!</v>
      </c>
      <c r="RO233" s="79" t="e">
        <f>#REF!</f>
        <v>#REF!</v>
      </c>
      <c r="RP233" s="79" t="e">
        <f>#REF!</f>
        <v>#REF!</v>
      </c>
      <c r="RQ233" s="79" t="e">
        <f>#REF!</f>
        <v>#REF!</v>
      </c>
      <c r="RR233" s="79" t="e">
        <f>#REF!</f>
        <v>#REF!</v>
      </c>
      <c r="RS233" s="79" t="e">
        <f>#REF!</f>
        <v>#REF!</v>
      </c>
      <c r="RT233" s="79" t="e">
        <f>#REF!</f>
        <v>#REF!</v>
      </c>
      <c r="RU233" s="79" t="e">
        <f>#REF!</f>
        <v>#REF!</v>
      </c>
      <c r="RV233" s="79" t="e">
        <f>#REF!</f>
        <v>#REF!</v>
      </c>
      <c r="RW233" s="79" t="e">
        <f>#REF!</f>
        <v>#REF!</v>
      </c>
      <c r="RX233" s="79" t="e">
        <f>#REF!</f>
        <v>#REF!</v>
      </c>
      <c r="RY233" s="79" t="e">
        <f>#REF!</f>
        <v>#REF!</v>
      </c>
      <c r="RZ233" s="79" t="e">
        <f>#REF!</f>
        <v>#REF!</v>
      </c>
      <c r="SA233" s="79" t="e">
        <f>#REF!</f>
        <v>#REF!</v>
      </c>
      <c r="SB233" s="79" t="e">
        <f>#REF!</f>
        <v>#REF!</v>
      </c>
      <c r="SC233" s="79" t="e">
        <f>#REF!</f>
        <v>#REF!</v>
      </c>
      <c r="SD233" s="79" t="e">
        <f>#REF!</f>
        <v>#REF!</v>
      </c>
      <c r="SE233" s="79" t="e">
        <f>#REF!</f>
        <v>#REF!</v>
      </c>
      <c r="SF233" s="79" t="e">
        <f>#REF!</f>
        <v>#REF!</v>
      </c>
      <c r="SG233" s="79" t="e">
        <f>#REF!</f>
        <v>#REF!</v>
      </c>
      <c r="SH233" s="79" t="e">
        <f>#REF!</f>
        <v>#REF!</v>
      </c>
      <c r="SI233" s="79" t="e">
        <f>#REF!</f>
        <v>#REF!</v>
      </c>
      <c r="SJ233" s="79" t="e">
        <f>#REF!</f>
        <v>#REF!</v>
      </c>
      <c r="SK233" s="79" t="e">
        <f>#REF!</f>
        <v>#REF!</v>
      </c>
      <c r="SL233" s="79" t="e">
        <f>#REF!</f>
        <v>#REF!</v>
      </c>
      <c r="SM233" s="79" t="e">
        <f>#REF!</f>
        <v>#REF!</v>
      </c>
      <c r="SN233" s="79" t="e">
        <f>#REF!</f>
        <v>#REF!</v>
      </c>
      <c r="SO233" s="79" t="e">
        <f>#REF!</f>
        <v>#REF!</v>
      </c>
      <c r="SP233" s="79" t="e">
        <f>#REF!</f>
        <v>#REF!</v>
      </c>
      <c r="SQ233" s="79" t="e">
        <f>#REF!</f>
        <v>#REF!</v>
      </c>
      <c r="SR233" s="79" t="e">
        <f>#REF!</f>
        <v>#REF!</v>
      </c>
      <c r="SS233" s="79" t="e">
        <f>#REF!</f>
        <v>#REF!</v>
      </c>
      <c r="ST233" s="79" t="e">
        <f>#REF!</f>
        <v>#REF!</v>
      </c>
      <c r="SU233" s="79" t="e">
        <f>#REF!</f>
        <v>#REF!</v>
      </c>
      <c r="SV233" s="79" t="e">
        <f>#REF!</f>
        <v>#REF!</v>
      </c>
      <c r="SW233" s="79" t="e">
        <f>#REF!</f>
        <v>#REF!</v>
      </c>
      <c r="SX233" s="79" t="e">
        <f>#REF!</f>
        <v>#REF!</v>
      </c>
      <c r="SY233" s="79" t="e">
        <f>#REF!</f>
        <v>#REF!</v>
      </c>
      <c r="SZ233" s="79" t="e">
        <f>#REF!</f>
        <v>#REF!</v>
      </c>
      <c r="TA233" s="79" t="e">
        <f>#REF!</f>
        <v>#REF!</v>
      </c>
      <c r="TB233" s="79" t="e">
        <f>#REF!</f>
        <v>#REF!</v>
      </c>
      <c r="TC233" s="79" t="e">
        <f>#REF!</f>
        <v>#REF!</v>
      </c>
      <c r="TD233" s="79" t="e">
        <f>#REF!</f>
        <v>#REF!</v>
      </c>
      <c r="TE233" s="79" t="e">
        <f>#REF!</f>
        <v>#REF!</v>
      </c>
      <c r="TF233" s="79" t="e">
        <f>#REF!</f>
        <v>#REF!</v>
      </c>
      <c r="TG233" s="79" t="e">
        <f>#REF!</f>
        <v>#REF!</v>
      </c>
      <c r="TH233" s="79" t="e">
        <f>#REF!</f>
        <v>#REF!</v>
      </c>
      <c r="TI233" s="79" t="e">
        <f>#REF!</f>
        <v>#REF!</v>
      </c>
      <c r="TJ233" s="79" t="e">
        <f>#REF!</f>
        <v>#REF!</v>
      </c>
      <c r="TK233" s="79" t="e">
        <f>#REF!</f>
        <v>#REF!</v>
      </c>
      <c r="TL233" s="79" t="e">
        <f>#REF!</f>
        <v>#REF!</v>
      </c>
      <c r="TM233" s="79" t="e">
        <f>#REF!</f>
        <v>#REF!</v>
      </c>
      <c r="TN233" s="79" t="e">
        <f>#REF!</f>
        <v>#REF!</v>
      </c>
      <c r="TO233" s="79" t="e">
        <f>#REF!</f>
        <v>#REF!</v>
      </c>
      <c r="TP233" s="79" t="e">
        <f>#REF!</f>
        <v>#REF!</v>
      </c>
      <c r="TQ233" s="79" t="e">
        <f>#REF!</f>
        <v>#REF!</v>
      </c>
      <c r="TR233" s="79" t="e">
        <f>#REF!</f>
        <v>#REF!</v>
      </c>
      <c r="TS233" s="79" t="e">
        <f>#REF!</f>
        <v>#REF!</v>
      </c>
      <c r="TT233" s="79" t="e">
        <f>#REF!</f>
        <v>#REF!</v>
      </c>
      <c r="TU233" s="79" t="e">
        <f>#REF!</f>
        <v>#REF!</v>
      </c>
      <c r="TV233" s="79" t="e">
        <f>#REF!</f>
        <v>#REF!</v>
      </c>
      <c r="TW233" s="79" t="e">
        <f>#REF!</f>
        <v>#REF!</v>
      </c>
      <c r="TX233" s="79" t="e">
        <f>#REF!</f>
        <v>#REF!</v>
      </c>
      <c r="TY233" s="79" t="e">
        <f>#REF!</f>
        <v>#REF!</v>
      </c>
      <c r="TZ233" s="79" t="e">
        <f>#REF!</f>
        <v>#REF!</v>
      </c>
      <c r="UA233" s="79" t="e">
        <f>#REF!</f>
        <v>#REF!</v>
      </c>
      <c r="UB233" s="79" t="e">
        <f>#REF!</f>
        <v>#REF!</v>
      </c>
      <c r="UC233" s="79" t="e">
        <f>#REF!</f>
        <v>#REF!</v>
      </c>
      <c r="UD233" s="79" t="e">
        <f>#REF!</f>
        <v>#REF!</v>
      </c>
      <c r="UE233" s="79" t="e">
        <f>#REF!</f>
        <v>#REF!</v>
      </c>
      <c r="UF233" s="79" t="e">
        <f>#REF!</f>
        <v>#REF!</v>
      </c>
      <c r="UG233" s="79" t="e">
        <f>#REF!</f>
        <v>#REF!</v>
      </c>
      <c r="UH233" s="79" t="e">
        <f>#REF!</f>
        <v>#REF!</v>
      </c>
      <c r="UI233" s="79" t="e">
        <f>#REF!</f>
        <v>#REF!</v>
      </c>
      <c r="UJ233" s="79" t="e">
        <f>#REF!</f>
        <v>#REF!</v>
      </c>
      <c r="UK233" s="79" t="e">
        <f>#REF!</f>
        <v>#REF!</v>
      </c>
      <c r="UL233" s="79" t="e">
        <f>#REF!</f>
        <v>#REF!</v>
      </c>
      <c r="UM233" s="79" t="e">
        <f>#REF!</f>
        <v>#REF!</v>
      </c>
      <c r="UN233" s="79" t="e">
        <f>#REF!</f>
        <v>#REF!</v>
      </c>
      <c r="UO233" s="79" t="e">
        <f>#REF!</f>
        <v>#REF!</v>
      </c>
      <c r="UP233" s="79" t="e">
        <f>#REF!</f>
        <v>#REF!</v>
      </c>
      <c r="UQ233" s="79" t="e">
        <f>#REF!</f>
        <v>#REF!</v>
      </c>
      <c r="UR233" s="79" t="e">
        <f>#REF!</f>
        <v>#REF!</v>
      </c>
      <c r="US233" s="79" t="e">
        <f>#REF!</f>
        <v>#REF!</v>
      </c>
      <c r="UT233" s="79" t="e">
        <f>#REF!</f>
        <v>#REF!</v>
      </c>
      <c r="UU233" s="79" t="e">
        <f>#REF!</f>
        <v>#REF!</v>
      </c>
      <c r="UV233" s="79" t="e">
        <f>#REF!</f>
        <v>#REF!</v>
      </c>
      <c r="UW233" s="79" t="e">
        <f>#REF!</f>
        <v>#REF!</v>
      </c>
      <c r="UX233" s="79" t="e">
        <f>#REF!</f>
        <v>#REF!</v>
      </c>
      <c r="UY233" s="79" t="e">
        <f>#REF!</f>
        <v>#REF!</v>
      </c>
      <c r="UZ233" s="79" t="e">
        <f>#REF!</f>
        <v>#REF!</v>
      </c>
      <c r="VA233" s="79" t="e">
        <f>#REF!</f>
        <v>#REF!</v>
      </c>
      <c r="VB233" s="79" t="e">
        <f>#REF!</f>
        <v>#REF!</v>
      </c>
      <c r="VC233" s="79" t="e">
        <f>#REF!</f>
        <v>#REF!</v>
      </c>
      <c r="VD233" s="79" t="e">
        <f>#REF!</f>
        <v>#REF!</v>
      </c>
      <c r="VE233" s="79" t="e">
        <f>#REF!</f>
        <v>#REF!</v>
      </c>
      <c r="VF233" s="79" t="e">
        <f>#REF!</f>
        <v>#REF!</v>
      </c>
      <c r="VG233" s="79" t="e">
        <f>#REF!</f>
        <v>#REF!</v>
      </c>
      <c r="VH233" s="79" t="e">
        <f>#REF!</f>
        <v>#REF!</v>
      </c>
      <c r="VI233" s="79" t="e">
        <f>#REF!</f>
        <v>#REF!</v>
      </c>
      <c r="VJ233" s="79" t="e">
        <f>#REF!</f>
        <v>#REF!</v>
      </c>
      <c r="VK233" s="79" t="e">
        <f>#REF!</f>
        <v>#REF!</v>
      </c>
      <c r="VL233" s="79" t="e">
        <f>#REF!</f>
        <v>#REF!</v>
      </c>
      <c r="VM233" s="79" t="e">
        <f>#REF!</f>
        <v>#REF!</v>
      </c>
      <c r="VN233" s="79" t="e">
        <f>#REF!</f>
        <v>#REF!</v>
      </c>
      <c r="VO233" s="79" t="e">
        <f>#REF!</f>
        <v>#REF!</v>
      </c>
      <c r="VP233" s="79" t="e">
        <f>#REF!</f>
        <v>#REF!</v>
      </c>
      <c r="VQ233" s="79" t="e">
        <f>#REF!</f>
        <v>#REF!</v>
      </c>
      <c r="VR233" s="79" t="e">
        <f>#REF!</f>
        <v>#REF!</v>
      </c>
      <c r="VS233" s="79" t="e">
        <f>#REF!</f>
        <v>#REF!</v>
      </c>
      <c r="VT233" s="79" t="e">
        <f>#REF!</f>
        <v>#REF!</v>
      </c>
      <c r="VU233" s="79" t="e">
        <f>#REF!</f>
        <v>#REF!</v>
      </c>
      <c r="VV233" s="79" t="e">
        <f>#REF!</f>
        <v>#REF!</v>
      </c>
      <c r="VW233" s="79" t="e">
        <f>#REF!</f>
        <v>#REF!</v>
      </c>
      <c r="VX233" s="79" t="e">
        <f>#REF!</f>
        <v>#REF!</v>
      </c>
      <c r="VY233" s="79" t="e">
        <f>#REF!</f>
        <v>#REF!</v>
      </c>
      <c r="VZ233" s="79" t="e">
        <f>#REF!</f>
        <v>#REF!</v>
      </c>
      <c r="WA233" s="79" t="e">
        <f>#REF!</f>
        <v>#REF!</v>
      </c>
      <c r="WB233" s="79" t="e">
        <f>#REF!</f>
        <v>#REF!</v>
      </c>
      <c r="WC233" s="79" t="e">
        <f>#REF!</f>
        <v>#REF!</v>
      </c>
      <c r="WD233" s="79" t="e">
        <f>#REF!</f>
        <v>#REF!</v>
      </c>
      <c r="WE233" s="79" t="e">
        <f>#REF!</f>
        <v>#REF!</v>
      </c>
      <c r="WF233" s="79" t="e">
        <f>#REF!</f>
        <v>#REF!</v>
      </c>
      <c r="WG233" s="79" t="e">
        <f>#REF!</f>
        <v>#REF!</v>
      </c>
      <c r="WH233" s="79" t="e">
        <f>#REF!</f>
        <v>#REF!</v>
      </c>
      <c r="WI233" s="79" t="e">
        <f>#REF!</f>
        <v>#REF!</v>
      </c>
      <c r="WJ233" s="79" t="e">
        <f>#REF!</f>
        <v>#REF!</v>
      </c>
      <c r="WK233" s="79" t="e">
        <f>#REF!</f>
        <v>#REF!</v>
      </c>
      <c r="WL233" s="79" t="e">
        <f>#REF!</f>
        <v>#REF!</v>
      </c>
      <c r="WM233" s="79" t="e">
        <f>#REF!</f>
        <v>#REF!</v>
      </c>
      <c r="WN233" s="79" t="e">
        <f>#REF!</f>
        <v>#REF!</v>
      </c>
      <c r="WO233" s="79" t="e">
        <f>#REF!</f>
        <v>#REF!</v>
      </c>
      <c r="WP233" s="79" t="e">
        <f>#REF!</f>
        <v>#REF!</v>
      </c>
      <c r="WQ233" s="79" t="e">
        <f>#REF!</f>
        <v>#REF!</v>
      </c>
      <c r="WR233" s="79" t="e">
        <f>#REF!</f>
        <v>#REF!</v>
      </c>
      <c r="WS233" s="79" t="e">
        <f>#REF!</f>
        <v>#REF!</v>
      </c>
      <c r="WT233" s="79" t="e">
        <f>#REF!</f>
        <v>#REF!</v>
      </c>
      <c r="WU233" s="79" t="e">
        <f>#REF!</f>
        <v>#REF!</v>
      </c>
      <c r="WV233" s="79" t="e">
        <f>#REF!</f>
        <v>#REF!</v>
      </c>
      <c r="WW233" s="79" t="e">
        <f>#REF!</f>
        <v>#REF!</v>
      </c>
      <c r="WX233" s="79" t="e">
        <f>#REF!</f>
        <v>#REF!</v>
      </c>
      <c r="WY233" s="79" t="e">
        <f>#REF!</f>
        <v>#REF!</v>
      </c>
      <c r="WZ233" s="79" t="e">
        <f>#REF!</f>
        <v>#REF!</v>
      </c>
      <c r="XA233" s="79" t="e">
        <f>#REF!</f>
        <v>#REF!</v>
      </c>
      <c r="XB233" s="79" t="e">
        <f>#REF!</f>
        <v>#REF!</v>
      </c>
      <c r="XC233" s="79" t="e">
        <f>#REF!</f>
        <v>#REF!</v>
      </c>
      <c r="XD233" s="79" t="e">
        <f>#REF!</f>
        <v>#REF!</v>
      </c>
      <c r="XE233" s="79" t="e">
        <f>#REF!</f>
        <v>#REF!</v>
      </c>
      <c r="XF233" s="79" t="e">
        <f>#REF!</f>
        <v>#REF!</v>
      </c>
      <c r="XG233" s="79" t="e">
        <f>#REF!</f>
        <v>#REF!</v>
      </c>
      <c r="XH233" s="79" t="e">
        <f>#REF!</f>
        <v>#REF!</v>
      </c>
      <c r="XI233" s="79" t="e">
        <f>#REF!</f>
        <v>#REF!</v>
      </c>
      <c r="XJ233" s="79" t="e">
        <f>#REF!</f>
        <v>#REF!</v>
      </c>
      <c r="XK233" s="79" t="e">
        <f>#REF!</f>
        <v>#REF!</v>
      </c>
      <c r="XL233" s="79" t="e">
        <f>#REF!</f>
        <v>#REF!</v>
      </c>
      <c r="XM233" s="79" t="e">
        <f>#REF!</f>
        <v>#REF!</v>
      </c>
      <c r="XN233" s="79" t="e">
        <f>#REF!</f>
        <v>#REF!</v>
      </c>
      <c r="XO233" s="79" t="e">
        <f>#REF!</f>
        <v>#REF!</v>
      </c>
      <c r="XP233" s="79" t="e">
        <f>#REF!</f>
        <v>#REF!</v>
      </c>
      <c r="XQ233" s="79" t="e">
        <f>#REF!</f>
        <v>#REF!</v>
      </c>
      <c r="XR233" s="79" t="e">
        <f>#REF!</f>
        <v>#REF!</v>
      </c>
      <c r="XS233" s="79" t="e">
        <f>#REF!</f>
        <v>#REF!</v>
      </c>
      <c r="XT233" s="79" t="e">
        <f>#REF!</f>
        <v>#REF!</v>
      </c>
      <c r="XU233" s="79" t="e">
        <f>#REF!</f>
        <v>#REF!</v>
      </c>
      <c r="XV233" s="79" t="e">
        <f>#REF!</f>
        <v>#REF!</v>
      </c>
      <c r="XW233" s="79" t="e">
        <f>#REF!</f>
        <v>#REF!</v>
      </c>
      <c r="XX233" s="79" t="e">
        <f>#REF!</f>
        <v>#REF!</v>
      </c>
      <c r="XY233" s="79" t="e">
        <f>#REF!</f>
        <v>#REF!</v>
      </c>
      <c r="XZ233" s="79" t="e">
        <f>#REF!</f>
        <v>#REF!</v>
      </c>
      <c r="YA233" s="79" t="e">
        <f>#REF!</f>
        <v>#REF!</v>
      </c>
      <c r="YB233" s="79" t="e">
        <f>#REF!</f>
        <v>#REF!</v>
      </c>
      <c r="YC233" s="79" t="e">
        <f>#REF!</f>
        <v>#REF!</v>
      </c>
      <c r="YD233" s="79" t="e">
        <f>#REF!</f>
        <v>#REF!</v>
      </c>
      <c r="YE233" s="79" t="e">
        <f>#REF!</f>
        <v>#REF!</v>
      </c>
      <c r="YF233" s="79" t="e">
        <f>#REF!</f>
        <v>#REF!</v>
      </c>
      <c r="YG233" s="79" t="e">
        <f>#REF!</f>
        <v>#REF!</v>
      </c>
      <c r="YH233" s="79" t="e">
        <f>#REF!</f>
        <v>#REF!</v>
      </c>
      <c r="YI233" s="79" t="e">
        <f>#REF!</f>
        <v>#REF!</v>
      </c>
      <c r="YJ233" s="79" t="e">
        <f>#REF!</f>
        <v>#REF!</v>
      </c>
      <c r="YK233" s="79" t="e">
        <f>#REF!</f>
        <v>#REF!</v>
      </c>
      <c r="YL233" s="79" t="e">
        <f>#REF!</f>
        <v>#REF!</v>
      </c>
      <c r="YM233" s="79" t="e">
        <f>#REF!</f>
        <v>#REF!</v>
      </c>
      <c r="YN233" s="79" t="e">
        <f>#REF!</f>
        <v>#REF!</v>
      </c>
      <c r="YO233" s="79" t="e">
        <f>#REF!</f>
        <v>#REF!</v>
      </c>
      <c r="YP233" s="79" t="e">
        <f>#REF!</f>
        <v>#REF!</v>
      </c>
      <c r="YQ233" s="79" t="e">
        <f>#REF!</f>
        <v>#REF!</v>
      </c>
      <c r="YR233" s="79" t="e">
        <f>#REF!</f>
        <v>#REF!</v>
      </c>
      <c r="YS233" s="79" t="e">
        <f>#REF!</f>
        <v>#REF!</v>
      </c>
      <c r="YT233" s="79" t="e">
        <f>#REF!</f>
        <v>#REF!</v>
      </c>
      <c r="YU233" s="79" t="e">
        <f>#REF!</f>
        <v>#REF!</v>
      </c>
      <c r="YV233" s="79" t="e">
        <f>#REF!</f>
        <v>#REF!</v>
      </c>
      <c r="YW233" s="79" t="e">
        <f>#REF!</f>
        <v>#REF!</v>
      </c>
      <c r="YX233" s="79" t="e">
        <f>#REF!</f>
        <v>#REF!</v>
      </c>
      <c r="YY233" s="79" t="e">
        <f>#REF!</f>
        <v>#REF!</v>
      </c>
      <c r="YZ233" s="79" t="e">
        <f>#REF!</f>
        <v>#REF!</v>
      </c>
      <c r="ZA233" s="79" t="e">
        <f>#REF!</f>
        <v>#REF!</v>
      </c>
      <c r="ZB233" s="79" t="e">
        <f>#REF!</f>
        <v>#REF!</v>
      </c>
      <c r="ZC233" s="79" t="e">
        <f>#REF!</f>
        <v>#REF!</v>
      </c>
      <c r="ZD233" s="79" t="e">
        <f>#REF!</f>
        <v>#REF!</v>
      </c>
      <c r="ZE233" s="79" t="e">
        <f>#REF!</f>
        <v>#REF!</v>
      </c>
      <c r="ZF233" s="79" t="e">
        <f>#REF!</f>
        <v>#REF!</v>
      </c>
      <c r="ZG233" s="79" t="e">
        <f>#REF!</f>
        <v>#REF!</v>
      </c>
      <c r="ZH233" s="79" t="e">
        <f>#REF!</f>
        <v>#REF!</v>
      </c>
      <c r="ZI233" s="79" t="e">
        <f>#REF!</f>
        <v>#REF!</v>
      </c>
      <c r="ZJ233" s="79" t="e">
        <f>#REF!</f>
        <v>#REF!</v>
      </c>
      <c r="ZK233" s="79" t="e">
        <f>#REF!</f>
        <v>#REF!</v>
      </c>
      <c r="ZL233" s="79" t="e">
        <f>#REF!</f>
        <v>#REF!</v>
      </c>
      <c r="ZM233" s="79" t="e">
        <f>#REF!</f>
        <v>#REF!</v>
      </c>
      <c r="ZN233" s="79" t="e">
        <f>#REF!</f>
        <v>#REF!</v>
      </c>
      <c r="ZO233" s="79" t="e">
        <f>#REF!</f>
        <v>#REF!</v>
      </c>
      <c r="ZP233" s="79" t="e">
        <f>#REF!</f>
        <v>#REF!</v>
      </c>
      <c r="ZQ233" s="79" t="e">
        <f>#REF!</f>
        <v>#REF!</v>
      </c>
      <c r="ZR233" s="79" t="e">
        <f>#REF!</f>
        <v>#REF!</v>
      </c>
      <c r="ZS233" s="79" t="e">
        <f>#REF!</f>
        <v>#REF!</v>
      </c>
      <c r="ZT233" s="79" t="e">
        <f>#REF!</f>
        <v>#REF!</v>
      </c>
      <c r="ZU233" s="79" t="e">
        <f>#REF!</f>
        <v>#REF!</v>
      </c>
      <c r="ZV233" s="79" t="e">
        <f>#REF!</f>
        <v>#REF!</v>
      </c>
      <c r="ZW233" s="79" t="e">
        <f>#REF!</f>
        <v>#REF!</v>
      </c>
      <c r="ZX233" s="79" t="e">
        <f>#REF!</f>
        <v>#REF!</v>
      </c>
      <c r="ZY233" s="79" t="e">
        <f>#REF!</f>
        <v>#REF!</v>
      </c>
      <c r="ZZ233" s="79" t="e">
        <f>#REF!</f>
        <v>#REF!</v>
      </c>
      <c r="AAA233" s="79" t="e">
        <f>#REF!</f>
        <v>#REF!</v>
      </c>
      <c r="AAB233" s="79" t="e">
        <f>#REF!</f>
        <v>#REF!</v>
      </c>
      <c r="AAC233" s="79" t="e">
        <f>#REF!</f>
        <v>#REF!</v>
      </c>
      <c r="AAD233" s="79" t="e">
        <f>#REF!</f>
        <v>#REF!</v>
      </c>
      <c r="AAE233" s="79" t="e">
        <f>#REF!</f>
        <v>#REF!</v>
      </c>
      <c r="AAF233" s="79" t="e">
        <f>#REF!</f>
        <v>#REF!</v>
      </c>
      <c r="AAG233" s="79" t="e">
        <f>#REF!</f>
        <v>#REF!</v>
      </c>
      <c r="AAH233" s="79" t="e">
        <f>#REF!</f>
        <v>#REF!</v>
      </c>
      <c r="AAI233" s="79" t="e">
        <f>#REF!</f>
        <v>#REF!</v>
      </c>
      <c r="AAJ233" s="79" t="e">
        <f>#REF!</f>
        <v>#REF!</v>
      </c>
      <c r="AAK233" s="79" t="e">
        <f>#REF!</f>
        <v>#REF!</v>
      </c>
      <c r="AAL233" s="79" t="e">
        <f>#REF!</f>
        <v>#REF!</v>
      </c>
      <c r="AAM233" s="79" t="e">
        <f>#REF!</f>
        <v>#REF!</v>
      </c>
      <c r="AAN233" s="79" t="e">
        <f>#REF!</f>
        <v>#REF!</v>
      </c>
      <c r="AAO233" s="79" t="e">
        <f>#REF!</f>
        <v>#REF!</v>
      </c>
      <c r="AAP233" s="79" t="e">
        <f>#REF!</f>
        <v>#REF!</v>
      </c>
      <c r="AAQ233" s="79" t="e">
        <f>#REF!</f>
        <v>#REF!</v>
      </c>
      <c r="AAR233" s="79" t="e">
        <f>#REF!</f>
        <v>#REF!</v>
      </c>
      <c r="AAS233" s="79" t="e">
        <f>#REF!</f>
        <v>#REF!</v>
      </c>
      <c r="AAT233" s="79" t="e">
        <f>#REF!</f>
        <v>#REF!</v>
      </c>
      <c r="AAU233" s="79" t="e">
        <f>#REF!</f>
        <v>#REF!</v>
      </c>
      <c r="AAV233" s="79" t="e">
        <f>#REF!</f>
        <v>#REF!</v>
      </c>
      <c r="AAW233" s="79" t="e">
        <f>#REF!</f>
        <v>#REF!</v>
      </c>
      <c r="AAX233" s="79" t="e">
        <f>#REF!</f>
        <v>#REF!</v>
      </c>
      <c r="AAY233" s="79" t="e">
        <f>#REF!</f>
        <v>#REF!</v>
      </c>
      <c r="AAZ233" s="79" t="e">
        <f>#REF!</f>
        <v>#REF!</v>
      </c>
      <c r="ABA233" s="79" t="e">
        <f>#REF!</f>
        <v>#REF!</v>
      </c>
      <c r="ABB233" s="79" t="e">
        <f>#REF!</f>
        <v>#REF!</v>
      </c>
      <c r="ABC233" s="79" t="e">
        <f>#REF!</f>
        <v>#REF!</v>
      </c>
      <c r="ABD233" s="79" t="e">
        <f>#REF!</f>
        <v>#REF!</v>
      </c>
      <c r="ABE233" s="79" t="e">
        <f>#REF!</f>
        <v>#REF!</v>
      </c>
      <c r="ABF233" s="79" t="e">
        <f>#REF!</f>
        <v>#REF!</v>
      </c>
      <c r="ABG233" s="79" t="e">
        <f>#REF!</f>
        <v>#REF!</v>
      </c>
      <c r="ABH233" s="79" t="e">
        <f>#REF!</f>
        <v>#REF!</v>
      </c>
      <c r="ABI233" s="79" t="e">
        <f>#REF!</f>
        <v>#REF!</v>
      </c>
      <c r="ABJ233" s="79" t="e">
        <f>#REF!</f>
        <v>#REF!</v>
      </c>
      <c r="ABK233" s="79" t="e">
        <f>#REF!</f>
        <v>#REF!</v>
      </c>
      <c r="ABL233" s="79" t="e">
        <f>#REF!</f>
        <v>#REF!</v>
      </c>
      <c r="ABM233" s="79" t="e">
        <f>#REF!</f>
        <v>#REF!</v>
      </c>
      <c r="ABN233" s="79" t="e">
        <f>#REF!</f>
        <v>#REF!</v>
      </c>
      <c r="ABO233" s="79" t="e">
        <f>#REF!</f>
        <v>#REF!</v>
      </c>
      <c r="ABP233" s="79" t="e">
        <f>#REF!</f>
        <v>#REF!</v>
      </c>
      <c r="ABQ233" s="79" t="e">
        <f>#REF!</f>
        <v>#REF!</v>
      </c>
      <c r="ABR233" s="79" t="e">
        <f>#REF!</f>
        <v>#REF!</v>
      </c>
      <c r="ABS233" s="79" t="e">
        <f>#REF!</f>
        <v>#REF!</v>
      </c>
      <c r="ABT233" s="79" t="e">
        <f>#REF!</f>
        <v>#REF!</v>
      </c>
      <c r="ABU233" s="79" t="e">
        <f>#REF!</f>
        <v>#REF!</v>
      </c>
      <c r="ABV233" s="79" t="e">
        <f>#REF!</f>
        <v>#REF!</v>
      </c>
      <c r="ABW233" s="79" t="e">
        <f>#REF!</f>
        <v>#REF!</v>
      </c>
      <c r="ABX233" s="79" t="e">
        <f>#REF!</f>
        <v>#REF!</v>
      </c>
      <c r="ABY233" s="79" t="e">
        <f>#REF!</f>
        <v>#REF!</v>
      </c>
      <c r="ABZ233" s="79" t="e">
        <f>#REF!</f>
        <v>#REF!</v>
      </c>
      <c r="ACA233" s="79" t="e">
        <f>#REF!</f>
        <v>#REF!</v>
      </c>
      <c r="ACB233" s="79" t="e">
        <f>#REF!</f>
        <v>#REF!</v>
      </c>
      <c r="ACC233" s="79" t="e">
        <f>#REF!</f>
        <v>#REF!</v>
      </c>
      <c r="ACD233" s="79" t="e">
        <f>#REF!</f>
        <v>#REF!</v>
      </c>
      <c r="ACE233" s="79" t="e">
        <f>#REF!</f>
        <v>#REF!</v>
      </c>
      <c r="ACF233" s="79" t="e">
        <f>#REF!</f>
        <v>#REF!</v>
      </c>
      <c r="ACG233" s="79" t="e">
        <f>#REF!</f>
        <v>#REF!</v>
      </c>
      <c r="ACH233" s="79" t="e">
        <f>#REF!</f>
        <v>#REF!</v>
      </c>
      <c r="ACI233" s="79" t="e">
        <f>#REF!</f>
        <v>#REF!</v>
      </c>
      <c r="ACJ233" s="79" t="e">
        <f>#REF!</f>
        <v>#REF!</v>
      </c>
      <c r="ACK233" s="79" t="e">
        <f>#REF!</f>
        <v>#REF!</v>
      </c>
      <c r="ACL233" s="79" t="e">
        <f>#REF!</f>
        <v>#REF!</v>
      </c>
      <c r="ACM233" s="79" t="e">
        <f>#REF!</f>
        <v>#REF!</v>
      </c>
      <c r="ACN233" s="79" t="e">
        <f>#REF!</f>
        <v>#REF!</v>
      </c>
      <c r="ACO233" s="79" t="e">
        <f>#REF!</f>
        <v>#REF!</v>
      </c>
      <c r="ACP233" s="79" t="e">
        <f>#REF!</f>
        <v>#REF!</v>
      </c>
      <c r="ACQ233" s="79" t="e">
        <f>#REF!</f>
        <v>#REF!</v>
      </c>
      <c r="ACR233" s="79" t="e">
        <f>#REF!</f>
        <v>#REF!</v>
      </c>
      <c r="ACS233" s="79" t="e">
        <f>#REF!</f>
        <v>#REF!</v>
      </c>
      <c r="ACT233" s="79" t="e">
        <f>#REF!</f>
        <v>#REF!</v>
      </c>
      <c r="ACU233" s="79" t="e">
        <f>#REF!</f>
        <v>#REF!</v>
      </c>
      <c r="ACV233" s="79" t="e">
        <f>#REF!</f>
        <v>#REF!</v>
      </c>
      <c r="ACW233" s="79" t="e">
        <f>#REF!</f>
        <v>#REF!</v>
      </c>
      <c r="ACX233" s="79" t="e">
        <f>#REF!</f>
        <v>#REF!</v>
      </c>
      <c r="ACY233" s="79"/>
      <c r="ACZ233" s="79"/>
      <c r="ADA233" s="79"/>
      <c r="ADB233" s="79"/>
      <c r="ADC233" s="79"/>
      <c r="ADD233" s="79"/>
      <c r="ADE233" s="79"/>
      <c r="ADF233" s="79"/>
      <c r="ADG233" s="79"/>
      <c r="ADH233" s="79"/>
      <c r="ADI233" s="79"/>
      <c r="ADJ233" s="79"/>
      <c r="ADK233" s="79"/>
      <c r="ADL233" s="79"/>
      <c r="ADM233" s="79"/>
      <c r="ADN233" s="79"/>
      <c r="AQP233" s="165"/>
    </row>
    <row r="234" spans="4:794 1134:1134" ht="14.25" x14ac:dyDescent="0.45">
      <c r="D234" t="s">
        <v>416</v>
      </c>
      <c r="E234" s="79" t="e">
        <f>#REF!</f>
        <v>#REF!</v>
      </c>
      <c r="F234" s="79" t="e">
        <f>#REF!</f>
        <v>#REF!</v>
      </c>
      <c r="G234" s="79" t="e">
        <f>#REF!</f>
        <v>#REF!</v>
      </c>
      <c r="H234" s="79" t="e">
        <f>#REF!</f>
        <v>#REF!</v>
      </c>
      <c r="I234" s="79" t="e">
        <f>#REF!</f>
        <v>#REF!</v>
      </c>
      <c r="J234" s="79" t="e">
        <f>#REF!</f>
        <v>#REF!</v>
      </c>
      <c r="K234" s="79" t="e">
        <f>#REF!</f>
        <v>#REF!</v>
      </c>
      <c r="L234" s="79" t="e">
        <f>#REF!</f>
        <v>#REF!</v>
      </c>
      <c r="M234" s="79" t="e">
        <f>#REF!</f>
        <v>#REF!</v>
      </c>
      <c r="N234" s="79" t="e">
        <f>#REF!</f>
        <v>#REF!</v>
      </c>
      <c r="O234" s="79" t="e">
        <f>#REF!</f>
        <v>#REF!</v>
      </c>
      <c r="P234" s="79" t="e">
        <f>#REF!</f>
        <v>#REF!</v>
      </c>
      <c r="Q234" s="79" t="e">
        <f>#REF!</f>
        <v>#REF!</v>
      </c>
      <c r="R234" s="79" t="e">
        <f>#REF!</f>
        <v>#REF!</v>
      </c>
      <c r="S234" s="79" t="e">
        <f>#REF!</f>
        <v>#REF!</v>
      </c>
      <c r="T234" s="79" t="e">
        <f>#REF!</f>
        <v>#REF!</v>
      </c>
      <c r="U234" s="79" t="e">
        <f>#REF!</f>
        <v>#REF!</v>
      </c>
      <c r="V234" s="79" t="e">
        <f>#REF!</f>
        <v>#REF!</v>
      </c>
      <c r="W234" s="79" t="e">
        <f>#REF!</f>
        <v>#REF!</v>
      </c>
      <c r="X234" s="79" t="e">
        <f>#REF!</f>
        <v>#REF!</v>
      </c>
      <c r="Y234" s="79" t="e">
        <f>#REF!</f>
        <v>#REF!</v>
      </c>
      <c r="Z234" s="79" t="e">
        <f>#REF!</f>
        <v>#REF!</v>
      </c>
      <c r="AA234" s="79" t="e">
        <f>#REF!</f>
        <v>#REF!</v>
      </c>
      <c r="AB234" s="79" t="e">
        <f>#REF!</f>
        <v>#REF!</v>
      </c>
      <c r="AC234" s="79" t="e">
        <f>#REF!</f>
        <v>#REF!</v>
      </c>
      <c r="AD234" s="79" t="e">
        <f>#REF!</f>
        <v>#REF!</v>
      </c>
      <c r="AE234" s="79" t="e">
        <f>#REF!</f>
        <v>#REF!</v>
      </c>
      <c r="AF234" s="79" t="e">
        <f>#REF!</f>
        <v>#REF!</v>
      </c>
      <c r="AG234" s="79" t="e">
        <f>#REF!</f>
        <v>#REF!</v>
      </c>
      <c r="AH234" s="79" t="e">
        <f>#REF!</f>
        <v>#REF!</v>
      </c>
      <c r="AI234" s="79" t="e">
        <f>#REF!</f>
        <v>#REF!</v>
      </c>
      <c r="AJ234" s="79" t="e">
        <f>#REF!</f>
        <v>#REF!</v>
      </c>
      <c r="AK234" s="79" t="e">
        <f>#REF!</f>
        <v>#REF!</v>
      </c>
      <c r="AL234" s="79" t="e">
        <f>#REF!</f>
        <v>#REF!</v>
      </c>
      <c r="AM234" s="79" t="e">
        <f>#REF!</f>
        <v>#REF!</v>
      </c>
      <c r="AN234" s="79" t="e">
        <f>#REF!</f>
        <v>#REF!</v>
      </c>
      <c r="AO234" s="79" t="e">
        <f>#REF!</f>
        <v>#REF!</v>
      </c>
      <c r="AP234" s="79" t="e">
        <f>#REF!</f>
        <v>#REF!</v>
      </c>
      <c r="AQ234" s="79" t="e">
        <f>#REF!</f>
        <v>#REF!</v>
      </c>
      <c r="AR234" s="79" t="e">
        <f>#REF!</f>
        <v>#REF!</v>
      </c>
      <c r="AS234" s="79" t="e">
        <f>#REF!</f>
        <v>#REF!</v>
      </c>
      <c r="AT234" s="79" t="e">
        <f>#REF!</f>
        <v>#REF!</v>
      </c>
      <c r="AU234" s="79" t="e">
        <f>#REF!</f>
        <v>#REF!</v>
      </c>
      <c r="AV234" s="79" t="e">
        <f>#REF!</f>
        <v>#REF!</v>
      </c>
      <c r="AW234" s="79" t="e">
        <f>#REF!</f>
        <v>#REF!</v>
      </c>
      <c r="AX234" s="79" t="e">
        <f>#REF!</f>
        <v>#REF!</v>
      </c>
      <c r="AY234" s="79" t="e">
        <f>#REF!</f>
        <v>#REF!</v>
      </c>
      <c r="AZ234" s="79" t="e">
        <f>#REF!</f>
        <v>#REF!</v>
      </c>
      <c r="BA234" s="79" t="e">
        <f>#REF!</f>
        <v>#REF!</v>
      </c>
      <c r="BB234" s="79" t="e">
        <f>#REF!</f>
        <v>#REF!</v>
      </c>
      <c r="BC234" s="79" t="e">
        <f>#REF!</f>
        <v>#REF!</v>
      </c>
      <c r="BD234" s="79" t="e">
        <f>#REF!</f>
        <v>#REF!</v>
      </c>
      <c r="BE234" s="79" t="e">
        <f>#REF!</f>
        <v>#REF!</v>
      </c>
      <c r="BF234" s="79" t="e">
        <f>#REF!</f>
        <v>#REF!</v>
      </c>
      <c r="BG234" s="79" t="e">
        <f>#REF!</f>
        <v>#REF!</v>
      </c>
      <c r="BH234" s="79" t="e">
        <f>#REF!</f>
        <v>#REF!</v>
      </c>
      <c r="BI234" s="79" t="e">
        <f>#REF!</f>
        <v>#REF!</v>
      </c>
      <c r="BJ234" s="79" t="e">
        <f>#REF!</f>
        <v>#REF!</v>
      </c>
      <c r="BK234" s="79" t="e">
        <f>#REF!</f>
        <v>#REF!</v>
      </c>
      <c r="BL234" s="79" t="e">
        <f>#REF!</f>
        <v>#REF!</v>
      </c>
      <c r="BM234" s="79" t="e">
        <f>#REF!</f>
        <v>#REF!</v>
      </c>
      <c r="BN234" s="79" t="e">
        <f>#REF!</f>
        <v>#REF!</v>
      </c>
      <c r="BO234" s="79" t="e">
        <f>#REF!</f>
        <v>#REF!</v>
      </c>
      <c r="BP234" s="79" t="e">
        <f>#REF!</f>
        <v>#REF!</v>
      </c>
      <c r="BQ234" s="79" t="e">
        <f>#REF!</f>
        <v>#REF!</v>
      </c>
      <c r="BR234" s="79" t="e">
        <f>#REF!</f>
        <v>#REF!</v>
      </c>
      <c r="BS234" s="79" t="e">
        <f>#REF!</f>
        <v>#REF!</v>
      </c>
      <c r="BT234" s="79" t="e">
        <f>#REF!</f>
        <v>#REF!</v>
      </c>
      <c r="BU234" s="79" t="e">
        <f>#REF!</f>
        <v>#REF!</v>
      </c>
      <c r="BV234" s="79" t="e">
        <f>#REF!</f>
        <v>#REF!</v>
      </c>
      <c r="BW234" s="79" t="e">
        <f>#REF!</f>
        <v>#REF!</v>
      </c>
      <c r="BX234" s="79" t="e">
        <f>#REF!</f>
        <v>#REF!</v>
      </c>
      <c r="BY234" s="79" t="e">
        <f>#REF!</f>
        <v>#REF!</v>
      </c>
      <c r="BZ234" s="79" t="e">
        <f>#REF!</f>
        <v>#REF!</v>
      </c>
      <c r="CA234" s="79" t="e">
        <f>#REF!</f>
        <v>#REF!</v>
      </c>
      <c r="CB234" s="79" t="e">
        <f>#REF!</f>
        <v>#REF!</v>
      </c>
      <c r="CC234" s="79" t="e">
        <f>#REF!</f>
        <v>#REF!</v>
      </c>
      <c r="CD234" s="79" t="e">
        <f>#REF!</f>
        <v>#REF!</v>
      </c>
      <c r="CE234" s="79" t="e">
        <f>#REF!</f>
        <v>#REF!</v>
      </c>
      <c r="CF234" s="79" t="e">
        <f>#REF!</f>
        <v>#REF!</v>
      </c>
      <c r="CG234" s="79" t="e">
        <f>#REF!</f>
        <v>#REF!</v>
      </c>
      <c r="CH234" s="79" t="e">
        <f>#REF!</f>
        <v>#REF!</v>
      </c>
      <c r="CI234" s="79" t="e">
        <f>#REF!</f>
        <v>#REF!</v>
      </c>
      <c r="CJ234" s="79" t="e">
        <f>#REF!</f>
        <v>#REF!</v>
      </c>
      <c r="CK234" s="79" t="e">
        <f>#REF!</f>
        <v>#REF!</v>
      </c>
      <c r="CL234" s="79" t="e">
        <f>#REF!</f>
        <v>#REF!</v>
      </c>
      <c r="CM234" s="79" t="e">
        <f>#REF!</f>
        <v>#REF!</v>
      </c>
      <c r="CN234" s="79" t="e">
        <f>#REF!</f>
        <v>#REF!</v>
      </c>
      <c r="CO234" s="79" t="e">
        <f>#REF!</f>
        <v>#REF!</v>
      </c>
      <c r="CP234" s="79" t="e">
        <f>#REF!</f>
        <v>#REF!</v>
      </c>
      <c r="CQ234" s="79" t="e">
        <f>#REF!</f>
        <v>#REF!</v>
      </c>
      <c r="CR234" s="79" t="e">
        <f>#REF!</f>
        <v>#REF!</v>
      </c>
      <c r="CS234" s="79" t="e">
        <f>#REF!</f>
        <v>#REF!</v>
      </c>
      <c r="CT234" s="79" t="e">
        <f>#REF!</f>
        <v>#REF!</v>
      </c>
      <c r="CU234" s="79" t="e">
        <f>#REF!</f>
        <v>#REF!</v>
      </c>
      <c r="CV234" s="79" t="e">
        <f>#REF!</f>
        <v>#REF!</v>
      </c>
      <c r="CW234" s="79" t="e">
        <f>#REF!</f>
        <v>#REF!</v>
      </c>
      <c r="CX234" s="79" t="e">
        <f>#REF!</f>
        <v>#REF!</v>
      </c>
      <c r="CY234" s="79" t="e">
        <f>#REF!</f>
        <v>#REF!</v>
      </c>
      <c r="CZ234" s="79" t="e">
        <f>#REF!</f>
        <v>#REF!</v>
      </c>
      <c r="DA234" s="79" t="e">
        <f>#REF!</f>
        <v>#REF!</v>
      </c>
      <c r="DB234" s="79" t="e">
        <f>#REF!</f>
        <v>#REF!</v>
      </c>
      <c r="DC234" s="79" t="e">
        <f>#REF!</f>
        <v>#REF!</v>
      </c>
      <c r="DD234" s="79" t="e">
        <f>#REF!</f>
        <v>#REF!</v>
      </c>
      <c r="DE234" s="79" t="e">
        <f>#REF!</f>
        <v>#REF!</v>
      </c>
      <c r="DF234" s="79" t="e">
        <f>#REF!</f>
        <v>#REF!</v>
      </c>
      <c r="DG234" s="79" t="e">
        <f>#REF!</f>
        <v>#REF!</v>
      </c>
      <c r="DH234" s="79" t="e">
        <f>#REF!</f>
        <v>#REF!</v>
      </c>
      <c r="DI234" s="79" t="e">
        <f>#REF!</f>
        <v>#REF!</v>
      </c>
      <c r="DJ234" s="79" t="e">
        <f>#REF!</f>
        <v>#REF!</v>
      </c>
      <c r="DK234" s="79" t="e">
        <f>#REF!</f>
        <v>#REF!</v>
      </c>
      <c r="DL234" s="79" t="e">
        <f>#REF!</f>
        <v>#REF!</v>
      </c>
      <c r="DM234" s="79" t="e">
        <f>#REF!</f>
        <v>#REF!</v>
      </c>
      <c r="DN234" s="79" t="e">
        <f>#REF!</f>
        <v>#REF!</v>
      </c>
      <c r="DO234" s="79" t="e">
        <f>#REF!</f>
        <v>#REF!</v>
      </c>
      <c r="DP234" s="79" t="e">
        <f>#REF!</f>
        <v>#REF!</v>
      </c>
      <c r="DQ234" s="79" t="e">
        <f>#REF!</f>
        <v>#REF!</v>
      </c>
      <c r="DR234" s="79" t="e">
        <f>#REF!</f>
        <v>#REF!</v>
      </c>
      <c r="DS234" s="79" t="e">
        <f>#REF!</f>
        <v>#REF!</v>
      </c>
      <c r="DT234" s="79" t="e">
        <f>#REF!</f>
        <v>#REF!</v>
      </c>
      <c r="DU234" s="79" t="e">
        <f>#REF!</f>
        <v>#REF!</v>
      </c>
      <c r="DV234" s="79" t="e">
        <f>#REF!</f>
        <v>#REF!</v>
      </c>
      <c r="DW234" s="79" t="e">
        <f>#REF!</f>
        <v>#REF!</v>
      </c>
      <c r="DX234" s="79" t="e">
        <f>#REF!</f>
        <v>#REF!</v>
      </c>
      <c r="DY234" s="79" t="e">
        <f>#REF!</f>
        <v>#REF!</v>
      </c>
      <c r="DZ234" s="79" t="e">
        <f>#REF!</f>
        <v>#REF!</v>
      </c>
      <c r="EA234" s="79" t="e">
        <f>#REF!</f>
        <v>#REF!</v>
      </c>
      <c r="EB234" s="79" t="e">
        <f>#REF!</f>
        <v>#REF!</v>
      </c>
      <c r="EC234" s="79" t="e">
        <f>#REF!</f>
        <v>#REF!</v>
      </c>
      <c r="ED234" s="79" t="e">
        <f>#REF!</f>
        <v>#REF!</v>
      </c>
      <c r="EE234" s="79" t="e">
        <f>#REF!</f>
        <v>#REF!</v>
      </c>
      <c r="EF234" s="79" t="e">
        <f>#REF!</f>
        <v>#REF!</v>
      </c>
      <c r="EG234" s="79" t="e">
        <f>#REF!</f>
        <v>#REF!</v>
      </c>
      <c r="EH234" s="79" t="e">
        <f>#REF!</f>
        <v>#REF!</v>
      </c>
      <c r="EI234" s="79" t="e">
        <f>#REF!</f>
        <v>#REF!</v>
      </c>
      <c r="EJ234" s="79" t="e">
        <f>#REF!</f>
        <v>#REF!</v>
      </c>
      <c r="EK234" s="79" t="e">
        <f>#REF!</f>
        <v>#REF!</v>
      </c>
      <c r="EL234" s="79" t="e">
        <f>#REF!</f>
        <v>#REF!</v>
      </c>
      <c r="EM234" s="79" t="e">
        <f>#REF!</f>
        <v>#REF!</v>
      </c>
      <c r="EN234" s="79" t="e">
        <f>#REF!</f>
        <v>#REF!</v>
      </c>
      <c r="EO234" s="79" t="e">
        <f>#REF!</f>
        <v>#REF!</v>
      </c>
      <c r="EP234" s="79" t="e">
        <f>#REF!</f>
        <v>#REF!</v>
      </c>
      <c r="EQ234" s="79" t="e">
        <f>#REF!</f>
        <v>#REF!</v>
      </c>
      <c r="ER234" s="79" t="e">
        <f>#REF!</f>
        <v>#REF!</v>
      </c>
      <c r="ES234" s="79" t="e">
        <f>#REF!</f>
        <v>#REF!</v>
      </c>
      <c r="ET234" s="79" t="e">
        <f>#REF!</f>
        <v>#REF!</v>
      </c>
      <c r="EU234" s="79" t="e">
        <f>#REF!</f>
        <v>#REF!</v>
      </c>
      <c r="EV234" s="79" t="e">
        <f>#REF!</f>
        <v>#REF!</v>
      </c>
      <c r="EW234" s="79" t="e">
        <f>#REF!</f>
        <v>#REF!</v>
      </c>
      <c r="EX234" s="79" t="e">
        <f>#REF!</f>
        <v>#REF!</v>
      </c>
      <c r="EY234" s="79" t="e">
        <f>#REF!</f>
        <v>#REF!</v>
      </c>
      <c r="EZ234" s="79" t="e">
        <f>#REF!</f>
        <v>#REF!</v>
      </c>
      <c r="FA234" s="79" t="e">
        <f>#REF!</f>
        <v>#REF!</v>
      </c>
      <c r="FB234" s="79" t="e">
        <f>#REF!</f>
        <v>#REF!</v>
      </c>
      <c r="FC234" s="79" t="e">
        <f>#REF!</f>
        <v>#REF!</v>
      </c>
      <c r="FD234" s="79" t="e">
        <f>#REF!</f>
        <v>#REF!</v>
      </c>
      <c r="FE234" s="79" t="e">
        <f>#REF!</f>
        <v>#REF!</v>
      </c>
      <c r="FF234" s="79" t="e">
        <f>#REF!</f>
        <v>#REF!</v>
      </c>
      <c r="FG234" s="79" t="e">
        <f>#REF!</f>
        <v>#REF!</v>
      </c>
      <c r="FH234" s="79" t="e">
        <f>#REF!</f>
        <v>#REF!</v>
      </c>
      <c r="FI234" s="79" t="e">
        <f>#REF!</f>
        <v>#REF!</v>
      </c>
      <c r="FJ234" s="79" t="e">
        <f>#REF!</f>
        <v>#REF!</v>
      </c>
      <c r="FK234" s="79" t="e">
        <f>#REF!</f>
        <v>#REF!</v>
      </c>
      <c r="FL234" s="79" t="e">
        <f>#REF!</f>
        <v>#REF!</v>
      </c>
      <c r="FM234" s="79" t="e">
        <f>#REF!</f>
        <v>#REF!</v>
      </c>
      <c r="FN234" s="79" t="e">
        <f>#REF!</f>
        <v>#REF!</v>
      </c>
      <c r="FO234" s="79" t="e">
        <f>#REF!</f>
        <v>#REF!</v>
      </c>
      <c r="FP234" s="79" t="e">
        <f>#REF!</f>
        <v>#REF!</v>
      </c>
      <c r="FQ234" s="79" t="e">
        <f>#REF!</f>
        <v>#REF!</v>
      </c>
      <c r="FR234" s="79" t="e">
        <f>#REF!</f>
        <v>#REF!</v>
      </c>
      <c r="FS234" s="79" t="e">
        <f>#REF!</f>
        <v>#REF!</v>
      </c>
      <c r="FT234" s="79" t="e">
        <f>#REF!</f>
        <v>#REF!</v>
      </c>
      <c r="FU234" s="79" t="e">
        <f>#REF!</f>
        <v>#REF!</v>
      </c>
      <c r="FV234" s="79" t="e">
        <f>#REF!</f>
        <v>#REF!</v>
      </c>
      <c r="FW234" s="79" t="e">
        <f>#REF!</f>
        <v>#REF!</v>
      </c>
      <c r="FX234" s="79" t="e">
        <f>#REF!</f>
        <v>#REF!</v>
      </c>
      <c r="FY234" s="79" t="e">
        <f>#REF!</f>
        <v>#REF!</v>
      </c>
      <c r="FZ234" s="79" t="e">
        <f>#REF!</f>
        <v>#REF!</v>
      </c>
      <c r="GA234" s="79" t="e">
        <f>#REF!</f>
        <v>#REF!</v>
      </c>
      <c r="GB234" s="79" t="e">
        <f>#REF!</f>
        <v>#REF!</v>
      </c>
      <c r="GC234" s="79" t="e">
        <f>#REF!</f>
        <v>#REF!</v>
      </c>
      <c r="GD234" s="79" t="e">
        <f>#REF!</f>
        <v>#REF!</v>
      </c>
      <c r="GE234" s="79" t="e">
        <f>#REF!</f>
        <v>#REF!</v>
      </c>
      <c r="GF234" s="79" t="e">
        <f>#REF!</f>
        <v>#REF!</v>
      </c>
      <c r="GG234" s="79" t="e">
        <f>#REF!</f>
        <v>#REF!</v>
      </c>
      <c r="GH234" s="79" t="e">
        <f>#REF!</f>
        <v>#REF!</v>
      </c>
      <c r="GI234" s="79" t="e">
        <f>#REF!</f>
        <v>#REF!</v>
      </c>
      <c r="GJ234" s="79" t="e">
        <f>#REF!</f>
        <v>#REF!</v>
      </c>
      <c r="GK234" s="79" t="e">
        <f>#REF!</f>
        <v>#REF!</v>
      </c>
      <c r="GL234" s="79" t="e">
        <f>#REF!</f>
        <v>#REF!</v>
      </c>
      <c r="GM234" s="79" t="e">
        <f>#REF!</f>
        <v>#REF!</v>
      </c>
      <c r="GN234" s="79" t="e">
        <f>#REF!</f>
        <v>#REF!</v>
      </c>
      <c r="GO234" s="79" t="e">
        <f>#REF!</f>
        <v>#REF!</v>
      </c>
      <c r="GP234" s="79" t="e">
        <f>#REF!</f>
        <v>#REF!</v>
      </c>
      <c r="GQ234" s="79" t="e">
        <f>#REF!</f>
        <v>#REF!</v>
      </c>
      <c r="GR234" s="79" t="e">
        <f>#REF!</f>
        <v>#REF!</v>
      </c>
      <c r="GS234" s="79" t="e">
        <f>#REF!</f>
        <v>#REF!</v>
      </c>
      <c r="GT234" s="79" t="e">
        <f>#REF!</f>
        <v>#REF!</v>
      </c>
      <c r="GU234" s="79" t="e">
        <f>#REF!</f>
        <v>#REF!</v>
      </c>
      <c r="GV234" s="79" t="e">
        <f>#REF!</f>
        <v>#REF!</v>
      </c>
      <c r="GW234" s="79" t="e">
        <f>#REF!</f>
        <v>#REF!</v>
      </c>
      <c r="GX234" s="79" t="e">
        <f>#REF!</f>
        <v>#REF!</v>
      </c>
      <c r="GY234" s="79" t="e">
        <f>#REF!</f>
        <v>#REF!</v>
      </c>
      <c r="GZ234" s="79" t="e">
        <f>#REF!</f>
        <v>#REF!</v>
      </c>
      <c r="HA234" s="79" t="e">
        <f>#REF!</f>
        <v>#REF!</v>
      </c>
      <c r="HB234" s="79" t="e">
        <f>#REF!</f>
        <v>#REF!</v>
      </c>
      <c r="HC234" s="79" t="e">
        <f>#REF!</f>
        <v>#REF!</v>
      </c>
      <c r="HD234" s="79" t="e">
        <f>#REF!</f>
        <v>#REF!</v>
      </c>
      <c r="HE234" s="79" t="e">
        <f>#REF!</f>
        <v>#REF!</v>
      </c>
      <c r="HF234" s="79" t="e">
        <f>#REF!</f>
        <v>#REF!</v>
      </c>
      <c r="HG234" s="79" t="e">
        <f>#REF!</f>
        <v>#REF!</v>
      </c>
      <c r="HH234" s="79" t="e">
        <f>#REF!</f>
        <v>#REF!</v>
      </c>
      <c r="HI234" s="79" t="e">
        <f>#REF!</f>
        <v>#REF!</v>
      </c>
      <c r="HJ234" s="79" t="e">
        <f>#REF!</f>
        <v>#REF!</v>
      </c>
      <c r="HK234" s="79" t="e">
        <f>#REF!</f>
        <v>#REF!</v>
      </c>
      <c r="HL234" s="79" t="e">
        <f>#REF!</f>
        <v>#REF!</v>
      </c>
      <c r="HM234" s="79" t="e">
        <f>#REF!</f>
        <v>#REF!</v>
      </c>
      <c r="HN234" s="79" t="e">
        <f>#REF!</f>
        <v>#REF!</v>
      </c>
      <c r="HO234" s="79" t="e">
        <f>#REF!</f>
        <v>#REF!</v>
      </c>
      <c r="HP234" s="79" t="e">
        <f>#REF!</f>
        <v>#REF!</v>
      </c>
      <c r="HQ234" s="79" t="e">
        <f>#REF!</f>
        <v>#REF!</v>
      </c>
      <c r="HR234" s="79" t="e">
        <f>#REF!</f>
        <v>#REF!</v>
      </c>
      <c r="HS234" s="79" t="e">
        <f>#REF!</f>
        <v>#REF!</v>
      </c>
      <c r="HT234" s="79" t="e">
        <f>#REF!</f>
        <v>#REF!</v>
      </c>
      <c r="HU234" s="79" t="e">
        <f>#REF!</f>
        <v>#REF!</v>
      </c>
      <c r="HV234" s="79" t="e">
        <f>#REF!</f>
        <v>#REF!</v>
      </c>
      <c r="HW234" s="79" t="e">
        <f>#REF!</f>
        <v>#REF!</v>
      </c>
      <c r="HX234" s="79" t="e">
        <f>#REF!</f>
        <v>#REF!</v>
      </c>
      <c r="HY234" s="79" t="e">
        <f>#REF!</f>
        <v>#REF!</v>
      </c>
      <c r="HZ234" s="79" t="e">
        <f>#REF!</f>
        <v>#REF!</v>
      </c>
      <c r="IA234" s="79" t="e">
        <f>#REF!</f>
        <v>#REF!</v>
      </c>
      <c r="IB234" s="79" t="e">
        <f>#REF!</f>
        <v>#REF!</v>
      </c>
      <c r="IC234" s="79" t="e">
        <f>#REF!</f>
        <v>#REF!</v>
      </c>
      <c r="ID234" s="79" t="e">
        <f>#REF!</f>
        <v>#REF!</v>
      </c>
      <c r="IE234" s="79" t="e">
        <f>#REF!</f>
        <v>#REF!</v>
      </c>
      <c r="IF234" s="79" t="e">
        <f>#REF!</f>
        <v>#REF!</v>
      </c>
      <c r="IG234" s="79" t="e">
        <f>#REF!</f>
        <v>#REF!</v>
      </c>
      <c r="IH234" s="79" t="e">
        <f>#REF!</f>
        <v>#REF!</v>
      </c>
      <c r="II234" s="79" t="e">
        <f>#REF!</f>
        <v>#REF!</v>
      </c>
      <c r="IJ234" s="79" t="e">
        <f>#REF!</f>
        <v>#REF!</v>
      </c>
      <c r="IK234" s="79" t="e">
        <f>#REF!</f>
        <v>#REF!</v>
      </c>
      <c r="IL234" s="79" t="e">
        <f>#REF!</f>
        <v>#REF!</v>
      </c>
      <c r="IM234" s="79" t="e">
        <f>#REF!</f>
        <v>#REF!</v>
      </c>
      <c r="IN234" s="79" t="e">
        <f>#REF!</f>
        <v>#REF!</v>
      </c>
      <c r="IO234" s="79" t="e">
        <f>#REF!</f>
        <v>#REF!</v>
      </c>
      <c r="IP234" s="79" t="e">
        <f>#REF!</f>
        <v>#REF!</v>
      </c>
      <c r="IQ234" s="79" t="e">
        <f>#REF!</f>
        <v>#REF!</v>
      </c>
      <c r="IR234" s="79" t="e">
        <f>#REF!</f>
        <v>#REF!</v>
      </c>
      <c r="IS234" s="79" t="e">
        <f>#REF!</f>
        <v>#REF!</v>
      </c>
      <c r="IT234" s="79" t="e">
        <f>#REF!</f>
        <v>#REF!</v>
      </c>
      <c r="IU234" s="79" t="e">
        <f>#REF!</f>
        <v>#REF!</v>
      </c>
      <c r="IV234" s="79" t="e">
        <f>#REF!</f>
        <v>#REF!</v>
      </c>
      <c r="IW234" s="79" t="e">
        <f>#REF!</f>
        <v>#REF!</v>
      </c>
      <c r="IX234" s="79" t="e">
        <f>#REF!</f>
        <v>#REF!</v>
      </c>
      <c r="IY234" s="79" t="e">
        <f>#REF!</f>
        <v>#REF!</v>
      </c>
      <c r="IZ234" s="79" t="e">
        <f>#REF!</f>
        <v>#REF!</v>
      </c>
      <c r="JA234" s="79" t="e">
        <f>#REF!</f>
        <v>#REF!</v>
      </c>
      <c r="JB234" s="79" t="e">
        <f>#REF!</f>
        <v>#REF!</v>
      </c>
      <c r="JC234" s="79" t="e">
        <f>#REF!</f>
        <v>#REF!</v>
      </c>
      <c r="JD234" s="79" t="e">
        <f>#REF!</f>
        <v>#REF!</v>
      </c>
      <c r="JE234" s="79" t="e">
        <f>#REF!</f>
        <v>#REF!</v>
      </c>
      <c r="JF234" s="79" t="e">
        <f>#REF!</f>
        <v>#REF!</v>
      </c>
      <c r="JG234" s="79" t="e">
        <f>#REF!</f>
        <v>#REF!</v>
      </c>
      <c r="JH234" s="79" t="e">
        <f>#REF!</f>
        <v>#REF!</v>
      </c>
      <c r="JI234" s="79" t="e">
        <f>#REF!</f>
        <v>#REF!</v>
      </c>
      <c r="JJ234" s="79" t="e">
        <f>#REF!</f>
        <v>#REF!</v>
      </c>
      <c r="JK234" s="79" t="e">
        <f>#REF!</f>
        <v>#REF!</v>
      </c>
      <c r="JL234" s="79" t="e">
        <f>#REF!</f>
        <v>#REF!</v>
      </c>
      <c r="JM234" s="79" t="e">
        <f>#REF!</f>
        <v>#REF!</v>
      </c>
      <c r="JN234" s="79" t="e">
        <f>#REF!</f>
        <v>#REF!</v>
      </c>
      <c r="JO234" s="79" t="e">
        <f>#REF!</f>
        <v>#REF!</v>
      </c>
      <c r="JP234" s="79" t="e">
        <f>#REF!</f>
        <v>#REF!</v>
      </c>
      <c r="JQ234" s="79" t="e">
        <f>#REF!</f>
        <v>#REF!</v>
      </c>
      <c r="JR234" s="79" t="e">
        <f>#REF!</f>
        <v>#REF!</v>
      </c>
      <c r="JS234" s="79" t="e">
        <f>#REF!</f>
        <v>#REF!</v>
      </c>
      <c r="JT234" s="79" t="e">
        <f>#REF!</f>
        <v>#REF!</v>
      </c>
      <c r="JU234" s="79" t="e">
        <f>#REF!</f>
        <v>#REF!</v>
      </c>
      <c r="JV234" s="79" t="e">
        <f>#REF!</f>
        <v>#REF!</v>
      </c>
      <c r="JW234" s="79" t="e">
        <f>#REF!</f>
        <v>#REF!</v>
      </c>
      <c r="JX234" s="79" t="e">
        <f>#REF!</f>
        <v>#REF!</v>
      </c>
      <c r="JY234" s="79" t="e">
        <f>#REF!</f>
        <v>#REF!</v>
      </c>
      <c r="JZ234" s="79" t="e">
        <f>#REF!</f>
        <v>#REF!</v>
      </c>
      <c r="KA234" s="79" t="e">
        <f>#REF!</f>
        <v>#REF!</v>
      </c>
      <c r="KB234" s="79" t="e">
        <f>#REF!</f>
        <v>#REF!</v>
      </c>
      <c r="KC234" s="79" t="e">
        <f>#REF!</f>
        <v>#REF!</v>
      </c>
      <c r="KD234" s="79" t="e">
        <f>#REF!</f>
        <v>#REF!</v>
      </c>
      <c r="KE234" s="79" t="e">
        <f>#REF!</f>
        <v>#REF!</v>
      </c>
      <c r="KF234" s="79" t="e">
        <f>#REF!</f>
        <v>#REF!</v>
      </c>
      <c r="KG234" s="79" t="e">
        <f>#REF!</f>
        <v>#REF!</v>
      </c>
      <c r="KH234" s="79" t="e">
        <f>#REF!</f>
        <v>#REF!</v>
      </c>
      <c r="KI234" s="79" t="e">
        <f>#REF!</f>
        <v>#REF!</v>
      </c>
      <c r="KJ234" s="79" t="e">
        <f>#REF!</f>
        <v>#REF!</v>
      </c>
      <c r="KK234" s="79" t="e">
        <f>#REF!</f>
        <v>#REF!</v>
      </c>
      <c r="KL234" s="79" t="e">
        <f>#REF!</f>
        <v>#REF!</v>
      </c>
      <c r="KM234" s="79" t="e">
        <f>#REF!</f>
        <v>#REF!</v>
      </c>
      <c r="KN234" s="79" t="e">
        <f>#REF!</f>
        <v>#REF!</v>
      </c>
      <c r="KO234" s="79" t="e">
        <f>#REF!</f>
        <v>#REF!</v>
      </c>
      <c r="KP234" s="79" t="e">
        <f>#REF!</f>
        <v>#REF!</v>
      </c>
      <c r="KQ234" s="79" t="e">
        <f>#REF!</f>
        <v>#REF!</v>
      </c>
      <c r="KR234" s="79" t="e">
        <f>#REF!</f>
        <v>#REF!</v>
      </c>
      <c r="KS234" s="79" t="e">
        <f>#REF!</f>
        <v>#REF!</v>
      </c>
      <c r="KT234" s="79" t="e">
        <f>#REF!</f>
        <v>#REF!</v>
      </c>
      <c r="KU234" s="79" t="e">
        <f>#REF!</f>
        <v>#REF!</v>
      </c>
      <c r="KV234" s="79" t="e">
        <f>#REF!</f>
        <v>#REF!</v>
      </c>
      <c r="KW234" s="79" t="e">
        <f>#REF!</f>
        <v>#REF!</v>
      </c>
      <c r="KX234" s="79" t="e">
        <f>#REF!</f>
        <v>#REF!</v>
      </c>
      <c r="KY234" s="79" t="e">
        <f>#REF!</f>
        <v>#REF!</v>
      </c>
      <c r="KZ234" s="79" t="e">
        <f>#REF!</f>
        <v>#REF!</v>
      </c>
      <c r="LA234" s="79" t="e">
        <f>#REF!</f>
        <v>#REF!</v>
      </c>
      <c r="LB234" s="79" t="e">
        <f>#REF!</f>
        <v>#REF!</v>
      </c>
      <c r="LC234" s="79" t="e">
        <f>#REF!</f>
        <v>#REF!</v>
      </c>
      <c r="LD234" s="79" t="e">
        <f>#REF!</f>
        <v>#REF!</v>
      </c>
      <c r="LE234" s="79" t="e">
        <f>#REF!</f>
        <v>#REF!</v>
      </c>
      <c r="LF234" s="79" t="e">
        <f>#REF!</f>
        <v>#REF!</v>
      </c>
      <c r="LG234" s="79" t="e">
        <f>#REF!</f>
        <v>#REF!</v>
      </c>
      <c r="LH234" s="79" t="e">
        <f>#REF!</f>
        <v>#REF!</v>
      </c>
      <c r="LI234" s="79" t="e">
        <f>#REF!</f>
        <v>#REF!</v>
      </c>
      <c r="LJ234" s="79" t="e">
        <f>#REF!</f>
        <v>#REF!</v>
      </c>
      <c r="LK234" s="79" t="e">
        <f>#REF!</f>
        <v>#REF!</v>
      </c>
      <c r="LL234" s="79" t="e">
        <f>#REF!</f>
        <v>#REF!</v>
      </c>
      <c r="LM234" s="79" t="e">
        <f>#REF!</f>
        <v>#REF!</v>
      </c>
      <c r="LN234" s="79" t="e">
        <f>#REF!</f>
        <v>#REF!</v>
      </c>
      <c r="LO234" s="79" t="e">
        <f>#REF!</f>
        <v>#REF!</v>
      </c>
      <c r="LP234" s="79" t="e">
        <f>#REF!</f>
        <v>#REF!</v>
      </c>
      <c r="LQ234" s="79" t="e">
        <f>#REF!</f>
        <v>#REF!</v>
      </c>
      <c r="LR234" s="79" t="e">
        <f>#REF!</f>
        <v>#REF!</v>
      </c>
      <c r="LS234" s="79" t="e">
        <f>#REF!</f>
        <v>#REF!</v>
      </c>
      <c r="LT234" s="79" t="e">
        <f>#REF!</f>
        <v>#REF!</v>
      </c>
      <c r="LU234" s="79" t="e">
        <f>#REF!</f>
        <v>#REF!</v>
      </c>
      <c r="LV234" s="79" t="e">
        <f>#REF!</f>
        <v>#REF!</v>
      </c>
      <c r="LW234" s="79" t="e">
        <f>#REF!</f>
        <v>#REF!</v>
      </c>
      <c r="LX234" s="79" t="e">
        <f>#REF!</f>
        <v>#REF!</v>
      </c>
      <c r="LY234" s="79" t="e">
        <f>#REF!</f>
        <v>#REF!</v>
      </c>
      <c r="LZ234" s="79" t="e">
        <f>#REF!</f>
        <v>#REF!</v>
      </c>
      <c r="MA234" s="79" t="e">
        <f>#REF!</f>
        <v>#REF!</v>
      </c>
      <c r="MB234" s="79" t="e">
        <f>#REF!</f>
        <v>#REF!</v>
      </c>
      <c r="MC234" s="79" t="e">
        <f>#REF!</f>
        <v>#REF!</v>
      </c>
      <c r="MD234" s="79" t="e">
        <f>#REF!</f>
        <v>#REF!</v>
      </c>
      <c r="ME234" s="79" t="e">
        <f>#REF!</f>
        <v>#REF!</v>
      </c>
      <c r="MF234" s="79" t="e">
        <f>#REF!</f>
        <v>#REF!</v>
      </c>
      <c r="MG234" s="79" t="e">
        <f>#REF!</f>
        <v>#REF!</v>
      </c>
      <c r="MH234" s="79" t="e">
        <f>#REF!</f>
        <v>#REF!</v>
      </c>
      <c r="MI234" s="79" t="e">
        <f>#REF!</f>
        <v>#REF!</v>
      </c>
      <c r="MJ234" s="79" t="e">
        <f>#REF!</f>
        <v>#REF!</v>
      </c>
      <c r="MK234" s="79" t="e">
        <f>#REF!</f>
        <v>#REF!</v>
      </c>
      <c r="ML234" s="79" t="e">
        <f>#REF!</f>
        <v>#REF!</v>
      </c>
      <c r="MM234" s="79" t="e">
        <f>#REF!</f>
        <v>#REF!</v>
      </c>
      <c r="MN234" s="79" t="e">
        <f>#REF!</f>
        <v>#REF!</v>
      </c>
      <c r="MO234" s="79" t="e">
        <f>#REF!</f>
        <v>#REF!</v>
      </c>
      <c r="MP234" s="79" t="e">
        <f>#REF!</f>
        <v>#REF!</v>
      </c>
      <c r="MQ234" s="79" t="e">
        <f>#REF!</f>
        <v>#REF!</v>
      </c>
      <c r="MR234" s="79" t="e">
        <f>#REF!</f>
        <v>#REF!</v>
      </c>
      <c r="MS234" s="79" t="e">
        <f>#REF!</f>
        <v>#REF!</v>
      </c>
      <c r="MT234" s="79" t="e">
        <f>#REF!</f>
        <v>#REF!</v>
      </c>
      <c r="MU234" s="79" t="e">
        <f>#REF!</f>
        <v>#REF!</v>
      </c>
      <c r="MV234" s="79" t="e">
        <f>#REF!</f>
        <v>#REF!</v>
      </c>
      <c r="MW234" s="79" t="e">
        <f>#REF!</f>
        <v>#REF!</v>
      </c>
      <c r="MX234" s="79" t="e">
        <f>#REF!</f>
        <v>#REF!</v>
      </c>
      <c r="MY234" s="79" t="e">
        <f>#REF!</f>
        <v>#REF!</v>
      </c>
      <c r="MZ234" s="79" t="e">
        <f>#REF!</f>
        <v>#REF!</v>
      </c>
      <c r="NA234" s="79" t="e">
        <f>#REF!</f>
        <v>#REF!</v>
      </c>
      <c r="NB234" s="79" t="e">
        <f>#REF!</f>
        <v>#REF!</v>
      </c>
      <c r="NC234" s="79" t="e">
        <f>#REF!</f>
        <v>#REF!</v>
      </c>
      <c r="ND234" s="79" t="e">
        <f>#REF!</f>
        <v>#REF!</v>
      </c>
      <c r="NE234" s="79" t="e">
        <f>#REF!</f>
        <v>#REF!</v>
      </c>
      <c r="NF234" s="79" t="e">
        <f>#REF!</f>
        <v>#REF!</v>
      </c>
      <c r="NG234" s="79" t="e">
        <f>#REF!</f>
        <v>#REF!</v>
      </c>
      <c r="NH234" s="79" t="e">
        <f>#REF!</f>
        <v>#REF!</v>
      </c>
      <c r="NI234" s="79" t="e">
        <f>#REF!</f>
        <v>#REF!</v>
      </c>
      <c r="NJ234" s="79" t="e">
        <f>#REF!</f>
        <v>#REF!</v>
      </c>
      <c r="NK234" s="79" t="e">
        <f>#REF!</f>
        <v>#REF!</v>
      </c>
      <c r="NL234" s="79" t="e">
        <f>#REF!</f>
        <v>#REF!</v>
      </c>
      <c r="NM234" s="79" t="e">
        <f>#REF!</f>
        <v>#REF!</v>
      </c>
      <c r="NN234" s="79" t="e">
        <f>#REF!</f>
        <v>#REF!</v>
      </c>
      <c r="NO234" s="79" t="e">
        <f>#REF!</f>
        <v>#REF!</v>
      </c>
      <c r="NP234" s="79" t="e">
        <f>#REF!</f>
        <v>#REF!</v>
      </c>
      <c r="NQ234" s="79" t="e">
        <f>#REF!</f>
        <v>#REF!</v>
      </c>
      <c r="NR234" s="79" t="e">
        <f>#REF!</f>
        <v>#REF!</v>
      </c>
      <c r="NS234" s="79" t="e">
        <f>#REF!</f>
        <v>#REF!</v>
      </c>
      <c r="NT234" s="79" t="e">
        <f>#REF!</f>
        <v>#REF!</v>
      </c>
      <c r="NU234" s="79" t="e">
        <f>#REF!</f>
        <v>#REF!</v>
      </c>
      <c r="NV234" s="79" t="e">
        <f>#REF!</f>
        <v>#REF!</v>
      </c>
      <c r="NW234" s="79" t="e">
        <f>#REF!</f>
        <v>#REF!</v>
      </c>
      <c r="NX234" s="79" t="e">
        <f>#REF!</f>
        <v>#REF!</v>
      </c>
      <c r="NY234" s="79" t="e">
        <f>#REF!</f>
        <v>#REF!</v>
      </c>
      <c r="NZ234" s="79" t="e">
        <f>#REF!</f>
        <v>#REF!</v>
      </c>
      <c r="OA234" s="79" t="e">
        <f>#REF!</f>
        <v>#REF!</v>
      </c>
      <c r="OB234" s="79" t="e">
        <f>#REF!</f>
        <v>#REF!</v>
      </c>
      <c r="OC234" s="79" t="e">
        <f>#REF!</f>
        <v>#REF!</v>
      </c>
      <c r="OD234" s="79" t="e">
        <f>#REF!</f>
        <v>#REF!</v>
      </c>
      <c r="OE234" s="79" t="e">
        <f>#REF!</f>
        <v>#REF!</v>
      </c>
      <c r="OF234" s="79" t="e">
        <f>#REF!</f>
        <v>#REF!</v>
      </c>
      <c r="OG234" s="79" t="e">
        <f>#REF!</f>
        <v>#REF!</v>
      </c>
      <c r="OH234" s="79" t="e">
        <f>#REF!</f>
        <v>#REF!</v>
      </c>
      <c r="OI234" s="79" t="e">
        <f>#REF!</f>
        <v>#REF!</v>
      </c>
      <c r="OJ234" s="79" t="e">
        <f>#REF!</f>
        <v>#REF!</v>
      </c>
      <c r="OK234" s="79" t="e">
        <f>#REF!</f>
        <v>#REF!</v>
      </c>
      <c r="OL234" s="79" t="e">
        <f>#REF!</f>
        <v>#REF!</v>
      </c>
      <c r="OM234" s="79" t="e">
        <f>#REF!</f>
        <v>#REF!</v>
      </c>
      <c r="ON234" s="79" t="e">
        <f>#REF!</f>
        <v>#REF!</v>
      </c>
      <c r="OO234" s="79" t="e">
        <f>#REF!</f>
        <v>#REF!</v>
      </c>
      <c r="OP234" s="79" t="e">
        <f>#REF!</f>
        <v>#REF!</v>
      </c>
      <c r="OQ234" s="79" t="e">
        <f>#REF!</f>
        <v>#REF!</v>
      </c>
      <c r="OR234" s="79" t="e">
        <f>#REF!</f>
        <v>#REF!</v>
      </c>
      <c r="OS234" s="79" t="e">
        <f>#REF!</f>
        <v>#REF!</v>
      </c>
      <c r="OT234" s="79" t="e">
        <f>#REF!</f>
        <v>#REF!</v>
      </c>
      <c r="OU234" s="79" t="e">
        <f>#REF!</f>
        <v>#REF!</v>
      </c>
      <c r="OV234" s="79" t="e">
        <f>#REF!</f>
        <v>#REF!</v>
      </c>
      <c r="OW234" s="79" t="e">
        <f>#REF!</f>
        <v>#REF!</v>
      </c>
      <c r="OX234" s="79" t="e">
        <f>#REF!</f>
        <v>#REF!</v>
      </c>
      <c r="OY234" s="79" t="e">
        <f>#REF!</f>
        <v>#REF!</v>
      </c>
      <c r="OZ234" s="79" t="e">
        <f>#REF!</f>
        <v>#REF!</v>
      </c>
      <c r="PA234" s="79" t="e">
        <f>#REF!</f>
        <v>#REF!</v>
      </c>
      <c r="PB234" s="79" t="e">
        <f>#REF!</f>
        <v>#REF!</v>
      </c>
      <c r="PC234" s="79" t="e">
        <f>#REF!</f>
        <v>#REF!</v>
      </c>
      <c r="PD234" s="79" t="e">
        <f>#REF!</f>
        <v>#REF!</v>
      </c>
      <c r="PE234" s="79" t="e">
        <f>#REF!</f>
        <v>#REF!</v>
      </c>
      <c r="PF234" s="79" t="e">
        <f>#REF!</f>
        <v>#REF!</v>
      </c>
      <c r="PG234" s="79" t="e">
        <f>#REF!</f>
        <v>#REF!</v>
      </c>
      <c r="PH234" s="79" t="e">
        <f>#REF!</f>
        <v>#REF!</v>
      </c>
      <c r="PI234" s="79" t="e">
        <f>#REF!</f>
        <v>#REF!</v>
      </c>
      <c r="PJ234" s="79" t="e">
        <f>#REF!</f>
        <v>#REF!</v>
      </c>
      <c r="PK234" s="79" t="e">
        <f>#REF!</f>
        <v>#REF!</v>
      </c>
      <c r="PL234" s="79" t="e">
        <f>#REF!</f>
        <v>#REF!</v>
      </c>
      <c r="PM234" s="79" t="e">
        <f>#REF!</f>
        <v>#REF!</v>
      </c>
      <c r="PN234" s="79" t="e">
        <f>#REF!</f>
        <v>#REF!</v>
      </c>
      <c r="PO234" s="79" t="e">
        <f>#REF!</f>
        <v>#REF!</v>
      </c>
      <c r="PP234" s="79" t="e">
        <f>#REF!</f>
        <v>#REF!</v>
      </c>
      <c r="PQ234" s="79" t="e">
        <f>#REF!</f>
        <v>#REF!</v>
      </c>
      <c r="PR234" s="79" t="e">
        <f>#REF!</f>
        <v>#REF!</v>
      </c>
      <c r="PS234" s="79" t="e">
        <f>#REF!</f>
        <v>#REF!</v>
      </c>
      <c r="PT234" s="79" t="e">
        <f>#REF!</f>
        <v>#REF!</v>
      </c>
      <c r="PU234" s="79" t="e">
        <f>#REF!</f>
        <v>#REF!</v>
      </c>
      <c r="PV234" s="79" t="e">
        <f>#REF!</f>
        <v>#REF!</v>
      </c>
      <c r="PW234" s="79" t="e">
        <f>#REF!</f>
        <v>#REF!</v>
      </c>
      <c r="PX234" s="79" t="e">
        <f>#REF!</f>
        <v>#REF!</v>
      </c>
      <c r="PY234" s="79" t="e">
        <f>#REF!</f>
        <v>#REF!</v>
      </c>
      <c r="PZ234" s="79" t="e">
        <f>#REF!</f>
        <v>#REF!</v>
      </c>
      <c r="QA234" s="79" t="e">
        <f>#REF!</f>
        <v>#REF!</v>
      </c>
      <c r="QB234" s="79" t="e">
        <f>#REF!</f>
        <v>#REF!</v>
      </c>
      <c r="QC234" s="79" t="e">
        <f>#REF!</f>
        <v>#REF!</v>
      </c>
      <c r="QD234" s="79" t="e">
        <f>#REF!</f>
        <v>#REF!</v>
      </c>
      <c r="QE234" s="79" t="e">
        <f>#REF!</f>
        <v>#REF!</v>
      </c>
      <c r="QF234" s="79" t="e">
        <f>#REF!</f>
        <v>#REF!</v>
      </c>
      <c r="QG234" s="79" t="e">
        <f>#REF!</f>
        <v>#REF!</v>
      </c>
      <c r="QH234" s="79" t="e">
        <f>#REF!</f>
        <v>#REF!</v>
      </c>
      <c r="QI234" s="79" t="e">
        <f>#REF!</f>
        <v>#REF!</v>
      </c>
      <c r="QJ234" s="79" t="e">
        <f>#REF!</f>
        <v>#REF!</v>
      </c>
      <c r="QK234" s="79" t="e">
        <f>#REF!</f>
        <v>#REF!</v>
      </c>
      <c r="QL234" s="79" t="e">
        <f>#REF!</f>
        <v>#REF!</v>
      </c>
      <c r="QM234" s="79" t="e">
        <f>#REF!</f>
        <v>#REF!</v>
      </c>
      <c r="QN234" s="79" t="e">
        <f>#REF!</f>
        <v>#REF!</v>
      </c>
      <c r="QO234" s="79" t="e">
        <f>#REF!</f>
        <v>#REF!</v>
      </c>
      <c r="QP234" s="79" t="e">
        <f>#REF!</f>
        <v>#REF!</v>
      </c>
      <c r="QQ234" s="79" t="e">
        <f>#REF!</f>
        <v>#REF!</v>
      </c>
      <c r="QR234" s="79" t="e">
        <f>#REF!</f>
        <v>#REF!</v>
      </c>
      <c r="QS234" s="79" t="e">
        <f>#REF!</f>
        <v>#REF!</v>
      </c>
      <c r="QT234" s="79" t="e">
        <f>#REF!</f>
        <v>#REF!</v>
      </c>
      <c r="QU234" s="79" t="e">
        <f>#REF!</f>
        <v>#REF!</v>
      </c>
      <c r="QV234" s="79" t="e">
        <f>#REF!</f>
        <v>#REF!</v>
      </c>
      <c r="QW234" s="79" t="e">
        <f>#REF!</f>
        <v>#REF!</v>
      </c>
      <c r="QX234" s="79" t="e">
        <f>#REF!</f>
        <v>#REF!</v>
      </c>
      <c r="QY234" s="79" t="e">
        <f>#REF!</f>
        <v>#REF!</v>
      </c>
      <c r="QZ234" s="79" t="e">
        <f>#REF!</f>
        <v>#REF!</v>
      </c>
      <c r="RA234" s="79" t="e">
        <f>#REF!</f>
        <v>#REF!</v>
      </c>
      <c r="RB234" s="79" t="e">
        <f>#REF!</f>
        <v>#REF!</v>
      </c>
      <c r="RC234" s="79" t="e">
        <f>#REF!</f>
        <v>#REF!</v>
      </c>
      <c r="RD234" s="79" t="e">
        <f>#REF!</f>
        <v>#REF!</v>
      </c>
      <c r="RE234" s="79" t="e">
        <f>#REF!</f>
        <v>#REF!</v>
      </c>
      <c r="RF234" s="79" t="e">
        <f>#REF!</f>
        <v>#REF!</v>
      </c>
      <c r="RG234" s="79" t="e">
        <f>#REF!</f>
        <v>#REF!</v>
      </c>
      <c r="RH234" s="79" t="e">
        <f>#REF!</f>
        <v>#REF!</v>
      </c>
      <c r="RI234" s="79" t="e">
        <f>#REF!</f>
        <v>#REF!</v>
      </c>
      <c r="RJ234" s="79" t="e">
        <f>#REF!</f>
        <v>#REF!</v>
      </c>
      <c r="RK234" s="79" t="e">
        <f>#REF!</f>
        <v>#REF!</v>
      </c>
      <c r="RL234" s="79" t="e">
        <f>#REF!</f>
        <v>#REF!</v>
      </c>
      <c r="RM234" s="79" t="e">
        <f>#REF!</f>
        <v>#REF!</v>
      </c>
      <c r="RN234" s="79" t="e">
        <f>#REF!</f>
        <v>#REF!</v>
      </c>
      <c r="RO234" s="79" t="e">
        <f>#REF!</f>
        <v>#REF!</v>
      </c>
      <c r="RP234" s="79" t="e">
        <f>#REF!</f>
        <v>#REF!</v>
      </c>
      <c r="RQ234" s="79" t="e">
        <f>#REF!</f>
        <v>#REF!</v>
      </c>
      <c r="RR234" s="79" t="e">
        <f>#REF!</f>
        <v>#REF!</v>
      </c>
      <c r="RS234" s="79" t="e">
        <f>#REF!</f>
        <v>#REF!</v>
      </c>
      <c r="RT234" s="79" t="e">
        <f>#REF!</f>
        <v>#REF!</v>
      </c>
      <c r="RU234" s="79" t="e">
        <f>#REF!</f>
        <v>#REF!</v>
      </c>
      <c r="RV234" s="79" t="e">
        <f>#REF!</f>
        <v>#REF!</v>
      </c>
      <c r="RW234" s="79" t="e">
        <f>#REF!</f>
        <v>#REF!</v>
      </c>
      <c r="RX234" s="79" t="e">
        <f>#REF!</f>
        <v>#REF!</v>
      </c>
      <c r="RY234" s="79" t="e">
        <f>#REF!</f>
        <v>#REF!</v>
      </c>
      <c r="RZ234" s="79" t="e">
        <f>#REF!</f>
        <v>#REF!</v>
      </c>
      <c r="SA234" s="79" t="e">
        <f>#REF!</f>
        <v>#REF!</v>
      </c>
      <c r="SB234" s="79" t="e">
        <f>#REF!</f>
        <v>#REF!</v>
      </c>
      <c r="SC234" s="79" t="e">
        <f>#REF!</f>
        <v>#REF!</v>
      </c>
      <c r="SD234" s="79" t="e">
        <f>#REF!</f>
        <v>#REF!</v>
      </c>
      <c r="SE234" s="79" t="e">
        <f>#REF!</f>
        <v>#REF!</v>
      </c>
      <c r="SF234" s="79" t="e">
        <f>#REF!</f>
        <v>#REF!</v>
      </c>
      <c r="SG234" s="79" t="e">
        <f>#REF!</f>
        <v>#REF!</v>
      </c>
      <c r="SH234" s="79" t="e">
        <f>#REF!</f>
        <v>#REF!</v>
      </c>
      <c r="SI234" s="79" t="e">
        <f>#REF!</f>
        <v>#REF!</v>
      </c>
      <c r="SJ234" s="79" t="e">
        <f>#REF!</f>
        <v>#REF!</v>
      </c>
      <c r="SK234" s="79" t="e">
        <f>#REF!</f>
        <v>#REF!</v>
      </c>
      <c r="SL234" s="79" t="e">
        <f>#REF!</f>
        <v>#REF!</v>
      </c>
      <c r="SM234" s="79" t="e">
        <f>#REF!</f>
        <v>#REF!</v>
      </c>
      <c r="SN234" s="79" t="e">
        <f>#REF!</f>
        <v>#REF!</v>
      </c>
      <c r="SO234" s="79" t="e">
        <f>#REF!</f>
        <v>#REF!</v>
      </c>
      <c r="SP234" s="79" t="e">
        <f>#REF!</f>
        <v>#REF!</v>
      </c>
      <c r="SQ234" s="79" t="e">
        <f>#REF!</f>
        <v>#REF!</v>
      </c>
      <c r="SR234" s="79" t="e">
        <f>#REF!</f>
        <v>#REF!</v>
      </c>
      <c r="SS234" s="79" t="e">
        <f>#REF!</f>
        <v>#REF!</v>
      </c>
      <c r="ST234" s="79" t="e">
        <f>#REF!</f>
        <v>#REF!</v>
      </c>
      <c r="SU234" s="79" t="e">
        <f>#REF!</f>
        <v>#REF!</v>
      </c>
      <c r="SV234" s="79" t="e">
        <f>#REF!</f>
        <v>#REF!</v>
      </c>
      <c r="SW234" s="79" t="e">
        <f>#REF!</f>
        <v>#REF!</v>
      </c>
      <c r="SX234" s="79" t="e">
        <f>#REF!</f>
        <v>#REF!</v>
      </c>
      <c r="SY234" s="79" t="e">
        <f>#REF!</f>
        <v>#REF!</v>
      </c>
      <c r="SZ234" s="79" t="e">
        <f>#REF!</f>
        <v>#REF!</v>
      </c>
      <c r="TA234" s="79" t="e">
        <f>#REF!</f>
        <v>#REF!</v>
      </c>
      <c r="TB234" s="79" t="e">
        <f>#REF!</f>
        <v>#REF!</v>
      </c>
      <c r="TC234" s="79" t="e">
        <f>#REF!</f>
        <v>#REF!</v>
      </c>
      <c r="TD234" s="79" t="e">
        <f>#REF!</f>
        <v>#REF!</v>
      </c>
      <c r="TE234" s="79" t="e">
        <f>#REF!</f>
        <v>#REF!</v>
      </c>
      <c r="TF234" s="79" t="e">
        <f>#REF!</f>
        <v>#REF!</v>
      </c>
      <c r="TG234" s="79" t="e">
        <f>#REF!</f>
        <v>#REF!</v>
      </c>
      <c r="TH234" s="79" t="e">
        <f>#REF!</f>
        <v>#REF!</v>
      </c>
      <c r="TI234" s="79" t="e">
        <f>#REF!</f>
        <v>#REF!</v>
      </c>
      <c r="TJ234" s="79" t="e">
        <f>#REF!</f>
        <v>#REF!</v>
      </c>
      <c r="TK234" s="79" t="e">
        <f>#REF!</f>
        <v>#REF!</v>
      </c>
      <c r="TL234" s="79" t="e">
        <f>#REF!</f>
        <v>#REF!</v>
      </c>
      <c r="TM234" s="79" t="e">
        <f>#REF!</f>
        <v>#REF!</v>
      </c>
      <c r="TN234" s="79" t="e">
        <f>#REF!</f>
        <v>#REF!</v>
      </c>
      <c r="TO234" s="79" t="e">
        <f>#REF!</f>
        <v>#REF!</v>
      </c>
      <c r="TP234" s="79" t="e">
        <f>#REF!</f>
        <v>#REF!</v>
      </c>
      <c r="TQ234" s="79" t="e">
        <f>#REF!</f>
        <v>#REF!</v>
      </c>
      <c r="TR234" s="79" t="e">
        <f>#REF!</f>
        <v>#REF!</v>
      </c>
      <c r="TS234" s="79" t="e">
        <f>#REF!</f>
        <v>#REF!</v>
      </c>
      <c r="TT234" s="79" t="e">
        <f>#REF!</f>
        <v>#REF!</v>
      </c>
      <c r="TU234" s="79" t="e">
        <f>#REF!</f>
        <v>#REF!</v>
      </c>
      <c r="TV234" s="79" t="e">
        <f>#REF!</f>
        <v>#REF!</v>
      </c>
      <c r="TW234" s="79" t="e">
        <f>#REF!</f>
        <v>#REF!</v>
      </c>
      <c r="TX234" s="79" t="e">
        <f>#REF!</f>
        <v>#REF!</v>
      </c>
      <c r="TY234" s="79" t="e">
        <f>#REF!</f>
        <v>#REF!</v>
      </c>
      <c r="TZ234" s="79" t="e">
        <f>#REF!</f>
        <v>#REF!</v>
      </c>
      <c r="UA234" s="79" t="e">
        <f>#REF!</f>
        <v>#REF!</v>
      </c>
      <c r="UB234" s="79" t="e">
        <f>#REF!</f>
        <v>#REF!</v>
      </c>
      <c r="UC234" s="79" t="e">
        <f>#REF!</f>
        <v>#REF!</v>
      </c>
      <c r="UD234" s="79" t="e">
        <f>#REF!</f>
        <v>#REF!</v>
      </c>
      <c r="UE234" s="79" t="e">
        <f>#REF!</f>
        <v>#REF!</v>
      </c>
      <c r="UF234" s="79" t="e">
        <f>#REF!</f>
        <v>#REF!</v>
      </c>
      <c r="UG234" s="79" t="e">
        <f>#REF!</f>
        <v>#REF!</v>
      </c>
      <c r="UH234" s="79" t="e">
        <f>#REF!</f>
        <v>#REF!</v>
      </c>
      <c r="UI234" s="79" t="e">
        <f>#REF!</f>
        <v>#REF!</v>
      </c>
      <c r="UJ234" s="79" t="e">
        <f>#REF!</f>
        <v>#REF!</v>
      </c>
      <c r="UK234" s="79" t="e">
        <f>#REF!</f>
        <v>#REF!</v>
      </c>
      <c r="UL234" s="79" t="e">
        <f>#REF!</f>
        <v>#REF!</v>
      </c>
      <c r="UM234" s="79" t="e">
        <f>#REF!</f>
        <v>#REF!</v>
      </c>
      <c r="UN234" s="79" t="e">
        <f>#REF!</f>
        <v>#REF!</v>
      </c>
      <c r="UO234" s="79" t="e">
        <f>#REF!</f>
        <v>#REF!</v>
      </c>
      <c r="UP234" s="79" t="e">
        <f>#REF!</f>
        <v>#REF!</v>
      </c>
      <c r="UQ234" s="79" t="e">
        <f>#REF!</f>
        <v>#REF!</v>
      </c>
      <c r="UR234" s="79" t="e">
        <f>#REF!</f>
        <v>#REF!</v>
      </c>
      <c r="US234" s="79" t="e">
        <f>#REF!</f>
        <v>#REF!</v>
      </c>
      <c r="UT234" s="79" t="e">
        <f>#REF!</f>
        <v>#REF!</v>
      </c>
      <c r="UU234" s="79" t="e">
        <f>#REF!</f>
        <v>#REF!</v>
      </c>
      <c r="UV234" s="79" t="e">
        <f>#REF!</f>
        <v>#REF!</v>
      </c>
      <c r="UW234" s="79" t="e">
        <f>#REF!</f>
        <v>#REF!</v>
      </c>
      <c r="UX234" s="79" t="e">
        <f>#REF!</f>
        <v>#REF!</v>
      </c>
      <c r="UY234" s="79" t="e">
        <f>#REF!</f>
        <v>#REF!</v>
      </c>
      <c r="UZ234" s="79" t="e">
        <f>#REF!</f>
        <v>#REF!</v>
      </c>
      <c r="VA234" s="79" t="e">
        <f>#REF!</f>
        <v>#REF!</v>
      </c>
      <c r="VB234" s="79" t="e">
        <f>#REF!</f>
        <v>#REF!</v>
      </c>
      <c r="VC234" s="79" t="e">
        <f>#REF!</f>
        <v>#REF!</v>
      </c>
      <c r="VD234" s="79" t="e">
        <f>#REF!</f>
        <v>#REF!</v>
      </c>
      <c r="VE234" s="79" t="e">
        <f>#REF!</f>
        <v>#REF!</v>
      </c>
      <c r="VF234" s="79" t="e">
        <f>#REF!</f>
        <v>#REF!</v>
      </c>
      <c r="VG234" s="79" t="e">
        <f>#REF!</f>
        <v>#REF!</v>
      </c>
      <c r="VH234" s="79" t="e">
        <f>#REF!</f>
        <v>#REF!</v>
      </c>
      <c r="VI234" s="79" t="e">
        <f>#REF!</f>
        <v>#REF!</v>
      </c>
      <c r="VJ234" s="79" t="e">
        <f>#REF!</f>
        <v>#REF!</v>
      </c>
      <c r="VK234" s="79" t="e">
        <f>#REF!</f>
        <v>#REF!</v>
      </c>
      <c r="VL234" s="79" t="e">
        <f>#REF!</f>
        <v>#REF!</v>
      </c>
      <c r="VM234" s="79" t="e">
        <f>#REF!</f>
        <v>#REF!</v>
      </c>
      <c r="VN234" s="79" t="e">
        <f>#REF!</f>
        <v>#REF!</v>
      </c>
      <c r="VO234" s="79" t="e">
        <f>#REF!</f>
        <v>#REF!</v>
      </c>
      <c r="VP234" s="79" t="e">
        <f>#REF!</f>
        <v>#REF!</v>
      </c>
      <c r="VQ234" s="79" t="e">
        <f>#REF!</f>
        <v>#REF!</v>
      </c>
      <c r="VR234" s="79" t="e">
        <f>#REF!</f>
        <v>#REF!</v>
      </c>
      <c r="VS234" s="79" t="e">
        <f>#REF!</f>
        <v>#REF!</v>
      </c>
      <c r="VT234" s="79" t="e">
        <f>#REF!</f>
        <v>#REF!</v>
      </c>
      <c r="VU234" s="79" t="e">
        <f>#REF!</f>
        <v>#REF!</v>
      </c>
      <c r="VV234" s="79" t="e">
        <f>#REF!</f>
        <v>#REF!</v>
      </c>
      <c r="VW234" s="79" t="e">
        <f>#REF!</f>
        <v>#REF!</v>
      </c>
      <c r="VX234" s="79" t="e">
        <f>#REF!</f>
        <v>#REF!</v>
      </c>
      <c r="VY234" s="79" t="e">
        <f>#REF!</f>
        <v>#REF!</v>
      </c>
      <c r="VZ234" s="79" t="e">
        <f>#REF!</f>
        <v>#REF!</v>
      </c>
      <c r="WA234" s="79" t="e">
        <f>#REF!</f>
        <v>#REF!</v>
      </c>
      <c r="WB234" s="79" t="e">
        <f>#REF!</f>
        <v>#REF!</v>
      </c>
      <c r="WC234" s="79" t="e">
        <f>#REF!</f>
        <v>#REF!</v>
      </c>
      <c r="WD234" s="79" t="e">
        <f>#REF!</f>
        <v>#REF!</v>
      </c>
      <c r="WE234" s="79" t="e">
        <f>#REF!</f>
        <v>#REF!</v>
      </c>
      <c r="WF234" s="79" t="e">
        <f>#REF!</f>
        <v>#REF!</v>
      </c>
      <c r="WG234" s="79" t="e">
        <f>#REF!</f>
        <v>#REF!</v>
      </c>
      <c r="WH234" s="79" t="e">
        <f>#REF!</f>
        <v>#REF!</v>
      </c>
      <c r="WI234" s="79" t="e">
        <f>#REF!</f>
        <v>#REF!</v>
      </c>
      <c r="WJ234" s="79" t="e">
        <f>#REF!</f>
        <v>#REF!</v>
      </c>
      <c r="WK234" s="79" t="e">
        <f>#REF!</f>
        <v>#REF!</v>
      </c>
      <c r="WL234" s="79" t="e">
        <f>#REF!</f>
        <v>#REF!</v>
      </c>
      <c r="WM234" s="79" t="e">
        <f>#REF!</f>
        <v>#REF!</v>
      </c>
      <c r="WN234" s="79" t="e">
        <f>#REF!</f>
        <v>#REF!</v>
      </c>
      <c r="WO234" s="79" t="e">
        <f>#REF!</f>
        <v>#REF!</v>
      </c>
      <c r="WP234" s="79" t="e">
        <f>#REF!</f>
        <v>#REF!</v>
      </c>
      <c r="WQ234" s="79" t="e">
        <f>#REF!</f>
        <v>#REF!</v>
      </c>
      <c r="WR234" s="79" t="e">
        <f>#REF!</f>
        <v>#REF!</v>
      </c>
      <c r="WS234" s="79" t="e">
        <f>#REF!</f>
        <v>#REF!</v>
      </c>
      <c r="WT234" s="79" t="e">
        <f>#REF!</f>
        <v>#REF!</v>
      </c>
      <c r="WU234" s="79" t="e">
        <f>#REF!</f>
        <v>#REF!</v>
      </c>
      <c r="WV234" s="79" t="e">
        <f>#REF!</f>
        <v>#REF!</v>
      </c>
      <c r="WW234" s="79" t="e">
        <f>#REF!</f>
        <v>#REF!</v>
      </c>
      <c r="WX234" s="79" t="e">
        <f>#REF!</f>
        <v>#REF!</v>
      </c>
      <c r="WY234" s="79" t="e">
        <f>#REF!</f>
        <v>#REF!</v>
      </c>
      <c r="WZ234" s="79" t="e">
        <f>#REF!</f>
        <v>#REF!</v>
      </c>
      <c r="XA234" s="79" t="e">
        <f>#REF!</f>
        <v>#REF!</v>
      </c>
      <c r="XB234" s="79" t="e">
        <f>#REF!</f>
        <v>#REF!</v>
      </c>
      <c r="XC234" s="79" t="e">
        <f>#REF!</f>
        <v>#REF!</v>
      </c>
      <c r="XD234" s="79" t="e">
        <f>#REF!</f>
        <v>#REF!</v>
      </c>
      <c r="XE234" s="79" t="e">
        <f>#REF!</f>
        <v>#REF!</v>
      </c>
      <c r="XF234" s="79" t="e">
        <f>#REF!</f>
        <v>#REF!</v>
      </c>
      <c r="XG234" s="79" t="e">
        <f>#REF!</f>
        <v>#REF!</v>
      </c>
      <c r="XH234" s="79" t="e">
        <f>#REF!</f>
        <v>#REF!</v>
      </c>
      <c r="XI234" s="79" t="e">
        <f>#REF!</f>
        <v>#REF!</v>
      </c>
      <c r="XJ234" s="79" t="e">
        <f>#REF!</f>
        <v>#REF!</v>
      </c>
      <c r="XK234" s="79" t="e">
        <f>#REF!</f>
        <v>#REF!</v>
      </c>
      <c r="XL234" s="79" t="e">
        <f>#REF!</f>
        <v>#REF!</v>
      </c>
      <c r="XM234" s="79" t="e">
        <f>#REF!</f>
        <v>#REF!</v>
      </c>
      <c r="XN234" s="79" t="e">
        <f>#REF!</f>
        <v>#REF!</v>
      </c>
      <c r="XO234" s="79" t="e">
        <f>#REF!</f>
        <v>#REF!</v>
      </c>
      <c r="XP234" s="79" t="e">
        <f>#REF!</f>
        <v>#REF!</v>
      </c>
      <c r="XQ234" s="79" t="e">
        <f>#REF!</f>
        <v>#REF!</v>
      </c>
      <c r="XR234" s="79" t="e">
        <f>#REF!</f>
        <v>#REF!</v>
      </c>
      <c r="XS234" s="79" t="e">
        <f>#REF!</f>
        <v>#REF!</v>
      </c>
      <c r="XT234" s="79" t="e">
        <f>#REF!</f>
        <v>#REF!</v>
      </c>
      <c r="XU234" s="79" t="e">
        <f>#REF!</f>
        <v>#REF!</v>
      </c>
      <c r="XV234" s="79" t="e">
        <f>#REF!</f>
        <v>#REF!</v>
      </c>
      <c r="XW234" s="79" t="e">
        <f>#REF!</f>
        <v>#REF!</v>
      </c>
      <c r="XX234" s="79" t="e">
        <f>#REF!</f>
        <v>#REF!</v>
      </c>
      <c r="XY234" s="79" t="e">
        <f>#REF!</f>
        <v>#REF!</v>
      </c>
      <c r="XZ234" s="79" t="e">
        <f>#REF!</f>
        <v>#REF!</v>
      </c>
      <c r="YA234" s="79" t="e">
        <f>#REF!</f>
        <v>#REF!</v>
      </c>
      <c r="YB234" s="79" t="e">
        <f>#REF!</f>
        <v>#REF!</v>
      </c>
      <c r="YC234" s="79" t="e">
        <f>#REF!</f>
        <v>#REF!</v>
      </c>
      <c r="YD234" s="79" t="e">
        <f>#REF!</f>
        <v>#REF!</v>
      </c>
      <c r="YE234" s="79" t="e">
        <f>#REF!</f>
        <v>#REF!</v>
      </c>
      <c r="YF234" s="79" t="e">
        <f>#REF!</f>
        <v>#REF!</v>
      </c>
      <c r="YG234" s="79" t="e">
        <f>#REF!</f>
        <v>#REF!</v>
      </c>
      <c r="YH234" s="79" t="e">
        <f>#REF!</f>
        <v>#REF!</v>
      </c>
      <c r="YI234" s="79" t="e">
        <f>#REF!</f>
        <v>#REF!</v>
      </c>
      <c r="YJ234" s="79" t="e">
        <f>#REF!</f>
        <v>#REF!</v>
      </c>
      <c r="YK234" s="79" t="e">
        <f>#REF!</f>
        <v>#REF!</v>
      </c>
      <c r="YL234" s="79" t="e">
        <f>#REF!</f>
        <v>#REF!</v>
      </c>
      <c r="YM234" s="79" t="e">
        <f>#REF!</f>
        <v>#REF!</v>
      </c>
      <c r="YN234" s="79" t="e">
        <f>#REF!</f>
        <v>#REF!</v>
      </c>
      <c r="YO234" s="79" t="e">
        <f>#REF!</f>
        <v>#REF!</v>
      </c>
      <c r="YP234" s="79" t="e">
        <f>#REF!</f>
        <v>#REF!</v>
      </c>
      <c r="YQ234" s="79" t="e">
        <f>#REF!</f>
        <v>#REF!</v>
      </c>
      <c r="YR234" s="79" t="e">
        <f>#REF!</f>
        <v>#REF!</v>
      </c>
      <c r="YS234" s="79" t="e">
        <f>#REF!</f>
        <v>#REF!</v>
      </c>
      <c r="YT234" s="79" t="e">
        <f>#REF!</f>
        <v>#REF!</v>
      </c>
      <c r="YU234" s="79" t="e">
        <f>#REF!</f>
        <v>#REF!</v>
      </c>
      <c r="YV234" s="79" t="e">
        <f>#REF!</f>
        <v>#REF!</v>
      </c>
      <c r="YW234" s="79" t="e">
        <f>#REF!</f>
        <v>#REF!</v>
      </c>
      <c r="YX234" s="79" t="e">
        <f>#REF!</f>
        <v>#REF!</v>
      </c>
      <c r="YY234" s="79" t="e">
        <f>#REF!</f>
        <v>#REF!</v>
      </c>
      <c r="YZ234" s="79" t="e">
        <f>#REF!</f>
        <v>#REF!</v>
      </c>
      <c r="ZA234" s="79" t="e">
        <f>#REF!</f>
        <v>#REF!</v>
      </c>
      <c r="ZB234" s="79" t="e">
        <f>#REF!</f>
        <v>#REF!</v>
      </c>
      <c r="ZC234" s="79" t="e">
        <f>#REF!</f>
        <v>#REF!</v>
      </c>
      <c r="ZD234" s="79" t="e">
        <f>#REF!</f>
        <v>#REF!</v>
      </c>
      <c r="ZE234" s="79" t="e">
        <f>#REF!</f>
        <v>#REF!</v>
      </c>
      <c r="ZF234" s="79" t="e">
        <f>#REF!</f>
        <v>#REF!</v>
      </c>
      <c r="ZG234" s="79" t="e">
        <f>#REF!</f>
        <v>#REF!</v>
      </c>
      <c r="ZH234" s="79" t="e">
        <f>#REF!</f>
        <v>#REF!</v>
      </c>
      <c r="ZI234" s="79" t="e">
        <f>#REF!</f>
        <v>#REF!</v>
      </c>
      <c r="ZJ234" s="79" t="e">
        <f>#REF!</f>
        <v>#REF!</v>
      </c>
      <c r="ZK234" s="79" t="e">
        <f>#REF!</f>
        <v>#REF!</v>
      </c>
      <c r="ZL234" s="79" t="e">
        <f>#REF!</f>
        <v>#REF!</v>
      </c>
      <c r="ZM234" s="79" t="e">
        <f>#REF!</f>
        <v>#REF!</v>
      </c>
      <c r="ZN234" s="79" t="e">
        <f>#REF!</f>
        <v>#REF!</v>
      </c>
      <c r="ZO234" s="79" t="e">
        <f>#REF!</f>
        <v>#REF!</v>
      </c>
      <c r="ZP234" s="79" t="e">
        <f>#REF!</f>
        <v>#REF!</v>
      </c>
      <c r="ZQ234" s="79" t="e">
        <f>#REF!</f>
        <v>#REF!</v>
      </c>
      <c r="ZR234" s="79" t="e">
        <f>#REF!</f>
        <v>#REF!</v>
      </c>
      <c r="ZS234" s="79" t="e">
        <f>#REF!</f>
        <v>#REF!</v>
      </c>
      <c r="ZT234" s="79" t="e">
        <f>#REF!</f>
        <v>#REF!</v>
      </c>
      <c r="ZU234" s="79" t="e">
        <f>#REF!</f>
        <v>#REF!</v>
      </c>
      <c r="ZV234" s="79" t="e">
        <f>#REF!</f>
        <v>#REF!</v>
      </c>
      <c r="ZW234" s="79" t="e">
        <f>#REF!</f>
        <v>#REF!</v>
      </c>
      <c r="ZX234" s="79" t="e">
        <f>#REF!</f>
        <v>#REF!</v>
      </c>
      <c r="ZY234" s="79" t="e">
        <f>#REF!</f>
        <v>#REF!</v>
      </c>
      <c r="ZZ234" s="79" t="e">
        <f>#REF!</f>
        <v>#REF!</v>
      </c>
      <c r="AAA234" s="79" t="e">
        <f>#REF!</f>
        <v>#REF!</v>
      </c>
      <c r="AAB234" s="79" t="e">
        <f>#REF!</f>
        <v>#REF!</v>
      </c>
      <c r="AAC234" s="79" t="e">
        <f>#REF!</f>
        <v>#REF!</v>
      </c>
      <c r="AAD234" s="79" t="e">
        <f>#REF!</f>
        <v>#REF!</v>
      </c>
      <c r="AAE234" s="79" t="e">
        <f>#REF!</f>
        <v>#REF!</v>
      </c>
      <c r="AAF234" s="79" t="e">
        <f>#REF!</f>
        <v>#REF!</v>
      </c>
      <c r="AAG234" s="79" t="e">
        <f>#REF!</f>
        <v>#REF!</v>
      </c>
      <c r="AAH234" s="79" t="e">
        <f>#REF!</f>
        <v>#REF!</v>
      </c>
      <c r="AAI234" s="79" t="e">
        <f>#REF!</f>
        <v>#REF!</v>
      </c>
      <c r="AAJ234" s="79" t="e">
        <f>#REF!</f>
        <v>#REF!</v>
      </c>
      <c r="AAK234" s="79" t="e">
        <f>#REF!</f>
        <v>#REF!</v>
      </c>
      <c r="AAL234" s="79" t="e">
        <f>#REF!</f>
        <v>#REF!</v>
      </c>
      <c r="AAM234" s="79" t="e">
        <f>#REF!</f>
        <v>#REF!</v>
      </c>
      <c r="AAN234" s="79" t="e">
        <f>#REF!</f>
        <v>#REF!</v>
      </c>
      <c r="AAO234" s="79" t="e">
        <f>#REF!</f>
        <v>#REF!</v>
      </c>
      <c r="AAP234" s="79" t="e">
        <f>#REF!</f>
        <v>#REF!</v>
      </c>
      <c r="AAQ234" s="79" t="e">
        <f>#REF!</f>
        <v>#REF!</v>
      </c>
      <c r="AAR234" s="79" t="e">
        <f>#REF!</f>
        <v>#REF!</v>
      </c>
      <c r="AAS234" s="79" t="e">
        <f>#REF!</f>
        <v>#REF!</v>
      </c>
      <c r="AAT234" s="79" t="e">
        <f>#REF!</f>
        <v>#REF!</v>
      </c>
      <c r="AAU234" s="79" t="e">
        <f>#REF!</f>
        <v>#REF!</v>
      </c>
      <c r="AAV234" s="79" t="e">
        <f>#REF!</f>
        <v>#REF!</v>
      </c>
      <c r="AAW234" s="79" t="e">
        <f>#REF!</f>
        <v>#REF!</v>
      </c>
      <c r="AAX234" s="79" t="e">
        <f>#REF!</f>
        <v>#REF!</v>
      </c>
      <c r="AAY234" s="79" t="e">
        <f>#REF!</f>
        <v>#REF!</v>
      </c>
      <c r="AAZ234" s="79" t="e">
        <f>#REF!</f>
        <v>#REF!</v>
      </c>
      <c r="ABA234" s="79" t="e">
        <f>#REF!</f>
        <v>#REF!</v>
      </c>
      <c r="ABB234" s="79" t="e">
        <f>#REF!</f>
        <v>#REF!</v>
      </c>
      <c r="ABC234" s="79" t="e">
        <f>#REF!</f>
        <v>#REF!</v>
      </c>
      <c r="ABD234" s="79" t="e">
        <f>#REF!</f>
        <v>#REF!</v>
      </c>
      <c r="ABE234" s="79" t="e">
        <f>#REF!</f>
        <v>#REF!</v>
      </c>
      <c r="ABF234" s="79" t="e">
        <f>#REF!</f>
        <v>#REF!</v>
      </c>
      <c r="ABG234" s="79" t="e">
        <f>#REF!</f>
        <v>#REF!</v>
      </c>
      <c r="ABH234" s="79" t="e">
        <f>#REF!</f>
        <v>#REF!</v>
      </c>
      <c r="ABI234" s="79" t="e">
        <f>#REF!</f>
        <v>#REF!</v>
      </c>
      <c r="ABJ234" s="79" t="e">
        <f>#REF!</f>
        <v>#REF!</v>
      </c>
      <c r="ABK234" s="79" t="e">
        <f>#REF!</f>
        <v>#REF!</v>
      </c>
      <c r="ABL234" s="79" t="e">
        <f>#REF!</f>
        <v>#REF!</v>
      </c>
      <c r="ABM234" s="79" t="e">
        <f>#REF!</f>
        <v>#REF!</v>
      </c>
      <c r="ABN234" s="79" t="e">
        <f>#REF!</f>
        <v>#REF!</v>
      </c>
      <c r="ABO234" s="79" t="e">
        <f>#REF!</f>
        <v>#REF!</v>
      </c>
      <c r="ABP234" s="79" t="e">
        <f>#REF!</f>
        <v>#REF!</v>
      </c>
      <c r="ABQ234" s="79" t="e">
        <f>#REF!</f>
        <v>#REF!</v>
      </c>
      <c r="ABR234" s="79" t="e">
        <f>#REF!</f>
        <v>#REF!</v>
      </c>
      <c r="ABS234" s="79" t="e">
        <f>#REF!</f>
        <v>#REF!</v>
      </c>
      <c r="ABT234" s="79" t="e">
        <f>#REF!</f>
        <v>#REF!</v>
      </c>
      <c r="ABU234" s="79" t="e">
        <f>#REF!</f>
        <v>#REF!</v>
      </c>
      <c r="ABV234" s="79" t="e">
        <f>#REF!</f>
        <v>#REF!</v>
      </c>
      <c r="ABW234" s="79" t="e">
        <f>#REF!</f>
        <v>#REF!</v>
      </c>
      <c r="ABX234" s="79" t="e">
        <f>#REF!</f>
        <v>#REF!</v>
      </c>
      <c r="ABY234" s="79" t="e">
        <f>#REF!</f>
        <v>#REF!</v>
      </c>
      <c r="ABZ234" s="79" t="e">
        <f>#REF!</f>
        <v>#REF!</v>
      </c>
      <c r="ACA234" s="79" t="e">
        <f>#REF!</f>
        <v>#REF!</v>
      </c>
      <c r="ACB234" s="79" t="e">
        <f>#REF!</f>
        <v>#REF!</v>
      </c>
      <c r="ACC234" s="79" t="e">
        <f>#REF!</f>
        <v>#REF!</v>
      </c>
      <c r="ACD234" s="79" t="e">
        <f>#REF!</f>
        <v>#REF!</v>
      </c>
      <c r="ACE234" s="79" t="e">
        <f>#REF!</f>
        <v>#REF!</v>
      </c>
      <c r="ACF234" s="79" t="e">
        <f>#REF!</f>
        <v>#REF!</v>
      </c>
      <c r="ACG234" s="79" t="e">
        <f>#REF!</f>
        <v>#REF!</v>
      </c>
      <c r="ACH234" s="79" t="e">
        <f>#REF!</f>
        <v>#REF!</v>
      </c>
      <c r="ACI234" s="79" t="e">
        <f>#REF!</f>
        <v>#REF!</v>
      </c>
      <c r="ACJ234" s="79" t="e">
        <f>#REF!</f>
        <v>#REF!</v>
      </c>
      <c r="ACK234" s="79" t="e">
        <f>#REF!</f>
        <v>#REF!</v>
      </c>
      <c r="ACL234" s="79" t="e">
        <f>#REF!</f>
        <v>#REF!</v>
      </c>
      <c r="ACM234" s="79" t="e">
        <f>#REF!</f>
        <v>#REF!</v>
      </c>
      <c r="ACN234" s="79" t="e">
        <f>#REF!</f>
        <v>#REF!</v>
      </c>
      <c r="ACO234" s="79" t="e">
        <f>#REF!</f>
        <v>#REF!</v>
      </c>
      <c r="ACP234" s="79" t="e">
        <f>#REF!</f>
        <v>#REF!</v>
      </c>
      <c r="ACQ234" s="79" t="e">
        <f>#REF!</f>
        <v>#REF!</v>
      </c>
      <c r="ACR234" s="79" t="e">
        <f>#REF!</f>
        <v>#REF!</v>
      </c>
      <c r="ACS234" s="79" t="e">
        <f>#REF!</f>
        <v>#REF!</v>
      </c>
      <c r="ACT234" s="79" t="e">
        <f>#REF!</f>
        <v>#REF!</v>
      </c>
      <c r="ACU234" s="79" t="e">
        <f>#REF!</f>
        <v>#REF!</v>
      </c>
      <c r="ACV234" s="79" t="e">
        <f>#REF!</f>
        <v>#REF!</v>
      </c>
      <c r="ACW234" s="79" t="e">
        <f>#REF!</f>
        <v>#REF!</v>
      </c>
      <c r="ACX234" s="79" t="e">
        <f>#REF!</f>
        <v>#REF!</v>
      </c>
      <c r="ACY234" s="79"/>
      <c r="ACZ234" s="79"/>
      <c r="ADA234" s="79"/>
      <c r="ADB234" s="79"/>
      <c r="ADC234" s="79"/>
      <c r="ADD234" s="79"/>
      <c r="ADE234" s="79"/>
      <c r="ADF234" s="79"/>
      <c r="ADG234" s="79"/>
      <c r="ADH234" s="79"/>
      <c r="ADI234" s="79"/>
      <c r="ADJ234" s="79"/>
      <c r="ADK234" s="79"/>
      <c r="ADL234" s="79"/>
      <c r="ADM234" s="79"/>
      <c r="ADN234" s="79"/>
      <c r="AQP234" s="165"/>
    </row>
    <row r="235" spans="4:794 1134:1134" ht="14.25" x14ac:dyDescent="0.45">
      <c r="D235" t="s">
        <v>417</v>
      </c>
      <c r="E235" s="79" t="e">
        <f>#REF!</f>
        <v>#REF!</v>
      </c>
      <c r="F235" s="79" t="e">
        <f>#REF!</f>
        <v>#REF!</v>
      </c>
      <c r="G235" s="79" t="e">
        <f>#REF!</f>
        <v>#REF!</v>
      </c>
      <c r="H235" s="79" t="e">
        <f>#REF!</f>
        <v>#REF!</v>
      </c>
      <c r="I235" s="79" t="e">
        <f>#REF!</f>
        <v>#REF!</v>
      </c>
      <c r="J235" s="79" t="e">
        <f>#REF!</f>
        <v>#REF!</v>
      </c>
      <c r="K235" s="79" t="e">
        <f>#REF!</f>
        <v>#REF!</v>
      </c>
      <c r="L235" s="79" t="e">
        <f>#REF!</f>
        <v>#REF!</v>
      </c>
      <c r="M235" s="79" t="e">
        <f>#REF!</f>
        <v>#REF!</v>
      </c>
      <c r="N235" s="79" t="e">
        <f>#REF!</f>
        <v>#REF!</v>
      </c>
      <c r="O235" s="79" t="e">
        <f>#REF!</f>
        <v>#REF!</v>
      </c>
      <c r="P235" s="79" t="e">
        <f>#REF!</f>
        <v>#REF!</v>
      </c>
      <c r="Q235" s="79" t="e">
        <f>#REF!</f>
        <v>#REF!</v>
      </c>
      <c r="R235" s="79" t="e">
        <f>#REF!</f>
        <v>#REF!</v>
      </c>
      <c r="S235" s="79" t="e">
        <f>#REF!</f>
        <v>#REF!</v>
      </c>
      <c r="T235" s="79" t="e">
        <f>#REF!</f>
        <v>#REF!</v>
      </c>
      <c r="U235" s="79" t="e">
        <f>#REF!</f>
        <v>#REF!</v>
      </c>
      <c r="V235" s="79" t="e">
        <f>#REF!</f>
        <v>#REF!</v>
      </c>
      <c r="W235" s="79" t="e">
        <f>#REF!</f>
        <v>#REF!</v>
      </c>
      <c r="X235" s="79" t="e">
        <f>#REF!</f>
        <v>#REF!</v>
      </c>
      <c r="Y235" s="79" t="e">
        <f>#REF!</f>
        <v>#REF!</v>
      </c>
      <c r="Z235" s="79" t="e">
        <f>#REF!</f>
        <v>#REF!</v>
      </c>
      <c r="AA235" s="79" t="e">
        <f>#REF!</f>
        <v>#REF!</v>
      </c>
      <c r="AB235" s="79" t="e">
        <f>#REF!</f>
        <v>#REF!</v>
      </c>
      <c r="AC235" s="79" t="e">
        <f>#REF!</f>
        <v>#REF!</v>
      </c>
      <c r="AD235" s="79" t="e">
        <f>#REF!</f>
        <v>#REF!</v>
      </c>
      <c r="AE235" s="79" t="e">
        <f>#REF!</f>
        <v>#REF!</v>
      </c>
      <c r="AF235" s="79" t="e">
        <f>#REF!</f>
        <v>#REF!</v>
      </c>
      <c r="AG235" s="79" t="e">
        <f>#REF!</f>
        <v>#REF!</v>
      </c>
      <c r="AH235" s="79" t="e">
        <f>#REF!</f>
        <v>#REF!</v>
      </c>
      <c r="AI235" s="79" t="e">
        <f>#REF!</f>
        <v>#REF!</v>
      </c>
      <c r="AJ235" s="79" t="e">
        <f>#REF!</f>
        <v>#REF!</v>
      </c>
      <c r="AK235" s="79" t="e">
        <f>#REF!</f>
        <v>#REF!</v>
      </c>
      <c r="AL235" s="79" t="e">
        <f>#REF!</f>
        <v>#REF!</v>
      </c>
      <c r="AM235" s="79" t="e">
        <f>#REF!</f>
        <v>#REF!</v>
      </c>
      <c r="AN235" s="79" t="e">
        <f>#REF!</f>
        <v>#REF!</v>
      </c>
      <c r="AO235" s="79" t="e">
        <f>#REF!</f>
        <v>#REF!</v>
      </c>
      <c r="AP235" s="79" t="e">
        <f>#REF!</f>
        <v>#REF!</v>
      </c>
      <c r="AQ235" s="79" t="e">
        <f>#REF!</f>
        <v>#REF!</v>
      </c>
      <c r="AR235" s="79" t="e">
        <f>#REF!</f>
        <v>#REF!</v>
      </c>
      <c r="AS235" s="79" t="e">
        <f>#REF!</f>
        <v>#REF!</v>
      </c>
      <c r="AT235" s="79" t="e">
        <f>#REF!</f>
        <v>#REF!</v>
      </c>
      <c r="AU235" s="79" t="e">
        <f>#REF!</f>
        <v>#REF!</v>
      </c>
      <c r="AV235" s="79" t="e">
        <f>#REF!</f>
        <v>#REF!</v>
      </c>
      <c r="AW235" s="79" t="e">
        <f>#REF!</f>
        <v>#REF!</v>
      </c>
      <c r="AX235" s="79" t="e">
        <f>#REF!</f>
        <v>#REF!</v>
      </c>
      <c r="AY235" s="79" t="e">
        <f>#REF!</f>
        <v>#REF!</v>
      </c>
      <c r="AZ235" s="79" t="e">
        <f>#REF!</f>
        <v>#REF!</v>
      </c>
      <c r="BA235" s="79" t="e">
        <f>#REF!</f>
        <v>#REF!</v>
      </c>
      <c r="BB235" s="79" t="e">
        <f>#REF!</f>
        <v>#REF!</v>
      </c>
      <c r="BC235" s="79" t="e">
        <f>#REF!</f>
        <v>#REF!</v>
      </c>
      <c r="BD235" s="79" t="e">
        <f>#REF!</f>
        <v>#REF!</v>
      </c>
      <c r="BE235" s="79" t="e">
        <f>#REF!</f>
        <v>#REF!</v>
      </c>
      <c r="BF235" s="79" t="e">
        <f>#REF!</f>
        <v>#REF!</v>
      </c>
      <c r="BG235" s="79" t="e">
        <f>#REF!</f>
        <v>#REF!</v>
      </c>
      <c r="BH235" s="79" t="e">
        <f>#REF!</f>
        <v>#REF!</v>
      </c>
      <c r="BI235" s="79" t="e">
        <f>#REF!</f>
        <v>#REF!</v>
      </c>
      <c r="BJ235" s="79" t="e">
        <f>#REF!</f>
        <v>#REF!</v>
      </c>
      <c r="BK235" s="79" t="e">
        <f>#REF!</f>
        <v>#REF!</v>
      </c>
      <c r="BL235" s="79" t="e">
        <f>#REF!</f>
        <v>#REF!</v>
      </c>
      <c r="BM235" s="79" t="e">
        <f>#REF!</f>
        <v>#REF!</v>
      </c>
      <c r="BN235" s="79" t="e">
        <f>#REF!</f>
        <v>#REF!</v>
      </c>
      <c r="BO235" s="79" t="e">
        <f>#REF!</f>
        <v>#REF!</v>
      </c>
      <c r="BP235" s="79" t="e">
        <f>#REF!</f>
        <v>#REF!</v>
      </c>
      <c r="BQ235" s="79" t="e">
        <f>#REF!</f>
        <v>#REF!</v>
      </c>
      <c r="BR235" s="79" t="e">
        <f>#REF!</f>
        <v>#REF!</v>
      </c>
      <c r="BS235" s="79" t="e">
        <f>#REF!</f>
        <v>#REF!</v>
      </c>
      <c r="BT235" s="79" t="e">
        <f>#REF!</f>
        <v>#REF!</v>
      </c>
      <c r="BU235" s="79" t="e">
        <f>#REF!</f>
        <v>#REF!</v>
      </c>
      <c r="BV235" s="79" t="e">
        <f>#REF!</f>
        <v>#REF!</v>
      </c>
      <c r="BW235" s="79" t="e">
        <f>#REF!</f>
        <v>#REF!</v>
      </c>
      <c r="BX235" s="79" t="e">
        <f>#REF!</f>
        <v>#REF!</v>
      </c>
      <c r="BY235" s="79" t="e">
        <f>#REF!</f>
        <v>#REF!</v>
      </c>
      <c r="BZ235" s="79" t="e">
        <f>#REF!</f>
        <v>#REF!</v>
      </c>
      <c r="CA235" s="79" t="e">
        <f>#REF!</f>
        <v>#REF!</v>
      </c>
      <c r="CB235" s="79" t="e">
        <f>#REF!</f>
        <v>#REF!</v>
      </c>
      <c r="CC235" s="79" t="e">
        <f>#REF!</f>
        <v>#REF!</v>
      </c>
      <c r="CD235" s="79" t="e">
        <f>#REF!</f>
        <v>#REF!</v>
      </c>
      <c r="CE235" s="79" t="e">
        <f>#REF!</f>
        <v>#REF!</v>
      </c>
      <c r="CF235" s="79" t="e">
        <f>#REF!</f>
        <v>#REF!</v>
      </c>
      <c r="CG235" s="79" t="e">
        <f>#REF!</f>
        <v>#REF!</v>
      </c>
      <c r="CH235" s="79" t="e">
        <f>#REF!</f>
        <v>#REF!</v>
      </c>
      <c r="CI235" s="79" t="e">
        <f>#REF!</f>
        <v>#REF!</v>
      </c>
      <c r="CJ235" s="79" t="e">
        <f>#REF!</f>
        <v>#REF!</v>
      </c>
      <c r="CK235" s="79" t="e">
        <f>#REF!</f>
        <v>#REF!</v>
      </c>
      <c r="CL235" s="79" t="e">
        <f>#REF!</f>
        <v>#REF!</v>
      </c>
      <c r="CM235" s="79" t="e">
        <f>#REF!</f>
        <v>#REF!</v>
      </c>
      <c r="CN235" s="79" t="e">
        <f>#REF!</f>
        <v>#REF!</v>
      </c>
      <c r="CO235" s="79" t="e">
        <f>#REF!</f>
        <v>#REF!</v>
      </c>
      <c r="CP235" s="79" t="e">
        <f>#REF!</f>
        <v>#REF!</v>
      </c>
      <c r="CQ235" s="79" t="e">
        <f>#REF!</f>
        <v>#REF!</v>
      </c>
      <c r="CR235" s="79" t="e">
        <f>#REF!</f>
        <v>#REF!</v>
      </c>
      <c r="CS235" s="79" t="e">
        <f>#REF!</f>
        <v>#REF!</v>
      </c>
      <c r="CT235" s="79" t="e">
        <f>#REF!</f>
        <v>#REF!</v>
      </c>
      <c r="CU235" s="79" t="e">
        <f>#REF!</f>
        <v>#REF!</v>
      </c>
      <c r="CV235" s="79" t="e">
        <f>#REF!</f>
        <v>#REF!</v>
      </c>
      <c r="CW235" s="79" t="e">
        <f>#REF!</f>
        <v>#REF!</v>
      </c>
      <c r="CX235" s="79" t="e">
        <f>#REF!</f>
        <v>#REF!</v>
      </c>
      <c r="CY235" s="79" t="e">
        <f>#REF!</f>
        <v>#REF!</v>
      </c>
      <c r="CZ235" s="79" t="e">
        <f>#REF!</f>
        <v>#REF!</v>
      </c>
      <c r="DA235" s="79" t="e">
        <f>#REF!</f>
        <v>#REF!</v>
      </c>
      <c r="DB235" s="79" t="e">
        <f>#REF!</f>
        <v>#REF!</v>
      </c>
      <c r="DC235" s="79" t="e">
        <f>#REF!</f>
        <v>#REF!</v>
      </c>
      <c r="DD235" s="79" t="e">
        <f>#REF!</f>
        <v>#REF!</v>
      </c>
      <c r="DE235" s="79" t="e">
        <f>#REF!</f>
        <v>#REF!</v>
      </c>
      <c r="DF235" s="79" t="e">
        <f>#REF!</f>
        <v>#REF!</v>
      </c>
      <c r="DG235" s="79" t="e">
        <f>#REF!</f>
        <v>#REF!</v>
      </c>
      <c r="DH235" s="79" t="e">
        <f>#REF!</f>
        <v>#REF!</v>
      </c>
      <c r="DI235" s="79" t="e">
        <f>#REF!</f>
        <v>#REF!</v>
      </c>
      <c r="DJ235" s="79" t="e">
        <f>#REF!</f>
        <v>#REF!</v>
      </c>
      <c r="DK235" s="79" t="e">
        <f>#REF!</f>
        <v>#REF!</v>
      </c>
      <c r="DL235" s="79" t="e">
        <f>#REF!</f>
        <v>#REF!</v>
      </c>
      <c r="DM235" s="79" t="e">
        <f>#REF!</f>
        <v>#REF!</v>
      </c>
      <c r="DN235" s="79" t="e">
        <f>#REF!</f>
        <v>#REF!</v>
      </c>
      <c r="DO235" s="79" t="e">
        <f>#REF!</f>
        <v>#REF!</v>
      </c>
      <c r="DP235" s="79" t="e">
        <f>#REF!</f>
        <v>#REF!</v>
      </c>
      <c r="DQ235" s="79" t="e">
        <f>#REF!</f>
        <v>#REF!</v>
      </c>
      <c r="DR235" s="79" t="e">
        <f>#REF!</f>
        <v>#REF!</v>
      </c>
      <c r="DS235" s="79" t="e">
        <f>#REF!</f>
        <v>#REF!</v>
      </c>
      <c r="DT235" s="79" t="e">
        <f>#REF!</f>
        <v>#REF!</v>
      </c>
      <c r="DU235" s="79" t="e">
        <f>#REF!</f>
        <v>#REF!</v>
      </c>
      <c r="DV235" s="79" t="e">
        <f>#REF!</f>
        <v>#REF!</v>
      </c>
      <c r="DW235" s="79" t="e">
        <f>#REF!</f>
        <v>#REF!</v>
      </c>
      <c r="DX235" s="79" t="e">
        <f>#REF!</f>
        <v>#REF!</v>
      </c>
      <c r="DY235" s="79" t="e">
        <f>#REF!</f>
        <v>#REF!</v>
      </c>
      <c r="DZ235" s="79" t="e">
        <f>#REF!</f>
        <v>#REF!</v>
      </c>
      <c r="EA235" s="79" t="e">
        <f>#REF!</f>
        <v>#REF!</v>
      </c>
      <c r="EB235" s="79" t="e">
        <f>#REF!</f>
        <v>#REF!</v>
      </c>
      <c r="EC235" s="79" t="e">
        <f>#REF!</f>
        <v>#REF!</v>
      </c>
      <c r="ED235" s="79" t="e">
        <f>#REF!</f>
        <v>#REF!</v>
      </c>
      <c r="EE235" s="79" t="e">
        <f>#REF!</f>
        <v>#REF!</v>
      </c>
      <c r="EF235" s="79" t="e">
        <f>#REF!</f>
        <v>#REF!</v>
      </c>
      <c r="EG235" s="79" t="e">
        <f>#REF!</f>
        <v>#REF!</v>
      </c>
      <c r="EH235" s="79" t="e">
        <f>#REF!</f>
        <v>#REF!</v>
      </c>
      <c r="EI235" s="79" t="e">
        <f>#REF!</f>
        <v>#REF!</v>
      </c>
      <c r="EJ235" s="79" t="e">
        <f>#REF!</f>
        <v>#REF!</v>
      </c>
      <c r="EK235" s="79" t="e">
        <f>#REF!</f>
        <v>#REF!</v>
      </c>
      <c r="EL235" s="79" t="e">
        <f>#REF!</f>
        <v>#REF!</v>
      </c>
      <c r="EM235" s="79" t="e">
        <f>#REF!</f>
        <v>#REF!</v>
      </c>
      <c r="EN235" s="79" t="e">
        <f>#REF!</f>
        <v>#REF!</v>
      </c>
      <c r="EO235" s="79" t="e">
        <f>#REF!</f>
        <v>#REF!</v>
      </c>
      <c r="EP235" s="79" t="e">
        <f>#REF!</f>
        <v>#REF!</v>
      </c>
      <c r="EQ235" s="79" t="e">
        <f>#REF!</f>
        <v>#REF!</v>
      </c>
      <c r="ER235" s="79" t="e">
        <f>#REF!</f>
        <v>#REF!</v>
      </c>
      <c r="ES235" s="79" t="e">
        <f>#REF!</f>
        <v>#REF!</v>
      </c>
      <c r="ET235" s="79" t="e">
        <f>#REF!</f>
        <v>#REF!</v>
      </c>
      <c r="EU235" s="79" t="e">
        <f>#REF!</f>
        <v>#REF!</v>
      </c>
      <c r="EV235" s="79" t="e">
        <f>#REF!</f>
        <v>#REF!</v>
      </c>
      <c r="EW235" s="79" t="e">
        <f>#REF!</f>
        <v>#REF!</v>
      </c>
      <c r="EX235" s="79" t="e">
        <f>#REF!</f>
        <v>#REF!</v>
      </c>
      <c r="EY235" s="79" t="e">
        <f>#REF!</f>
        <v>#REF!</v>
      </c>
      <c r="EZ235" s="79" t="e">
        <f>#REF!</f>
        <v>#REF!</v>
      </c>
      <c r="FA235" s="79" t="e">
        <f>#REF!</f>
        <v>#REF!</v>
      </c>
      <c r="FB235" s="79" t="e">
        <f>#REF!</f>
        <v>#REF!</v>
      </c>
      <c r="FC235" s="79" t="e">
        <f>#REF!</f>
        <v>#REF!</v>
      </c>
      <c r="FD235" s="79" t="e">
        <f>#REF!</f>
        <v>#REF!</v>
      </c>
      <c r="FE235" s="79" t="e">
        <f>#REF!</f>
        <v>#REF!</v>
      </c>
      <c r="FF235" s="79" t="e">
        <f>#REF!</f>
        <v>#REF!</v>
      </c>
      <c r="FG235" s="79" t="e">
        <f>#REF!</f>
        <v>#REF!</v>
      </c>
      <c r="FH235" s="79" t="e">
        <f>#REF!</f>
        <v>#REF!</v>
      </c>
      <c r="FI235" s="79" t="e">
        <f>#REF!</f>
        <v>#REF!</v>
      </c>
      <c r="FJ235" s="79" t="e">
        <f>#REF!</f>
        <v>#REF!</v>
      </c>
      <c r="FK235" s="79" t="e">
        <f>#REF!</f>
        <v>#REF!</v>
      </c>
      <c r="FL235" s="79" t="e">
        <f>#REF!</f>
        <v>#REF!</v>
      </c>
      <c r="FM235" s="79" t="e">
        <f>#REF!</f>
        <v>#REF!</v>
      </c>
      <c r="FN235" s="79" t="e">
        <f>#REF!</f>
        <v>#REF!</v>
      </c>
      <c r="FO235" s="79" t="e">
        <f>#REF!</f>
        <v>#REF!</v>
      </c>
      <c r="FP235" s="79" t="e">
        <f>#REF!</f>
        <v>#REF!</v>
      </c>
      <c r="FQ235" s="79" t="e">
        <f>#REF!</f>
        <v>#REF!</v>
      </c>
      <c r="FR235" s="79" t="e">
        <f>#REF!</f>
        <v>#REF!</v>
      </c>
      <c r="FS235" s="79" t="e">
        <f>#REF!</f>
        <v>#REF!</v>
      </c>
      <c r="FT235" s="79" t="e">
        <f>#REF!</f>
        <v>#REF!</v>
      </c>
      <c r="FU235" s="79" t="e">
        <f>#REF!</f>
        <v>#REF!</v>
      </c>
      <c r="FV235" s="79" t="e">
        <f>#REF!</f>
        <v>#REF!</v>
      </c>
      <c r="FW235" s="79" t="e">
        <f>#REF!</f>
        <v>#REF!</v>
      </c>
      <c r="FX235" s="79" t="e">
        <f>#REF!</f>
        <v>#REF!</v>
      </c>
      <c r="FY235" s="79" t="e">
        <f>#REF!</f>
        <v>#REF!</v>
      </c>
      <c r="FZ235" s="79" t="e">
        <f>#REF!</f>
        <v>#REF!</v>
      </c>
      <c r="GA235" s="79" t="e">
        <f>#REF!</f>
        <v>#REF!</v>
      </c>
      <c r="GB235" s="79" t="e">
        <f>#REF!</f>
        <v>#REF!</v>
      </c>
      <c r="GC235" s="79" t="e">
        <f>#REF!</f>
        <v>#REF!</v>
      </c>
      <c r="GD235" s="79" t="e">
        <f>#REF!</f>
        <v>#REF!</v>
      </c>
      <c r="GE235" s="79" t="e">
        <f>#REF!</f>
        <v>#REF!</v>
      </c>
      <c r="GF235" s="79" t="e">
        <f>#REF!</f>
        <v>#REF!</v>
      </c>
      <c r="GG235" s="79" t="e">
        <f>#REF!</f>
        <v>#REF!</v>
      </c>
      <c r="GH235" s="79" t="e">
        <f>#REF!</f>
        <v>#REF!</v>
      </c>
      <c r="GI235" s="79" t="e">
        <f>#REF!</f>
        <v>#REF!</v>
      </c>
      <c r="GJ235" s="79" t="e">
        <f>#REF!</f>
        <v>#REF!</v>
      </c>
      <c r="GK235" s="79" t="e">
        <f>#REF!</f>
        <v>#REF!</v>
      </c>
      <c r="GL235" s="79" t="e">
        <f>#REF!</f>
        <v>#REF!</v>
      </c>
      <c r="GM235" s="79" t="e">
        <f>#REF!</f>
        <v>#REF!</v>
      </c>
      <c r="GN235" s="79" t="e">
        <f>#REF!</f>
        <v>#REF!</v>
      </c>
      <c r="GO235" s="79" t="e">
        <f>#REF!</f>
        <v>#REF!</v>
      </c>
      <c r="GP235" s="79" t="e">
        <f>#REF!</f>
        <v>#REF!</v>
      </c>
      <c r="GQ235" s="79" t="e">
        <f>#REF!</f>
        <v>#REF!</v>
      </c>
      <c r="GR235" s="79" t="e">
        <f>#REF!</f>
        <v>#REF!</v>
      </c>
      <c r="GS235" s="79" t="e">
        <f>#REF!</f>
        <v>#REF!</v>
      </c>
      <c r="GT235" s="79" t="e">
        <f>#REF!</f>
        <v>#REF!</v>
      </c>
      <c r="GU235" s="79" t="e">
        <f>#REF!</f>
        <v>#REF!</v>
      </c>
      <c r="GV235" s="79" t="e">
        <f>#REF!</f>
        <v>#REF!</v>
      </c>
      <c r="GW235" s="79" t="e">
        <f>#REF!</f>
        <v>#REF!</v>
      </c>
      <c r="GX235" s="79" t="e">
        <f>#REF!</f>
        <v>#REF!</v>
      </c>
      <c r="GY235" s="79" t="e">
        <f>#REF!</f>
        <v>#REF!</v>
      </c>
      <c r="GZ235" s="79" t="e">
        <f>#REF!</f>
        <v>#REF!</v>
      </c>
      <c r="HA235" s="79" t="e">
        <f>#REF!</f>
        <v>#REF!</v>
      </c>
      <c r="HB235" s="79" t="e">
        <f>#REF!</f>
        <v>#REF!</v>
      </c>
      <c r="HC235" s="79" t="e">
        <f>#REF!</f>
        <v>#REF!</v>
      </c>
      <c r="HD235" s="79" t="e">
        <f>#REF!</f>
        <v>#REF!</v>
      </c>
      <c r="HE235" s="79" t="e">
        <f>#REF!</f>
        <v>#REF!</v>
      </c>
      <c r="HF235" s="79" t="e">
        <f>#REF!</f>
        <v>#REF!</v>
      </c>
      <c r="HG235" s="79" t="e">
        <f>#REF!</f>
        <v>#REF!</v>
      </c>
      <c r="HH235" s="79" t="e">
        <f>#REF!</f>
        <v>#REF!</v>
      </c>
      <c r="HI235" s="79" t="e">
        <f>#REF!</f>
        <v>#REF!</v>
      </c>
      <c r="HJ235" s="79" t="e">
        <f>#REF!</f>
        <v>#REF!</v>
      </c>
      <c r="HK235" s="79" t="e">
        <f>#REF!</f>
        <v>#REF!</v>
      </c>
      <c r="HL235" s="79" t="e">
        <f>#REF!</f>
        <v>#REF!</v>
      </c>
      <c r="HM235" s="79" t="e">
        <f>#REF!</f>
        <v>#REF!</v>
      </c>
      <c r="HN235" s="79" t="e">
        <f>#REF!</f>
        <v>#REF!</v>
      </c>
      <c r="HO235" s="79" t="e">
        <f>#REF!</f>
        <v>#REF!</v>
      </c>
      <c r="HP235" s="79" t="e">
        <f>#REF!</f>
        <v>#REF!</v>
      </c>
      <c r="HQ235" s="79" t="e">
        <f>#REF!</f>
        <v>#REF!</v>
      </c>
      <c r="HR235" s="79" t="e">
        <f>#REF!</f>
        <v>#REF!</v>
      </c>
      <c r="HS235" s="79" t="e">
        <f>#REF!</f>
        <v>#REF!</v>
      </c>
      <c r="HT235" s="79" t="e">
        <f>#REF!</f>
        <v>#REF!</v>
      </c>
      <c r="HU235" s="79" t="e">
        <f>#REF!</f>
        <v>#REF!</v>
      </c>
      <c r="HV235" s="79" t="e">
        <f>#REF!</f>
        <v>#REF!</v>
      </c>
      <c r="HW235" s="79" t="e">
        <f>#REF!</f>
        <v>#REF!</v>
      </c>
      <c r="HX235" s="79" t="e">
        <f>#REF!</f>
        <v>#REF!</v>
      </c>
      <c r="HY235" s="79" t="e">
        <f>#REF!</f>
        <v>#REF!</v>
      </c>
      <c r="HZ235" s="79" t="e">
        <f>#REF!</f>
        <v>#REF!</v>
      </c>
      <c r="IA235" s="79" t="e">
        <f>#REF!</f>
        <v>#REF!</v>
      </c>
      <c r="IB235" s="79" t="e">
        <f>#REF!</f>
        <v>#REF!</v>
      </c>
      <c r="IC235" s="79" t="e">
        <f>#REF!</f>
        <v>#REF!</v>
      </c>
      <c r="ID235" s="79" t="e">
        <f>#REF!</f>
        <v>#REF!</v>
      </c>
      <c r="IE235" s="79" t="e">
        <f>#REF!</f>
        <v>#REF!</v>
      </c>
      <c r="IF235" s="79" t="e">
        <f>#REF!</f>
        <v>#REF!</v>
      </c>
      <c r="IG235" s="79" t="e">
        <f>#REF!</f>
        <v>#REF!</v>
      </c>
      <c r="IH235" s="79" t="e">
        <f>#REF!</f>
        <v>#REF!</v>
      </c>
      <c r="II235" s="79" t="e">
        <f>#REF!</f>
        <v>#REF!</v>
      </c>
      <c r="IJ235" s="79" t="e">
        <f>#REF!</f>
        <v>#REF!</v>
      </c>
      <c r="IK235" s="79" t="e">
        <f>#REF!</f>
        <v>#REF!</v>
      </c>
      <c r="IL235" s="79" t="e">
        <f>#REF!</f>
        <v>#REF!</v>
      </c>
      <c r="IM235" s="79" t="e">
        <f>#REF!</f>
        <v>#REF!</v>
      </c>
      <c r="IN235" s="79" t="e">
        <f>#REF!</f>
        <v>#REF!</v>
      </c>
      <c r="IO235" s="79" t="e">
        <f>#REF!</f>
        <v>#REF!</v>
      </c>
      <c r="IP235" s="79" t="e">
        <f>#REF!</f>
        <v>#REF!</v>
      </c>
      <c r="IQ235" s="79" t="e">
        <f>#REF!</f>
        <v>#REF!</v>
      </c>
      <c r="IR235" s="79" t="e">
        <f>#REF!</f>
        <v>#REF!</v>
      </c>
      <c r="IS235" s="79" t="e">
        <f>#REF!</f>
        <v>#REF!</v>
      </c>
      <c r="IT235" s="79" t="e">
        <f>#REF!</f>
        <v>#REF!</v>
      </c>
      <c r="IU235" s="79" t="e">
        <f>#REF!</f>
        <v>#REF!</v>
      </c>
      <c r="IV235" s="79" t="e">
        <f>#REF!</f>
        <v>#REF!</v>
      </c>
      <c r="IW235" s="79" t="e">
        <f>#REF!</f>
        <v>#REF!</v>
      </c>
      <c r="IX235" s="79" t="e">
        <f>#REF!</f>
        <v>#REF!</v>
      </c>
      <c r="IY235" s="79" t="e">
        <f>#REF!</f>
        <v>#REF!</v>
      </c>
      <c r="IZ235" s="79" t="e">
        <f>#REF!</f>
        <v>#REF!</v>
      </c>
      <c r="JA235" s="79" t="e">
        <f>#REF!</f>
        <v>#REF!</v>
      </c>
      <c r="JB235" s="79" t="e">
        <f>#REF!</f>
        <v>#REF!</v>
      </c>
      <c r="JC235" s="79" t="e">
        <f>#REF!</f>
        <v>#REF!</v>
      </c>
      <c r="JD235" s="79" t="e">
        <f>#REF!</f>
        <v>#REF!</v>
      </c>
      <c r="JE235" s="79" t="e">
        <f>#REF!</f>
        <v>#REF!</v>
      </c>
      <c r="JF235" s="79" t="e">
        <f>#REF!</f>
        <v>#REF!</v>
      </c>
      <c r="JG235" s="79" t="e">
        <f>#REF!</f>
        <v>#REF!</v>
      </c>
      <c r="JH235" s="79" t="e">
        <f>#REF!</f>
        <v>#REF!</v>
      </c>
      <c r="JI235" s="79" t="e">
        <f>#REF!</f>
        <v>#REF!</v>
      </c>
      <c r="JJ235" s="79" t="e">
        <f>#REF!</f>
        <v>#REF!</v>
      </c>
      <c r="JK235" s="79" t="e">
        <f>#REF!</f>
        <v>#REF!</v>
      </c>
      <c r="JL235" s="79" t="e">
        <f>#REF!</f>
        <v>#REF!</v>
      </c>
      <c r="JM235" s="79" t="e">
        <f>#REF!</f>
        <v>#REF!</v>
      </c>
      <c r="JN235" s="79" t="e">
        <f>#REF!</f>
        <v>#REF!</v>
      </c>
      <c r="JO235" s="79" t="e">
        <f>#REF!</f>
        <v>#REF!</v>
      </c>
      <c r="JP235" s="79" t="e">
        <f>#REF!</f>
        <v>#REF!</v>
      </c>
      <c r="JQ235" s="79" t="e">
        <f>#REF!</f>
        <v>#REF!</v>
      </c>
      <c r="JR235" s="79" t="e">
        <f>#REF!</f>
        <v>#REF!</v>
      </c>
      <c r="JS235" s="79" t="e">
        <f>#REF!</f>
        <v>#REF!</v>
      </c>
      <c r="JT235" s="79" t="e">
        <f>#REF!</f>
        <v>#REF!</v>
      </c>
      <c r="JU235" s="79" t="e">
        <f>#REF!</f>
        <v>#REF!</v>
      </c>
      <c r="JV235" s="79" t="e">
        <f>#REF!</f>
        <v>#REF!</v>
      </c>
      <c r="JW235" s="79" t="e">
        <f>#REF!</f>
        <v>#REF!</v>
      </c>
      <c r="JX235" s="79" t="e">
        <f>#REF!</f>
        <v>#REF!</v>
      </c>
      <c r="JY235" s="79" t="e">
        <f>#REF!</f>
        <v>#REF!</v>
      </c>
      <c r="JZ235" s="79" t="e">
        <f>#REF!</f>
        <v>#REF!</v>
      </c>
      <c r="KA235" s="79" t="e">
        <f>#REF!</f>
        <v>#REF!</v>
      </c>
      <c r="KB235" s="79" t="e">
        <f>#REF!</f>
        <v>#REF!</v>
      </c>
      <c r="KC235" s="79" t="e">
        <f>#REF!</f>
        <v>#REF!</v>
      </c>
      <c r="KD235" s="79" t="e">
        <f>#REF!</f>
        <v>#REF!</v>
      </c>
      <c r="KE235" s="79" t="e">
        <f>#REF!</f>
        <v>#REF!</v>
      </c>
      <c r="KF235" s="79" t="e">
        <f>#REF!</f>
        <v>#REF!</v>
      </c>
      <c r="KG235" s="79" t="e">
        <f>#REF!</f>
        <v>#REF!</v>
      </c>
      <c r="KH235" s="79" t="e">
        <f>#REF!</f>
        <v>#REF!</v>
      </c>
      <c r="KI235" s="79" t="e">
        <f>#REF!</f>
        <v>#REF!</v>
      </c>
      <c r="KJ235" s="79" t="e">
        <f>#REF!</f>
        <v>#REF!</v>
      </c>
      <c r="KK235" s="79" t="e">
        <f>#REF!</f>
        <v>#REF!</v>
      </c>
      <c r="KL235" s="79" t="e">
        <f>#REF!</f>
        <v>#REF!</v>
      </c>
      <c r="KM235" s="79" t="e">
        <f>#REF!</f>
        <v>#REF!</v>
      </c>
      <c r="KN235" s="79" t="e">
        <f>#REF!</f>
        <v>#REF!</v>
      </c>
      <c r="KO235" s="79" t="e">
        <f>#REF!</f>
        <v>#REF!</v>
      </c>
      <c r="KP235" s="79" t="e">
        <f>#REF!</f>
        <v>#REF!</v>
      </c>
      <c r="KQ235" s="79" t="e">
        <f>#REF!</f>
        <v>#REF!</v>
      </c>
      <c r="KR235" s="79" t="e">
        <f>#REF!</f>
        <v>#REF!</v>
      </c>
      <c r="KS235" s="79" t="e">
        <f>#REF!</f>
        <v>#REF!</v>
      </c>
      <c r="KT235" s="79" t="e">
        <f>#REF!</f>
        <v>#REF!</v>
      </c>
      <c r="KU235" s="79" t="e">
        <f>#REF!</f>
        <v>#REF!</v>
      </c>
      <c r="KV235" s="79" t="e">
        <f>#REF!</f>
        <v>#REF!</v>
      </c>
      <c r="KW235" s="79" t="e">
        <f>#REF!</f>
        <v>#REF!</v>
      </c>
      <c r="KX235" s="79" t="e">
        <f>#REF!</f>
        <v>#REF!</v>
      </c>
      <c r="KY235" s="79" t="e">
        <f>#REF!</f>
        <v>#REF!</v>
      </c>
      <c r="KZ235" s="79" t="e">
        <f>#REF!</f>
        <v>#REF!</v>
      </c>
      <c r="LA235" s="79" t="e">
        <f>#REF!</f>
        <v>#REF!</v>
      </c>
      <c r="LB235" s="79" t="e">
        <f>#REF!</f>
        <v>#REF!</v>
      </c>
      <c r="LC235" s="79" t="e">
        <f>#REF!</f>
        <v>#REF!</v>
      </c>
      <c r="LD235" s="79" t="e">
        <f>#REF!</f>
        <v>#REF!</v>
      </c>
      <c r="LE235" s="79" t="e">
        <f>#REF!</f>
        <v>#REF!</v>
      </c>
      <c r="LF235" s="79" t="e">
        <f>#REF!</f>
        <v>#REF!</v>
      </c>
      <c r="LG235" s="79" t="e">
        <f>#REF!</f>
        <v>#REF!</v>
      </c>
      <c r="LH235" s="79" t="e">
        <f>#REF!</f>
        <v>#REF!</v>
      </c>
      <c r="LI235" s="79" t="e">
        <f>#REF!</f>
        <v>#REF!</v>
      </c>
      <c r="LJ235" s="79" t="e">
        <f>#REF!</f>
        <v>#REF!</v>
      </c>
      <c r="LK235" s="79" t="e">
        <f>#REF!</f>
        <v>#REF!</v>
      </c>
      <c r="LL235" s="79" t="e">
        <f>#REF!</f>
        <v>#REF!</v>
      </c>
      <c r="LM235" s="79" t="e">
        <f>#REF!</f>
        <v>#REF!</v>
      </c>
      <c r="LN235" s="79" t="e">
        <f>#REF!</f>
        <v>#REF!</v>
      </c>
      <c r="LO235" s="79" t="e">
        <f>#REF!</f>
        <v>#REF!</v>
      </c>
      <c r="LP235" s="79" t="e">
        <f>#REF!</f>
        <v>#REF!</v>
      </c>
      <c r="LQ235" s="79" t="e">
        <f>#REF!</f>
        <v>#REF!</v>
      </c>
      <c r="LR235" s="79" t="e">
        <f>#REF!</f>
        <v>#REF!</v>
      </c>
      <c r="LS235" s="79" t="e">
        <f>#REF!</f>
        <v>#REF!</v>
      </c>
      <c r="LT235" s="79" t="e">
        <f>#REF!</f>
        <v>#REF!</v>
      </c>
      <c r="LU235" s="79" t="e">
        <f>#REF!</f>
        <v>#REF!</v>
      </c>
      <c r="LV235" s="79" t="e">
        <f>#REF!</f>
        <v>#REF!</v>
      </c>
      <c r="LW235" s="79" t="e">
        <f>#REF!</f>
        <v>#REF!</v>
      </c>
      <c r="LX235" s="79" t="e">
        <f>#REF!</f>
        <v>#REF!</v>
      </c>
      <c r="LY235" s="79" t="e">
        <f>#REF!</f>
        <v>#REF!</v>
      </c>
      <c r="LZ235" s="79" t="e">
        <f>#REF!</f>
        <v>#REF!</v>
      </c>
      <c r="MA235" s="79" t="e">
        <f>#REF!</f>
        <v>#REF!</v>
      </c>
      <c r="MB235" s="79" t="e">
        <f>#REF!</f>
        <v>#REF!</v>
      </c>
      <c r="MC235" s="79" t="e">
        <f>#REF!</f>
        <v>#REF!</v>
      </c>
      <c r="MD235" s="79" t="e">
        <f>#REF!</f>
        <v>#REF!</v>
      </c>
      <c r="ME235" s="79" t="e">
        <f>#REF!</f>
        <v>#REF!</v>
      </c>
      <c r="MF235" s="79" t="e">
        <f>#REF!</f>
        <v>#REF!</v>
      </c>
      <c r="MG235" s="79" t="e">
        <f>#REF!</f>
        <v>#REF!</v>
      </c>
      <c r="MH235" s="79" t="e">
        <f>#REF!</f>
        <v>#REF!</v>
      </c>
      <c r="MI235" s="79" t="e">
        <f>#REF!</f>
        <v>#REF!</v>
      </c>
      <c r="MJ235" s="79" t="e">
        <f>#REF!</f>
        <v>#REF!</v>
      </c>
      <c r="MK235" s="79" t="e">
        <f>#REF!</f>
        <v>#REF!</v>
      </c>
      <c r="ML235" s="79" t="e">
        <f>#REF!</f>
        <v>#REF!</v>
      </c>
      <c r="MM235" s="79" t="e">
        <f>#REF!</f>
        <v>#REF!</v>
      </c>
      <c r="MN235" s="79" t="e">
        <f>#REF!</f>
        <v>#REF!</v>
      </c>
      <c r="MO235" s="79" t="e">
        <f>#REF!</f>
        <v>#REF!</v>
      </c>
      <c r="MP235" s="79" t="e">
        <f>#REF!</f>
        <v>#REF!</v>
      </c>
      <c r="MQ235" s="79" t="e">
        <f>#REF!</f>
        <v>#REF!</v>
      </c>
      <c r="MR235" s="79" t="e">
        <f>#REF!</f>
        <v>#REF!</v>
      </c>
      <c r="MS235" s="79" t="e">
        <f>#REF!</f>
        <v>#REF!</v>
      </c>
      <c r="MT235" s="79" t="e">
        <f>#REF!</f>
        <v>#REF!</v>
      </c>
      <c r="MU235" s="79" t="e">
        <f>#REF!</f>
        <v>#REF!</v>
      </c>
      <c r="MV235" s="79" t="e">
        <f>#REF!</f>
        <v>#REF!</v>
      </c>
      <c r="MW235" s="79" t="e">
        <f>#REF!</f>
        <v>#REF!</v>
      </c>
      <c r="MX235" s="79" t="e">
        <f>#REF!</f>
        <v>#REF!</v>
      </c>
      <c r="MY235" s="79" t="e">
        <f>#REF!</f>
        <v>#REF!</v>
      </c>
      <c r="MZ235" s="79" t="e">
        <f>#REF!</f>
        <v>#REF!</v>
      </c>
      <c r="NA235" s="79" t="e">
        <f>#REF!</f>
        <v>#REF!</v>
      </c>
      <c r="NB235" s="79" t="e">
        <f>#REF!</f>
        <v>#REF!</v>
      </c>
      <c r="NC235" s="79" t="e">
        <f>#REF!</f>
        <v>#REF!</v>
      </c>
      <c r="ND235" s="79" t="e">
        <f>#REF!</f>
        <v>#REF!</v>
      </c>
      <c r="NE235" s="79" t="e">
        <f>#REF!</f>
        <v>#REF!</v>
      </c>
      <c r="NF235" s="79" t="e">
        <f>#REF!</f>
        <v>#REF!</v>
      </c>
      <c r="NG235" s="79" t="e">
        <f>#REF!</f>
        <v>#REF!</v>
      </c>
      <c r="NH235" s="79" t="e">
        <f>#REF!</f>
        <v>#REF!</v>
      </c>
      <c r="NI235" s="79" t="e">
        <f>#REF!</f>
        <v>#REF!</v>
      </c>
      <c r="NJ235" s="79" t="e">
        <f>#REF!</f>
        <v>#REF!</v>
      </c>
      <c r="NK235" s="79" t="e">
        <f>#REF!</f>
        <v>#REF!</v>
      </c>
      <c r="NL235" s="79" t="e">
        <f>#REF!</f>
        <v>#REF!</v>
      </c>
      <c r="NM235" s="79" t="e">
        <f>#REF!</f>
        <v>#REF!</v>
      </c>
      <c r="NN235" s="79" t="e">
        <f>#REF!</f>
        <v>#REF!</v>
      </c>
      <c r="NO235" s="79" t="e">
        <f>#REF!</f>
        <v>#REF!</v>
      </c>
      <c r="NP235" s="79" t="e">
        <f>#REF!</f>
        <v>#REF!</v>
      </c>
      <c r="NQ235" s="79" t="e">
        <f>#REF!</f>
        <v>#REF!</v>
      </c>
      <c r="NR235" s="79" t="e">
        <f>#REF!</f>
        <v>#REF!</v>
      </c>
      <c r="NS235" s="79" t="e">
        <f>#REF!</f>
        <v>#REF!</v>
      </c>
      <c r="NT235" s="79" t="e">
        <f>#REF!</f>
        <v>#REF!</v>
      </c>
      <c r="NU235" s="79" t="e">
        <f>#REF!</f>
        <v>#REF!</v>
      </c>
      <c r="NV235" s="79" t="e">
        <f>#REF!</f>
        <v>#REF!</v>
      </c>
      <c r="NW235" s="79" t="e">
        <f>#REF!</f>
        <v>#REF!</v>
      </c>
      <c r="NX235" s="79" t="e">
        <f>#REF!</f>
        <v>#REF!</v>
      </c>
      <c r="NY235" s="79" t="e">
        <f>#REF!</f>
        <v>#REF!</v>
      </c>
      <c r="NZ235" s="79" t="e">
        <f>#REF!</f>
        <v>#REF!</v>
      </c>
      <c r="OA235" s="79" t="e">
        <f>#REF!</f>
        <v>#REF!</v>
      </c>
      <c r="OB235" s="79" t="e">
        <f>#REF!</f>
        <v>#REF!</v>
      </c>
      <c r="OC235" s="79" t="e">
        <f>#REF!</f>
        <v>#REF!</v>
      </c>
      <c r="OD235" s="79" t="e">
        <f>#REF!</f>
        <v>#REF!</v>
      </c>
      <c r="OE235" s="79" t="e">
        <f>#REF!</f>
        <v>#REF!</v>
      </c>
      <c r="OF235" s="79" t="e">
        <f>#REF!</f>
        <v>#REF!</v>
      </c>
      <c r="OG235" s="79" t="e">
        <f>#REF!</f>
        <v>#REF!</v>
      </c>
      <c r="OH235" s="79" t="e">
        <f>#REF!</f>
        <v>#REF!</v>
      </c>
      <c r="OI235" s="79" t="e">
        <f>#REF!</f>
        <v>#REF!</v>
      </c>
      <c r="OJ235" s="79" t="e">
        <f>#REF!</f>
        <v>#REF!</v>
      </c>
      <c r="OK235" s="79" t="e">
        <f>#REF!</f>
        <v>#REF!</v>
      </c>
      <c r="OL235" s="79" t="e">
        <f>#REF!</f>
        <v>#REF!</v>
      </c>
      <c r="OM235" s="79" t="e">
        <f>#REF!</f>
        <v>#REF!</v>
      </c>
      <c r="ON235" s="79" t="e">
        <f>#REF!</f>
        <v>#REF!</v>
      </c>
      <c r="OO235" s="79" t="e">
        <f>#REF!</f>
        <v>#REF!</v>
      </c>
      <c r="OP235" s="79" t="e">
        <f>#REF!</f>
        <v>#REF!</v>
      </c>
      <c r="OQ235" s="79" t="e">
        <f>#REF!</f>
        <v>#REF!</v>
      </c>
      <c r="OR235" s="79" t="e">
        <f>#REF!</f>
        <v>#REF!</v>
      </c>
      <c r="OS235" s="79" t="e">
        <f>#REF!</f>
        <v>#REF!</v>
      </c>
      <c r="OT235" s="79" t="e">
        <f>#REF!</f>
        <v>#REF!</v>
      </c>
      <c r="OU235" s="79" t="e">
        <f>#REF!</f>
        <v>#REF!</v>
      </c>
      <c r="OV235" s="79" t="e">
        <f>#REF!</f>
        <v>#REF!</v>
      </c>
      <c r="OW235" s="79" t="e">
        <f>#REF!</f>
        <v>#REF!</v>
      </c>
      <c r="OX235" s="79" t="e">
        <f>#REF!</f>
        <v>#REF!</v>
      </c>
      <c r="OY235" s="79" t="e">
        <f>#REF!</f>
        <v>#REF!</v>
      </c>
      <c r="OZ235" s="79" t="e">
        <f>#REF!</f>
        <v>#REF!</v>
      </c>
      <c r="PA235" s="79" t="e">
        <f>#REF!</f>
        <v>#REF!</v>
      </c>
      <c r="PB235" s="79" t="e">
        <f>#REF!</f>
        <v>#REF!</v>
      </c>
      <c r="PC235" s="79" t="e">
        <f>#REF!</f>
        <v>#REF!</v>
      </c>
      <c r="PD235" s="79" t="e">
        <f>#REF!</f>
        <v>#REF!</v>
      </c>
      <c r="PE235" s="79" t="e">
        <f>#REF!</f>
        <v>#REF!</v>
      </c>
      <c r="PF235" s="79" t="e">
        <f>#REF!</f>
        <v>#REF!</v>
      </c>
      <c r="PG235" s="79" t="e">
        <f>#REF!</f>
        <v>#REF!</v>
      </c>
      <c r="PH235" s="79" t="e">
        <f>#REF!</f>
        <v>#REF!</v>
      </c>
      <c r="PI235" s="79" t="e">
        <f>#REF!</f>
        <v>#REF!</v>
      </c>
      <c r="PJ235" s="79" t="e">
        <f>#REF!</f>
        <v>#REF!</v>
      </c>
      <c r="PK235" s="79" t="e">
        <f>#REF!</f>
        <v>#REF!</v>
      </c>
      <c r="PL235" s="79" t="e">
        <f>#REF!</f>
        <v>#REF!</v>
      </c>
      <c r="PM235" s="79" t="e">
        <f>#REF!</f>
        <v>#REF!</v>
      </c>
      <c r="PN235" s="79" t="e">
        <f>#REF!</f>
        <v>#REF!</v>
      </c>
      <c r="PO235" s="79" t="e">
        <f>#REF!</f>
        <v>#REF!</v>
      </c>
      <c r="PP235" s="79" t="e">
        <f>#REF!</f>
        <v>#REF!</v>
      </c>
      <c r="PQ235" s="79" t="e">
        <f>#REF!</f>
        <v>#REF!</v>
      </c>
      <c r="PR235" s="79" t="e">
        <f>#REF!</f>
        <v>#REF!</v>
      </c>
      <c r="PS235" s="79" t="e">
        <f>#REF!</f>
        <v>#REF!</v>
      </c>
      <c r="PT235" s="79" t="e">
        <f>#REF!</f>
        <v>#REF!</v>
      </c>
      <c r="PU235" s="79" t="e">
        <f>#REF!</f>
        <v>#REF!</v>
      </c>
      <c r="PV235" s="79" t="e">
        <f>#REF!</f>
        <v>#REF!</v>
      </c>
      <c r="PW235" s="79" t="e">
        <f>#REF!</f>
        <v>#REF!</v>
      </c>
      <c r="PX235" s="79" t="e">
        <f>#REF!</f>
        <v>#REF!</v>
      </c>
      <c r="PY235" s="79" t="e">
        <f>#REF!</f>
        <v>#REF!</v>
      </c>
      <c r="PZ235" s="79" t="e">
        <f>#REF!</f>
        <v>#REF!</v>
      </c>
      <c r="QA235" s="79" t="e">
        <f>#REF!</f>
        <v>#REF!</v>
      </c>
      <c r="QB235" s="79" t="e">
        <f>#REF!</f>
        <v>#REF!</v>
      </c>
      <c r="QC235" s="79" t="e">
        <f>#REF!</f>
        <v>#REF!</v>
      </c>
      <c r="QD235" s="79" t="e">
        <f>#REF!</f>
        <v>#REF!</v>
      </c>
      <c r="QE235" s="79" t="e">
        <f>#REF!</f>
        <v>#REF!</v>
      </c>
      <c r="QF235" s="79" t="e">
        <f>#REF!</f>
        <v>#REF!</v>
      </c>
      <c r="QG235" s="79" t="e">
        <f>#REF!</f>
        <v>#REF!</v>
      </c>
      <c r="QH235" s="79" t="e">
        <f>#REF!</f>
        <v>#REF!</v>
      </c>
      <c r="QI235" s="79" t="e">
        <f>#REF!</f>
        <v>#REF!</v>
      </c>
      <c r="QJ235" s="79" t="e">
        <f>#REF!</f>
        <v>#REF!</v>
      </c>
      <c r="QK235" s="79" t="e">
        <f>#REF!</f>
        <v>#REF!</v>
      </c>
      <c r="QL235" s="79" t="e">
        <f>#REF!</f>
        <v>#REF!</v>
      </c>
      <c r="QM235" s="79" t="e">
        <f>#REF!</f>
        <v>#REF!</v>
      </c>
      <c r="QN235" s="79" t="e">
        <f>#REF!</f>
        <v>#REF!</v>
      </c>
      <c r="QO235" s="79" t="e">
        <f>#REF!</f>
        <v>#REF!</v>
      </c>
      <c r="QP235" s="79" t="e">
        <f>#REF!</f>
        <v>#REF!</v>
      </c>
      <c r="QQ235" s="79" t="e">
        <f>#REF!</f>
        <v>#REF!</v>
      </c>
      <c r="QR235" s="79" t="e">
        <f>#REF!</f>
        <v>#REF!</v>
      </c>
      <c r="QS235" s="79" t="e">
        <f>#REF!</f>
        <v>#REF!</v>
      </c>
      <c r="QT235" s="79" t="e">
        <f>#REF!</f>
        <v>#REF!</v>
      </c>
      <c r="QU235" s="79" t="e">
        <f>#REF!</f>
        <v>#REF!</v>
      </c>
      <c r="QV235" s="79" t="e">
        <f>#REF!</f>
        <v>#REF!</v>
      </c>
      <c r="QW235" s="79" t="e">
        <f>#REF!</f>
        <v>#REF!</v>
      </c>
      <c r="QX235" s="79" t="e">
        <f>#REF!</f>
        <v>#REF!</v>
      </c>
      <c r="QY235" s="79" t="e">
        <f>#REF!</f>
        <v>#REF!</v>
      </c>
      <c r="QZ235" s="79" t="e">
        <f>#REF!</f>
        <v>#REF!</v>
      </c>
      <c r="RA235" s="79" t="e">
        <f>#REF!</f>
        <v>#REF!</v>
      </c>
      <c r="RB235" s="79" t="e">
        <f>#REF!</f>
        <v>#REF!</v>
      </c>
      <c r="RC235" s="79" t="e">
        <f>#REF!</f>
        <v>#REF!</v>
      </c>
      <c r="RD235" s="79" t="e">
        <f>#REF!</f>
        <v>#REF!</v>
      </c>
      <c r="RE235" s="79" t="e">
        <f>#REF!</f>
        <v>#REF!</v>
      </c>
      <c r="RF235" s="79" t="e">
        <f>#REF!</f>
        <v>#REF!</v>
      </c>
      <c r="RG235" s="79" t="e">
        <f>#REF!</f>
        <v>#REF!</v>
      </c>
      <c r="RH235" s="79" t="e">
        <f>#REF!</f>
        <v>#REF!</v>
      </c>
      <c r="RI235" s="79" t="e">
        <f>#REF!</f>
        <v>#REF!</v>
      </c>
      <c r="RJ235" s="79" t="e">
        <f>#REF!</f>
        <v>#REF!</v>
      </c>
      <c r="RK235" s="79" t="e">
        <f>#REF!</f>
        <v>#REF!</v>
      </c>
      <c r="RL235" s="79" t="e">
        <f>#REF!</f>
        <v>#REF!</v>
      </c>
      <c r="RM235" s="79" t="e">
        <f>#REF!</f>
        <v>#REF!</v>
      </c>
      <c r="RN235" s="79" t="e">
        <f>#REF!</f>
        <v>#REF!</v>
      </c>
      <c r="RO235" s="79" t="e">
        <f>#REF!</f>
        <v>#REF!</v>
      </c>
      <c r="RP235" s="79" t="e">
        <f>#REF!</f>
        <v>#REF!</v>
      </c>
      <c r="RQ235" s="79" t="e">
        <f>#REF!</f>
        <v>#REF!</v>
      </c>
      <c r="RR235" s="79" t="e">
        <f>#REF!</f>
        <v>#REF!</v>
      </c>
      <c r="RS235" s="79" t="e">
        <f>#REF!</f>
        <v>#REF!</v>
      </c>
      <c r="RT235" s="79" t="e">
        <f>#REF!</f>
        <v>#REF!</v>
      </c>
      <c r="RU235" s="79" t="e">
        <f>#REF!</f>
        <v>#REF!</v>
      </c>
      <c r="RV235" s="79" t="e">
        <f>#REF!</f>
        <v>#REF!</v>
      </c>
      <c r="RW235" s="79" t="e">
        <f>#REF!</f>
        <v>#REF!</v>
      </c>
      <c r="RX235" s="79" t="e">
        <f>#REF!</f>
        <v>#REF!</v>
      </c>
      <c r="RY235" s="79" t="e">
        <f>#REF!</f>
        <v>#REF!</v>
      </c>
      <c r="RZ235" s="79" t="e">
        <f>#REF!</f>
        <v>#REF!</v>
      </c>
      <c r="SA235" s="79" t="e">
        <f>#REF!</f>
        <v>#REF!</v>
      </c>
      <c r="SB235" s="79" t="e">
        <f>#REF!</f>
        <v>#REF!</v>
      </c>
      <c r="SC235" s="79" t="e">
        <f>#REF!</f>
        <v>#REF!</v>
      </c>
      <c r="SD235" s="79" t="e">
        <f>#REF!</f>
        <v>#REF!</v>
      </c>
      <c r="SE235" s="79" t="e">
        <f>#REF!</f>
        <v>#REF!</v>
      </c>
      <c r="SF235" s="79" t="e">
        <f>#REF!</f>
        <v>#REF!</v>
      </c>
      <c r="SG235" s="79" t="e">
        <f>#REF!</f>
        <v>#REF!</v>
      </c>
      <c r="SH235" s="79" t="e">
        <f>#REF!</f>
        <v>#REF!</v>
      </c>
      <c r="SI235" s="79" t="e">
        <f>#REF!</f>
        <v>#REF!</v>
      </c>
      <c r="SJ235" s="79" t="e">
        <f>#REF!</f>
        <v>#REF!</v>
      </c>
      <c r="SK235" s="79" t="e">
        <f>#REF!</f>
        <v>#REF!</v>
      </c>
      <c r="SL235" s="79" t="e">
        <f>#REF!</f>
        <v>#REF!</v>
      </c>
      <c r="SM235" s="79" t="e">
        <f>#REF!</f>
        <v>#REF!</v>
      </c>
      <c r="SN235" s="79" t="e">
        <f>#REF!</f>
        <v>#REF!</v>
      </c>
      <c r="SO235" s="79" t="e">
        <f>#REF!</f>
        <v>#REF!</v>
      </c>
      <c r="SP235" s="79" t="e">
        <f>#REF!</f>
        <v>#REF!</v>
      </c>
      <c r="SQ235" s="79" t="e">
        <f>#REF!</f>
        <v>#REF!</v>
      </c>
      <c r="SR235" s="79" t="e">
        <f>#REF!</f>
        <v>#REF!</v>
      </c>
      <c r="SS235" s="79" t="e">
        <f>#REF!</f>
        <v>#REF!</v>
      </c>
      <c r="ST235" s="79" t="e">
        <f>#REF!</f>
        <v>#REF!</v>
      </c>
      <c r="SU235" s="79" t="e">
        <f>#REF!</f>
        <v>#REF!</v>
      </c>
      <c r="SV235" s="79" t="e">
        <f>#REF!</f>
        <v>#REF!</v>
      </c>
      <c r="SW235" s="79" t="e">
        <f>#REF!</f>
        <v>#REF!</v>
      </c>
      <c r="SX235" s="79" t="e">
        <f>#REF!</f>
        <v>#REF!</v>
      </c>
      <c r="SY235" s="79" t="e">
        <f>#REF!</f>
        <v>#REF!</v>
      </c>
      <c r="SZ235" s="79" t="e">
        <f>#REF!</f>
        <v>#REF!</v>
      </c>
      <c r="TA235" s="79" t="e">
        <f>#REF!</f>
        <v>#REF!</v>
      </c>
      <c r="TB235" s="79" t="e">
        <f>#REF!</f>
        <v>#REF!</v>
      </c>
      <c r="TC235" s="79" t="e">
        <f>#REF!</f>
        <v>#REF!</v>
      </c>
      <c r="TD235" s="79" t="e">
        <f>#REF!</f>
        <v>#REF!</v>
      </c>
      <c r="TE235" s="79" t="e">
        <f>#REF!</f>
        <v>#REF!</v>
      </c>
      <c r="TF235" s="79" t="e">
        <f>#REF!</f>
        <v>#REF!</v>
      </c>
      <c r="TG235" s="79" t="e">
        <f>#REF!</f>
        <v>#REF!</v>
      </c>
      <c r="TH235" s="79" t="e">
        <f>#REF!</f>
        <v>#REF!</v>
      </c>
      <c r="TI235" s="79" t="e">
        <f>#REF!</f>
        <v>#REF!</v>
      </c>
      <c r="TJ235" s="79" t="e">
        <f>#REF!</f>
        <v>#REF!</v>
      </c>
      <c r="TK235" s="79" t="e">
        <f>#REF!</f>
        <v>#REF!</v>
      </c>
      <c r="TL235" s="79" t="e">
        <f>#REF!</f>
        <v>#REF!</v>
      </c>
      <c r="TM235" s="79" t="e">
        <f>#REF!</f>
        <v>#REF!</v>
      </c>
      <c r="TN235" s="79" t="e">
        <f>#REF!</f>
        <v>#REF!</v>
      </c>
      <c r="TO235" s="79" t="e">
        <f>#REF!</f>
        <v>#REF!</v>
      </c>
      <c r="TP235" s="79" t="e">
        <f>#REF!</f>
        <v>#REF!</v>
      </c>
      <c r="TQ235" s="79" t="e">
        <f>#REF!</f>
        <v>#REF!</v>
      </c>
      <c r="TR235" s="79" t="e">
        <f>#REF!</f>
        <v>#REF!</v>
      </c>
      <c r="TS235" s="79" t="e">
        <f>#REF!</f>
        <v>#REF!</v>
      </c>
      <c r="TT235" s="79" t="e">
        <f>#REF!</f>
        <v>#REF!</v>
      </c>
      <c r="TU235" s="79" t="e">
        <f>#REF!</f>
        <v>#REF!</v>
      </c>
      <c r="TV235" s="79" t="e">
        <f>#REF!</f>
        <v>#REF!</v>
      </c>
      <c r="TW235" s="79" t="e">
        <f>#REF!</f>
        <v>#REF!</v>
      </c>
      <c r="TX235" s="79" t="e">
        <f>#REF!</f>
        <v>#REF!</v>
      </c>
      <c r="TY235" s="79" t="e">
        <f>#REF!</f>
        <v>#REF!</v>
      </c>
      <c r="TZ235" s="79" t="e">
        <f>#REF!</f>
        <v>#REF!</v>
      </c>
      <c r="UA235" s="79" t="e">
        <f>#REF!</f>
        <v>#REF!</v>
      </c>
      <c r="UB235" s="79" t="e">
        <f>#REF!</f>
        <v>#REF!</v>
      </c>
      <c r="UC235" s="79" t="e">
        <f>#REF!</f>
        <v>#REF!</v>
      </c>
      <c r="UD235" s="79" t="e">
        <f>#REF!</f>
        <v>#REF!</v>
      </c>
      <c r="UE235" s="79" t="e">
        <f>#REF!</f>
        <v>#REF!</v>
      </c>
      <c r="UF235" s="79" t="e">
        <f>#REF!</f>
        <v>#REF!</v>
      </c>
      <c r="UG235" s="79" t="e">
        <f>#REF!</f>
        <v>#REF!</v>
      </c>
      <c r="UH235" s="79" t="e">
        <f>#REF!</f>
        <v>#REF!</v>
      </c>
      <c r="UI235" s="79" t="e">
        <f>#REF!</f>
        <v>#REF!</v>
      </c>
      <c r="UJ235" s="79" t="e">
        <f>#REF!</f>
        <v>#REF!</v>
      </c>
      <c r="UK235" s="79" t="e">
        <f>#REF!</f>
        <v>#REF!</v>
      </c>
      <c r="UL235" s="79" t="e">
        <f>#REF!</f>
        <v>#REF!</v>
      </c>
      <c r="UM235" s="79" t="e">
        <f>#REF!</f>
        <v>#REF!</v>
      </c>
      <c r="UN235" s="79" t="e">
        <f>#REF!</f>
        <v>#REF!</v>
      </c>
      <c r="UO235" s="79" t="e">
        <f>#REF!</f>
        <v>#REF!</v>
      </c>
      <c r="UP235" s="79" t="e">
        <f>#REF!</f>
        <v>#REF!</v>
      </c>
      <c r="UQ235" s="79" t="e">
        <f>#REF!</f>
        <v>#REF!</v>
      </c>
      <c r="UR235" s="79" t="e">
        <f>#REF!</f>
        <v>#REF!</v>
      </c>
      <c r="US235" s="79" t="e">
        <f>#REF!</f>
        <v>#REF!</v>
      </c>
      <c r="UT235" s="79" t="e">
        <f>#REF!</f>
        <v>#REF!</v>
      </c>
      <c r="UU235" s="79" t="e">
        <f>#REF!</f>
        <v>#REF!</v>
      </c>
      <c r="UV235" s="79" t="e">
        <f>#REF!</f>
        <v>#REF!</v>
      </c>
      <c r="UW235" s="79" t="e">
        <f>#REF!</f>
        <v>#REF!</v>
      </c>
      <c r="UX235" s="79" t="e">
        <f>#REF!</f>
        <v>#REF!</v>
      </c>
      <c r="UY235" s="79" t="e">
        <f>#REF!</f>
        <v>#REF!</v>
      </c>
      <c r="UZ235" s="79" t="e">
        <f>#REF!</f>
        <v>#REF!</v>
      </c>
      <c r="VA235" s="79" t="e">
        <f>#REF!</f>
        <v>#REF!</v>
      </c>
      <c r="VB235" s="79" t="e">
        <f>#REF!</f>
        <v>#REF!</v>
      </c>
      <c r="VC235" s="79" t="e">
        <f>#REF!</f>
        <v>#REF!</v>
      </c>
      <c r="VD235" s="79" t="e">
        <f>#REF!</f>
        <v>#REF!</v>
      </c>
      <c r="VE235" s="79" t="e">
        <f>#REF!</f>
        <v>#REF!</v>
      </c>
      <c r="VF235" s="79" t="e">
        <f>#REF!</f>
        <v>#REF!</v>
      </c>
      <c r="VG235" s="79" t="e">
        <f>#REF!</f>
        <v>#REF!</v>
      </c>
      <c r="VH235" s="79" t="e">
        <f>#REF!</f>
        <v>#REF!</v>
      </c>
      <c r="VI235" s="79" t="e">
        <f>#REF!</f>
        <v>#REF!</v>
      </c>
      <c r="VJ235" s="79" t="e">
        <f>#REF!</f>
        <v>#REF!</v>
      </c>
      <c r="VK235" s="79" t="e">
        <f>#REF!</f>
        <v>#REF!</v>
      </c>
      <c r="VL235" s="79" t="e">
        <f>#REF!</f>
        <v>#REF!</v>
      </c>
      <c r="VM235" s="79" t="e">
        <f>#REF!</f>
        <v>#REF!</v>
      </c>
      <c r="VN235" s="79" t="e">
        <f>#REF!</f>
        <v>#REF!</v>
      </c>
      <c r="VO235" s="79" t="e">
        <f>#REF!</f>
        <v>#REF!</v>
      </c>
      <c r="VP235" s="79" t="e">
        <f>#REF!</f>
        <v>#REF!</v>
      </c>
      <c r="VQ235" s="79" t="e">
        <f>#REF!</f>
        <v>#REF!</v>
      </c>
      <c r="VR235" s="79" t="e">
        <f>#REF!</f>
        <v>#REF!</v>
      </c>
      <c r="VS235" s="79" t="e">
        <f>#REF!</f>
        <v>#REF!</v>
      </c>
      <c r="VT235" s="79" t="e">
        <f>#REF!</f>
        <v>#REF!</v>
      </c>
      <c r="VU235" s="79" t="e">
        <f>#REF!</f>
        <v>#REF!</v>
      </c>
      <c r="VV235" s="79" t="e">
        <f>#REF!</f>
        <v>#REF!</v>
      </c>
      <c r="VW235" s="79" t="e">
        <f>#REF!</f>
        <v>#REF!</v>
      </c>
      <c r="VX235" s="79" t="e">
        <f>#REF!</f>
        <v>#REF!</v>
      </c>
      <c r="VY235" s="79" t="e">
        <f>#REF!</f>
        <v>#REF!</v>
      </c>
      <c r="VZ235" s="79" t="e">
        <f>#REF!</f>
        <v>#REF!</v>
      </c>
      <c r="WA235" s="79" t="e">
        <f>#REF!</f>
        <v>#REF!</v>
      </c>
      <c r="WB235" s="79" t="e">
        <f>#REF!</f>
        <v>#REF!</v>
      </c>
      <c r="WC235" s="79" t="e">
        <f>#REF!</f>
        <v>#REF!</v>
      </c>
      <c r="WD235" s="79" t="e">
        <f>#REF!</f>
        <v>#REF!</v>
      </c>
      <c r="WE235" s="79" t="e">
        <f>#REF!</f>
        <v>#REF!</v>
      </c>
      <c r="WF235" s="79" t="e">
        <f>#REF!</f>
        <v>#REF!</v>
      </c>
      <c r="WG235" s="79" t="e">
        <f>#REF!</f>
        <v>#REF!</v>
      </c>
      <c r="WH235" s="79" t="e">
        <f>#REF!</f>
        <v>#REF!</v>
      </c>
      <c r="WI235" s="79" t="e">
        <f>#REF!</f>
        <v>#REF!</v>
      </c>
      <c r="WJ235" s="79" t="e">
        <f>#REF!</f>
        <v>#REF!</v>
      </c>
      <c r="WK235" s="79" t="e">
        <f>#REF!</f>
        <v>#REF!</v>
      </c>
      <c r="WL235" s="79" t="e">
        <f>#REF!</f>
        <v>#REF!</v>
      </c>
      <c r="WM235" s="79" t="e">
        <f>#REF!</f>
        <v>#REF!</v>
      </c>
      <c r="WN235" s="79" t="e">
        <f>#REF!</f>
        <v>#REF!</v>
      </c>
      <c r="WO235" s="79" t="e">
        <f>#REF!</f>
        <v>#REF!</v>
      </c>
      <c r="WP235" s="79" t="e">
        <f>#REF!</f>
        <v>#REF!</v>
      </c>
      <c r="WQ235" s="79" t="e">
        <f>#REF!</f>
        <v>#REF!</v>
      </c>
      <c r="WR235" s="79" t="e">
        <f>#REF!</f>
        <v>#REF!</v>
      </c>
      <c r="WS235" s="79" t="e">
        <f>#REF!</f>
        <v>#REF!</v>
      </c>
      <c r="WT235" s="79" t="e">
        <f>#REF!</f>
        <v>#REF!</v>
      </c>
      <c r="WU235" s="79" t="e">
        <f>#REF!</f>
        <v>#REF!</v>
      </c>
      <c r="WV235" s="79" t="e">
        <f>#REF!</f>
        <v>#REF!</v>
      </c>
      <c r="WW235" s="79" t="e">
        <f>#REF!</f>
        <v>#REF!</v>
      </c>
      <c r="WX235" s="79" t="e">
        <f>#REF!</f>
        <v>#REF!</v>
      </c>
      <c r="WY235" s="79" t="e">
        <f>#REF!</f>
        <v>#REF!</v>
      </c>
      <c r="WZ235" s="79" t="e">
        <f>#REF!</f>
        <v>#REF!</v>
      </c>
      <c r="XA235" s="79" t="e">
        <f>#REF!</f>
        <v>#REF!</v>
      </c>
      <c r="XB235" s="79" t="e">
        <f>#REF!</f>
        <v>#REF!</v>
      </c>
      <c r="XC235" s="79" t="e">
        <f>#REF!</f>
        <v>#REF!</v>
      </c>
      <c r="XD235" s="79" t="e">
        <f>#REF!</f>
        <v>#REF!</v>
      </c>
      <c r="XE235" s="79" t="e">
        <f>#REF!</f>
        <v>#REF!</v>
      </c>
      <c r="XF235" s="79" t="e">
        <f>#REF!</f>
        <v>#REF!</v>
      </c>
      <c r="XG235" s="79" t="e">
        <f>#REF!</f>
        <v>#REF!</v>
      </c>
      <c r="XH235" s="79" t="e">
        <f>#REF!</f>
        <v>#REF!</v>
      </c>
      <c r="XI235" s="79" t="e">
        <f>#REF!</f>
        <v>#REF!</v>
      </c>
      <c r="XJ235" s="79" t="e">
        <f>#REF!</f>
        <v>#REF!</v>
      </c>
      <c r="XK235" s="79" t="e">
        <f>#REF!</f>
        <v>#REF!</v>
      </c>
      <c r="XL235" s="79" t="e">
        <f>#REF!</f>
        <v>#REF!</v>
      </c>
      <c r="XM235" s="79" t="e">
        <f>#REF!</f>
        <v>#REF!</v>
      </c>
      <c r="XN235" s="79" t="e">
        <f>#REF!</f>
        <v>#REF!</v>
      </c>
      <c r="XO235" s="79" t="e">
        <f>#REF!</f>
        <v>#REF!</v>
      </c>
      <c r="XP235" s="79" t="e">
        <f>#REF!</f>
        <v>#REF!</v>
      </c>
      <c r="XQ235" s="79" t="e">
        <f>#REF!</f>
        <v>#REF!</v>
      </c>
      <c r="XR235" s="79" t="e">
        <f>#REF!</f>
        <v>#REF!</v>
      </c>
      <c r="XS235" s="79" t="e">
        <f>#REF!</f>
        <v>#REF!</v>
      </c>
      <c r="XT235" s="79" t="e">
        <f>#REF!</f>
        <v>#REF!</v>
      </c>
      <c r="XU235" s="79" t="e">
        <f>#REF!</f>
        <v>#REF!</v>
      </c>
      <c r="XV235" s="79" t="e">
        <f>#REF!</f>
        <v>#REF!</v>
      </c>
      <c r="XW235" s="79" t="e">
        <f>#REF!</f>
        <v>#REF!</v>
      </c>
      <c r="XX235" s="79" t="e">
        <f>#REF!</f>
        <v>#REF!</v>
      </c>
      <c r="XY235" s="79" t="e">
        <f>#REF!</f>
        <v>#REF!</v>
      </c>
      <c r="XZ235" s="79" t="e">
        <f>#REF!</f>
        <v>#REF!</v>
      </c>
      <c r="YA235" s="79" t="e">
        <f>#REF!</f>
        <v>#REF!</v>
      </c>
      <c r="YB235" s="79" t="e">
        <f>#REF!</f>
        <v>#REF!</v>
      </c>
      <c r="YC235" s="79" t="e">
        <f>#REF!</f>
        <v>#REF!</v>
      </c>
      <c r="YD235" s="79" t="e">
        <f>#REF!</f>
        <v>#REF!</v>
      </c>
      <c r="YE235" s="79" t="e">
        <f>#REF!</f>
        <v>#REF!</v>
      </c>
      <c r="YF235" s="79" t="e">
        <f>#REF!</f>
        <v>#REF!</v>
      </c>
      <c r="YG235" s="79" t="e">
        <f>#REF!</f>
        <v>#REF!</v>
      </c>
      <c r="YH235" s="79" t="e">
        <f>#REF!</f>
        <v>#REF!</v>
      </c>
      <c r="YI235" s="79" t="e">
        <f>#REF!</f>
        <v>#REF!</v>
      </c>
      <c r="YJ235" s="79" t="e">
        <f>#REF!</f>
        <v>#REF!</v>
      </c>
      <c r="YK235" s="79" t="e">
        <f>#REF!</f>
        <v>#REF!</v>
      </c>
      <c r="YL235" s="79" t="e">
        <f>#REF!</f>
        <v>#REF!</v>
      </c>
      <c r="YM235" s="79" t="e">
        <f>#REF!</f>
        <v>#REF!</v>
      </c>
      <c r="YN235" s="79" t="e">
        <f>#REF!</f>
        <v>#REF!</v>
      </c>
      <c r="YO235" s="79" t="e">
        <f>#REF!</f>
        <v>#REF!</v>
      </c>
      <c r="YP235" s="79" t="e">
        <f>#REF!</f>
        <v>#REF!</v>
      </c>
      <c r="YQ235" s="79" t="e">
        <f>#REF!</f>
        <v>#REF!</v>
      </c>
      <c r="YR235" s="79" t="e">
        <f>#REF!</f>
        <v>#REF!</v>
      </c>
      <c r="YS235" s="79" t="e">
        <f>#REF!</f>
        <v>#REF!</v>
      </c>
      <c r="YT235" s="79" t="e">
        <f>#REF!</f>
        <v>#REF!</v>
      </c>
      <c r="YU235" s="79" t="e">
        <f>#REF!</f>
        <v>#REF!</v>
      </c>
      <c r="YV235" s="79" t="e">
        <f>#REF!</f>
        <v>#REF!</v>
      </c>
      <c r="YW235" s="79" t="e">
        <f>#REF!</f>
        <v>#REF!</v>
      </c>
      <c r="YX235" s="79" t="e">
        <f>#REF!</f>
        <v>#REF!</v>
      </c>
      <c r="YY235" s="79" t="e">
        <f>#REF!</f>
        <v>#REF!</v>
      </c>
      <c r="YZ235" s="79" t="e">
        <f>#REF!</f>
        <v>#REF!</v>
      </c>
      <c r="ZA235" s="79" t="e">
        <f>#REF!</f>
        <v>#REF!</v>
      </c>
      <c r="ZB235" s="79" t="e">
        <f>#REF!</f>
        <v>#REF!</v>
      </c>
      <c r="ZC235" s="79" t="e">
        <f>#REF!</f>
        <v>#REF!</v>
      </c>
      <c r="ZD235" s="79" t="e">
        <f>#REF!</f>
        <v>#REF!</v>
      </c>
      <c r="ZE235" s="79" t="e">
        <f>#REF!</f>
        <v>#REF!</v>
      </c>
      <c r="ZF235" s="79" t="e">
        <f>#REF!</f>
        <v>#REF!</v>
      </c>
      <c r="ZG235" s="79" t="e">
        <f>#REF!</f>
        <v>#REF!</v>
      </c>
      <c r="ZH235" s="79" t="e">
        <f>#REF!</f>
        <v>#REF!</v>
      </c>
      <c r="ZI235" s="79" t="e">
        <f>#REF!</f>
        <v>#REF!</v>
      </c>
      <c r="ZJ235" s="79" t="e">
        <f>#REF!</f>
        <v>#REF!</v>
      </c>
      <c r="ZK235" s="79" t="e">
        <f>#REF!</f>
        <v>#REF!</v>
      </c>
      <c r="ZL235" s="79" t="e">
        <f>#REF!</f>
        <v>#REF!</v>
      </c>
      <c r="ZM235" s="79" t="e">
        <f>#REF!</f>
        <v>#REF!</v>
      </c>
      <c r="ZN235" s="79" t="e">
        <f>#REF!</f>
        <v>#REF!</v>
      </c>
      <c r="ZO235" s="79" t="e">
        <f>#REF!</f>
        <v>#REF!</v>
      </c>
      <c r="ZP235" s="79" t="e">
        <f>#REF!</f>
        <v>#REF!</v>
      </c>
      <c r="ZQ235" s="79" t="e">
        <f>#REF!</f>
        <v>#REF!</v>
      </c>
      <c r="ZR235" s="79" t="e">
        <f>#REF!</f>
        <v>#REF!</v>
      </c>
      <c r="ZS235" s="79" t="e">
        <f>#REF!</f>
        <v>#REF!</v>
      </c>
      <c r="ZT235" s="79" t="e">
        <f>#REF!</f>
        <v>#REF!</v>
      </c>
      <c r="ZU235" s="79" t="e">
        <f>#REF!</f>
        <v>#REF!</v>
      </c>
      <c r="ZV235" s="79" t="e">
        <f>#REF!</f>
        <v>#REF!</v>
      </c>
      <c r="ZW235" s="79" t="e">
        <f>#REF!</f>
        <v>#REF!</v>
      </c>
      <c r="ZX235" s="79" t="e">
        <f>#REF!</f>
        <v>#REF!</v>
      </c>
      <c r="ZY235" s="79" t="e">
        <f>#REF!</f>
        <v>#REF!</v>
      </c>
      <c r="ZZ235" s="79" t="e">
        <f>#REF!</f>
        <v>#REF!</v>
      </c>
      <c r="AAA235" s="79" t="e">
        <f>#REF!</f>
        <v>#REF!</v>
      </c>
      <c r="AAB235" s="79" t="e">
        <f>#REF!</f>
        <v>#REF!</v>
      </c>
      <c r="AAC235" s="79" t="e">
        <f>#REF!</f>
        <v>#REF!</v>
      </c>
      <c r="AAD235" s="79" t="e">
        <f>#REF!</f>
        <v>#REF!</v>
      </c>
      <c r="AAE235" s="79" t="e">
        <f>#REF!</f>
        <v>#REF!</v>
      </c>
      <c r="AAF235" s="79" t="e">
        <f>#REF!</f>
        <v>#REF!</v>
      </c>
      <c r="AAG235" s="79" t="e">
        <f>#REF!</f>
        <v>#REF!</v>
      </c>
      <c r="AAH235" s="79" t="e">
        <f>#REF!</f>
        <v>#REF!</v>
      </c>
      <c r="AAI235" s="79" t="e">
        <f>#REF!</f>
        <v>#REF!</v>
      </c>
      <c r="AAJ235" s="79" t="e">
        <f>#REF!</f>
        <v>#REF!</v>
      </c>
      <c r="AAK235" s="79" t="e">
        <f>#REF!</f>
        <v>#REF!</v>
      </c>
      <c r="AAL235" s="79" t="e">
        <f>#REF!</f>
        <v>#REF!</v>
      </c>
      <c r="AAM235" s="79" t="e">
        <f>#REF!</f>
        <v>#REF!</v>
      </c>
      <c r="AAN235" s="79" t="e">
        <f>#REF!</f>
        <v>#REF!</v>
      </c>
      <c r="AAO235" s="79" t="e">
        <f>#REF!</f>
        <v>#REF!</v>
      </c>
      <c r="AAP235" s="79" t="e">
        <f>#REF!</f>
        <v>#REF!</v>
      </c>
      <c r="AAQ235" s="79" t="e">
        <f>#REF!</f>
        <v>#REF!</v>
      </c>
      <c r="AAR235" s="79" t="e">
        <f>#REF!</f>
        <v>#REF!</v>
      </c>
      <c r="AAS235" s="79" t="e">
        <f>#REF!</f>
        <v>#REF!</v>
      </c>
      <c r="AAT235" s="79" t="e">
        <f>#REF!</f>
        <v>#REF!</v>
      </c>
      <c r="AAU235" s="79" t="e">
        <f>#REF!</f>
        <v>#REF!</v>
      </c>
      <c r="AAV235" s="79" t="e">
        <f>#REF!</f>
        <v>#REF!</v>
      </c>
      <c r="AAW235" s="79" t="e">
        <f>#REF!</f>
        <v>#REF!</v>
      </c>
      <c r="AAX235" s="79" t="e">
        <f>#REF!</f>
        <v>#REF!</v>
      </c>
      <c r="AAY235" s="79" t="e">
        <f>#REF!</f>
        <v>#REF!</v>
      </c>
      <c r="AAZ235" s="79" t="e">
        <f>#REF!</f>
        <v>#REF!</v>
      </c>
      <c r="ABA235" s="79" t="e">
        <f>#REF!</f>
        <v>#REF!</v>
      </c>
      <c r="ABB235" s="79" t="e">
        <f>#REF!</f>
        <v>#REF!</v>
      </c>
      <c r="ABC235" s="79" t="e">
        <f>#REF!</f>
        <v>#REF!</v>
      </c>
      <c r="ABD235" s="79" t="e">
        <f>#REF!</f>
        <v>#REF!</v>
      </c>
      <c r="ABE235" s="79" t="e">
        <f>#REF!</f>
        <v>#REF!</v>
      </c>
      <c r="ABF235" s="79" t="e">
        <f>#REF!</f>
        <v>#REF!</v>
      </c>
      <c r="ABG235" s="79" t="e">
        <f>#REF!</f>
        <v>#REF!</v>
      </c>
      <c r="ABH235" s="79" t="e">
        <f>#REF!</f>
        <v>#REF!</v>
      </c>
      <c r="ABI235" s="79" t="e">
        <f>#REF!</f>
        <v>#REF!</v>
      </c>
      <c r="ABJ235" s="79" t="e">
        <f>#REF!</f>
        <v>#REF!</v>
      </c>
      <c r="ABK235" s="79" t="e">
        <f>#REF!</f>
        <v>#REF!</v>
      </c>
      <c r="ABL235" s="79" t="e">
        <f>#REF!</f>
        <v>#REF!</v>
      </c>
      <c r="ABM235" s="79" t="e">
        <f>#REF!</f>
        <v>#REF!</v>
      </c>
      <c r="ABN235" s="79" t="e">
        <f>#REF!</f>
        <v>#REF!</v>
      </c>
      <c r="ABO235" s="79" t="e">
        <f>#REF!</f>
        <v>#REF!</v>
      </c>
      <c r="ABP235" s="79" t="e">
        <f>#REF!</f>
        <v>#REF!</v>
      </c>
      <c r="ABQ235" s="79" t="e">
        <f>#REF!</f>
        <v>#REF!</v>
      </c>
      <c r="ABR235" s="79" t="e">
        <f>#REF!</f>
        <v>#REF!</v>
      </c>
      <c r="ABS235" s="79" t="e">
        <f>#REF!</f>
        <v>#REF!</v>
      </c>
      <c r="ABT235" s="79" t="e">
        <f>#REF!</f>
        <v>#REF!</v>
      </c>
      <c r="ABU235" s="79" t="e">
        <f>#REF!</f>
        <v>#REF!</v>
      </c>
      <c r="ABV235" s="79" t="e">
        <f>#REF!</f>
        <v>#REF!</v>
      </c>
      <c r="ABW235" s="79" t="e">
        <f>#REF!</f>
        <v>#REF!</v>
      </c>
      <c r="ABX235" s="79" t="e">
        <f>#REF!</f>
        <v>#REF!</v>
      </c>
      <c r="ABY235" s="79" t="e">
        <f>#REF!</f>
        <v>#REF!</v>
      </c>
      <c r="ABZ235" s="79" t="e">
        <f>#REF!</f>
        <v>#REF!</v>
      </c>
      <c r="ACA235" s="79" t="e">
        <f>#REF!</f>
        <v>#REF!</v>
      </c>
      <c r="ACB235" s="79" t="e">
        <f>#REF!</f>
        <v>#REF!</v>
      </c>
      <c r="ACC235" s="79" t="e">
        <f>#REF!</f>
        <v>#REF!</v>
      </c>
      <c r="ACD235" s="79" t="e">
        <f>#REF!</f>
        <v>#REF!</v>
      </c>
      <c r="ACE235" s="79" t="e">
        <f>#REF!</f>
        <v>#REF!</v>
      </c>
      <c r="ACF235" s="79" t="e">
        <f>#REF!</f>
        <v>#REF!</v>
      </c>
      <c r="ACG235" s="79" t="e">
        <f>#REF!</f>
        <v>#REF!</v>
      </c>
      <c r="ACH235" s="79" t="e">
        <f>#REF!</f>
        <v>#REF!</v>
      </c>
      <c r="ACI235" s="79" t="e">
        <f>#REF!</f>
        <v>#REF!</v>
      </c>
      <c r="ACJ235" s="79" t="e">
        <f>#REF!</f>
        <v>#REF!</v>
      </c>
      <c r="ACK235" s="79" t="e">
        <f>#REF!</f>
        <v>#REF!</v>
      </c>
      <c r="ACL235" s="79" t="e">
        <f>#REF!</f>
        <v>#REF!</v>
      </c>
      <c r="ACM235" s="79" t="e">
        <f>#REF!</f>
        <v>#REF!</v>
      </c>
      <c r="ACN235" s="79" t="e">
        <f>#REF!</f>
        <v>#REF!</v>
      </c>
      <c r="ACO235" s="79" t="e">
        <f>#REF!</f>
        <v>#REF!</v>
      </c>
      <c r="ACP235" s="79" t="e">
        <f>#REF!</f>
        <v>#REF!</v>
      </c>
      <c r="ACQ235" s="79" t="e">
        <f>#REF!</f>
        <v>#REF!</v>
      </c>
      <c r="ACR235" s="79" t="e">
        <f>#REF!</f>
        <v>#REF!</v>
      </c>
      <c r="ACS235" s="79" t="e">
        <f>#REF!</f>
        <v>#REF!</v>
      </c>
      <c r="ACT235" s="79" t="e">
        <f>#REF!</f>
        <v>#REF!</v>
      </c>
      <c r="ACU235" s="79" t="e">
        <f>#REF!</f>
        <v>#REF!</v>
      </c>
      <c r="ACV235" s="79" t="e">
        <f>#REF!</f>
        <v>#REF!</v>
      </c>
      <c r="ACW235" s="79" t="e">
        <f>#REF!</f>
        <v>#REF!</v>
      </c>
      <c r="ACX235" s="79" t="e">
        <f>#REF!</f>
        <v>#REF!</v>
      </c>
      <c r="ACY235" s="79"/>
      <c r="ACZ235" s="79"/>
      <c r="ADA235" s="79"/>
      <c r="ADB235" s="79"/>
      <c r="ADC235" s="79"/>
      <c r="ADD235" s="79"/>
      <c r="ADE235" s="79"/>
      <c r="ADF235" s="79"/>
      <c r="ADG235" s="79"/>
      <c r="ADH235" s="79"/>
      <c r="ADI235" s="79"/>
      <c r="ADJ235" s="79"/>
      <c r="ADK235" s="79"/>
      <c r="ADL235" s="79"/>
      <c r="ADM235" s="79"/>
      <c r="ADN235" s="79"/>
      <c r="AQP235" s="165"/>
    </row>
    <row r="236" spans="4:794 1134:1134" ht="14.25" x14ac:dyDescent="0.45">
      <c r="D236" t="s">
        <v>418</v>
      </c>
      <c r="E236" s="79" t="e">
        <f>SUM(#REF!)*#REF!/1000</f>
        <v>#REF!</v>
      </c>
      <c r="F236" s="79" t="e">
        <f>SUM(#REF!)*#REF!/1000</f>
        <v>#REF!</v>
      </c>
      <c r="G236" s="79" t="e">
        <f>SUM(#REF!)*#REF!/1000</f>
        <v>#REF!</v>
      </c>
      <c r="H236" s="79" t="e">
        <f>SUM(#REF!)*#REF!/1000</f>
        <v>#REF!</v>
      </c>
      <c r="I236" s="79" t="e">
        <f>SUM(#REF!)*#REF!/1000</f>
        <v>#REF!</v>
      </c>
      <c r="J236" s="79" t="e">
        <f>SUM(#REF!)*#REF!/1000</f>
        <v>#REF!</v>
      </c>
      <c r="K236" s="79" t="e">
        <f>SUM(#REF!)*#REF!/1000</f>
        <v>#REF!</v>
      </c>
      <c r="L236" t="e">
        <f>SUM(#REF!)*#REF!/1000</f>
        <v>#REF!</v>
      </c>
      <c r="M236" t="e">
        <f>SUM(#REF!)*#REF!/1000</f>
        <v>#REF!</v>
      </c>
      <c r="N236" s="79" t="e">
        <f>SUM(#REF!)*#REF!/1000</f>
        <v>#REF!</v>
      </c>
      <c r="O236" s="79" t="e">
        <f>SUM(#REF!)*#REF!/1000</f>
        <v>#REF!</v>
      </c>
      <c r="P236" s="79" t="e">
        <f>SUM(#REF!)*#REF!/1000</f>
        <v>#REF!</v>
      </c>
      <c r="Q236" s="79" t="e">
        <f>SUM(#REF!)*#REF!/1000</f>
        <v>#REF!</v>
      </c>
      <c r="R236" s="79" t="e">
        <f>SUM(#REF!)*#REF!/1000</f>
        <v>#REF!</v>
      </c>
      <c r="S236" s="79" t="e">
        <f>SUM(#REF!)*#REF!/1000</f>
        <v>#REF!</v>
      </c>
      <c r="T236" s="79" t="e">
        <f>SUM(#REF!)*#REF!/1000</f>
        <v>#REF!</v>
      </c>
      <c r="U236" s="79" t="e">
        <f>SUM(#REF!)*#REF!/1000</f>
        <v>#REF!</v>
      </c>
      <c r="V236" s="79" t="e">
        <f>SUM(#REF!)*#REF!/1000</f>
        <v>#REF!</v>
      </c>
      <c r="W236" s="79" t="e">
        <f>SUM(#REF!)*#REF!/1000</f>
        <v>#REF!</v>
      </c>
      <c r="X236" s="79" t="e">
        <f>SUM(#REF!)*#REF!/1000</f>
        <v>#REF!</v>
      </c>
      <c r="Y236" s="79" t="e">
        <f>SUM(#REF!)*#REF!/1000</f>
        <v>#REF!</v>
      </c>
      <c r="Z236" s="79" t="e">
        <f>SUM(#REF!)*#REF!/1000</f>
        <v>#REF!</v>
      </c>
      <c r="AA236" s="79" t="e">
        <f>SUM(#REF!)*#REF!/1000</f>
        <v>#REF!</v>
      </c>
      <c r="AB236" s="79" t="e">
        <f>SUM(#REF!)*#REF!/1000</f>
        <v>#REF!</v>
      </c>
      <c r="AC236" s="79" t="e">
        <f>SUM(#REF!)*#REF!/1000</f>
        <v>#REF!</v>
      </c>
      <c r="AD236" s="79" t="e">
        <f>SUM(#REF!)*#REF!/1000</f>
        <v>#REF!</v>
      </c>
      <c r="AE236" s="79" t="e">
        <f>SUM(#REF!)*#REF!/1000</f>
        <v>#REF!</v>
      </c>
      <c r="AF236" s="79" t="e">
        <f>SUM(#REF!)*#REF!/1000</f>
        <v>#REF!</v>
      </c>
      <c r="AG236" s="79" t="e">
        <f>SUM(#REF!)*#REF!/1000</f>
        <v>#REF!</v>
      </c>
      <c r="AH236" s="79" t="e">
        <f>SUM(#REF!)*#REF!/1000</f>
        <v>#REF!</v>
      </c>
      <c r="AI236" s="79" t="e">
        <f>SUM(#REF!)*#REF!/1000</f>
        <v>#REF!</v>
      </c>
      <c r="AJ236" s="79" t="e">
        <f>SUM(#REF!)*#REF!/1000</f>
        <v>#REF!</v>
      </c>
      <c r="AK236" s="79" t="e">
        <f>SUM(#REF!)*#REF!/1000</f>
        <v>#REF!</v>
      </c>
      <c r="AL236" s="79" t="e">
        <f>SUM(#REF!)*#REF!/1000</f>
        <v>#REF!</v>
      </c>
      <c r="AM236" s="79" t="e">
        <f>SUM(#REF!)*#REF!/1000</f>
        <v>#REF!</v>
      </c>
      <c r="AN236" s="79" t="e">
        <f>SUM(#REF!)*#REF!/1000</f>
        <v>#REF!</v>
      </c>
      <c r="AO236" s="79" t="e">
        <f>SUM(#REF!)*#REF!/1000</f>
        <v>#REF!</v>
      </c>
      <c r="AP236" s="79" t="e">
        <f>SUM(#REF!)*#REF!/1000</f>
        <v>#REF!</v>
      </c>
      <c r="AQ236" s="79" t="e">
        <f>SUM(#REF!)*#REF!/1000</f>
        <v>#REF!</v>
      </c>
      <c r="AR236" s="79" t="e">
        <f>SUM(#REF!)*#REF!/1000</f>
        <v>#REF!</v>
      </c>
      <c r="AS236" s="79" t="e">
        <f>SUM(#REF!)*#REF!/1000</f>
        <v>#REF!</v>
      </c>
      <c r="AT236" s="79" t="e">
        <f>SUM(#REF!)*#REF!/1000</f>
        <v>#REF!</v>
      </c>
      <c r="AU236" s="79" t="e">
        <f>SUM(#REF!)*#REF!/1000</f>
        <v>#REF!</v>
      </c>
      <c r="AV236" s="79" t="e">
        <f>SUM(#REF!)*#REF!/1000</f>
        <v>#REF!</v>
      </c>
      <c r="AW236" s="79" t="e">
        <f>SUM(#REF!)*#REF!/1000</f>
        <v>#REF!</v>
      </c>
      <c r="AX236" s="79" t="e">
        <f>SUM(#REF!)*#REF!/1000</f>
        <v>#REF!</v>
      </c>
      <c r="AY236" s="79" t="e">
        <f>SUM(#REF!)*#REF!/1000</f>
        <v>#REF!</v>
      </c>
      <c r="AZ236" s="79" t="e">
        <f>SUM(#REF!)*#REF!/1000</f>
        <v>#REF!</v>
      </c>
      <c r="BA236" s="79" t="e">
        <f>SUM(#REF!)*#REF!/1000</f>
        <v>#REF!</v>
      </c>
      <c r="BB236" s="79" t="e">
        <f>SUM(#REF!)*#REF!/1000</f>
        <v>#REF!</v>
      </c>
      <c r="BC236" s="79" t="e">
        <f>SUM(#REF!)*#REF!/1000</f>
        <v>#REF!</v>
      </c>
      <c r="BD236" s="79" t="e">
        <f>SUM(#REF!)*#REF!/1000</f>
        <v>#REF!</v>
      </c>
      <c r="BE236" s="79" t="e">
        <f>SUM(#REF!)*#REF!/1000</f>
        <v>#REF!</v>
      </c>
      <c r="BF236" s="79" t="e">
        <f>SUM(#REF!)*#REF!/1000</f>
        <v>#REF!</v>
      </c>
      <c r="BG236" s="79" t="e">
        <f>SUM(#REF!)*#REF!/1000</f>
        <v>#REF!</v>
      </c>
      <c r="BH236" s="79" t="e">
        <f>SUM(#REF!)*#REF!/1000</f>
        <v>#REF!</v>
      </c>
      <c r="BI236" s="79" t="e">
        <f>SUM(#REF!)*#REF!/1000</f>
        <v>#REF!</v>
      </c>
      <c r="BJ236" s="79" t="e">
        <f>SUM(#REF!)*#REF!/1000</f>
        <v>#REF!</v>
      </c>
      <c r="BK236" s="79" t="e">
        <f>SUM(#REF!)*#REF!/1000</f>
        <v>#REF!</v>
      </c>
      <c r="BL236" s="79" t="e">
        <f>SUM(#REF!)*#REF!/1000</f>
        <v>#REF!</v>
      </c>
      <c r="BM236" s="79" t="e">
        <f>SUM(#REF!)*#REF!/1000</f>
        <v>#REF!</v>
      </c>
      <c r="BN236" s="79" t="e">
        <f>SUM(#REF!)*#REF!/1000</f>
        <v>#REF!</v>
      </c>
      <c r="BO236" s="79" t="e">
        <f>SUM(#REF!)*#REF!/1000</f>
        <v>#REF!</v>
      </c>
      <c r="BP236" s="79" t="e">
        <f>SUM(#REF!)*#REF!/1000</f>
        <v>#REF!</v>
      </c>
      <c r="BQ236" s="79" t="e">
        <f>SUM(#REF!)*#REF!/1000</f>
        <v>#REF!</v>
      </c>
      <c r="BR236" s="79" t="e">
        <f>SUM(#REF!)*#REF!/1000</f>
        <v>#REF!</v>
      </c>
      <c r="BS236" s="79" t="e">
        <f>SUM(#REF!)*#REF!/1000</f>
        <v>#REF!</v>
      </c>
      <c r="BT236" s="79" t="e">
        <f>SUM(#REF!)*#REF!/1000</f>
        <v>#REF!</v>
      </c>
      <c r="BU236" s="79" t="e">
        <f>SUM(#REF!)*#REF!/1000</f>
        <v>#REF!</v>
      </c>
      <c r="BV236" s="79" t="e">
        <f>SUM(#REF!)*#REF!/1000</f>
        <v>#REF!</v>
      </c>
      <c r="BW236" s="79" t="e">
        <f>SUM(#REF!)*#REF!/1000</f>
        <v>#REF!</v>
      </c>
      <c r="BX236" s="79" t="e">
        <f>SUM(#REF!)*#REF!/1000</f>
        <v>#REF!</v>
      </c>
      <c r="BY236" s="79" t="e">
        <f>SUM(#REF!)*#REF!/1000</f>
        <v>#REF!</v>
      </c>
      <c r="BZ236" s="79" t="e">
        <f>SUM(#REF!)*#REF!/1000</f>
        <v>#REF!</v>
      </c>
      <c r="CA236" s="79" t="e">
        <f>SUM(#REF!)*#REF!/1000</f>
        <v>#REF!</v>
      </c>
      <c r="CB236" s="79" t="e">
        <f>SUM(#REF!)*#REF!/1000</f>
        <v>#REF!</v>
      </c>
      <c r="CC236" s="79" t="e">
        <f>SUM(#REF!)*#REF!/1000</f>
        <v>#REF!</v>
      </c>
      <c r="CD236" s="79" t="e">
        <f>SUM(#REF!)*#REF!/1000</f>
        <v>#REF!</v>
      </c>
      <c r="CE236" s="79" t="e">
        <f>SUM(#REF!)*#REF!/1000</f>
        <v>#REF!</v>
      </c>
      <c r="CF236" s="79" t="e">
        <f>SUM(#REF!)*#REF!/1000</f>
        <v>#REF!</v>
      </c>
      <c r="CG236" s="79" t="e">
        <f>SUM(#REF!)*#REF!/1000</f>
        <v>#REF!</v>
      </c>
      <c r="CH236" s="79" t="e">
        <f>SUM(#REF!)*#REF!/1000</f>
        <v>#REF!</v>
      </c>
      <c r="CI236" s="79" t="e">
        <f>SUM(#REF!)*#REF!/1000</f>
        <v>#REF!</v>
      </c>
      <c r="CJ236" s="79" t="e">
        <f>SUM(#REF!)*#REF!/1000</f>
        <v>#REF!</v>
      </c>
      <c r="CK236" s="79" t="e">
        <f>SUM(#REF!)*#REF!/1000</f>
        <v>#REF!</v>
      </c>
      <c r="CL236" s="79" t="e">
        <f>SUM(#REF!)*#REF!/1000</f>
        <v>#REF!</v>
      </c>
      <c r="CM236" s="79" t="e">
        <f>SUM(#REF!)*#REF!/1000</f>
        <v>#REF!</v>
      </c>
      <c r="CN236" s="79" t="e">
        <f>SUM(#REF!)*#REF!/1000</f>
        <v>#REF!</v>
      </c>
      <c r="CO236" s="79" t="e">
        <f>SUM(#REF!)*#REF!/1000</f>
        <v>#REF!</v>
      </c>
      <c r="CP236" s="79" t="e">
        <f>SUM(#REF!)*#REF!/1000</f>
        <v>#REF!</v>
      </c>
      <c r="CQ236" s="79" t="e">
        <f>SUM(#REF!)*#REF!/1000</f>
        <v>#REF!</v>
      </c>
      <c r="CR236" s="79" t="e">
        <f>SUM(#REF!)*#REF!/1000</f>
        <v>#REF!</v>
      </c>
      <c r="CS236" s="79" t="e">
        <f>SUM(#REF!)*#REF!/1000</f>
        <v>#REF!</v>
      </c>
      <c r="CT236" s="79" t="e">
        <f>SUM(#REF!)*#REF!/1000</f>
        <v>#REF!</v>
      </c>
      <c r="CU236" s="79" t="e">
        <f>SUM(#REF!)*#REF!/1000</f>
        <v>#REF!</v>
      </c>
      <c r="CV236" s="79" t="e">
        <f>SUM(#REF!)*#REF!/1000</f>
        <v>#REF!</v>
      </c>
      <c r="CW236" s="79" t="e">
        <f>SUM(#REF!)*#REF!/1000</f>
        <v>#REF!</v>
      </c>
      <c r="CX236" s="79" t="e">
        <f>SUM(#REF!)*#REF!/1000</f>
        <v>#REF!</v>
      </c>
      <c r="CY236" s="79" t="e">
        <f>SUM(#REF!)*#REF!/1000</f>
        <v>#REF!</v>
      </c>
      <c r="CZ236" s="79" t="e">
        <f>SUM(#REF!)*#REF!/1000</f>
        <v>#REF!</v>
      </c>
      <c r="DA236" s="79" t="e">
        <f>SUM(#REF!)*#REF!/1000</f>
        <v>#REF!</v>
      </c>
      <c r="DB236" s="79" t="e">
        <f>SUM(#REF!)*#REF!/1000</f>
        <v>#REF!</v>
      </c>
      <c r="DC236" s="79" t="e">
        <f>SUM(#REF!)*#REF!/1000</f>
        <v>#REF!</v>
      </c>
      <c r="DD236" s="79" t="e">
        <f>SUM(#REF!)*#REF!/1000</f>
        <v>#REF!</v>
      </c>
      <c r="DE236" s="79" t="e">
        <f>SUM(#REF!)*#REF!/1000</f>
        <v>#REF!</v>
      </c>
      <c r="DF236" s="79" t="e">
        <f>SUM(#REF!)*#REF!/1000</f>
        <v>#REF!</v>
      </c>
      <c r="DG236" s="79" t="e">
        <f>SUM(#REF!)*#REF!/1000</f>
        <v>#REF!</v>
      </c>
      <c r="DH236" s="79" t="e">
        <f>SUM(#REF!)*#REF!/1000</f>
        <v>#REF!</v>
      </c>
      <c r="DI236" s="79" t="e">
        <f>SUM(#REF!)*#REF!/1000</f>
        <v>#REF!</v>
      </c>
      <c r="DJ236" s="79" t="e">
        <f>SUM(#REF!)*#REF!/1000</f>
        <v>#REF!</v>
      </c>
      <c r="DK236" s="79" t="e">
        <f>SUM(#REF!)*#REF!/1000</f>
        <v>#REF!</v>
      </c>
      <c r="DL236" s="79" t="e">
        <f>SUM(#REF!)*#REF!/1000</f>
        <v>#REF!</v>
      </c>
      <c r="DM236" s="79" t="e">
        <f>SUM(#REF!)*#REF!/1000</f>
        <v>#REF!</v>
      </c>
      <c r="DN236" s="79" t="e">
        <f>SUM(#REF!)*#REF!/1000</f>
        <v>#REF!</v>
      </c>
      <c r="DO236" s="79" t="e">
        <f>SUM(#REF!)*#REF!/1000</f>
        <v>#REF!</v>
      </c>
      <c r="DP236" s="79" t="e">
        <f>SUM(#REF!)*#REF!/1000</f>
        <v>#REF!</v>
      </c>
      <c r="DQ236" s="79" t="e">
        <f>SUM(#REF!)*#REF!/1000</f>
        <v>#REF!</v>
      </c>
      <c r="DR236" s="79" t="e">
        <f>SUM(#REF!)*#REF!/1000</f>
        <v>#REF!</v>
      </c>
      <c r="DS236" s="79" t="e">
        <f>SUM(#REF!)*#REF!/1000</f>
        <v>#REF!</v>
      </c>
      <c r="DT236" s="79" t="e">
        <f>SUM(#REF!)*#REF!/1000</f>
        <v>#REF!</v>
      </c>
      <c r="DU236" s="79" t="e">
        <f>SUM(#REF!)*#REF!/1000</f>
        <v>#REF!</v>
      </c>
      <c r="DV236" s="79" t="e">
        <f>SUM(#REF!)*#REF!/1000</f>
        <v>#REF!</v>
      </c>
      <c r="DW236" s="79" t="e">
        <f>SUM(#REF!)*#REF!/1000</f>
        <v>#REF!</v>
      </c>
      <c r="DX236" s="79" t="e">
        <f>SUM(#REF!)*#REF!/1000</f>
        <v>#REF!</v>
      </c>
      <c r="DY236" s="79" t="e">
        <f>SUM(#REF!)*#REF!/1000</f>
        <v>#REF!</v>
      </c>
      <c r="DZ236" s="79" t="e">
        <f>SUM(#REF!)*#REF!/1000</f>
        <v>#REF!</v>
      </c>
      <c r="EA236" s="79" t="e">
        <f>SUM(#REF!)*#REF!/1000</f>
        <v>#REF!</v>
      </c>
      <c r="EB236" s="79" t="e">
        <f>SUM(#REF!)*#REF!/1000</f>
        <v>#REF!</v>
      </c>
      <c r="EC236" s="79" t="e">
        <f>SUM(#REF!)*#REF!/1000</f>
        <v>#REF!</v>
      </c>
      <c r="ED236" s="79" t="e">
        <f>SUM(#REF!)*#REF!/1000</f>
        <v>#REF!</v>
      </c>
      <c r="EE236" s="79" t="e">
        <f>SUM(#REF!)*#REF!/1000</f>
        <v>#REF!</v>
      </c>
      <c r="EF236" s="79" t="e">
        <f>SUM(#REF!)*#REF!/1000</f>
        <v>#REF!</v>
      </c>
      <c r="EG236" s="79" t="e">
        <f>SUM(#REF!)*#REF!/1000</f>
        <v>#REF!</v>
      </c>
      <c r="EH236" s="79" t="e">
        <f>SUM(#REF!)*#REF!/1000</f>
        <v>#REF!</v>
      </c>
      <c r="EI236" s="79" t="e">
        <f>SUM(#REF!)*#REF!/1000</f>
        <v>#REF!</v>
      </c>
      <c r="EJ236" s="79" t="e">
        <f>SUM(#REF!)*#REF!/1000</f>
        <v>#REF!</v>
      </c>
      <c r="EK236" s="79" t="e">
        <f>SUM(#REF!)*#REF!/1000</f>
        <v>#REF!</v>
      </c>
      <c r="EL236" s="79" t="e">
        <f>SUM(#REF!)*#REF!/1000</f>
        <v>#REF!</v>
      </c>
      <c r="EM236" s="79" t="e">
        <f>SUM(#REF!)*#REF!/1000</f>
        <v>#REF!</v>
      </c>
      <c r="EN236" s="79" t="e">
        <f>SUM(#REF!)*#REF!/1000</f>
        <v>#REF!</v>
      </c>
      <c r="EO236" s="79" t="e">
        <f>SUM(#REF!)*#REF!/1000</f>
        <v>#REF!</v>
      </c>
      <c r="EP236" s="79" t="e">
        <f>SUM(#REF!)*#REF!/1000</f>
        <v>#REF!</v>
      </c>
      <c r="EQ236" s="79" t="e">
        <f>SUM(#REF!)*#REF!/1000</f>
        <v>#REF!</v>
      </c>
      <c r="ER236" s="79" t="e">
        <f>SUM(#REF!)*#REF!/1000</f>
        <v>#REF!</v>
      </c>
      <c r="ES236" s="79" t="e">
        <f>SUM(#REF!)*#REF!/1000</f>
        <v>#REF!</v>
      </c>
      <c r="ET236" s="79" t="e">
        <f>SUM(#REF!)*#REF!/1000</f>
        <v>#REF!</v>
      </c>
      <c r="EU236" s="79" t="e">
        <f>SUM(#REF!)*#REF!/1000</f>
        <v>#REF!</v>
      </c>
      <c r="EV236" s="79" t="e">
        <f>SUM(#REF!)*#REF!/1000</f>
        <v>#REF!</v>
      </c>
      <c r="EW236" s="79" t="e">
        <f>SUM(#REF!)*#REF!/1000</f>
        <v>#REF!</v>
      </c>
      <c r="EX236" s="79" t="e">
        <f>SUM(#REF!)*#REF!/1000</f>
        <v>#REF!</v>
      </c>
      <c r="EY236" s="79" t="e">
        <f>SUM(#REF!)*#REF!/1000</f>
        <v>#REF!</v>
      </c>
      <c r="EZ236" s="79" t="e">
        <f>SUM(#REF!)*#REF!/1000</f>
        <v>#REF!</v>
      </c>
      <c r="FA236" s="79" t="e">
        <f>SUM(#REF!)*#REF!/1000</f>
        <v>#REF!</v>
      </c>
      <c r="FB236" s="79" t="e">
        <f>SUM(#REF!)*#REF!/1000</f>
        <v>#REF!</v>
      </c>
      <c r="FC236" s="79" t="e">
        <f>SUM(#REF!)*#REF!/1000</f>
        <v>#REF!</v>
      </c>
      <c r="FD236" s="79" t="e">
        <f>SUM(#REF!)*#REF!/1000</f>
        <v>#REF!</v>
      </c>
      <c r="FE236" s="79" t="e">
        <f>SUM(#REF!)*#REF!/1000</f>
        <v>#REF!</v>
      </c>
      <c r="FF236" s="79" t="e">
        <f>SUM(#REF!)*#REF!/1000</f>
        <v>#REF!</v>
      </c>
      <c r="FG236" s="79" t="e">
        <f>SUM(#REF!)*#REF!/1000</f>
        <v>#REF!</v>
      </c>
      <c r="FH236" s="79" t="e">
        <f>SUM(#REF!)*#REF!/1000</f>
        <v>#REF!</v>
      </c>
      <c r="FI236" s="79" t="e">
        <f>SUM(#REF!)*#REF!/1000</f>
        <v>#REF!</v>
      </c>
      <c r="FJ236" s="79" t="e">
        <f>SUM(#REF!)*#REF!/1000</f>
        <v>#REF!</v>
      </c>
      <c r="FK236" s="79" t="e">
        <f>SUM(#REF!)*#REF!/1000</f>
        <v>#REF!</v>
      </c>
      <c r="FL236" s="79" t="e">
        <f>SUM(#REF!)*#REF!/1000</f>
        <v>#REF!</v>
      </c>
      <c r="FM236" s="79" t="e">
        <f>SUM(#REF!)*#REF!/1000</f>
        <v>#REF!</v>
      </c>
      <c r="FN236" s="79" t="e">
        <f>SUM(#REF!)*#REF!/1000</f>
        <v>#REF!</v>
      </c>
      <c r="FO236" s="79" t="e">
        <f>SUM(#REF!)*#REF!/1000</f>
        <v>#REF!</v>
      </c>
      <c r="FP236" s="79" t="e">
        <f>SUM(#REF!)*#REF!/1000</f>
        <v>#REF!</v>
      </c>
      <c r="FQ236" s="79" t="e">
        <f>SUM(#REF!)*#REF!/1000</f>
        <v>#REF!</v>
      </c>
      <c r="FR236" s="79" t="e">
        <f>SUM(#REF!)*#REF!/1000</f>
        <v>#REF!</v>
      </c>
      <c r="FS236" s="79" t="e">
        <f>SUM(#REF!)*#REF!/1000</f>
        <v>#REF!</v>
      </c>
      <c r="FT236" s="79" t="e">
        <f>SUM(#REF!)*#REF!/1000</f>
        <v>#REF!</v>
      </c>
      <c r="FU236" s="79" t="e">
        <f>SUM(#REF!)*#REF!/1000</f>
        <v>#REF!</v>
      </c>
      <c r="FV236" s="79" t="e">
        <f>SUM(#REF!)*#REF!/1000</f>
        <v>#REF!</v>
      </c>
      <c r="FW236" s="79" t="e">
        <f>SUM(#REF!)*#REF!/1000</f>
        <v>#REF!</v>
      </c>
      <c r="FX236" s="79" t="e">
        <f>SUM(#REF!)*#REF!/1000</f>
        <v>#REF!</v>
      </c>
      <c r="FY236" s="79" t="e">
        <f>SUM(#REF!)*#REF!/1000</f>
        <v>#REF!</v>
      </c>
      <c r="FZ236" s="79" t="e">
        <f>SUM(#REF!)*#REF!/1000</f>
        <v>#REF!</v>
      </c>
      <c r="GA236" s="79" t="e">
        <f>SUM(#REF!)*#REF!/1000</f>
        <v>#REF!</v>
      </c>
      <c r="GB236" s="79" t="e">
        <f>SUM(#REF!)*#REF!/1000</f>
        <v>#REF!</v>
      </c>
      <c r="GC236" s="79" t="e">
        <f>SUM(#REF!)*#REF!/1000</f>
        <v>#REF!</v>
      </c>
      <c r="GD236" s="79" t="e">
        <f>SUM(#REF!)*#REF!/1000</f>
        <v>#REF!</v>
      </c>
      <c r="GE236" s="79" t="e">
        <f>SUM(#REF!)*#REF!/1000</f>
        <v>#REF!</v>
      </c>
      <c r="GF236" s="79" t="e">
        <f>SUM(#REF!)*#REF!/1000</f>
        <v>#REF!</v>
      </c>
      <c r="GG236" s="79" t="e">
        <f>SUM(#REF!)*#REF!/1000</f>
        <v>#REF!</v>
      </c>
      <c r="GH236" s="79" t="e">
        <f>SUM(#REF!)*#REF!/1000</f>
        <v>#REF!</v>
      </c>
      <c r="GI236" s="79" t="e">
        <f>SUM(#REF!)*#REF!/1000</f>
        <v>#REF!</v>
      </c>
      <c r="GJ236" s="79" t="e">
        <f>SUM(#REF!)*#REF!/1000</f>
        <v>#REF!</v>
      </c>
      <c r="GK236" s="79" t="e">
        <f>SUM(#REF!)*#REF!/1000</f>
        <v>#REF!</v>
      </c>
      <c r="GL236" s="79" t="e">
        <f>SUM(#REF!)*#REF!/1000</f>
        <v>#REF!</v>
      </c>
      <c r="GM236" s="79" t="e">
        <f>SUM(#REF!)*#REF!/1000</f>
        <v>#REF!</v>
      </c>
      <c r="GN236" s="79" t="e">
        <f>SUM(#REF!)*#REF!/1000</f>
        <v>#REF!</v>
      </c>
      <c r="GO236" s="79" t="e">
        <f>SUM(#REF!)*#REF!/1000</f>
        <v>#REF!</v>
      </c>
      <c r="GP236" s="79" t="e">
        <f>SUM(#REF!)*#REF!/1000</f>
        <v>#REF!</v>
      </c>
      <c r="GQ236" s="79" t="e">
        <f>SUM(#REF!)*#REF!/1000</f>
        <v>#REF!</v>
      </c>
      <c r="GR236" s="79" t="e">
        <f>SUM(#REF!)*#REF!/1000</f>
        <v>#REF!</v>
      </c>
      <c r="GS236" s="79" t="e">
        <f>SUM(#REF!)*#REF!/1000</f>
        <v>#REF!</v>
      </c>
      <c r="GT236" s="79" t="e">
        <f>SUM(#REF!)*#REF!/1000</f>
        <v>#REF!</v>
      </c>
      <c r="GU236" s="79" t="e">
        <f>SUM(#REF!)*#REF!/1000</f>
        <v>#REF!</v>
      </c>
      <c r="GV236" s="79" t="e">
        <f>SUM(#REF!)*#REF!/1000</f>
        <v>#REF!</v>
      </c>
      <c r="GW236" s="79" t="e">
        <f>SUM(#REF!)*#REF!/1000</f>
        <v>#REF!</v>
      </c>
      <c r="GX236" s="79" t="e">
        <f>SUM(#REF!)*#REF!/1000</f>
        <v>#REF!</v>
      </c>
      <c r="GY236" s="79" t="e">
        <f>SUM(#REF!)*#REF!/1000</f>
        <v>#REF!</v>
      </c>
      <c r="GZ236" s="79" t="e">
        <f>SUM(#REF!)*#REF!/1000</f>
        <v>#REF!</v>
      </c>
      <c r="HA236" s="79" t="e">
        <f>SUM(#REF!)*#REF!/1000</f>
        <v>#REF!</v>
      </c>
      <c r="HB236" s="79" t="e">
        <f>SUM(#REF!)*#REF!/1000</f>
        <v>#REF!</v>
      </c>
      <c r="HC236" s="79" t="e">
        <f>SUM(#REF!)*#REF!/1000</f>
        <v>#REF!</v>
      </c>
      <c r="HD236" s="79" t="e">
        <f>SUM(#REF!)*#REF!/1000</f>
        <v>#REF!</v>
      </c>
      <c r="HE236" s="79" t="e">
        <f>SUM(#REF!)*#REF!/1000</f>
        <v>#REF!</v>
      </c>
      <c r="HF236" s="79" t="e">
        <f>SUM(#REF!)*#REF!/1000</f>
        <v>#REF!</v>
      </c>
      <c r="HG236" s="79" t="e">
        <f>SUM(#REF!)*#REF!/1000</f>
        <v>#REF!</v>
      </c>
      <c r="HH236" s="79" t="e">
        <f>SUM(#REF!)*#REF!/1000</f>
        <v>#REF!</v>
      </c>
      <c r="HI236" s="79" t="e">
        <f>SUM(#REF!)*#REF!/1000</f>
        <v>#REF!</v>
      </c>
      <c r="HJ236" s="79" t="e">
        <f>SUM(#REF!)*#REF!/1000</f>
        <v>#REF!</v>
      </c>
      <c r="HK236" s="79" t="e">
        <f>SUM(#REF!)*#REF!/1000</f>
        <v>#REF!</v>
      </c>
      <c r="HL236" s="79" t="e">
        <f>SUM(#REF!)*#REF!/1000</f>
        <v>#REF!</v>
      </c>
      <c r="HM236" s="79" t="e">
        <f>SUM(#REF!)*#REF!/1000</f>
        <v>#REF!</v>
      </c>
      <c r="HN236" s="79" t="e">
        <f>SUM(#REF!)*#REF!/1000</f>
        <v>#REF!</v>
      </c>
      <c r="HO236" s="79" t="e">
        <f>SUM(#REF!)*#REF!/1000</f>
        <v>#REF!</v>
      </c>
      <c r="HP236" s="79" t="e">
        <f>SUM(#REF!)*#REF!/1000</f>
        <v>#REF!</v>
      </c>
      <c r="HQ236" s="79" t="e">
        <f>SUM(#REF!)*#REF!/1000</f>
        <v>#REF!</v>
      </c>
      <c r="HR236" s="79" t="e">
        <f>SUM(#REF!)*#REF!/1000</f>
        <v>#REF!</v>
      </c>
      <c r="HS236" s="79" t="e">
        <f>SUM(#REF!)*#REF!/1000</f>
        <v>#REF!</v>
      </c>
      <c r="HT236" s="79" t="e">
        <f>SUM(#REF!)*#REF!/1000</f>
        <v>#REF!</v>
      </c>
      <c r="HU236" s="79" t="e">
        <f>SUM(#REF!)*#REF!/1000</f>
        <v>#REF!</v>
      </c>
      <c r="HV236" s="79" t="e">
        <f>SUM(#REF!)*#REF!/1000</f>
        <v>#REF!</v>
      </c>
      <c r="HW236" s="79" t="e">
        <f>SUM(#REF!)*#REF!/1000</f>
        <v>#REF!</v>
      </c>
      <c r="HX236" s="79" t="e">
        <f>SUM(#REF!)*#REF!/1000</f>
        <v>#REF!</v>
      </c>
      <c r="HY236" s="79" t="e">
        <f>SUM(#REF!)*#REF!/1000</f>
        <v>#REF!</v>
      </c>
      <c r="HZ236" s="79" t="e">
        <f>SUM(#REF!)*#REF!/1000</f>
        <v>#REF!</v>
      </c>
      <c r="IA236" s="79" t="e">
        <f>SUM(#REF!)*#REF!/1000</f>
        <v>#REF!</v>
      </c>
      <c r="IB236" s="79" t="e">
        <f>SUM(#REF!)*#REF!/1000</f>
        <v>#REF!</v>
      </c>
      <c r="IC236" s="79" t="e">
        <f>SUM(#REF!)*#REF!/1000</f>
        <v>#REF!</v>
      </c>
      <c r="ID236" s="79" t="e">
        <f>SUM(#REF!)*#REF!/1000</f>
        <v>#REF!</v>
      </c>
      <c r="IE236" s="79" t="e">
        <f>SUM(#REF!)*#REF!/1000</f>
        <v>#REF!</v>
      </c>
      <c r="IF236" s="79" t="e">
        <f>SUM(#REF!)*#REF!/1000</f>
        <v>#REF!</v>
      </c>
      <c r="IG236" s="79" t="e">
        <f>SUM(#REF!)*#REF!/1000</f>
        <v>#REF!</v>
      </c>
      <c r="IH236" s="79" t="e">
        <f>SUM(#REF!)*#REF!/1000</f>
        <v>#REF!</v>
      </c>
      <c r="II236" s="79" t="e">
        <f>SUM(#REF!)*#REF!/1000</f>
        <v>#REF!</v>
      </c>
      <c r="IJ236" s="79" t="e">
        <f>SUM(#REF!)*#REF!/1000</f>
        <v>#REF!</v>
      </c>
      <c r="IK236" s="79" t="e">
        <f>SUM(#REF!)*#REF!/1000</f>
        <v>#REF!</v>
      </c>
      <c r="IL236" s="79" t="e">
        <f>SUM(#REF!)*#REF!/1000</f>
        <v>#REF!</v>
      </c>
      <c r="IM236" s="79" t="e">
        <f>SUM(#REF!)*#REF!/1000</f>
        <v>#REF!</v>
      </c>
      <c r="IN236" s="79" t="e">
        <f>SUM(#REF!)*#REF!/1000</f>
        <v>#REF!</v>
      </c>
      <c r="IO236" s="79" t="e">
        <f>SUM(#REF!)*#REF!/1000</f>
        <v>#REF!</v>
      </c>
      <c r="IP236" s="79" t="e">
        <f>SUM(#REF!)*#REF!/1000</f>
        <v>#REF!</v>
      </c>
      <c r="IQ236" s="79" t="e">
        <f>SUM(#REF!)*#REF!/1000</f>
        <v>#REF!</v>
      </c>
      <c r="IR236" s="79" t="e">
        <f>SUM(#REF!)*#REF!/1000</f>
        <v>#REF!</v>
      </c>
      <c r="IS236" s="79" t="e">
        <f>SUM(#REF!)*#REF!/1000</f>
        <v>#REF!</v>
      </c>
      <c r="IT236" s="79" t="e">
        <f>SUM(#REF!)*#REF!/1000</f>
        <v>#REF!</v>
      </c>
      <c r="IU236" s="79" t="e">
        <f>SUM(#REF!)*#REF!/1000</f>
        <v>#REF!</v>
      </c>
      <c r="IV236" s="79" t="e">
        <f>SUM(#REF!)*#REF!/1000</f>
        <v>#REF!</v>
      </c>
      <c r="IW236" s="79" t="e">
        <f>SUM(#REF!)*#REF!/1000</f>
        <v>#REF!</v>
      </c>
      <c r="IX236" s="79" t="e">
        <f>SUM(#REF!)*#REF!/1000</f>
        <v>#REF!</v>
      </c>
      <c r="IY236" s="79" t="e">
        <f>SUM(#REF!)*#REF!/1000</f>
        <v>#REF!</v>
      </c>
      <c r="IZ236" s="79" t="e">
        <f>SUM(#REF!)*#REF!/1000</f>
        <v>#REF!</v>
      </c>
      <c r="JA236" s="79" t="e">
        <f>SUM(#REF!)*#REF!/1000</f>
        <v>#REF!</v>
      </c>
      <c r="JB236" s="79" t="e">
        <f>SUM(#REF!)*#REF!/1000</f>
        <v>#REF!</v>
      </c>
      <c r="JC236" s="79" t="e">
        <f>SUM(#REF!)*#REF!/1000</f>
        <v>#REF!</v>
      </c>
      <c r="JD236" s="79" t="e">
        <f>SUM(#REF!)*#REF!/1000</f>
        <v>#REF!</v>
      </c>
      <c r="JE236" s="79" t="e">
        <f>SUM(#REF!)*#REF!/1000</f>
        <v>#REF!</v>
      </c>
      <c r="JF236" s="79" t="e">
        <f>SUM(#REF!)*#REF!/1000</f>
        <v>#REF!</v>
      </c>
      <c r="JG236" s="79" t="e">
        <f>SUM(#REF!)*#REF!/1000</f>
        <v>#REF!</v>
      </c>
      <c r="JH236" s="79" t="e">
        <f>SUM(#REF!)*#REF!/1000</f>
        <v>#REF!</v>
      </c>
      <c r="JI236" s="79" t="e">
        <f>SUM(#REF!)*#REF!/1000</f>
        <v>#REF!</v>
      </c>
      <c r="JJ236" s="79" t="e">
        <f>SUM(#REF!)*#REF!/1000</f>
        <v>#REF!</v>
      </c>
      <c r="JK236" s="79" t="e">
        <f>SUM(#REF!)*#REF!/1000</f>
        <v>#REF!</v>
      </c>
      <c r="JL236" s="79" t="e">
        <f>SUM(#REF!)*#REF!/1000</f>
        <v>#REF!</v>
      </c>
      <c r="JM236" s="79" t="e">
        <f>SUM(#REF!)*#REF!/1000</f>
        <v>#REF!</v>
      </c>
      <c r="JN236" s="79" t="e">
        <f>SUM(#REF!)*#REF!/1000</f>
        <v>#REF!</v>
      </c>
      <c r="JO236" s="79" t="e">
        <f>SUM(#REF!)*#REF!/1000</f>
        <v>#REF!</v>
      </c>
      <c r="JP236" s="79" t="e">
        <f>SUM(#REF!)*#REF!/1000</f>
        <v>#REF!</v>
      </c>
      <c r="JQ236" s="79" t="e">
        <f>SUM(#REF!)*#REF!/1000</f>
        <v>#REF!</v>
      </c>
      <c r="JR236" s="79" t="e">
        <f>SUM(#REF!)*#REF!/1000</f>
        <v>#REF!</v>
      </c>
      <c r="JS236" s="79" t="e">
        <f>SUM(#REF!)*#REF!/1000</f>
        <v>#REF!</v>
      </c>
      <c r="JT236" s="79" t="e">
        <f>SUM(#REF!)*#REF!/1000</f>
        <v>#REF!</v>
      </c>
      <c r="JU236" s="79" t="e">
        <f>SUM(#REF!)*#REF!/1000</f>
        <v>#REF!</v>
      </c>
      <c r="JV236" s="79" t="e">
        <f>SUM(#REF!)*#REF!/1000</f>
        <v>#REF!</v>
      </c>
      <c r="JW236" s="79" t="e">
        <f>SUM(#REF!)*#REF!/1000</f>
        <v>#REF!</v>
      </c>
      <c r="JX236" s="79" t="e">
        <f>SUM(#REF!)*#REF!/1000</f>
        <v>#REF!</v>
      </c>
      <c r="JY236" s="79" t="e">
        <f>SUM(#REF!)*#REF!/1000</f>
        <v>#REF!</v>
      </c>
      <c r="JZ236" s="79" t="e">
        <f>SUM(#REF!)*#REF!/1000</f>
        <v>#REF!</v>
      </c>
      <c r="KA236" s="79" t="e">
        <f>SUM(#REF!)*#REF!/1000</f>
        <v>#REF!</v>
      </c>
      <c r="KB236" s="79" t="e">
        <f>SUM(#REF!)*#REF!/1000</f>
        <v>#REF!</v>
      </c>
      <c r="KC236" s="79" t="e">
        <f>SUM(#REF!)*#REF!/1000</f>
        <v>#REF!</v>
      </c>
      <c r="KD236" s="79" t="e">
        <f>SUM(#REF!)*#REF!/1000</f>
        <v>#REF!</v>
      </c>
      <c r="KE236" s="79" t="e">
        <f>SUM(#REF!)*#REF!/1000</f>
        <v>#REF!</v>
      </c>
      <c r="KF236" s="79" t="e">
        <f>SUM(#REF!)*#REF!/1000</f>
        <v>#REF!</v>
      </c>
      <c r="KG236" s="79" t="e">
        <f>SUM(#REF!)*#REF!/1000</f>
        <v>#REF!</v>
      </c>
      <c r="KH236" s="79" t="e">
        <f>SUM(#REF!)*#REF!/1000</f>
        <v>#REF!</v>
      </c>
      <c r="KI236" s="79" t="e">
        <f>SUM(#REF!)*#REF!/1000</f>
        <v>#REF!</v>
      </c>
      <c r="KJ236" s="79" t="e">
        <f>SUM(#REF!)*#REF!/1000</f>
        <v>#REF!</v>
      </c>
      <c r="KK236" s="79" t="e">
        <f>SUM(#REF!)*#REF!/1000</f>
        <v>#REF!</v>
      </c>
      <c r="KL236" s="79" t="e">
        <f>SUM(#REF!)*#REF!/1000</f>
        <v>#REF!</v>
      </c>
      <c r="KM236" s="79" t="e">
        <f>SUM(#REF!)*#REF!/1000</f>
        <v>#REF!</v>
      </c>
      <c r="KN236" s="79" t="e">
        <f>SUM(#REF!)*#REF!/1000</f>
        <v>#REF!</v>
      </c>
      <c r="KO236" s="79" t="e">
        <f>SUM(#REF!)*#REF!/1000</f>
        <v>#REF!</v>
      </c>
      <c r="KP236" s="79" t="e">
        <f>SUM(#REF!)*#REF!/1000</f>
        <v>#REF!</v>
      </c>
      <c r="KQ236" s="79" t="e">
        <f>SUM(#REF!)*#REF!/1000</f>
        <v>#REF!</v>
      </c>
      <c r="KR236" s="79" t="e">
        <f>SUM(#REF!)*#REF!/1000</f>
        <v>#REF!</v>
      </c>
      <c r="KS236" s="79" t="e">
        <f>SUM(#REF!)*#REF!/1000</f>
        <v>#REF!</v>
      </c>
      <c r="KT236" s="79" t="e">
        <f>SUM(#REF!)*#REF!/1000</f>
        <v>#REF!</v>
      </c>
      <c r="KU236" s="79" t="e">
        <f>SUM(#REF!)*#REF!/1000</f>
        <v>#REF!</v>
      </c>
      <c r="KV236" s="79" t="e">
        <f>SUM(#REF!)*#REF!/1000</f>
        <v>#REF!</v>
      </c>
      <c r="KW236" s="79" t="e">
        <f>SUM(#REF!)*#REF!/1000</f>
        <v>#REF!</v>
      </c>
      <c r="KX236" s="79" t="e">
        <f>SUM(#REF!)*#REF!/1000</f>
        <v>#REF!</v>
      </c>
      <c r="KY236" s="79" t="e">
        <f>SUM(#REF!)*#REF!/1000</f>
        <v>#REF!</v>
      </c>
      <c r="KZ236" s="79" t="e">
        <f>SUM(#REF!)*#REF!/1000</f>
        <v>#REF!</v>
      </c>
      <c r="LA236" s="79" t="e">
        <f>SUM(#REF!)*#REF!/1000</f>
        <v>#REF!</v>
      </c>
      <c r="LB236" s="79" t="e">
        <f>SUM(#REF!)*#REF!/1000</f>
        <v>#REF!</v>
      </c>
      <c r="LC236" s="79" t="e">
        <f>SUM(#REF!)*#REF!/1000</f>
        <v>#REF!</v>
      </c>
      <c r="LD236" s="79" t="e">
        <f>SUM(#REF!)*#REF!/1000</f>
        <v>#REF!</v>
      </c>
      <c r="LE236" s="79" t="e">
        <f>SUM(#REF!)*#REF!/1000</f>
        <v>#REF!</v>
      </c>
      <c r="LF236" s="79" t="e">
        <f>SUM(#REF!)*#REF!/1000</f>
        <v>#REF!</v>
      </c>
      <c r="LG236" s="79" t="e">
        <f>SUM(#REF!)*#REF!/1000</f>
        <v>#REF!</v>
      </c>
      <c r="LH236" s="79" t="e">
        <f>SUM(#REF!)*#REF!/1000</f>
        <v>#REF!</v>
      </c>
      <c r="LI236" s="79" t="e">
        <f>SUM(#REF!)*#REF!/1000</f>
        <v>#REF!</v>
      </c>
      <c r="LJ236" s="79" t="e">
        <f>SUM(#REF!)*#REF!/1000</f>
        <v>#REF!</v>
      </c>
      <c r="LK236" s="79" t="e">
        <f>SUM(#REF!)*#REF!/1000</f>
        <v>#REF!</v>
      </c>
      <c r="LL236" s="79" t="e">
        <f>SUM(#REF!)*#REF!/1000</f>
        <v>#REF!</v>
      </c>
      <c r="LM236" s="79" t="e">
        <f>SUM(#REF!)*#REF!/1000</f>
        <v>#REF!</v>
      </c>
      <c r="LN236" s="79" t="e">
        <f>SUM(#REF!)*#REF!/1000</f>
        <v>#REF!</v>
      </c>
      <c r="LO236" s="79" t="e">
        <f>SUM(#REF!)*#REF!/1000</f>
        <v>#REF!</v>
      </c>
      <c r="LP236" s="79" t="e">
        <f>SUM(#REF!)*#REF!/1000</f>
        <v>#REF!</v>
      </c>
      <c r="LQ236" s="79" t="e">
        <f>SUM(#REF!)*#REF!/1000</f>
        <v>#REF!</v>
      </c>
      <c r="LR236" s="79" t="e">
        <f>SUM(#REF!)*#REF!/1000</f>
        <v>#REF!</v>
      </c>
      <c r="LS236" s="79" t="e">
        <f>SUM(#REF!)*#REF!/1000</f>
        <v>#REF!</v>
      </c>
      <c r="LT236" s="79" t="e">
        <f>SUM(#REF!)*#REF!/1000</f>
        <v>#REF!</v>
      </c>
      <c r="LU236" s="79" t="e">
        <f>SUM(#REF!)*#REF!/1000</f>
        <v>#REF!</v>
      </c>
      <c r="LV236" s="79" t="e">
        <f>SUM(#REF!)*#REF!/1000</f>
        <v>#REF!</v>
      </c>
      <c r="LW236" s="79" t="e">
        <f>SUM(#REF!)*#REF!/1000</f>
        <v>#REF!</v>
      </c>
      <c r="LX236" s="79" t="e">
        <f>SUM(#REF!)*#REF!/1000</f>
        <v>#REF!</v>
      </c>
      <c r="LY236" s="79" t="e">
        <f>SUM(#REF!)*#REF!/1000</f>
        <v>#REF!</v>
      </c>
      <c r="LZ236" s="79" t="e">
        <f>SUM(#REF!)*#REF!/1000</f>
        <v>#REF!</v>
      </c>
      <c r="MA236" s="79" t="e">
        <f>SUM(#REF!)*#REF!/1000</f>
        <v>#REF!</v>
      </c>
      <c r="MB236" s="79" t="e">
        <f>SUM(#REF!)*#REF!/1000</f>
        <v>#REF!</v>
      </c>
      <c r="MC236" s="79" t="e">
        <f>SUM(#REF!)*#REF!/1000</f>
        <v>#REF!</v>
      </c>
      <c r="MD236" s="79" t="e">
        <f>SUM(#REF!)*#REF!/1000</f>
        <v>#REF!</v>
      </c>
      <c r="ME236" s="79" t="e">
        <f>SUM(#REF!)*#REF!/1000</f>
        <v>#REF!</v>
      </c>
      <c r="MF236" s="79" t="e">
        <f>SUM(#REF!)*#REF!/1000</f>
        <v>#REF!</v>
      </c>
      <c r="MG236" s="79" t="e">
        <f>SUM(#REF!)*#REF!/1000</f>
        <v>#REF!</v>
      </c>
      <c r="MH236" s="79" t="e">
        <f>SUM(#REF!)*#REF!/1000</f>
        <v>#REF!</v>
      </c>
      <c r="MI236" s="79" t="e">
        <f>SUM(#REF!)*#REF!/1000</f>
        <v>#REF!</v>
      </c>
      <c r="MJ236" s="79" t="e">
        <f>SUM(#REF!)*#REF!/1000</f>
        <v>#REF!</v>
      </c>
      <c r="MK236" s="79" t="e">
        <f>SUM(#REF!)*#REF!/1000</f>
        <v>#REF!</v>
      </c>
      <c r="ML236" s="79" t="e">
        <f>SUM(#REF!)*#REF!/1000</f>
        <v>#REF!</v>
      </c>
      <c r="MM236" s="79" t="e">
        <f>SUM(#REF!)*#REF!/1000</f>
        <v>#REF!</v>
      </c>
      <c r="MN236" s="79" t="e">
        <f>SUM(#REF!)*#REF!/1000</f>
        <v>#REF!</v>
      </c>
      <c r="MO236" s="79" t="e">
        <f>SUM(#REF!)*#REF!/1000</f>
        <v>#REF!</v>
      </c>
      <c r="MP236" s="79" t="e">
        <f>SUM(#REF!)*#REF!/1000</f>
        <v>#REF!</v>
      </c>
      <c r="MQ236" s="79" t="e">
        <f>SUM(#REF!)*#REF!/1000</f>
        <v>#REF!</v>
      </c>
      <c r="MR236" s="79" t="e">
        <f>SUM(#REF!)*#REF!/1000</f>
        <v>#REF!</v>
      </c>
      <c r="MS236" s="79" t="e">
        <f>SUM(#REF!)*#REF!/1000</f>
        <v>#REF!</v>
      </c>
      <c r="MT236" s="79" t="e">
        <f>SUM(#REF!)*#REF!/1000</f>
        <v>#REF!</v>
      </c>
      <c r="MU236" s="79" t="e">
        <f>SUM(#REF!)*#REF!/1000</f>
        <v>#REF!</v>
      </c>
      <c r="MV236" s="79" t="e">
        <f>SUM(#REF!)*#REF!/1000</f>
        <v>#REF!</v>
      </c>
      <c r="MW236" s="79" t="e">
        <f>SUM(#REF!)*#REF!/1000</f>
        <v>#REF!</v>
      </c>
      <c r="MX236" s="79" t="e">
        <f>SUM(#REF!)*#REF!/1000</f>
        <v>#REF!</v>
      </c>
      <c r="MY236" s="79" t="e">
        <f>SUM(#REF!)*#REF!/1000</f>
        <v>#REF!</v>
      </c>
      <c r="MZ236" s="79" t="e">
        <f>SUM(#REF!)*#REF!/1000</f>
        <v>#REF!</v>
      </c>
      <c r="NA236" s="79" t="e">
        <f>SUM(#REF!)*#REF!/1000</f>
        <v>#REF!</v>
      </c>
      <c r="NB236" s="79" t="e">
        <f>SUM(#REF!)*#REF!/1000</f>
        <v>#REF!</v>
      </c>
      <c r="NC236" s="79" t="e">
        <f>SUM(#REF!)*#REF!/1000</f>
        <v>#REF!</v>
      </c>
      <c r="ND236" s="79" t="e">
        <f>SUM(#REF!)*#REF!/1000</f>
        <v>#REF!</v>
      </c>
      <c r="NE236" s="79" t="e">
        <f>SUM(#REF!)*#REF!/1000</f>
        <v>#REF!</v>
      </c>
      <c r="NF236" s="79" t="e">
        <f>SUM(#REF!)*#REF!/1000</f>
        <v>#REF!</v>
      </c>
      <c r="NG236" s="79" t="e">
        <f>SUM(#REF!)*#REF!/1000</f>
        <v>#REF!</v>
      </c>
      <c r="NH236" s="79" t="e">
        <f>SUM(#REF!)*#REF!/1000</f>
        <v>#REF!</v>
      </c>
      <c r="NI236" s="79" t="e">
        <f>SUM(#REF!)*#REF!/1000</f>
        <v>#REF!</v>
      </c>
      <c r="NJ236" s="79" t="e">
        <f>SUM(#REF!)*#REF!/1000</f>
        <v>#REF!</v>
      </c>
      <c r="NK236" s="79" t="e">
        <f>SUM(#REF!)*#REF!/1000</f>
        <v>#REF!</v>
      </c>
      <c r="NL236" s="79" t="e">
        <f>SUM(#REF!)*#REF!/1000</f>
        <v>#REF!</v>
      </c>
      <c r="NM236" s="79" t="e">
        <f>SUM(#REF!)*#REF!/1000</f>
        <v>#REF!</v>
      </c>
      <c r="NN236" s="79" t="e">
        <f>SUM(#REF!)*#REF!/1000</f>
        <v>#REF!</v>
      </c>
      <c r="NO236" s="79" t="e">
        <f>SUM(#REF!)*#REF!/1000</f>
        <v>#REF!</v>
      </c>
      <c r="NP236" s="79" t="e">
        <f>SUM(#REF!)*#REF!/1000</f>
        <v>#REF!</v>
      </c>
      <c r="NQ236" s="79" t="e">
        <f>SUM(#REF!)*#REF!/1000</f>
        <v>#REF!</v>
      </c>
      <c r="NR236" s="79" t="e">
        <f>SUM(#REF!)*#REF!/1000</f>
        <v>#REF!</v>
      </c>
      <c r="NS236" s="79" t="e">
        <f>SUM(#REF!)*#REF!/1000</f>
        <v>#REF!</v>
      </c>
      <c r="NT236" s="79" t="e">
        <f>SUM(#REF!)*#REF!/1000</f>
        <v>#REF!</v>
      </c>
      <c r="NU236" s="79" t="e">
        <f>SUM(#REF!)*#REF!/1000</f>
        <v>#REF!</v>
      </c>
      <c r="NV236" s="79" t="e">
        <f>SUM(#REF!)*#REF!/1000</f>
        <v>#REF!</v>
      </c>
      <c r="NW236" s="79" t="e">
        <f>SUM(#REF!)*#REF!/1000</f>
        <v>#REF!</v>
      </c>
      <c r="NX236" s="79" t="e">
        <f>SUM(#REF!)*#REF!/1000</f>
        <v>#REF!</v>
      </c>
      <c r="NY236" s="79" t="e">
        <f>SUM(#REF!)*#REF!/1000</f>
        <v>#REF!</v>
      </c>
      <c r="NZ236" s="79" t="e">
        <f>SUM(#REF!)*#REF!/1000</f>
        <v>#REF!</v>
      </c>
      <c r="OA236" s="79" t="e">
        <f>SUM(#REF!)*#REF!/1000</f>
        <v>#REF!</v>
      </c>
      <c r="OB236" s="79" t="e">
        <f>SUM(#REF!)*#REF!/1000</f>
        <v>#REF!</v>
      </c>
      <c r="OC236" s="79" t="e">
        <f>SUM(#REF!)*#REF!/1000</f>
        <v>#REF!</v>
      </c>
      <c r="OD236" s="79" t="e">
        <f>SUM(#REF!)*#REF!/1000</f>
        <v>#REF!</v>
      </c>
      <c r="OE236" s="79" t="e">
        <f>SUM(#REF!)*#REF!/1000</f>
        <v>#REF!</v>
      </c>
      <c r="OF236" s="79" t="e">
        <f>SUM(#REF!)*#REF!/1000</f>
        <v>#REF!</v>
      </c>
      <c r="OG236" s="79" t="e">
        <f>SUM(#REF!)*#REF!/1000</f>
        <v>#REF!</v>
      </c>
      <c r="OH236" s="79" t="e">
        <f>SUM(#REF!)*#REF!/1000</f>
        <v>#REF!</v>
      </c>
      <c r="OI236" s="79" t="e">
        <f>SUM(#REF!)*#REF!/1000</f>
        <v>#REF!</v>
      </c>
      <c r="OJ236" s="79" t="e">
        <f>SUM(#REF!)*#REF!/1000</f>
        <v>#REF!</v>
      </c>
      <c r="OK236" s="79" t="e">
        <f>SUM(#REF!)*#REF!/1000</f>
        <v>#REF!</v>
      </c>
      <c r="OL236" s="79" t="e">
        <f>SUM(#REF!)*#REF!/1000</f>
        <v>#REF!</v>
      </c>
      <c r="OM236" s="79" t="e">
        <f>SUM(#REF!)*#REF!/1000</f>
        <v>#REF!</v>
      </c>
      <c r="ON236" s="79" t="e">
        <f>SUM(#REF!)*#REF!/1000</f>
        <v>#REF!</v>
      </c>
      <c r="OO236" s="79" t="e">
        <f>SUM(#REF!)*#REF!/1000</f>
        <v>#REF!</v>
      </c>
      <c r="OP236" s="79" t="e">
        <f>SUM(#REF!)*#REF!/1000</f>
        <v>#REF!</v>
      </c>
      <c r="OQ236" s="79" t="e">
        <f>SUM(#REF!)*#REF!/1000</f>
        <v>#REF!</v>
      </c>
      <c r="OR236" s="79" t="e">
        <f>SUM(#REF!)*#REF!/1000</f>
        <v>#REF!</v>
      </c>
      <c r="OS236" s="79" t="e">
        <f>SUM(#REF!)*#REF!/1000</f>
        <v>#REF!</v>
      </c>
      <c r="OT236" s="79" t="e">
        <f>SUM(#REF!)*#REF!/1000</f>
        <v>#REF!</v>
      </c>
      <c r="OU236" s="79" t="e">
        <f>SUM(#REF!)*#REF!/1000</f>
        <v>#REF!</v>
      </c>
      <c r="OV236" s="79" t="e">
        <f>SUM(#REF!)*#REF!/1000</f>
        <v>#REF!</v>
      </c>
      <c r="OW236" s="79" t="e">
        <f>SUM(#REF!)*#REF!/1000</f>
        <v>#REF!</v>
      </c>
      <c r="OX236" s="79" t="e">
        <f>SUM(#REF!)*#REF!/1000</f>
        <v>#REF!</v>
      </c>
      <c r="OY236" s="79" t="e">
        <f>SUM(#REF!)*#REF!/1000</f>
        <v>#REF!</v>
      </c>
      <c r="OZ236" s="79" t="e">
        <f>SUM(#REF!)*#REF!/1000</f>
        <v>#REF!</v>
      </c>
      <c r="PA236" s="79" t="e">
        <f>SUM(#REF!)*#REF!/1000</f>
        <v>#REF!</v>
      </c>
      <c r="PB236" s="79" t="e">
        <f>SUM(#REF!)*#REF!/1000</f>
        <v>#REF!</v>
      </c>
      <c r="PC236" s="79" t="e">
        <f>SUM(#REF!)*#REF!/1000</f>
        <v>#REF!</v>
      </c>
      <c r="PD236" s="79" t="e">
        <f>SUM(#REF!)*#REF!/1000</f>
        <v>#REF!</v>
      </c>
      <c r="PE236" s="79" t="e">
        <f>SUM(#REF!)*#REF!/1000</f>
        <v>#REF!</v>
      </c>
      <c r="PF236" s="79" t="e">
        <f>SUM(#REF!)*#REF!/1000</f>
        <v>#REF!</v>
      </c>
      <c r="PG236" s="79" t="e">
        <f>SUM(#REF!)*#REF!/1000</f>
        <v>#REF!</v>
      </c>
      <c r="PH236" s="79" t="e">
        <f>SUM(#REF!)*#REF!/1000</f>
        <v>#REF!</v>
      </c>
      <c r="PI236" s="79" t="e">
        <f>SUM(#REF!)*#REF!/1000</f>
        <v>#REF!</v>
      </c>
      <c r="PJ236" s="79" t="e">
        <f>SUM(#REF!)*#REF!/1000</f>
        <v>#REF!</v>
      </c>
      <c r="PK236" s="79" t="e">
        <f>SUM(#REF!)*#REF!/1000</f>
        <v>#REF!</v>
      </c>
      <c r="PL236" s="79" t="e">
        <f>SUM(#REF!)*#REF!/1000</f>
        <v>#REF!</v>
      </c>
      <c r="PM236" s="79" t="e">
        <f>SUM(#REF!)*#REF!/1000</f>
        <v>#REF!</v>
      </c>
      <c r="PN236" s="79" t="e">
        <f>SUM(#REF!)*#REF!/1000</f>
        <v>#REF!</v>
      </c>
      <c r="PO236" s="79" t="e">
        <f>SUM(#REF!)*#REF!/1000</f>
        <v>#REF!</v>
      </c>
      <c r="PP236" s="79" t="e">
        <f>SUM(#REF!)*#REF!/1000</f>
        <v>#REF!</v>
      </c>
      <c r="PQ236" s="79" t="e">
        <f>SUM(#REF!)*#REF!/1000</f>
        <v>#REF!</v>
      </c>
      <c r="PR236" s="79" t="e">
        <f>SUM(#REF!)*#REF!/1000</f>
        <v>#REF!</v>
      </c>
      <c r="PS236" s="79" t="e">
        <f>SUM(#REF!)*#REF!/1000</f>
        <v>#REF!</v>
      </c>
      <c r="PT236" s="79" t="e">
        <f>SUM(#REF!)*#REF!/1000</f>
        <v>#REF!</v>
      </c>
      <c r="PU236" s="79" t="e">
        <f>SUM(#REF!)*#REF!/1000</f>
        <v>#REF!</v>
      </c>
      <c r="PV236" s="79" t="e">
        <f>SUM(#REF!)*#REF!/1000</f>
        <v>#REF!</v>
      </c>
      <c r="PW236" s="79" t="e">
        <f>SUM(#REF!)*#REF!/1000</f>
        <v>#REF!</v>
      </c>
      <c r="PX236" s="79" t="e">
        <f>SUM(#REF!)*#REF!/1000</f>
        <v>#REF!</v>
      </c>
      <c r="PY236" s="79" t="e">
        <f>SUM(#REF!)*#REF!/1000</f>
        <v>#REF!</v>
      </c>
      <c r="PZ236" s="79" t="e">
        <f>SUM(#REF!)*#REF!/1000</f>
        <v>#REF!</v>
      </c>
      <c r="QA236" s="79" t="e">
        <f>SUM(#REF!)*#REF!/1000</f>
        <v>#REF!</v>
      </c>
      <c r="QB236" s="79" t="e">
        <f>SUM(#REF!)*#REF!/1000</f>
        <v>#REF!</v>
      </c>
      <c r="QC236" s="79" t="e">
        <f>SUM(#REF!)*#REF!/1000</f>
        <v>#REF!</v>
      </c>
      <c r="QD236" s="79" t="e">
        <f>SUM(#REF!)*#REF!/1000</f>
        <v>#REF!</v>
      </c>
      <c r="QE236" s="79" t="e">
        <f>SUM(#REF!)*#REF!/1000</f>
        <v>#REF!</v>
      </c>
      <c r="QF236" s="79" t="e">
        <f>SUM(#REF!)*#REF!/1000</f>
        <v>#REF!</v>
      </c>
      <c r="QG236" s="79" t="e">
        <f>SUM(#REF!)*#REF!/1000</f>
        <v>#REF!</v>
      </c>
      <c r="QH236" s="79" t="e">
        <f>SUM(#REF!)*#REF!/1000</f>
        <v>#REF!</v>
      </c>
      <c r="QI236" s="79" t="e">
        <f>SUM(#REF!)*#REF!/1000</f>
        <v>#REF!</v>
      </c>
      <c r="QJ236" s="79" t="e">
        <f>SUM(#REF!)*#REF!/1000</f>
        <v>#REF!</v>
      </c>
      <c r="QK236" s="79" t="e">
        <f>SUM(#REF!)*#REF!/1000</f>
        <v>#REF!</v>
      </c>
      <c r="QL236" s="79" t="e">
        <f>SUM(#REF!)*#REF!/1000</f>
        <v>#REF!</v>
      </c>
      <c r="QM236" s="79" t="e">
        <f>SUM(#REF!)*#REF!/1000</f>
        <v>#REF!</v>
      </c>
      <c r="QN236" s="79" t="e">
        <f>SUM(#REF!)*#REF!/1000</f>
        <v>#REF!</v>
      </c>
      <c r="QO236" s="79" t="e">
        <f>SUM(#REF!)*#REF!/1000</f>
        <v>#REF!</v>
      </c>
      <c r="QP236" s="79" t="e">
        <f>SUM(#REF!)*#REF!/1000</f>
        <v>#REF!</v>
      </c>
      <c r="QQ236" s="79" t="e">
        <f>SUM(#REF!)*#REF!/1000</f>
        <v>#REF!</v>
      </c>
      <c r="QR236" s="79" t="e">
        <f>SUM(#REF!)*#REF!/1000</f>
        <v>#REF!</v>
      </c>
      <c r="QS236" s="79" t="e">
        <f>SUM(#REF!)*#REF!/1000</f>
        <v>#REF!</v>
      </c>
      <c r="QT236" s="79" t="e">
        <f>SUM(#REF!)*#REF!/1000</f>
        <v>#REF!</v>
      </c>
      <c r="QU236" s="79" t="e">
        <f>SUM(#REF!)*#REF!/1000</f>
        <v>#REF!</v>
      </c>
      <c r="QV236" s="79" t="e">
        <f>SUM(#REF!)*#REF!/1000</f>
        <v>#REF!</v>
      </c>
      <c r="QW236" s="79" t="e">
        <f>SUM(#REF!)*#REF!/1000</f>
        <v>#REF!</v>
      </c>
      <c r="QX236" s="79" t="e">
        <f>SUM(#REF!)*#REF!/1000</f>
        <v>#REF!</v>
      </c>
      <c r="QY236" s="79" t="e">
        <f>SUM(#REF!)*#REF!/1000</f>
        <v>#REF!</v>
      </c>
      <c r="QZ236" s="79" t="e">
        <f>SUM(#REF!)*#REF!/1000</f>
        <v>#REF!</v>
      </c>
      <c r="RA236" s="79" t="e">
        <f>SUM(#REF!)*#REF!/1000</f>
        <v>#REF!</v>
      </c>
      <c r="RB236" s="79" t="e">
        <f>SUM(#REF!)*#REF!/1000</f>
        <v>#REF!</v>
      </c>
      <c r="RC236" s="79" t="e">
        <f>SUM(#REF!)*#REF!/1000</f>
        <v>#REF!</v>
      </c>
      <c r="RD236" s="79" t="e">
        <f>SUM(#REF!)*#REF!/1000</f>
        <v>#REF!</v>
      </c>
      <c r="RE236" s="79" t="e">
        <f>SUM(#REF!)*#REF!/1000</f>
        <v>#REF!</v>
      </c>
      <c r="RF236" s="79" t="e">
        <f>SUM(#REF!)*#REF!/1000</f>
        <v>#REF!</v>
      </c>
      <c r="RG236" s="79" t="e">
        <f>SUM(#REF!)*#REF!/1000</f>
        <v>#REF!</v>
      </c>
      <c r="RH236" s="79" t="e">
        <f>SUM(#REF!)*#REF!/1000</f>
        <v>#REF!</v>
      </c>
      <c r="RI236" s="79" t="e">
        <f>SUM(#REF!)*#REF!/1000</f>
        <v>#REF!</v>
      </c>
      <c r="RJ236" s="79" t="e">
        <f>SUM(#REF!)*#REF!/1000</f>
        <v>#REF!</v>
      </c>
      <c r="RK236" s="79" t="e">
        <f>SUM(#REF!)*#REF!/1000</f>
        <v>#REF!</v>
      </c>
      <c r="RL236" s="79" t="e">
        <f>SUM(#REF!)*#REF!/1000</f>
        <v>#REF!</v>
      </c>
      <c r="RM236" s="79" t="e">
        <f>SUM(#REF!)*#REF!/1000</f>
        <v>#REF!</v>
      </c>
      <c r="RN236" s="79" t="e">
        <f>SUM(#REF!)*#REF!/1000</f>
        <v>#REF!</v>
      </c>
      <c r="RO236" s="79" t="e">
        <f>SUM(#REF!)*#REF!/1000</f>
        <v>#REF!</v>
      </c>
      <c r="RP236" s="79" t="e">
        <f>SUM(#REF!)*#REF!/1000</f>
        <v>#REF!</v>
      </c>
      <c r="RQ236" s="79" t="e">
        <f>SUM(#REF!)*#REF!/1000</f>
        <v>#REF!</v>
      </c>
      <c r="RR236" s="79" t="e">
        <f>SUM(#REF!)*#REF!/1000</f>
        <v>#REF!</v>
      </c>
      <c r="RS236" s="79" t="e">
        <f>SUM(#REF!)*#REF!/1000</f>
        <v>#REF!</v>
      </c>
      <c r="RT236" s="79" t="e">
        <f>SUM(#REF!)*#REF!/1000</f>
        <v>#REF!</v>
      </c>
      <c r="RU236" s="79" t="e">
        <f>SUM(#REF!)*#REF!/1000</f>
        <v>#REF!</v>
      </c>
      <c r="RV236" s="79" t="e">
        <f>SUM(#REF!)*#REF!/1000</f>
        <v>#REF!</v>
      </c>
      <c r="RW236" s="79" t="e">
        <f>SUM(#REF!)*#REF!/1000</f>
        <v>#REF!</v>
      </c>
      <c r="RX236" s="79" t="e">
        <f>SUM(#REF!)*#REF!/1000</f>
        <v>#REF!</v>
      </c>
      <c r="RY236" s="79" t="e">
        <f>SUM(#REF!)*#REF!/1000</f>
        <v>#REF!</v>
      </c>
      <c r="RZ236" s="79" t="e">
        <f>SUM(#REF!)*#REF!/1000</f>
        <v>#REF!</v>
      </c>
      <c r="SA236" s="79" t="e">
        <f>SUM(#REF!)*#REF!/1000</f>
        <v>#REF!</v>
      </c>
      <c r="SB236" s="79" t="e">
        <f>SUM(#REF!)*#REF!/1000</f>
        <v>#REF!</v>
      </c>
      <c r="SC236" s="79" t="e">
        <f>SUM(#REF!)*#REF!/1000</f>
        <v>#REF!</v>
      </c>
      <c r="SD236" s="79" t="e">
        <f>SUM(#REF!)*#REF!/1000</f>
        <v>#REF!</v>
      </c>
      <c r="SE236" s="79" t="e">
        <f>SUM(#REF!)*#REF!/1000</f>
        <v>#REF!</v>
      </c>
      <c r="SF236" s="79" t="e">
        <f>SUM(#REF!)*#REF!/1000</f>
        <v>#REF!</v>
      </c>
      <c r="SG236" s="79" t="e">
        <f>SUM(#REF!)*#REF!/1000</f>
        <v>#REF!</v>
      </c>
      <c r="SH236" s="79" t="e">
        <f>SUM(#REF!)*#REF!/1000</f>
        <v>#REF!</v>
      </c>
      <c r="SI236" s="79" t="e">
        <f>SUM(#REF!)*#REF!/1000</f>
        <v>#REF!</v>
      </c>
      <c r="SJ236" s="79" t="e">
        <f>SUM(#REF!)*#REF!/1000</f>
        <v>#REF!</v>
      </c>
      <c r="SK236" s="79" t="e">
        <f>SUM(#REF!)*#REF!/1000</f>
        <v>#REF!</v>
      </c>
      <c r="SL236" s="79" t="e">
        <f>SUM(#REF!)*#REF!/1000</f>
        <v>#REF!</v>
      </c>
      <c r="SM236" s="79" t="e">
        <f>SUM(#REF!)*#REF!/1000</f>
        <v>#REF!</v>
      </c>
      <c r="SN236" s="79" t="e">
        <f>SUM(#REF!)*#REF!/1000</f>
        <v>#REF!</v>
      </c>
      <c r="SO236" s="79" t="e">
        <f>SUM(#REF!)*#REF!/1000</f>
        <v>#REF!</v>
      </c>
      <c r="SP236" s="79" t="e">
        <f>SUM(#REF!)*#REF!/1000</f>
        <v>#REF!</v>
      </c>
      <c r="SQ236" s="79" t="e">
        <f>SUM(#REF!)*#REF!/1000</f>
        <v>#REF!</v>
      </c>
      <c r="SR236" s="79" t="e">
        <f>SUM(#REF!)*#REF!/1000</f>
        <v>#REF!</v>
      </c>
      <c r="SS236" s="79" t="e">
        <f>SUM(#REF!)*#REF!/1000</f>
        <v>#REF!</v>
      </c>
      <c r="ST236" s="79" t="e">
        <f>SUM(#REF!)*#REF!/1000</f>
        <v>#REF!</v>
      </c>
      <c r="SU236" s="79" t="e">
        <f>SUM(#REF!)*#REF!/1000</f>
        <v>#REF!</v>
      </c>
      <c r="SV236" s="79" t="e">
        <f>SUM(#REF!)*#REF!/1000</f>
        <v>#REF!</v>
      </c>
      <c r="SW236" s="79" t="e">
        <f>SUM(#REF!)*#REF!/1000</f>
        <v>#REF!</v>
      </c>
      <c r="SX236" s="79" t="e">
        <f>SUM(#REF!)*#REF!/1000</f>
        <v>#REF!</v>
      </c>
      <c r="SY236" s="79" t="e">
        <f>SUM(#REF!)*#REF!/1000</f>
        <v>#REF!</v>
      </c>
      <c r="SZ236" s="79" t="e">
        <f>SUM(#REF!)*#REF!/1000</f>
        <v>#REF!</v>
      </c>
      <c r="TA236" s="79" t="e">
        <f>SUM(#REF!)*#REF!/1000</f>
        <v>#REF!</v>
      </c>
      <c r="TB236" s="79" t="e">
        <f>SUM(#REF!)*#REF!/1000</f>
        <v>#REF!</v>
      </c>
      <c r="TC236" s="79" t="e">
        <f>SUM(#REF!)*#REF!/1000</f>
        <v>#REF!</v>
      </c>
      <c r="TD236" s="79" t="e">
        <f>SUM(#REF!)*#REF!/1000</f>
        <v>#REF!</v>
      </c>
      <c r="TE236" s="79" t="e">
        <f>SUM(#REF!)*#REF!/1000</f>
        <v>#REF!</v>
      </c>
      <c r="TF236" s="79" t="e">
        <f>SUM(#REF!)*#REF!/1000</f>
        <v>#REF!</v>
      </c>
      <c r="TG236" s="79" t="e">
        <f>SUM(#REF!)*#REF!/1000</f>
        <v>#REF!</v>
      </c>
      <c r="TH236" s="79" t="e">
        <f>SUM(#REF!)*#REF!/1000</f>
        <v>#REF!</v>
      </c>
      <c r="TI236" s="79" t="e">
        <f>SUM(#REF!)*#REF!/1000</f>
        <v>#REF!</v>
      </c>
      <c r="TJ236" s="79" t="e">
        <f>SUM(#REF!)*#REF!/1000</f>
        <v>#REF!</v>
      </c>
      <c r="TK236" s="79" t="e">
        <f>SUM(#REF!)*#REF!/1000</f>
        <v>#REF!</v>
      </c>
      <c r="TL236" s="79" t="e">
        <f>SUM(#REF!)*#REF!/1000</f>
        <v>#REF!</v>
      </c>
      <c r="TM236" s="79" t="e">
        <f>SUM(#REF!)*#REF!/1000</f>
        <v>#REF!</v>
      </c>
      <c r="TN236" s="79" t="e">
        <f>SUM(#REF!)*#REF!/1000</f>
        <v>#REF!</v>
      </c>
      <c r="TO236" s="79" t="e">
        <f>SUM(#REF!)*#REF!/1000</f>
        <v>#REF!</v>
      </c>
      <c r="TP236" s="79" t="e">
        <f>SUM(#REF!)*#REF!/1000</f>
        <v>#REF!</v>
      </c>
      <c r="TQ236" s="79" t="e">
        <f>SUM(#REF!)*#REF!/1000</f>
        <v>#REF!</v>
      </c>
      <c r="TR236" s="79" t="e">
        <f>SUM(#REF!)*#REF!/1000</f>
        <v>#REF!</v>
      </c>
      <c r="TS236" s="79" t="e">
        <f>SUM(#REF!)*#REF!/1000</f>
        <v>#REF!</v>
      </c>
      <c r="TT236" s="79" t="e">
        <f>SUM(#REF!)*#REF!/1000</f>
        <v>#REF!</v>
      </c>
      <c r="TU236" s="79" t="e">
        <f>SUM(#REF!)*#REF!/1000</f>
        <v>#REF!</v>
      </c>
      <c r="TV236" s="79" t="e">
        <f>SUM(#REF!)*#REF!/1000</f>
        <v>#REF!</v>
      </c>
      <c r="TW236" s="79" t="e">
        <f>SUM(#REF!)*#REF!/1000</f>
        <v>#REF!</v>
      </c>
      <c r="TX236" s="79" t="e">
        <f>SUM(#REF!)*#REF!/1000</f>
        <v>#REF!</v>
      </c>
      <c r="TY236" s="79" t="e">
        <f>SUM(#REF!)*#REF!/1000</f>
        <v>#REF!</v>
      </c>
      <c r="TZ236" s="79" t="e">
        <f>SUM(#REF!)*#REF!/1000</f>
        <v>#REF!</v>
      </c>
      <c r="UA236" s="79" t="e">
        <f>SUM(#REF!)*#REF!/1000</f>
        <v>#REF!</v>
      </c>
      <c r="UB236" s="79" t="e">
        <f>SUM(#REF!)*#REF!/1000</f>
        <v>#REF!</v>
      </c>
      <c r="UC236" s="79" t="e">
        <f>SUM(#REF!)*#REF!/1000</f>
        <v>#REF!</v>
      </c>
      <c r="UD236" s="79" t="e">
        <f>SUM(#REF!)*#REF!/1000</f>
        <v>#REF!</v>
      </c>
      <c r="UE236" s="79" t="e">
        <f>SUM(#REF!)*#REF!/1000</f>
        <v>#REF!</v>
      </c>
      <c r="UF236" s="79" t="e">
        <f>SUM(#REF!)*#REF!/1000</f>
        <v>#REF!</v>
      </c>
      <c r="UG236" s="79" t="e">
        <f>SUM(#REF!)*#REF!/1000</f>
        <v>#REF!</v>
      </c>
      <c r="UH236" s="79" t="e">
        <f>SUM(#REF!)*#REF!/1000</f>
        <v>#REF!</v>
      </c>
      <c r="UI236" s="79" t="e">
        <f>SUM(#REF!)*#REF!/1000</f>
        <v>#REF!</v>
      </c>
      <c r="UJ236" s="79" t="e">
        <f>SUM(#REF!)*#REF!/1000</f>
        <v>#REF!</v>
      </c>
      <c r="UK236" s="79" t="e">
        <f>SUM(#REF!)*#REF!/1000</f>
        <v>#REF!</v>
      </c>
      <c r="UL236" s="79" t="e">
        <f>SUM(#REF!)*#REF!/1000</f>
        <v>#REF!</v>
      </c>
      <c r="UM236" s="79" t="e">
        <f>SUM(#REF!)*#REF!/1000</f>
        <v>#REF!</v>
      </c>
      <c r="UN236" s="79" t="e">
        <f>SUM(#REF!)*#REF!/1000</f>
        <v>#REF!</v>
      </c>
      <c r="UO236" s="79" t="e">
        <f>SUM(#REF!)*#REF!/1000</f>
        <v>#REF!</v>
      </c>
      <c r="UP236" s="79" t="e">
        <f>SUM(#REF!)*#REF!/1000</f>
        <v>#REF!</v>
      </c>
      <c r="UQ236" s="79" t="e">
        <f>SUM(#REF!)*#REF!/1000</f>
        <v>#REF!</v>
      </c>
      <c r="UR236" s="79" t="e">
        <f>SUM(#REF!)*#REF!/1000</f>
        <v>#REF!</v>
      </c>
      <c r="US236" s="79" t="e">
        <f>SUM(#REF!)*#REF!/1000</f>
        <v>#REF!</v>
      </c>
      <c r="UT236" s="79" t="e">
        <f>SUM(#REF!)*#REF!/1000</f>
        <v>#REF!</v>
      </c>
      <c r="UU236" s="79" t="e">
        <f>SUM(#REF!)*#REF!/1000</f>
        <v>#REF!</v>
      </c>
      <c r="UV236" s="79" t="e">
        <f>SUM(#REF!)*#REF!/1000</f>
        <v>#REF!</v>
      </c>
      <c r="UW236" s="79" t="e">
        <f>SUM(#REF!)*#REF!/1000</f>
        <v>#REF!</v>
      </c>
      <c r="UX236" s="79" t="e">
        <f>SUM(#REF!)*#REF!/1000</f>
        <v>#REF!</v>
      </c>
      <c r="UY236" s="79" t="e">
        <f>SUM(#REF!)*#REF!/1000</f>
        <v>#REF!</v>
      </c>
      <c r="UZ236" s="79" t="e">
        <f>SUM(#REF!)*#REF!/1000</f>
        <v>#REF!</v>
      </c>
      <c r="VA236" s="79" t="e">
        <f>SUM(#REF!)*#REF!/1000</f>
        <v>#REF!</v>
      </c>
      <c r="VB236" s="79" t="e">
        <f>SUM(#REF!)*#REF!/1000</f>
        <v>#REF!</v>
      </c>
      <c r="VC236" s="79" t="e">
        <f>SUM(#REF!)*#REF!/1000</f>
        <v>#REF!</v>
      </c>
      <c r="VD236" s="79" t="e">
        <f>SUM(#REF!)*#REF!/1000</f>
        <v>#REF!</v>
      </c>
      <c r="VE236" s="79" t="e">
        <f>SUM(#REF!)*#REF!/1000</f>
        <v>#REF!</v>
      </c>
      <c r="VF236" s="79" t="e">
        <f>SUM(#REF!)*#REF!/1000</f>
        <v>#REF!</v>
      </c>
      <c r="VG236" s="79" t="e">
        <f>SUM(#REF!)*#REF!/1000</f>
        <v>#REF!</v>
      </c>
      <c r="VH236" s="79" t="e">
        <f>SUM(#REF!)*#REF!/1000</f>
        <v>#REF!</v>
      </c>
      <c r="VI236" s="79" t="e">
        <f>SUM(#REF!)*#REF!/1000</f>
        <v>#REF!</v>
      </c>
      <c r="VJ236" s="79" t="e">
        <f>SUM(#REF!)*#REF!/1000</f>
        <v>#REF!</v>
      </c>
      <c r="VK236" s="79" t="e">
        <f>SUM(#REF!)*#REF!/1000</f>
        <v>#REF!</v>
      </c>
      <c r="VL236" s="79" t="e">
        <f>SUM(#REF!)*#REF!/1000</f>
        <v>#REF!</v>
      </c>
      <c r="VM236" s="79" t="e">
        <f>SUM(#REF!)*#REF!/1000</f>
        <v>#REF!</v>
      </c>
      <c r="VN236" s="79" t="e">
        <f>SUM(#REF!)*#REF!/1000</f>
        <v>#REF!</v>
      </c>
      <c r="VO236" s="79" t="e">
        <f>SUM(#REF!)*#REF!/1000</f>
        <v>#REF!</v>
      </c>
      <c r="VP236" s="79" t="e">
        <f>SUM(#REF!)*#REF!/1000</f>
        <v>#REF!</v>
      </c>
      <c r="VQ236" s="79" t="e">
        <f>SUM(#REF!)*#REF!/1000</f>
        <v>#REF!</v>
      </c>
      <c r="VR236" s="79" t="e">
        <f>SUM(#REF!)*#REF!/1000</f>
        <v>#REF!</v>
      </c>
      <c r="VS236" s="79" t="e">
        <f>SUM(#REF!)*#REF!/1000</f>
        <v>#REF!</v>
      </c>
      <c r="VT236" s="79" t="e">
        <f>SUM(#REF!)*#REF!/1000</f>
        <v>#REF!</v>
      </c>
      <c r="VU236" s="79" t="e">
        <f>SUM(#REF!)*#REF!/1000</f>
        <v>#REF!</v>
      </c>
      <c r="VV236" s="79" t="e">
        <f>SUM(#REF!)*#REF!/1000</f>
        <v>#REF!</v>
      </c>
      <c r="VW236" s="79" t="e">
        <f>SUM(#REF!)*#REF!/1000</f>
        <v>#REF!</v>
      </c>
      <c r="VX236" s="79" t="e">
        <f>SUM(#REF!)*#REF!/1000</f>
        <v>#REF!</v>
      </c>
      <c r="VY236" s="79" t="e">
        <f>SUM(#REF!)*#REF!/1000</f>
        <v>#REF!</v>
      </c>
      <c r="VZ236" s="79" t="e">
        <f>SUM(#REF!)*#REF!/1000</f>
        <v>#REF!</v>
      </c>
      <c r="WA236" s="79" t="e">
        <f>SUM(#REF!)*#REF!/1000</f>
        <v>#REF!</v>
      </c>
      <c r="WB236" s="79" t="e">
        <f>SUM(#REF!)*#REF!/1000</f>
        <v>#REF!</v>
      </c>
      <c r="WC236" s="79" t="e">
        <f>SUM(#REF!)*#REF!/1000</f>
        <v>#REF!</v>
      </c>
      <c r="WD236" s="79" t="e">
        <f>SUM(#REF!)*#REF!/1000</f>
        <v>#REF!</v>
      </c>
      <c r="WE236" s="79" t="e">
        <f>SUM(#REF!)*#REF!/1000</f>
        <v>#REF!</v>
      </c>
      <c r="WF236" s="79" t="e">
        <f>SUM(#REF!)*#REF!/1000</f>
        <v>#REF!</v>
      </c>
      <c r="WG236" s="79" t="e">
        <f>SUM(#REF!)*#REF!/1000</f>
        <v>#REF!</v>
      </c>
      <c r="WH236" s="79" t="e">
        <f>SUM(#REF!)*#REF!/1000</f>
        <v>#REF!</v>
      </c>
      <c r="WI236" s="79" t="e">
        <f>SUM(#REF!)*#REF!/1000</f>
        <v>#REF!</v>
      </c>
      <c r="WJ236" s="79" t="e">
        <f>SUM(#REF!)*#REF!/1000</f>
        <v>#REF!</v>
      </c>
      <c r="WK236" s="79" t="e">
        <f>SUM(#REF!)*#REF!/1000</f>
        <v>#REF!</v>
      </c>
      <c r="WL236" s="79" t="e">
        <f>SUM(#REF!)*#REF!/1000</f>
        <v>#REF!</v>
      </c>
      <c r="WM236" s="79" t="e">
        <f>SUM(#REF!)*#REF!/1000</f>
        <v>#REF!</v>
      </c>
      <c r="WN236" s="79" t="e">
        <f>SUM(#REF!)*#REF!/1000</f>
        <v>#REF!</v>
      </c>
      <c r="WO236" s="79" t="e">
        <f>SUM(#REF!)*#REF!/1000</f>
        <v>#REF!</v>
      </c>
      <c r="WP236" s="79" t="e">
        <f>SUM(#REF!)*#REF!/1000</f>
        <v>#REF!</v>
      </c>
      <c r="WQ236" s="79" t="e">
        <f>SUM(#REF!)*#REF!/1000</f>
        <v>#REF!</v>
      </c>
      <c r="WR236" s="79" t="e">
        <f>SUM(#REF!)*#REF!/1000</f>
        <v>#REF!</v>
      </c>
      <c r="WS236" s="79" t="e">
        <f>SUM(#REF!)*#REF!/1000</f>
        <v>#REF!</v>
      </c>
      <c r="WT236" s="79" t="e">
        <f>SUM(#REF!)*#REF!/1000</f>
        <v>#REF!</v>
      </c>
      <c r="WU236" s="79" t="e">
        <f>SUM(#REF!)*#REF!/1000</f>
        <v>#REF!</v>
      </c>
      <c r="WV236" s="79" t="e">
        <f>SUM(#REF!)*#REF!/1000</f>
        <v>#REF!</v>
      </c>
      <c r="WW236" s="79" t="e">
        <f>SUM(#REF!)*#REF!/1000</f>
        <v>#REF!</v>
      </c>
      <c r="WX236" s="79" t="e">
        <f>SUM(#REF!)*#REF!/1000</f>
        <v>#REF!</v>
      </c>
      <c r="WY236" s="79" t="e">
        <f>SUM(#REF!)*#REF!/1000</f>
        <v>#REF!</v>
      </c>
      <c r="WZ236" s="79" t="e">
        <f>SUM(#REF!)*#REF!/1000</f>
        <v>#REF!</v>
      </c>
      <c r="XA236" s="79" t="e">
        <f>SUM(#REF!)*#REF!/1000</f>
        <v>#REF!</v>
      </c>
      <c r="XB236" s="79" t="e">
        <f>SUM(#REF!)*#REF!/1000</f>
        <v>#REF!</v>
      </c>
      <c r="XC236" s="79" t="e">
        <f>SUM(#REF!)*#REF!/1000</f>
        <v>#REF!</v>
      </c>
      <c r="XD236" s="79" t="e">
        <f>SUM(#REF!)*#REF!/1000</f>
        <v>#REF!</v>
      </c>
      <c r="XE236" s="79" t="e">
        <f>SUM(#REF!)*#REF!/1000</f>
        <v>#REF!</v>
      </c>
      <c r="XF236" s="79" t="e">
        <f>SUM(#REF!)*#REF!/1000</f>
        <v>#REF!</v>
      </c>
      <c r="XG236" s="79" t="e">
        <f>SUM(#REF!)*#REF!/1000</f>
        <v>#REF!</v>
      </c>
      <c r="XH236" s="79" t="e">
        <f>SUM(#REF!)*#REF!/1000</f>
        <v>#REF!</v>
      </c>
      <c r="XI236" s="79" t="e">
        <f>SUM(#REF!)*#REF!/1000</f>
        <v>#REF!</v>
      </c>
      <c r="XJ236" s="79" t="e">
        <f>SUM(#REF!)*#REF!/1000</f>
        <v>#REF!</v>
      </c>
      <c r="XK236" s="79" t="e">
        <f>SUM(#REF!)*#REF!/1000</f>
        <v>#REF!</v>
      </c>
      <c r="XL236" s="79" t="e">
        <f>SUM(#REF!)*#REF!/1000</f>
        <v>#REF!</v>
      </c>
      <c r="XM236" s="79" t="e">
        <f>SUM(#REF!)*#REF!/1000</f>
        <v>#REF!</v>
      </c>
      <c r="XN236" s="79" t="e">
        <f>SUM(#REF!)*#REF!/1000</f>
        <v>#REF!</v>
      </c>
      <c r="XO236" s="79" t="e">
        <f>SUM(#REF!)*#REF!/1000</f>
        <v>#REF!</v>
      </c>
      <c r="XP236" s="79" t="e">
        <f>SUM(#REF!)*#REF!/1000</f>
        <v>#REF!</v>
      </c>
      <c r="XQ236" s="79" t="e">
        <f>SUM(#REF!)*#REF!/1000</f>
        <v>#REF!</v>
      </c>
      <c r="XR236" s="79" t="e">
        <f>SUM(#REF!)*#REF!/1000</f>
        <v>#REF!</v>
      </c>
      <c r="XS236" s="79" t="e">
        <f>SUM(#REF!)*#REF!/1000</f>
        <v>#REF!</v>
      </c>
      <c r="XT236" s="79" t="e">
        <f>SUM(#REF!)*#REF!/1000</f>
        <v>#REF!</v>
      </c>
      <c r="XU236" s="79" t="e">
        <f>SUM(#REF!)*#REF!/1000</f>
        <v>#REF!</v>
      </c>
      <c r="XV236" s="79" t="e">
        <f>SUM(#REF!)*#REF!/1000</f>
        <v>#REF!</v>
      </c>
      <c r="XW236" s="79" t="e">
        <f>SUM(#REF!)*#REF!/1000</f>
        <v>#REF!</v>
      </c>
      <c r="XX236" s="79" t="e">
        <f>SUM(#REF!)*#REF!/1000</f>
        <v>#REF!</v>
      </c>
      <c r="XY236" s="79" t="e">
        <f>SUM(#REF!)*#REF!/1000</f>
        <v>#REF!</v>
      </c>
      <c r="XZ236" s="79" t="e">
        <f>SUM(#REF!)*#REF!/1000</f>
        <v>#REF!</v>
      </c>
      <c r="YA236" s="79" t="e">
        <f>SUM(#REF!)*#REF!/1000</f>
        <v>#REF!</v>
      </c>
      <c r="YB236" s="79" t="e">
        <f>SUM(#REF!)*#REF!/1000</f>
        <v>#REF!</v>
      </c>
      <c r="YC236" s="79" t="e">
        <f>SUM(#REF!)*#REF!/1000</f>
        <v>#REF!</v>
      </c>
      <c r="YD236" s="79" t="e">
        <f>SUM(#REF!)*#REF!/1000</f>
        <v>#REF!</v>
      </c>
      <c r="YE236" s="79" t="e">
        <f>SUM(#REF!)*#REF!/1000</f>
        <v>#REF!</v>
      </c>
      <c r="YF236" s="79" t="e">
        <f>SUM(#REF!)*#REF!/1000</f>
        <v>#REF!</v>
      </c>
      <c r="YG236" s="79" t="e">
        <f>SUM(#REF!)*#REF!/1000</f>
        <v>#REF!</v>
      </c>
      <c r="YH236" s="79" t="e">
        <f>SUM(#REF!)*#REF!/1000</f>
        <v>#REF!</v>
      </c>
      <c r="YI236" s="79" t="e">
        <f>SUM(#REF!)*#REF!/1000</f>
        <v>#REF!</v>
      </c>
      <c r="YJ236" s="79" t="e">
        <f>SUM(#REF!)*#REF!/1000</f>
        <v>#REF!</v>
      </c>
      <c r="YK236" s="79" t="e">
        <f>SUM(#REF!)*#REF!/1000</f>
        <v>#REF!</v>
      </c>
      <c r="YL236" s="79" t="e">
        <f>SUM(#REF!)*#REF!/1000</f>
        <v>#REF!</v>
      </c>
      <c r="YM236" s="79" t="e">
        <f>SUM(#REF!)*#REF!/1000</f>
        <v>#REF!</v>
      </c>
      <c r="YN236" s="79" t="e">
        <f>SUM(#REF!)*#REF!/1000</f>
        <v>#REF!</v>
      </c>
      <c r="YO236" s="79" t="e">
        <f>SUM(#REF!)*#REF!/1000</f>
        <v>#REF!</v>
      </c>
      <c r="YP236" s="79" t="e">
        <f>SUM(#REF!)*#REF!/1000</f>
        <v>#REF!</v>
      </c>
      <c r="YQ236" s="79" t="e">
        <f>SUM(#REF!)*#REF!/1000</f>
        <v>#REF!</v>
      </c>
      <c r="YR236" s="79" t="e">
        <f>SUM(#REF!)*#REF!/1000</f>
        <v>#REF!</v>
      </c>
      <c r="YS236" s="79" t="e">
        <f>SUM(#REF!)*#REF!/1000</f>
        <v>#REF!</v>
      </c>
      <c r="YT236" s="79" t="e">
        <f>SUM(#REF!)*#REF!/1000</f>
        <v>#REF!</v>
      </c>
      <c r="YU236" s="79" t="e">
        <f>SUM(#REF!)*#REF!/1000</f>
        <v>#REF!</v>
      </c>
      <c r="YV236" s="79" t="e">
        <f>SUM(#REF!)*#REF!/1000</f>
        <v>#REF!</v>
      </c>
      <c r="YW236" s="79" t="e">
        <f>SUM(#REF!)*#REF!/1000</f>
        <v>#REF!</v>
      </c>
      <c r="YX236" s="79" t="e">
        <f>SUM(#REF!)*#REF!/1000</f>
        <v>#REF!</v>
      </c>
      <c r="YY236" s="79" t="e">
        <f>SUM(#REF!)*#REF!/1000</f>
        <v>#REF!</v>
      </c>
      <c r="YZ236" s="79" t="e">
        <f>SUM(#REF!)*#REF!/1000</f>
        <v>#REF!</v>
      </c>
      <c r="ZA236" s="79" t="e">
        <f>SUM(#REF!)*#REF!/1000</f>
        <v>#REF!</v>
      </c>
      <c r="ZB236" s="79" t="e">
        <f>SUM(#REF!)*#REF!/1000</f>
        <v>#REF!</v>
      </c>
      <c r="ZC236" s="79" t="e">
        <f>SUM(#REF!)*#REF!/1000</f>
        <v>#REF!</v>
      </c>
      <c r="ZD236" s="79" t="e">
        <f>SUM(#REF!)*#REF!/1000</f>
        <v>#REF!</v>
      </c>
      <c r="ZE236" s="79" t="e">
        <f>SUM(#REF!)*#REF!/1000</f>
        <v>#REF!</v>
      </c>
      <c r="ZF236" s="79" t="e">
        <f>SUM(#REF!)*#REF!/1000</f>
        <v>#REF!</v>
      </c>
      <c r="ZG236" s="79" t="e">
        <f>SUM(#REF!)*#REF!/1000</f>
        <v>#REF!</v>
      </c>
      <c r="ZH236" s="79" t="e">
        <f>SUM(#REF!)*#REF!/1000</f>
        <v>#REF!</v>
      </c>
      <c r="ZI236" s="79" t="e">
        <f>SUM(#REF!)*#REF!/1000</f>
        <v>#REF!</v>
      </c>
      <c r="ZJ236" s="79" t="e">
        <f>SUM(#REF!)*#REF!/1000</f>
        <v>#REF!</v>
      </c>
      <c r="ZK236" s="79" t="e">
        <f>SUM(#REF!)*#REF!/1000</f>
        <v>#REF!</v>
      </c>
      <c r="ZL236" s="79" t="e">
        <f>SUM(#REF!)*#REF!/1000</f>
        <v>#REF!</v>
      </c>
      <c r="ZM236" s="79" t="e">
        <f>SUM(#REF!)*#REF!/1000</f>
        <v>#REF!</v>
      </c>
      <c r="ZN236" s="79" t="e">
        <f>SUM(#REF!)*#REF!/1000</f>
        <v>#REF!</v>
      </c>
      <c r="ZO236" s="79" t="e">
        <f>SUM(#REF!)*#REF!/1000</f>
        <v>#REF!</v>
      </c>
      <c r="ZP236" s="79" t="e">
        <f>SUM(#REF!)*#REF!/1000</f>
        <v>#REF!</v>
      </c>
      <c r="ZQ236" s="79" t="e">
        <f>SUM(#REF!)*#REF!/1000</f>
        <v>#REF!</v>
      </c>
      <c r="ZR236" s="79" t="e">
        <f>SUM(#REF!)*#REF!/1000</f>
        <v>#REF!</v>
      </c>
      <c r="ZS236" s="79" t="e">
        <f>SUM(#REF!)*#REF!/1000</f>
        <v>#REF!</v>
      </c>
      <c r="ZT236" s="79" t="e">
        <f>SUM(#REF!)*#REF!/1000</f>
        <v>#REF!</v>
      </c>
      <c r="ZU236" s="79" t="e">
        <f>SUM(#REF!)*#REF!/1000</f>
        <v>#REF!</v>
      </c>
      <c r="ZV236" s="79" t="e">
        <f>SUM(#REF!)*#REF!/1000</f>
        <v>#REF!</v>
      </c>
      <c r="ZW236" s="79" t="e">
        <f>SUM(#REF!)*#REF!/1000</f>
        <v>#REF!</v>
      </c>
      <c r="ZX236" s="79" t="e">
        <f>SUM(#REF!)*#REF!/1000</f>
        <v>#REF!</v>
      </c>
      <c r="ZY236" s="79" t="e">
        <f>SUM(#REF!)*#REF!/1000</f>
        <v>#REF!</v>
      </c>
      <c r="ZZ236" s="79" t="e">
        <f>SUM(#REF!)*#REF!/1000</f>
        <v>#REF!</v>
      </c>
      <c r="AAA236" s="79" t="e">
        <f>SUM(#REF!)*#REF!/1000</f>
        <v>#REF!</v>
      </c>
      <c r="AAB236" s="79" t="e">
        <f>SUM(#REF!)*#REF!/1000</f>
        <v>#REF!</v>
      </c>
      <c r="AAC236" s="79" t="e">
        <f>SUM(#REF!)*#REF!/1000</f>
        <v>#REF!</v>
      </c>
      <c r="AAD236" s="79" t="e">
        <f>SUM(#REF!)*#REF!/1000</f>
        <v>#REF!</v>
      </c>
      <c r="AAE236" s="79" t="e">
        <f>SUM(#REF!)*#REF!/1000</f>
        <v>#REF!</v>
      </c>
      <c r="AAF236" s="79" t="e">
        <f>SUM(#REF!)*#REF!/1000</f>
        <v>#REF!</v>
      </c>
      <c r="AAG236" s="79" t="e">
        <f>SUM(#REF!)*#REF!/1000</f>
        <v>#REF!</v>
      </c>
      <c r="AAH236" s="79" t="e">
        <f>SUM(#REF!)*#REF!/1000</f>
        <v>#REF!</v>
      </c>
      <c r="AAI236" s="79" t="e">
        <f>SUM(#REF!)*#REF!/1000</f>
        <v>#REF!</v>
      </c>
      <c r="AAJ236" s="79" t="e">
        <f>SUM(#REF!)*#REF!/1000</f>
        <v>#REF!</v>
      </c>
      <c r="AAK236" s="79" t="e">
        <f>SUM(#REF!)*#REF!/1000</f>
        <v>#REF!</v>
      </c>
      <c r="AAL236" s="79" t="e">
        <f>SUM(#REF!)*#REF!/1000</f>
        <v>#REF!</v>
      </c>
      <c r="AAM236" s="79" t="e">
        <f>SUM(#REF!)*#REF!/1000</f>
        <v>#REF!</v>
      </c>
      <c r="AAN236" s="79" t="e">
        <f>SUM(#REF!)*#REF!/1000</f>
        <v>#REF!</v>
      </c>
      <c r="AAO236" s="79" t="e">
        <f>SUM(#REF!)*#REF!/1000</f>
        <v>#REF!</v>
      </c>
      <c r="AAP236" s="79" t="e">
        <f>SUM(#REF!)*#REF!/1000</f>
        <v>#REF!</v>
      </c>
      <c r="AAQ236" s="79" t="e">
        <f>SUM(#REF!)*#REF!/1000</f>
        <v>#REF!</v>
      </c>
      <c r="AAR236" s="79" t="e">
        <f>SUM(#REF!)*#REF!/1000</f>
        <v>#REF!</v>
      </c>
      <c r="AAS236" s="79" t="e">
        <f>SUM(#REF!)*#REF!/1000</f>
        <v>#REF!</v>
      </c>
      <c r="AAT236" s="79" t="e">
        <f>SUM(#REF!)*#REF!/1000</f>
        <v>#REF!</v>
      </c>
      <c r="AAU236" s="79" t="e">
        <f>SUM(#REF!)*#REF!/1000</f>
        <v>#REF!</v>
      </c>
      <c r="AAV236" s="79" t="e">
        <f>SUM(#REF!)*#REF!/1000</f>
        <v>#REF!</v>
      </c>
      <c r="AAW236" s="79" t="e">
        <f>SUM(#REF!)*#REF!/1000</f>
        <v>#REF!</v>
      </c>
      <c r="AAX236" s="79" t="e">
        <f>SUM(#REF!)*#REF!/1000</f>
        <v>#REF!</v>
      </c>
      <c r="AAY236" s="79" t="e">
        <f>SUM(#REF!)*#REF!/1000</f>
        <v>#REF!</v>
      </c>
      <c r="AAZ236" s="79" t="e">
        <f>SUM(#REF!)*#REF!/1000</f>
        <v>#REF!</v>
      </c>
      <c r="ABA236" s="79" t="e">
        <f>SUM(#REF!)*#REF!/1000</f>
        <v>#REF!</v>
      </c>
      <c r="ABB236" s="79" t="e">
        <f>SUM(#REF!)*#REF!/1000</f>
        <v>#REF!</v>
      </c>
      <c r="ABC236" s="79" t="e">
        <f>SUM(#REF!)*#REF!/1000</f>
        <v>#REF!</v>
      </c>
      <c r="ABD236" s="79" t="e">
        <f>SUM(#REF!)*#REF!/1000</f>
        <v>#REF!</v>
      </c>
      <c r="ABE236" s="79" t="e">
        <f>SUM(#REF!)*#REF!/1000</f>
        <v>#REF!</v>
      </c>
      <c r="ABF236" s="79" t="e">
        <f>SUM(#REF!)*#REF!/1000</f>
        <v>#REF!</v>
      </c>
      <c r="ABG236" s="79" t="e">
        <f>SUM(#REF!)*#REF!/1000</f>
        <v>#REF!</v>
      </c>
      <c r="ABH236" s="79" t="e">
        <f>SUM(#REF!)*#REF!/1000</f>
        <v>#REF!</v>
      </c>
      <c r="ABI236" s="79" t="e">
        <f>SUM(#REF!)*#REF!/1000</f>
        <v>#REF!</v>
      </c>
      <c r="ABJ236" s="79" t="e">
        <f>SUM(#REF!)*#REF!/1000</f>
        <v>#REF!</v>
      </c>
      <c r="ABK236" s="79" t="e">
        <f>SUM(#REF!)*#REF!/1000</f>
        <v>#REF!</v>
      </c>
      <c r="ABL236" s="79" t="e">
        <f>SUM(#REF!)*#REF!/1000</f>
        <v>#REF!</v>
      </c>
      <c r="ABM236" s="79" t="e">
        <f>SUM(#REF!)*#REF!/1000</f>
        <v>#REF!</v>
      </c>
      <c r="ABN236" s="79" t="e">
        <f>SUM(#REF!)*#REF!/1000</f>
        <v>#REF!</v>
      </c>
      <c r="ABO236" s="79" t="e">
        <f>SUM(#REF!)*#REF!/1000</f>
        <v>#REF!</v>
      </c>
      <c r="ABP236" s="79" t="e">
        <f>SUM(#REF!)*#REF!/1000</f>
        <v>#REF!</v>
      </c>
      <c r="ABQ236" s="79" t="e">
        <f>SUM(#REF!)*#REF!/1000</f>
        <v>#REF!</v>
      </c>
      <c r="ABR236" s="79" t="e">
        <f>SUM(#REF!)*#REF!/1000</f>
        <v>#REF!</v>
      </c>
      <c r="ABS236" s="79" t="e">
        <f>SUM(#REF!)*#REF!/1000</f>
        <v>#REF!</v>
      </c>
      <c r="ABT236" s="79" t="e">
        <f>SUM(#REF!)*#REF!/1000</f>
        <v>#REF!</v>
      </c>
      <c r="ABU236" s="79" t="e">
        <f>SUM(#REF!)*#REF!/1000</f>
        <v>#REF!</v>
      </c>
      <c r="ABV236" s="79" t="e">
        <f>SUM(#REF!)*#REF!/1000</f>
        <v>#REF!</v>
      </c>
      <c r="ABW236" s="79" t="e">
        <f>SUM(#REF!)*#REF!/1000</f>
        <v>#REF!</v>
      </c>
      <c r="ABX236" s="79" t="e">
        <f>SUM(#REF!)*#REF!/1000</f>
        <v>#REF!</v>
      </c>
      <c r="ABY236" s="79" t="e">
        <f>SUM(#REF!)*#REF!/1000</f>
        <v>#REF!</v>
      </c>
      <c r="ABZ236" s="79" t="e">
        <f>SUM(#REF!)*#REF!/1000</f>
        <v>#REF!</v>
      </c>
      <c r="ACA236" s="79" t="e">
        <f>SUM(#REF!)*#REF!/1000</f>
        <v>#REF!</v>
      </c>
      <c r="ACB236" s="79" t="e">
        <f>SUM(#REF!)*#REF!/1000</f>
        <v>#REF!</v>
      </c>
      <c r="ACC236" s="79" t="e">
        <f>SUM(#REF!)*#REF!/1000</f>
        <v>#REF!</v>
      </c>
      <c r="ACD236" s="79" t="e">
        <f>SUM(#REF!)*#REF!/1000</f>
        <v>#REF!</v>
      </c>
      <c r="ACE236" s="79" t="e">
        <f>SUM(#REF!)*#REF!/1000</f>
        <v>#REF!</v>
      </c>
      <c r="ACF236" s="79" t="e">
        <f>SUM(#REF!)*#REF!/1000</f>
        <v>#REF!</v>
      </c>
      <c r="ACG236" s="79" t="e">
        <f>SUM(#REF!)*#REF!/1000</f>
        <v>#REF!</v>
      </c>
      <c r="ACH236" s="79" t="e">
        <f>SUM(#REF!)*#REF!/1000</f>
        <v>#REF!</v>
      </c>
      <c r="ACI236" s="79" t="e">
        <f>SUM(#REF!)*#REF!/1000</f>
        <v>#REF!</v>
      </c>
      <c r="ACJ236" s="79" t="e">
        <f>SUM(#REF!)*#REF!/1000</f>
        <v>#REF!</v>
      </c>
      <c r="ACK236" s="79" t="e">
        <f>SUM(#REF!)*#REF!/1000</f>
        <v>#REF!</v>
      </c>
      <c r="ACL236" s="79" t="e">
        <f>SUM(#REF!)*#REF!/1000</f>
        <v>#REF!</v>
      </c>
      <c r="ACM236" s="79" t="e">
        <f>SUM(#REF!)*#REF!/1000</f>
        <v>#REF!</v>
      </c>
      <c r="ACN236" s="79" t="e">
        <f>SUM(#REF!)*#REF!/1000</f>
        <v>#REF!</v>
      </c>
      <c r="ACO236" s="79" t="e">
        <f>SUM(#REF!)*#REF!/1000</f>
        <v>#REF!</v>
      </c>
      <c r="ACP236" s="79" t="e">
        <f>SUM(#REF!)*#REF!/1000</f>
        <v>#REF!</v>
      </c>
      <c r="ACQ236" s="79" t="e">
        <f>SUM(#REF!)*#REF!/1000</f>
        <v>#REF!</v>
      </c>
      <c r="ACR236" s="79" t="e">
        <f>SUM(#REF!)*#REF!/1000</f>
        <v>#REF!</v>
      </c>
      <c r="ACS236" s="79" t="e">
        <f>SUM(#REF!)*#REF!/1000</f>
        <v>#REF!</v>
      </c>
      <c r="ACT236" s="79" t="e">
        <f>SUM(#REF!)*#REF!/1000</f>
        <v>#REF!</v>
      </c>
      <c r="ACU236" s="79" t="e">
        <f>SUM(#REF!)*#REF!/1000</f>
        <v>#REF!</v>
      </c>
      <c r="ACV236" s="79" t="e">
        <f>SUM(#REF!)*#REF!/1000</f>
        <v>#REF!</v>
      </c>
      <c r="ACW236" s="79" t="e">
        <f>SUM(#REF!)*#REF!/1000</f>
        <v>#REF!</v>
      </c>
      <c r="ACX236" s="79" t="e">
        <f>SUM(#REF!)*#REF!/1000</f>
        <v>#REF!</v>
      </c>
      <c r="ACY236" s="79"/>
      <c r="ACZ236" s="79"/>
      <c r="ADA236" s="79"/>
      <c r="ADB236" s="79"/>
      <c r="ADC236" s="79"/>
      <c r="ADD236" s="79"/>
      <c r="ADE236" s="79"/>
      <c r="ADF236" s="79"/>
      <c r="ADG236" s="79"/>
      <c r="ADH236" s="79"/>
      <c r="ADI236" s="79"/>
      <c r="ADJ236" s="79"/>
      <c r="ADK236" s="79"/>
      <c r="ADL236" s="79"/>
      <c r="ADM236" s="79"/>
      <c r="ADN236" s="79"/>
      <c r="AQP236" s="165"/>
    </row>
    <row r="237" spans="4:794 1134:1134" ht="14.25" x14ac:dyDescent="0.45">
      <c r="D237" t="s">
        <v>419</v>
      </c>
      <c r="E237" s="79" t="e">
        <f>SUM(E227:E236)</f>
        <v>#REF!</v>
      </c>
      <c r="F237" s="79" t="e">
        <f t="shared" ref="F237:I237" si="397">SUM(F227:F236)</f>
        <v>#REF!</v>
      </c>
      <c r="G237" s="79" t="e">
        <f t="shared" si="397"/>
        <v>#REF!</v>
      </c>
      <c r="H237" s="79" t="e">
        <f t="shared" si="397"/>
        <v>#REF!</v>
      </c>
      <c r="I237" s="79" t="e">
        <f t="shared" si="397"/>
        <v>#REF!</v>
      </c>
      <c r="J237" s="79" t="e">
        <f t="shared" ref="J237:K237" si="398">SUM(J227:J236)</f>
        <v>#REF!</v>
      </c>
      <c r="K237" s="79" t="e">
        <f t="shared" si="398"/>
        <v>#REF!</v>
      </c>
      <c r="L237" s="79" t="e">
        <f t="shared" ref="L237:V237" si="399">SUM(L227:L236)</f>
        <v>#REF!</v>
      </c>
      <c r="M237" s="79" t="e">
        <f t="shared" si="399"/>
        <v>#REF!</v>
      </c>
      <c r="N237" s="79" t="e">
        <f t="shared" si="399"/>
        <v>#REF!</v>
      </c>
      <c r="O237" s="79" t="e">
        <f t="shared" si="399"/>
        <v>#REF!</v>
      </c>
      <c r="P237" s="79" t="e">
        <f t="shared" si="399"/>
        <v>#REF!</v>
      </c>
      <c r="Q237" s="79" t="e">
        <f t="shared" si="399"/>
        <v>#REF!</v>
      </c>
      <c r="R237" s="79" t="e">
        <f t="shared" si="399"/>
        <v>#REF!</v>
      </c>
      <c r="S237" s="79" t="e">
        <f t="shared" si="399"/>
        <v>#REF!</v>
      </c>
      <c r="T237" s="79" t="e">
        <f t="shared" si="399"/>
        <v>#REF!</v>
      </c>
      <c r="U237" s="79" t="e">
        <f t="shared" si="399"/>
        <v>#REF!</v>
      </c>
      <c r="V237" s="79" t="e">
        <f t="shared" si="399"/>
        <v>#REF!</v>
      </c>
      <c r="W237" s="79" t="e">
        <f t="shared" ref="W237:AK237" si="400">SUM(W227:W236)</f>
        <v>#REF!</v>
      </c>
      <c r="X237" s="79" t="e">
        <f t="shared" si="400"/>
        <v>#REF!</v>
      </c>
      <c r="Y237" s="79" t="e">
        <f t="shared" si="400"/>
        <v>#REF!</v>
      </c>
      <c r="Z237" s="79" t="e">
        <f t="shared" si="400"/>
        <v>#REF!</v>
      </c>
      <c r="AA237" s="79" t="e">
        <f t="shared" si="400"/>
        <v>#REF!</v>
      </c>
      <c r="AB237" s="79" t="e">
        <f t="shared" si="400"/>
        <v>#REF!</v>
      </c>
      <c r="AC237" s="79" t="e">
        <f t="shared" si="400"/>
        <v>#REF!</v>
      </c>
      <c r="AD237" s="79" t="e">
        <f t="shared" si="400"/>
        <v>#REF!</v>
      </c>
      <c r="AE237" s="79" t="e">
        <f t="shared" si="400"/>
        <v>#REF!</v>
      </c>
      <c r="AF237" s="79" t="e">
        <f t="shared" si="400"/>
        <v>#REF!</v>
      </c>
      <c r="AG237" s="79" t="e">
        <f t="shared" si="400"/>
        <v>#REF!</v>
      </c>
      <c r="AH237" s="79" t="e">
        <f t="shared" si="400"/>
        <v>#REF!</v>
      </c>
      <c r="AI237" s="79" t="e">
        <f t="shared" si="400"/>
        <v>#REF!</v>
      </c>
      <c r="AJ237" s="79" t="e">
        <f t="shared" si="400"/>
        <v>#REF!</v>
      </c>
      <c r="AK237" s="79" t="e">
        <f t="shared" si="400"/>
        <v>#REF!</v>
      </c>
      <c r="AL237" s="79" t="e">
        <f t="shared" ref="AL237:CW237" si="401">SUM(AL227:AL236)</f>
        <v>#REF!</v>
      </c>
      <c r="AM237" s="79" t="e">
        <f t="shared" si="401"/>
        <v>#REF!</v>
      </c>
      <c r="AN237" s="79" t="e">
        <f t="shared" si="401"/>
        <v>#REF!</v>
      </c>
      <c r="AO237" s="79" t="e">
        <f t="shared" si="401"/>
        <v>#REF!</v>
      </c>
      <c r="AP237" s="79" t="e">
        <f t="shared" si="401"/>
        <v>#REF!</v>
      </c>
      <c r="AQ237" s="79" t="e">
        <f t="shared" si="401"/>
        <v>#REF!</v>
      </c>
      <c r="AR237" s="79" t="e">
        <f t="shared" si="401"/>
        <v>#REF!</v>
      </c>
      <c r="AS237" s="79" t="e">
        <f t="shared" si="401"/>
        <v>#REF!</v>
      </c>
      <c r="AT237" s="79" t="e">
        <f t="shared" si="401"/>
        <v>#REF!</v>
      </c>
      <c r="AU237" s="79" t="e">
        <f t="shared" si="401"/>
        <v>#REF!</v>
      </c>
      <c r="AV237" s="79" t="e">
        <f t="shared" si="401"/>
        <v>#REF!</v>
      </c>
      <c r="AW237" s="79" t="e">
        <f t="shared" si="401"/>
        <v>#REF!</v>
      </c>
      <c r="AX237" s="79" t="e">
        <f t="shared" si="401"/>
        <v>#REF!</v>
      </c>
      <c r="AY237" s="79" t="e">
        <f t="shared" si="401"/>
        <v>#REF!</v>
      </c>
      <c r="AZ237" s="79" t="e">
        <f t="shared" si="401"/>
        <v>#REF!</v>
      </c>
      <c r="BA237" s="79" t="e">
        <f t="shared" si="401"/>
        <v>#REF!</v>
      </c>
      <c r="BB237" s="79" t="e">
        <f t="shared" si="401"/>
        <v>#REF!</v>
      </c>
      <c r="BC237" s="79" t="e">
        <f t="shared" si="401"/>
        <v>#REF!</v>
      </c>
      <c r="BD237" s="79" t="e">
        <f t="shared" si="401"/>
        <v>#REF!</v>
      </c>
      <c r="BE237" s="79" t="e">
        <f t="shared" si="401"/>
        <v>#REF!</v>
      </c>
      <c r="BF237" s="79" t="e">
        <f t="shared" si="401"/>
        <v>#REF!</v>
      </c>
      <c r="BG237" s="79" t="e">
        <f t="shared" si="401"/>
        <v>#REF!</v>
      </c>
      <c r="BH237" s="79" t="e">
        <f t="shared" si="401"/>
        <v>#REF!</v>
      </c>
      <c r="BI237" s="79" t="e">
        <f t="shared" si="401"/>
        <v>#REF!</v>
      </c>
      <c r="BJ237" s="79" t="e">
        <f t="shared" si="401"/>
        <v>#REF!</v>
      </c>
      <c r="BK237" s="79" t="e">
        <f t="shared" si="401"/>
        <v>#REF!</v>
      </c>
      <c r="BL237" s="79" t="e">
        <f t="shared" si="401"/>
        <v>#REF!</v>
      </c>
      <c r="BM237" s="79" t="e">
        <f t="shared" si="401"/>
        <v>#REF!</v>
      </c>
      <c r="BN237" s="79" t="e">
        <f t="shared" si="401"/>
        <v>#REF!</v>
      </c>
      <c r="BO237" s="79" t="e">
        <f t="shared" si="401"/>
        <v>#REF!</v>
      </c>
      <c r="BP237" s="79" t="e">
        <f t="shared" si="401"/>
        <v>#REF!</v>
      </c>
      <c r="BQ237" s="79" t="e">
        <f t="shared" si="401"/>
        <v>#REF!</v>
      </c>
      <c r="BR237" s="79" t="e">
        <f t="shared" si="401"/>
        <v>#REF!</v>
      </c>
      <c r="BS237" s="79" t="e">
        <f t="shared" si="401"/>
        <v>#REF!</v>
      </c>
      <c r="BT237" s="79" t="e">
        <f t="shared" si="401"/>
        <v>#REF!</v>
      </c>
      <c r="BU237" s="79" t="e">
        <f t="shared" si="401"/>
        <v>#REF!</v>
      </c>
      <c r="BV237" s="79" t="e">
        <f t="shared" si="401"/>
        <v>#REF!</v>
      </c>
      <c r="BW237" s="79" t="e">
        <f t="shared" si="401"/>
        <v>#REF!</v>
      </c>
      <c r="BX237" s="79" t="e">
        <f t="shared" si="401"/>
        <v>#REF!</v>
      </c>
      <c r="BY237" s="79" t="e">
        <f t="shared" si="401"/>
        <v>#REF!</v>
      </c>
      <c r="BZ237" s="79" t="e">
        <f t="shared" si="401"/>
        <v>#REF!</v>
      </c>
      <c r="CA237" s="79" t="e">
        <f t="shared" si="401"/>
        <v>#REF!</v>
      </c>
      <c r="CB237" s="79" t="e">
        <f t="shared" si="401"/>
        <v>#REF!</v>
      </c>
      <c r="CC237" s="79" t="e">
        <f t="shared" si="401"/>
        <v>#REF!</v>
      </c>
      <c r="CD237" s="79" t="e">
        <f t="shared" si="401"/>
        <v>#REF!</v>
      </c>
      <c r="CE237" s="79" t="e">
        <f t="shared" si="401"/>
        <v>#REF!</v>
      </c>
      <c r="CF237" s="79" t="e">
        <f t="shared" si="401"/>
        <v>#REF!</v>
      </c>
      <c r="CG237" s="79" t="e">
        <f t="shared" si="401"/>
        <v>#REF!</v>
      </c>
      <c r="CH237" s="79" t="e">
        <f t="shared" si="401"/>
        <v>#REF!</v>
      </c>
      <c r="CI237" s="79" t="e">
        <f t="shared" si="401"/>
        <v>#REF!</v>
      </c>
      <c r="CJ237" s="79" t="e">
        <f t="shared" si="401"/>
        <v>#REF!</v>
      </c>
      <c r="CK237" s="79" t="e">
        <f t="shared" si="401"/>
        <v>#REF!</v>
      </c>
      <c r="CL237" s="79" t="e">
        <f t="shared" si="401"/>
        <v>#REF!</v>
      </c>
      <c r="CM237" s="79" t="e">
        <f t="shared" si="401"/>
        <v>#REF!</v>
      </c>
      <c r="CN237" s="79" t="e">
        <f t="shared" si="401"/>
        <v>#REF!</v>
      </c>
      <c r="CO237" s="79" t="e">
        <f t="shared" si="401"/>
        <v>#REF!</v>
      </c>
      <c r="CP237" s="79" t="e">
        <f t="shared" si="401"/>
        <v>#REF!</v>
      </c>
      <c r="CQ237" s="79" t="e">
        <f t="shared" si="401"/>
        <v>#REF!</v>
      </c>
      <c r="CR237" s="79" t="e">
        <f t="shared" si="401"/>
        <v>#REF!</v>
      </c>
      <c r="CS237" s="79" t="e">
        <f t="shared" si="401"/>
        <v>#REF!</v>
      </c>
      <c r="CT237" s="79" t="e">
        <f t="shared" si="401"/>
        <v>#REF!</v>
      </c>
      <c r="CU237" s="79" t="e">
        <f t="shared" si="401"/>
        <v>#REF!</v>
      </c>
      <c r="CV237" s="79" t="e">
        <f t="shared" si="401"/>
        <v>#REF!</v>
      </c>
      <c r="CW237" s="79" t="e">
        <f t="shared" si="401"/>
        <v>#REF!</v>
      </c>
      <c r="CX237" s="79" t="e">
        <f t="shared" ref="CX237:FI237" si="402">SUM(CX227:CX236)</f>
        <v>#REF!</v>
      </c>
      <c r="CY237" s="79" t="e">
        <f t="shared" si="402"/>
        <v>#REF!</v>
      </c>
      <c r="CZ237" s="79" t="e">
        <f t="shared" si="402"/>
        <v>#REF!</v>
      </c>
      <c r="DA237" s="79" t="e">
        <f t="shared" si="402"/>
        <v>#REF!</v>
      </c>
      <c r="DB237" s="79" t="e">
        <f t="shared" si="402"/>
        <v>#REF!</v>
      </c>
      <c r="DC237" s="79" t="e">
        <f t="shared" si="402"/>
        <v>#REF!</v>
      </c>
      <c r="DD237" s="79" t="e">
        <f t="shared" si="402"/>
        <v>#REF!</v>
      </c>
      <c r="DE237" s="79" t="e">
        <f t="shared" si="402"/>
        <v>#REF!</v>
      </c>
      <c r="DF237" s="79" t="e">
        <f t="shared" si="402"/>
        <v>#REF!</v>
      </c>
      <c r="DG237" s="79" t="e">
        <f t="shared" si="402"/>
        <v>#REF!</v>
      </c>
      <c r="DH237" s="79" t="e">
        <f t="shared" si="402"/>
        <v>#REF!</v>
      </c>
      <c r="DI237" s="79" t="e">
        <f t="shared" si="402"/>
        <v>#REF!</v>
      </c>
      <c r="DJ237" s="79" t="e">
        <f t="shared" si="402"/>
        <v>#REF!</v>
      </c>
      <c r="DK237" s="79" t="e">
        <f t="shared" si="402"/>
        <v>#REF!</v>
      </c>
      <c r="DL237" s="79" t="e">
        <f t="shared" si="402"/>
        <v>#REF!</v>
      </c>
      <c r="DM237" s="79" t="e">
        <f t="shared" si="402"/>
        <v>#REF!</v>
      </c>
      <c r="DN237" s="79" t="e">
        <f t="shared" si="402"/>
        <v>#REF!</v>
      </c>
      <c r="DO237" s="79" t="e">
        <f t="shared" si="402"/>
        <v>#REF!</v>
      </c>
      <c r="DP237" s="79" t="e">
        <f t="shared" si="402"/>
        <v>#REF!</v>
      </c>
      <c r="DQ237" s="79" t="e">
        <f t="shared" si="402"/>
        <v>#REF!</v>
      </c>
      <c r="DR237" s="79" t="e">
        <f t="shared" si="402"/>
        <v>#REF!</v>
      </c>
      <c r="DS237" s="79" t="e">
        <f t="shared" si="402"/>
        <v>#REF!</v>
      </c>
      <c r="DT237" s="79" t="e">
        <f t="shared" si="402"/>
        <v>#REF!</v>
      </c>
      <c r="DU237" s="79" t="e">
        <f t="shared" si="402"/>
        <v>#REF!</v>
      </c>
      <c r="DV237" s="79" t="e">
        <f t="shared" si="402"/>
        <v>#REF!</v>
      </c>
      <c r="DW237" s="79" t="e">
        <f t="shared" si="402"/>
        <v>#REF!</v>
      </c>
      <c r="DX237" s="79" t="e">
        <f t="shared" si="402"/>
        <v>#REF!</v>
      </c>
      <c r="DY237" s="79" t="e">
        <f t="shared" si="402"/>
        <v>#REF!</v>
      </c>
      <c r="DZ237" s="79" t="e">
        <f t="shared" si="402"/>
        <v>#REF!</v>
      </c>
      <c r="EA237" s="79" t="e">
        <f t="shared" si="402"/>
        <v>#REF!</v>
      </c>
      <c r="EB237" s="79" t="e">
        <f t="shared" si="402"/>
        <v>#REF!</v>
      </c>
      <c r="EC237" s="79" t="e">
        <f t="shared" si="402"/>
        <v>#REF!</v>
      </c>
      <c r="ED237" s="79" t="e">
        <f t="shared" si="402"/>
        <v>#REF!</v>
      </c>
      <c r="EE237" s="79" t="e">
        <f t="shared" si="402"/>
        <v>#REF!</v>
      </c>
      <c r="EF237" s="79" t="e">
        <f t="shared" si="402"/>
        <v>#REF!</v>
      </c>
      <c r="EG237" s="79" t="e">
        <f t="shared" si="402"/>
        <v>#REF!</v>
      </c>
      <c r="EH237" s="79" t="e">
        <f t="shared" si="402"/>
        <v>#REF!</v>
      </c>
      <c r="EI237" s="79" t="e">
        <f t="shared" si="402"/>
        <v>#REF!</v>
      </c>
      <c r="EJ237" s="79" t="e">
        <f t="shared" si="402"/>
        <v>#REF!</v>
      </c>
      <c r="EK237" s="79" t="e">
        <f t="shared" si="402"/>
        <v>#REF!</v>
      </c>
      <c r="EL237" s="79" t="e">
        <f t="shared" si="402"/>
        <v>#REF!</v>
      </c>
      <c r="EM237" s="79" t="e">
        <f t="shared" si="402"/>
        <v>#REF!</v>
      </c>
      <c r="EN237" s="79" t="e">
        <f t="shared" si="402"/>
        <v>#REF!</v>
      </c>
      <c r="EO237" s="79" t="e">
        <f t="shared" si="402"/>
        <v>#REF!</v>
      </c>
      <c r="EP237" s="79" t="e">
        <f t="shared" si="402"/>
        <v>#REF!</v>
      </c>
      <c r="EQ237" s="79" t="e">
        <f t="shared" si="402"/>
        <v>#REF!</v>
      </c>
      <c r="ER237" s="79" t="e">
        <f t="shared" si="402"/>
        <v>#REF!</v>
      </c>
      <c r="ES237" s="79" t="e">
        <f t="shared" si="402"/>
        <v>#REF!</v>
      </c>
      <c r="ET237" s="79" t="e">
        <f t="shared" si="402"/>
        <v>#REF!</v>
      </c>
      <c r="EU237" s="79" t="e">
        <f t="shared" si="402"/>
        <v>#REF!</v>
      </c>
      <c r="EV237" s="79" t="e">
        <f t="shared" si="402"/>
        <v>#REF!</v>
      </c>
      <c r="EW237" s="79" t="e">
        <f t="shared" si="402"/>
        <v>#REF!</v>
      </c>
      <c r="EX237" s="79" t="e">
        <f t="shared" si="402"/>
        <v>#REF!</v>
      </c>
      <c r="EY237" s="79" t="e">
        <f t="shared" si="402"/>
        <v>#REF!</v>
      </c>
      <c r="EZ237" s="79" t="e">
        <f t="shared" si="402"/>
        <v>#REF!</v>
      </c>
      <c r="FA237" s="79" t="e">
        <f t="shared" si="402"/>
        <v>#REF!</v>
      </c>
      <c r="FB237" s="79" t="e">
        <f t="shared" si="402"/>
        <v>#REF!</v>
      </c>
      <c r="FC237" s="79" t="e">
        <f t="shared" si="402"/>
        <v>#REF!</v>
      </c>
      <c r="FD237" s="79" t="e">
        <f t="shared" si="402"/>
        <v>#REF!</v>
      </c>
      <c r="FE237" s="79" t="e">
        <f t="shared" si="402"/>
        <v>#REF!</v>
      </c>
      <c r="FF237" s="79" t="e">
        <f t="shared" si="402"/>
        <v>#REF!</v>
      </c>
      <c r="FG237" s="79" t="e">
        <f t="shared" si="402"/>
        <v>#REF!</v>
      </c>
      <c r="FH237" s="79" t="e">
        <f t="shared" si="402"/>
        <v>#REF!</v>
      </c>
      <c r="FI237" s="79" t="e">
        <f t="shared" si="402"/>
        <v>#REF!</v>
      </c>
      <c r="FJ237" s="79" t="e">
        <f t="shared" ref="FJ237:GL237" si="403">SUM(FJ227:FJ236)</f>
        <v>#REF!</v>
      </c>
      <c r="FK237" s="79" t="e">
        <f t="shared" si="403"/>
        <v>#REF!</v>
      </c>
      <c r="FL237" s="79" t="e">
        <f t="shared" si="403"/>
        <v>#REF!</v>
      </c>
      <c r="FM237" s="79" t="e">
        <f t="shared" si="403"/>
        <v>#REF!</v>
      </c>
      <c r="FN237" s="79" t="e">
        <f t="shared" si="403"/>
        <v>#REF!</v>
      </c>
      <c r="FO237" s="79" t="e">
        <f t="shared" si="403"/>
        <v>#REF!</v>
      </c>
      <c r="FP237" s="79" t="e">
        <f t="shared" si="403"/>
        <v>#REF!</v>
      </c>
      <c r="FQ237" s="79" t="e">
        <f t="shared" si="403"/>
        <v>#REF!</v>
      </c>
      <c r="FR237" s="79" t="e">
        <f t="shared" si="403"/>
        <v>#REF!</v>
      </c>
      <c r="FS237" s="79" t="e">
        <f t="shared" si="403"/>
        <v>#REF!</v>
      </c>
      <c r="FT237" s="79" t="e">
        <f t="shared" si="403"/>
        <v>#REF!</v>
      </c>
      <c r="FU237" s="79" t="e">
        <f t="shared" si="403"/>
        <v>#REF!</v>
      </c>
      <c r="FV237" s="79" t="e">
        <f t="shared" si="403"/>
        <v>#REF!</v>
      </c>
      <c r="FW237" s="79" t="e">
        <f t="shared" si="403"/>
        <v>#REF!</v>
      </c>
      <c r="FX237" s="79" t="e">
        <f t="shared" si="403"/>
        <v>#REF!</v>
      </c>
      <c r="FY237" s="79" t="e">
        <f t="shared" si="403"/>
        <v>#REF!</v>
      </c>
      <c r="FZ237" s="79" t="e">
        <f t="shared" si="403"/>
        <v>#REF!</v>
      </c>
      <c r="GA237" s="79" t="e">
        <f t="shared" si="403"/>
        <v>#REF!</v>
      </c>
      <c r="GB237" s="79" t="e">
        <f t="shared" si="403"/>
        <v>#REF!</v>
      </c>
      <c r="GC237" s="79" t="e">
        <f t="shared" si="403"/>
        <v>#REF!</v>
      </c>
      <c r="GD237" s="79" t="e">
        <f t="shared" si="403"/>
        <v>#REF!</v>
      </c>
      <c r="GE237" s="79" t="e">
        <f t="shared" si="403"/>
        <v>#REF!</v>
      </c>
      <c r="GF237" s="79" t="e">
        <f t="shared" si="403"/>
        <v>#REF!</v>
      </c>
      <c r="GG237" s="79" t="e">
        <f t="shared" si="403"/>
        <v>#REF!</v>
      </c>
      <c r="GH237" s="79" t="e">
        <f t="shared" si="403"/>
        <v>#REF!</v>
      </c>
      <c r="GI237" s="79" t="e">
        <f t="shared" si="403"/>
        <v>#REF!</v>
      </c>
      <c r="GJ237" s="79" t="e">
        <f t="shared" si="403"/>
        <v>#REF!</v>
      </c>
      <c r="GK237" s="79" t="e">
        <f t="shared" si="403"/>
        <v>#REF!</v>
      </c>
      <c r="GL237" s="79" t="e">
        <f t="shared" si="403"/>
        <v>#REF!</v>
      </c>
      <c r="GM237" s="79" t="e">
        <f t="shared" ref="GM237:GO237" si="404">SUM(GM227:GM236)</f>
        <v>#REF!</v>
      </c>
      <c r="GN237" s="79" t="e">
        <f t="shared" si="404"/>
        <v>#REF!</v>
      </c>
      <c r="GO237" s="79" t="e">
        <f t="shared" si="404"/>
        <v>#REF!</v>
      </c>
      <c r="GP237" s="79" t="e">
        <f t="shared" ref="GP237:HU237" si="405">SUM(GP227:GP236)</f>
        <v>#REF!</v>
      </c>
      <c r="GQ237" s="79" t="e">
        <f t="shared" si="405"/>
        <v>#REF!</v>
      </c>
      <c r="GR237" s="79" t="e">
        <f t="shared" si="405"/>
        <v>#REF!</v>
      </c>
      <c r="GS237" s="79" t="e">
        <f t="shared" si="405"/>
        <v>#REF!</v>
      </c>
      <c r="GT237" s="79" t="e">
        <f t="shared" si="405"/>
        <v>#REF!</v>
      </c>
      <c r="GU237" s="79" t="e">
        <f t="shared" si="405"/>
        <v>#REF!</v>
      </c>
      <c r="GV237" s="79" t="e">
        <f t="shared" si="405"/>
        <v>#REF!</v>
      </c>
      <c r="GW237" s="79" t="e">
        <f t="shared" si="405"/>
        <v>#REF!</v>
      </c>
      <c r="GX237" s="79" t="e">
        <f t="shared" si="405"/>
        <v>#REF!</v>
      </c>
      <c r="GY237" s="79" t="e">
        <f t="shared" si="405"/>
        <v>#REF!</v>
      </c>
      <c r="GZ237" s="79" t="e">
        <f t="shared" si="405"/>
        <v>#REF!</v>
      </c>
      <c r="HA237" s="79" t="e">
        <f t="shared" si="405"/>
        <v>#REF!</v>
      </c>
      <c r="HB237" s="79" t="e">
        <f t="shared" si="405"/>
        <v>#REF!</v>
      </c>
      <c r="HC237" s="79" t="e">
        <f t="shared" si="405"/>
        <v>#REF!</v>
      </c>
      <c r="HD237" s="79" t="e">
        <f t="shared" si="405"/>
        <v>#REF!</v>
      </c>
      <c r="HE237" s="79" t="e">
        <f t="shared" si="405"/>
        <v>#REF!</v>
      </c>
      <c r="HF237" s="79" t="e">
        <f t="shared" si="405"/>
        <v>#REF!</v>
      </c>
      <c r="HG237" s="79" t="e">
        <f t="shared" si="405"/>
        <v>#REF!</v>
      </c>
      <c r="HH237" s="79" t="e">
        <f t="shared" si="405"/>
        <v>#REF!</v>
      </c>
      <c r="HI237" s="79" t="e">
        <f t="shared" si="405"/>
        <v>#REF!</v>
      </c>
      <c r="HJ237" s="79" t="e">
        <f t="shared" si="405"/>
        <v>#REF!</v>
      </c>
      <c r="HK237" s="79" t="e">
        <f t="shared" si="405"/>
        <v>#REF!</v>
      </c>
      <c r="HL237" s="79" t="e">
        <f t="shared" si="405"/>
        <v>#REF!</v>
      </c>
      <c r="HM237" s="79" t="e">
        <f t="shared" si="405"/>
        <v>#REF!</v>
      </c>
      <c r="HN237" s="79" t="e">
        <f t="shared" si="405"/>
        <v>#REF!</v>
      </c>
      <c r="HO237" s="79" t="e">
        <f t="shared" si="405"/>
        <v>#REF!</v>
      </c>
      <c r="HP237" s="79" t="e">
        <f t="shared" si="405"/>
        <v>#REF!</v>
      </c>
      <c r="HQ237" s="79" t="e">
        <f t="shared" si="405"/>
        <v>#REF!</v>
      </c>
      <c r="HR237" s="79" t="e">
        <f t="shared" si="405"/>
        <v>#REF!</v>
      </c>
      <c r="HS237" s="79" t="e">
        <f t="shared" si="405"/>
        <v>#REF!</v>
      </c>
      <c r="HT237" s="79" t="e">
        <f t="shared" si="405"/>
        <v>#REF!</v>
      </c>
      <c r="HU237" s="79" t="e">
        <f t="shared" si="405"/>
        <v>#REF!</v>
      </c>
      <c r="HV237" s="79" t="e">
        <f t="shared" ref="HV237:KE237" si="406">SUM(HV227:HV236)</f>
        <v>#REF!</v>
      </c>
      <c r="HW237" s="79" t="e">
        <f t="shared" si="406"/>
        <v>#REF!</v>
      </c>
      <c r="HX237" s="79" t="e">
        <f t="shared" si="406"/>
        <v>#REF!</v>
      </c>
      <c r="HY237" s="79" t="e">
        <f t="shared" si="406"/>
        <v>#REF!</v>
      </c>
      <c r="HZ237" s="79" t="e">
        <f t="shared" si="406"/>
        <v>#REF!</v>
      </c>
      <c r="IA237" s="79" t="e">
        <f t="shared" si="406"/>
        <v>#REF!</v>
      </c>
      <c r="IB237" s="79" t="e">
        <f t="shared" si="406"/>
        <v>#REF!</v>
      </c>
      <c r="IC237" s="79" t="e">
        <f t="shared" si="406"/>
        <v>#REF!</v>
      </c>
      <c r="ID237" s="79" t="e">
        <f t="shared" si="406"/>
        <v>#REF!</v>
      </c>
      <c r="IE237" s="79" t="e">
        <f t="shared" si="406"/>
        <v>#REF!</v>
      </c>
      <c r="IF237" s="79" t="e">
        <f t="shared" si="406"/>
        <v>#REF!</v>
      </c>
      <c r="IG237" s="79" t="e">
        <f t="shared" si="406"/>
        <v>#REF!</v>
      </c>
      <c r="IH237" s="79" t="e">
        <f t="shared" si="406"/>
        <v>#REF!</v>
      </c>
      <c r="II237" s="79" t="e">
        <f t="shared" si="406"/>
        <v>#REF!</v>
      </c>
      <c r="IJ237" s="79" t="e">
        <f t="shared" si="406"/>
        <v>#REF!</v>
      </c>
      <c r="IK237" s="79" t="e">
        <f t="shared" si="406"/>
        <v>#REF!</v>
      </c>
      <c r="IL237" s="79" t="e">
        <f t="shared" si="406"/>
        <v>#REF!</v>
      </c>
      <c r="IM237" s="79" t="e">
        <f t="shared" si="406"/>
        <v>#REF!</v>
      </c>
      <c r="IN237" s="79" t="e">
        <f t="shared" si="406"/>
        <v>#REF!</v>
      </c>
      <c r="IO237" s="79" t="e">
        <f t="shared" si="406"/>
        <v>#REF!</v>
      </c>
      <c r="IP237" s="79" t="e">
        <f t="shared" si="406"/>
        <v>#REF!</v>
      </c>
      <c r="IQ237" s="79" t="e">
        <f t="shared" si="406"/>
        <v>#REF!</v>
      </c>
      <c r="IR237" s="79" t="e">
        <f t="shared" si="406"/>
        <v>#REF!</v>
      </c>
      <c r="IS237" s="79" t="e">
        <f t="shared" si="406"/>
        <v>#REF!</v>
      </c>
      <c r="IT237" s="79" t="e">
        <f t="shared" si="406"/>
        <v>#REF!</v>
      </c>
      <c r="IU237" s="79" t="e">
        <f t="shared" si="406"/>
        <v>#REF!</v>
      </c>
      <c r="IV237" s="79" t="e">
        <f t="shared" si="406"/>
        <v>#REF!</v>
      </c>
      <c r="IW237" s="79" t="e">
        <f t="shared" si="406"/>
        <v>#REF!</v>
      </c>
      <c r="IX237" s="79" t="e">
        <f t="shared" si="406"/>
        <v>#REF!</v>
      </c>
      <c r="IY237" s="79" t="e">
        <f t="shared" si="406"/>
        <v>#REF!</v>
      </c>
      <c r="IZ237" s="79" t="e">
        <f t="shared" si="406"/>
        <v>#REF!</v>
      </c>
      <c r="JA237" s="79" t="e">
        <f t="shared" si="406"/>
        <v>#REF!</v>
      </c>
      <c r="JB237" s="79" t="e">
        <f t="shared" si="406"/>
        <v>#REF!</v>
      </c>
      <c r="JC237" s="79" t="e">
        <f t="shared" si="406"/>
        <v>#REF!</v>
      </c>
      <c r="JD237" s="79" t="e">
        <f t="shared" si="406"/>
        <v>#REF!</v>
      </c>
      <c r="JE237" s="79" t="e">
        <f t="shared" si="406"/>
        <v>#REF!</v>
      </c>
      <c r="JF237" s="79" t="e">
        <f t="shared" si="406"/>
        <v>#REF!</v>
      </c>
      <c r="JG237" s="79" t="e">
        <f t="shared" si="406"/>
        <v>#REF!</v>
      </c>
      <c r="JH237" s="79" t="e">
        <f t="shared" si="406"/>
        <v>#REF!</v>
      </c>
      <c r="JI237" s="79" t="e">
        <f t="shared" si="406"/>
        <v>#REF!</v>
      </c>
      <c r="JJ237" s="79" t="e">
        <f t="shared" si="406"/>
        <v>#REF!</v>
      </c>
      <c r="JK237" s="79" t="e">
        <f t="shared" si="406"/>
        <v>#REF!</v>
      </c>
      <c r="JL237" s="79" t="e">
        <f t="shared" si="406"/>
        <v>#REF!</v>
      </c>
      <c r="JM237" s="79" t="e">
        <f t="shared" si="406"/>
        <v>#REF!</v>
      </c>
      <c r="JN237" s="79" t="e">
        <f t="shared" si="406"/>
        <v>#REF!</v>
      </c>
      <c r="JO237" s="79" t="e">
        <f t="shared" si="406"/>
        <v>#REF!</v>
      </c>
      <c r="JP237" s="79" t="e">
        <f t="shared" si="406"/>
        <v>#REF!</v>
      </c>
      <c r="JQ237" s="79" t="e">
        <f t="shared" si="406"/>
        <v>#REF!</v>
      </c>
      <c r="JR237" s="79" t="e">
        <f t="shared" si="406"/>
        <v>#REF!</v>
      </c>
      <c r="JS237" s="79" t="e">
        <f t="shared" si="406"/>
        <v>#REF!</v>
      </c>
      <c r="JT237" s="79" t="e">
        <f t="shared" si="406"/>
        <v>#REF!</v>
      </c>
      <c r="JU237" s="79" t="e">
        <f t="shared" si="406"/>
        <v>#REF!</v>
      </c>
      <c r="JV237" s="79" t="e">
        <f t="shared" si="406"/>
        <v>#REF!</v>
      </c>
      <c r="JW237" s="79" t="e">
        <f t="shared" si="406"/>
        <v>#REF!</v>
      </c>
      <c r="JX237" s="79" t="e">
        <f t="shared" si="406"/>
        <v>#REF!</v>
      </c>
      <c r="JY237" s="79" t="e">
        <f t="shared" si="406"/>
        <v>#REF!</v>
      </c>
      <c r="JZ237" s="79" t="e">
        <f t="shared" si="406"/>
        <v>#REF!</v>
      </c>
      <c r="KA237" s="79" t="e">
        <f t="shared" si="406"/>
        <v>#REF!</v>
      </c>
      <c r="KB237" s="79" t="e">
        <f t="shared" si="406"/>
        <v>#REF!</v>
      </c>
      <c r="KC237" s="79" t="e">
        <f t="shared" si="406"/>
        <v>#REF!</v>
      </c>
      <c r="KD237" s="79" t="e">
        <f t="shared" si="406"/>
        <v>#REF!</v>
      </c>
      <c r="KE237" s="79" t="e">
        <f t="shared" si="406"/>
        <v>#REF!</v>
      </c>
      <c r="KF237" s="79" t="e">
        <f t="shared" ref="KF237:MQ237" si="407">SUM(KF227:KF236)</f>
        <v>#REF!</v>
      </c>
      <c r="KG237" s="79" t="e">
        <f t="shared" si="407"/>
        <v>#REF!</v>
      </c>
      <c r="KH237" s="79" t="e">
        <f t="shared" si="407"/>
        <v>#REF!</v>
      </c>
      <c r="KI237" s="79" t="e">
        <f t="shared" si="407"/>
        <v>#REF!</v>
      </c>
      <c r="KJ237" s="79" t="e">
        <f t="shared" si="407"/>
        <v>#REF!</v>
      </c>
      <c r="KK237" s="79" t="e">
        <f t="shared" si="407"/>
        <v>#REF!</v>
      </c>
      <c r="KL237" s="79" t="e">
        <f t="shared" si="407"/>
        <v>#REF!</v>
      </c>
      <c r="KM237" s="79" t="e">
        <f t="shared" si="407"/>
        <v>#REF!</v>
      </c>
      <c r="KN237" s="79" t="e">
        <f t="shared" si="407"/>
        <v>#REF!</v>
      </c>
      <c r="KO237" s="79" t="e">
        <f t="shared" si="407"/>
        <v>#REF!</v>
      </c>
      <c r="KP237" s="79" t="e">
        <f t="shared" si="407"/>
        <v>#REF!</v>
      </c>
      <c r="KQ237" s="79" t="e">
        <f t="shared" si="407"/>
        <v>#REF!</v>
      </c>
      <c r="KR237" s="79" t="e">
        <f t="shared" si="407"/>
        <v>#REF!</v>
      </c>
      <c r="KS237" s="79" t="e">
        <f t="shared" si="407"/>
        <v>#REF!</v>
      </c>
      <c r="KT237" s="79" t="e">
        <f t="shared" si="407"/>
        <v>#REF!</v>
      </c>
      <c r="KU237" s="79" t="e">
        <f t="shared" si="407"/>
        <v>#REF!</v>
      </c>
      <c r="KV237" s="79" t="e">
        <f t="shared" si="407"/>
        <v>#REF!</v>
      </c>
      <c r="KW237" s="79" t="e">
        <f t="shared" si="407"/>
        <v>#REF!</v>
      </c>
      <c r="KX237" s="79" t="e">
        <f t="shared" si="407"/>
        <v>#REF!</v>
      </c>
      <c r="KY237" s="79" t="e">
        <f t="shared" si="407"/>
        <v>#REF!</v>
      </c>
      <c r="KZ237" s="79" t="e">
        <f t="shared" si="407"/>
        <v>#REF!</v>
      </c>
      <c r="LA237" s="79" t="e">
        <f t="shared" si="407"/>
        <v>#REF!</v>
      </c>
      <c r="LB237" s="79" t="e">
        <f t="shared" si="407"/>
        <v>#REF!</v>
      </c>
      <c r="LC237" s="79" t="e">
        <f t="shared" si="407"/>
        <v>#REF!</v>
      </c>
      <c r="LD237" s="79" t="e">
        <f t="shared" si="407"/>
        <v>#REF!</v>
      </c>
      <c r="LE237" s="79" t="e">
        <f t="shared" si="407"/>
        <v>#REF!</v>
      </c>
      <c r="LF237" s="79" t="e">
        <f t="shared" si="407"/>
        <v>#REF!</v>
      </c>
      <c r="LG237" s="79" t="e">
        <f t="shared" si="407"/>
        <v>#REF!</v>
      </c>
      <c r="LH237" s="79" t="e">
        <f t="shared" si="407"/>
        <v>#REF!</v>
      </c>
      <c r="LI237" s="79" t="e">
        <f t="shared" si="407"/>
        <v>#REF!</v>
      </c>
      <c r="LJ237" s="79" t="e">
        <f t="shared" si="407"/>
        <v>#REF!</v>
      </c>
      <c r="LK237" s="79" t="e">
        <f t="shared" si="407"/>
        <v>#REF!</v>
      </c>
      <c r="LL237" s="79" t="e">
        <f t="shared" si="407"/>
        <v>#REF!</v>
      </c>
      <c r="LM237" s="79" t="e">
        <f t="shared" si="407"/>
        <v>#REF!</v>
      </c>
      <c r="LN237" s="79" t="e">
        <f t="shared" si="407"/>
        <v>#REF!</v>
      </c>
      <c r="LO237" s="79" t="e">
        <f t="shared" si="407"/>
        <v>#REF!</v>
      </c>
      <c r="LP237" s="79" t="e">
        <f t="shared" si="407"/>
        <v>#REF!</v>
      </c>
      <c r="LQ237" s="79" t="e">
        <f t="shared" si="407"/>
        <v>#REF!</v>
      </c>
      <c r="LR237" s="79" t="e">
        <f t="shared" si="407"/>
        <v>#REF!</v>
      </c>
      <c r="LS237" s="79" t="e">
        <f t="shared" si="407"/>
        <v>#REF!</v>
      </c>
      <c r="LT237" s="79" t="e">
        <f t="shared" si="407"/>
        <v>#REF!</v>
      </c>
      <c r="LU237" s="79" t="e">
        <f t="shared" si="407"/>
        <v>#REF!</v>
      </c>
      <c r="LV237" s="79" t="e">
        <f t="shared" si="407"/>
        <v>#REF!</v>
      </c>
      <c r="LW237" s="79" t="e">
        <f t="shared" si="407"/>
        <v>#REF!</v>
      </c>
      <c r="LX237" s="79" t="e">
        <f t="shared" si="407"/>
        <v>#REF!</v>
      </c>
      <c r="LY237" s="79" t="e">
        <f t="shared" si="407"/>
        <v>#REF!</v>
      </c>
      <c r="LZ237" s="79" t="e">
        <f t="shared" si="407"/>
        <v>#REF!</v>
      </c>
      <c r="MA237" s="79" t="e">
        <f t="shared" si="407"/>
        <v>#REF!</v>
      </c>
      <c r="MB237" s="79" t="e">
        <f t="shared" si="407"/>
        <v>#REF!</v>
      </c>
      <c r="MC237" s="79" t="e">
        <f t="shared" si="407"/>
        <v>#REF!</v>
      </c>
      <c r="MD237" s="79" t="e">
        <f t="shared" si="407"/>
        <v>#REF!</v>
      </c>
      <c r="ME237" s="79" t="e">
        <f t="shared" si="407"/>
        <v>#REF!</v>
      </c>
      <c r="MF237" s="79" t="e">
        <f t="shared" si="407"/>
        <v>#REF!</v>
      </c>
      <c r="MG237" s="79" t="e">
        <f t="shared" si="407"/>
        <v>#REF!</v>
      </c>
      <c r="MH237" s="79" t="e">
        <f t="shared" si="407"/>
        <v>#REF!</v>
      </c>
      <c r="MI237" s="79" t="e">
        <f t="shared" si="407"/>
        <v>#REF!</v>
      </c>
      <c r="MJ237" s="79" t="e">
        <f t="shared" si="407"/>
        <v>#REF!</v>
      </c>
      <c r="MK237" s="79" t="e">
        <f t="shared" si="407"/>
        <v>#REF!</v>
      </c>
      <c r="ML237" s="79" t="e">
        <f t="shared" si="407"/>
        <v>#REF!</v>
      </c>
      <c r="MM237" s="79" t="e">
        <f t="shared" si="407"/>
        <v>#REF!</v>
      </c>
      <c r="MN237" s="79" t="e">
        <f t="shared" si="407"/>
        <v>#REF!</v>
      </c>
      <c r="MO237" s="79" t="e">
        <f t="shared" si="407"/>
        <v>#REF!</v>
      </c>
      <c r="MP237" s="79" t="e">
        <f t="shared" si="407"/>
        <v>#REF!</v>
      </c>
      <c r="MQ237" s="79" t="e">
        <f t="shared" si="407"/>
        <v>#REF!</v>
      </c>
      <c r="MR237" s="79" t="e">
        <f t="shared" ref="MR237:PC237" si="408">SUM(MR227:MR236)</f>
        <v>#REF!</v>
      </c>
      <c r="MS237" s="79" t="e">
        <f t="shared" si="408"/>
        <v>#REF!</v>
      </c>
      <c r="MT237" s="79" t="e">
        <f t="shared" si="408"/>
        <v>#REF!</v>
      </c>
      <c r="MU237" s="79" t="e">
        <f t="shared" si="408"/>
        <v>#REF!</v>
      </c>
      <c r="MV237" s="79" t="e">
        <f t="shared" si="408"/>
        <v>#REF!</v>
      </c>
      <c r="MW237" s="79" t="e">
        <f t="shared" si="408"/>
        <v>#REF!</v>
      </c>
      <c r="MX237" s="79" t="e">
        <f t="shared" si="408"/>
        <v>#REF!</v>
      </c>
      <c r="MY237" s="79" t="e">
        <f t="shared" si="408"/>
        <v>#REF!</v>
      </c>
      <c r="MZ237" s="79" t="e">
        <f t="shared" si="408"/>
        <v>#REF!</v>
      </c>
      <c r="NA237" s="79" t="e">
        <f t="shared" si="408"/>
        <v>#REF!</v>
      </c>
      <c r="NB237" s="79" t="e">
        <f t="shared" si="408"/>
        <v>#REF!</v>
      </c>
      <c r="NC237" s="79" t="e">
        <f t="shared" si="408"/>
        <v>#REF!</v>
      </c>
      <c r="ND237" s="79" t="e">
        <f t="shared" si="408"/>
        <v>#REF!</v>
      </c>
      <c r="NE237" s="79" t="e">
        <f t="shared" si="408"/>
        <v>#REF!</v>
      </c>
      <c r="NF237" s="79" t="e">
        <f t="shared" si="408"/>
        <v>#REF!</v>
      </c>
      <c r="NG237" s="79" t="e">
        <f t="shared" si="408"/>
        <v>#REF!</v>
      </c>
      <c r="NH237" s="79" t="e">
        <f t="shared" si="408"/>
        <v>#REF!</v>
      </c>
      <c r="NI237" s="79" t="e">
        <f t="shared" si="408"/>
        <v>#REF!</v>
      </c>
      <c r="NJ237" s="79" t="e">
        <f t="shared" si="408"/>
        <v>#REF!</v>
      </c>
      <c r="NK237" s="79" t="e">
        <f t="shared" si="408"/>
        <v>#REF!</v>
      </c>
      <c r="NL237" s="79" t="e">
        <f t="shared" si="408"/>
        <v>#REF!</v>
      </c>
      <c r="NM237" s="79" t="e">
        <f t="shared" si="408"/>
        <v>#REF!</v>
      </c>
      <c r="NN237" s="79" t="e">
        <f t="shared" si="408"/>
        <v>#REF!</v>
      </c>
      <c r="NO237" s="79" t="e">
        <f t="shared" si="408"/>
        <v>#REF!</v>
      </c>
      <c r="NP237" s="79" t="e">
        <f t="shared" si="408"/>
        <v>#REF!</v>
      </c>
      <c r="NQ237" s="79" t="e">
        <f t="shared" si="408"/>
        <v>#REF!</v>
      </c>
      <c r="NR237" s="79" t="e">
        <f t="shared" si="408"/>
        <v>#REF!</v>
      </c>
      <c r="NS237" s="79" t="e">
        <f t="shared" si="408"/>
        <v>#REF!</v>
      </c>
      <c r="NT237" s="79" t="e">
        <f t="shared" si="408"/>
        <v>#REF!</v>
      </c>
      <c r="NU237" s="79" t="e">
        <f t="shared" si="408"/>
        <v>#REF!</v>
      </c>
      <c r="NV237" s="79" t="e">
        <f t="shared" si="408"/>
        <v>#REF!</v>
      </c>
      <c r="NW237" s="79" t="e">
        <f t="shared" si="408"/>
        <v>#REF!</v>
      </c>
      <c r="NX237" s="79" t="e">
        <f t="shared" si="408"/>
        <v>#REF!</v>
      </c>
      <c r="NY237" s="79" t="e">
        <f t="shared" si="408"/>
        <v>#REF!</v>
      </c>
      <c r="NZ237" s="79" t="e">
        <f t="shared" si="408"/>
        <v>#REF!</v>
      </c>
      <c r="OA237" s="79" t="e">
        <f t="shared" si="408"/>
        <v>#REF!</v>
      </c>
      <c r="OB237" s="79" t="e">
        <f t="shared" si="408"/>
        <v>#REF!</v>
      </c>
      <c r="OC237" s="79" t="e">
        <f t="shared" si="408"/>
        <v>#REF!</v>
      </c>
      <c r="OD237" s="79" t="e">
        <f t="shared" si="408"/>
        <v>#REF!</v>
      </c>
      <c r="OE237" s="79" t="e">
        <f t="shared" si="408"/>
        <v>#REF!</v>
      </c>
      <c r="OF237" s="79" t="e">
        <f t="shared" si="408"/>
        <v>#REF!</v>
      </c>
      <c r="OG237" s="79" t="e">
        <f t="shared" si="408"/>
        <v>#REF!</v>
      </c>
      <c r="OH237" s="79" t="e">
        <f t="shared" si="408"/>
        <v>#REF!</v>
      </c>
      <c r="OI237" s="79" t="e">
        <f t="shared" si="408"/>
        <v>#REF!</v>
      </c>
      <c r="OJ237" s="79" t="e">
        <f t="shared" si="408"/>
        <v>#REF!</v>
      </c>
      <c r="OK237" s="79" t="e">
        <f t="shared" si="408"/>
        <v>#REF!</v>
      </c>
      <c r="OL237" s="79" t="e">
        <f t="shared" si="408"/>
        <v>#REF!</v>
      </c>
      <c r="OM237" s="79" t="e">
        <f t="shared" si="408"/>
        <v>#REF!</v>
      </c>
      <c r="ON237" s="79" t="e">
        <f t="shared" si="408"/>
        <v>#REF!</v>
      </c>
      <c r="OO237" s="79" t="e">
        <f t="shared" si="408"/>
        <v>#REF!</v>
      </c>
      <c r="OP237" s="79" t="e">
        <f t="shared" si="408"/>
        <v>#REF!</v>
      </c>
      <c r="OQ237" s="79" t="e">
        <f t="shared" si="408"/>
        <v>#REF!</v>
      </c>
      <c r="OR237" s="79" t="e">
        <f t="shared" si="408"/>
        <v>#REF!</v>
      </c>
      <c r="OS237" s="79" t="e">
        <f t="shared" si="408"/>
        <v>#REF!</v>
      </c>
      <c r="OT237" s="79" t="e">
        <f t="shared" si="408"/>
        <v>#REF!</v>
      </c>
      <c r="OU237" s="79" t="e">
        <f t="shared" si="408"/>
        <v>#REF!</v>
      </c>
      <c r="OV237" s="79" t="e">
        <f t="shared" si="408"/>
        <v>#REF!</v>
      </c>
      <c r="OW237" s="79" t="e">
        <f t="shared" si="408"/>
        <v>#REF!</v>
      </c>
      <c r="OX237" s="79" t="e">
        <f t="shared" si="408"/>
        <v>#REF!</v>
      </c>
      <c r="OY237" s="79" t="e">
        <f t="shared" si="408"/>
        <v>#REF!</v>
      </c>
      <c r="OZ237" s="79" t="e">
        <f t="shared" si="408"/>
        <v>#REF!</v>
      </c>
      <c r="PA237" s="79" t="e">
        <f t="shared" si="408"/>
        <v>#REF!</v>
      </c>
      <c r="PB237" s="79" t="e">
        <f t="shared" si="408"/>
        <v>#REF!</v>
      </c>
      <c r="PC237" s="79" t="e">
        <f t="shared" si="408"/>
        <v>#REF!</v>
      </c>
      <c r="PD237" s="79" t="e">
        <f t="shared" ref="PD237:RO237" si="409">SUM(PD227:PD236)</f>
        <v>#REF!</v>
      </c>
      <c r="PE237" s="79" t="e">
        <f t="shared" si="409"/>
        <v>#REF!</v>
      </c>
      <c r="PF237" s="79" t="e">
        <f t="shared" si="409"/>
        <v>#REF!</v>
      </c>
      <c r="PG237" s="79" t="e">
        <f t="shared" si="409"/>
        <v>#REF!</v>
      </c>
      <c r="PH237" s="79" t="e">
        <f t="shared" si="409"/>
        <v>#REF!</v>
      </c>
      <c r="PI237" s="79" t="e">
        <f t="shared" si="409"/>
        <v>#REF!</v>
      </c>
      <c r="PJ237" s="79" t="e">
        <f t="shared" si="409"/>
        <v>#REF!</v>
      </c>
      <c r="PK237" s="79" t="e">
        <f t="shared" si="409"/>
        <v>#REF!</v>
      </c>
      <c r="PL237" s="79" t="e">
        <f t="shared" si="409"/>
        <v>#REF!</v>
      </c>
      <c r="PM237" s="79" t="e">
        <f t="shared" si="409"/>
        <v>#REF!</v>
      </c>
      <c r="PN237" s="79" t="e">
        <f t="shared" si="409"/>
        <v>#REF!</v>
      </c>
      <c r="PO237" s="79" t="e">
        <f t="shared" si="409"/>
        <v>#REF!</v>
      </c>
      <c r="PP237" s="79" t="e">
        <f t="shared" si="409"/>
        <v>#REF!</v>
      </c>
      <c r="PQ237" s="79" t="e">
        <f t="shared" si="409"/>
        <v>#REF!</v>
      </c>
      <c r="PR237" s="79" t="e">
        <f t="shared" si="409"/>
        <v>#REF!</v>
      </c>
      <c r="PS237" s="79" t="e">
        <f t="shared" si="409"/>
        <v>#REF!</v>
      </c>
      <c r="PT237" s="79" t="e">
        <f t="shared" si="409"/>
        <v>#REF!</v>
      </c>
      <c r="PU237" s="79" t="e">
        <f t="shared" si="409"/>
        <v>#REF!</v>
      </c>
      <c r="PV237" s="79" t="e">
        <f t="shared" si="409"/>
        <v>#REF!</v>
      </c>
      <c r="PW237" s="79" t="e">
        <f t="shared" si="409"/>
        <v>#REF!</v>
      </c>
      <c r="PX237" s="79" t="e">
        <f t="shared" si="409"/>
        <v>#REF!</v>
      </c>
      <c r="PY237" s="79" t="e">
        <f t="shared" si="409"/>
        <v>#REF!</v>
      </c>
      <c r="PZ237" s="79" t="e">
        <f t="shared" si="409"/>
        <v>#REF!</v>
      </c>
      <c r="QA237" s="79" t="e">
        <f t="shared" si="409"/>
        <v>#REF!</v>
      </c>
      <c r="QB237" s="79" t="e">
        <f t="shared" si="409"/>
        <v>#REF!</v>
      </c>
      <c r="QC237" s="79" t="e">
        <f t="shared" si="409"/>
        <v>#REF!</v>
      </c>
      <c r="QD237" s="79" t="e">
        <f t="shared" si="409"/>
        <v>#REF!</v>
      </c>
      <c r="QE237" s="79" t="e">
        <f t="shared" si="409"/>
        <v>#REF!</v>
      </c>
      <c r="QF237" s="79" t="e">
        <f t="shared" si="409"/>
        <v>#REF!</v>
      </c>
      <c r="QG237" s="79" t="e">
        <f t="shared" si="409"/>
        <v>#REF!</v>
      </c>
      <c r="QH237" s="79" t="e">
        <f t="shared" si="409"/>
        <v>#REF!</v>
      </c>
      <c r="QI237" s="79" t="e">
        <f t="shared" si="409"/>
        <v>#REF!</v>
      </c>
      <c r="QJ237" s="79" t="e">
        <f t="shared" si="409"/>
        <v>#REF!</v>
      </c>
      <c r="QK237" s="79" t="e">
        <f t="shared" si="409"/>
        <v>#REF!</v>
      </c>
      <c r="QL237" s="79" t="e">
        <f t="shared" si="409"/>
        <v>#REF!</v>
      </c>
      <c r="QM237" s="79" t="e">
        <f t="shared" si="409"/>
        <v>#REF!</v>
      </c>
      <c r="QN237" s="79" t="e">
        <f t="shared" si="409"/>
        <v>#REF!</v>
      </c>
      <c r="QO237" s="79" t="e">
        <f t="shared" si="409"/>
        <v>#REF!</v>
      </c>
      <c r="QP237" s="79" t="e">
        <f t="shared" si="409"/>
        <v>#REF!</v>
      </c>
      <c r="QQ237" s="79" t="e">
        <f t="shared" si="409"/>
        <v>#REF!</v>
      </c>
      <c r="QR237" s="79" t="e">
        <f t="shared" si="409"/>
        <v>#REF!</v>
      </c>
      <c r="QS237" s="79" t="e">
        <f t="shared" si="409"/>
        <v>#REF!</v>
      </c>
      <c r="QT237" s="79" t="e">
        <f t="shared" si="409"/>
        <v>#REF!</v>
      </c>
      <c r="QU237" s="79" t="e">
        <f t="shared" si="409"/>
        <v>#REF!</v>
      </c>
      <c r="QV237" s="79" t="e">
        <f t="shared" si="409"/>
        <v>#REF!</v>
      </c>
      <c r="QW237" s="79" t="e">
        <f t="shared" si="409"/>
        <v>#REF!</v>
      </c>
      <c r="QX237" s="79" t="e">
        <f t="shared" si="409"/>
        <v>#REF!</v>
      </c>
      <c r="QY237" s="79" t="e">
        <f t="shared" si="409"/>
        <v>#REF!</v>
      </c>
      <c r="QZ237" s="79" t="e">
        <f t="shared" si="409"/>
        <v>#REF!</v>
      </c>
      <c r="RA237" s="79" t="e">
        <f t="shared" si="409"/>
        <v>#REF!</v>
      </c>
      <c r="RB237" s="79" t="e">
        <f t="shared" si="409"/>
        <v>#REF!</v>
      </c>
      <c r="RC237" s="79" t="e">
        <f t="shared" si="409"/>
        <v>#REF!</v>
      </c>
      <c r="RD237" s="79" t="e">
        <f t="shared" si="409"/>
        <v>#REF!</v>
      </c>
      <c r="RE237" s="79" t="e">
        <f t="shared" si="409"/>
        <v>#REF!</v>
      </c>
      <c r="RF237" s="79" t="e">
        <f t="shared" si="409"/>
        <v>#REF!</v>
      </c>
      <c r="RG237" s="79" t="e">
        <f t="shared" si="409"/>
        <v>#REF!</v>
      </c>
      <c r="RH237" s="79" t="e">
        <f t="shared" si="409"/>
        <v>#REF!</v>
      </c>
      <c r="RI237" s="79" t="e">
        <f t="shared" si="409"/>
        <v>#REF!</v>
      </c>
      <c r="RJ237" s="79" t="e">
        <f t="shared" si="409"/>
        <v>#REF!</v>
      </c>
      <c r="RK237" s="79" t="e">
        <f t="shared" si="409"/>
        <v>#REF!</v>
      </c>
      <c r="RL237" s="79" t="e">
        <f t="shared" si="409"/>
        <v>#REF!</v>
      </c>
      <c r="RM237" s="79" t="e">
        <f t="shared" si="409"/>
        <v>#REF!</v>
      </c>
      <c r="RN237" s="79" t="e">
        <f t="shared" si="409"/>
        <v>#REF!</v>
      </c>
      <c r="RO237" s="79" t="e">
        <f t="shared" si="409"/>
        <v>#REF!</v>
      </c>
      <c r="RP237" s="79" t="e">
        <f t="shared" ref="RP237:UA237" si="410">SUM(RP227:RP236)</f>
        <v>#REF!</v>
      </c>
      <c r="RQ237" s="79" t="e">
        <f t="shared" si="410"/>
        <v>#REF!</v>
      </c>
      <c r="RR237" s="79" t="e">
        <f t="shared" si="410"/>
        <v>#REF!</v>
      </c>
      <c r="RS237" s="79" t="e">
        <f t="shared" si="410"/>
        <v>#REF!</v>
      </c>
      <c r="RT237" s="79" t="e">
        <f t="shared" si="410"/>
        <v>#REF!</v>
      </c>
      <c r="RU237" s="79" t="e">
        <f t="shared" si="410"/>
        <v>#REF!</v>
      </c>
      <c r="RV237" s="79" t="e">
        <f t="shared" si="410"/>
        <v>#REF!</v>
      </c>
      <c r="RW237" s="79" t="e">
        <f t="shared" si="410"/>
        <v>#REF!</v>
      </c>
      <c r="RX237" s="79" t="e">
        <f t="shared" si="410"/>
        <v>#REF!</v>
      </c>
      <c r="RY237" s="79" t="e">
        <f t="shared" si="410"/>
        <v>#REF!</v>
      </c>
      <c r="RZ237" s="79" t="e">
        <f t="shared" si="410"/>
        <v>#REF!</v>
      </c>
      <c r="SA237" s="79" t="e">
        <f t="shared" si="410"/>
        <v>#REF!</v>
      </c>
      <c r="SB237" s="79" t="e">
        <f t="shared" si="410"/>
        <v>#REF!</v>
      </c>
      <c r="SC237" s="79" t="e">
        <f t="shared" si="410"/>
        <v>#REF!</v>
      </c>
      <c r="SD237" s="79" t="e">
        <f t="shared" si="410"/>
        <v>#REF!</v>
      </c>
      <c r="SE237" s="79" t="e">
        <f t="shared" si="410"/>
        <v>#REF!</v>
      </c>
      <c r="SF237" s="79" t="e">
        <f t="shared" si="410"/>
        <v>#REF!</v>
      </c>
      <c r="SG237" s="79" t="e">
        <f t="shared" si="410"/>
        <v>#REF!</v>
      </c>
      <c r="SH237" s="79" t="e">
        <f t="shared" si="410"/>
        <v>#REF!</v>
      </c>
      <c r="SI237" s="79" t="e">
        <f t="shared" si="410"/>
        <v>#REF!</v>
      </c>
      <c r="SJ237" s="79" t="e">
        <f t="shared" si="410"/>
        <v>#REF!</v>
      </c>
      <c r="SK237" s="79" t="e">
        <f t="shared" si="410"/>
        <v>#REF!</v>
      </c>
      <c r="SL237" s="79" t="e">
        <f t="shared" si="410"/>
        <v>#REF!</v>
      </c>
      <c r="SM237" s="79" t="e">
        <f t="shared" si="410"/>
        <v>#REF!</v>
      </c>
      <c r="SN237" s="79" t="e">
        <f t="shared" si="410"/>
        <v>#REF!</v>
      </c>
      <c r="SO237" s="79" t="e">
        <f t="shared" si="410"/>
        <v>#REF!</v>
      </c>
      <c r="SP237" s="79" t="e">
        <f t="shared" si="410"/>
        <v>#REF!</v>
      </c>
      <c r="SQ237" s="79" t="e">
        <f t="shared" si="410"/>
        <v>#REF!</v>
      </c>
      <c r="SR237" s="79" t="e">
        <f t="shared" si="410"/>
        <v>#REF!</v>
      </c>
      <c r="SS237" s="79" t="e">
        <f t="shared" si="410"/>
        <v>#REF!</v>
      </c>
      <c r="ST237" s="79" t="e">
        <f t="shared" si="410"/>
        <v>#REF!</v>
      </c>
      <c r="SU237" s="79" t="e">
        <f t="shared" si="410"/>
        <v>#REF!</v>
      </c>
      <c r="SV237" s="79" t="e">
        <f t="shared" si="410"/>
        <v>#REF!</v>
      </c>
      <c r="SW237" s="79" t="e">
        <f t="shared" si="410"/>
        <v>#REF!</v>
      </c>
      <c r="SX237" s="79" t="e">
        <f t="shared" si="410"/>
        <v>#REF!</v>
      </c>
      <c r="SY237" s="79" t="e">
        <f t="shared" si="410"/>
        <v>#REF!</v>
      </c>
      <c r="SZ237" s="79" t="e">
        <f t="shared" si="410"/>
        <v>#REF!</v>
      </c>
      <c r="TA237" s="79" t="e">
        <f t="shared" si="410"/>
        <v>#REF!</v>
      </c>
      <c r="TB237" s="79" t="e">
        <f t="shared" si="410"/>
        <v>#REF!</v>
      </c>
      <c r="TC237" s="79" t="e">
        <f t="shared" si="410"/>
        <v>#REF!</v>
      </c>
      <c r="TD237" s="79" t="e">
        <f t="shared" si="410"/>
        <v>#REF!</v>
      </c>
      <c r="TE237" s="79" t="e">
        <f t="shared" si="410"/>
        <v>#REF!</v>
      </c>
      <c r="TF237" s="79" t="e">
        <f t="shared" si="410"/>
        <v>#REF!</v>
      </c>
      <c r="TG237" s="79" t="e">
        <f t="shared" si="410"/>
        <v>#REF!</v>
      </c>
      <c r="TH237" s="79" t="e">
        <f t="shared" si="410"/>
        <v>#REF!</v>
      </c>
      <c r="TI237" s="79" t="e">
        <f t="shared" si="410"/>
        <v>#REF!</v>
      </c>
      <c r="TJ237" s="79" t="e">
        <f t="shared" si="410"/>
        <v>#REF!</v>
      </c>
      <c r="TK237" s="79" t="e">
        <f t="shared" si="410"/>
        <v>#REF!</v>
      </c>
      <c r="TL237" s="79" t="e">
        <f t="shared" si="410"/>
        <v>#REF!</v>
      </c>
      <c r="TM237" s="79" t="e">
        <f t="shared" si="410"/>
        <v>#REF!</v>
      </c>
      <c r="TN237" s="79" t="e">
        <f t="shared" si="410"/>
        <v>#REF!</v>
      </c>
      <c r="TO237" s="79" t="e">
        <f t="shared" si="410"/>
        <v>#REF!</v>
      </c>
      <c r="TP237" s="79" t="e">
        <f t="shared" si="410"/>
        <v>#REF!</v>
      </c>
      <c r="TQ237" s="79" t="e">
        <f t="shared" si="410"/>
        <v>#REF!</v>
      </c>
      <c r="TR237" s="79" t="e">
        <f t="shared" si="410"/>
        <v>#REF!</v>
      </c>
      <c r="TS237" s="79" t="e">
        <f t="shared" si="410"/>
        <v>#REF!</v>
      </c>
      <c r="TT237" s="79" t="e">
        <f t="shared" si="410"/>
        <v>#REF!</v>
      </c>
      <c r="TU237" s="79" t="e">
        <f t="shared" si="410"/>
        <v>#REF!</v>
      </c>
      <c r="TV237" s="79" t="e">
        <f t="shared" si="410"/>
        <v>#REF!</v>
      </c>
      <c r="TW237" s="79" t="e">
        <f t="shared" si="410"/>
        <v>#REF!</v>
      </c>
      <c r="TX237" s="79" t="e">
        <f t="shared" si="410"/>
        <v>#REF!</v>
      </c>
      <c r="TY237" s="79" t="e">
        <f t="shared" si="410"/>
        <v>#REF!</v>
      </c>
      <c r="TZ237" s="79" t="e">
        <f t="shared" si="410"/>
        <v>#REF!</v>
      </c>
      <c r="UA237" s="79" t="e">
        <f t="shared" si="410"/>
        <v>#REF!</v>
      </c>
      <c r="UB237" s="79" t="e">
        <f t="shared" ref="UB237:WM237" si="411">SUM(UB227:UB236)</f>
        <v>#REF!</v>
      </c>
      <c r="UC237" s="79" t="e">
        <f t="shared" si="411"/>
        <v>#REF!</v>
      </c>
      <c r="UD237" s="79" t="e">
        <f t="shared" si="411"/>
        <v>#REF!</v>
      </c>
      <c r="UE237" s="79" t="e">
        <f t="shared" si="411"/>
        <v>#REF!</v>
      </c>
      <c r="UF237" s="79" t="e">
        <f t="shared" si="411"/>
        <v>#REF!</v>
      </c>
      <c r="UG237" s="79" t="e">
        <f t="shared" si="411"/>
        <v>#REF!</v>
      </c>
      <c r="UH237" s="79" t="e">
        <f t="shared" si="411"/>
        <v>#REF!</v>
      </c>
      <c r="UI237" s="79" t="e">
        <f t="shared" si="411"/>
        <v>#REF!</v>
      </c>
      <c r="UJ237" s="79" t="e">
        <f t="shared" si="411"/>
        <v>#REF!</v>
      </c>
      <c r="UK237" s="79" t="e">
        <f t="shared" si="411"/>
        <v>#REF!</v>
      </c>
      <c r="UL237" s="79" t="e">
        <f t="shared" si="411"/>
        <v>#REF!</v>
      </c>
      <c r="UM237" s="79" t="e">
        <f t="shared" si="411"/>
        <v>#REF!</v>
      </c>
      <c r="UN237" s="79" t="e">
        <f t="shared" si="411"/>
        <v>#REF!</v>
      </c>
      <c r="UO237" s="79" t="e">
        <f t="shared" si="411"/>
        <v>#REF!</v>
      </c>
      <c r="UP237" s="79" t="e">
        <f t="shared" si="411"/>
        <v>#REF!</v>
      </c>
      <c r="UQ237" s="79" t="e">
        <f t="shared" si="411"/>
        <v>#REF!</v>
      </c>
      <c r="UR237" s="79" t="e">
        <f t="shared" si="411"/>
        <v>#REF!</v>
      </c>
      <c r="US237" s="79" t="e">
        <f t="shared" si="411"/>
        <v>#REF!</v>
      </c>
      <c r="UT237" s="79" t="e">
        <f t="shared" si="411"/>
        <v>#REF!</v>
      </c>
      <c r="UU237" s="79" t="e">
        <f t="shared" si="411"/>
        <v>#REF!</v>
      </c>
      <c r="UV237" s="79" t="e">
        <f t="shared" si="411"/>
        <v>#REF!</v>
      </c>
      <c r="UW237" s="79" t="e">
        <f t="shared" si="411"/>
        <v>#REF!</v>
      </c>
      <c r="UX237" s="79" t="e">
        <f t="shared" si="411"/>
        <v>#REF!</v>
      </c>
      <c r="UY237" s="79" t="e">
        <f t="shared" si="411"/>
        <v>#REF!</v>
      </c>
      <c r="UZ237" s="79" t="e">
        <f t="shared" si="411"/>
        <v>#REF!</v>
      </c>
      <c r="VA237" s="79" t="e">
        <f t="shared" si="411"/>
        <v>#REF!</v>
      </c>
      <c r="VB237" s="79" t="e">
        <f t="shared" si="411"/>
        <v>#REF!</v>
      </c>
      <c r="VC237" s="79" t="e">
        <f t="shared" si="411"/>
        <v>#REF!</v>
      </c>
      <c r="VD237" s="79" t="e">
        <f t="shared" si="411"/>
        <v>#REF!</v>
      </c>
      <c r="VE237" s="79" t="e">
        <f t="shared" si="411"/>
        <v>#REF!</v>
      </c>
      <c r="VF237" s="79" t="e">
        <f t="shared" si="411"/>
        <v>#REF!</v>
      </c>
      <c r="VG237" s="79" t="e">
        <f t="shared" si="411"/>
        <v>#REF!</v>
      </c>
      <c r="VH237" s="79" t="e">
        <f t="shared" si="411"/>
        <v>#REF!</v>
      </c>
      <c r="VI237" s="79" t="e">
        <f t="shared" si="411"/>
        <v>#REF!</v>
      </c>
      <c r="VJ237" s="79" t="e">
        <f t="shared" si="411"/>
        <v>#REF!</v>
      </c>
      <c r="VK237" s="79" t="e">
        <f t="shared" si="411"/>
        <v>#REF!</v>
      </c>
      <c r="VL237" s="79" t="e">
        <f t="shared" si="411"/>
        <v>#REF!</v>
      </c>
      <c r="VM237" s="79" t="e">
        <f t="shared" si="411"/>
        <v>#REF!</v>
      </c>
      <c r="VN237" s="79" t="e">
        <f t="shared" si="411"/>
        <v>#REF!</v>
      </c>
      <c r="VO237" s="79" t="e">
        <f t="shared" si="411"/>
        <v>#REF!</v>
      </c>
      <c r="VP237" s="79" t="e">
        <f t="shared" si="411"/>
        <v>#REF!</v>
      </c>
      <c r="VQ237" s="79" t="e">
        <f t="shared" si="411"/>
        <v>#REF!</v>
      </c>
      <c r="VR237" s="79" t="e">
        <f t="shared" si="411"/>
        <v>#REF!</v>
      </c>
      <c r="VS237" s="79" t="e">
        <f t="shared" si="411"/>
        <v>#REF!</v>
      </c>
      <c r="VT237" s="79" t="e">
        <f t="shared" si="411"/>
        <v>#REF!</v>
      </c>
      <c r="VU237" s="79" t="e">
        <f t="shared" si="411"/>
        <v>#REF!</v>
      </c>
      <c r="VV237" s="79" t="e">
        <f t="shared" si="411"/>
        <v>#REF!</v>
      </c>
      <c r="VW237" s="79" t="e">
        <f t="shared" si="411"/>
        <v>#REF!</v>
      </c>
      <c r="VX237" s="79" t="e">
        <f t="shared" si="411"/>
        <v>#REF!</v>
      </c>
      <c r="VY237" s="79" t="e">
        <f t="shared" si="411"/>
        <v>#REF!</v>
      </c>
      <c r="VZ237" s="79" t="e">
        <f t="shared" si="411"/>
        <v>#REF!</v>
      </c>
      <c r="WA237" s="79" t="e">
        <f t="shared" si="411"/>
        <v>#REF!</v>
      </c>
      <c r="WB237" s="79" t="e">
        <f t="shared" si="411"/>
        <v>#REF!</v>
      </c>
      <c r="WC237" s="79" t="e">
        <f t="shared" si="411"/>
        <v>#REF!</v>
      </c>
      <c r="WD237" s="79" t="e">
        <f t="shared" si="411"/>
        <v>#REF!</v>
      </c>
      <c r="WE237" s="79" t="e">
        <f t="shared" si="411"/>
        <v>#REF!</v>
      </c>
      <c r="WF237" s="79" t="e">
        <f t="shared" si="411"/>
        <v>#REF!</v>
      </c>
      <c r="WG237" s="79" t="e">
        <f t="shared" si="411"/>
        <v>#REF!</v>
      </c>
      <c r="WH237" s="79" t="e">
        <f t="shared" si="411"/>
        <v>#REF!</v>
      </c>
      <c r="WI237" s="79" t="e">
        <f t="shared" si="411"/>
        <v>#REF!</v>
      </c>
      <c r="WJ237" s="79" t="e">
        <f t="shared" si="411"/>
        <v>#REF!</v>
      </c>
      <c r="WK237" s="79" t="e">
        <f t="shared" si="411"/>
        <v>#REF!</v>
      </c>
      <c r="WL237" s="79" t="e">
        <f t="shared" si="411"/>
        <v>#REF!</v>
      </c>
      <c r="WM237" s="79" t="e">
        <f t="shared" si="411"/>
        <v>#REF!</v>
      </c>
      <c r="WN237" s="79" t="e">
        <f t="shared" ref="WN237:YY237" si="412">SUM(WN227:WN236)</f>
        <v>#REF!</v>
      </c>
      <c r="WO237" s="79" t="e">
        <f t="shared" si="412"/>
        <v>#REF!</v>
      </c>
      <c r="WP237" s="79" t="e">
        <f t="shared" si="412"/>
        <v>#REF!</v>
      </c>
      <c r="WQ237" s="79" t="e">
        <f t="shared" si="412"/>
        <v>#REF!</v>
      </c>
      <c r="WR237" s="79" t="e">
        <f t="shared" si="412"/>
        <v>#REF!</v>
      </c>
      <c r="WS237" s="79" t="e">
        <f t="shared" si="412"/>
        <v>#REF!</v>
      </c>
      <c r="WT237" s="79" t="e">
        <f t="shared" si="412"/>
        <v>#REF!</v>
      </c>
      <c r="WU237" s="79" t="e">
        <f t="shared" si="412"/>
        <v>#REF!</v>
      </c>
      <c r="WV237" s="79" t="e">
        <f t="shared" si="412"/>
        <v>#REF!</v>
      </c>
      <c r="WW237" s="79" t="e">
        <f t="shared" si="412"/>
        <v>#REF!</v>
      </c>
      <c r="WX237" s="79" t="e">
        <f t="shared" si="412"/>
        <v>#REF!</v>
      </c>
      <c r="WY237" s="79" t="e">
        <f t="shared" si="412"/>
        <v>#REF!</v>
      </c>
      <c r="WZ237" s="79" t="e">
        <f t="shared" si="412"/>
        <v>#REF!</v>
      </c>
      <c r="XA237" s="79" t="e">
        <f t="shared" si="412"/>
        <v>#REF!</v>
      </c>
      <c r="XB237" s="79" t="e">
        <f t="shared" si="412"/>
        <v>#REF!</v>
      </c>
      <c r="XC237" s="79" t="e">
        <f t="shared" si="412"/>
        <v>#REF!</v>
      </c>
      <c r="XD237" s="79" t="e">
        <f t="shared" si="412"/>
        <v>#REF!</v>
      </c>
      <c r="XE237" s="79" t="e">
        <f t="shared" si="412"/>
        <v>#REF!</v>
      </c>
      <c r="XF237" s="79" t="e">
        <f t="shared" si="412"/>
        <v>#REF!</v>
      </c>
      <c r="XG237" s="79" t="e">
        <f t="shared" si="412"/>
        <v>#REF!</v>
      </c>
      <c r="XH237" s="79" t="e">
        <f t="shared" si="412"/>
        <v>#REF!</v>
      </c>
      <c r="XI237" s="79" t="e">
        <f t="shared" si="412"/>
        <v>#REF!</v>
      </c>
      <c r="XJ237" s="79" t="e">
        <f t="shared" si="412"/>
        <v>#REF!</v>
      </c>
      <c r="XK237" s="79" t="e">
        <f t="shared" si="412"/>
        <v>#REF!</v>
      </c>
      <c r="XL237" s="79" t="e">
        <f t="shared" si="412"/>
        <v>#REF!</v>
      </c>
      <c r="XM237" s="79" t="e">
        <f t="shared" si="412"/>
        <v>#REF!</v>
      </c>
      <c r="XN237" s="79" t="e">
        <f t="shared" si="412"/>
        <v>#REF!</v>
      </c>
      <c r="XO237" s="79" t="e">
        <f t="shared" si="412"/>
        <v>#REF!</v>
      </c>
      <c r="XP237" s="79" t="e">
        <f t="shared" si="412"/>
        <v>#REF!</v>
      </c>
      <c r="XQ237" s="79" t="e">
        <f t="shared" si="412"/>
        <v>#REF!</v>
      </c>
      <c r="XR237" s="79" t="e">
        <f t="shared" si="412"/>
        <v>#REF!</v>
      </c>
      <c r="XS237" s="79" t="e">
        <f t="shared" si="412"/>
        <v>#REF!</v>
      </c>
      <c r="XT237" s="79" t="e">
        <f t="shared" si="412"/>
        <v>#REF!</v>
      </c>
      <c r="XU237" s="79" t="e">
        <f t="shared" si="412"/>
        <v>#REF!</v>
      </c>
      <c r="XV237" s="79" t="e">
        <f t="shared" si="412"/>
        <v>#REF!</v>
      </c>
      <c r="XW237" s="79" t="e">
        <f t="shared" si="412"/>
        <v>#REF!</v>
      </c>
      <c r="XX237" s="79" t="e">
        <f t="shared" si="412"/>
        <v>#REF!</v>
      </c>
      <c r="XY237" s="79" t="e">
        <f t="shared" si="412"/>
        <v>#REF!</v>
      </c>
      <c r="XZ237" s="79" t="e">
        <f t="shared" si="412"/>
        <v>#REF!</v>
      </c>
      <c r="YA237" s="79" t="e">
        <f t="shared" si="412"/>
        <v>#REF!</v>
      </c>
      <c r="YB237" s="79" t="e">
        <f t="shared" si="412"/>
        <v>#REF!</v>
      </c>
      <c r="YC237" s="79" t="e">
        <f t="shared" si="412"/>
        <v>#REF!</v>
      </c>
      <c r="YD237" s="79" t="e">
        <f t="shared" si="412"/>
        <v>#REF!</v>
      </c>
      <c r="YE237" s="79" t="e">
        <f t="shared" si="412"/>
        <v>#REF!</v>
      </c>
      <c r="YF237" s="79" t="e">
        <f t="shared" si="412"/>
        <v>#REF!</v>
      </c>
      <c r="YG237" s="79" t="e">
        <f t="shared" si="412"/>
        <v>#REF!</v>
      </c>
      <c r="YH237" s="79" t="e">
        <f t="shared" si="412"/>
        <v>#REF!</v>
      </c>
      <c r="YI237" s="79" t="e">
        <f t="shared" si="412"/>
        <v>#REF!</v>
      </c>
      <c r="YJ237" s="79" t="e">
        <f t="shared" si="412"/>
        <v>#REF!</v>
      </c>
      <c r="YK237" s="79" t="e">
        <f t="shared" si="412"/>
        <v>#REF!</v>
      </c>
      <c r="YL237" s="79" t="e">
        <f t="shared" si="412"/>
        <v>#REF!</v>
      </c>
      <c r="YM237" s="79" t="e">
        <f t="shared" si="412"/>
        <v>#REF!</v>
      </c>
      <c r="YN237" s="79" t="e">
        <f t="shared" si="412"/>
        <v>#REF!</v>
      </c>
      <c r="YO237" s="79" t="e">
        <f t="shared" si="412"/>
        <v>#REF!</v>
      </c>
      <c r="YP237" s="79" t="e">
        <f t="shared" si="412"/>
        <v>#REF!</v>
      </c>
      <c r="YQ237" s="79" t="e">
        <f t="shared" si="412"/>
        <v>#REF!</v>
      </c>
      <c r="YR237" s="79" t="e">
        <f t="shared" si="412"/>
        <v>#REF!</v>
      </c>
      <c r="YS237" s="79" t="e">
        <f t="shared" si="412"/>
        <v>#REF!</v>
      </c>
      <c r="YT237" s="79" t="e">
        <f t="shared" si="412"/>
        <v>#REF!</v>
      </c>
      <c r="YU237" s="79" t="e">
        <f t="shared" si="412"/>
        <v>#REF!</v>
      </c>
      <c r="YV237" s="79" t="e">
        <f t="shared" si="412"/>
        <v>#REF!</v>
      </c>
      <c r="YW237" s="79" t="e">
        <f t="shared" si="412"/>
        <v>#REF!</v>
      </c>
      <c r="YX237" s="79" t="e">
        <f t="shared" si="412"/>
        <v>#REF!</v>
      </c>
      <c r="YY237" s="79" t="e">
        <f t="shared" si="412"/>
        <v>#REF!</v>
      </c>
      <c r="YZ237" s="79" t="e">
        <f t="shared" ref="YZ237:ABK237" si="413">SUM(YZ227:YZ236)</f>
        <v>#REF!</v>
      </c>
      <c r="ZA237" s="79" t="e">
        <f t="shared" si="413"/>
        <v>#REF!</v>
      </c>
      <c r="ZB237" s="79" t="e">
        <f t="shared" si="413"/>
        <v>#REF!</v>
      </c>
      <c r="ZC237" s="79" t="e">
        <f t="shared" si="413"/>
        <v>#REF!</v>
      </c>
      <c r="ZD237" s="79" t="e">
        <f t="shared" si="413"/>
        <v>#REF!</v>
      </c>
      <c r="ZE237" s="79" t="e">
        <f t="shared" si="413"/>
        <v>#REF!</v>
      </c>
      <c r="ZF237" s="79" t="e">
        <f t="shared" si="413"/>
        <v>#REF!</v>
      </c>
      <c r="ZG237" s="79" t="e">
        <f t="shared" si="413"/>
        <v>#REF!</v>
      </c>
      <c r="ZH237" s="79" t="e">
        <f t="shared" si="413"/>
        <v>#REF!</v>
      </c>
      <c r="ZI237" s="79" t="e">
        <f t="shared" si="413"/>
        <v>#REF!</v>
      </c>
      <c r="ZJ237" s="79" t="e">
        <f t="shared" si="413"/>
        <v>#REF!</v>
      </c>
      <c r="ZK237" s="79" t="e">
        <f t="shared" si="413"/>
        <v>#REF!</v>
      </c>
      <c r="ZL237" s="79" t="e">
        <f t="shared" si="413"/>
        <v>#REF!</v>
      </c>
      <c r="ZM237" s="79" t="e">
        <f t="shared" si="413"/>
        <v>#REF!</v>
      </c>
      <c r="ZN237" s="79" t="e">
        <f t="shared" si="413"/>
        <v>#REF!</v>
      </c>
      <c r="ZO237" s="79" t="e">
        <f t="shared" si="413"/>
        <v>#REF!</v>
      </c>
      <c r="ZP237" s="79" t="e">
        <f t="shared" si="413"/>
        <v>#REF!</v>
      </c>
      <c r="ZQ237" s="79" t="e">
        <f t="shared" si="413"/>
        <v>#REF!</v>
      </c>
      <c r="ZR237" s="79" t="e">
        <f t="shared" si="413"/>
        <v>#REF!</v>
      </c>
      <c r="ZS237" s="79" t="e">
        <f t="shared" si="413"/>
        <v>#REF!</v>
      </c>
      <c r="ZT237" s="79" t="e">
        <f t="shared" si="413"/>
        <v>#REF!</v>
      </c>
      <c r="ZU237" s="79" t="e">
        <f t="shared" si="413"/>
        <v>#REF!</v>
      </c>
      <c r="ZV237" s="79" t="e">
        <f t="shared" si="413"/>
        <v>#REF!</v>
      </c>
      <c r="ZW237" s="79" t="e">
        <f t="shared" si="413"/>
        <v>#REF!</v>
      </c>
      <c r="ZX237" s="79" t="e">
        <f t="shared" si="413"/>
        <v>#REF!</v>
      </c>
      <c r="ZY237" s="79" t="e">
        <f t="shared" si="413"/>
        <v>#REF!</v>
      </c>
      <c r="ZZ237" s="79" t="e">
        <f t="shared" si="413"/>
        <v>#REF!</v>
      </c>
      <c r="AAA237" s="79" t="e">
        <f t="shared" si="413"/>
        <v>#REF!</v>
      </c>
      <c r="AAB237" s="79" t="e">
        <f t="shared" si="413"/>
        <v>#REF!</v>
      </c>
      <c r="AAC237" s="79" t="e">
        <f t="shared" si="413"/>
        <v>#REF!</v>
      </c>
      <c r="AAD237" s="79" t="e">
        <f t="shared" si="413"/>
        <v>#REF!</v>
      </c>
      <c r="AAE237" s="79" t="e">
        <f t="shared" si="413"/>
        <v>#REF!</v>
      </c>
      <c r="AAF237" s="79" t="e">
        <f t="shared" si="413"/>
        <v>#REF!</v>
      </c>
      <c r="AAG237" s="79" t="e">
        <f t="shared" si="413"/>
        <v>#REF!</v>
      </c>
      <c r="AAH237" s="79" t="e">
        <f t="shared" si="413"/>
        <v>#REF!</v>
      </c>
      <c r="AAI237" s="79" t="e">
        <f t="shared" si="413"/>
        <v>#REF!</v>
      </c>
      <c r="AAJ237" s="79" t="e">
        <f t="shared" si="413"/>
        <v>#REF!</v>
      </c>
      <c r="AAK237" s="79" t="e">
        <f t="shared" si="413"/>
        <v>#REF!</v>
      </c>
      <c r="AAL237" s="79" t="e">
        <f t="shared" si="413"/>
        <v>#REF!</v>
      </c>
      <c r="AAM237" s="79" t="e">
        <f t="shared" si="413"/>
        <v>#REF!</v>
      </c>
      <c r="AAN237" s="79" t="e">
        <f t="shared" si="413"/>
        <v>#REF!</v>
      </c>
      <c r="AAO237" s="79" t="e">
        <f t="shared" si="413"/>
        <v>#REF!</v>
      </c>
      <c r="AAP237" s="79" t="e">
        <f t="shared" si="413"/>
        <v>#REF!</v>
      </c>
      <c r="AAQ237" s="79" t="e">
        <f t="shared" si="413"/>
        <v>#REF!</v>
      </c>
      <c r="AAR237" s="79" t="e">
        <f t="shared" si="413"/>
        <v>#REF!</v>
      </c>
      <c r="AAS237" s="79" t="e">
        <f t="shared" si="413"/>
        <v>#REF!</v>
      </c>
      <c r="AAT237" s="79" t="e">
        <f t="shared" si="413"/>
        <v>#REF!</v>
      </c>
      <c r="AAU237" s="79" t="e">
        <f t="shared" si="413"/>
        <v>#REF!</v>
      </c>
      <c r="AAV237" s="79" t="e">
        <f t="shared" si="413"/>
        <v>#REF!</v>
      </c>
      <c r="AAW237" s="79" t="e">
        <f t="shared" si="413"/>
        <v>#REF!</v>
      </c>
      <c r="AAX237" s="79" t="e">
        <f t="shared" si="413"/>
        <v>#REF!</v>
      </c>
      <c r="AAY237" s="79" t="e">
        <f t="shared" si="413"/>
        <v>#REF!</v>
      </c>
      <c r="AAZ237" s="79" t="e">
        <f t="shared" si="413"/>
        <v>#REF!</v>
      </c>
      <c r="ABA237" s="79" t="e">
        <f t="shared" si="413"/>
        <v>#REF!</v>
      </c>
      <c r="ABB237" s="79" t="e">
        <f t="shared" si="413"/>
        <v>#REF!</v>
      </c>
      <c r="ABC237" s="79" t="e">
        <f t="shared" si="413"/>
        <v>#REF!</v>
      </c>
      <c r="ABD237" s="79" t="e">
        <f t="shared" si="413"/>
        <v>#REF!</v>
      </c>
      <c r="ABE237" s="79" t="e">
        <f t="shared" si="413"/>
        <v>#REF!</v>
      </c>
      <c r="ABF237" s="79" t="e">
        <f t="shared" si="413"/>
        <v>#REF!</v>
      </c>
      <c r="ABG237" s="79" t="e">
        <f t="shared" si="413"/>
        <v>#REF!</v>
      </c>
      <c r="ABH237" s="79" t="e">
        <f t="shared" si="413"/>
        <v>#REF!</v>
      </c>
      <c r="ABI237" s="79" t="e">
        <f t="shared" si="413"/>
        <v>#REF!</v>
      </c>
      <c r="ABJ237" s="79" t="e">
        <f t="shared" si="413"/>
        <v>#REF!</v>
      </c>
      <c r="ABK237" s="79" t="e">
        <f t="shared" si="413"/>
        <v>#REF!</v>
      </c>
      <c r="ABL237" s="79" t="e">
        <f t="shared" ref="ABL237:ACX237" si="414">SUM(ABL227:ABL236)</f>
        <v>#REF!</v>
      </c>
      <c r="ABM237" s="79" t="e">
        <f t="shared" si="414"/>
        <v>#REF!</v>
      </c>
      <c r="ABN237" s="79" t="e">
        <f t="shared" si="414"/>
        <v>#REF!</v>
      </c>
      <c r="ABO237" s="79" t="e">
        <f t="shared" si="414"/>
        <v>#REF!</v>
      </c>
      <c r="ABP237" s="79" t="e">
        <f t="shared" si="414"/>
        <v>#REF!</v>
      </c>
      <c r="ABQ237" s="79" t="e">
        <f t="shared" si="414"/>
        <v>#REF!</v>
      </c>
      <c r="ABR237" s="79" t="e">
        <f t="shared" si="414"/>
        <v>#REF!</v>
      </c>
      <c r="ABS237" s="79" t="e">
        <f t="shared" si="414"/>
        <v>#REF!</v>
      </c>
      <c r="ABT237" s="79" t="e">
        <f t="shared" si="414"/>
        <v>#REF!</v>
      </c>
      <c r="ABU237" s="79" t="e">
        <f t="shared" si="414"/>
        <v>#REF!</v>
      </c>
      <c r="ABV237" s="79" t="e">
        <f t="shared" si="414"/>
        <v>#REF!</v>
      </c>
      <c r="ABW237" s="79" t="e">
        <f t="shared" si="414"/>
        <v>#REF!</v>
      </c>
      <c r="ABX237" s="79" t="e">
        <f t="shared" si="414"/>
        <v>#REF!</v>
      </c>
      <c r="ABY237" s="79" t="e">
        <f t="shared" si="414"/>
        <v>#REF!</v>
      </c>
      <c r="ABZ237" s="79" t="e">
        <f t="shared" si="414"/>
        <v>#REF!</v>
      </c>
      <c r="ACA237" s="79" t="e">
        <f t="shared" si="414"/>
        <v>#REF!</v>
      </c>
      <c r="ACB237" s="79" t="e">
        <f t="shared" si="414"/>
        <v>#REF!</v>
      </c>
      <c r="ACC237" s="79" t="e">
        <f t="shared" si="414"/>
        <v>#REF!</v>
      </c>
      <c r="ACD237" s="79" t="e">
        <f t="shared" si="414"/>
        <v>#REF!</v>
      </c>
      <c r="ACE237" s="79" t="e">
        <f t="shared" si="414"/>
        <v>#REF!</v>
      </c>
      <c r="ACF237" s="79" t="e">
        <f t="shared" si="414"/>
        <v>#REF!</v>
      </c>
      <c r="ACG237" s="79" t="e">
        <f t="shared" si="414"/>
        <v>#REF!</v>
      </c>
      <c r="ACH237" s="79" t="e">
        <f t="shared" si="414"/>
        <v>#REF!</v>
      </c>
      <c r="ACI237" s="79" t="e">
        <f t="shared" si="414"/>
        <v>#REF!</v>
      </c>
      <c r="ACJ237" s="79" t="e">
        <f t="shared" si="414"/>
        <v>#REF!</v>
      </c>
      <c r="ACK237" s="79" t="e">
        <f t="shared" si="414"/>
        <v>#REF!</v>
      </c>
      <c r="ACL237" s="79" t="e">
        <f t="shared" si="414"/>
        <v>#REF!</v>
      </c>
      <c r="ACM237" s="79" t="e">
        <f t="shared" si="414"/>
        <v>#REF!</v>
      </c>
      <c r="ACN237" s="79" t="e">
        <f t="shared" si="414"/>
        <v>#REF!</v>
      </c>
      <c r="ACO237" s="79" t="e">
        <f t="shared" si="414"/>
        <v>#REF!</v>
      </c>
      <c r="ACP237" s="79" t="e">
        <f t="shared" si="414"/>
        <v>#REF!</v>
      </c>
      <c r="ACQ237" s="79" t="e">
        <f t="shared" si="414"/>
        <v>#REF!</v>
      </c>
      <c r="ACR237" s="79" t="e">
        <f t="shared" si="414"/>
        <v>#REF!</v>
      </c>
      <c r="ACS237" s="79" t="e">
        <f t="shared" si="414"/>
        <v>#REF!</v>
      </c>
      <c r="ACT237" s="79" t="e">
        <f t="shared" si="414"/>
        <v>#REF!</v>
      </c>
      <c r="ACU237" s="79" t="e">
        <f t="shared" si="414"/>
        <v>#REF!</v>
      </c>
      <c r="ACV237" s="79" t="e">
        <f t="shared" si="414"/>
        <v>#REF!</v>
      </c>
      <c r="ACW237" s="79" t="e">
        <f t="shared" si="414"/>
        <v>#REF!</v>
      </c>
      <c r="ACX237" s="79" t="e">
        <f t="shared" si="414"/>
        <v>#REF!</v>
      </c>
      <c r="ACY237" s="79"/>
      <c r="ACZ237" s="79"/>
      <c r="ADA237" s="79"/>
      <c r="ADB237" s="79"/>
      <c r="ADC237" s="79"/>
      <c r="ADD237" s="79"/>
      <c r="ADE237" s="79"/>
      <c r="ADF237" s="79"/>
      <c r="ADG237" s="79"/>
      <c r="ADH237" s="79"/>
      <c r="ADI237" s="79"/>
      <c r="ADJ237" s="79"/>
      <c r="ADK237" s="79"/>
      <c r="ADL237" s="79"/>
      <c r="ADM237" s="79"/>
      <c r="ADN237" s="79"/>
      <c r="AQP237" s="165"/>
    </row>
    <row r="238" spans="4:794 1134:1134" ht="14.25" x14ac:dyDescent="0.45">
      <c r="AQP238" s="165"/>
    </row>
    <row r="239" spans="4:794 1134:1134" ht="14.25" x14ac:dyDescent="0.45">
      <c r="AQP239" s="165"/>
    </row>
    <row r="240" spans="4:794 1134:1134" ht="14.25" x14ac:dyDescent="0.45">
      <c r="AQP240" s="165"/>
    </row>
    <row r="241" spans="1134:1349" ht="14.25" x14ac:dyDescent="0.45">
      <c r="AQP241" s="165"/>
    </row>
    <row r="242" spans="1134:1349" ht="14.25" x14ac:dyDescent="0.45">
      <c r="AQP242" s="165"/>
    </row>
    <row r="243" spans="1134:1349" ht="14.25" x14ac:dyDescent="0.45">
      <c r="AQP243" s="165"/>
    </row>
    <row r="244" spans="1134:1349" ht="14.25" x14ac:dyDescent="0.45">
      <c r="AQP244" s="165"/>
    </row>
    <row r="245" spans="1134:1349" ht="14.25" x14ac:dyDescent="0.45">
      <c r="AQP245" s="2"/>
    </row>
    <row r="247" spans="1134:1349" ht="15" customHeight="1" x14ac:dyDescent="0.45">
      <c r="ATR247" s="78" t="e">
        <f>#REF!*#REF!</f>
        <v>#REF!</v>
      </c>
      <c r="AUK247">
        <v>20.309999999999999</v>
      </c>
      <c r="AUL247">
        <v>25.3</v>
      </c>
      <c r="AUM247">
        <v>30.46</v>
      </c>
      <c r="AYW247" s="79" t="e">
        <f>#REF!*#REF!/1000</f>
        <v>#REF!</v>
      </c>
    </row>
  </sheetData>
  <sheetProtection autoFilter="0"/>
  <protectedRanges>
    <protectedRange algorithmName="SHA-512" hashValue="PRZSteFpmfxieq6q3HGjWLpTQ56lsxyI5KwoKr2hqNsenCKsC5LtCCCI4D83xhlDhIJxWiJemMC63jg3Rk8etw==" saltValue="/iAEg71XhPZQjmhuj8DvLg==" spinCount="100000" sqref="AX5 AU169:AX170 AX171 E176:AX176 E208:AX208 E194:AX199 E90:AX98 W169:AT169 E17:AX19 E46:AX68 E132:AX143 E6:T15 W6:AX15 U5:V15 E163:AX165 E146:AX154 E30:AX31 E21:AX28 E169:V170 E101:AX102 E77:AX83 E70:AX73 E106:AX111 E190:AX192 E161:AX161 E157:AX157" name="Range1"/>
    <protectedRange algorithmName="SHA-512" hashValue="PRZSteFpmfxieq6q3HGjWLpTQ56lsxyI5KwoKr2hqNsenCKsC5LtCCCI4D83xhlDhIJxWiJemMC63jg3Rk8etw==" saltValue="/iAEg71XhPZQjmhuj8DvLg==" spinCount="100000" sqref="W5:AW5 E5:T5 W170:AT170" name="Range1_22_22"/>
  </protectedRanges>
  <phoneticPr fontId="5" type="noConversion"/>
  <dataValidations count="4">
    <dataValidation type="list" allowBlank="1" showInputMessage="1" showErrorMessage="1" sqref="E187:AW189" xr:uid="{DC7232D9-3935-40A2-94D8-22846C31A148}">
      <formula1>"Yes,No"</formula1>
    </dataValidation>
    <dataValidation type="list" allowBlank="1" showInputMessage="1" showErrorMessage="1" sqref="E7:AW7" xr:uid="{6EB69392-82A0-4B6F-82E6-CE89C9C4F5FF}">
      <formula1>INDIRECT(E$6)</formula1>
    </dataValidation>
    <dataValidation type="date" allowBlank="1" showInputMessage="1" showErrorMessage="1" sqref="E5:AW5" xr:uid="{8C878091-4447-4234-BBA1-8F365AFF8ACE}">
      <formula1>44927</formula1>
      <formula2>46477</formula2>
    </dataValidation>
    <dataValidation type="list" allowBlank="1" showInputMessage="1" showErrorMessage="1" sqref="E6:AW6" xr:uid="{288B4EAD-60FB-4739-8FEF-AF632C2C0553}">
      <formula1>"Domestic,Export"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8756F1E-E69C-4C66-8479-0252DD087048}">
          <x14:formula1>
            <xm:f>Master!#REF!</xm:f>
          </x14:formula1>
          <xm:sqref>AX7:AX8</xm:sqref>
        </x14:dataValidation>
        <x14:dataValidation type="list" allowBlank="1" showInputMessage="1" showErrorMessage="1" xr:uid="{83AAF4C5-D5BF-477A-9F69-4A5E56E44174}">
          <x14:formula1>
            <xm:f>Master!$B$9:$B$12</xm:f>
          </x14:formula1>
          <xm:sqref>E10:AX10</xm:sqref>
        </x14:dataValidation>
        <x14:dataValidation type="list" allowBlank="1" showInputMessage="1" showErrorMessage="1" xr:uid="{062BEF98-1C21-4E1A-AA43-DD801C9980D9}">
          <x14:formula1>
            <xm:f>Master!$B$35:$B$36</xm:f>
          </x14:formula1>
          <xm:sqref>E176:AX176</xm:sqref>
        </x14:dataValidation>
        <x14:dataValidation type="list" allowBlank="1" showInputMessage="1" showErrorMessage="1" xr:uid="{D4D86BEB-D842-444D-9DC8-59AD48DC6D8A}">
          <x14:formula1>
            <xm:f>Master!$B$3:$B$6</xm:f>
          </x14:formula1>
          <xm:sqref>E15:AX15</xm:sqref>
        </x14:dataValidation>
        <x14:dataValidation type="list" allowBlank="1" showInputMessage="1" showErrorMessage="1" xr:uid="{1C6B2C85-C85A-429A-A9EA-CC33F0B5B50F}">
          <x14:formula1>
            <xm:f>Master!$B$15:$B$20</xm:f>
          </x14:formula1>
          <xm:sqref>E11:AX11</xm:sqref>
        </x14:dataValidation>
        <x14:dataValidation type="list" allowBlank="1" showInputMessage="1" showErrorMessage="1" xr:uid="{B12ECD5F-89C4-4BFB-9F25-D71E7D316D14}">
          <x14:formula1>
            <xm:f>Master!$B$30:$B$33</xm:f>
          </x14:formula1>
          <xm:sqref>E192:AX192</xm:sqref>
        </x14:dataValidation>
        <x14:dataValidation type="list" allowBlank="1" showInputMessage="1" showErrorMessage="1" xr:uid="{8F94BB00-518B-4104-9EFE-AAC5F9F0CD7A}">
          <x14:formula1>
            <xm:f>Master!$B$38:$B$40</xm:f>
          </x14:formula1>
          <xm:sqref>E194:AX194</xm:sqref>
        </x14:dataValidation>
        <x14:dataValidation type="list" allowBlank="1" showInputMessage="1" showErrorMessage="1" xr:uid="{6C281881-8020-4D16-BEDA-60EB6A0707D8}">
          <x14:formula1>
            <xm:f>Master!$B$23:$B$27</xm:f>
          </x14:formula1>
          <xm:sqref>E190:AX190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725B-62E1-4FE1-A1C2-BDCF119E51D2}">
  <sheetPr filterMode="1"/>
  <dimension ref="A1:JF216"/>
  <sheetViews>
    <sheetView zoomScale="110" zoomScaleNormal="110" workbookViewId="0">
      <pane xSplit="4" ySplit="175" topLeftCell="E185" activePane="bottomRight" state="frozen"/>
      <selection pane="topRight" activeCell="E1" sqref="E1"/>
      <selection pane="bottomLeft" activeCell="A176" sqref="A176"/>
      <selection pane="bottomRight" activeCell="D175" sqref="D175:O207"/>
    </sheetView>
  </sheetViews>
  <sheetFormatPr defaultRowHeight="14.25" x14ac:dyDescent="0.45"/>
  <cols>
    <col min="1" max="1" width="4.59765625" customWidth="1"/>
    <col min="2" max="2" width="2.59765625" customWidth="1"/>
    <col min="3" max="3" width="3.73046875" customWidth="1"/>
    <col min="4" max="4" width="24.73046875" customWidth="1"/>
    <col min="5" max="101" width="11.59765625" customWidth="1"/>
  </cols>
  <sheetData>
    <row r="1" spans="1:266" x14ac:dyDescent="0.45">
      <c r="D1" s="1" t="s">
        <v>420</v>
      </c>
      <c r="E1" s="149" t="s">
        <v>171</v>
      </c>
    </row>
    <row r="2" spans="1:266" ht="16.5" customHeight="1" x14ac:dyDescent="0.45">
      <c r="D2" s="1" t="s">
        <v>51</v>
      </c>
      <c r="E2" s="76">
        <v>46161</v>
      </c>
    </row>
    <row r="3" spans="1:266" x14ac:dyDescent="0.45">
      <c r="D3" s="6" t="s">
        <v>176</v>
      </c>
      <c r="E3" s="65"/>
    </row>
    <row r="5" spans="1:266" x14ac:dyDescent="0.45">
      <c r="C5" t="s">
        <v>421</v>
      </c>
      <c r="D5" s="3" t="s">
        <v>51</v>
      </c>
      <c r="E5" s="158" cm="1">
        <f t="array" ref="E5:O216">IFERROR(_xlfn.IFS(AND(E3="",E2="",E1=""),"Fill Customer Name",AND(E3="",E2=""),_xlfn._xlws.FILTER('Quote Exports'!D5:AX216,('Quote Exports'!D7:AX7=E1)),E3="",_xlfn._xlws.FILTER('Quote Exports'!D5:AX216,('Quote Exports'!D7:AX7=E1)*('Quote Exports'!D5:AX5=E2)),E3&lt;&gt;"",_xlfn._xlws.FILTER('Quote Exports'!D5:AX216,('Quote Exports'!D7:AX7=E1)*('Quote Exports'!D5:AX5=E2)*('Quote Exports'!D8:AX8=E3))),"Not Found")</f>
        <v>46161</v>
      </c>
      <c r="F5" s="158">
        <v>46161</v>
      </c>
      <c r="G5" s="158">
        <v>46161</v>
      </c>
      <c r="H5" s="158">
        <v>46161</v>
      </c>
      <c r="I5" s="158">
        <v>46161</v>
      </c>
      <c r="J5" s="158">
        <v>46161</v>
      </c>
      <c r="K5" s="158">
        <v>46161</v>
      </c>
      <c r="L5" s="158">
        <v>46161</v>
      </c>
      <c r="M5" s="158">
        <v>46161</v>
      </c>
      <c r="N5" s="158">
        <v>46161</v>
      </c>
      <c r="O5" s="158">
        <v>46161</v>
      </c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58"/>
      <c r="BA5" s="158"/>
      <c r="BB5" s="158"/>
      <c r="BC5" s="158"/>
      <c r="BD5" s="158"/>
      <c r="BE5" s="158"/>
      <c r="BF5" s="158"/>
      <c r="BG5" s="158"/>
      <c r="BH5" s="158"/>
      <c r="BI5" s="158"/>
      <c r="BJ5" s="158"/>
      <c r="BK5" s="158"/>
      <c r="BL5" s="158"/>
      <c r="BM5" s="158"/>
      <c r="BN5" s="158"/>
      <c r="BO5" s="158"/>
      <c r="BP5" s="158"/>
      <c r="BQ5" s="158"/>
      <c r="BR5" s="158"/>
      <c r="BS5" s="158"/>
      <c r="BT5" s="158"/>
      <c r="BU5" s="158"/>
      <c r="BV5" s="158"/>
      <c r="BW5" s="158"/>
      <c r="BX5" s="158"/>
      <c r="BY5" s="158"/>
      <c r="BZ5" s="158"/>
      <c r="CA5" s="158"/>
      <c r="CB5" s="158"/>
      <c r="CC5" s="158"/>
      <c r="CD5" s="158"/>
      <c r="CE5" s="158"/>
      <c r="CF5" s="158"/>
      <c r="CG5" s="158"/>
      <c r="CH5" s="158"/>
      <c r="CI5" s="158"/>
      <c r="CJ5" s="158"/>
      <c r="CK5" s="158"/>
      <c r="CL5" s="158"/>
      <c r="CM5" s="158"/>
      <c r="CN5" s="158"/>
      <c r="CO5" s="158"/>
      <c r="CP5" s="158"/>
      <c r="CQ5" s="158"/>
      <c r="CR5" s="158"/>
      <c r="CS5" s="158"/>
      <c r="CT5" s="158"/>
      <c r="CU5" s="158"/>
      <c r="CV5" s="158"/>
      <c r="CW5" s="158"/>
      <c r="CX5" s="158"/>
      <c r="CY5" s="158"/>
      <c r="CZ5" s="158"/>
      <c r="DA5" s="158"/>
      <c r="DB5" s="158"/>
      <c r="DC5" s="158"/>
      <c r="DD5" s="158"/>
      <c r="DE5" s="158"/>
      <c r="DF5" s="158"/>
      <c r="DG5" s="158"/>
      <c r="DH5" s="158"/>
      <c r="DI5" s="158"/>
      <c r="DJ5" s="158"/>
      <c r="DK5" s="158"/>
      <c r="DL5" s="158"/>
      <c r="DM5" s="158"/>
      <c r="DN5" s="158"/>
      <c r="DO5" s="158"/>
      <c r="DP5" s="158"/>
      <c r="DQ5" s="158"/>
      <c r="DR5" s="158"/>
      <c r="DS5" s="158"/>
      <c r="DT5" s="158"/>
      <c r="DU5" s="158"/>
      <c r="DV5" s="158"/>
      <c r="DW5" s="158"/>
      <c r="DX5" s="158"/>
      <c r="DY5" s="158"/>
      <c r="DZ5" s="158"/>
      <c r="EA5" s="158"/>
      <c r="EB5" s="158"/>
      <c r="EC5" s="158"/>
      <c r="ED5" s="158"/>
      <c r="EE5" s="158"/>
      <c r="EF5" s="158"/>
      <c r="EG5" s="158"/>
      <c r="EH5" s="158"/>
      <c r="EI5" s="158"/>
      <c r="EJ5" s="158"/>
      <c r="EK5" s="158"/>
      <c r="EL5" s="158"/>
      <c r="EM5" s="158"/>
      <c r="EN5" s="158"/>
      <c r="EO5" s="158"/>
      <c r="EP5" s="158"/>
      <c r="EQ5" s="158"/>
      <c r="ER5" s="158"/>
      <c r="ES5" s="158"/>
      <c r="ET5" s="158"/>
      <c r="EU5" s="158"/>
      <c r="EV5" s="158"/>
      <c r="EW5" s="158"/>
      <c r="EX5" s="158"/>
      <c r="EY5" s="158"/>
      <c r="EZ5" s="158"/>
      <c r="FA5" s="158"/>
      <c r="FB5" s="158"/>
      <c r="FC5" s="158"/>
      <c r="FD5" s="158"/>
      <c r="FE5" s="158"/>
      <c r="FF5" s="158"/>
      <c r="FG5" s="158"/>
      <c r="FH5" s="158"/>
      <c r="FI5" s="158"/>
      <c r="FJ5" s="158"/>
      <c r="FK5" s="158"/>
      <c r="FL5" s="158"/>
      <c r="FM5" s="158"/>
      <c r="FN5" s="158"/>
      <c r="FO5" s="158"/>
      <c r="FP5" s="158"/>
      <c r="FQ5" s="158"/>
      <c r="FR5" s="158"/>
      <c r="FS5" s="158"/>
      <c r="FT5" s="158"/>
      <c r="FU5" s="158"/>
      <c r="FV5" s="158"/>
      <c r="FW5" s="158"/>
      <c r="FX5" s="158"/>
      <c r="FY5" s="158"/>
      <c r="FZ5" s="158"/>
      <c r="GA5" s="158"/>
      <c r="GB5" s="158"/>
      <c r="GC5" s="158"/>
      <c r="GD5" s="158"/>
      <c r="GE5" s="158"/>
      <c r="GF5" s="158"/>
      <c r="GG5" s="158"/>
      <c r="GH5" s="158"/>
      <c r="GI5" s="158"/>
      <c r="GJ5" s="158"/>
      <c r="GK5" s="158"/>
      <c r="GL5" s="158"/>
      <c r="GM5" s="158"/>
      <c r="GN5" s="158"/>
      <c r="GO5" s="158"/>
      <c r="GP5" s="158"/>
      <c r="GQ5" s="158"/>
      <c r="GR5" s="158"/>
      <c r="GS5" s="158"/>
      <c r="GT5" s="158"/>
      <c r="GU5" s="158"/>
      <c r="GV5" s="158"/>
      <c r="GW5" s="158"/>
      <c r="GX5" s="158"/>
      <c r="GY5" s="158"/>
      <c r="GZ5" s="158"/>
      <c r="HA5" s="158"/>
      <c r="HB5" s="158"/>
      <c r="HC5" s="158"/>
      <c r="HD5" s="158"/>
      <c r="HE5" s="158"/>
      <c r="HF5" s="158"/>
      <c r="HG5" s="158"/>
      <c r="HH5" s="158"/>
      <c r="HI5" s="158"/>
      <c r="HJ5" s="158"/>
      <c r="HK5" s="158"/>
      <c r="HL5" s="158"/>
      <c r="HM5" s="158"/>
      <c r="HN5" s="158"/>
      <c r="HO5" s="158"/>
      <c r="HP5" s="158"/>
      <c r="HQ5" s="158"/>
      <c r="HR5" s="158"/>
      <c r="HS5" s="158"/>
      <c r="HT5" s="158"/>
      <c r="HU5" s="158"/>
      <c r="HV5" s="158"/>
      <c r="HW5" s="158"/>
      <c r="HX5" s="158"/>
      <c r="HY5" s="158"/>
      <c r="HZ5" s="158"/>
      <c r="IA5" s="158"/>
      <c r="IB5" s="158"/>
      <c r="IC5" s="158"/>
      <c r="ID5" s="158"/>
      <c r="IE5" s="158"/>
      <c r="IF5" s="158"/>
      <c r="IG5" s="158"/>
      <c r="IH5" s="158"/>
      <c r="II5" s="158"/>
      <c r="IJ5" s="158"/>
      <c r="IK5" s="158"/>
      <c r="IL5" s="158"/>
      <c r="IM5" s="158"/>
      <c r="IN5" s="158"/>
      <c r="IO5" s="158"/>
      <c r="IP5" s="158"/>
      <c r="IQ5" s="158"/>
      <c r="IR5" s="158"/>
      <c r="IS5" s="158"/>
      <c r="IT5" s="158"/>
      <c r="IU5" s="158"/>
      <c r="IV5" s="158"/>
      <c r="IW5" s="158"/>
      <c r="IX5" s="158"/>
      <c r="IY5" s="158"/>
      <c r="IZ5" s="158"/>
      <c r="JA5" s="158"/>
      <c r="JB5" s="158"/>
      <c r="JC5" s="158"/>
      <c r="JD5" s="158"/>
      <c r="JE5" s="158"/>
      <c r="JF5" t="s">
        <v>49</v>
      </c>
    </row>
    <row r="6" spans="1:266" hidden="1" x14ac:dyDescent="0.45">
      <c r="A6" s="71" t="str">
        <f>IF('Quote Exports'!C6="","",'Quote Exports'!C6)</f>
        <v>To Fill</v>
      </c>
      <c r="D6" s="3" t="s">
        <v>52</v>
      </c>
      <c r="E6" s="91" t="str">
        <v>Export</v>
      </c>
      <c r="F6" s="91" t="str">
        <v>Export</v>
      </c>
      <c r="G6" s="91" t="str">
        <v>Export</v>
      </c>
      <c r="H6" s="91" t="str">
        <v>Export</v>
      </c>
      <c r="I6" s="91" t="str">
        <v>Export</v>
      </c>
      <c r="J6" s="91" t="str">
        <v>Export</v>
      </c>
      <c r="K6" s="91" t="str">
        <v>Export</v>
      </c>
      <c r="L6" s="91" t="str">
        <v>Export</v>
      </c>
      <c r="M6" s="91" t="str">
        <v>Export</v>
      </c>
      <c r="N6" s="91" t="str">
        <v>Export</v>
      </c>
      <c r="O6" s="91" t="str">
        <v>Export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  <c r="CZ6" s="91"/>
      <c r="DA6" s="91"/>
      <c r="DB6" s="91"/>
      <c r="DC6" s="91"/>
      <c r="DD6" s="91"/>
      <c r="DE6" s="91"/>
      <c r="DF6" s="91"/>
      <c r="DG6" s="91"/>
      <c r="DH6" s="91"/>
      <c r="DI6" s="91"/>
      <c r="DJ6" s="91"/>
      <c r="DK6" s="91"/>
      <c r="DL6" s="91"/>
      <c r="DM6" s="91"/>
      <c r="DN6" s="91"/>
      <c r="DO6" s="91"/>
      <c r="DP6" s="91"/>
      <c r="DQ6" s="91"/>
      <c r="DR6" s="91"/>
      <c r="DS6" s="91"/>
      <c r="DT6" s="91"/>
      <c r="DU6" s="91"/>
      <c r="DV6" s="91"/>
      <c r="DW6" s="91"/>
      <c r="DX6" s="91"/>
      <c r="DY6" s="91"/>
      <c r="DZ6" s="91"/>
      <c r="EA6" s="91"/>
      <c r="EB6" s="91"/>
      <c r="EC6" s="91"/>
      <c r="ED6" s="91"/>
      <c r="EE6" s="91"/>
      <c r="EF6" s="91"/>
      <c r="EG6" s="91"/>
      <c r="EH6" s="91"/>
      <c r="EI6" s="91"/>
      <c r="EJ6" s="91"/>
      <c r="EK6" s="91"/>
      <c r="EL6" s="91"/>
      <c r="EM6" s="91"/>
      <c r="EN6" s="91"/>
      <c r="EO6" s="91"/>
      <c r="EP6" s="91"/>
      <c r="EQ6" s="91"/>
      <c r="ER6" s="91"/>
      <c r="ES6" s="91"/>
      <c r="ET6" s="91"/>
      <c r="EU6" s="91"/>
      <c r="EV6" s="91"/>
      <c r="EW6" s="91"/>
      <c r="EX6" s="91"/>
      <c r="EY6" s="91"/>
      <c r="EZ6" s="91"/>
      <c r="FA6" s="91"/>
      <c r="FB6" s="91"/>
      <c r="FC6" s="91"/>
      <c r="FD6" s="91"/>
      <c r="FE6" s="91"/>
      <c r="FF6" s="91"/>
      <c r="FG6" s="91"/>
      <c r="FH6" s="91"/>
      <c r="FI6" s="91"/>
      <c r="FJ6" s="91"/>
      <c r="FK6" s="91"/>
      <c r="FL6" s="91"/>
      <c r="FM6" s="91"/>
      <c r="FN6" s="91"/>
      <c r="FO6" s="91"/>
      <c r="FP6" s="91"/>
      <c r="FQ6" s="91"/>
      <c r="FR6" s="91"/>
      <c r="FS6" s="91"/>
      <c r="FT6" s="91"/>
      <c r="FU6" s="91"/>
      <c r="FV6" s="91"/>
      <c r="FW6" s="91"/>
      <c r="FX6" s="91"/>
      <c r="FY6" s="91"/>
      <c r="FZ6" s="91"/>
      <c r="GA6" s="91"/>
      <c r="GB6" s="91"/>
      <c r="GC6" s="91"/>
      <c r="GD6" s="91"/>
      <c r="GE6" s="91"/>
      <c r="GF6" s="91"/>
      <c r="GG6" s="91"/>
      <c r="GH6" s="91"/>
      <c r="GI6" s="91"/>
      <c r="GJ6" s="91"/>
      <c r="GK6" s="91"/>
      <c r="GL6" s="91"/>
      <c r="GM6" s="91"/>
      <c r="GN6" s="91"/>
      <c r="GO6" s="91"/>
      <c r="GP6" s="91"/>
      <c r="GQ6" s="91"/>
      <c r="GR6" s="91"/>
      <c r="GS6" s="91"/>
      <c r="GT6" s="91"/>
      <c r="GU6" s="91"/>
      <c r="GV6" s="91"/>
      <c r="GW6" s="91"/>
      <c r="GX6" s="91"/>
      <c r="GY6" s="91"/>
      <c r="GZ6" s="91"/>
      <c r="HA6" s="91"/>
      <c r="HB6" s="91"/>
      <c r="HC6" s="91"/>
      <c r="HD6" s="91"/>
      <c r="HE6" s="91"/>
      <c r="HF6" s="91"/>
      <c r="HG6" s="91"/>
      <c r="HH6" s="91"/>
      <c r="HI6" s="91"/>
      <c r="HJ6" s="91"/>
      <c r="HK6" s="91"/>
      <c r="HL6" s="91"/>
      <c r="HM6" s="91"/>
      <c r="HN6" s="91"/>
      <c r="HO6" s="91"/>
      <c r="HP6" s="91"/>
      <c r="HQ6" s="91"/>
      <c r="HR6" s="91"/>
      <c r="HS6" s="91"/>
      <c r="HT6" s="91"/>
      <c r="HU6" s="91"/>
      <c r="HV6" s="91"/>
      <c r="HW6" s="91"/>
      <c r="HX6" s="91"/>
      <c r="HY6" s="91"/>
      <c r="HZ6" s="91"/>
      <c r="IA6" s="91"/>
      <c r="IB6" s="91"/>
      <c r="IC6" s="91"/>
      <c r="ID6" s="91"/>
      <c r="IE6" s="91"/>
      <c r="IF6" s="91"/>
      <c r="IG6" s="91"/>
      <c r="IH6" s="91"/>
      <c r="II6" s="91"/>
      <c r="IJ6" s="91"/>
      <c r="IK6" s="91"/>
      <c r="IL6" s="91"/>
      <c r="IM6" s="91"/>
      <c r="IN6" s="91"/>
      <c r="IO6" s="91"/>
      <c r="IP6" s="91"/>
      <c r="IQ6" s="91"/>
      <c r="IR6" s="91"/>
      <c r="IS6" s="91"/>
      <c r="IT6" s="91"/>
      <c r="IU6" s="91"/>
      <c r="IV6" s="91"/>
      <c r="IW6" s="91"/>
      <c r="IX6" s="91"/>
      <c r="IY6" s="91"/>
      <c r="IZ6" s="91"/>
      <c r="JA6" s="91"/>
      <c r="JB6" s="91"/>
      <c r="JC6" s="91"/>
      <c r="JD6" s="91"/>
      <c r="JE6" s="91"/>
      <c r="JF6" t="s">
        <v>49</v>
      </c>
    </row>
    <row r="7" spans="1:266" hidden="1" x14ac:dyDescent="0.45">
      <c r="A7" s="71" t="str">
        <f>IF('Quote Exports'!C7="","",'Quote Exports'!C7)</f>
        <v>To Fill</v>
      </c>
      <c r="B7" s="72"/>
      <c r="C7" s="68"/>
      <c r="D7" s="3" t="s">
        <v>55</v>
      </c>
      <c r="E7" s="22" t="str">
        <v>Desabag</v>
      </c>
      <c r="F7" s="22" t="str">
        <v>Desabag</v>
      </c>
      <c r="G7" s="22" t="str">
        <v>Desabag</v>
      </c>
      <c r="H7" s="22" t="str">
        <v>Desabag</v>
      </c>
      <c r="I7" s="22" t="str">
        <v>Desabag</v>
      </c>
      <c r="J7" s="22" t="str">
        <v>Desabag</v>
      </c>
      <c r="K7" s="22" t="str">
        <v>Desabag</v>
      </c>
      <c r="L7" s="22" t="str">
        <v>Desabag</v>
      </c>
      <c r="M7" s="22" t="str">
        <v>Desabag</v>
      </c>
      <c r="N7" s="22" t="str">
        <v>Desabag</v>
      </c>
      <c r="O7" s="22" t="str">
        <v>Desabag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t="s">
        <v>49</v>
      </c>
    </row>
    <row r="8" spans="1:266" hidden="1" x14ac:dyDescent="0.45">
      <c r="A8" s="71" t="str">
        <f>IF('Quote Exports'!C8="","",'Quote Exports'!C8)</f>
        <v>To Fill</v>
      </c>
      <c r="B8" s="72"/>
      <c r="C8" s="68"/>
      <c r="D8" s="3" t="s">
        <v>176</v>
      </c>
      <c r="E8" s="22" t="str">
        <v>140X220</v>
      </c>
      <c r="F8" s="22" t="str">
        <v>140X220</v>
      </c>
      <c r="G8" s="22" t="str">
        <v>140X220</v>
      </c>
      <c r="H8" s="22" t="str">
        <v>140X220</v>
      </c>
      <c r="I8" s="22" t="str">
        <v>70X110</v>
      </c>
      <c r="J8" s="22" t="str">
        <v>40X60</v>
      </c>
      <c r="K8" s="22" t="str">
        <v>100X150</v>
      </c>
      <c r="L8" s="22" t="str">
        <v>60X100</v>
      </c>
      <c r="M8" s="22" t="str">
        <v>70X110</v>
      </c>
      <c r="N8" s="22" t="str">
        <v>90X130</v>
      </c>
      <c r="O8" s="22" t="str">
        <v>60X100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  <c r="IZ8" s="22"/>
      <c r="JA8" s="22"/>
      <c r="JB8" s="22"/>
      <c r="JC8" s="22"/>
      <c r="JD8" s="22"/>
      <c r="JE8" s="22"/>
      <c r="JF8" t="s">
        <v>49</v>
      </c>
    </row>
    <row r="9" spans="1:266" hidden="1" x14ac:dyDescent="0.45">
      <c r="A9" s="71" t="str">
        <f>IF('Quote Exports'!C9="","",'Quote Exports'!C9)</f>
        <v>To Fill</v>
      </c>
      <c r="B9" s="72"/>
      <c r="C9" s="68"/>
      <c r="D9" s="3" t="s">
        <v>190</v>
      </c>
      <c r="E9" s="22" t="str">
        <v>3.3002</v>
      </c>
      <c r="F9" s="22">
        <v>3.3003999999999998</v>
      </c>
      <c r="G9" s="22" t="str">
        <v>3.3006</v>
      </c>
      <c r="H9" s="22">
        <v>3.3010999999999999</v>
      </c>
      <c r="I9" s="22">
        <v>3.9001000000000001</v>
      </c>
      <c r="J9" s="22">
        <v>3.9003000000000001</v>
      </c>
      <c r="K9" s="22">
        <v>3.9003999999999999</v>
      </c>
      <c r="L9" s="22">
        <v>3.9005000000000001</v>
      </c>
      <c r="M9" s="22">
        <v>3.9007999999999998</v>
      </c>
      <c r="N9" s="22">
        <v>3.9014000000000002</v>
      </c>
      <c r="O9" s="22">
        <v>3.9015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  <c r="IZ9" s="22"/>
      <c r="JA9" s="22"/>
      <c r="JB9" s="22"/>
      <c r="JC9" s="22"/>
      <c r="JD9" s="22"/>
      <c r="JE9" s="22"/>
      <c r="JF9" t="s">
        <v>49</v>
      </c>
    </row>
    <row r="10" spans="1:266" hidden="1" x14ac:dyDescent="0.45">
      <c r="A10" s="71" t="str">
        <f>IF('Quote Exports'!C10="","",'Quote Exports'!C10)</f>
        <v>To Fill</v>
      </c>
      <c r="B10" s="72"/>
      <c r="C10" s="68"/>
      <c r="D10" s="3" t="s">
        <v>195</v>
      </c>
      <c r="E10" s="22" t="str">
        <v>Tubular Bag</v>
      </c>
      <c r="F10" s="22" t="str">
        <v>Tubular Bag</v>
      </c>
      <c r="G10" s="22" t="str">
        <v>Tubular Bag</v>
      </c>
      <c r="H10" s="22" t="str">
        <v>Tubular Bag</v>
      </c>
      <c r="I10" s="22" t="str">
        <v>Tubular Bag</v>
      </c>
      <c r="J10" s="22" t="str">
        <v>Tubular Bag</v>
      </c>
      <c r="K10" s="22" t="str">
        <v>Tubular Bag</v>
      </c>
      <c r="L10" s="22" t="str">
        <v>Tubular Bag</v>
      </c>
      <c r="M10" s="22" t="str">
        <v>Tubular Bag</v>
      </c>
      <c r="N10" s="22" t="str">
        <v>Tubular Bag</v>
      </c>
      <c r="O10" s="22" t="str">
        <v>Tubular Bag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  <c r="IZ10" s="22"/>
      <c r="JA10" s="22"/>
      <c r="JB10" s="22"/>
      <c r="JC10" s="22"/>
      <c r="JD10" s="22"/>
      <c r="JE10" s="22"/>
      <c r="JF10" t="s">
        <v>49</v>
      </c>
    </row>
    <row r="11" spans="1:266" hidden="1" x14ac:dyDescent="0.45">
      <c r="A11" s="71" t="str">
        <f>IF('Quote Exports'!C11="","",'Quote Exports'!C11)</f>
        <v>Spec</v>
      </c>
      <c r="B11" s="72"/>
      <c r="C11" s="68"/>
      <c r="D11" s="3" t="s">
        <v>201</v>
      </c>
      <c r="E11" s="20" t="str">
        <v>MW</v>
      </c>
      <c r="F11" s="20" t="str">
        <v>MW</v>
      </c>
      <c r="G11" s="20" t="str">
        <v>MW</v>
      </c>
      <c r="H11" s="20" t="str">
        <v>MW</v>
      </c>
      <c r="I11" s="20" t="str">
        <v>MW</v>
      </c>
      <c r="J11" s="20" t="str">
        <v>MW</v>
      </c>
      <c r="K11" s="20" t="str">
        <v>MW</v>
      </c>
      <c r="L11" s="20" t="str">
        <v>MW</v>
      </c>
      <c r="M11" s="20" t="str">
        <v>MW</v>
      </c>
      <c r="N11" s="20" t="str">
        <v>Coloured</v>
      </c>
      <c r="O11" s="20" t="str">
        <v>MW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t="s">
        <v>49</v>
      </c>
    </row>
    <row r="12" spans="1:266" hidden="1" x14ac:dyDescent="0.45">
      <c r="A12" s="71" t="str">
        <f>IF('Quote Exports'!C12="","",'Quote Exports'!C12)</f>
        <v>Spec</v>
      </c>
      <c r="B12" s="72"/>
      <c r="C12" s="68"/>
      <c r="D12" s="3" t="s">
        <v>208</v>
      </c>
      <c r="E12" s="20">
        <v>140</v>
      </c>
      <c r="F12" s="20">
        <v>140</v>
      </c>
      <c r="G12" s="20">
        <v>140</v>
      </c>
      <c r="H12" s="20">
        <v>140</v>
      </c>
      <c r="I12" s="20">
        <v>70</v>
      </c>
      <c r="J12" s="20">
        <v>40</v>
      </c>
      <c r="K12" s="20">
        <v>100</v>
      </c>
      <c r="L12" s="20">
        <v>60</v>
      </c>
      <c r="M12" s="20">
        <v>70</v>
      </c>
      <c r="N12" s="20">
        <v>90</v>
      </c>
      <c r="O12" s="20">
        <v>60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t="s">
        <v>49</v>
      </c>
    </row>
    <row r="13" spans="1:266" hidden="1" x14ac:dyDescent="0.45">
      <c r="A13" s="71" t="str">
        <f>IF('Quote Exports'!C13="","",'Quote Exports'!C13)</f>
        <v>Spec</v>
      </c>
      <c r="B13" s="72"/>
      <c r="C13" s="68"/>
      <c r="D13" s="3" t="s">
        <v>209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t="s">
        <v>49</v>
      </c>
    </row>
    <row r="14" spans="1:266" hidden="1" x14ac:dyDescent="0.45">
      <c r="A14" s="71" t="str">
        <f>IF('Quote Exports'!C14="","",'Quote Exports'!C14)</f>
        <v>Spec</v>
      </c>
      <c r="B14" s="72"/>
      <c r="C14" s="68"/>
      <c r="D14" s="3" t="s">
        <v>210</v>
      </c>
      <c r="E14" s="20">
        <v>220</v>
      </c>
      <c r="F14" s="20">
        <v>220</v>
      </c>
      <c r="G14" s="20">
        <v>220</v>
      </c>
      <c r="H14" s="20">
        <v>220</v>
      </c>
      <c r="I14" s="20">
        <v>110</v>
      </c>
      <c r="J14" s="20">
        <v>60</v>
      </c>
      <c r="K14" s="20">
        <v>150</v>
      </c>
      <c r="L14" s="20">
        <v>100</v>
      </c>
      <c r="M14" s="20">
        <v>110</v>
      </c>
      <c r="N14" s="20">
        <v>130</v>
      </c>
      <c r="O14" s="20">
        <v>100</v>
      </c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t="s">
        <v>49</v>
      </c>
    </row>
    <row r="15" spans="1:266" hidden="1" x14ac:dyDescent="0.45">
      <c r="A15" s="71" t="str">
        <f>IF('Quote Exports'!C15="","",'Quote Exports'!C15)</f>
        <v>Spec</v>
      </c>
      <c r="B15" s="72"/>
      <c r="C15" s="68"/>
      <c r="D15" s="3" t="s">
        <v>211</v>
      </c>
      <c r="E15" s="20" t="str">
        <v>Hemmed</v>
      </c>
      <c r="F15" s="20" t="str">
        <v>Hemmed</v>
      </c>
      <c r="G15" s="20" t="str">
        <v>Hemmed</v>
      </c>
      <c r="H15" s="20" t="str">
        <v>Hemmed</v>
      </c>
      <c r="I15" s="20" t="str">
        <v>Hemmed</v>
      </c>
      <c r="J15" s="20" t="str">
        <v>Hemmed</v>
      </c>
      <c r="K15" s="20" t="str">
        <v>Hemmed</v>
      </c>
      <c r="L15" s="20" t="str">
        <v>Hemmed</v>
      </c>
      <c r="M15" s="20" t="str">
        <v>Hemmed</v>
      </c>
      <c r="N15" s="20" t="str">
        <v>Hemmed</v>
      </c>
      <c r="O15" s="20" t="str">
        <v>Hemmed</v>
      </c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t="s">
        <v>49</v>
      </c>
    </row>
    <row r="16" spans="1:266" hidden="1" x14ac:dyDescent="0.45">
      <c r="A16" s="71" t="str">
        <f>IF('Quote Exports'!C16="","",'Quote Exports'!C16)</f>
        <v/>
      </c>
      <c r="B16" s="72"/>
      <c r="C16" s="68"/>
      <c r="D16" s="3" t="s">
        <v>216</v>
      </c>
      <c r="E16" s="20">
        <v>228</v>
      </c>
      <c r="F16" s="20">
        <v>228</v>
      </c>
      <c r="G16" s="20">
        <v>228</v>
      </c>
      <c r="H16" s="20">
        <v>228</v>
      </c>
      <c r="I16" s="20">
        <v>118</v>
      </c>
      <c r="J16" s="20">
        <v>68</v>
      </c>
      <c r="K16" s="20">
        <v>158</v>
      </c>
      <c r="L16" s="20">
        <v>108</v>
      </c>
      <c r="M16" s="20">
        <v>118</v>
      </c>
      <c r="N16" s="20">
        <v>138</v>
      </c>
      <c r="O16" s="20">
        <v>108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t="s">
        <v>49</v>
      </c>
    </row>
    <row r="17" spans="1:266" hidden="1" x14ac:dyDescent="0.45">
      <c r="A17" s="71" t="str">
        <f>IF('Quote Exports'!C17="","",'Quote Exports'!C17)</f>
        <v>Spec</v>
      </c>
      <c r="B17" s="72"/>
      <c r="C17" s="68"/>
      <c r="D17" s="3" t="s">
        <v>217</v>
      </c>
      <c r="E17" s="20">
        <v>673.27</v>
      </c>
      <c r="F17" s="20">
        <v>609.42999999999995</v>
      </c>
      <c r="G17" s="20">
        <v>539.42999999999995</v>
      </c>
      <c r="H17" s="20">
        <v>409.93</v>
      </c>
      <c r="I17" s="20">
        <v>114.56</v>
      </c>
      <c r="J17" s="20">
        <v>46.61</v>
      </c>
      <c r="K17" s="20">
        <v>274.58</v>
      </c>
      <c r="L17" s="20">
        <v>88.71</v>
      </c>
      <c r="M17" s="20">
        <v>148.55000000000001</v>
      </c>
      <c r="N17" s="20">
        <v>219.25</v>
      </c>
      <c r="O17" s="20">
        <v>80.709999999999994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t="s">
        <v>49</v>
      </c>
    </row>
    <row r="18" spans="1:266" hidden="1" x14ac:dyDescent="0.45">
      <c r="A18" s="71"/>
      <c r="B18" s="72"/>
      <c r="C18" s="68"/>
      <c r="D18" s="3" t="s">
        <v>218</v>
      </c>
      <c r="E18" s="20">
        <v>70</v>
      </c>
      <c r="F18" s="20">
        <v>60</v>
      </c>
      <c r="G18" s="20">
        <v>60</v>
      </c>
      <c r="H18" s="20">
        <v>60</v>
      </c>
      <c r="I18" s="20">
        <v>60</v>
      </c>
      <c r="J18" s="20">
        <v>60</v>
      </c>
      <c r="K18" s="20">
        <v>60</v>
      </c>
      <c r="L18" s="20">
        <v>60</v>
      </c>
      <c r="M18" s="20">
        <v>60</v>
      </c>
      <c r="N18" s="20">
        <v>60</v>
      </c>
      <c r="O18" s="20">
        <v>60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t="s">
        <v>49</v>
      </c>
    </row>
    <row r="19" spans="1:266" hidden="1" x14ac:dyDescent="0.45">
      <c r="A19" s="71"/>
      <c r="B19" s="72"/>
      <c r="C19" s="68"/>
      <c r="D19" s="3" t="s">
        <v>219</v>
      </c>
      <c r="E19" s="20">
        <v>673.26924590163935</v>
      </c>
      <c r="F19" s="20">
        <v>609.42924590163932</v>
      </c>
      <c r="G19" s="20">
        <v>539.42924590163932</v>
      </c>
      <c r="H19" s="20">
        <v>409.92524590163936</v>
      </c>
      <c r="I19" s="20">
        <v>114.56262295081967</v>
      </c>
      <c r="J19" s="20">
        <v>46.607213114754103</v>
      </c>
      <c r="K19" s="20">
        <v>274.58203278688524</v>
      </c>
      <c r="L19" s="20">
        <v>88.710819672131151</v>
      </c>
      <c r="M19" s="20">
        <v>148.54662295081968</v>
      </c>
      <c r="N19" s="20">
        <v>219.25022950819672</v>
      </c>
      <c r="O19" s="20">
        <v>80.710819672131151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t="s">
        <v>49</v>
      </c>
    </row>
    <row r="20" spans="1:266" hidden="1" x14ac:dyDescent="0.45">
      <c r="A20" s="71" t="str">
        <f>IF('Quote Exports'!C20="","",'Quote Exports'!C20)</f>
        <v/>
      </c>
      <c r="B20" s="72"/>
      <c r="C20" s="68"/>
      <c r="D20" s="3" t="s">
        <v>220</v>
      </c>
      <c r="E20" s="20">
        <v>140</v>
      </c>
      <c r="F20" s="20">
        <v>140</v>
      </c>
      <c r="G20" s="20">
        <v>140</v>
      </c>
      <c r="H20" s="20">
        <v>140</v>
      </c>
      <c r="I20" s="20">
        <v>70</v>
      </c>
      <c r="J20" s="20">
        <v>40</v>
      </c>
      <c r="K20" s="20">
        <v>100</v>
      </c>
      <c r="L20" s="20">
        <v>60</v>
      </c>
      <c r="M20" s="20">
        <v>70</v>
      </c>
      <c r="N20" s="20">
        <v>90</v>
      </c>
      <c r="O20" s="20">
        <v>60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t="s">
        <v>49</v>
      </c>
    </row>
    <row r="21" spans="1:266" hidden="1" x14ac:dyDescent="0.45">
      <c r="A21" s="71" t="str">
        <f>IF('Quote Exports'!C21="","",'Quote Exports'!C21)</f>
        <v>Spec</v>
      </c>
      <c r="B21" s="72"/>
      <c r="C21" s="68"/>
      <c r="D21" s="3" t="s">
        <v>221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t="s">
        <v>49</v>
      </c>
    </row>
    <row r="22" spans="1:266" hidden="1" x14ac:dyDescent="0.45">
      <c r="A22" s="71" t="str">
        <f>IF('Quote Exports'!C22="","",'Quote Exports'!C22)</f>
        <v>Spec</v>
      </c>
      <c r="B22" s="72"/>
      <c r="C22" s="68"/>
      <c r="D22" s="3" t="s">
        <v>222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t="s">
        <v>49</v>
      </c>
    </row>
    <row r="23" spans="1:266" hidden="1" x14ac:dyDescent="0.45">
      <c r="A23" s="71" t="str">
        <f>IF('Quote Exports'!C23="","",'Quote Exports'!C23)</f>
        <v>Spec</v>
      </c>
      <c r="B23" s="72"/>
      <c r="C23" s="68"/>
      <c r="D23" s="3" t="s">
        <v>223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t="s">
        <v>49</v>
      </c>
    </row>
    <row r="24" spans="1:266" hidden="1" x14ac:dyDescent="0.45">
      <c r="A24" s="71" t="str">
        <f>IF('Quote Exports'!C24="","",'Quote Exports'!C24)</f>
        <v>Spec</v>
      </c>
      <c r="B24" s="72"/>
      <c r="C24" s="68"/>
      <c r="D24" s="3" t="s">
        <v>224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t="s">
        <v>49</v>
      </c>
    </row>
    <row r="25" spans="1:266" hidden="1" x14ac:dyDescent="0.45">
      <c r="A25" s="71" t="str">
        <f>IF('Quote Exports'!C27="","",'Quote Exports'!C27)</f>
        <v>Spec</v>
      </c>
      <c r="B25" s="72"/>
      <c r="C25" s="68"/>
      <c r="D25" s="3" t="s">
        <v>225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t="s">
        <v>49</v>
      </c>
    </row>
    <row r="26" spans="1:266" hidden="1" x14ac:dyDescent="0.45">
      <c r="A26" s="71" t="str">
        <f>IF('Quote Exports'!C28="","",'Quote Exports'!C28)</f>
        <v>Spec</v>
      </c>
      <c r="B26" s="72"/>
      <c r="C26" s="68"/>
      <c r="D26" s="3" t="s">
        <v>226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t="s">
        <v>49</v>
      </c>
    </row>
    <row r="27" spans="1:266" hidden="1" x14ac:dyDescent="0.45">
      <c r="A27" s="71" t="str">
        <f>IF('Quote Exports'!C29="","",'Quote Exports'!C29)</f>
        <v/>
      </c>
      <c r="B27" s="72"/>
      <c r="C27" s="68"/>
      <c r="D27" s="3" t="s">
        <v>227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t="s">
        <v>49</v>
      </c>
    </row>
    <row r="28" spans="1:266" hidden="1" x14ac:dyDescent="0.45">
      <c r="A28" s="71" t="str">
        <f>IF('Quote Exports'!C30="","",'Quote Exports'!C30)</f>
        <v>Spec</v>
      </c>
      <c r="B28" s="72"/>
      <c r="C28" s="68"/>
      <c r="D28" s="3" t="s">
        <v>228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t="s">
        <v>49</v>
      </c>
    </row>
    <row r="29" spans="1:266" hidden="1" x14ac:dyDescent="0.45">
      <c r="A29" s="71" t="str">
        <f>IF('Quote Exports'!C31="","",'Quote Exports'!C31)</f>
        <v>Spec</v>
      </c>
      <c r="B29" s="72"/>
      <c r="C29" s="68"/>
      <c r="D29" s="3" t="s">
        <v>229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t="s">
        <v>49</v>
      </c>
    </row>
    <row r="30" spans="1:266" hidden="1" x14ac:dyDescent="0.45">
      <c r="A30" s="71" t="str">
        <f>IF('Quote Exports'!C32="","",'Quote Exports'!C32)</f>
        <v/>
      </c>
      <c r="B30" s="72"/>
      <c r="C30" s="68"/>
      <c r="D30" s="3" t="s">
        <v>230</v>
      </c>
      <c r="E30" s="20">
        <v>20</v>
      </c>
      <c r="F30" s="20">
        <v>20</v>
      </c>
      <c r="G30" s="20">
        <v>20</v>
      </c>
      <c r="H30" s="20">
        <v>0</v>
      </c>
      <c r="I30" s="20">
        <v>0</v>
      </c>
      <c r="J30" s="20">
        <v>0</v>
      </c>
      <c r="K30" s="20">
        <v>20</v>
      </c>
      <c r="L30" s="20">
        <v>0</v>
      </c>
      <c r="M30" s="20">
        <v>20</v>
      </c>
      <c r="N30" s="20">
        <v>20</v>
      </c>
      <c r="O30" s="20">
        <v>0</v>
      </c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t="s">
        <v>49</v>
      </c>
    </row>
    <row r="31" spans="1:266" hidden="1" x14ac:dyDescent="0.45">
      <c r="A31" s="71" t="str">
        <f>IF('Quote Exports'!C33="","",'Quote Exports'!C33)</f>
        <v/>
      </c>
      <c r="B31" s="72"/>
      <c r="C31" s="68"/>
      <c r="D31" s="3" t="s">
        <v>231</v>
      </c>
      <c r="E31" s="20">
        <v>90</v>
      </c>
      <c r="F31" s="20">
        <v>90</v>
      </c>
      <c r="G31" s="20">
        <v>20</v>
      </c>
      <c r="H31" s="20">
        <v>20</v>
      </c>
      <c r="I31" s="20">
        <v>12</v>
      </c>
      <c r="J31" s="20">
        <v>12</v>
      </c>
      <c r="K31" s="20">
        <v>15.6</v>
      </c>
      <c r="L31" s="20">
        <v>8</v>
      </c>
      <c r="M31" s="20">
        <v>12</v>
      </c>
      <c r="N31" s="20">
        <v>15</v>
      </c>
      <c r="O31" s="20">
        <v>0</v>
      </c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t="s">
        <v>49</v>
      </c>
    </row>
    <row r="32" spans="1:266" hidden="1" x14ac:dyDescent="0.45">
      <c r="A32" s="71" t="str">
        <f>IF('Quote Exports'!C34="","",'Quote Exports'!C34)</f>
        <v/>
      </c>
      <c r="B32" s="72"/>
      <c r="C32" s="68"/>
      <c r="D32" s="3" t="s">
        <v>232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t="s">
        <v>49</v>
      </c>
    </row>
    <row r="33" spans="1:266" hidden="1" x14ac:dyDescent="0.45">
      <c r="A33" s="71" t="str">
        <f>IF('Quote Exports'!C35="","",'Quote Exports'!C35)</f>
        <v/>
      </c>
      <c r="B33" s="72"/>
      <c r="C33" s="68"/>
      <c r="D33" s="3" t="s">
        <v>233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t="s">
        <v>49</v>
      </c>
    </row>
    <row r="34" spans="1:266" hidden="1" x14ac:dyDescent="0.45">
      <c r="A34" s="71" t="str">
        <f>IF('Quote Exports'!C36="","",'Quote Exports'!C36)</f>
        <v/>
      </c>
      <c r="B34" s="72"/>
      <c r="C34" s="68"/>
      <c r="D34" s="3" t="s">
        <v>234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t="s">
        <v>49</v>
      </c>
    </row>
    <row r="35" spans="1:266" hidden="1" x14ac:dyDescent="0.45">
      <c r="A35" s="71" t="str">
        <f>IF('Quote Exports'!C39="","",'Quote Exports'!C39)</f>
        <v/>
      </c>
      <c r="B35" s="72"/>
      <c r="C35" s="68"/>
      <c r="D35" s="3" t="s">
        <v>235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t="s">
        <v>49</v>
      </c>
    </row>
    <row r="36" spans="1:266" hidden="1" x14ac:dyDescent="0.45">
      <c r="A36" s="71" t="str">
        <f>IF('Quote Exports'!C40="","",'Quote Exports'!C40)</f>
        <v/>
      </c>
      <c r="B36" s="72"/>
      <c r="C36" s="68"/>
      <c r="D36" s="3" t="s">
        <v>236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t="s">
        <v>49</v>
      </c>
    </row>
    <row r="37" spans="1:266" hidden="1" x14ac:dyDescent="0.45">
      <c r="A37" s="71" t="str">
        <f>IF('Quote Exports'!C41="","",'Quote Exports'!C41)</f>
        <v/>
      </c>
      <c r="B37" s="72"/>
      <c r="C37" s="68"/>
      <c r="D37" s="3" t="s">
        <v>237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t="s">
        <v>49</v>
      </c>
    </row>
    <row r="38" spans="1:266" hidden="1" x14ac:dyDescent="0.45">
      <c r="A38" s="71" t="str">
        <f>IF('Quote Exports'!C42="","",'Quote Exports'!C42)</f>
        <v/>
      </c>
      <c r="B38" s="72"/>
      <c r="C38" s="68"/>
      <c r="D38" s="3" t="s">
        <v>238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t="s">
        <v>49</v>
      </c>
    </row>
    <row r="39" spans="1:266" hidden="1" x14ac:dyDescent="0.45">
      <c r="A39" s="71" t="str">
        <f>IF('Quote Exports'!C43="","",'Quote Exports'!C43)</f>
        <v/>
      </c>
      <c r="B39" s="72"/>
      <c r="C39" s="68"/>
      <c r="D39" s="3" t="s">
        <v>239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t="s">
        <v>49</v>
      </c>
    </row>
    <row r="40" spans="1:266" hidden="1" x14ac:dyDescent="0.45">
      <c r="A40" s="71" t="str">
        <f>IF('Quote Exports'!C44="","",'Quote Exports'!C44)</f>
        <v/>
      </c>
      <c r="B40" s="72"/>
      <c r="C40" s="68"/>
      <c r="D40" s="3" t="s">
        <v>240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t="s">
        <v>49</v>
      </c>
    </row>
    <row r="41" spans="1:266" hidden="1" x14ac:dyDescent="0.45">
      <c r="A41" s="71" t="str">
        <f>IF('Quote Exports'!C45="","",'Quote Exports'!C45)</f>
        <v/>
      </c>
      <c r="B41" s="72">
        <v>1</v>
      </c>
      <c r="C41" s="68"/>
      <c r="D41" s="3" t="s">
        <v>241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t="s">
        <v>49</v>
      </c>
    </row>
    <row r="42" spans="1:266" hidden="1" x14ac:dyDescent="0.45">
      <c r="A42" s="71" t="str">
        <f>IF('Quote Exports'!C46="","",'Quote Exports'!C46)</f>
        <v>RM Price</v>
      </c>
      <c r="B42" s="72">
        <v>1</v>
      </c>
      <c r="C42" s="68"/>
      <c r="D42" s="3" t="s">
        <v>242</v>
      </c>
      <c r="E42" s="20">
        <v>129.50399999999999</v>
      </c>
      <c r="F42" s="20">
        <v>129.50399999999999</v>
      </c>
      <c r="G42" s="20">
        <v>129.50399999999999</v>
      </c>
      <c r="H42" s="20">
        <v>0</v>
      </c>
      <c r="I42" s="20">
        <v>0</v>
      </c>
      <c r="J42" s="20">
        <v>0</v>
      </c>
      <c r="K42" s="20">
        <v>64.463999999999999</v>
      </c>
      <c r="L42" s="20">
        <v>0</v>
      </c>
      <c r="M42" s="20">
        <v>33.984000000000002</v>
      </c>
      <c r="N42" s="20">
        <v>50.784000000000006</v>
      </c>
      <c r="O42" s="20">
        <v>0</v>
      </c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t="s">
        <v>49</v>
      </c>
    </row>
    <row r="43" spans="1:266" hidden="1" x14ac:dyDescent="0.45">
      <c r="A43" s="71" t="str">
        <f>IF('Quote Exports'!C47="","",'Quote Exports'!C47)</f>
        <v>RM Price</v>
      </c>
      <c r="B43" s="72"/>
      <c r="C43" s="68"/>
      <c r="D43" s="3" t="s">
        <v>243</v>
      </c>
      <c r="E43" s="20">
        <v>6.8852459016393439</v>
      </c>
      <c r="F43" s="20">
        <v>6.8852459016393439</v>
      </c>
      <c r="G43" s="20">
        <v>6.8852459016393439</v>
      </c>
      <c r="H43" s="20">
        <v>6.8852459016393439</v>
      </c>
      <c r="I43" s="20">
        <v>3.442622950819672</v>
      </c>
      <c r="J43" s="20">
        <v>1.9672131147540983</v>
      </c>
      <c r="K43" s="20">
        <v>4.918032786885246</v>
      </c>
      <c r="L43" s="20">
        <v>2.9508196721311473</v>
      </c>
      <c r="M43" s="20">
        <v>3.442622950819672</v>
      </c>
      <c r="N43" s="20">
        <v>4.4262295081967213</v>
      </c>
      <c r="O43" s="20">
        <v>2.9508196721311473</v>
      </c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t="s">
        <v>49</v>
      </c>
    </row>
    <row r="44" spans="1:266" hidden="1" x14ac:dyDescent="0.45">
      <c r="A44" s="71" t="str">
        <f>IF('Quote Exports'!C48="","",'Quote Exports'!C48)</f>
        <v>RM Price</v>
      </c>
      <c r="B44" s="72"/>
      <c r="C44" s="68"/>
      <c r="D44" s="3" t="s">
        <v>244</v>
      </c>
      <c r="E44" s="92">
        <v>446.88075409836063</v>
      </c>
      <c r="F44" s="92">
        <v>383.04075409836059</v>
      </c>
      <c r="G44" s="92">
        <v>383.04075409836059</v>
      </c>
      <c r="H44" s="92">
        <v>383.04475409836067</v>
      </c>
      <c r="I44" s="92">
        <v>99.117377049180334</v>
      </c>
      <c r="J44" s="92">
        <v>32.642786885245897</v>
      </c>
      <c r="K44" s="92">
        <v>189.59796721311474</v>
      </c>
      <c r="L44" s="92">
        <v>77.759180327868847</v>
      </c>
      <c r="M44" s="92">
        <v>99.123377049180334</v>
      </c>
      <c r="N44" s="92">
        <v>149.03977049180327</v>
      </c>
      <c r="O44" s="92">
        <v>77.759180327868847</v>
      </c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U44" s="92"/>
      <c r="BV44" s="92"/>
      <c r="BW44" s="92"/>
      <c r="BX44" s="92"/>
      <c r="BY44" s="92"/>
      <c r="BZ44" s="92"/>
      <c r="CA44" s="92"/>
      <c r="CB44" s="92"/>
      <c r="CC44" s="92"/>
      <c r="CD44" s="92"/>
      <c r="CE44" s="92"/>
      <c r="CF44" s="92"/>
      <c r="CG44" s="92"/>
      <c r="CH44" s="92"/>
      <c r="CI44" s="92"/>
      <c r="CJ44" s="92"/>
      <c r="CK44" s="92"/>
      <c r="CL44" s="92"/>
      <c r="CM44" s="92"/>
      <c r="CN44" s="92"/>
      <c r="CO44" s="92"/>
      <c r="CP44" s="92"/>
      <c r="CQ44" s="92"/>
      <c r="CR44" s="92"/>
      <c r="CS44" s="92"/>
      <c r="CT44" s="92"/>
      <c r="CU44" s="92"/>
      <c r="CV44" s="92"/>
      <c r="CW44" s="92"/>
      <c r="CX44" s="92"/>
      <c r="CY44" s="92"/>
      <c r="CZ44" s="92"/>
      <c r="DA44" s="92"/>
      <c r="DB44" s="92"/>
      <c r="DC44" s="92"/>
      <c r="DD44" s="92"/>
      <c r="DE44" s="92"/>
      <c r="DF44" s="92"/>
      <c r="DG44" s="92"/>
      <c r="DH44" s="92"/>
      <c r="DI44" s="92"/>
      <c r="DJ44" s="92"/>
      <c r="DK44" s="92"/>
      <c r="DL44" s="92"/>
      <c r="DM44" s="92"/>
      <c r="DN44" s="92"/>
      <c r="DO44" s="92"/>
      <c r="DP44" s="92"/>
      <c r="DQ44" s="92"/>
      <c r="DR44" s="92"/>
      <c r="DS44" s="92"/>
      <c r="DT44" s="92"/>
      <c r="DU44" s="92"/>
      <c r="DV44" s="92"/>
      <c r="DW44" s="92"/>
      <c r="DX44" s="92"/>
      <c r="DY44" s="92"/>
      <c r="DZ44" s="92"/>
      <c r="EA44" s="92"/>
      <c r="EB44" s="92"/>
      <c r="EC44" s="92"/>
      <c r="ED44" s="92"/>
      <c r="EE44" s="92"/>
      <c r="EF44" s="92"/>
      <c r="EG44" s="92"/>
      <c r="EH44" s="92"/>
      <c r="EI44" s="92"/>
      <c r="EJ44" s="92"/>
      <c r="EK44" s="92"/>
      <c r="EL44" s="92"/>
      <c r="EM44" s="92"/>
      <c r="EN44" s="92"/>
      <c r="EO44" s="92"/>
      <c r="EP44" s="92"/>
      <c r="EQ44" s="92"/>
      <c r="ER44" s="92"/>
      <c r="ES44" s="92"/>
      <c r="ET44" s="92"/>
      <c r="EU44" s="92"/>
      <c r="EV44" s="92"/>
      <c r="EW44" s="92"/>
      <c r="EX44" s="92"/>
      <c r="EY44" s="92"/>
      <c r="EZ44" s="92"/>
      <c r="FA44" s="92"/>
      <c r="FB44" s="92"/>
      <c r="FC44" s="92"/>
      <c r="FD44" s="92"/>
      <c r="FE44" s="92"/>
      <c r="FF44" s="92"/>
      <c r="FG44" s="92"/>
      <c r="FH44" s="92"/>
      <c r="FI44" s="92"/>
      <c r="FJ44" s="92"/>
      <c r="FK44" s="92"/>
      <c r="FL44" s="92"/>
      <c r="FM44" s="92"/>
      <c r="FN44" s="92"/>
      <c r="FO44" s="92"/>
      <c r="FP44" s="92"/>
      <c r="FQ44" s="92"/>
      <c r="FR44" s="92"/>
      <c r="FS44" s="92"/>
      <c r="FT44" s="92"/>
      <c r="FU44" s="92"/>
      <c r="FV44" s="92"/>
      <c r="FW44" s="92"/>
      <c r="FX44" s="92"/>
      <c r="FY44" s="92"/>
      <c r="FZ44" s="92"/>
      <c r="GA44" s="92"/>
      <c r="GB44" s="92"/>
      <c r="GC44" s="92"/>
      <c r="GD44" s="92"/>
      <c r="GE44" s="92"/>
      <c r="GF44" s="92"/>
      <c r="GG44" s="92"/>
      <c r="GH44" s="92"/>
      <c r="GI44" s="92"/>
      <c r="GJ44" s="92"/>
      <c r="GK44" s="92"/>
      <c r="GL44" s="92"/>
      <c r="GM44" s="92"/>
      <c r="GN44" s="92"/>
      <c r="GO44" s="92"/>
      <c r="GP44" s="92"/>
      <c r="GQ44" s="92"/>
      <c r="GR44" s="92"/>
      <c r="GS44" s="92"/>
      <c r="GT44" s="92"/>
      <c r="GU44" s="92"/>
      <c r="GV44" s="92"/>
      <c r="GW44" s="92"/>
      <c r="GX44" s="92"/>
      <c r="GY44" s="92"/>
      <c r="GZ44" s="92"/>
      <c r="HA44" s="92"/>
      <c r="HB44" s="92"/>
      <c r="HC44" s="92"/>
      <c r="HD44" s="92"/>
      <c r="HE44" s="92"/>
      <c r="HF44" s="92"/>
      <c r="HG44" s="92"/>
      <c r="HH44" s="92"/>
      <c r="HI44" s="92"/>
      <c r="HJ44" s="92"/>
      <c r="HK44" s="92"/>
      <c r="HL44" s="92"/>
      <c r="HM44" s="92"/>
      <c r="HN44" s="92"/>
      <c r="HO44" s="92"/>
      <c r="HP44" s="92"/>
      <c r="HQ44" s="92"/>
      <c r="HR44" s="92"/>
      <c r="HS44" s="92"/>
      <c r="HT44" s="92"/>
      <c r="HU44" s="92"/>
      <c r="HV44" s="92"/>
      <c r="HW44" s="92"/>
      <c r="HX44" s="92"/>
      <c r="HY44" s="92"/>
      <c r="HZ44" s="92"/>
      <c r="IA44" s="92"/>
      <c r="IB44" s="92"/>
      <c r="IC44" s="92"/>
      <c r="ID44" s="92"/>
      <c r="IE44" s="92"/>
      <c r="IF44" s="92"/>
      <c r="IG44" s="92"/>
      <c r="IH44" s="92"/>
      <c r="II44" s="92"/>
      <c r="IJ44" s="92"/>
      <c r="IK44" s="92"/>
      <c r="IL44" s="92"/>
      <c r="IM44" s="92"/>
      <c r="IN44" s="92"/>
      <c r="IO44" s="92"/>
      <c r="IP44" s="92"/>
      <c r="IQ44" s="92"/>
      <c r="IR44" s="92"/>
      <c r="IS44" s="92"/>
      <c r="IT44" s="92"/>
      <c r="IU44" s="92"/>
      <c r="IV44" s="92"/>
      <c r="IW44" s="92"/>
      <c r="IX44" s="92"/>
      <c r="IY44" s="92"/>
      <c r="IZ44" s="92"/>
      <c r="JA44" s="92"/>
      <c r="JB44" s="92"/>
      <c r="JC44" s="92"/>
      <c r="JD44" s="92"/>
      <c r="JE44" s="92"/>
      <c r="JF44" t="s">
        <v>49</v>
      </c>
    </row>
    <row r="45" spans="1:266" hidden="1" x14ac:dyDescent="0.45">
      <c r="A45" s="71" t="str">
        <f>IF('Quote Exports'!C49="","",'Quote Exports'!C49)</f>
        <v>RM Price</v>
      </c>
      <c r="B45" s="72"/>
      <c r="C45" s="68"/>
      <c r="D45" s="3" t="s">
        <v>245</v>
      </c>
      <c r="E45" s="92">
        <v>70</v>
      </c>
      <c r="F45" s="92">
        <v>60</v>
      </c>
      <c r="G45" s="92">
        <v>60</v>
      </c>
      <c r="H45" s="92">
        <v>60</v>
      </c>
      <c r="I45" s="92">
        <v>60</v>
      </c>
      <c r="J45" s="92">
        <v>60.01</v>
      </c>
      <c r="K45" s="92">
        <v>60</v>
      </c>
      <c r="L45" s="92">
        <v>60</v>
      </c>
      <c r="M45" s="92">
        <v>60</v>
      </c>
      <c r="N45" s="92">
        <v>60</v>
      </c>
      <c r="O45" s="92">
        <v>60</v>
      </c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2"/>
      <c r="BT45" s="92"/>
      <c r="BU45" s="92"/>
      <c r="BV45" s="92"/>
      <c r="BW45" s="92"/>
      <c r="BX45" s="92"/>
      <c r="BY45" s="92"/>
      <c r="BZ45" s="92"/>
      <c r="CA45" s="92"/>
      <c r="CB45" s="92"/>
      <c r="CC45" s="92"/>
      <c r="CD45" s="92"/>
      <c r="CE45" s="92"/>
      <c r="CF45" s="92"/>
      <c r="CG45" s="92"/>
      <c r="CH45" s="92"/>
      <c r="CI45" s="92"/>
      <c r="CJ45" s="92"/>
      <c r="CK45" s="92"/>
      <c r="CL45" s="92"/>
      <c r="CM45" s="92"/>
      <c r="CN45" s="92"/>
      <c r="CO45" s="92"/>
      <c r="CP45" s="92"/>
      <c r="CQ45" s="92"/>
      <c r="CR45" s="92"/>
      <c r="CS45" s="92"/>
      <c r="CT45" s="92"/>
      <c r="CU45" s="92"/>
      <c r="CV45" s="92"/>
      <c r="CW45" s="92"/>
      <c r="CX45" s="92"/>
      <c r="CY45" s="92"/>
      <c r="CZ45" s="92"/>
      <c r="DA45" s="92"/>
      <c r="DB45" s="92"/>
      <c r="DC45" s="92"/>
      <c r="DD45" s="92"/>
      <c r="DE45" s="92"/>
      <c r="DF45" s="92"/>
      <c r="DG45" s="92"/>
      <c r="DH45" s="92"/>
      <c r="DI45" s="92"/>
      <c r="DJ45" s="92"/>
      <c r="DK45" s="92"/>
      <c r="DL45" s="92"/>
      <c r="DM45" s="92"/>
      <c r="DN45" s="92"/>
      <c r="DO45" s="92"/>
      <c r="DP45" s="92"/>
      <c r="DQ45" s="92"/>
      <c r="DR45" s="92"/>
      <c r="DS45" s="92"/>
      <c r="DT45" s="92"/>
      <c r="DU45" s="92"/>
      <c r="DV45" s="92"/>
      <c r="DW45" s="92"/>
      <c r="DX45" s="92"/>
      <c r="DY45" s="92"/>
      <c r="DZ45" s="92"/>
      <c r="EA45" s="92"/>
      <c r="EB45" s="92"/>
      <c r="EC45" s="92"/>
      <c r="ED45" s="92"/>
      <c r="EE45" s="92"/>
      <c r="EF45" s="92"/>
      <c r="EG45" s="92"/>
      <c r="EH45" s="92"/>
      <c r="EI45" s="92"/>
      <c r="EJ45" s="92"/>
      <c r="EK45" s="92"/>
      <c r="EL45" s="92"/>
      <c r="EM45" s="92"/>
      <c r="EN45" s="92"/>
      <c r="EO45" s="92"/>
      <c r="EP45" s="92"/>
      <c r="EQ45" s="92"/>
      <c r="ER45" s="92"/>
      <c r="ES45" s="92"/>
      <c r="ET45" s="92"/>
      <c r="EU45" s="92"/>
      <c r="EV45" s="92"/>
      <c r="EW45" s="92"/>
      <c r="EX45" s="92"/>
      <c r="EY45" s="92"/>
      <c r="EZ45" s="92"/>
      <c r="FA45" s="92"/>
      <c r="FB45" s="92"/>
      <c r="FC45" s="92"/>
      <c r="FD45" s="92"/>
      <c r="FE45" s="92"/>
      <c r="FF45" s="92"/>
      <c r="FG45" s="92"/>
      <c r="FH45" s="92"/>
      <c r="FI45" s="92"/>
      <c r="FJ45" s="92"/>
      <c r="FK45" s="92"/>
      <c r="FL45" s="92"/>
      <c r="FM45" s="92"/>
      <c r="FN45" s="92"/>
      <c r="FO45" s="92"/>
      <c r="FP45" s="92"/>
      <c r="FQ45" s="92"/>
      <c r="FR45" s="92"/>
      <c r="FS45" s="92"/>
      <c r="FT45" s="92"/>
      <c r="FU45" s="92"/>
      <c r="FV45" s="92"/>
      <c r="FW45" s="92"/>
      <c r="FX45" s="92"/>
      <c r="FY45" s="92"/>
      <c r="FZ45" s="92"/>
      <c r="GA45" s="92"/>
      <c r="GB45" s="92"/>
      <c r="GC45" s="92"/>
      <c r="GD45" s="92"/>
      <c r="GE45" s="92"/>
      <c r="GF45" s="92"/>
      <c r="GG45" s="92"/>
      <c r="GH45" s="92"/>
      <c r="GI45" s="92"/>
      <c r="GJ45" s="92"/>
      <c r="GK45" s="92"/>
      <c r="GL45" s="92"/>
      <c r="GM45" s="92"/>
      <c r="GN45" s="92"/>
      <c r="GO45" s="92"/>
      <c r="GP45" s="92"/>
      <c r="GQ45" s="92"/>
      <c r="GR45" s="92"/>
      <c r="GS45" s="92"/>
      <c r="GT45" s="92"/>
      <c r="GU45" s="92"/>
      <c r="GV45" s="92"/>
      <c r="GW45" s="92"/>
      <c r="GX45" s="92"/>
      <c r="GY45" s="92"/>
      <c r="GZ45" s="92"/>
      <c r="HA45" s="92"/>
      <c r="HB45" s="92"/>
      <c r="HC45" s="92"/>
      <c r="HD45" s="92"/>
      <c r="HE45" s="92"/>
      <c r="HF45" s="92"/>
      <c r="HG45" s="92"/>
      <c r="HH45" s="92"/>
      <c r="HI45" s="92"/>
      <c r="HJ45" s="92"/>
      <c r="HK45" s="92"/>
      <c r="HL45" s="92"/>
      <c r="HM45" s="92"/>
      <c r="HN45" s="92"/>
      <c r="HO45" s="92"/>
      <c r="HP45" s="92"/>
      <c r="HQ45" s="92"/>
      <c r="HR45" s="92"/>
      <c r="HS45" s="92"/>
      <c r="HT45" s="92"/>
      <c r="HU45" s="92"/>
      <c r="HV45" s="92"/>
      <c r="HW45" s="92"/>
      <c r="HX45" s="92"/>
      <c r="HY45" s="92"/>
      <c r="HZ45" s="92"/>
      <c r="IA45" s="92"/>
      <c r="IB45" s="92"/>
      <c r="IC45" s="92"/>
      <c r="ID45" s="92"/>
      <c r="IE45" s="92"/>
      <c r="IF45" s="92"/>
      <c r="IG45" s="92"/>
      <c r="IH45" s="92"/>
      <c r="II45" s="92"/>
      <c r="IJ45" s="92"/>
      <c r="IK45" s="92"/>
      <c r="IL45" s="92"/>
      <c r="IM45" s="92"/>
      <c r="IN45" s="92"/>
      <c r="IO45" s="92"/>
      <c r="IP45" s="92"/>
      <c r="IQ45" s="92"/>
      <c r="IR45" s="92"/>
      <c r="IS45" s="92"/>
      <c r="IT45" s="92"/>
      <c r="IU45" s="92"/>
      <c r="IV45" s="92"/>
      <c r="IW45" s="92"/>
      <c r="IX45" s="92"/>
      <c r="IY45" s="92"/>
      <c r="IZ45" s="92"/>
      <c r="JA45" s="92"/>
      <c r="JB45" s="92"/>
      <c r="JC45" s="92"/>
      <c r="JD45" s="92"/>
      <c r="JE45" s="92"/>
      <c r="JF45" t="s">
        <v>49</v>
      </c>
    </row>
    <row r="46" spans="1:266" hidden="1" x14ac:dyDescent="0.45">
      <c r="A46" s="71" t="str">
        <f>IF('Quote Exports'!C50="","",'Quote Exports'!C50)</f>
        <v>RM Price</v>
      </c>
      <c r="B46" s="72"/>
      <c r="C46" s="68"/>
      <c r="D46" s="3" t="s">
        <v>247</v>
      </c>
      <c r="E46" s="92">
        <v>133.274</v>
      </c>
      <c r="F46" s="92">
        <v>133.274</v>
      </c>
      <c r="G46" s="92">
        <v>133.274</v>
      </c>
      <c r="H46" s="92">
        <v>133.274</v>
      </c>
      <c r="I46" s="92">
        <v>133.274</v>
      </c>
      <c r="J46" s="92">
        <v>133.274</v>
      </c>
      <c r="K46" s="92">
        <v>133.274</v>
      </c>
      <c r="L46" s="92">
        <v>133.274</v>
      </c>
      <c r="M46" s="92">
        <v>133.274</v>
      </c>
      <c r="N46" s="92">
        <v>133.274</v>
      </c>
      <c r="O46" s="92">
        <v>133.274</v>
      </c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2"/>
      <c r="BP46" s="92"/>
      <c r="BQ46" s="92"/>
      <c r="BR46" s="92"/>
      <c r="BS46" s="92"/>
      <c r="BT46" s="92"/>
      <c r="BU46" s="92"/>
      <c r="BV46" s="92"/>
      <c r="BW46" s="92"/>
      <c r="BX46" s="92"/>
      <c r="BY46" s="92"/>
      <c r="BZ46" s="92"/>
      <c r="CA46" s="92"/>
      <c r="CB46" s="92"/>
      <c r="CC46" s="92"/>
      <c r="CD46" s="92"/>
      <c r="CE46" s="92"/>
      <c r="CF46" s="92"/>
      <c r="CG46" s="92"/>
      <c r="CH46" s="92"/>
      <c r="CI46" s="92"/>
      <c r="CJ46" s="92"/>
      <c r="CK46" s="92"/>
      <c r="CL46" s="92"/>
      <c r="CM46" s="92"/>
      <c r="CN46" s="92"/>
      <c r="CO46" s="92"/>
      <c r="CP46" s="92"/>
      <c r="CQ46" s="92"/>
      <c r="CR46" s="92"/>
      <c r="CS46" s="92"/>
      <c r="CT46" s="92"/>
      <c r="CU46" s="92"/>
      <c r="CV46" s="92"/>
      <c r="CW46" s="92"/>
      <c r="CX46" s="92"/>
      <c r="CY46" s="92"/>
      <c r="CZ46" s="92"/>
      <c r="DA46" s="92"/>
      <c r="DB46" s="92"/>
      <c r="DC46" s="92"/>
      <c r="DD46" s="92"/>
      <c r="DE46" s="92"/>
      <c r="DF46" s="92"/>
      <c r="DG46" s="92"/>
      <c r="DH46" s="92"/>
      <c r="DI46" s="92"/>
      <c r="DJ46" s="92"/>
      <c r="DK46" s="92"/>
      <c r="DL46" s="92"/>
      <c r="DM46" s="92"/>
      <c r="DN46" s="92"/>
      <c r="DO46" s="92"/>
      <c r="DP46" s="92"/>
      <c r="DQ46" s="92"/>
      <c r="DR46" s="92"/>
      <c r="DS46" s="92"/>
      <c r="DT46" s="92"/>
      <c r="DU46" s="92"/>
      <c r="DV46" s="92"/>
      <c r="DW46" s="92"/>
      <c r="DX46" s="92"/>
      <c r="DY46" s="92"/>
      <c r="DZ46" s="92"/>
      <c r="EA46" s="92"/>
      <c r="EB46" s="92"/>
      <c r="EC46" s="92"/>
      <c r="ED46" s="92"/>
      <c r="EE46" s="92"/>
      <c r="EF46" s="92"/>
      <c r="EG46" s="92"/>
      <c r="EH46" s="92"/>
      <c r="EI46" s="92"/>
      <c r="EJ46" s="92"/>
      <c r="EK46" s="92"/>
      <c r="EL46" s="92"/>
      <c r="EM46" s="92"/>
      <c r="EN46" s="92"/>
      <c r="EO46" s="92"/>
      <c r="EP46" s="92"/>
      <c r="EQ46" s="92"/>
      <c r="ER46" s="92"/>
      <c r="ES46" s="92"/>
      <c r="ET46" s="92"/>
      <c r="EU46" s="92"/>
      <c r="EV46" s="92"/>
      <c r="EW46" s="92"/>
      <c r="EX46" s="92"/>
      <c r="EY46" s="92"/>
      <c r="EZ46" s="92"/>
      <c r="FA46" s="92"/>
      <c r="FB46" s="92"/>
      <c r="FC46" s="92"/>
      <c r="FD46" s="92"/>
      <c r="FE46" s="92"/>
      <c r="FF46" s="92"/>
      <c r="FG46" s="92"/>
      <c r="FH46" s="92"/>
      <c r="FI46" s="92"/>
      <c r="FJ46" s="92"/>
      <c r="FK46" s="92"/>
      <c r="FL46" s="92"/>
      <c r="FM46" s="92"/>
      <c r="FN46" s="92"/>
      <c r="FO46" s="92"/>
      <c r="FP46" s="92"/>
      <c r="FQ46" s="92"/>
      <c r="FR46" s="92"/>
      <c r="FS46" s="92"/>
      <c r="FT46" s="92"/>
      <c r="FU46" s="92"/>
      <c r="FV46" s="92"/>
      <c r="FW46" s="92"/>
      <c r="FX46" s="92"/>
      <c r="FY46" s="92"/>
      <c r="FZ46" s="92"/>
      <c r="GA46" s="92"/>
      <c r="GB46" s="92"/>
      <c r="GC46" s="92"/>
      <c r="GD46" s="92"/>
      <c r="GE46" s="92"/>
      <c r="GF46" s="92"/>
      <c r="GG46" s="92"/>
      <c r="GH46" s="92"/>
      <c r="GI46" s="92"/>
      <c r="GJ46" s="92"/>
      <c r="GK46" s="92"/>
      <c r="GL46" s="92"/>
      <c r="GM46" s="92"/>
      <c r="GN46" s="92"/>
      <c r="GO46" s="92"/>
      <c r="GP46" s="92"/>
      <c r="GQ46" s="92"/>
      <c r="GR46" s="92"/>
      <c r="GS46" s="92"/>
      <c r="GT46" s="92"/>
      <c r="GU46" s="92"/>
      <c r="GV46" s="92"/>
      <c r="GW46" s="92"/>
      <c r="GX46" s="92"/>
      <c r="GY46" s="92"/>
      <c r="GZ46" s="92"/>
      <c r="HA46" s="92"/>
      <c r="HB46" s="92"/>
      <c r="HC46" s="92"/>
      <c r="HD46" s="92"/>
      <c r="HE46" s="92"/>
      <c r="HF46" s="92"/>
      <c r="HG46" s="92"/>
      <c r="HH46" s="92"/>
      <c r="HI46" s="92"/>
      <c r="HJ46" s="92"/>
      <c r="HK46" s="92"/>
      <c r="HL46" s="92"/>
      <c r="HM46" s="92"/>
      <c r="HN46" s="92"/>
      <c r="HO46" s="92"/>
      <c r="HP46" s="92"/>
      <c r="HQ46" s="92"/>
      <c r="HR46" s="92"/>
      <c r="HS46" s="92"/>
      <c r="HT46" s="92"/>
      <c r="HU46" s="92"/>
      <c r="HV46" s="92"/>
      <c r="HW46" s="92"/>
      <c r="HX46" s="92"/>
      <c r="HY46" s="92"/>
      <c r="HZ46" s="92"/>
      <c r="IA46" s="92"/>
      <c r="IB46" s="92"/>
      <c r="IC46" s="92"/>
      <c r="ID46" s="92"/>
      <c r="IE46" s="92"/>
      <c r="IF46" s="92"/>
      <c r="IG46" s="92"/>
      <c r="IH46" s="92"/>
      <c r="II46" s="92"/>
      <c r="IJ46" s="92"/>
      <c r="IK46" s="92"/>
      <c r="IL46" s="92"/>
      <c r="IM46" s="92"/>
      <c r="IN46" s="92"/>
      <c r="IO46" s="92"/>
      <c r="IP46" s="92"/>
      <c r="IQ46" s="92"/>
      <c r="IR46" s="92"/>
      <c r="IS46" s="92"/>
      <c r="IT46" s="92"/>
      <c r="IU46" s="92"/>
      <c r="IV46" s="92"/>
      <c r="IW46" s="92"/>
      <c r="IX46" s="92"/>
      <c r="IY46" s="92"/>
      <c r="IZ46" s="92"/>
      <c r="JA46" s="92"/>
      <c r="JB46" s="92"/>
      <c r="JC46" s="92"/>
      <c r="JD46" s="92"/>
      <c r="JE46" s="92"/>
      <c r="JF46" t="s">
        <v>49</v>
      </c>
    </row>
    <row r="47" spans="1:266" hidden="1" x14ac:dyDescent="0.45">
      <c r="A47" s="71" t="str">
        <f>IF('Quote Exports'!C51="","",'Quote Exports'!C51)</f>
        <v>RM Price</v>
      </c>
      <c r="B47" s="72"/>
      <c r="C47" s="68"/>
      <c r="D47" s="3" t="s">
        <v>248</v>
      </c>
      <c r="E47" s="92">
        <v>155.83699999999999</v>
      </c>
      <c r="F47" s="92">
        <v>155.83699999999999</v>
      </c>
      <c r="G47" s="92">
        <v>155.83699999999999</v>
      </c>
      <c r="H47" s="92">
        <v>155.83699999999999</v>
      </c>
      <c r="I47" s="92">
        <v>155.83699999999999</v>
      </c>
      <c r="J47" s="92">
        <v>155.83699999999999</v>
      </c>
      <c r="K47" s="92">
        <v>155.83699999999999</v>
      </c>
      <c r="L47" s="92">
        <v>155.83699999999999</v>
      </c>
      <c r="M47" s="92">
        <v>155.83699999999999</v>
      </c>
      <c r="N47" s="92">
        <v>155.83699999999999</v>
      </c>
      <c r="O47" s="92">
        <v>155.83699999999999</v>
      </c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92"/>
      <c r="BR47" s="92"/>
      <c r="BS47" s="92"/>
      <c r="BT47" s="92"/>
      <c r="BU47" s="92"/>
      <c r="BV47" s="92"/>
      <c r="BW47" s="92"/>
      <c r="BX47" s="92"/>
      <c r="BY47" s="92"/>
      <c r="BZ47" s="92"/>
      <c r="CA47" s="92"/>
      <c r="CB47" s="92"/>
      <c r="CC47" s="92"/>
      <c r="CD47" s="92"/>
      <c r="CE47" s="92"/>
      <c r="CF47" s="92"/>
      <c r="CG47" s="92"/>
      <c r="CH47" s="92"/>
      <c r="CI47" s="92"/>
      <c r="CJ47" s="92"/>
      <c r="CK47" s="92"/>
      <c r="CL47" s="92"/>
      <c r="CM47" s="92"/>
      <c r="CN47" s="92"/>
      <c r="CO47" s="92"/>
      <c r="CP47" s="92"/>
      <c r="CQ47" s="92"/>
      <c r="CR47" s="92"/>
      <c r="CS47" s="92"/>
      <c r="CT47" s="92"/>
      <c r="CU47" s="92"/>
      <c r="CV47" s="92"/>
      <c r="CW47" s="92"/>
      <c r="CX47" s="92"/>
      <c r="CY47" s="92"/>
      <c r="CZ47" s="92"/>
      <c r="DA47" s="92"/>
      <c r="DB47" s="92"/>
      <c r="DC47" s="92"/>
      <c r="DD47" s="92"/>
      <c r="DE47" s="92"/>
      <c r="DF47" s="92"/>
      <c r="DG47" s="92"/>
      <c r="DH47" s="92"/>
      <c r="DI47" s="92"/>
      <c r="DJ47" s="92"/>
      <c r="DK47" s="92"/>
      <c r="DL47" s="92"/>
      <c r="DM47" s="92"/>
      <c r="DN47" s="92"/>
      <c r="DO47" s="92"/>
      <c r="DP47" s="92"/>
      <c r="DQ47" s="92"/>
      <c r="DR47" s="92"/>
      <c r="DS47" s="92"/>
      <c r="DT47" s="92"/>
      <c r="DU47" s="92"/>
      <c r="DV47" s="92"/>
      <c r="DW47" s="92"/>
      <c r="DX47" s="92"/>
      <c r="DY47" s="92"/>
      <c r="DZ47" s="92"/>
      <c r="EA47" s="92"/>
      <c r="EB47" s="92"/>
      <c r="EC47" s="92"/>
      <c r="ED47" s="92"/>
      <c r="EE47" s="92"/>
      <c r="EF47" s="92"/>
      <c r="EG47" s="92"/>
      <c r="EH47" s="92"/>
      <c r="EI47" s="92"/>
      <c r="EJ47" s="92"/>
      <c r="EK47" s="92"/>
      <c r="EL47" s="92"/>
      <c r="EM47" s="92"/>
      <c r="EN47" s="92"/>
      <c r="EO47" s="92"/>
      <c r="EP47" s="92"/>
      <c r="EQ47" s="92"/>
      <c r="ER47" s="92"/>
      <c r="ES47" s="92"/>
      <c r="ET47" s="92"/>
      <c r="EU47" s="92"/>
      <c r="EV47" s="92"/>
      <c r="EW47" s="92"/>
      <c r="EX47" s="92"/>
      <c r="EY47" s="92"/>
      <c r="EZ47" s="92"/>
      <c r="FA47" s="92"/>
      <c r="FB47" s="92"/>
      <c r="FC47" s="92"/>
      <c r="FD47" s="92"/>
      <c r="FE47" s="92"/>
      <c r="FF47" s="92"/>
      <c r="FG47" s="92"/>
      <c r="FH47" s="92"/>
      <c r="FI47" s="92"/>
      <c r="FJ47" s="92"/>
      <c r="FK47" s="92"/>
      <c r="FL47" s="92"/>
      <c r="FM47" s="92"/>
      <c r="FN47" s="92"/>
      <c r="FO47" s="92"/>
      <c r="FP47" s="92"/>
      <c r="FQ47" s="92"/>
      <c r="FR47" s="92"/>
      <c r="FS47" s="92"/>
      <c r="FT47" s="92"/>
      <c r="FU47" s="92"/>
      <c r="FV47" s="92"/>
      <c r="FW47" s="92"/>
      <c r="FX47" s="92"/>
      <c r="FY47" s="92"/>
      <c r="FZ47" s="92"/>
      <c r="GA47" s="92"/>
      <c r="GB47" s="92"/>
      <c r="GC47" s="92"/>
      <c r="GD47" s="92"/>
      <c r="GE47" s="92"/>
      <c r="GF47" s="92"/>
      <c r="GG47" s="92"/>
      <c r="GH47" s="92"/>
      <c r="GI47" s="92"/>
      <c r="GJ47" s="92"/>
      <c r="GK47" s="92"/>
      <c r="GL47" s="92"/>
      <c r="GM47" s="92"/>
      <c r="GN47" s="92"/>
      <c r="GO47" s="92"/>
      <c r="GP47" s="92"/>
      <c r="GQ47" s="92"/>
      <c r="GR47" s="92"/>
      <c r="GS47" s="92"/>
      <c r="GT47" s="92"/>
      <c r="GU47" s="92"/>
      <c r="GV47" s="92"/>
      <c r="GW47" s="92"/>
      <c r="GX47" s="92"/>
      <c r="GY47" s="92"/>
      <c r="GZ47" s="92"/>
      <c r="HA47" s="92"/>
      <c r="HB47" s="92"/>
      <c r="HC47" s="92"/>
      <c r="HD47" s="92"/>
      <c r="HE47" s="92"/>
      <c r="HF47" s="92"/>
      <c r="HG47" s="92"/>
      <c r="HH47" s="92"/>
      <c r="HI47" s="92"/>
      <c r="HJ47" s="92"/>
      <c r="HK47" s="92"/>
      <c r="HL47" s="92"/>
      <c r="HM47" s="92"/>
      <c r="HN47" s="92"/>
      <c r="HO47" s="92"/>
      <c r="HP47" s="92"/>
      <c r="HQ47" s="92"/>
      <c r="HR47" s="92"/>
      <c r="HS47" s="92"/>
      <c r="HT47" s="92"/>
      <c r="HU47" s="92"/>
      <c r="HV47" s="92"/>
      <c r="HW47" s="92"/>
      <c r="HX47" s="92"/>
      <c r="HY47" s="92"/>
      <c r="HZ47" s="92"/>
      <c r="IA47" s="92"/>
      <c r="IB47" s="92"/>
      <c r="IC47" s="92"/>
      <c r="ID47" s="92"/>
      <c r="IE47" s="92"/>
      <c r="IF47" s="92"/>
      <c r="IG47" s="92"/>
      <c r="IH47" s="92"/>
      <c r="II47" s="92"/>
      <c r="IJ47" s="92"/>
      <c r="IK47" s="92"/>
      <c r="IL47" s="92"/>
      <c r="IM47" s="92"/>
      <c r="IN47" s="92"/>
      <c r="IO47" s="92"/>
      <c r="IP47" s="92"/>
      <c r="IQ47" s="92"/>
      <c r="IR47" s="92"/>
      <c r="IS47" s="92"/>
      <c r="IT47" s="92"/>
      <c r="IU47" s="92"/>
      <c r="IV47" s="92"/>
      <c r="IW47" s="92"/>
      <c r="IX47" s="92"/>
      <c r="IY47" s="92"/>
      <c r="IZ47" s="92"/>
      <c r="JA47" s="92"/>
      <c r="JB47" s="92"/>
      <c r="JC47" s="92"/>
      <c r="JD47" s="92"/>
      <c r="JE47" s="92"/>
      <c r="JF47" t="s">
        <v>49</v>
      </c>
    </row>
    <row r="48" spans="1:266" hidden="1" x14ac:dyDescent="0.45">
      <c r="A48" s="71" t="str">
        <f>IF('Quote Exports'!C52="","",'Quote Exports'!C52)</f>
        <v>RM Price</v>
      </c>
      <c r="B48" s="72"/>
      <c r="C48" s="68"/>
      <c r="D48" s="3" t="s">
        <v>249</v>
      </c>
      <c r="E48" s="92">
        <v>141.084</v>
      </c>
      <c r="F48" s="92">
        <v>141.084</v>
      </c>
      <c r="G48" s="92">
        <v>141.084</v>
      </c>
      <c r="H48" s="92">
        <v>141.084</v>
      </c>
      <c r="I48" s="92">
        <v>141.084</v>
      </c>
      <c r="J48" s="92">
        <v>141.084</v>
      </c>
      <c r="K48" s="92">
        <v>141.084</v>
      </c>
      <c r="L48" s="92">
        <v>141.084</v>
      </c>
      <c r="M48" s="92">
        <v>141.084</v>
      </c>
      <c r="N48" s="92">
        <v>141.084</v>
      </c>
      <c r="O48" s="92">
        <v>141.084</v>
      </c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  <c r="CV48" s="92"/>
      <c r="CW48" s="92"/>
      <c r="CX48" s="92"/>
      <c r="CY48" s="92"/>
      <c r="CZ48" s="92"/>
      <c r="DA48" s="92"/>
      <c r="DB48" s="92"/>
      <c r="DC48" s="92"/>
      <c r="DD48" s="92"/>
      <c r="DE48" s="92"/>
      <c r="DF48" s="92"/>
      <c r="DG48" s="92"/>
      <c r="DH48" s="92"/>
      <c r="DI48" s="92"/>
      <c r="DJ48" s="92"/>
      <c r="DK48" s="92"/>
      <c r="DL48" s="92"/>
      <c r="DM48" s="92"/>
      <c r="DN48" s="92"/>
      <c r="DO48" s="92"/>
      <c r="DP48" s="92"/>
      <c r="DQ48" s="92"/>
      <c r="DR48" s="92"/>
      <c r="DS48" s="92"/>
      <c r="DT48" s="92"/>
      <c r="DU48" s="92"/>
      <c r="DV48" s="92"/>
      <c r="DW48" s="92"/>
      <c r="DX48" s="92"/>
      <c r="DY48" s="92"/>
      <c r="DZ48" s="92"/>
      <c r="EA48" s="92"/>
      <c r="EB48" s="92"/>
      <c r="EC48" s="92"/>
      <c r="ED48" s="92"/>
      <c r="EE48" s="92"/>
      <c r="EF48" s="92"/>
      <c r="EG48" s="92"/>
      <c r="EH48" s="92"/>
      <c r="EI48" s="92"/>
      <c r="EJ48" s="92"/>
      <c r="EK48" s="92"/>
      <c r="EL48" s="92"/>
      <c r="EM48" s="92"/>
      <c r="EN48" s="92"/>
      <c r="EO48" s="92"/>
      <c r="EP48" s="92"/>
      <c r="EQ48" s="92"/>
      <c r="ER48" s="92"/>
      <c r="ES48" s="92"/>
      <c r="ET48" s="92"/>
      <c r="EU48" s="92"/>
      <c r="EV48" s="92"/>
      <c r="EW48" s="92"/>
      <c r="EX48" s="92"/>
      <c r="EY48" s="92"/>
      <c r="EZ48" s="92"/>
      <c r="FA48" s="92"/>
      <c r="FB48" s="92"/>
      <c r="FC48" s="92"/>
      <c r="FD48" s="92"/>
      <c r="FE48" s="92"/>
      <c r="FF48" s="92"/>
      <c r="FG48" s="92"/>
      <c r="FH48" s="92"/>
      <c r="FI48" s="92"/>
      <c r="FJ48" s="92"/>
      <c r="FK48" s="92"/>
      <c r="FL48" s="92"/>
      <c r="FM48" s="92"/>
      <c r="FN48" s="92"/>
      <c r="FO48" s="92"/>
      <c r="FP48" s="92"/>
      <c r="FQ48" s="92"/>
      <c r="FR48" s="92"/>
      <c r="FS48" s="92"/>
      <c r="FT48" s="92"/>
      <c r="FU48" s="92"/>
      <c r="FV48" s="92"/>
      <c r="FW48" s="92"/>
      <c r="FX48" s="92"/>
      <c r="FY48" s="92"/>
      <c r="FZ48" s="92"/>
      <c r="GA48" s="92"/>
      <c r="GB48" s="92"/>
      <c r="GC48" s="92"/>
      <c r="GD48" s="92"/>
      <c r="GE48" s="92"/>
      <c r="GF48" s="92"/>
      <c r="GG48" s="92"/>
      <c r="GH48" s="92"/>
      <c r="GI48" s="92"/>
      <c r="GJ48" s="92"/>
      <c r="GK48" s="92"/>
      <c r="GL48" s="92"/>
      <c r="GM48" s="92"/>
      <c r="GN48" s="92"/>
      <c r="GO48" s="92"/>
      <c r="GP48" s="92"/>
      <c r="GQ48" s="92"/>
      <c r="GR48" s="92"/>
      <c r="GS48" s="92"/>
      <c r="GT48" s="92"/>
      <c r="GU48" s="92"/>
      <c r="GV48" s="92"/>
      <c r="GW48" s="92"/>
      <c r="GX48" s="92"/>
      <c r="GY48" s="92"/>
      <c r="GZ48" s="92"/>
      <c r="HA48" s="92"/>
      <c r="HB48" s="92"/>
      <c r="HC48" s="92"/>
      <c r="HD48" s="92"/>
      <c r="HE48" s="92"/>
      <c r="HF48" s="92"/>
      <c r="HG48" s="92"/>
      <c r="HH48" s="92"/>
      <c r="HI48" s="92"/>
      <c r="HJ48" s="92"/>
      <c r="HK48" s="92"/>
      <c r="HL48" s="92"/>
      <c r="HM48" s="92"/>
      <c r="HN48" s="92"/>
      <c r="HO48" s="92"/>
      <c r="HP48" s="92"/>
      <c r="HQ48" s="92"/>
      <c r="HR48" s="92"/>
      <c r="HS48" s="92"/>
      <c r="HT48" s="92"/>
      <c r="HU48" s="92"/>
      <c r="HV48" s="92"/>
      <c r="HW48" s="92"/>
      <c r="HX48" s="92"/>
      <c r="HY48" s="92"/>
      <c r="HZ48" s="92"/>
      <c r="IA48" s="92"/>
      <c r="IB48" s="92"/>
      <c r="IC48" s="92"/>
      <c r="ID48" s="92"/>
      <c r="IE48" s="92"/>
      <c r="IF48" s="92"/>
      <c r="IG48" s="92"/>
      <c r="IH48" s="92"/>
      <c r="II48" s="92"/>
      <c r="IJ48" s="92"/>
      <c r="IK48" s="92"/>
      <c r="IL48" s="92"/>
      <c r="IM48" s="92"/>
      <c r="IN48" s="92"/>
      <c r="IO48" s="92"/>
      <c r="IP48" s="92"/>
      <c r="IQ48" s="92"/>
      <c r="IR48" s="92"/>
      <c r="IS48" s="92"/>
      <c r="IT48" s="92"/>
      <c r="IU48" s="92"/>
      <c r="IV48" s="92"/>
      <c r="IW48" s="92"/>
      <c r="IX48" s="92"/>
      <c r="IY48" s="92"/>
      <c r="IZ48" s="92"/>
      <c r="JA48" s="92"/>
      <c r="JB48" s="92"/>
      <c r="JC48" s="92"/>
      <c r="JD48" s="92"/>
      <c r="JE48" s="92"/>
      <c r="JF48" t="s">
        <v>49</v>
      </c>
    </row>
    <row r="49" spans="1:266" hidden="1" x14ac:dyDescent="0.45">
      <c r="A49" s="71" t="str">
        <f>IF('Quote Exports'!C53="","",'Quote Exports'!C53)</f>
        <v>RM Price</v>
      </c>
      <c r="B49" s="72"/>
      <c r="C49" s="68"/>
      <c r="D49" s="3" t="s">
        <v>250</v>
      </c>
      <c r="E49" s="92">
        <v>170.88399999999999</v>
      </c>
      <c r="F49" s="92">
        <v>170.88399999999999</v>
      </c>
      <c r="G49" s="92">
        <v>170.88399999999999</v>
      </c>
      <c r="H49" s="92">
        <v>170.88399999999999</v>
      </c>
      <c r="I49" s="92">
        <v>170.88399999999999</v>
      </c>
      <c r="J49" s="92">
        <v>170.88399999999999</v>
      </c>
      <c r="K49" s="92">
        <v>170.88399999999999</v>
      </c>
      <c r="L49" s="92">
        <v>170.88399999999999</v>
      </c>
      <c r="M49" s="92">
        <v>170.88399999999999</v>
      </c>
      <c r="N49" s="92">
        <v>170.88399999999999</v>
      </c>
      <c r="O49" s="92">
        <v>170.88399999999999</v>
      </c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2"/>
      <c r="BP49" s="92"/>
      <c r="BQ49" s="92"/>
      <c r="BR49" s="92"/>
      <c r="BS49" s="92"/>
      <c r="BT49" s="92"/>
      <c r="BU49" s="92"/>
      <c r="BV49" s="92"/>
      <c r="BW49" s="92"/>
      <c r="BX49" s="92"/>
      <c r="BY49" s="92"/>
      <c r="BZ49" s="92"/>
      <c r="CA49" s="92"/>
      <c r="CB49" s="92"/>
      <c r="CC49" s="92"/>
      <c r="CD49" s="92"/>
      <c r="CE49" s="92"/>
      <c r="CF49" s="92"/>
      <c r="CG49" s="92"/>
      <c r="CH49" s="92"/>
      <c r="CI49" s="92"/>
      <c r="CJ49" s="92"/>
      <c r="CK49" s="92"/>
      <c r="CL49" s="92"/>
      <c r="CM49" s="92"/>
      <c r="CN49" s="92"/>
      <c r="CO49" s="92"/>
      <c r="CP49" s="92"/>
      <c r="CQ49" s="92"/>
      <c r="CR49" s="92"/>
      <c r="CS49" s="92"/>
      <c r="CT49" s="92"/>
      <c r="CU49" s="92"/>
      <c r="CV49" s="92"/>
      <c r="CW49" s="92"/>
      <c r="CX49" s="92"/>
      <c r="CY49" s="92"/>
      <c r="CZ49" s="92"/>
      <c r="DA49" s="92"/>
      <c r="DB49" s="92"/>
      <c r="DC49" s="92"/>
      <c r="DD49" s="92"/>
      <c r="DE49" s="92"/>
      <c r="DF49" s="92"/>
      <c r="DG49" s="92"/>
      <c r="DH49" s="92"/>
      <c r="DI49" s="92"/>
      <c r="DJ49" s="92"/>
      <c r="DK49" s="92"/>
      <c r="DL49" s="92"/>
      <c r="DM49" s="92"/>
      <c r="DN49" s="92"/>
      <c r="DO49" s="92"/>
      <c r="DP49" s="92"/>
      <c r="DQ49" s="92"/>
      <c r="DR49" s="92"/>
      <c r="DS49" s="92"/>
      <c r="DT49" s="92"/>
      <c r="DU49" s="92"/>
      <c r="DV49" s="92"/>
      <c r="DW49" s="92"/>
      <c r="DX49" s="92"/>
      <c r="DY49" s="92"/>
      <c r="DZ49" s="92"/>
      <c r="EA49" s="92"/>
      <c r="EB49" s="92"/>
      <c r="EC49" s="92"/>
      <c r="ED49" s="92"/>
      <c r="EE49" s="92"/>
      <c r="EF49" s="92"/>
      <c r="EG49" s="92"/>
      <c r="EH49" s="92"/>
      <c r="EI49" s="92"/>
      <c r="EJ49" s="92"/>
      <c r="EK49" s="92"/>
      <c r="EL49" s="92"/>
      <c r="EM49" s="92"/>
      <c r="EN49" s="92"/>
      <c r="EO49" s="92"/>
      <c r="EP49" s="92"/>
      <c r="EQ49" s="92"/>
      <c r="ER49" s="92"/>
      <c r="ES49" s="92"/>
      <c r="ET49" s="92"/>
      <c r="EU49" s="92"/>
      <c r="EV49" s="92"/>
      <c r="EW49" s="92"/>
      <c r="EX49" s="92"/>
      <c r="EY49" s="92"/>
      <c r="EZ49" s="92"/>
      <c r="FA49" s="92"/>
      <c r="FB49" s="92"/>
      <c r="FC49" s="92"/>
      <c r="FD49" s="92"/>
      <c r="FE49" s="92"/>
      <c r="FF49" s="92"/>
      <c r="FG49" s="92"/>
      <c r="FH49" s="92"/>
      <c r="FI49" s="92"/>
      <c r="FJ49" s="92"/>
      <c r="FK49" s="92"/>
      <c r="FL49" s="92"/>
      <c r="FM49" s="92"/>
      <c r="FN49" s="92"/>
      <c r="FO49" s="92"/>
      <c r="FP49" s="92"/>
      <c r="FQ49" s="92"/>
      <c r="FR49" s="92"/>
      <c r="FS49" s="92"/>
      <c r="FT49" s="92"/>
      <c r="FU49" s="92"/>
      <c r="FV49" s="92"/>
      <c r="FW49" s="92"/>
      <c r="FX49" s="92"/>
      <c r="FY49" s="92"/>
      <c r="FZ49" s="92"/>
      <c r="GA49" s="92"/>
      <c r="GB49" s="92"/>
      <c r="GC49" s="92"/>
      <c r="GD49" s="92"/>
      <c r="GE49" s="92"/>
      <c r="GF49" s="92"/>
      <c r="GG49" s="92"/>
      <c r="GH49" s="92"/>
      <c r="GI49" s="92"/>
      <c r="GJ49" s="92"/>
      <c r="GK49" s="92"/>
      <c r="GL49" s="92"/>
      <c r="GM49" s="92"/>
      <c r="GN49" s="92"/>
      <c r="GO49" s="92"/>
      <c r="GP49" s="92"/>
      <c r="GQ49" s="92"/>
      <c r="GR49" s="92"/>
      <c r="GS49" s="92"/>
      <c r="GT49" s="92"/>
      <c r="GU49" s="92"/>
      <c r="GV49" s="92"/>
      <c r="GW49" s="92"/>
      <c r="GX49" s="92"/>
      <c r="GY49" s="92"/>
      <c r="GZ49" s="92"/>
      <c r="HA49" s="92"/>
      <c r="HB49" s="92"/>
      <c r="HC49" s="92"/>
      <c r="HD49" s="92"/>
      <c r="HE49" s="92"/>
      <c r="HF49" s="92"/>
      <c r="HG49" s="92"/>
      <c r="HH49" s="92"/>
      <c r="HI49" s="92"/>
      <c r="HJ49" s="92"/>
      <c r="HK49" s="92"/>
      <c r="HL49" s="92"/>
      <c r="HM49" s="92"/>
      <c r="HN49" s="92"/>
      <c r="HO49" s="92"/>
      <c r="HP49" s="92"/>
      <c r="HQ49" s="92"/>
      <c r="HR49" s="92"/>
      <c r="HS49" s="92"/>
      <c r="HT49" s="92"/>
      <c r="HU49" s="92"/>
      <c r="HV49" s="92"/>
      <c r="HW49" s="92"/>
      <c r="HX49" s="92"/>
      <c r="HY49" s="92"/>
      <c r="HZ49" s="92"/>
      <c r="IA49" s="92"/>
      <c r="IB49" s="92"/>
      <c r="IC49" s="92"/>
      <c r="ID49" s="92"/>
      <c r="IE49" s="92"/>
      <c r="IF49" s="92"/>
      <c r="IG49" s="92"/>
      <c r="IH49" s="92"/>
      <c r="II49" s="92"/>
      <c r="IJ49" s="92"/>
      <c r="IK49" s="92"/>
      <c r="IL49" s="92"/>
      <c r="IM49" s="92"/>
      <c r="IN49" s="92"/>
      <c r="IO49" s="92"/>
      <c r="IP49" s="92"/>
      <c r="IQ49" s="92"/>
      <c r="IR49" s="92"/>
      <c r="IS49" s="92"/>
      <c r="IT49" s="92"/>
      <c r="IU49" s="92"/>
      <c r="IV49" s="92"/>
      <c r="IW49" s="92"/>
      <c r="IX49" s="92"/>
      <c r="IY49" s="92"/>
      <c r="IZ49" s="92"/>
      <c r="JA49" s="92"/>
      <c r="JB49" s="92"/>
      <c r="JC49" s="92"/>
      <c r="JD49" s="92"/>
      <c r="JE49" s="92"/>
      <c r="JF49" t="s">
        <v>49</v>
      </c>
    </row>
    <row r="50" spans="1:266" hidden="1" x14ac:dyDescent="0.45">
      <c r="A50" s="71" t="str">
        <f>IF('Quote Exports'!C54="","",'Quote Exports'!C54)</f>
        <v>RM Price</v>
      </c>
      <c r="B50" s="72">
        <v>1</v>
      </c>
      <c r="C50" s="68"/>
      <c r="D50" s="3" t="s">
        <v>251</v>
      </c>
      <c r="E50" s="92">
        <v>173.63200000000001</v>
      </c>
      <c r="F50" s="92">
        <v>173.63200000000001</v>
      </c>
      <c r="G50" s="92">
        <v>173.63200000000001</v>
      </c>
      <c r="H50" s="92">
        <v>173.63200000000001</v>
      </c>
      <c r="I50" s="92">
        <v>173.63200000000001</v>
      </c>
      <c r="J50" s="92">
        <v>173.63200000000001</v>
      </c>
      <c r="K50" s="92">
        <v>173.63200000000001</v>
      </c>
      <c r="L50" s="92">
        <v>173.63200000000001</v>
      </c>
      <c r="M50" s="92">
        <v>173.63200000000001</v>
      </c>
      <c r="N50" s="92">
        <v>173.63200000000001</v>
      </c>
      <c r="O50" s="92">
        <v>173.63200000000001</v>
      </c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  <c r="BU50" s="92"/>
      <c r="BV50" s="92"/>
      <c r="BW50" s="92"/>
      <c r="BX50" s="92"/>
      <c r="BY50" s="92"/>
      <c r="BZ50" s="92"/>
      <c r="CA50" s="92"/>
      <c r="CB50" s="92"/>
      <c r="CC50" s="92"/>
      <c r="CD50" s="92"/>
      <c r="CE50" s="92"/>
      <c r="CF50" s="92"/>
      <c r="CG50" s="92"/>
      <c r="CH50" s="92"/>
      <c r="CI50" s="92"/>
      <c r="CJ50" s="92"/>
      <c r="CK50" s="92"/>
      <c r="CL50" s="92"/>
      <c r="CM50" s="92"/>
      <c r="CN50" s="92"/>
      <c r="CO50" s="92"/>
      <c r="CP50" s="92"/>
      <c r="CQ50" s="92"/>
      <c r="CR50" s="92"/>
      <c r="CS50" s="92"/>
      <c r="CT50" s="92"/>
      <c r="CU50" s="92"/>
      <c r="CV50" s="92"/>
      <c r="CW50" s="92"/>
      <c r="CX50" s="92"/>
      <c r="CY50" s="92"/>
      <c r="CZ50" s="92"/>
      <c r="DA50" s="92"/>
      <c r="DB50" s="92"/>
      <c r="DC50" s="92"/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2"/>
      <c r="DQ50" s="92"/>
      <c r="DR50" s="92"/>
      <c r="DS50" s="92"/>
      <c r="DT50" s="92"/>
      <c r="DU50" s="92"/>
      <c r="DV50" s="92"/>
      <c r="DW50" s="92"/>
      <c r="DX50" s="92"/>
      <c r="DY50" s="92"/>
      <c r="DZ50" s="92"/>
      <c r="EA50" s="92"/>
      <c r="EB50" s="92"/>
      <c r="EC50" s="92"/>
      <c r="ED50" s="92"/>
      <c r="EE50" s="92"/>
      <c r="EF50" s="92"/>
      <c r="EG50" s="92"/>
      <c r="EH50" s="92"/>
      <c r="EI50" s="92"/>
      <c r="EJ50" s="92"/>
      <c r="EK50" s="92"/>
      <c r="EL50" s="92"/>
      <c r="EM50" s="92"/>
      <c r="EN50" s="92"/>
      <c r="EO50" s="92"/>
      <c r="EP50" s="92"/>
      <c r="EQ50" s="92"/>
      <c r="ER50" s="92"/>
      <c r="ES50" s="92"/>
      <c r="ET50" s="92"/>
      <c r="EU50" s="92"/>
      <c r="EV50" s="92"/>
      <c r="EW50" s="92"/>
      <c r="EX50" s="92"/>
      <c r="EY50" s="92"/>
      <c r="EZ50" s="92"/>
      <c r="FA50" s="92"/>
      <c r="FB50" s="92"/>
      <c r="FC50" s="92"/>
      <c r="FD50" s="92"/>
      <c r="FE50" s="92"/>
      <c r="FF50" s="92"/>
      <c r="FG50" s="92"/>
      <c r="FH50" s="92"/>
      <c r="FI50" s="92"/>
      <c r="FJ50" s="92"/>
      <c r="FK50" s="92"/>
      <c r="FL50" s="92"/>
      <c r="FM50" s="92"/>
      <c r="FN50" s="92"/>
      <c r="FO50" s="92"/>
      <c r="FP50" s="92"/>
      <c r="FQ50" s="92"/>
      <c r="FR50" s="92"/>
      <c r="FS50" s="92"/>
      <c r="FT50" s="92"/>
      <c r="FU50" s="92"/>
      <c r="FV50" s="92"/>
      <c r="FW50" s="92"/>
      <c r="FX50" s="92"/>
      <c r="FY50" s="92"/>
      <c r="FZ50" s="92"/>
      <c r="GA50" s="92"/>
      <c r="GB50" s="92"/>
      <c r="GC50" s="92"/>
      <c r="GD50" s="92"/>
      <c r="GE50" s="92"/>
      <c r="GF50" s="92"/>
      <c r="GG50" s="92"/>
      <c r="GH50" s="92"/>
      <c r="GI50" s="92"/>
      <c r="GJ50" s="92"/>
      <c r="GK50" s="92"/>
      <c r="GL50" s="92"/>
      <c r="GM50" s="92"/>
      <c r="GN50" s="92"/>
      <c r="GO50" s="92"/>
      <c r="GP50" s="92"/>
      <c r="GQ50" s="92"/>
      <c r="GR50" s="92"/>
      <c r="GS50" s="92"/>
      <c r="GT50" s="92"/>
      <c r="GU50" s="92"/>
      <c r="GV50" s="92"/>
      <c r="GW50" s="92"/>
      <c r="GX50" s="92"/>
      <c r="GY50" s="92"/>
      <c r="GZ50" s="92"/>
      <c r="HA50" s="92"/>
      <c r="HB50" s="92"/>
      <c r="HC50" s="92"/>
      <c r="HD50" s="92"/>
      <c r="HE50" s="92"/>
      <c r="HF50" s="92"/>
      <c r="HG50" s="92"/>
      <c r="HH50" s="92"/>
      <c r="HI50" s="92"/>
      <c r="HJ50" s="92"/>
      <c r="HK50" s="92"/>
      <c r="HL50" s="92"/>
      <c r="HM50" s="92"/>
      <c r="HN50" s="92"/>
      <c r="HO50" s="92"/>
      <c r="HP50" s="92"/>
      <c r="HQ50" s="92"/>
      <c r="HR50" s="92"/>
      <c r="HS50" s="92"/>
      <c r="HT50" s="92"/>
      <c r="HU50" s="92"/>
      <c r="HV50" s="92"/>
      <c r="HW50" s="92"/>
      <c r="HX50" s="92"/>
      <c r="HY50" s="92"/>
      <c r="HZ50" s="92"/>
      <c r="IA50" s="92"/>
      <c r="IB50" s="92"/>
      <c r="IC50" s="92"/>
      <c r="ID50" s="92"/>
      <c r="IE50" s="92"/>
      <c r="IF50" s="92"/>
      <c r="IG50" s="92"/>
      <c r="IH50" s="92"/>
      <c r="II50" s="92"/>
      <c r="IJ50" s="92"/>
      <c r="IK50" s="92"/>
      <c r="IL50" s="92"/>
      <c r="IM50" s="92"/>
      <c r="IN50" s="92"/>
      <c r="IO50" s="92"/>
      <c r="IP50" s="92"/>
      <c r="IQ50" s="92"/>
      <c r="IR50" s="92"/>
      <c r="IS50" s="92"/>
      <c r="IT50" s="92"/>
      <c r="IU50" s="92"/>
      <c r="IV50" s="92"/>
      <c r="IW50" s="92"/>
      <c r="IX50" s="92"/>
      <c r="IY50" s="92"/>
      <c r="IZ50" s="92"/>
      <c r="JA50" s="92"/>
      <c r="JB50" s="92"/>
      <c r="JC50" s="92"/>
      <c r="JD50" s="92"/>
      <c r="JE50" s="92"/>
      <c r="JF50" t="s">
        <v>49</v>
      </c>
    </row>
    <row r="51" spans="1:266" hidden="1" x14ac:dyDescent="0.45">
      <c r="A51" s="71" t="str">
        <f>IF('Quote Exports'!C55="","",'Quote Exports'!C55)</f>
        <v>RM Price</v>
      </c>
      <c r="B51" s="72"/>
      <c r="C51" s="68"/>
      <c r="D51" s="3" t="s">
        <v>252</v>
      </c>
      <c r="E51" s="92">
        <v>134.56399999999999</v>
      </c>
      <c r="F51" s="92">
        <v>134.56399999999999</v>
      </c>
      <c r="G51" s="92">
        <v>134.56399999999999</v>
      </c>
      <c r="H51" s="92">
        <v>134.56399999999999</v>
      </c>
      <c r="I51" s="92">
        <v>134.56399999999999</v>
      </c>
      <c r="J51" s="92">
        <v>134.56399999999999</v>
      </c>
      <c r="K51" s="92">
        <v>134.56399999999999</v>
      </c>
      <c r="L51" s="92">
        <v>134.56399999999999</v>
      </c>
      <c r="M51" s="92">
        <v>134.56399999999999</v>
      </c>
      <c r="N51" s="92">
        <v>134.56399999999999</v>
      </c>
      <c r="O51" s="92">
        <v>134.56399999999999</v>
      </c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92"/>
      <c r="BV51" s="92"/>
      <c r="BW51" s="92"/>
      <c r="BX51" s="92"/>
      <c r="BY51" s="92"/>
      <c r="BZ51" s="92"/>
      <c r="CA51" s="92"/>
      <c r="CB51" s="92"/>
      <c r="CC51" s="92"/>
      <c r="CD51" s="92"/>
      <c r="CE51" s="92"/>
      <c r="CF51" s="92"/>
      <c r="CG51" s="92"/>
      <c r="CH51" s="92"/>
      <c r="CI51" s="92"/>
      <c r="CJ51" s="92"/>
      <c r="CK51" s="92"/>
      <c r="CL51" s="92"/>
      <c r="CM51" s="92"/>
      <c r="CN51" s="92"/>
      <c r="CO51" s="92"/>
      <c r="CP51" s="92"/>
      <c r="CQ51" s="92"/>
      <c r="CR51" s="92"/>
      <c r="CS51" s="92"/>
      <c r="CT51" s="92"/>
      <c r="CU51" s="92"/>
      <c r="CV51" s="92"/>
      <c r="CW51" s="92"/>
      <c r="CX51" s="92"/>
      <c r="CY51" s="92"/>
      <c r="CZ51" s="92"/>
      <c r="DA51" s="92"/>
      <c r="DB51" s="92"/>
      <c r="DC51" s="92"/>
      <c r="DD51" s="92"/>
      <c r="DE51" s="92"/>
      <c r="DF51" s="92"/>
      <c r="DG51" s="92"/>
      <c r="DH51" s="92"/>
      <c r="DI51" s="92"/>
      <c r="DJ51" s="92"/>
      <c r="DK51" s="92"/>
      <c r="DL51" s="92"/>
      <c r="DM51" s="92"/>
      <c r="DN51" s="92"/>
      <c r="DO51" s="92"/>
      <c r="DP51" s="92"/>
      <c r="DQ51" s="92"/>
      <c r="DR51" s="92"/>
      <c r="DS51" s="92"/>
      <c r="DT51" s="92"/>
      <c r="DU51" s="92"/>
      <c r="DV51" s="92"/>
      <c r="DW51" s="92"/>
      <c r="DX51" s="92"/>
      <c r="DY51" s="92"/>
      <c r="DZ51" s="92"/>
      <c r="EA51" s="92"/>
      <c r="EB51" s="92"/>
      <c r="EC51" s="92"/>
      <c r="ED51" s="92"/>
      <c r="EE51" s="92"/>
      <c r="EF51" s="92"/>
      <c r="EG51" s="92"/>
      <c r="EH51" s="92"/>
      <c r="EI51" s="92"/>
      <c r="EJ51" s="92"/>
      <c r="EK51" s="92"/>
      <c r="EL51" s="92"/>
      <c r="EM51" s="92"/>
      <c r="EN51" s="92"/>
      <c r="EO51" s="92"/>
      <c r="EP51" s="92"/>
      <c r="EQ51" s="92"/>
      <c r="ER51" s="92"/>
      <c r="ES51" s="92"/>
      <c r="ET51" s="92"/>
      <c r="EU51" s="92"/>
      <c r="EV51" s="92"/>
      <c r="EW51" s="92"/>
      <c r="EX51" s="92"/>
      <c r="EY51" s="92"/>
      <c r="EZ51" s="92"/>
      <c r="FA51" s="92"/>
      <c r="FB51" s="92"/>
      <c r="FC51" s="92"/>
      <c r="FD51" s="92"/>
      <c r="FE51" s="92"/>
      <c r="FF51" s="92"/>
      <c r="FG51" s="92"/>
      <c r="FH51" s="92"/>
      <c r="FI51" s="92"/>
      <c r="FJ51" s="92"/>
      <c r="FK51" s="92"/>
      <c r="FL51" s="92"/>
      <c r="FM51" s="92"/>
      <c r="FN51" s="92"/>
      <c r="FO51" s="92"/>
      <c r="FP51" s="92"/>
      <c r="FQ51" s="92"/>
      <c r="FR51" s="92"/>
      <c r="FS51" s="92"/>
      <c r="FT51" s="92"/>
      <c r="FU51" s="92"/>
      <c r="FV51" s="92"/>
      <c r="FW51" s="92"/>
      <c r="FX51" s="92"/>
      <c r="FY51" s="92"/>
      <c r="FZ51" s="92"/>
      <c r="GA51" s="92"/>
      <c r="GB51" s="92"/>
      <c r="GC51" s="92"/>
      <c r="GD51" s="92"/>
      <c r="GE51" s="92"/>
      <c r="GF51" s="92"/>
      <c r="GG51" s="92"/>
      <c r="GH51" s="92"/>
      <c r="GI51" s="92"/>
      <c r="GJ51" s="92"/>
      <c r="GK51" s="92"/>
      <c r="GL51" s="92"/>
      <c r="GM51" s="92"/>
      <c r="GN51" s="92"/>
      <c r="GO51" s="92"/>
      <c r="GP51" s="92"/>
      <c r="GQ51" s="92"/>
      <c r="GR51" s="92"/>
      <c r="GS51" s="92"/>
      <c r="GT51" s="92"/>
      <c r="GU51" s="92"/>
      <c r="GV51" s="92"/>
      <c r="GW51" s="92"/>
      <c r="GX51" s="92"/>
      <c r="GY51" s="92"/>
      <c r="GZ51" s="92"/>
      <c r="HA51" s="92"/>
      <c r="HB51" s="92"/>
      <c r="HC51" s="92"/>
      <c r="HD51" s="92"/>
      <c r="HE51" s="92"/>
      <c r="HF51" s="92"/>
      <c r="HG51" s="92"/>
      <c r="HH51" s="92"/>
      <c r="HI51" s="92"/>
      <c r="HJ51" s="92"/>
      <c r="HK51" s="92"/>
      <c r="HL51" s="92"/>
      <c r="HM51" s="92"/>
      <c r="HN51" s="92"/>
      <c r="HO51" s="92"/>
      <c r="HP51" s="92"/>
      <c r="HQ51" s="92"/>
      <c r="HR51" s="92"/>
      <c r="HS51" s="92"/>
      <c r="HT51" s="92"/>
      <c r="HU51" s="92"/>
      <c r="HV51" s="92"/>
      <c r="HW51" s="92"/>
      <c r="HX51" s="92"/>
      <c r="HY51" s="92"/>
      <c r="HZ51" s="92"/>
      <c r="IA51" s="92"/>
      <c r="IB51" s="92"/>
      <c r="IC51" s="92"/>
      <c r="ID51" s="92"/>
      <c r="IE51" s="92"/>
      <c r="IF51" s="92"/>
      <c r="IG51" s="92"/>
      <c r="IH51" s="92"/>
      <c r="II51" s="92"/>
      <c r="IJ51" s="92"/>
      <c r="IK51" s="92"/>
      <c r="IL51" s="92"/>
      <c r="IM51" s="92"/>
      <c r="IN51" s="92"/>
      <c r="IO51" s="92"/>
      <c r="IP51" s="92"/>
      <c r="IQ51" s="92"/>
      <c r="IR51" s="92"/>
      <c r="IS51" s="92"/>
      <c r="IT51" s="92"/>
      <c r="IU51" s="92"/>
      <c r="IV51" s="92"/>
      <c r="IW51" s="92"/>
      <c r="IX51" s="92"/>
      <c r="IY51" s="92"/>
      <c r="IZ51" s="92"/>
      <c r="JA51" s="92"/>
      <c r="JB51" s="92"/>
      <c r="JC51" s="92"/>
      <c r="JD51" s="92"/>
      <c r="JE51" s="92"/>
      <c r="JF51" t="s">
        <v>49</v>
      </c>
    </row>
    <row r="52" spans="1:266" hidden="1" x14ac:dyDescent="0.45">
      <c r="A52" s="71" t="str">
        <f>IF('Quote Exports'!C56="","",'Quote Exports'!C56)</f>
        <v>RM Price</v>
      </c>
      <c r="B52" s="72"/>
      <c r="C52" s="68"/>
      <c r="D52" s="3" t="s">
        <v>253</v>
      </c>
      <c r="E52" s="92">
        <v>170.88399999999999</v>
      </c>
      <c r="F52" s="92">
        <v>170.88399999999999</v>
      </c>
      <c r="G52" s="92">
        <v>170.88399999999999</v>
      </c>
      <c r="H52" s="92">
        <v>170.88399999999999</v>
      </c>
      <c r="I52" s="92">
        <v>170.88399999999999</v>
      </c>
      <c r="J52" s="92">
        <v>170.88399999999999</v>
      </c>
      <c r="K52" s="92">
        <v>170.88399999999999</v>
      </c>
      <c r="L52" s="92">
        <v>170.88399999999999</v>
      </c>
      <c r="M52" s="92">
        <v>170.88399999999999</v>
      </c>
      <c r="N52" s="92">
        <v>170.88399999999999</v>
      </c>
      <c r="O52" s="92">
        <v>170.88399999999999</v>
      </c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2"/>
      <c r="BT52" s="92"/>
      <c r="BU52" s="92"/>
      <c r="BV52" s="92"/>
      <c r="BW52" s="92"/>
      <c r="BX52" s="92"/>
      <c r="BY52" s="92"/>
      <c r="BZ52" s="92"/>
      <c r="CA52" s="92"/>
      <c r="CB52" s="92"/>
      <c r="CC52" s="92"/>
      <c r="CD52" s="92"/>
      <c r="CE52" s="92"/>
      <c r="CF52" s="92"/>
      <c r="CG52" s="92"/>
      <c r="CH52" s="92"/>
      <c r="CI52" s="92"/>
      <c r="CJ52" s="92"/>
      <c r="CK52" s="92"/>
      <c r="CL52" s="92"/>
      <c r="CM52" s="92"/>
      <c r="CN52" s="92"/>
      <c r="CO52" s="92"/>
      <c r="CP52" s="92"/>
      <c r="CQ52" s="92"/>
      <c r="CR52" s="92"/>
      <c r="CS52" s="92"/>
      <c r="CT52" s="92"/>
      <c r="CU52" s="92"/>
      <c r="CV52" s="92"/>
      <c r="CW52" s="92"/>
      <c r="CX52" s="92"/>
      <c r="CY52" s="92"/>
      <c r="CZ52" s="92"/>
      <c r="DA52" s="92"/>
      <c r="DB52" s="92"/>
      <c r="DC52" s="92"/>
      <c r="DD52" s="92"/>
      <c r="DE52" s="92"/>
      <c r="DF52" s="92"/>
      <c r="DG52" s="92"/>
      <c r="DH52" s="92"/>
      <c r="DI52" s="92"/>
      <c r="DJ52" s="92"/>
      <c r="DK52" s="92"/>
      <c r="DL52" s="92"/>
      <c r="DM52" s="92"/>
      <c r="DN52" s="92"/>
      <c r="DO52" s="92"/>
      <c r="DP52" s="92"/>
      <c r="DQ52" s="92"/>
      <c r="DR52" s="92"/>
      <c r="DS52" s="92"/>
      <c r="DT52" s="92"/>
      <c r="DU52" s="92"/>
      <c r="DV52" s="92"/>
      <c r="DW52" s="92"/>
      <c r="DX52" s="92"/>
      <c r="DY52" s="92"/>
      <c r="DZ52" s="92"/>
      <c r="EA52" s="92"/>
      <c r="EB52" s="92"/>
      <c r="EC52" s="92"/>
      <c r="ED52" s="92"/>
      <c r="EE52" s="92"/>
      <c r="EF52" s="92"/>
      <c r="EG52" s="92"/>
      <c r="EH52" s="92"/>
      <c r="EI52" s="92"/>
      <c r="EJ52" s="92"/>
      <c r="EK52" s="92"/>
      <c r="EL52" s="92"/>
      <c r="EM52" s="92"/>
      <c r="EN52" s="92"/>
      <c r="EO52" s="92"/>
      <c r="EP52" s="92"/>
      <c r="EQ52" s="92"/>
      <c r="ER52" s="92"/>
      <c r="ES52" s="92"/>
      <c r="ET52" s="92"/>
      <c r="EU52" s="92"/>
      <c r="EV52" s="92"/>
      <c r="EW52" s="92"/>
      <c r="EX52" s="92"/>
      <c r="EY52" s="92"/>
      <c r="EZ52" s="92"/>
      <c r="FA52" s="92"/>
      <c r="FB52" s="92"/>
      <c r="FC52" s="92"/>
      <c r="FD52" s="92"/>
      <c r="FE52" s="92"/>
      <c r="FF52" s="92"/>
      <c r="FG52" s="92"/>
      <c r="FH52" s="92"/>
      <c r="FI52" s="92"/>
      <c r="FJ52" s="92"/>
      <c r="FK52" s="92"/>
      <c r="FL52" s="92"/>
      <c r="FM52" s="92"/>
      <c r="FN52" s="92"/>
      <c r="FO52" s="92"/>
      <c r="FP52" s="92"/>
      <c r="FQ52" s="92"/>
      <c r="FR52" s="92"/>
      <c r="FS52" s="92"/>
      <c r="FT52" s="92"/>
      <c r="FU52" s="92"/>
      <c r="FV52" s="92"/>
      <c r="FW52" s="92"/>
      <c r="FX52" s="92"/>
      <c r="FY52" s="92"/>
      <c r="FZ52" s="92"/>
      <c r="GA52" s="92"/>
      <c r="GB52" s="92"/>
      <c r="GC52" s="92"/>
      <c r="GD52" s="92"/>
      <c r="GE52" s="92"/>
      <c r="GF52" s="92"/>
      <c r="GG52" s="92"/>
      <c r="GH52" s="92"/>
      <c r="GI52" s="92"/>
      <c r="GJ52" s="92"/>
      <c r="GK52" s="92"/>
      <c r="GL52" s="92"/>
      <c r="GM52" s="92"/>
      <c r="GN52" s="92"/>
      <c r="GO52" s="92"/>
      <c r="GP52" s="92"/>
      <c r="GQ52" s="92"/>
      <c r="GR52" s="92"/>
      <c r="GS52" s="92"/>
      <c r="GT52" s="92"/>
      <c r="GU52" s="92"/>
      <c r="GV52" s="92"/>
      <c r="GW52" s="92"/>
      <c r="GX52" s="92"/>
      <c r="GY52" s="92"/>
      <c r="GZ52" s="92"/>
      <c r="HA52" s="92"/>
      <c r="HB52" s="92"/>
      <c r="HC52" s="92"/>
      <c r="HD52" s="92"/>
      <c r="HE52" s="92"/>
      <c r="HF52" s="92"/>
      <c r="HG52" s="92"/>
      <c r="HH52" s="92"/>
      <c r="HI52" s="92"/>
      <c r="HJ52" s="92"/>
      <c r="HK52" s="92"/>
      <c r="HL52" s="92"/>
      <c r="HM52" s="92"/>
      <c r="HN52" s="92"/>
      <c r="HO52" s="92"/>
      <c r="HP52" s="92"/>
      <c r="HQ52" s="92"/>
      <c r="HR52" s="92"/>
      <c r="HS52" s="92"/>
      <c r="HT52" s="92"/>
      <c r="HU52" s="92"/>
      <c r="HV52" s="92"/>
      <c r="HW52" s="92"/>
      <c r="HX52" s="92"/>
      <c r="HY52" s="92"/>
      <c r="HZ52" s="92"/>
      <c r="IA52" s="92"/>
      <c r="IB52" s="92"/>
      <c r="IC52" s="92"/>
      <c r="ID52" s="92"/>
      <c r="IE52" s="92"/>
      <c r="IF52" s="92"/>
      <c r="IG52" s="92"/>
      <c r="IH52" s="92"/>
      <c r="II52" s="92"/>
      <c r="IJ52" s="92"/>
      <c r="IK52" s="92"/>
      <c r="IL52" s="92"/>
      <c r="IM52" s="92"/>
      <c r="IN52" s="92"/>
      <c r="IO52" s="92"/>
      <c r="IP52" s="92"/>
      <c r="IQ52" s="92"/>
      <c r="IR52" s="92"/>
      <c r="IS52" s="92"/>
      <c r="IT52" s="92"/>
      <c r="IU52" s="92"/>
      <c r="IV52" s="92"/>
      <c r="IW52" s="92"/>
      <c r="IX52" s="92"/>
      <c r="IY52" s="92"/>
      <c r="IZ52" s="92"/>
      <c r="JA52" s="92"/>
      <c r="JB52" s="92"/>
      <c r="JC52" s="92"/>
      <c r="JD52" s="92"/>
      <c r="JE52" s="92"/>
      <c r="JF52" t="s">
        <v>49</v>
      </c>
    </row>
    <row r="53" spans="1:266" hidden="1" x14ac:dyDescent="0.45">
      <c r="A53" s="71" t="str">
        <f>IF('Quote Exports'!C57="","",'Quote Exports'!C57)</f>
        <v>RM Price</v>
      </c>
      <c r="B53" s="72">
        <v>1</v>
      </c>
      <c r="C53" s="68"/>
      <c r="D53" s="3" t="s">
        <v>254</v>
      </c>
      <c r="E53" s="92">
        <v>70</v>
      </c>
      <c r="F53" s="92">
        <v>70</v>
      </c>
      <c r="G53" s="92">
        <v>70</v>
      </c>
      <c r="H53" s="92">
        <v>70</v>
      </c>
      <c r="I53" s="92">
        <v>70</v>
      </c>
      <c r="J53" s="92">
        <v>70</v>
      </c>
      <c r="K53" s="92">
        <v>70</v>
      </c>
      <c r="L53" s="92">
        <v>70</v>
      </c>
      <c r="M53" s="92">
        <v>70</v>
      </c>
      <c r="N53" s="92">
        <v>70</v>
      </c>
      <c r="O53" s="92">
        <v>70</v>
      </c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2"/>
      <c r="BT53" s="92"/>
      <c r="BU53" s="92"/>
      <c r="BV53" s="92"/>
      <c r="BW53" s="92"/>
      <c r="BX53" s="92"/>
      <c r="BY53" s="92"/>
      <c r="BZ53" s="92"/>
      <c r="CA53" s="92"/>
      <c r="CB53" s="92"/>
      <c r="CC53" s="92"/>
      <c r="CD53" s="92"/>
      <c r="CE53" s="92"/>
      <c r="CF53" s="92"/>
      <c r="CG53" s="92"/>
      <c r="CH53" s="92"/>
      <c r="CI53" s="92"/>
      <c r="CJ53" s="92"/>
      <c r="CK53" s="92"/>
      <c r="CL53" s="92"/>
      <c r="CM53" s="92"/>
      <c r="CN53" s="92"/>
      <c r="CO53" s="92"/>
      <c r="CP53" s="92"/>
      <c r="CQ53" s="92"/>
      <c r="CR53" s="92"/>
      <c r="CS53" s="92"/>
      <c r="CT53" s="92"/>
      <c r="CU53" s="92"/>
      <c r="CV53" s="92"/>
      <c r="CW53" s="92"/>
      <c r="CX53" s="92"/>
      <c r="CY53" s="92"/>
      <c r="CZ53" s="92"/>
      <c r="DA53" s="92"/>
      <c r="DB53" s="92"/>
      <c r="DC53" s="92"/>
      <c r="DD53" s="92"/>
      <c r="DE53" s="92"/>
      <c r="DF53" s="92"/>
      <c r="DG53" s="92"/>
      <c r="DH53" s="92"/>
      <c r="DI53" s="92"/>
      <c r="DJ53" s="92"/>
      <c r="DK53" s="92"/>
      <c r="DL53" s="92"/>
      <c r="DM53" s="92"/>
      <c r="DN53" s="92"/>
      <c r="DO53" s="92"/>
      <c r="DP53" s="92"/>
      <c r="DQ53" s="92"/>
      <c r="DR53" s="92"/>
      <c r="DS53" s="92"/>
      <c r="DT53" s="92"/>
      <c r="DU53" s="92"/>
      <c r="DV53" s="92"/>
      <c r="DW53" s="92"/>
      <c r="DX53" s="92"/>
      <c r="DY53" s="92"/>
      <c r="DZ53" s="92"/>
      <c r="EA53" s="92"/>
      <c r="EB53" s="92"/>
      <c r="EC53" s="92"/>
      <c r="ED53" s="92"/>
      <c r="EE53" s="92"/>
      <c r="EF53" s="92"/>
      <c r="EG53" s="92"/>
      <c r="EH53" s="92"/>
      <c r="EI53" s="92"/>
      <c r="EJ53" s="92"/>
      <c r="EK53" s="92"/>
      <c r="EL53" s="92"/>
      <c r="EM53" s="92"/>
      <c r="EN53" s="92"/>
      <c r="EO53" s="92"/>
      <c r="EP53" s="92"/>
      <c r="EQ53" s="92"/>
      <c r="ER53" s="92"/>
      <c r="ES53" s="92"/>
      <c r="ET53" s="92"/>
      <c r="EU53" s="92"/>
      <c r="EV53" s="92"/>
      <c r="EW53" s="92"/>
      <c r="EX53" s="92"/>
      <c r="EY53" s="92"/>
      <c r="EZ53" s="92"/>
      <c r="FA53" s="92"/>
      <c r="FB53" s="92"/>
      <c r="FC53" s="92"/>
      <c r="FD53" s="92"/>
      <c r="FE53" s="92"/>
      <c r="FF53" s="92"/>
      <c r="FG53" s="92"/>
      <c r="FH53" s="92"/>
      <c r="FI53" s="92"/>
      <c r="FJ53" s="92"/>
      <c r="FK53" s="92"/>
      <c r="FL53" s="92"/>
      <c r="FM53" s="92"/>
      <c r="FN53" s="92"/>
      <c r="FO53" s="92"/>
      <c r="FP53" s="92"/>
      <c r="FQ53" s="92"/>
      <c r="FR53" s="92"/>
      <c r="FS53" s="92"/>
      <c r="FT53" s="92"/>
      <c r="FU53" s="92"/>
      <c r="FV53" s="92"/>
      <c r="FW53" s="92"/>
      <c r="FX53" s="92"/>
      <c r="FY53" s="92"/>
      <c r="FZ53" s="92"/>
      <c r="GA53" s="92"/>
      <c r="GB53" s="92"/>
      <c r="GC53" s="92"/>
      <c r="GD53" s="92"/>
      <c r="GE53" s="92"/>
      <c r="GF53" s="92"/>
      <c r="GG53" s="92"/>
      <c r="GH53" s="92"/>
      <c r="GI53" s="92"/>
      <c r="GJ53" s="92"/>
      <c r="GK53" s="92"/>
      <c r="GL53" s="92"/>
      <c r="GM53" s="92"/>
      <c r="GN53" s="92"/>
      <c r="GO53" s="92"/>
      <c r="GP53" s="92"/>
      <c r="GQ53" s="92"/>
      <c r="GR53" s="92"/>
      <c r="GS53" s="92"/>
      <c r="GT53" s="92"/>
      <c r="GU53" s="92"/>
      <c r="GV53" s="92"/>
      <c r="GW53" s="92"/>
      <c r="GX53" s="92"/>
      <c r="GY53" s="92"/>
      <c r="GZ53" s="92"/>
      <c r="HA53" s="92"/>
      <c r="HB53" s="92"/>
      <c r="HC53" s="92"/>
      <c r="HD53" s="92"/>
      <c r="HE53" s="92"/>
      <c r="HF53" s="92"/>
      <c r="HG53" s="92"/>
      <c r="HH53" s="92"/>
      <c r="HI53" s="92"/>
      <c r="HJ53" s="92"/>
      <c r="HK53" s="92"/>
      <c r="HL53" s="92"/>
      <c r="HM53" s="92"/>
      <c r="HN53" s="92"/>
      <c r="HO53" s="92"/>
      <c r="HP53" s="92"/>
      <c r="HQ53" s="92"/>
      <c r="HR53" s="92"/>
      <c r="HS53" s="92"/>
      <c r="HT53" s="92"/>
      <c r="HU53" s="92"/>
      <c r="HV53" s="92"/>
      <c r="HW53" s="92"/>
      <c r="HX53" s="92"/>
      <c r="HY53" s="92"/>
      <c r="HZ53" s="92"/>
      <c r="IA53" s="92"/>
      <c r="IB53" s="92"/>
      <c r="IC53" s="92"/>
      <c r="ID53" s="92"/>
      <c r="IE53" s="92"/>
      <c r="IF53" s="92"/>
      <c r="IG53" s="92"/>
      <c r="IH53" s="92"/>
      <c r="II53" s="92"/>
      <c r="IJ53" s="92"/>
      <c r="IK53" s="92"/>
      <c r="IL53" s="92"/>
      <c r="IM53" s="92"/>
      <c r="IN53" s="92"/>
      <c r="IO53" s="92"/>
      <c r="IP53" s="92"/>
      <c r="IQ53" s="92"/>
      <c r="IR53" s="92"/>
      <c r="IS53" s="92"/>
      <c r="IT53" s="92"/>
      <c r="IU53" s="92"/>
      <c r="IV53" s="92"/>
      <c r="IW53" s="92"/>
      <c r="IX53" s="92"/>
      <c r="IY53" s="92"/>
      <c r="IZ53" s="92"/>
      <c r="JA53" s="92"/>
      <c r="JB53" s="92"/>
      <c r="JC53" s="92"/>
      <c r="JD53" s="92"/>
      <c r="JE53" s="92"/>
      <c r="JF53" t="s">
        <v>49</v>
      </c>
    </row>
    <row r="54" spans="1:266" hidden="1" x14ac:dyDescent="0.45">
      <c r="A54" s="71" t="str">
        <f>IF('Quote Exports'!C58="","",'Quote Exports'!C58)</f>
        <v>RM Price</v>
      </c>
      <c r="B54" s="72"/>
      <c r="C54" s="68"/>
      <c r="D54" s="3" t="s">
        <v>255</v>
      </c>
      <c r="E54" s="92">
        <v>40</v>
      </c>
      <c r="F54" s="92">
        <v>40</v>
      </c>
      <c r="G54" s="92">
        <v>40</v>
      </c>
      <c r="H54" s="92">
        <v>40</v>
      </c>
      <c r="I54" s="92">
        <v>40</v>
      </c>
      <c r="J54" s="92">
        <v>40</v>
      </c>
      <c r="K54" s="92">
        <v>40</v>
      </c>
      <c r="L54" s="92">
        <v>40</v>
      </c>
      <c r="M54" s="92">
        <v>40</v>
      </c>
      <c r="N54" s="92">
        <v>40</v>
      </c>
      <c r="O54" s="92">
        <v>40</v>
      </c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92"/>
      <c r="BN54" s="92"/>
      <c r="BO54" s="92"/>
      <c r="BP54" s="92"/>
      <c r="BQ54" s="92"/>
      <c r="BR54" s="92"/>
      <c r="BS54" s="92"/>
      <c r="BT54" s="92"/>
      <c r="BU54" s="92"/>
      <c r="BV54" s="92"/>
      <c r="BW54" s="92"/>
      <c r="BX54" s="92"/>
      <c r="BY54" s="92"/>
      <c r="BZ54" s="92"/>
      <c r="CA54" s="92"/>
      <c r="CB54" s="92"/>
      <c r="CC54" s="92"/>
      <c r="CD54" s="92"/>
      <c r="CE54" s="92"/>
      <c r="CF54" s="92"/>
      <c r="CG54" s="92"/>
      <c r="CH54" s="92"/>
      <c r="CI54" s="92"/>
      <c r="CJ54" s="92"/>
      <c r="CK54" s="92"/>
      <c r="CL54" s="92"/>
      <c r="CM54" s="92"/>
      <c r="CN54" s="92"/>
      <c r="CO54" s="92"/>
      <c r="CP54" s="92"/>
      <c r="CQ54" s="92"/>
      <c r="CR54" s="92"/>
      <c r="CS54" s="92"/>
      <c r="CT54" s="92"/>
      <c r="CU54" s="92"/>
      <c r="CV54" s="92"/>
      <c r="CW54" s="92"/>
      <c r="CX54" s="92"/>
      <c r="CY54" s="92"/>
      <c r="CZ54" s="92"/>
      <c r="DA54" s="92"/>
      <c r="DB54" s="92"/>
      <c r="DC54" s="92"/>
      <c r="DD54" s="92"/>
      <c r="DE54" s="92"/>
      <c r="DF54" s="92"/>
      <c r="DG54" s="92"/>
      <c r="DH54" s="92"/>
      <c r="DI54" s="92"/>
      <c r="DJ54" s="92"/>
      <c r="DK54" s="92"/>
      <c r="DL54" s="92"/>
      <c r="DM54" s="92"/>
      <c r="DN54" s="92"/>
      <c r="DO54" s="92"/>
      <c r="DP54" s="92"/>
      <c r="DQ54" s="92"/>
      <c r="DR54" s="92"/>
      <c r="DS54" s="92"/>
      <c r="DT54" s="92"/>
      <c r="DU54" s="92"/>
      <c r="DV54" s="92"/>
      <c r="DW54" s="92"/>
      <c r="DX54" s="92"/>
      <c r="DY54" s="92"/>
      <c r="DZ54" s="92"/>
      <c r="EA54" s="92"/>
      <c r="EB54" s="92"/>
      <c r="EC54" s="92"/>
      <c r="ED54" s="92"/>
      <c r="EE54" s="92"/>
      <c r="EF54" s="92"/>
      <c r="EG54" s="92"/>
      <c r="EH54" s="92"/>
      <c r="EI54" s="92"/>
      <c r="EJ54" s="92"/>
      <c r="EK54" s="92"/>
      <c r="EL54" s="92"/>
      <c r="EM54" s="92"/>
      <c r="EN54" s="92"/>
      <c r="EO54" s="92"/>
      <c r="EP54" s="92"/>
      <c r="EQ54" s="92"/>
      <c r="ER54" s="92"/>
      <c r="ES54" s="92"/>
      <c r="ET54" s="92"/>
      <c r="EU54" s="92"/>
      <c r="EV54" s="92"/>
      <c r="EW54" s="92"/>
      <c r="EX54" s="92"/>
      <c r="EY54" s="92"/>
      <c r="EZ54" s="92"/>
      <c r="FA54" s="92"/>
      <c r="FB54" s="92"/>
      <c r="FC54" s="92"/>
      <c r="FD54" s="92"/>
      <c r="FE54" s="92"/>
      <c r="FF54" s="92"/>
      <c r="FG54" s="92"/>
      <c r="FH54" s="92"/>
      <c r="FI54" s="92"/>
      <c r="FJ54" s="92"/>
      <c r="FK54" s="92"/>
      <c r="FL54" s="92"/>
      <c r="FM54" s="92"/>
      <c r="FN54" s="92"/>
      <c r="FO54" s="92"/>
      <c r="FP54" s="92"/>
      <c r="FQ54" s="92"/>
      <c r="FR54" s="92"/>
      <c r="FS54" s="92"/>
      <c r="FT54" s="92"/>
      <c r="FU54" s="92"/>
      <c r="FV54" s="92"/>
      <c r="FW54" s="92"/>
      <c r="FX54" s="92"/>
      <c r="FY54" s="92"/>
      <c r="FZ54" s="92"/>
      <c r="GA54" s="92"/>
      <c r="GB54" s="92"/>
      <c r="GC54" s="92"/>
      <c r="GD54" s="92"/>
      <c r="GE54" s="92"/>
      <c r="GF54" s="92"/>
      <c r="GG54" s="92"/>
      <c r="GH54" s="92"/>
      <c r="GI54" s="92"/>
      <c r="GJ54" s="92"/>
      <c r="GK54" s="92"/>
      <c r="GL54" s="92"/>
      <c r="GM54" s="92"/>
      <c r="GN54" s="92"/>
      <c r="GO54" s="92"/>
      <c r="GP54" s="92"/>
      <c r="GQ54" s="92"/>
      <c r="GR54" s="92"/>
      <c r="GS54" s="92"/>
      <c r="GT54" s="92"/>
      <c r="GU54" s="92"/>
      <c r="GV54" s="92"/>
      <c r="GW54" s="92"/>
      <c r="GX54" s="92"/>
      <c r="GY54" s="92"/>
      <c r="GZ54" s="92"/>
      <c r="HA54" s="92"/>
      <c r="HB54" s="92"/>
      <c r="HC54" s="92"/>
      <c r="HD54" s="92"/>
      <c r="HE54" s="92"/>
      <c r="HF54" s="92"/>
      <c r="HG54" s="92"/>
      <c r="HH54" s="92"/>
      <c r="HI54" s="92"/>
      <c r="HJ54" s="92"/>
      <c r="HK54" s="92"/>
      <c r="HL54" s="92"/>
      <c r="HM54" s="92"/>
      <c r="HN54" s="92"/>
      <c r="HO54" s="92"/>
      <c r="HP54" s="92"/>
      <c r="HQ54" s="92"/>
      <c r="HR54" s="92"/>
      <c r="HS54" s="92"/>
      <c r="HT54" s="92"/>
      <c r="HU54" s="92"/>
      <c r="HV54" s="92"/>
      <c r="HW54" s="92"/>
      <c r="HX54" s="92"/>
      <c r="HY54" s="92"/>
      <c r="HZ54" s="92"/>
      <c r="IA54" s="92"/>
      <c r="IB54" s="92"/>
      <c r="IC54" s="92"/>
      <c r="ID54" s="92"/>
      <c r="IE54" s="92"/>
      <c r="IF54" s="92"/>
      <c r="IG54" s="92"/>
      <c r="IH54" s="92"/>
      <c r="II54" s="92"/>
      <c r="IJ54" s="92"/>
      <c r="IK54" s="92"/>
      <c r="IL54" s="92"/>
      <c r="IM54" s="92"/>
      <c r="IN54" s="92"/>
      <c r="IO54" s="92"/>
      <c r="IP54" s="92"/>
      <c r="IQ54" s="92"/>
      <c r="IR54" s="92"/>
      <c r="IS54" s="92"/>
      <c r="IT54" s="92"/>
      <c r="IU54" s="92"/>
      <c r="IV54" s="92"/>
      <c r="IW54" s="92"/>
      <c r="IX54" s="92"/>
      <c r="IY54" s="92"/>
      <c r="IZ54" s="92"/>
      <c r="JA54" s="92"/>
      <c r="JB54" s="92"/>
      <c r="JC54" s="92"/>
      <c r="JD54" s="92"/>
      <c r="JE54" s="92"/>
      <c r="JF54" t="s">
        <v>49</v>
      </c>
    </row>
    <row r="55" spans="1:266" hidden="1" x14ac:dyDescent="0.45">
      <c r="A55" s="71" t="str">
        <f>IF('Quote Exports'!C59="","",'Quote Exports'!C59)</f>
        <v>RM Price</v>
      </c>
      <c r="B55" s="72"/>
      <c r="C55" s="68"/>
      <c r="D55" s="3" t="s">
        <v>256</v>
      </c>
      <c r="E55" s="92">
        <v>56</v>
      </c>
      <c r="F55" s="92">
        <v>56</v>
      </c>
      <c r="G55" s="92">
        <v>56</v>
      </c>
      <c r="H55" s="92">
        <v>56</v>
      </c>
      <c r="I55" s="92">
        <v>56</v>
      </c>
      <c r="J55" s="92">
        <v>56</v>
      </c>
      <c r="K55" s="92">
        <v>56</v>
      </c>
      <c r="L55" s="92">
        <v>56</v>
      </c>
      <c r="M55" s="92">
        <v>56</v>
      </c>
      <c r="N55" s="92">
        <v>56</v>
      </c>
      <c r="O55" s="92">
        <v>56</v>
      </c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  <c r="BR55" s="92"/>
      <c r="BS55" s="92"/>
      <c r="BT55" s="92"/>
      <c r="BU55" s="92"/>
      <c r="BV55" s="92"/>
      <c r="BW55" s="92"/>
      <c r="BX55" s="92"/>
      <c r="BY55" s="92"/>
      <c r="BZ55" s="92"/>
      <c r="CA55" s="92"/>
      <c r="CB55" s="92"/>
      <c r="CC55" s="92"/>
      <c r="CD55" s="92"/>
      <c r="CE55" s="92"/>
      <c r="CF55" s="92"/>
      <c r="CG55" s="92"/>
      <c r="CH55" s="92"/>
      <c r="CI55" s="92"/>
      <c r="CJ55" s="92"/>
      <c r="CK55" s="92"/>
      <c r="CL55" s="92"/>
      <c r="CM55" s="92"/>
      <c r="CN55" s="92"/>
      <c r="CO55" s="92"/>
      <c r="CP55" s="92"/>
      <c r="CQ55" s="92"/>
      <c r="CR55" s="92"/>
      <c r="CS55" s="92"/>
      <c r="CT55" s="92"/>
      <c r="CU55" s="92"/>
      <c r="CV55" s="92"/>
      <c r="CW55" s="92"/>
      <c r="CX55" s="92"/>
      <c r="CY55" s="92"/>
      <c r="CZ55" s="92"/>
      <c r="DA55" s="92"/>
      <c r="DB55" s="92"/>
      <c r="DC55" s="92"/>
      <c r="DD55" s="92"/>
      <c r="DE55" s="92"/>
      <c r="DF55" s="92"/>
      <c r="DG55" s="92"/>
      <c r="DH55" s="92"/>
      <c r="DI55" s="92"/>
      <c r="DJ55" s="92"/>
      <c r="DK55" s="92"/>
      <c r="DL55" s="92"/>
      <c r="DM55" s="92"/>
      <c r="DN55" s="92"/>
      <c r="DO55" s="92"/>
      <c r="DP55" s="92"/>
      <c r="DQ55" s="92"/>
      <c r="DR55" s="92"/>
      <c r="DS55" s="92"/>
      <c r="DT55" s="92"/>
      <c r="DU55" s="92"/>
      <c r="DV55" s="92"/>
      <c r="DW55" s="92"/>
      <c r="DX55" s="92"/>
      <c r="DY55" s="92"/>
      <c r="DZ55" s="92"/>
      <c r="EA55" s="92"/>
      <c r="EB55" s="92"/>
      <c r="EC55" s="92"/>
      <c r="ED55" s="92"/>
      <c r="EE55" s="92"/>
      <c r="EF55" s="92"/>
      <c r="EG55" s="92"/>
      <c r="EH55" s="92"/>
      <c r="EI55" s="92"/>
      <c r="EJ55" s="92"/>
      <c r="EK55" s="92"/>
      <c r="EL55" s="92"/>
      <c r="EM55" s="92"/>
      <c r="EN55" s="92"/>
      <c r="EO55" s="92"/>
      <c r="EP55" s="92"/>
      <c r="EQ55" s="92"/>
      <c r="ER55" s="92"/>
      <c r="ES55" s="92"/>
      <c r="ET55" s="92"/>
      <c r="EU55" s="92"/>
      <c r="EV55" s="92"/>
      <c r="EW55" s="92"/>
      <c r="EX55" s="92"/>
      <c r="EY55" s="92"/>
      <c r="EZ55" s="92"/>
      <c r="FA55" s="92"/>
      <c r="FB55" s="92"/>
      <c r="FC55" s="92"/>
      <c r="FD55" s="92"/>
      <c r="FE55" s="92"/>
      <c r="FF55" s="92"/>
      <c r="FG55" s="92"/>
      <c r="FH55" s="92"/>
      <c r="FI55" s="92"/>
      <c r="FJ55" s="92"/>
      <c r="FK55" s="92"/>
      <c r="FL55" s="92"/>
      <c r="FM55" s="92"/>
      <c r="FN55" s="92"/>
      <c r="FO55" s="92"/>
      <c r="FP55" s="92"/>
      <c r="FQ55" s="92"/>
      <c r="FR55" s="92"/>
      <c r="FS55" s="92"/>
      <c r="FT55" s="92"/>
      <c r="FU55" s="92"/>
      <c r="FV55" s="92"/>
      <c r="FW55" s="92"/>
      <c r="FX55" s="92"/>
      <c r="FY55" s="92"/>
      <c r="FZ55" s="92"/>
      <c r="GA55" s="92"/>
      <c r="GB55" s="92"/>
      <c r="GC55" s="92"/>
      <c r="GD55" s="92"/>
      <c r="GE55" s="92"/>
      <c r="GF55" s="92"/>
      <c r="GG55" s="92"/>
      <c r="GH55" s="92"/>
      <c r="GI55" s="92"/>
      <c r="GJ55" s="92"/>
      <c r="GK55" s="92"/>
      <c r="GL55" s="92"/>
      <c r="GM55" s="92"/>
      <c r="GN55" s="92"/>
      <c r="GO55" s="92"/>
      <c r="GP55" s="92"/>
      <c r="GQ55" s="92"/>
      <c r="GR55" s="92"/>
      <c r="GS55" s="92"/>
      <c r="GT55" s="92"/>
      <c r="GU55" s="92"/>
      <c r="GV55" s="92"/>
      <c r="GW55" s="92"/>
      <c r="GX55" s="92"/>
      <c r="GY55" s="92"/>
      <c r="GZ55" s="92"/>
      <c r="HA55" s="92"/>
      <c r="HB55" s="92"/>
      <c r="HC55" s="92"/>
      <c r="HD55" s="92"/>
      <c r="HE55" s="92"/>
      <c r="HF55" s="92"/>
      <c r="HG55" s="92"/>
      <c r="HH55" s="92"/>
      <c r="HI55" s="92"/>
      <c r="HJ55" s="92"/>
      <c r="HK55" s="92"/>
      <c r="HL55" s="92"/>
      <c r="HM55" s="92"/>
      <c r="HN55" s="92"/>
      <c r="HO55" s="92"/>
      <c r="HP55" s="92"/>
      <c r="HQ55" s="92"/>
      <c r="HR55" s="92"/>
      <c r="HS55" s="92"/>
      <c r="HT55" s="92"/>
      <c r="HU55" s="92"/>
      <c r="HV55" s="92"/>
      <c r="HW55" s="92"/>
      <c r="HX55" s="92"/>
      <c r="HY55" s="92"/>
      <c r="HZ55" s="92"/>
      <c r="IA55" s="92"/>
      <c r="IB55" s="92"/>
      <c r="IC55" s="92"/>
      <c r="ID55" s="92"/>
      <c r="IE55" s="92"/>
      <c r="IF55" s="92"/>
      <c r="IG55" s="92"/>
      <c r="IH55" s="92"/>
      <c r="II55" s="92"/>
      <c r="IJ55" s="92"/>
      <c r="IK55" s="92"/>
      <c r="IL55" s="92"/>
      <c r="IM55" s="92"/>
      <c r="IN55" s="92"/>
      <c r="IO55" s="92"/>
      <c r="IP55" s="92"/>
      <c r="IQ55" s="92"/>
      <c r="IR55" s="92"/>
      <c r="IS55" s="92"/>
      <c r="IT55" s="92"/>
      <c r="IU55" s="92"/>
      <c r="IV55" s="92"/>
      <c r="IW55" s="92"/>
      <c r="IX55" s="92"/>
      <c r="IY55" s="92"/>
      <c r="IZ55" s="92"/>
      <c r="JA55" s="92"/>
      <c r="JB55" s="92"/>
      <c r="JC55" s="92"/>
      <c r="JD55" s="92"/>
      <c r="JE55" s="92"/>
      <c r="JF55" t="s">
        <v>49</v>
      </c>
    </row>
    <row r="56" spans="1:266" hidden="1" x14ac:dyDescent="0.45">
      <c r="A56" s="71" t="str">
        <f>IF('Quote Exports'!C60="","",'Quote Exports'!C60)</f>
        <v>RM Price</v>
      </c>
      <c r="B56" s="72"/>
      <c r="C56" s="68"/>
      <c r="D56" s="3" t="s">
        <v>257</v>
      </c>
      <c r="E56" s="92">
        <v>280</v>
      </c>
      <c r="F56" s="92">
        <v>280</v>
      </c>
      <c r="G56" s="92">
        <v>280</v>
      </c>
      <c r="H56" s="92">
        <v>280</v>
      </c>
      <c r="I56" s="92">
        <v>280</v>
      </c>
      <c r="J56" s="92">
        <v>280</v>
      </c>
      <c r="K56" s="92">
        <v>280</v>
      </c>
      <c r="L56" s="92">
        <v>280</v>
      </c>
      <c r="M56" s="92">
        <v>280</v>
      </c>
      <c r="N56" s="92">
        <v>280</v>
      </c>
      <c r="O56" s="92">
        <v>280</v>
      </c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92"/>
      <c r="DE56" s="92"/>
      <c r="DF56" s="92"/>
      <c r="DG56" s="92"/>
      <c r="DH56" s="92"/>
      <c r="DI56" s="92"/>
      <c r="DJ56" s="92"/>
      <c r="DK56" s="92"/>
      <c r="DL56" s="92"/>
      <c r="DM56" s="92"/>
      <c r="DN56" s="92"/>
      <c r="DO56" s="92"/>
      <c r="DP56" s="92"/>
      <c r="DQ56" s="92"/>
      <c r="DR56" s="92"/>
      <c r="DS56" s="92"/>
      <c r="DT56" s="92"/>
      <c r="DU56" s="92"/>
      <c r="DV56" s="92"/>
      <c r="DW56" s="92"/>
      <c r="DX56" s="92"/>
      <c r="DY56" s="92"/>
      <c r="DZ56" s="92"/>
      <c r="EA56" s="92"/>
      <c r="EB56" s="92"/>
      <c r="EC56" s="92"/>
      <c r="ED56" s="92"/>
      <c r="EE56" s="92"/>
      <c r="EF56" s="92"/>
      <c r="EG56" s="92"/>
      <c r="EH56" s="92"/>
      <c r="EI56" s="92"/>
      <c r="EJ56" s="92"/>
      <c r="EK56" s="92"/>
      <c r="EL56" s="92"/>
      <c r="EM56" s="92"/>
      <c r="EN56" s="92"/>
      <c r="EO56" s="92"/>
      <c r="EP56" s="92"/>
      <c r="EQ56" s="92"/>
      <c r="ER56" s="92"/>
      <c r="ES56" s="92"/>
      <c r="ET56" s="92"/>
      <c r="EU56" s="92"/>
      <c r="EV56" s="92"/>
      <c r="EW56" s="92"/>
      <c r="EX56" s="92"/>
      <c r="EY56" s="92"/>
      <c r="EZ56" s="92"/>
      <c r="FA56" s="92"/>
      <c r="FB56" s="92"/>
      <c r="FC56" s="92"/>
      <c r="FD56" s="92"/>
      <c r="FE56" s="92"/>
      <c r="FF56" s="92"/>
      <c r="FG56" s="92"/>
      <c r="FH56" s="92"/>
      <c r="FI56" s="92"/>
      <c r="FJ56" s="92"/>
      <c r="FK56" s="92"/>
      <c r="FL56" s="92"/>
      <c r="FM56" s="92"/>
      <c r="FN56" s="92"/>
      <c r="FO56" s="92"/>
      <c r="FP56" s="92"/>
      <c r="FQ56" s="92"/>
      <c r="FR56" s="92"/>
      <c r="FS56" s="92"/>
      <c r="FT56" s="92"/>
      <c r="FU56" s="92"/>
      <c r="FV56" s="92"/>
      <c r="FW56" s="92"/>
      <c r="FX56" s="92"/>
      <c r="FY56" s="92"/>
      <c r="FZ56" s="92"/>
      <c r="GA56" s="92"/>
      <c r="GB56" s="92"/>
      <c r="GC56" s="92"/>
      <c r="GD56" s="92"/>
      <c r="GE56" s="92"/>
      <c r="GF56" s="92"/>
      <c r="GG56" s="92"/>
      <c r="GH56" s="92"/>
      <c r="GI56" s="92"/>
      <c r="GJ56" s="92"/>
      <c r="GK56" s="92"/>
      <c r="GL56" s="92"/>
      <c r="GM56" s="92"/>
      <c r="GN56" s="92"/>
      <c r="GO56" s="92"/>
      <c r="GP56" s="92"/>
      <c r="GQ56" s="92"/>
      <c r="GR56" s="92"/>
      <c r="GS56" s="92"/>
      <c r="GT56" s="92"/>
      <c r="GU56" s="92"/>
      <c r="GV56" s="92"/>
      <c r="GW56" s="92"/>
      <c r="GX56" s="92"/>
      <c r="GY56" s="92"/>
      <c r="GZ56" s="92"/>
      <c r="HA56" s="92"/>
      <c r="HB56" s="92"/>
      <c r="HC56" s="92"/>
      <c r="HD56" s="92"/>
      <c r="HE56" s="92"/>
      <c r="HF56" s="92"/>
      <c r="HG56" s="92"/>
      <c r="HH56" s="92"/>
      <c r="HI56" s="92"/>
      <c r="HJ56" s="92"/>
      <c r="HK56" s="92"/>
      <c r="HL56" s="92"/>
      <c r="HM56" s="92"/>
      <c r="HN56" s="92"/>
      <c r="HO56" s="92"/>
      <c r="HP56" s="92"/>
      <c r="HQ56" s="92"/>
      <c r="HR56" s="92"/>
      <c r="HS56" s="92"/>
      <c r="HT56" s="92"/>
      <c r="HU56" s="92"/>
      <c r="HV56" s="92"/>
      <c r="HW56" s="92"/>
      <c r="HX56" s="92"/>
      <c r="HY56" s="92"/>
      <c r="HZ56" s="92"/>
      <c r="IA56" s="92"/>
      <c r="IB56" s="92"/>
      <c r="IC56" s="92"/>
      <c r="ID56" s="92"/>
      <c r="IE56" s="92"/>
      <c r="IF56" s="92"/>
      <c r="IG56" s="92"/>
      <c r="IH56" s="92"/>
      <c r="II56" s="92"/>
      <c r="IJ56" s="92"/>
      <c r="IK56" s="92"/>
      <c r="IL56" s="92"/>
      <c r="IM56" s="92"/>
      <c r="IN56" s="92"/>
      <c r="IO56" s="92"/>
      <c r="IP56" s="92"/>
      <c r="IQ56" s="92"/>
      <c r="IR56" s="92"/>
      <c r="IS56" s="92"/>
      <c r="IT56" s="92"/>
      <c r="IU56" s="92"/>
      <c r="IV56" s="92"/>
      <c r="IW56" s="92"/>
      <c r="IX56" s="92"/>
      <c r="IY56" s="92"/>
      <c r="IZ56" s="92"/>
      <c r="JA56" s="92"/>
      <c r="JB56" s="92"/>
      <c r="JC56" s="92"/>
      <c r="JD56" s="92"/>
      <c r="JE56" s="92"/>
      <c r="JF56" t="s">
        <v>49</v>
      </c>
    </row>
    <row r="57" spans="1:266" hidden="1" x14ac:dyDescent="0.45">
      <c r="A57" s="71" t="str">
        <f>IF('Quote Exports'!C63="","",'Quote Exports'!C63)</f>
        <v>RM Price</v>
      </c>
      <c r="B57" s="72"/>
      <c r="C57" s="68"/>
      <c r="D57" s="3" t="s">
        <v>258</v>
      </c>
      <c r="E57" s="92">
        <v>250</v>
      </c>
      <c r="F57" s="92">
        <v>250</v>
      </c>
      <c r="G57" s="92">
        <v>250</v>
      </c>
      <c r="H57" s="92">
        <v>250</v>
      </c>
      <c r="I57" s="92">
        <v>250</v>
      </c>
      <c r="J57" s="92">
        <v>250</v>
      </c>
      <c r="K57" s="92">
        <v>250</v>
      </c>
      <c r="L57" s="92">
        <v>250</v>
      </c>
      <c r="M57" s="92">
        <v>250</v>
      </c>
      <c r="N57" s="92">
        <v>250</v>
      </c>
      <c r="O57" s="92">
        <v>250</v>
      </c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  <c r="BR57" s="92"/>
      <c r="BS57" s="92"/>
      <c r="BT57" s="92"/>
      <c r="BU57" s="92"/>
      <c r="BV57" s="92"/>
      <c r="BW57" s="92"/>
      <c r="BX57" s="92"/>
      <c r="BY57" s="92"/>
      <c r="BZ57" s="92"/>
      <c r="CA57" s="92"/>
      <c r="CB57" s="92"/>
      <c r="CC57" s="92"/>
      <c r="CD57" s="92"/>
      <c r="CE57" s="92"/>
      <c r="CF57" s="92"/>
      <c r="CG57" s="92"/>
      <c r="CH57" s="92"/>
      <c r="CI57" s="92"/>
      <c r="CJ57" s="92"/>
      <c r="CK57" s="92"/>
      <c r="CL57" s="92"/>
      <c r="CM57" s="92"/>
      <c r="CN57" s="92"/>
      <c r="CO57" s="92"/>
      <c r="CP57" s="92"/>
      <c r="CQ57" s="92"/>
      <c r="CR57" s="92"/>
      <c r="CS57" s="92"/>
      <c r="CT57" s="92"/>
      <c r="CU57" s="92"/>
      <c r="CV57" s="92"/>
      <c r="CW57" s="92"/>
      <c r="CX57" s="92"/>
      <c r="CY57" s="92"/>
      <c r="CZ57" s="92"/>
      <c r="DA57" s="92"/>
      <c r="DB57" s="92"/>
      <c r="DC57" s="92"/>
      <c r="DD57" s="92"/>
      <c r="DE57" s="92"/>
      <c r="DF57" s="92"/>
      <c r="DG57" s="92"/>
      <c r="DH57" s="92"/>
      <c r="DI57" s="92"/>
      <c r="DJ57" s="92"/>
      <c r="DK57" s="92"/>
      <c r="DL57" s="92"/>
      <c r="DM57" s="92"/>
      <c r="DN57" s="92"/>
      <c r="DO57" s="92"/>
      <c r="DP57" s="92"/>
      <c r="DQ57" s="92"/>
      <c r="DR57" s="92"/>
      <c r="DS57" s="92"/>
      <c r="DT57" s="92"/>
      <c r="DU57" s="92"/>
      <c r="DV57" s="92"/>
      <c r="DW57" s="92"/>
      <c r="DX57" s="92"/>
      <c r="DY57" s="92"/>
      <c r="DZ57" s="92"/>
      <c r="EA57" s="92"/>
      <c r="EB57" s="92"/>
      <c r="EC57" s="92"/>
      <c r="ED57" s="92"/>
      <c r="EE57" s="92"/>
      <c r="EF57" s="92"/>
      <c r="EG57" s="92"/>
      <c r="EH57" s="92"/>
      <c r="EI57" s="92"/>
      <c r="EJ57" s="92"/>
      <c r="EK57" s="92"/>
      <c r="EL57" s="92"/>
      <c r="EM57" s="92"/>
      <c r="EN57" s="92"/>
      <c r="EO57" s="92"/>
      <c r="EP57" s="92"/>
      <c r="EQ57" s="92"/>
      <c r="ER57" s="92"/>
      <c r="ES57" s="92"/>
      <c r="ET57" s="92"/>
      <c r="EU57" s="92"/>
      <c r="EV57" s="92"/>
      <c r="EW57" s="92"/>
      <c r="EX57" s="92"/>
      <c r="EY57" s="92"/>
      <c r="EZ57" s="92"/>
      <c r="FA57" s="92"/>
      <c r="FB57" s="92"/>
      <c r="FC57" s="92"/>
      <c r="FD57" s="92"/>
      <c r="FE57" s="92"/>
      <c r="FF57" s="92"/>
      <c r="FG57" s="92"/>
      <c r="FH57" s="92"/>
      <c r="FI57" s="92"/>
      <c r="FJ57" s="92"/>
      <c r="FK57" s="92"/>
      <c r="FL57" s="92"/>
      <c r="FM57" s="92"/>
      <c r="FN57" s="92"/>
      <c r="FO57" s="92"/>
      <c r="FP57" s="92"/>
      <c r="FQ57" s="92"/>
      <c r="FR57" s="92"/>
      <c r="FS57" s="92"/>
      <c r="FT57" s="92"/>
      <c r="FU57" s="92"/>
      <c r="FV57" s="92"/>
      <c r="FW57" s="92"/>
      <c r="FX57" s="92"/>
      <c r="FY57" s="92"/>
      <c r="FZ57" s="92"/>
      <c r="GA57" s="92"/>
      <c r="GB57" s="92"/>
      <c r="GC57" s="92"/>
      <c r="GD57" s="92"/>
      <c r="GE57" s="92"/>
      <c r="GF57" s="92"/>
      <c r="GG57" s="92"/>
      <c r="GH57" s="92"/>
      <c r="GI57" s="92"/>
      <c r="GJ57" s="92"/>
      <c r="GK57" s="92"/>
      <c r="GL57" s="92"/>
      <c r="GM57" s="92"/>
      <c r="GN57" s="92"/>
      <c r="GO57" s="92"/>
      <c r="GP57" s="92"/>
      <c r="GQ57" s="92"/>
      <c r="GR57" s="92"/>
      <c r="GS57" s="92"/>
      <c r="GT57" s="92"/>
      <c r="GU57" s="92"/>
      <c r="GV57" s="92"/>
      <c r="GW57" s="92"/>
      <c r="GX57" s="92"/>
      <c r="GY57" s="92"/>
      <c r="GZ57" s="92"/>
      <c r="HA57" s="92"/>
      <c r="HB57" s="92"/>
      <c r="HC57" s="92"/>
      <c r="HD57" s="92"/>
      <c r="HE57" s="92"/>
      <c r="HF57" s="92"/>
      <c r="HG57" s="92"/>
      <c r="HH57" s="92"/>
      <c r="HI57" s="92"/>
      <c r="HJ57" s="92"/>
      <c r="HK57" s="92"/>
      <c r="HL57" s="92"/>
      <c r="HM57" s="92"/>
      <c r="HN57" s="92"/>
      <c r="HO57" s="92"/>
      <c r="HP57" s="92"/>
      <c r="HQ57" s="92"/>
      <c r="HR57" s="92"/>
      <c r="HS57" s="92"/>
      <c r="HT57" s="92"/>
      <c r="HU57" s="92"/>
      <c r="HV57" s="92"/>
      <c r="HW57" s="92"/>
      <c r="HX57" s="92"/>
      <c r="HY57" s="92"/>
      <c r="HZ57" s="92"/>
      <c r="IA57" s="92"/>
      <c r="IB57" s="92"/>
      <c r="IC57" s="92"/>
      <c r="ID57" s="92"/>
      <c r="IE57" s="92"/>
      <c r="IF57" s="92"/>
      <c r="IG57" s="92"/>
      <c r="IH57" s="92"/>
      <c r="II57" s="92"/>
      <c r="IJ57" s="92"/>
      <c r="IK57" s="92"/>
      <c r="IL57" s="92"/>
      <c r="IM57" s="92"/>
      <c r="IN57" s="92"/>
      <c r="IO57" s="92"/>
      <c r="IP57" s="92"/>
      <c r="IQ57" s="92"/>
      <c r="IR57" s="92"/>
      <c r="IS57" s="92"/>
      <c r="IT57" s="92"/>
      <c r="IU57" s="92"/>
      <c r="IV57" s="92"/>
      <c r="IW57" s="92"/>
      <c r="IX57" s="92"/>
      <c r="IY57" s="92"/>
      <c r="IZ57" s="92"/>
      <c r="JA57" s="92"/>
      <c r="JB57" s="92"/>
      <c r="JC57" s="92"/>
      <c r="JD57" s="92"/>
      <c r="JE57" s="92"/>
      <c r="JF57" t="s">
        <v>49</v>
      </c>
    </row>
    <row r="58" spans="1:266" hidden="1" x14ac:dyDescent="0.45">
      <c r="A58" s="71" t="str">
        <f>IF('Quote Exports'!C64="","",'Quote Exports'!C64)</f>
        <v>RM Price</v>
      </c>
      <c r="B58" s="72"/>
      <c r="C58" s="68"/>
      <c r="D58" s="3" t="s">
        <v>259</v>
      </c>
      <c r="E58" s="92">
        <v>160</v>
      </c>
      <c r="F58" s="92">
        <v>160</v>
      </c>
      <c r="G58" s="92">
        <v>160</v>
      </c>
      <c r="H58" s="92">
        <v>160</v>
      </c>
      <c r="I58" s="92">
        <v>160</v>
      </c>
      <c r="J58" s="92">
        <v>160</v>
      </c>
      <c r="K58" s="92">
        <v>160</v>
      </c>
      <c r="L58" s="92">
        <v>160</v>
      </c>
      <c r="M58" s="92">
        <v>160</v>
      </c>
      <c r="N58" s="92">
        <v>160</v>
      </c>
      <c r="O58" s="92">
        <v>160</v>
      </c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92"/>
      <c r="BV58" s="92"/>
      <c r="BW58" s="92"/>
      <c r="BX58" s="92"/>
      <c r="BY58" s="92"/>
      <c r="BZ58" s="92"/>
      <c r="CA58" s="92"/>
      <c r="CB58" s="92"/>
      <c r="CC58" s="92"/>
      <c r="CD58" s="92"/>
      <c r="CE58" s="92"/>
      <c r="CF58" s="92"/>
      <c r="CG58" s="92"/>
      <c r="CH58" s="92"/>
      <c r="CI58" s="92"/>
      <c r="CJ58" s="92"/>
      <c r="CK58" s="92"/>
      <c r="CL58" s="92"/>
      <c r="CM58" s="92"/>
      <c r="CN58" s="92"/>
      <c r="CO58" s="92"/>
      <c r="CP58" s="92"/>
      <c r="CQ58" s="92"/>
      <c r="CR58" s="92"/>
      <c r="CS58" s="92"/>
      <c r="CT58" s="92"/>
      <c r="CU58" s="92"/>
      <c r="CV58" s="92"/>
      <c r="CW58" s="92"/>
      <c r="CX58" s="92"/>
      <c r="CY58" s="92"/>
      <c r="CZ58" s="92"/>
      <c r="DA58" s="92"/>
      <c r="DB58" s="92"/>
      <c r="DC58" s="92"/>
      <c r="DD58" s="92"/>
      <c r="DE58" s="92"/>
      <c r="DF58" s="92"/>
      <c r="DG58" s="92"/>
      <c r="DH58" s="92"/>
      <c r="DI58" s="92"/>
      <c r="DJ58" s="92"/>
      <c r="DK58" s="92"/>
      <c r="DL58" s="92"/>
      <c r="DM58" s="92"/>
      <c r="DN58" s="92"/>
      <c r="DO58" s="92"/>
      <c r="DP58" s="92"/>
      <c r="DQ58" s="92"/>
      <c r="DR58" s="92"/>
      <c r="DS58" s="92"/>
      <c r="DT58" s="92"/>
      <c r="DU58" s="92"/>
      <c r="DV58" s="92"/>
      <c r="DW58" s="92"/>
      <c r="DX58" s="92"/>
      <c r="DY58" s="92"/>
      <c r="DZ58" s="92"/>
      <c r="EA58" s="92"/>
      <c r="EB58" s="92"/>
      <c r="EC58" s="92"/>
      <c r="ED58" s="92"/>
      <c r="EE58" s="92"/>
      <c r="EF58" s="92"/>
      <c r="EG58" s="92"/>
      <c r="EH58" s="92"/>
      <c r="EI58" s="92"/>
      <c r="EJ58" s="92"/>
      <c r="EK58" s="92"/>
      <c r="EL58" s="92"/>
      <c r="EM58" s="92"/>
      <c r="EN58" s="92"/>
      <c r="EO58" s="92"/>
      <c r="EP58" s="92"/>
      <c r="EQ58" s="92"/>
      <c r="ER58" s="92"/>
      <c r="ES58" s="92"/>
      <c r="ET58" s="92"/>
      <c r="EU58" s="92"/>
      <c r="EV58" s="92"/>
      <c r="EW58" s="92"/>
      <c r="EX58" s="92"/>
      <c r="EY58" s="92"/>
      <c r="EZ58" s="92"/>
      <c r="FA58" s="92"/>
      <c r="FB58" s="92"/>
      <c r="FC58" s="92"/>
      <c r="FD58" s="92"/>
      <c r="FE58" s="92"/>
      <c r="FF58" s="92"/>
      <c r="FG58" s="92"/>
      <c r="FH58" s="92"/>
      <c r="FI58" s="92"/>
      <c r="FJ58" s="92"/>
      <c r="FK58" s="92"/>
      <c r="FL58" s="92"/>
      <c r="FM58" s="92"/>
      <c r="FN58" s="92"/>
      <c r="FO58" s="92"/>
      <c r="FP58" s="92"/>
      <c r="FQ58" s="92"/>
      <c r="FR58" s="92"/>
      <c r="FS58" s="92"/>
      <c r="FT58" s="92"/>
      <c r="FU58" s="92"/>
      <c r="FV58" s="92"/>
      <c r="FW58" s="92"/>
      <c r="FX58" s="92"/>
      <c r="FY58" s="92"/>
      <c r="FZ58" s="92"/>
      <c r="GA58" s="92"/>
      <c r="GB58" s="92"/>
      <c r="GC58" s="92"/>
      <c r="GD58" s="92"/>
      <c r="GE58" s="92"/>
      <c r="GF58" s="92"/>
      <c r="GG58" s="92"/>
      <c r="GH58" s="92"/>
      <c r="GI58" s="92"/>
      <c r="GJ58" s="92"/>
      <c r="GK58" s="92"/>
      <c r="GL58" s="92"/>
      <c r="GM58" s="92"/>
      <c r="GN58" s="92"/>
      <c r="GO58" s="92"/>
      <c r="GP58" s="92"/>
      <c r="GQ58" s="92"/>
      <c r="GR58" s="92"/>
      <c r="GS58" s="92"/>
      <c r="GT58" s="92"/>
      <c r="GU58" s="92"/>
      <c r="GV58" s="92"/>
      <c r="GW58" s="92"/>
      <c r="GX58" s="92"/>
      <c r="GY58" s="92"/>
      <c r="GZ58" s="92"/>
      <c r="HA58" s="92"/>
      <c r="HB58" s="92"/>
      <c r="HC58" s="92"/>
      <c r="HD58" s="92"/>
      <c r="HE58" s="92"/>
      <c r="HF58" s="92"/>
      <c r="HG58" s="92"/>
      <c r="HH58" s="92"/>
      <c r="HI58" s="92"/>
      <c r="HJ58" s="92"/>
      <c r="HK58" s="92"/>
      <c r="HL58" s="92"/>
      <c r="HM58" s="92"/>
      <c r="HN58" s="92"/>
      <c r="HO58" s="92"/>
      <c r="HP58" s="92"/>
      <c r="HQ58" s="92"/>
      <c r="HR58" s="92"/>
      <c r="HS58" s="92"/>
      <c r="HT58" s="92"/>
      <c r="HU58" s="92"/>
      <c r="HV58" s="92"/>
      <c r="HW58" s="92"/>
      <c r="HX58" s="92"/>
      <c r="HY58" s="92"/>
      <c r="HZ58" s="92"/>
      <c r="IA58" s="92"/>
      <c r="IB58" s="92"/>
      <c r="IC58" s="92"/>
      <c r="ID58" s="92"/>
      <c r="IE58" s="92"/>
      <c r="IF58" s="92"/>
      <c r="IG58" s="92"/>
      <c r="IH58" s="92"/>
      <c r="II58" s="92"/>
      <c r="IJ58" s="92"/>
      <c r="IK58" s="92"/>
      <c r="IL58" s="92"/>
      <c r="IM58" s="92"/>
      <c r="IN58" s="92"/>
      <c r="IO58" s="92"/>
      <c r="IP58" s="92"/>
      <c r="IQ58" s="92"/>
      <c r="IR58" s="92"/>
      <c r="IS58" s="92"/>
      <c r="IT58" s="92"/>
      <c r="IU58" s="92"/>
      <c r="IV58" s="92"/>
      <c r="IW58" s="92"/>
      <c r="IX58" s="92"/>
      <c r="IY58" s="92"/>
      <c r="IZ58" s="92"/>
      <c r="JA58" s="92"/>
      <c r="JB58" s="92"/>
      <c r="JC58" s="92"/>
      <c r="JD58" s="92"/>
      <c r="JE58" s="92"/>
      <c r="JF58" t="s">
        <v>49</v>
      </c>
    </row>
    <row r="59" spans="1:266" hidden="1" x14ac:dyDescent="0.45">
      <c r="A59" s="71" t="str">
        <f>IF('Quote Exports'!C65="","",'Quote Exports'!C65)</f>
        <v>RM Price</v>
      </c>
      <c r="B59" s="72"/>
      <c r="C59" s="68"/>
      <c r="D59" s="3" t="s">
        <v>260</v>
      </c>
      <c r="E59" s="92">
        <v>600</v>
      </c>
      <c r="F59" s="92">
        <v>600</v>
      </c>
      <c r="G59" s="92">
        <v>600</v>
      </c>
      <c r="H59" s="92">
        <v>600</v>
      </c>
      <c r="I59" s="92">
        <v>600</v>
      </c>
      <c r="J59" s="92">
        <v>600</v>
      </c>
      <c r="K59" s="92">
        <v>600</v>
      </c>
      <c r="L59" s="92">
        <v>600</v>
      </c>
      <c r="M59" s="92">
        <v>600</v>
      </c>
      <c r="N59" s="92">
        <v>600</v>
      </c>
      <c r="O59" s="92">
        <v>600</v>
      </c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92"/>
      <c r="BN59" s="92"/>
      <c r="BO59" s="92"/>
      <c r="BP59" s="92"/>
      <c r="BQ59" s="92"/>
      <c r="BR59" s="92"/>
      <c r="BS59" s="92"/>
      <c r="BT59" s="92"/>
      <c r="BU59" s="92"/>
      <c r="BV59" s="92"/>
      <c r="BW59" s="92"/>
      <c r="BX59" s="92"/>
      <c r="BY59" s="92"/>
      <c r="BZ59" s="92"/>
      <c r="CA59" s="92"/>
      <c r="CB59" s="92"/>
      <c r="CC59" s="92"/>
      <c r="CD59" s="92"/>
      <c r="CE59" s="92"/>
      <c r="CF59" s="92"/>
      <c r="CG59" s="92"/>
      <c r="CH59" s="92"/>
      <c r="CI59" s="92"/>
      <c r="CJ59" s="92"/>
      <c r="CK59" s="92"/>
      <c r="CL59" s="92"/>
      <c r="CM59" s="92"/>
      <c r="CN59" s="92"/>
      <c r="CO59" s="92"/>
      <c r="CP59" s="92"/>
      <c r="CQ59" s="92"/>
      <c r="CR59" s="92"/>
      <c r="CS59" s="92"/>
      <c r="CT59" s="92"/>
      <c r="CU59" s="92"/>
      <c r="CV59" s="92"/>
      <c r="CW59" s="92"/>
      <c r="CX59" s="92"/>
      <c r="CY59" s="92"/>
      <c r="CZ59" s="92"/>
      <c r="DA59" s="92"/>
      <c r="DB59" s="92"/>
      <c r="DC59" s="92"/>
      <c r="DD59" s="92"/>
      <c r="DE59" s="92"/>
      <c r="DF59" s="92"/>
      <c r="DG59" s="92"/>
      <c r="DH59" s="92"/>
      <c r="DI59" s="92"/>
      <c r="DJ59" s="92"/>
      <c r="DK59" s="92"/>
      <c r="DL59" s="92"/>
      <c r="DM59" s="92"/>
      <c r="DN59" s="92"/>
      <c r="DO59" s="92"/>
      <c r="DP59" s="92"/>
      <c r="DQ59" s="92"/>
      <c r="DR59" s="92"/>
      <c r="DS59" s="92"/>
      <c r="DT59" s="92"/>
      <c r="DU59" s="92"/>
      <c r="DV59" s="92"/>
      <c r="DW59" s="92"/>
      <c r="DX59" s="92"/>
      <c r="DY59" s="92"/>
      <c r="DZ59" s="92"/>
      <c r="EA59" s="92"/>
      <c r="EB59" s="92"/>
      <c r="EC59" s="92"/>
      <c r="ED59" s="92"/>
      <c r="EE59" s="92"/>
      <c r="EF59" s="92"/>
      <c r="EG59" s="92"/>
      <c r="EH59" s="92"/>
      <c r="EI59" s="92"/>
      <c r="EJ59" s="92"/>
      <c r="EK59" s="92"/>
      <c r="EL59" s="92"/>
      <c r="EM59" s="92"/>
      <c r="EN59" s="92"/>
      <c r="EO59" s="92"/>
      <c r="EP59" s="92"/>
      <c r="EQ59" s="92"/>
      <c r="ER59" s="92"/>
      <c r="ES59" s="92"/>
      <c r="ET59" s="92"/>
      <c r="EU59" s="92"/>
      <c r="EV59" s="92"/>
      <c r="EW59" s="92"/>
      <c r="EX59" s="92"/>
      <c r="EY59" s="92"/>
      <c r="EZ59" s="92"/>
      <c r="FA59" s="92"/>
      <c r="FB59" s="92"/>
      <c r="FC59" s="92"/>
      <c r="FD59" s="92"/>
      <c r="FE59" s="92"/>
      <c r="FF59" s="92"/>
      <c r="FG59" s="92"/>
      <c r="FH59" s="92"/>
      <c r="FI59" s="92"/>
      <c r="FJ59" s="92"/>
      <c r="FK59" s="92"/>
      <c r="FL59" s="92"/>
      <c r="FM59" s="92"/>
      <c r="FN59" s="92"/>
      <c r="FO59" s="92"/>
      <c r="FP59" s="92"/>
      <c r="FQ59" s="92"/>
      <c r="FR59" s="92"/>
      <c r="FS59" s="92"/>
      <c r="FT59" s="92"/>
      <c r="FU59" s="92"/>
      <c r="FV59" s="92"/>
      <c r="FW59" s="92"/>
      <c r="FX59" s="92"/>
      <c r="FY59" s="92"/>
      <c r="FZ59" s="92"/>
      <c r="GA59" s="92"/>
      <c r="GB59" s="92"/>
      <c r="GC59" s="92"/>
      <c r="GD59" s="92"/>
      <c r="GE59" s="92"/>
      <c r="GF59" s="92"/>
      <c r="GG59" s="92"/>
      <c r="GH59" s="92"/>
      <c r="GI59" s="92"/>
      <c r="GJ59" s="92"/>
      <c r="GK59" s="92"/>
      <c r="GL59" s="92"/>
      <c r="GM59" s="92"/>
      <c r="GN59" s="92"/>
      <c r="GO59" s="92"/>
      <c r="GP59" s="92"/>
      <c r="GQ59" s="92"/>
      <c r="GR59" s="92"/>
      <c r="GS59" s="92"/>
      <c r="GT59" s="92"/>
      <c r="GU59" s="92"/>
      <c r="GV59" s="92"/>
      <c r="GW59" s="92"/>
      <c r="GX59" s="92"/>
      <c r="GY59" s="92"/>
      <c r="GZ59" s="92"/>
      <c r="HA59" s="92"/>
      <c r="HB59" s="92"/>
      <c r="HC59" s="92"/>
      <c r="HD59" s="92"/>
      <c r="HE59" s="92"/>
      <c r="HF59" s="92"/>
      <c r="HG59" s="92"/>
      <c r="HH59" s="92"/>
      <c r="HI59" s="92"/>
      <c r="HJ59" s="92"/>
      <c r="HK59" s="92"/>
      <c r="HL59" s="92"/>
      <c r="HM59" s="92"/>
      <c r="HN59" s="92"/>
      <c r="HO59" s="92"/>
      <c r="HP59" s="92"/>
      <c r="HQ59" s="92"/>
      <c r="HR59" s="92"/>
      <c r="HS59" s="92"/>
      <c r="HT59" s="92"/>
      <c r="HU59" s="92"/>
      <c r="HV59" s="92"/>
      <c r="HW59" s="92"/>
      <c r="HX59" s="92"/>
      <c r="HY59" s="92"/>
      <c r="HZ59" s="92"/>
      <c r="IA59" s="92"/>
      <c r="IB59" s="92"/>
      <c r="IC59" s="92"/>
      <c r="ID59" s="92"/>
      <c r="IE59" s="92"/>
      <c r="IF59" s="92"/>
      <c r="IG59" s="92"/>
      <c r="IH59" s="92"/>
      <c r="II59" s="92"/>
      <c r="IJ59" s="92"/>
      <c r="IK59" s="92"/>
      <c r="IL59" s="92"/>
      <c r="IM59" s="92"/>
      <c r="IN59" s="92"/>
      <c r="IO59" s="92"/>
      <c r="IP59" s="92"/>
      <c r="IQ59" s="92"/>
      <c r="IR59" s="92"/>
      <c r="IS59" s="92"/>
      <c r="IT59" s="92"/>
      <c r="IU59" s="92"/>
      <c r="IV59" s="92"/>
      <c r="IW59" s="92"/>
      <c r="IX59" s="92"/>
      <c r="IY59" s="92"/>
      <c r="IZ59" s="92"/>
      <c r="JA59" s="92"/>
      <c r="JB59" s="92"/>
      <c r="JC59" s="92"/>
      <c r="JD59" s="92"/>
      <c r="JE59" s="92"/>
      <c r="JF59" t="s">
        <v>49</v>
      </c>
    </row>
    <row r="60" spans="1:266" hidden="1" x14ac:dyDescent="0.45">
      <c r="A60" s="71" t="str">
        <f>IF('Quote Exports'!C66="","",'Quote Exports'!C66)</f>
        <v>RM Price</v>
      </c>
      <c r="B60" s="72"/>
      <c r="C60" s="68"/>
      <c r="D60" s="3" t="s">
        <v>261</v>
      </c>
      <c r="E60" s="92">
        <v>150.55619999999999</v>
      </c>
      <c r="F60" s="92">
        <v>150.55619999999999</v>
      </c>
      <c r="G60" s="92">
        <v>150.55619999999999</v>
      </c>
      <c r="H60" s="92">
        <v>150.55619999999999</v>
      </c>
      <c r="I60" s="92">
        <v>150.55619999999999</v>
      </c>
      <c r="J60" s="92">
        <v>150.55619999999999</v>
      </c>
      <c r="K60" s="92">
        <v>150.55619999999999</v>
      </c>
      <c r="L60" s="92">
        <v>150.55619999999999</v>
      </c>
      <c r="M60" s="92">
        <v>150.55619999999999</v>
      </c>
      <c r="N60" s="92">
        <v>150.55619999999999</v>
      </c>
      <c r="O60" s="92">
        <v>150.55619999999999</v>
      </c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  <c r="BM60" s="92"/>
      <c r="BN60" s="92"/>
      <c r="BO60" s="92"/>
      <c r="BP60" s="92"/>
      <c r="BQ60" s="92"/>
      <c r="BR60" s="92"/>
      <c r="BS60" s="92"/>
      <c r="BT60" s="92"/>
      <c r="BU60" s="92"/>
      <c r="BV60" s="92"/>
      <c r="BW60" s="92"/>
      <c r="BX60" s="92"/>
      <c r="BY60" s="92"/>
      <c r="BZ60" s="92"/>
      <c r="CA60" s="92"/>
      <c r="CB60" s="92"/>
      <c r="CC60" s="92"/>
      <c r="CD60" s="92"/>
      <c r="CE60" s="92"/>
      <c r="CF60" s="92"/>
      <c r="CG60" s="92"/>
      <c r="CH60" s="92"/>
      <c r="CI60" s="92"/>
      <c r="CJ60" s="92"/>
      <c r="CK60" s="92"/>
      <c r="CL60" s="92"/>
      <c r="CM60" s="92"/>
      <c r="CN60" s="92"/>
      <c r="CO60" s="92"/>
      <c r="CP60" s="92"/>
      <c r="CQ60" s="92"/>
      <c r="CR60" s="92"/>
      <c r="CS60" s="92"/>
      <c r="CT60" s="92"/>
      <c r="CU60" s="92"/>
      <c r="CV60" s="92"/>
      <c r="CW60" s="92"/>
      <c r="CX60" s="92"/>
      <c r="CY60" s="92"/>
      <c r="CZ60" s="92"/>
      <c r="DA60" s="92"/>
      <c r="DB60" s="92"/>
      <c r="DC60" s="92"/>
      <c r="DD60" s="92"/>
      <c r="DE60" s="92"/>
      <c r="DF60" s="92"/>
      <c r="DG60" s="92"/>
      <c r="DH60" s="92"/>
      <c r="DI60" s="92"/>
      <c r="DJ60" s="92"/>
      <c r="DK60" s="92"/>
      <c r="DL60" s="92"/>
      <c r="DM60" s="92"/>
      <c r="DN60" s="92"/>
      <c r="DO60" s="92"/>
      <c r="DP60" s="92"/>
      <c r="DQ60" s="92"/>
      <c r="DR60" s="92"/>
      <c r="DS60" s="92"/>
      <c r="DT60" s="92"/>
      <c r="DU60" s="92"/>
      <c r="DV60" s="92"/>
      <c r="DW60" s="92"/>
      <c r="DX60" s="92"/>
      <c r="DY60" s="92"/>
      <c r="DZ60" s="92"/>
      <c r="EA60" s="92"/>
      <c r="EB60" s="92"/>
      <c r="EC60" s="92"/>
      <c r="ED60" s="92"/>
      <c r="EE60" s="92"/>
      <c r="EF60" s="92"/>
      <c r="EG60" s="92"/>
      <c r="EH60" s="92"/>
      <c r="EI60" s="92"/>
      <c r="EJ60" s="92"/>
      <c r="EK60" s="92"/>
      <c r="EL60" s="92"/>
      <c r="EM60" s="92"/>
      <c r="EN60" s="92"/>
      <c r="EO60" s="92"/>
      <c r="EP60" s="92"/>
      <c r="EQ60" s="92"/>
      <c r="ER60" s="92"/>
      <c r="ES60" s="92"/>
      <c r="ET60" s="92"/>
      <c r="EU60" s="92"/>
      <c r="EV60" s="92"/>
      <c r="EW60" s="92"/>
      <c r="EX60" s="92"/>
      <c r="EY60" s="92"/>
      <c r="EZ60" s="92"/>
      <c r="FA60" s="92"/>
      <c r="FB60" s="92"/>
      <c r="FC60" s="92"/>
      <c r="FD60" s="92"/>
      <c r="FE60" s="92"/>
      <c r="FF60" s="92"/>
      <c r="FG60" s="92"/>
      <c r="FH60" s="92"/>
      <c r="FI60" s="92"/>
      <c r="FJ60" s="92"/>
      <c r="FK60" s="92"/>
      <c r="FL60" s="92"/>
      <c r="FM60" s="92"/>
      <c r="FN60" s="92"/>
      <c r="FO60" s="92"/>
      <c r="FP60" s="92"/>
      <c r="FQ60" s="92"/>
      <c r="FR60" s="92"/>
      <c r="FS60" s="92"/>
      <c r="FT60" s="92"/>
      <c r="FU60" s="92"/>
      <c r="FV60" s="92"/>
      <c r="FW60" s="92"/>
      <c r="FX60" s="92"/>
      <c r="FY60" s="92"/>
      <c r="FZ60" s="92"/>
      <c r="GA60" s="92"/>
      <c r="GB60" s="92"/>
      <c r="GC60" s="92"/>
      <c r="GD60" s="92"/>
      <c r="GE60" s="92"/>
      <c r="GF60" s="92"/>
      <c r="GG60" s="92"/>
      <c r="GH60" s="92"/>
      <c r="GI60" s="92"/>
      <c r="GJ60" s="92"/>
      <c r="GK60" s="92"/>
      <c r="GL60" s="92"/>
      <c r="GM60" s="92"/>
      <c r="GN60" s="92"/>
      <c r="GO60" s="92"/>
      <c r="GP60" s="92"/>
      <c r="GQ60" s="92"/>
      <c r="GR60" s="92"/>
      <c r="GS60" s="92"/>
      <c r="GT60" s="92"/>
      <c r="GU60" s="92"/>
      <c r="GV60" s="92"/>
      <c r="GW60" s="92"/>
      <c r="GX60" s="92"/>
      <c r="GY60" s="92"/>
      <c r="GZ60" s="92"/>
      <c r="HA60" s="92"/>
      <c r="HB60" s="92"/>
      <c r="HC60" s="92"/>
      <c r="HD60" s="92"/>
      <c r="HE60" s="92"/>
      <c r="HF60" s="92"/>
      <c r="HG60" s="92"/>
      <c r="HH60" s="92"/>
      <c r="HI60" s="92"/>
      <c r="HJ60" s="92"/>
      <c r="HK60" s="92"/>
      <c r="HL60" s="92"/>
      <c r="HM60" s="92"/>
      <c r="HN60" s="92"/>
      <c r="HO60" s="92"/>
      <c r="HP60" s="92"/>
      <c r="HQ60" s="92"/>
      <c r="HR60" s="92"/>
      <c r="HS60" s="92"/>
      <c r="HT60" s="92"/>
      <c r="HU60" s="92"/>
      <c r="HV60" s="92"/>
      <c r="HW60" s="92"/>
      <c r="HX60" s="92"/>
      <c r="HY60" s="92"/>
      <c r="HZ60" s="92"/>
      <c r="IA60" s="92"/>
      <c r="IB60" s="92"/>
      <c r="IC60" s="92"/>
      <c r="ID60" s="92"/>
      <c r="IE60" s="92"/>
      <c r="IF60" s="92"/>
      <c r="IG60" s="92"/>
      <c r="IH60" s="92"/>
      <c r="II60" s="92"/>
      <c r="IJ60" s="92"/>
      <c r="IK60" s="92"/>
      <c r="IL60" s="92"/>
      <c r="IM60" s="92"/>
      <c r="IN60" s="92"/>
      <c r="IO60" s="92"/>
      <c r="IP60" s="92"/>
      <c r="IQ60" s="92"/>
      <c r="IR60" s="92"/>
      <c r="IS60" s="92"/>
      <c r="IT60" s="92"/>
      <c r="IU60" s="92"/>
      <c r="IV60" s="92"/>
      <c r="IW60" s="92"/>
      <c r="IX60" s="92"/>
      <c r="IY60" s="92"/>
      <c r="IZ60" s="92"/>
      <c r="JA60" s="92"/>
      <c r="JB60" s="92"/>
      <c r="JC60" s="92"/>
      <c r="JD60" s="92"/>
      <c r="JE60" s="92"/>
      <c r="JF60" t="s">
        <v>49</v>
      </c>
    </row>
    <row r="61" spans="1:266" hidden="1" x14ac:dyDescent="0.45">
      <c r="A61" s="71" t="str">
        <f>IF('Quote Exports'!C67="","",'Quote Exports'!C67)</f>
        <v>RM Price</v>
      </c>
      <c r="B61" s="72"/>
      <c r="C61" s="68"/>
      <c r="D61" s="3" t="s">
        <v>262</v>
      </c>
      <c r="E61" s="92">
        <v>83</v>
      </c>
      <c r="F61" s="92">
        <v>83</v>
      </c>
      <c r="G61" s="92">
        <v>83</v>
      </c>
      <c r="H61" s="92">
        <v>83</v>
      </c>
      <c r="I61" s="92">
        <v>83</v>
      </c>
      <c r="J61" s="92">
        <v>83</v>
      </c>
      <c r="K61" s="92">
        <v>83</v>
      </c>
      <c r="L61" s="92">
        <v>83</v>
      </c>
      <c r="M61" s="92">
        <v>83</v>
      </c>
      <c r="N61" s="92">
        <v>83</v>
      </c>
      <c r="O61" s="92">
        <v>83</v>
      </c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  <c r="BM61" s="92"/>
      <c r="BN61" s="92"/>
      <c r="BO61" s="92"/>
      <c r="BP61" s="92"/>
      <c r="BQ61" s="92"/>
      <c r="BR61" s="92"/>
      <c r="BS61" s="92"/>
      <c r="BT61" s="92"/>
      <c r="BU61" s="92"/>
      <c r="BV61" s="92"/>
      <c r="BW61" s="92"/>
      <c r="BX61" s="92"/>
      <c r="BY61" s="92"/>
      <c r="BZ61" s="92"/>
      <c r="CA61" s="92"/>
      <c r="CB61" s="92"/>
      <c r="CC61" s="92"/>
      <c r="CD61" s="92"/>
      <c r="CE61" s="92"/>
      <c r="CF61" s="92"/>
      <c r="CG61" s="92"/>
      <c r="CH61" s="92"/>
      <c r="CI61" s="92"/>
      <c r="CJ61" s="92"/>
      <c r="CK61" s="92"/>
      <c r="CL61" s="92"/>
      <c r="CM61" s="92"/>
      <c r="CN61" s="92"/>
      <c r="CO61" s="92"/>
      <c r="CP61" s="92"/>
      <c r="CQ61" s="92"/>
      <c r="CR61" s="92"/>
      <c r="CS61" s="92"/>
      <c r="CT61" s="92"/>
      <c r="CU61" s="92"/>
      <c r="CV61" s="92"/>
      <c r="CW61" s="92"/>
      <c r="CX61" s="92"/>
      <c r="CY61" s="92"/>
      <c r="CZ61" s="92"/>
      <c r="DA61" s="92"/>
      <c r="DB61" s="92"/>
      <c r="DC61" s="92"/>
      <c r="DD61" s="92"/>
      <c r="DE61" s="92"/>
      <c r="DF61" s="92"/>
      <c r="DG61" s="92"/>
      <c r="DH61" s="92"/>
      <c r="DI61" s="92"/>
      <c r="DJ61" s="92"/>
      <c r="DK61" s="92"/>
      <c r="DL61" s="92"/>
      <c r="DM61" s="92"/>
      <c r="DN61" s="92"/>
      <c r="DO61" s="92"/>
      <c r="DP61" s="92"/>
      <c r="DQ61" s="92"/>
      <c r="DR61" s="92"/>
      <c r="DS61" s="92"/>
      <c r="DT61" s="92"/>
      <c r="DU61" s="92"/>
      <c r="DV61" s="92"/>
      <c r="DW61" s="92"/>
      <c r="DX61" s="92"/>
      <c r="DY61" s="92"/>
      <c r="DZ61" s="92"/>
      <c r="EA61" s="92"/>
      <c r="EB61" s="92"/>
      <c r="EC61" s="92"/>
      <c r="ED61" s="92"/>
      <c r="EE61" s="92"/>
      <c r="EF61" s="92"/>
      <c r="EG61" s="92"/>
      <c r="EH61" s="92"/>
      <c r="EI61" s="92"/>
      <c r="EJ61" s="92"/>
      <c r="EK61" s="92"/>
      <c r="EL61" s="92"/>
      <c r="EM61" s="92"/>
      <c r="EN61" s="92"/>
      <c r="EO61" s="92"/>
      <c r="EP61" s="92"/>
      <c r="EQ61" s="92"/>
      <c r="ER61" s="92"/>
      <c r="ES61" s="92"/>
      <c r="ET61" s="92"/>
      <c r="EU61" s="92"/>
      <c r="EV61" s="92"/>
      <c r="EW61" s="92"/>
      <c r="EX61" s="92"/>
      <c r="EY61" s="92"/>
      <c r="EZ61" s="92"/>
      <c r="FA61" s="92"/>
      <c r="FB61" s="92"/>
      <c r="FC61" s="92"/>
      <c r="FD61" s="92"/>
      <c r="FE61" s="92"/>
      <c r="FF61" s="92"/>
      <c r="FG61" s="92"/>
      <c r="FH61" s="92"/>
      <c r="FI61" s="92"/>
      <c r="FJ61" s="92"/>
      <c r="FK61" s="92"/>
      <c r="FL61" s="92"/>
      <c r="FM61" s="92"/>
      <c r="FN61" s="92"/>
      <c r="FO61" s="92"/>
      <c r="FP61" s="92"/>
      <c r="FQ61" s="92"/>
      <c r="FR61" s="92"/>
      <c r="FS61" s="92"/>
      <c r="FT61" s="92"/>
      <c r="FU61" s="92"/>
      <c r="FV61" s="92"/>
      <c r="FW61" s="92"/>
      <c r="FX61" s="92"/>
      <c r="FY61" s="92"/>
      <c r="FZ61" s="92"/>
      <c r="GA61" s="92"/>
      <c r="GB61" s="92"/>
      <c r="GC61" s="92"/>
      <c r="GD61" s="92"/>
      <c r="GE61" s="92"/>
      <c r="GF61" s="92"/>
      <c r="GG61" s="92"/>
      <c r="GH61" s="92"/>
      <c r="GI61" s="92"/>
      <c r="GJ61" s="92"/>
      <c r="GK61" s="92"/>
      <c r="GL61" s="92"/>
      <c r="GM61" s="92"/>
      <c r="GN61" s="92"/>
      <c r="GO61" s="92"/>
      <c r="GP61" s="92"/>
      <c r="GQ61" s="92"/>
      <c r="GR61" s="92"/>
      <c r="GS61" s="92"/>
      <c r="GT61" s="92"/>
      <c r="GU61" s="92"/>
      <c r="GV61" s="92"/>
      <c r="GW61" s="92"/>
      <c r="GX61" s="92"/>
      <c r="GY61" s="92"/>
      <c r="GZ61" s="92"/>
      <c r="HA61" s="92"/>
      <c r="HB61" s="92"/>
      <c r="HC61" s="92"/>
      <c r="HD61" s="92"/>
      <c r="HE61" s="92"/>
      <c r="HF61" s="92"/>
      <c r="HG61" s="92"/>
      <c r="HH61" s="92"/>
      <c r="HI61" s="92"/>
      <c r="HJ61" s="92"/>
      <c r="HK61" s="92"/>
      <c r="HL61" s="92"/>
      <c r="HM61" s="92"/>
      <c r="HN61" s="92"/>
      <c r="HO61" s="92"/>
      <c r="HP61" s="92"/>
      <c r="HQ61" s="92"/>
      <c r="HR61" s="92"/>
      <c r="HS61" s="92"/>
      <c r="HT61" s="92"/>
      <c r="HU61" s="92"/>
      <c r="HV61" s="92"/>
      <c r="HW61" s="92"/>
      <c r="HX61" s="92"/>
      <c r="HY61" s="92"/>
      <c r="HZ61" s="92"/>
      <c r="IA61" s="92"/>
      <c r="IB61" s="92"/>
      <c r="IC61" s="92"/>
      <c r="ID61" s="92"/>
      <c r="IE61" s="92"/>
      <c r="IF61" s="92"/>
      <c r="IG61" s="92"/>
      <c r="IH61" s="92"/>
      <c r="II61" s="92"/>
      <c r="IJ61" s="92"/>
      <c r="IK61" s="92"/>
      <c r="IL61" s="92"/>
      <c r="IM61" s="92"/>
      <c r="IN61" s="92"/>
      <c r="IO61" s="92"/>
      <c r="IP61" s="92"/>
      <c r="IQ61" s="92"/>
      <c r="IR61" s="92"/>
      <c r="IS61" s="92"/>
      <c r="IT61" s="92"/>
      <c r="IU61" s="92"/>
      <c r="IV61" s="92"/>
      <c r="IW61" s="92"/>
      <c r="IX61" s="92"/>
      <c r="IY61" s="92"/>
      <c r="IZ61" s="92"/>
      <c r="JA61" s="92"/>
      <c r="JB61" s="92"/>
      <c r="JC61" s="92"/>
      <c r="JD61" s="92"/>
      <c r="JE61" s="92"/>
      <c r="JF61" t="s">
        <v>49</v>
      </c>
    </row>
    <row r="62" spans="1:266" hidden="1" x14ac:dyDescent="0.45">
      <c r="A62" s="71" t="str">
        <f>IF('Quote Exports'!C68="","",'Quote Exports'!C68)</f>
        <v>RM Price</v>
      </c>
      <c r="B62" s="72"/>
      <c r="C62" s="68"/>
      <c r="D62" s="3" t="s">
        <v>263</v>
      </c>
      <c r="E62" s="92">
        <v>80</v>
      </c>
      <c r="F62" s="92">
        <v>80</v>
      </c>
      <c r="G62" s="92">
        <v>80</v>
      </c>
      <c r="H62" s="92">
        <v>80</v>
      </c>
      <c r="I62" s="92">
        <v>80</v>
      </c>
      <c r="J62" s="92">
        <v>80</v>
      </c>
      <c r="K62" s="92">
        <v>80</v>
      </c>
      <c r="L62" s="92">
        <v>80</v>
      </c>
      <c r="M62" s="92">
        <v>80</v>
      </c>
      <c r="N62" s="92">
        <v>80</v>
      </c>
      <c r="O62" s="92">
        <v>80</v>
      </c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92"/>
      <c r="BN62" s="92"/>
      <c r="BO62" s="92"/>
      <c r="BP62" s="92"/>
      <c r="BQ62" s="92"/>
      <c r="BR62" s="92"/>
      <c r="BS62" s="92"/>
      <c r="BT62" s="92"/>
      <c r="BU62" s="92"/>
      <c r="BV62" s="92"/>
      <c r="BW62" s="92"/>
      <c r="BX62" s="92"/>
      <c r="BY62" s="92"/>
      <c r="BZ62" s="92"/>
      <c r="CA62" s="92"/>
      <c r="CB62" s="92"/>
      <c r="CC62" s="92"/>
      <c r="CD62" s="92"/>
      <c r="CE62" s="92"/>
      <c r="CF62" s="92"/>
      <c r="CG62" s="92"/>
      <c r="CH62" s="92"/>
      <c r="CI62" s="92"/>
      <c r="CJ62" s="92"/>
      <c r="CK62" s="92"/>
      <c r="CL62" s="92"/>
      <c r="CM62" s="92"/>
      <c r="CN62" s="92"/>
      <c r="CO62" s="92"/>
      <c r="CP62" s="92"/>
      <c r="CQ62" s="92"/>
      <c r="CR62" s="92"/>
      <c r="CS62" s="92"/>
      <c r="CT62" s="92"/>
      <c r="CU62" s="92"/>
      <c r="CV62" s="92"/>
      <c r="CW62" s="92"/>
      <c r="CX62" s="92"/>
      <c r="CY62" s="92"/>
      <c r="CZ62" s="92"/>
      <c r="DA62" s="92"/>
      <c r="DB62" s="92"/>
      <c r="DC62" s="92"/>
      <c r="DD62" s="92"/>
      <c r="DE62" s="92"/>
      <c r="DF62" s="92"/>
      <c r="DG62" s="92"/>
      <c r="DH62" s="92"/>
      <c r="DI62" s="92"/>
      <c r="DJ62" s="92"/>
      <c r="DK62" s="92"/>
      <c r="DL62" s="92"/>
      <c r="DM62" s="92"/>
      <c r="DN62" s="92"/>
      <c r="DO62" s="92"/>
      <c r="DP62" s="92"/>
      <c r="DQ62" s="92"/>
      <c r="DR62" s="92"/>
      <c r="DS62" s="92"/>
      <c r="DT62" s="92"/>
      <c r="DU62" s="92"/>
      <c r="DV62" s="92"/>
      <c r="DW62" s="92"/>
      <c r="DX62" s="92"/>
      <c r="DY62" s="92"/>
      <c r="DZ62" s="92"/>
      <c r="EA62" s="92"/>
      <c r="EB62" s="92"/>
      <c r="EC62" s="92"/>
      <c r="ED62" s="92"/>
      <c r="EE62" s="92"/>
      <c r="EF62" s="92"/>
      <c r="EG62" s="92"/>
      <c r="EH62" s="92"/>
      <c r="EI62" s="92"/>
      <c r="EJ62" s="92"/>
      <c r="EK62" s="92"/>
      <c r="EL62" s="92"/>
      <c r="EM62" s="92"/>
      <c r="EN62" s="92"/>
      <c r="EO62" s="92"/>
      <c r="EP62" s="92"/>
      <c r="EQ62" s="92"/>
      <c r="ER62" s="92"/>
      <c r="ES62" s="92"/>
      <c r="ET62" s="92"/>
      <c r="EU62" s="92"/>
      <c r="EV62" s="92"/>
      <c r="EW62" s="92"/>
      <c r="EX62" s="92"/>
      <c r="EY62" s="92"/>
      <c r="EZ62" s="92"/>
      <c r="FA62" s="92"/>
      <c r="FB62" s="92"/>
      <c r="FC62" s="92"/>
      <c r="FD62" s="92"/>
      <c r="FE62" s="92"/>
      <c r="FF62" s="92"/>
      <c r="FG62" s="92"/>
      <c r="FH62" s="92"/>
      <c r="FI62" s="92"/>
      <c r="FJ62" s="92"/>
      <c r="FK62" s="92"/>
      <c r="FL62" s="92"/>
      <c r="FM62" s="92"/>
      <c r="FN62" s="92"/>
      <c r="FO62" s="92"/>
      <c r="FP62" s="92"/>
      <c r="FQ62" s="92"/>
      <c r="FR62" s="92"/>
      <c r="FS62" s="92"/>
      <c r="FT62" s="92"/>
      <c r="FU62" s="92"/>
      <c r="FV62" s="92"/>
      <c r="FW62" s="92"/>
      <c r="FX62" s="92"/>
      <c r="FY62" s="92"/>
      <c r="FZ62" s="92"/>
      <c r="GA62" s="92"/>
      <c r="GB62" s="92"/>
      <c r="GC62" s="92"/>
      <c r="GD62" s="92"/>
      <c r="GE62" s="92"/>
      <c r="GF62" s="92"/>
      <c r="GG62" s="92"/>
      <c r="GH62" s="92"/>
      <c r="GI62" s="92"/>
      <c r="GJ62" s="92"/>
      <c r="GK62" s="92"/>
      <c r="GL62" s="92"/>
      <c r="GM62" s="92"/>
      <c r="GN62" s="92"/>
      <c r="GO62" s="92"/>
      <c r="GP62" s="92"/>
      <c r="GQ62" s="92"/>
      <c r="GR62" s="92"/>
      <c r="GS62" s="92"/>
      <c r="GT62" s="92"/>
      <c r="GU62" s="92"/>
      <c r="GV62" s="92"/>
      <c r="GW62" s="92"/>
      <c r="GX62" s="92"/>
      <c r="GY62" s="92"/>
      <c r="GZ62" s="92"/>
      <c r="HA62" s="92"/>
      <c r="HB62" s="92"/>
      <c r="HC62" s="92"/>
      <c r="HD62" s="92"/>
      <c r="HE62" s="92"/>
      <c r="HF62" s="92"/>
      <c r="HG62" s="92"/>
      <c r="HH62" s="92"/>
      <c r="HI62" s="92"/>
      <c r="HJ62" s="92"/>
      <c r="HK62" s="92"/>
      <c r="HL62" s="92"/>
      <c r="HM62" s="92"/>
      <c r="HN62" s="92"/>
      <c r="HO62" s="92"/>
      <c r="HP62" s="92"/>
      <c r="HQ62" s="92"/>
      <c r="HR62" s="92"/>
      <c r="HS62" s="92"/>
      <c r="HT62" s="92"/>
      <c r="HU62" s="92"/>
      <c r="HV62" s="92"/>
      <c r="HW62" s="92"/>
      <c r="HX62" s="92"/>
      <c r="HY62" s="92"/>
      <c r="HZ62" s="92"/>
      <c r="IA62" s="92"/>
      <c r="IB62" s="92"/>
      <c r="IC62" s="92"/>
      <c r="ID62" s="92"/>
      <c r="IE62" s="92"/>
      <c r="IF62" s="92"/>
      <c r="IG62" s="92"/>
      <c r="IH62" s="92"/>
      <c r="II62" s="92"/>
      <c r="IJ62" s="92"/>
      <c r="IK62" s="92"/>
      <c r="IL62" s="92"/>
      <c r="IM62" s="92"/>
      <c r="IN62" s="92"/>
      <c r="IO62" s="92"/>
      <c r="IP62" s="92"/>
      <c r="IQ62" s="92"/>
      <c r="IR62" s="92"/>
      <c r="IS62" s="92"/>
      <c r="IT62" s="92"/>
      <c r="IU62" s="92"/>
      <c r="IV62" s="92"/>
      <c r="IW62" s="92"/>
      <c r="IX62" s="92"/>
      <c r="IY62" s="92"/>
      <c r="IZ62" s="92"/>
      <c r="JA62" s="92"/>
      <c r="JB62" s="92"/>
      <c r="JC62" s="92"/>
      <c r="JD62" s="92"/>
      <c r="JE62" s="92"/>
      <c r="JF62" t="s">
        <v>49</v>
      </c>
    </row>
    <row r="63" spans="1:266" hidden="1" x14ac:dyDescent="0.45">
      <c r="A63" s="71" t="str">
        <f>IF('Quote Exports'!C69="","",'Quote Exports'!C69)</f>
        <v/>
      </c>
      <c r="B63" s="72"/>
      <c r="C63" s="68"/>
      <c r="D63" s="3" t="s">
        <v>264</v>
      </c>
      <c r="E63" s="20">
        <v>230</v>
      </c>
      <c r="F63" s="20">
        <v>230</v>
      </c>
      <c r="G63" s="20">
        <v>230</v>
      </c>
      <c r="H63" s="20">
        <v>230</v>
      </c>
      <c r="I63" s="20">
        <v>230</v>
      </c>
      <c r="J63" s="20">
        <v>230</v>
      </c>
      <c r="K63" s="20">
        <v>230</v>
      </c>
      <c r="L63" s="20">
        <v>230</v>
      </c>
      <c r="M63" s="20">
        <v>230</v>
      </c>
      <c r="N63" s="20">
        <v>230</v>
      </c>
      <c r="O63" s="20">
        <v>230</v>
      </c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t="s">
        <v>49</v>
      </c>
    </row>
    <row r="64" spans="1:266" hidden="1" x14ac:dyDescent="0.45">
      <c r="A64" s="71" t="str">
        <f>IF('Quote Exports'!C70="","",'Quote Exports'!C70)</f>
        <v>Fabric Reipe</v>
      </c>
      <c r="B64" s="72">
        <v>1</v>
      </c>
      <c r="C64" s="68"/>
      <c r="D64" s="3" t="s">
        <v>265</v>
      </c>
      <c r="E64" s="20">
        <v>250</v>
      </c>
      <c r="F64" s="20">
        <v>250</v>
      </c>
      <c r="G64" s="20">
        <v>250</v>
      </c>
      <c r="H64" s="20">
        <v>250</v>
      </c>
      <c r="I64" s="20">
        <v>250</v>
      </c>
      <c r="J64" s="20">
        <v>250</v>
      </c>
      <c r="K64" s="20">
        <v>250</v>
      </c>
      <c r="L64" s="20">
        <v>250</v>
      </c>
      <c r="M64" s="20">
        <v>250</v>
      </c>
      <c r="N64" s="20">
        <v>250</v>
      </c>
      <c r="O64" s="20">
        <v>250</v>
      </c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  <c r="IX64" s="20"/>
      <c r="IY64" s="20"/>
      <c r="IZ64" s="20"/>
      <c r="JA64" s="20"/>
      <c r="JB64" s="20"/>
      <c r="JC64" s="20"/>
      <c r="JD64" s="20"/>
      <c r="JE64" s="20"/>
      <c r="JF64" t="s">
        <v>49</v>
      </c>
    </row>
    <row r="65" spans="1:266" hidden="1" x14ac:dyDescent="0.45">
      <c r="A65" s="71" t="str">
        <f>IF('Quote Exports'!C71="","",'Quote Exports'!C71)</f>
        <v>Fabric Reipe</v>
      </c>
      <c r="B65" s="72"/>
      <c r="C65" s="68"/>
      <c r="D65" s="3" t="s">
        <v>266</v>
      </c>
      <c r="E65" s="20">
        <v>250</v>
      </c>
      <c r="F65" s="20">
        <v>250</v>
      </c>
      <c r="G65" s="20">
        <v>250</v>
      </c>
      <c r="H65" s="20">
        <v>250</v>
      </c>
      <c r="I65" s="20">
        <v>250</v>
      </c>
      <c r="J65" s="20">
        <v>250</v>
      </c>
      <c r="K65" s="20">
        <v>250</v>
      </c>
      <c r="L65" s="20">
        <v>250</v>
      </c>
      <c r="M65" s="20">
        <v>250</v>
      </c>
      <c r="N65" s="20">
        <v>250</v>
      </c>
      <c r="O65" s="20">
        <v>250</v>
      </c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  <c r="JB65" s="20"/>
      <c r="JC65" s="20"/>
      <c r="JD65" s="20"/>
      <c r="JE65" s="20"/>
      <c r="JF65" t="s">
        <v>49</v>
      </c>
    </row>
    <row r="66" spans="1:266" hidden="1" x14ac:dyDescent="0.45">
      <c r="A66" s="71" t="str">
        <f>IF('Quote Exports'!C72="","",'Quote Exports'!C72)</f>
        <v>Fabric Reipe</v>
      </c>
      <c r="B66" s="72"/>
      <c r="C66" s="68"/>
      <c r="D66" s="3" t="s">
        <v>267</v>
      </c>
      <c r="E66" s="20">
        <v>320</v>
      </c>
      <c r="F66" s="20">
        <v>320</v>
      </c>
      <c r="G66" s="20">
        <v>320</v>
      </c>
      <c r="H66" s="20">
        <v>320</v>
      </c>
      <c r="I66" s="20">
        <v>320</v>
      </c>
      <c r="J66" s="20">
        <v>320</v>
      </c>
      <c r="K66" s="20">
        <v>320</v>
      </c>
      <c r="L66" s="20">
        <v>320</v>
      </c>
      <c r="M66" s="20">
        <v>320</v>
      </c>
      <c r="N66" s="20">
        <v>320</v>
      </c>
      <c r="O66" s="20">
        <v>320</v>
      </c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  <c r="IX66" s="20"/>
      <c r="IY66" s="20"/>
      <c r="IZ66" s="20"/>
      <c r="JA66" s="20"/>
      <c r="JB66" s="20"/>
      <c r="JC66" s="20"/>
      <c r="JD66" s="20"/>
      <c r="JE66" s="20"/>
      <c r="JF66" t="s">
        <v>49</v>
      </c>
    </row>
    <row r="67" spans="1:266" hidden="1" x14ac:dyDescent="0.45">
      <c r="A67" s="71" t="str">
        <f>IF('Quote Exports'!C73="","",'Quote Exports'!C73)</f>
        <v>Fabric Reipe</v>
      </c>
      <c r="B67" s="72"/>
      <c r="C67" s="68"/>
      <c r="D67" s="3" t="s">
        <v>268</v>
      </c>
      <c r="E67" s="20">
        <v>1600</v>
      </c>
      <c r="F67" s="20">
        <v>1600</v>
      </c>
      <c r="G67" s="20">
        <v>1600</v>
      </c>
      <c r="H67" s="20">
        <v>1600</v>
      </c>
      <c r="I67" s="20">
        <v>1600</v>
      </c>
      <c r="J67" s="20">
        <v>1600</v>
      </c>
      <c r="K67" s="20">
        <v>1600</v>
      </c>
      <c r="L67" s="20">
        <v>1600</v>
      </c>
      <c r="M67" s="20">
        <v>1600</v>
      </c>
      <c r="N67" s="20">
        <v>1600</v>
      </c>
      <c r="O67" s="20">
        <v>1600</v>
      </c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/>
      <c r="JC67" s="20"/>
      <c r="JD67" s="20"/>
      <c r="JE67" s="20"/>
      <c r="JF67" t="s">
        <v>49</v>
      </c>
    </row>
    <row r="68" spans="1:266" hidden="1" x14ac:dyDescent="0.45">
      <c r="A68" s="71" t="str">
        <f>IF('Quote Exports'!C74="","",'Quote Exports'!C74)</f>
        <v/>
      </c>
      <c r="B68" s="72"/>
      <c r="C68" s="68"/>
      <c r="D68" s="3" t="s">
        <v>269</v>
      </c>
      <c r="E68" s="20">
        <v>170</v>
      </c>
      <c r="F68" s="20">
        <v>170</v>
      </c>
      <c r="G68" s="20">
        <v>170</v>
      </c>
      <c r="H68" s="20">
        <v>170</v>
      </c>
      <c r="I68" s="20">
        <v>170</v>
      </c>
      <c r="J68" s="20">
        <v>170</v>
      </c>
      <c r="K68" s="20">
        <v>170</v>
      </c>
      <c r="L68" s="20">
        <v>170</v>
      </c>
      <c r="M68" s="20">
        <v>170</v>
      </c>
      <c r="N68" s="20">
        <v>170</v>
      </c>
      <c r="O68" s="20">
        <v>170</v>
      </c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t="s">
        <v>49</v>
      </c>
    </row>
    <row r="69" spans="1:266" hidden="1" x14ac:dyDescent="0.45">
      <c r="A69" s="71" t="str">
        <f>IF('Quote Exports'!C75="","",'Quote Exports'!C75)</f>
        <v/>
      </c>
      <c r="B69" s="72"/>
      <c r="C69" s="68"/>
      <c r="D69" s="4" t="s">
        <v>270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t="s">
        <v>49</v>
      </c>
    </row>
    <row r="70" spans="1:266" hidden="1" x14ac:dyDescent="0.45">
      <c r="A70" s="71" t="str">
        <f>IF('Quote Exports'!C76="","",'Quote Exports'!C76)</f>
        <v/>
      </c>
      <c r="B70" s="72"/>
      <c r="C70" s="68"/>
      <c r="D70" s="3" t="s">
        <v>247</v>
      </c>
      <c r="E70" s="20">
        <v>92</v>
      </c>
      <c r="F70" s="20">
        <v>92</v>
      </c>
      <c r="G70" s="20">
        <v>92</v>
      </c>
      <c r="H70" s="20">
        <v>92</v>
      </c>
      <c r="I70" s="20">
        <v>92</v>
      </c>
      <c r="J70" s="20">
        <v>92</v>
      </c>
      <c r="K70" s="20">
        <v>92</v>
      </c>
      <c r="L70" s="20">
        <v>92</v>
      </c>
      <c r="M70" s="20">
        <v>92</v>
      </c>
      <c r="N70" s="20">
        <v>92</v>
      </c>
      <c r="O70" s="20">
        <v>92</v>
      </c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t="s">
        <v>49</v>
      </c>
    </row>
    <row r="71" spans="1:266" hidden="1" x14ac:dyDescent="0.45">
      <c r="A71" s="71" t="str">
        <f>IF('Quote Exports'!C77="","",'Quote Exports'!C77)</f>
        <v>Fabric Reipe</v>
      </c>
      <c r="B71" s="72"/>
      <c r="C71" s="68"/>
      <c r="D71" s="3" t="s">
        <v>248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t="s">
        <v>49</v>
      </c>
    </row>
    <row r="72" spans="1:266" hidden="1" x14ac:dyDescent="0.45">
      <c r="A72" s="71" t="str">
        <f>IF('Quote Exports'!C78="","",'Quote Exports'!C78)</f>
        <v>Fabric Reipe</v>
      </c>
      <c r="B72" s="72">
        <v>1</v>
      </c>
      <c r="C72" s="68"/>
      <c r="D72" s="3" t="s">
        <v>249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t="s">
        <v>49</v>
      </c>
    </row>
    <row r="73" spans="1:266" hidden="1" x14ac:dyDescent="0.45">
      <c r="A73" s="71" t="str">
        <f>IF('Quote Exports'!C79="","",'Quote Exports'!C79)</f>
        <v>Fabric Reipe</v>
      </c>
      <c r="B73" s="72"/>
      <c r="C73" s="68"/>
      <c r="D73" s="3" t="s">
        <v>250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t="s">
        <v>49</v>
      </c>
    </row>
    <row r="74" spans="1:266" hidden="1" x14ac:dyDescent="0.45">
      <c r="A74" s="71" t="str">
        <f>IF('Quote Exports'!C80="","",'Quote Exports'!C80)</f>
        <v>Fabric Reipe</v>
      </c>
      <c r="B74" s="72">
        <v>1</v>
      </c>
      <c r="C74" s="68"/>
      <c r="D74" s="3" t="s">
        <v>251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t="s">
        <v>49</v>
      </c>
    </row>
    <row r="75" spans="1:266" hidden="1" x14ac:dyDescent="0.45">
      <c r="A75" s="71" t="str">
        <f>IF('Quote Exports'!C81="","",'Quote Exports'!C81)</f>
        <v>Fabric Reipe</v>
      </c>
      <c r="B75" s="72">
        <v>1</v>
      </c>
      <c r="C75" s="68"/>
      <c r="D75" s="3" t="s">
        <v>252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t="s">
        <v>49</v>
      </c>
    </row>
    <row r="76" spans="1:266" hidden="1" x14ac:dyDescent="0.45">
      <c r="A76" s="71" t="str">
        <f>IF('Quote Exports'!C82="","",'Quote Exports'!C82)</f>
        <v>Fabric Reipe</v>
      </c>
      <c r="B76" s="72"/>
      <c r="C76" s="68"/>
      <c r="D76" s="3" t="s">
        <v>253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t="s">
        <v>49</v>
      </c>
    </row>
    <row r="77" spans="1:266" hidden="1" x14ac:dyDescent="0.45">
      <c r="A77" s="71" t="str">
        <f>IF('Quote Exports'!C83="","",'Quote Exports'!C83)</f>
        <v>Fabric Reipe</v>
      </c>
      <c r="B77" s="72"/>
      <c r="C77" s="68"/>
      <c r="D77" s="3" t="s">
        <v>254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t="s">
        <v>49</v>
      </c>
    </row>
    <row r="78" spans="1:266" hidden="1" x14ac:dyDescent="0.45">
      <c r="A78" s="71" t="e">
        <f>IF('Quote Exports'!#REF!="","",'Quote Exports'!#REF!)</f>
        <v>#REF!</v>
      </c>
      <c r="B78" s="72"/>
      <c r="C78" s="68"/>
      <c r="D78" s="3" t="s">
        <v>255</v>
      </c>
      <c r="E78" s="20">
        <v>5</v>
      </c>
      <c r="F78" s="20">
        <v>5</v>
      </c>
      <c r="G78" s="20">
        <v>5</v>
      </c>
      <c r="H78" s="20">
        <v>5</v>
      </c>
      <c r="I78" s="20">
        <v>5</v>
      </c>
      <c r="J78" s="20">
        <v>5</v>
      </c>
      <c r="K78" s="20">
        <v>5</v>
      </c>
      <c r="L78" s="20">
        <v>5</v>
      </c>
      <c r="M78" s="20">
        <v>5</v>
      </c>
      <c r="N78" s="20">
        <v>2</v>
      </c>
      <c r="O78" s="20">
        <v>5</v>
      </c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t="s">
        <v>49</v>
      </c>
    </row>
    <row r="79" spans="1:266" hidden="1" x14ac:dyDescent="0.45">
      <c r="A79" s="71" t="e">
        <f>IF('Quote Exports'!#REF!="","",'Quote Exports'!#REF!)</f>
        <v>#REF!</v>
      </c>
      <c r="B79" s="72"/>
      <c r="C79" s="68"/>
      <c r="D79" s="3" t="s">
        <v>256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t="s">
        <v>49</v>
      </c>
    </row>
    <row r="80" spans="1:266" hidden="1" x14ac:dyDescent="0.45">
      <c r="A80" s="71" t="e">
        <f>IF('Quote Exports'!#REF!="","",'Quote Exports'!#REF!)</f>
        <v>#REF!</v>
      </c>
      <c r="B80" s="72"/>
      <c r="C80" s="68"/>
      <c r="D80" s="3" t="s">
        <v>257</v>
      </c>
      <c r="E80" s="20">
        <v>3</v>
      </c>
      <c r="F80" s="20">
        <v>3</v>
      </c>
      <c r="G80" s="20">
        <v>3</v>
      </c>
      <c r="H80" s="20">
        <v>3</v>
      </c>
      <c r="I80" s="20">
        <v>3</v>
      </c>
      <c r="J80" s="20">
        <v>3</v>
      </c>
      <c r="K80" s="20">
        <v>3</v>
      </c>
      <c r="L80" s="20">
        <v>3</v>
      </c>
      <c r="M80" s="20">
        <v>3</v>
      </c>
      <c r="N80" s="20">
        <v>3</v>
      </c>
      <c r="O80" s="20">
        <v>3</v>
      </c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t="s">
        <v>49</v>
      </c>
    </row>
    <row r="81" spans="1:266" hidden="1" x14ac:dyDescent="0.45">
      <c r="A81" s="71" t="e">
        <f>IF('Quote Exports'!#REF!="","",'Quote Exports'!#REF!)</f>
        <v>#REF!</v>
      </c>
      <c r="B81" s="72"/>
      <c r="C81" s="68"/>
      <c r="D81" s="3" t="s">
        <v>258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3</v>
      </c>
      <c r="O81" s="20">
        <v>0</v>
      </c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  <c r="JB81" s="20"/>
      <c r="JC81" s="20"/>
      <c r="JD81" s="20"/>
      <c r="JE81" s="20"/>
      <c r="JF81" t="s">
        <v>49</v>
      </c>
    </row>
    <row r="82" spans="1:266" hidden="1" x14ac:dyDescent="0.45">
      <c r="A82" s="71" t="e">
        <f>IF('Quote Exports'!#REF!="","",'Quote Exports'!#REF!)</f>
        <v>#REF!</v>
      </c>
      <c r="B82" s="72"/>
      <c r="C82" s="68"/>
      <c r="D82" s="3" t="s">
        <v>259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t="s">
        <v>49</v>
      </c>
    </row>
    <row r="83" spans="1:266" hidden="1" x14ac:dyDescent="0.45">
      <c r="A83" s="71" t="e">
        <f>IF('Quote Exports'!#REF!="","",'Quote Exports'!#REF!)</f>
        <v>#REF!</v>
      </c>
      <c r="B83" s="72"/>
      <c r="C83" s="68"/>
      <c r="D83" s="3" t="s">
        <v>260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  <c r="JB83" s="20"/>
      <c r="JC83" s="20"/>
      <c r="JD83" s="20"/>
      <c r="JE83" s="20"/>
      <c r="JF83" t="s">
        <v>49</v>
      </c>
    </row>
    <row r="84" spans="1:266" hidden="1" x14ac:dyDescent="0.45">
      <c r="A84" s="71" t="e">
        <f>IF('Quote Exports'!#REF!="","",'Quote Exports'!#REF!)</f>
        <v>#REF!</v>
      </c>
      <c r="B84" s="72"/>
      <c r="C84" s="68"/>
      <c r="D84" s="4" t="s">
        <v>272</v>
      </c>
      <c r="E84" s="93">
        <v>133.01208</v>
      </c>
      <c r="F84" s="93">
        <v>133.01208</v>
      </c>
      <c r="G84" s="93">
        <v>133.01208</v>
      </c>
      <c r="H84" s="93">
        <v>133.01208</v>
      </c>
      <c r="I84" s="93">
        <v>133.01208</v>
      </c>
      <c r="J84" s="93">
        <v>133.01208</v>
      </c>
      <c r="K84" s="93">
        <v>133.01208</v>
      </c>
      <c r="L84" s="93">
        <v>133.01208</v>
      </c>
      <c r="M84" s="93">
        <v>133.01208</v>
      </c>
      <c r="N84" s="93">
        <v>139.31208000000001</v>
      </c>
      <c r="O84" s="93">
        <v>133.01208</v>
      </c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  <c r="BM84" s="93"/>
      <c r="BN84" s="93"/>
      <c r="BO84" s="93"/>
      <c r="BP84" s="93"/>
      <c r="BQ84" s="93"/>
      <c r="BR84" s="93"/>
      <c r="BS84" s="93"/>
      <c r="BT84" s="93"/>
      <c r="BU84" s="93"/>
      <c r="BV84" s="93"/>
      <c r="BW84" s="93"/>
      <c r="BX84" s="93"/>
      <c r="BY84" s="93"/>
      <c r="BZ84" s="93"/>
      <c r="CA84" s="93"/>
      <c r="CB84" s="93"/>
      <c r="CC84" s="93"/>
      <c r="CD84" s="93"/>
      <c r="CE84" s="93"/>
      <c r="CF84" s="93"/>
      <c r="CG84" s="93"/>
      <c r="CH84" s="93"/>
      <c r="CI84" s="93"/>
      <c r="CJ84" s="93"/>
      <c r="CK84" s="93"/>
      <c r="CL84" s="93"/>
      <c r="CM84" s="93"/>
      <c r="CN84" s="93"/>
      <c r="CO84" s="93"/>
      <c r="CP84" s="93"/>
      <c r="CQ84" s="93"/>
      <c r="CR84" s="93"/>
      <c r="CS84" s="93"/>
      <c r="CT84" s="93"/>
      <c r="CU84" s="93"/>
      <c r="CV84" s="93"/>
      <c r="CW84" s="93"/>
      <c r="CX84" s="93"/>
      <c r="CY84" s="93"/>
      <c r="CZ84" s="93"/>
      <c r="DA84" s="93"/>
      <c r="DB84" s="93"/>
      <c r="DC84" s="93"/>
      <c r="DD84" s="93"/>
      <c r="DE84" s="93"/>
      <c r="DF84" s="93"/>
      <c r="DG84" s="93"/>
      <c r="DH84" s="93"/>
      <c r="DI84" s="93"/>
      <c r="DJ84" s="93"/>
      <c r="DK84" s="93"/>
      <c r="DL84" s="93"/>
      <c r="DM84" s="93"/>
      <c r="DN84" s="93"/>
      <c r="DO84" s="93"/>
      <c r="DP84" s="93"/>
      <c r="DQ84" s="93"/>
      <c r="DR84" s="93"/>
      <c r="DS84" s="93"/>
      <c r="DT84" s="93"/>
      <c r="DU84" s="93"/>
      <c r="DV84" s="93"/>
      <c r="DW84" s="93"/>
      <c r="DX84" s="93"/>
      <c r="DY84" s="93"/>
      <c r="DZ84" s="93"/>
      <c r="EA84" s="93"/>
      <c r="EB84" s="93"/>
      <c r="EC84" s="93"/>
      <c r="ED84" s="93"/>
      <c r="EE84" s="93"/>
      <c r="EF84" s="93"/>
      <c r="EG84" s="93"/>
      <c r="EH84" s="93"/>
      <c r="EI84" s="93"/>
      <c r="EJ84" s="93"/>
      <c r="EK84" s="93"/>
      <c r="EL84" s="93"/>
      <c r="EM84" s="93"/>
      <c r="EN84" s="93"/>
      <c r="EO84" s="93"/>
      <c r="EP84" s="93"/>
      <c r="EQ84" s="93"/>
      <c r="ER84" s="93"/>
      <c r="ES84" s="93"/>
      <c r="ET84" s="93"/>
      <c r="EU84" s="93"/>
      <c r="EV84" s="93"/>
      <c r="EW84" s="93"/>
      <c r="EX84" s="93"/>
      <c r="EY84" s="93"/>
      <c r="EZ84" s="93"/>
      <c r="FA84" s="93"/>
      <c r="FB84" s="93"/>
      <c r="FC84" s="93"/>
      <c r="FD84" s="93"/>
      <c r="FE84" s="93"/>
      <c r="FF84" s="93"/>
      <c r="FG84" s="93"/>
      <c r="FH84" s="93"/>
      <c r="FI84" s="93"/>
      <c r="FJ84" s="93"/>
      <c r="FK84" s="93"/>
      <c r="FL84" s="93"/>
      <c r="FM84" s="93"/>
      <c r="FN84" s="93"/>
      <c r="FO84" s="93"/>
      <c r="FP84" s="93"/>
      <c r="FQ84" s="93"/>
      <c r="FR84" s="93"/>
      <c r="FS84" s="93"/>
      <c r="FT84" s="93"/>
      <c r="FU84" s="93"/>
      <c r="FV84" s="93"/>
      <c r="FW84" s="93"/>
      <c r="FX84" s="93"/>
      <c r="FY84" s="93"/>
      <c r="FZ84" s="93"/>
      <c r="GA84" s="93"/>
      <c r="GB84" s="93"/>
      <c r="GC84" s="93"/>
      <c r="GD84" s="93"/>
      <c r="GE84" s="93"/>
      <c r="GF84" s="93"/>
      <c r="GG84" s="93"/>
      <c r="GH84" s="93"/>
      <c r="GI84" s="93"/>
      <c r="GJ84" s="93"/>
      <c r="GK84" s="93"/>
      <c r="GL84" s="93"/>
      <c r="GM84" s="93"/>
      <c r="GN84" s="93"/>
      <c r="GO84" s="93"/>
      <c r="GP84" s="93"/>
      <c r="GQ84" s="93"/>
      <c r="GR84" s="93"/>
      <c r="GS84" s="93"/>
      <c r="GT84" s="93"/>
      <c r="GU84" s="93"/>
      <c r="GV84" s="93"/>
      <c r="GW84" s="93"/>
      <c r="GX84" s="93"/>
      <c r="GY84" s="93"/>
      <c r="GZ84" s="93"/>
      <c r="HA84" s="93"/>
      <c r="HB84" s="93"/>
      <c r="HC84" s="93"/>
      <c r="HD84" s="93"/>
      <c r="HE84" s="93"/>
      <c r="HF84" s="93"/>
      <c r="HG84" s="93"/>
      <c r="HH84" s="93"/>
      <c r="HI84" s="93"/>
      <c r="HJ84" s="93"/>
      <c r="HK84" s="93"/>
      <c r="HL84" s="93"/>
      <c r="HM84" s="93"/>
      <c r="HN84" s="93"/>
      <c r="HO84" s="93"/>
      <c r="HP84" s="93"/>
      <c r="HQ84" s="93"/>
      <c r="HR84" s="93"/>
      <c r="HS84" s="93"/>
      <c r="HT84" s="93"/>
      <c r="HU84" s="93"/>
      <c r="HV84" s="93"/>
      <c r="HW84" s="93"/>
      <c r="HX84" s="93"/>
      <c r="HY84" s="93"/>
      <c r="HZ84" s="93"/>
      <c r="IA84" s="93"/>
      <c r="IB84" s="93"/>
      <c r="IC84" s="93"/>
      <c r="ID84" s="93"/>
      <c r="IE84" s="93"/>
      <c r="IF84" s="93"/>
      <c r="IG84" s="93"/>
      <c r="IH84" s="93"/>
      <c r="II84" s="93"/>
      <c r="IJ84" s="93"/>
      <c r="IK84" s="93"/>
      <c r="IL84" s="93"/>
      <c r="IM84" s="93"/>
      <c r="IN84" s="93"/>
      <c r="IO84" s="93"/>
      <c r="IP84" s="93"/>
      <c r="IQ84" s="93"/>
      <c r="IR84" s="93"/>
      <c r="IS84" s="93"/>
      <c r="IT84" s="93"/>
      <c r="IU84" s="93"/>
      <c r="IV84" s="93"/>
      <c r="IW84" s="93"/>
      <c r="IX84" s="93"/>
      <c r="IY84" s="93"/>
      <c r="IZ84" s="93"/>
      <c r="JA84" s="93"/>
      <c r="JB84" s="93"/>
      <c r="JC84" s="93"/>
      <c r="JD84" s="93"/>
      <c r="JE84" s="93"/>
      <c r="JF84" t="s">
        <v>49</v>
      </c>
    </row>
    <row r="85" spans="1:266" hidden="1" x14ac:dyDescent="0.45">
      <c r="A85" s="71" t="str">
        <f>IF('Quote Exports'!C84="","",'Quote Exports'!C84)</f>
        <v>Fabric RMC</v>
      </c>
      <c r="B85" s="72">
        <v>1</v>
      </c>
      <c r="C85" s="68"/>
      <c r="D85" s="4" t="s">
        <v>273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  <c r="JB85" s="20"/>
      <c r="JC85" s="20"/>
      <c r="JD85" s="20"/>
      <c r="JE85" s="20"/>
      <c r="JF85" t="s">
        <v>49</v>
      </c>
    </row>
    <row r="86" spans="1:266" hidden="1" x14ac:dyDescent="0.45">
      <c r="A86" s="71" t="str">
        <f>IF('Quote Exports'!C85="","",'Quote Exports'!C85)</f>
        <v/>
      </c>
      <c r="B86" s="72"/>
      <c r="C86" s="68"/>
      <c r="D86" s="3" t="s">
        <v>247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  <c r="JB86" s="20"/>
      <c r="JC86" s="20"/>
      <c r="JD86" s="20"/>
      <c r="JE86" s="20"/>
      <c r="JF86" t="s">
        <v>49</v>
      </c>
    </row>
    <row r="87" spans="1:266" hidden="1" x14ac:dyDescent="0.45">
      <c r="A87" s="71" t="str">
        <f>IF('Quote Exports'!C86="","",'Quote Exports'!C86)</f>
        <v/>
      </c>
      <c r="B87" s="72"/>
      <c r="C87" s="68"/>
      <c r="D87" s="3" t="s">
        <v>248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  <c r="IX87" s="20"/>
      <c r="IY87" s="20"/>
      <c r="IZ87" s="20"/>
      <c r="JA87" s="20"/>
      <c r="JB87" s="20"/>
      <c r="JC87" s="20"/>
      <c r="JD87" s="20"/>
      <c r="JE87" s="20"/>
      <c r="JF87" t="s">
        <v>49</v>
      </c>
    </row>
    <row r="88" spans="1:266" hidden="1" x14ac:dyDescent="0.45">
      <c r="A88" s="71" t="str">
        <f>IF('Quote Exports'!C87="","",'Quote Exports'!C87)</f>
        <v/>
      </c>
      <c r="B88" s="72"/>
      <c r="C88" s="68"/>
      <c r="D88" s="3" t="s">
        <v>249</v>
      </c>
      <c r="E88" s="20">
        <v>0</v>
      </c>
      <c r="F88" s="20">
        <v>0</v>
      </c>
      <c r="G88" s="20">
        <v>0</v>
      </c>
      <c r="H88" s="20">
        <v>0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  <c r="IX88" s="20"/>
      <c r="IY88" s="20"/>
      <c r="IZ88" s="20"/>
      <c r="JA88" s="20"/>
      <c r="JB88" s="20"/>
      <c r="JC88" s="20"/>
      <c r="JD88" s="20"/>
      <c r="JE88" s="20"/>
      <c r="JF88" t="s">
        <v>49</v>
      </c>
    </row>
    <row r="89" spans="1:266" hidden="1" x14ac:dyDescent="0.45">
      <c r="A89" s="71" t="str">
        <f>IF('Quote Exports'!C88="","",'Quote Exports'!C88)</f>
        <v/>
      </c>
      <c r="B89" s="72"/>
      <c r="C89" s="68"/>
      <c r="D89" s="3" t="s">
        <v>250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  <c r="IX89" s="20"/>
      <c r="IY89" s="20"/>
      <c r="IZ89" s="20"/>
      <c r="JA89" s="20"/>
      <c r="JB89" s="20"/>
      <c r="JC89" s="20"/>
      <c r="JD89" s="20"/>
      <c r="JE89" s="20"/>
      <c r="JF89" t="s">
        <v>49</v>
      </c>
    </row>
    <row r="90" spans="1:266" hidden="1" x14ac:dyDescent="0.45">
      <c r="A90" s="71" t="str">
        <f>IF('Quote Exports'!C89="","",'Quote Exports'!C89)</f>
        <v/>
      </c>
      <c r="B90" s="72"/>
      <c r="C90" s="68"/>
      <c r="D90" s="3" t="s">
        <v>251</v>
      </c>
      <c r="E90" s="20">
        <v>25</v>
      </c>
      <c r="F90" s="20">
        <v>25</v>
      </c>
      <c r="G90" s="20">
        <v>25</v>
      </c>
      <c r="H90" s="20">
        <v>25</v>
      </c>
      <c r="I90" s="20">
        <v>25</v>
      </c>
      <c r="J90" s="20">
        <v>25</v>
      </c>
      <c r="K90" s="20">
        <v>25</v>
      </c>
      <c r="L90" s="20">
        <v>25</v>
      </c>
      <c r="M90" s="20">
        <v>25</v>
      </c>
      <c r="N90" s="20">
        <v>25</v>
      </c>
      <c r="O90" s="20">
        <v>25</v>
      </c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  <c r="IX90" s="20"/>
      <c r="IY90" s="20"/>
      <c r="IZ90" s="20"/>
      <c r="JA90" s="20"/>
      <c r="JB90" s="20"/>
      <c r="JC90" s="20"/>
      <c r="JD90" s="20"/>
      <c r="JE90" s="20"/>
      <c r="JF90" t="s">
        <v>49</v>
      </c>
    </row>
    <row r="91" spans="1:266" hidden="1" x14ac:dyDescent="0.45">
      <c r="A91" s="71" t="str">
        <f>IF('Quote Exports'!C90="","",'Quote Exports'!C90)</f>
        <v>Coating Recp</v>
      </c>
      <c r="B91" s="72"/>
      <c r="C91" s="68"/>
      <c r="D91" s="3" t="s">
        <v>252</v>
      </c>
      <c r="E91" s="20">
        <v>73</v>
      </c>
      <c r="F91" s="20">
        <v>73</v>
      </c>
      <c r="G91" s="20">
        <v>73</v>
      </c>
      <c r="H91" s="20">
        <v>73</v>
      </c>
      <c r="I91" s="20">
        <v>73</v>
      </c>
      <c r="J91" s="20">
        <v>73</v>
      </c>
      <c r="K91" s="20">
        <v>73</v>
      </c>
      <c r="L91" s="20">
        <v>73</v>
      </c>
      <c r="M91" s="20">
        <v>73</v>
      </c>
      <c r="N91" s="20">
        <v>73</v>
      </c>
      <c r="O91" s="20">
        <v>73</v>
      </c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t="s">
        <v>49</v>
      </c>
    </row>
    <row r="92" spans="1:266" hidden="1" x14ac:dyDescent="0.45">
      <c r="A92" s="71" t="str">
        <f>IF('Quote Exports'!C91="","",'Quote Exports'!C91)</f>
        <v>Coating Recp</v>
      </c>
      <c r="B92" s="72"/>
      <c r="C92" s="68"/>
      <c r="D92" s="3" t="s">
        <v>253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  <c r="IX92" s="20"/>
      <c r="IY92" s="20"/>
      <c r="IZ92" s="20"/>
      <c r="JA92" s="20"/>
      <c r="JB92" s="20"/>
      <c r="JC92" s="20"/>
      <c r="JD92" s="20"/>
      <c r="JE92" s="20"/>
      <c r="JF92" t="s">
        <v>49</v>
      </c>
    </row>
    <row r="93" spans="1:266" hidden="1" x14ac:dyDescent="0.45">
      <c r="A93" s="71" t="str">
        <f>IF('Quote Exports'!C92="","",'Quote Exports'!C92)</f>
        <v>Coating Recp</v>
      </c>
      <c r="B93" s="72"/>
      <c r="C93" s="68"/>
      <c r="D93" s="3" t="s">
        <v>254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  <c r="IX93" s="20"/>
      <c r="IY93" s="20"/>
      <c r="IZ93" s="20"/>
      <c r="JA93" s="20"/>
      <c r="JB93" s="20"/>
      <c r="JC93" s="20"/>
      <c r="JD93" s="20"/>
      <c r="JE93" s="20"/>
      <c r="JF93" t="s">
        <v>49</v>
      </c>
    </row>
    <row r="94" spans="1:266" hidden="1" x14ac:dyDescent="0.45">
      <c r="A94" s="71" t="str">
        <f>IF('Quote Exports'!C93="","",'Quote Exports'!C93)</f>
        <v>Coating Recp</v>
      </c>
      <c r="B94" s="72"/>
      <c r="C94" s="68"/>
      <c r="D94" s="3" t="s">
        <v>255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  <c r="JB94" s="20"/>
      <c r="JC94" s="20"/>
      <c r="JD94" s="20"/>
      <c r="JE94" s="20"/>
      <c r="JF94" t="s">
        <v>49</v>
      </c>
    </row>
    <row r="95" spans="1:266" hidden="1" x14ac:dyDescent="0.45">
      <c r="A95" s="71" t="str">
        <f>IF('Quote Exports'!C94="","",'Quote Exports'!C94)</f>
        <v>Coating Recp</v>
      </c>
      <c r="B95" s="72"/>
      <c r="C95" s="68"/>
      <c r="D95" s="3" t="s">
        <v>256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  <c r="IX95" s="20"/>
      <c r="IY95" s="20"/>
      <c r="IZ95" s="20"/>
      <c r="JA95" s="20"/>
      <c r="JB95" s="20"/>
      <c r="JC95" s="20"/>
      <c r="JD95" s="20"/>
      <c r="JE95" s="20"/>
      <c r="JF95" t="s">
        <v>49</v>
      </c>
    </row>
    <row r="96" spans="1:266" hidden="1" x14ac:dyDescent="0.45">
      <c r="A96" s="71" t="str">
        <f>IF('Quote Exports'!C95="","",'Quote Exports'!C95)</f>
        <v>Coating Recp</v>
      </c>
      <c r="B96" s="72"/>
      <c r="C96" s="68"/>
      <c r="D96" s="3" t="s">
        <v>275</v>
      </c>
      <c r="E96" s="20">
        <v>2</v>
      </c>
      <c r="F96" s="20">
        <v>2</v>
      </c>
      <c r="G96" s="20">
        <v>2</v>
      </c>
      <c r="H96" s="20">
        <v>2</v>
      </c>
      <c r="I96" s="20">
        <v>2</v>
      </c>
      <c r="J96" s="20">
        <v>2</v>
      </c>
      <c r="K96" s="20">
        <v>2</v>
      </c>
      <c r="L96" s="20">
        <v>2</v>
      </c>
      <c r="M96" s="20">
        <v>2</v>
      </c>
      <c r="N96" s="20">
        <v>2</v>
      </c>
      <c r="O96" s="20">
        <v>2</v>
      </c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  <c r="IX96" s="20"/>
      <c r="IY96" s="20"/>
      <c r="IZ96" s="20"/>
      <c r="JA96" s="20"/>
      <c r="JB96" s="20"/>
      <c r="JC96" s="20"/>
      <c r="JD96" s="20"/>
      <c r="JE96" s="20"/>
      <c r="JF96" t="s">
        <v>49</v>
      </c>
    </row>
    <row r="97" spans="1:266" hidden="1" x14ac:dyDescent="0.45">
      <c r="A97" s="71" t="str">
        <f>IF('Quote Exports'!C96="","",'Quote Exports'!C96)</f>
        <v>Coating Recp</v>
      </c>
      <c r="B97" s="72"/>
      <c r="C97" s="68"/>
      <c r="D97" s="3" t="s">
        <v>258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  <c r="IX97" s="20"/>
      <c r="IY97" s="20"/>
      <c r="IZ97" s="20"/>
      <c r="JA97" s="20"/>
      <c r="JB97" s="20"/>
      <c r="JC97" s="20"/>
      <c r="JD97" s="20"/>
      <c r="JE97" s="20"/>
      <c r="JF97" t="s">
        <v>49</v>
      </c>
    </row>
    <row r="98" spans="1:266" hidden="1" x14ac:dyDescent="0.45">
      <c r="A98" s="71" t="str">
        <f>IF('Quote Exports'!C97="","",'Quote Exports'!C97)</f>
        <v>Coating Recp</v>
      </c>
      <c r="B98" s="72"/>
      <c r="C98" s="68"/>
      <c r="D98" s="3" t="s">
        <v>259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  <c r="IX98" s="20"/>
      <c r="IY98" s="20"/>
      <c r="IZ98" s="20"/>
      <c r="JA98" s="20"/>
      <c r="JB98" s="20"/>
      <c r="JC98" s="20"/>
      <c r="JD98" s="20"/>
      <c r="JE98" s="20"/>
      <c r="JF98" t="s">
        <v>49</v>
      </c>
    </row>
    <row r="99" spans="1:266" hidden="1" x14ac:dyDescent="0.45">
      <c r="A99" s="71" t="str">
        <f>IF('Quote Exports'!C98="","",'Quote Exports'!C98)</f>
        <v>Coating Recp</v>
      </c>
      <c r="B99" s="72"/>
      <c r="C99" s="68"/>
      <c r="D99" s="3" t="s">
        <v>276</v>
      </c>
      <c r="E99" s="20">
        <v>147.23971999999998</v>
      </c>
      <c r="F99" s="20">
        <v>147.23971999999998</v>
      </c>
      <c r="G99" s="20">
        <v>147.23971999999998</v>
      </c>
      <c r="H99" s="20">
        <v>147.23971999999998</v>
      </c>
      <c r="I99" s="20">
        <v>147.23971999999998</v>
      </c>
      <c r="J99" s="20">
        <v>147.23971999999998</v>
      </c>
      <c r="K99" s="20">
        <v>147.23971999999998</v>
      </c>
      <c r="L99" s="20">
        <v>147.23971999999998</v>
      </c>
      <c r="M99" s="20">
        <v>147.23971999999998</v>
      </c>
      <c r="N99" s="20">
        <v>147.23971999999998</v>
      </c>
      <c r="O99" s="20">
        <v>147.23971999999998</v>
      </c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  <c r="IX99" s="20"/>
      <c r="IY99" s="20"/>
      <c r="IZ99" s="20"/>
      <c r="JA99" s="20"/>
      <c r="JB99" s="20"/>
      <c r="JC99" s="20"/>
      <c r="JD99" s="20"/>
      <c r="JE99" s="20"/>
      <c r="JF99" t="s">
        <v>49</v>
      </c>
    </row>
    <row r="100" spans="1:266" hidden="1" x14ac:dyDescent="0.45">
      <c r="A100" s="71" t="e">
        <f>IF('Quote Exports'!#REF!="","",'Quote Exports'!#REF!)</f>
        <v>#REF!</v>
      </c>
      <c r="B100" s="72"/>
      <c r="C100" s="68"/>
      <c r="D100" s="4" t="s">
        <v>277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  <c r="JB100" s="20"/>
      <c r="JC100" s="20"/>
      <c r="JD100" s="20"/>
      <c r="JE100" s="20"/>
      <c r="JF100" t="s">
        <v>49</v>
      </c>
    </row>
    <row r="101" spans="1:266" hidden="1" x14ac:dyDescent="0.45">
      <c r="A101" s="71" t="e">
        <f>IF('Quote Exports'!#REF!="","",'Quote Exports'!#REF!)</f>
        <v>#REF!</v>
      </c>
      <c r="B101" s="72"/>
      <c r="C101" s="68"/>
      <c r="D101" s="3" t="s">
        <v>249</v>
      </c>
      <c r="E101" s="20">
        <v>90</v>
      </c>
      <c r="F101" s="20">
        <v>90</v>
      </c>
      <c r="G101" s="20">
        <v>90</v>
      </c>
      <c r="H101" s="20">
        <v>90</v>
      </c>
      <c r="I101" s="20">
        <v>90</v>
      </c>
      <c r="J101" s="20">
        <v>90</v>
      </c>
      <c r="K101" s="20">
        <v>90</v>
      </c>
      <c r="L101" s="20">
        <v>90</v>
      </c>
      <c r="M101" s="20">
        <v>90</v>
      </c>
      <c r="N101" s="20">
        <v>90</v>
      </c>
      <c r="O101" s="20">
        <v>90</v>
      </c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  <c r="IX101" s="20"/>
      <c r="IY101" s="20"/>
      <c r="IZ101" s="20"/>
      <c r="JA101" s="20"/>
      <c r="JB101" s="20"/>
      <c r="JC101" s="20"/>
      <c r="JD101" s="20"/>
      <c r="JE101" s="20"/>
      <c r="JF101" t="s">
        <v>49</v>
      </c>
    </row>
    <row r="102" spans="1:266" hidden="1" x14ac:dyDescent="0.45">
      <c r="A102" s="71" t="e">
        <f>IF('Quote Exports'!#REF!="","",'Quote Exports'!#REF!)</f>
        <v>#REF!</v>
      </c>
      <c r="B102" s="72"/>
      <c r="C102" s="68"/>
      <c r="D102" s="3" t="s">
        <v>250</v>
      </c>
      <c r="E102" s="20">
        <v>10</v>
      </c>
      <c r="F102" s="20">
        <v>10</v>
      </c>
      <c r="G102" s="20">
        <v>10</v>
      </c>
      <c r="H102" s="20">
        <v>10</v>
      </c>
      <c r="I102" s="20">
        <v>10</v>
      </c>
      <c r="J102" s="20">
        <v>10</v>
      </c>
      <c r="K102" s="20">
        <v>10</v>
      </c>
      <c r="L102" s="20">
        <v>10</v>
      </c>
      <c r="M102" s="20">
        <v>10</v>
      </c>
      <c r="N102" s="20">
        <v>10</v>
      </c>
      <c r="O102" s="20">
        <v>10</v>
      </c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  <c r="IX102" s="20"/>
      <c r="IY102" s="20"/>
      <c r="IZ102" s="20"/>
      <c r="JA102" s="20"/>
      <c r="JB102" s="20"/>
      <c r="JC102" s="20"/>
      <c r="JD102" s="20"/>
      <c r="JE102" s="20"/>
      <c r="JF102" t="s">
        <v>49</v>
      </c>
    </row>
    <row r="103" spans="1:266" hidden="1" x14ac:dyDescent="0.45">
      <c r="A103" s="71" t="e">
        <f>IF('Quote Exports'!#REF!="","",'Quote Exports'!#REF!)</f>
        <v>#REF!</v>
      </c>
      <c r="B103" s="72"/>
      <c r="C103" s="68"/>
      <c r="D103" s="3" t="s">
        <v>251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  <c r="IX103" s="20"/>
      <c r="IY103" s="20"/>
      <c r="IZ103" s="20"/>
      <c r="JA103" s="20"/>
      <c r="JB103" s="20"/>
      <c r="JC103" s="20"/>
      <c r="JD103" s="20"/>
      <c r="JE103" s="20"/>
      <c r="JF103" t="s">
        <v>49</v>
      </c>
    </row>
    <row r="104" spans="1:266" hidden="1" x14ac:dyDescent="0.45">
      <c r="A104" s="71" t="e">
        <f>IF('Quote Exports'!#REF!="","",'Quote Exports'!#REF!)</f>
        <v>#REF!</v>
      </c>
      <c r="B104" s="72"/>
      <c r="C104" s="68"/>
      <c r="D104" s="3" t="s">
        <v>252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  <c r="IX104" s="20"/>
      <c r="IY104" s="20"/>
      <c r="IZ104" s="20"/>
      <c r="JA104" s="20"/>
      <c r="JB104" s="20"/>
      <c r="JC104" s="20"/>
      <c r="JD104" s="20"/>
      <c r="JE104" s="20"/>
      <c r="JF104" t="s">
        <v>49</v>
      </c>
    </row>
    <row r="105" spans="1:266" hidden="1" x14ac:dyDescent="0.45">
      <c r="A105" s="71" t="e">
        <f>IF('Quote Exports'!#REF!="","",'Quote Exports'!#REF!)</f>
        <v>#REF!</v>
      </c>
      <c r="B105" s="72"/>
      <c r="C105" s="68"/>
      <c r="D105" s="3" t="s">
        <v>253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  <c r="IX105" s="20"/>
      <c r="IY105" s="20"/>
      <c r="IZ105" s="20"/>
      <c r="JA105" s="20"/>
      <c r="JB105" s="20"/>
      <c r="JC105" s="20"/>
      <c r="JD105" s="20"/>
      <c r="JE105" s="20"/>
      <c r="JF105" t="s">
        <v>49</v>
      </c>
    </row>
    <row r="106" spans="1:266" hidden="1" x14ac:dyDescent="0.45">
      <c r="A106" s="71" t="e">
        <f>IF('Quote Exports'!#REF!="","",'Quote Exports'!#REF!)</f>
        <v>#REF!</v>
      </c>
      <c r="B106" s="72"/>
      <c r="C106" s="68"/>
      <c r="D106" s="3" t="s">
        <v>254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  <c r="IX106" s="20"/>
      <c r="IY106" s="20"/>
      <c r="IZ106" s="20"/>
      <c r="JA106" s="20"/>
      <c r="JB106" s="20"/>
      <c r="JC106" s="20"/>
      <c r="JD106" s="20"/>
      <c r="JE106" s="20"/>
      <c r="JF106" t="s">
        <v>49</v>
      </c>
    </row>
    <row r="107" spans="1:266" hidden="1" x14ac:dyDescent="0.45">
      <c r="A107" s="71" t="e">
        <f>IF('Quote Exports'!#REF!="","",'Quote Exports'!#REF!)</f>
        <v>#REF!</v>
      </c>
      <c r="B107" s="72"/>
      <c r="C107" s="68"/>
      <c r="D107" s="3" t="s">
        <v>255</v>
      </c>
      <c r="E107" s="93">
        <v>0</v>
      </c>
      <c r="F107" s="93">
        <v>0</v>
      </c>
      <c r="G107" s="93">
        <v>0</v>
      </c>
      <c r="H107" s="93">
        <v>0</v>
      </c>
      <c r="I107" s="93">
        <v>0</v>
      </c>
      <c r="J107" s="93">
        <v>0</v>
      </c>
      <c r="K107" s="93">
        <v>0</v>
      </c>
      <c r="L107" s="93">
        <v>0</v>
      </c>
      <c r="M107" s="93">
        <v>0</v>
      </c>
      <c r="N107" s="93">
        <v>0</v>
      </c>
      <c r="O107" s="93">
        <v>0</v>
      </c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  <c r="AQ107" s="93"/>
      <c r="AR107" s="93"/>
      <c r="AS107" s="93"/>
      <c r="AT107" s="93"/>
      <c r="AU107" s="93"/>
      <c r="AV107" s="93"/>
      <c r="AW107" s="93"/>
      <c r="AX107" s="93"/>
      <c r="AY107" s="93"/>
      <c r="AZ107" s="93"/>
      <c r="BA107" s="93"/>
      <c r="BB107" s="93"/>
      <c r="BC107" s="93"/>
      <c r="BD107" s="93"/>
      <c r="BE107" s="93"/>
      <c r="BF107" s="93"/>
      <c r="BG107" s="93"/>
      <c r="BH107" s="93"/>
      <c r="BI107" s="93"/>
      <c r="BJ107" s="93"/>
      <c r="BK107" s="93"/>
      <c r="BL107" s="93"/>
      <c r="BM107" s="93"/>
      <c r="BN107" s="93"/>
      <c r="BO107" s="93"/>
      <c r="BP107" s="93"/>
      <c r="BQ107" s="93"/>
      <c r="BR107" s="93"/>
      <c r="BS107" s="93"/>
      <c r="BT107" s="93"/>
      <c r="BU107" s="93"/>
      <c r="BV107" s="93"/>
      <c r="BW107" s="93"/>
      <c r="BX107" s="93"/>
      <c r="BY107" s="93"/>
      <c r="BZ107" s="93"/>
      <c r="CA107" s="93"/>
      <c r="CB107" s="93"/>
      <c r="CC107" s="93"/>
      <c r="CD107" s="93"/>
      <c r="CE107" s="93"/>
      <c r="CF107" s="93"/>
      <c r="CG107" s="93"/>
      <c r="CH107" s="93"/>
      <c r="CI107" s="93"/>
      <c r="CJ107" s="93"/>
      <c r="CK107" s="93"/>
      <c r="CL107" s="93"/>
      <c r="CM107" s="93"/>
      <c r="CN107" s="93"/>
      <c r="CO107" s="93"/>
      <c r="CP107" s="93"/>
      <c r="CQ107" s="93"/>
      <c r="CR107" s="93"/>
      <c r="CS107" s="93"/>
      <c r="CT107" s="93"/>
      <c r="CU107" s="93"/>
      <c r="CV107" s="93"/>
      <c r="CW107" s="93"/>
      <c r="CX107" s="93"/>
      <c r="CY107" s="93"/>
      <c r="CZ107" s="93"/>
      <c r="DA107" s="93"/>
      <c r="DB107" s="93"/>
      <c r="DC107" s="93"/>
      <c r="DD107" s="93"/>
      <c r="DE107" s="93"/>
      <c r="DF107" s="93"/>
      <c r="DG107" s="93"/>
      <c r="DH107" s="93"/>
      <c r="DI107" s="93"/>
      <c r="DJ107" s="93"/>
      <c r="DK107" s="93"/>
      <c r="DL107" s="93"/>
      <c r="DM107" s="93"/>
      <c r="DN107" s="93"/>
      <c r="DO107" s="93"/>
      <c r="DP107" s="93"/>
      <c r="DQ107" s="93"/>
      <c r="DR107" s="93"/>
      <c r="DS107" s="93"/>
      <c r="DT107" s="93"/>
      <c r="DU107" s="93"/>
      <c r="DV107" s="93"/>
      <c r="DW107" s="93"/>
      <c r="DX107" s="93"/>
      <c r="DY107" s="93"/>
      <c r="DZ107" s="93"/>
      <c r="EA107" s="93"/>
      <c r="EB107" s="93"/>
      <c r="EC107" s="93"/>
      <c r="ED107" s="93"/>
      <c r="EE107" s="93"/>
      <c r="EF107" s="93"/>
      <c r="EG107" s="93"/>
      <c r="EH107" s="93"/>
      <c r="EI107" s="93"/>
      <c r="EJ107" s="93"/>
      <c r="EK107" s="93"/>
      <c r="EL107" s="93"/>
      <c r="EM107" s="93"/>
      <c r="EN107" s="93"/>
      <c r="EO107" s="93"/>
      <c r="EP107" s="93"/>
      <c r="EQ107" s="93"/>
      <c r="ER107" s="93"/>
      <c r="ES107" s="93"/>
      <c r="ET107" s="93"/>
      <c r="EU107" s="93"/>
      <c r="EV107" s="93"/>
      <c r="EW107" s="93"/>
      <c r="EX107" s="93"/>
      <c r="EY107" s="93"/>
      <c r="EZ107" s="93"/>
      <c r="FA107" s="93"/>
      <c r="FB107" s="93"/>
      <c r="FC107" s="93"/>
      <c r="FD107" s="93"/>
      <c r="FE107" s="93"/>
      <c r="FF107" s="93"/>
      <c r="FG107" s="93"/>
      <c r="FH107" s="93"/>
      <c r="FI107" s="93"/>
      <c r="FJ107" s="93"/>
      <c r="FK107" s="93"/>
      <c r="FL107" s="93"/>
      <c r="FM107" s="93"/>
      <c r="FN107" s="93"/>
      <c r="FO107" s="93"/>
      <c r="FP107" s="93"/>
      <c r="FQ107" s="93"/>
      <c r="FR107" s="93"/>
      <c r="FS107" s="93"/>
      <c r="FT107" s="93"/>
      <c r="FU107" s="93"/>
      <c r="FV107" s="93"/>
      <c r="FW107" s="93"/>
      <c r="FX107" s="93"/>
      <c r="FY107" s="93"/>
      <c r="FZ107" s="93"/>
      <c r="GA107" s="93"/>
      <c r="GB107" s="93"/>
      <c r="GC107" s="93"/>
      <c r="GD107" s="93"/>
      <c r="GE107" s="93"/>
      <c r="GF107" s="93"/>
      <c r="GG107" s="93"/>
      <c r="GH107" s="93"/>
      <c r="GI107" s="93"/>
      <c r="GJ107" s="93"/>
      <c r="GK107" s="93"/>
      <c r="GL107" s="93"/>
      <c r="GM107" s="93"/>
      <c r="GN107" s="93"/>
      <c r="GO107" s="93"/>
      <c r="GP107" s="93"/>
      <c r="GQ107" s="93"/>
      <c r="GR107" s="93"/>
      <c r="GS107" s="93"/>
      <c r="GT107" s="93"/>
      <c r="GU107" s="93"/>
      <c r="GV107" s="93"/>
      <c r="GW107" s="93"/>
      <c r="GX107" s="93"/>
      <c r="GY107" s="93"/>
      <c r="GZ107" s="93"/>
      <c r="HA107" s="93"/>
      <c r="HB107" s="93"/>
      <c r="HC107" s="93"/>
      <c r="HD107" s="93"/>
      <c r="HE107" s="93"/>
      <c r="HF107" s="93"/>
      <c r="HG107" s="93"/>
      <c r="HH107" s="93"/>
      <c r="HI107" s="93"/>
      <c r="HJ107" s="93"/>
      <c r="HK107" s="93"/>
      <c r="HL107" s="93"/>
      <c r="HM107" s="93"/>
      <c r="HN107" s="93"/>
      <c r="HO107" s="93"/>
      <c r="HP107" s="93"/>
      <c r="HQ107" s="93"/>
      <c r="HR107" s="93"/>
      <c r="HS107" s="93"/>
      <c r="HT107" s="93"/>
      <c r="HU107" s="93"/>
      <c r="HV107" s="93"/>
      <c r="HW107" s="93"/>
      <c r="HX107" s="93"/>
      <c r="HY107" s="93"/>
      <c r="HZ107" s="93"/>
      <c r="IA107" s="93"/>
      <c r="IB107" s="93"/>
      <c r="IC107" s="93"/>
      <c r="ID107" s="93"/>
      <c r="IE107" s="93"/>
      <c r="IF107" s="93"/>
      <c r="IG107" s="93"/>
      <c r="IH107" s="93"/>
      <c r="II107" s="93"/>
      <c r="IJ107" s="93"/>
      <c r="IK107" s="93"/>
      <c r="IL107" s="93"/>
      <c r="IM107" s="93"/>
      <c r="IN107" s="93"/>
      <c r="IO107" s="93"/>
      <c r="IP107" s="93"/>
      <c r="IQ107" s="93"/>
      <c r="IR107" s="93"/>
      <c r="IS107" s="93"/>
      <c r="IT107" s="93"/>
      <c r="IU107" s="93"/>
      <c r="IV107" s="93"/>
      <c r="IW107" s="93"/>
      <c r="IX107" s="93"/>
      <c r="IY107" s="93"/>
      <c r="IZ107" s="93"/>
      <c r="JA107" s="93"/>
      <c r="JB107" s="93"/>
      <c r="JC107" s="93"/>
      <c r="JD107" s="93"/>
      <c r="JE107" s="93"/>
      <c r="JF107" t="s">
        <v>49</v>
      </c>
    </row>
    <row r="108" spans="1:266" hidden="1" x14ac:dyDescent="0.45">
      <c r="A108" s="71" t="str">
        <f>IF('Quote Exports'!C99="","",'Quote Exports'!C99)</f>
        <v/>
      </c>
      <c r="B108" s="72"/>
      <c r="C108" s="68"/>
      <c r="D108" s="3" t="s">
        <v>256</v>
      </c>
      <c r="E108" s="22">
        <v>0</v>
      </c>
      <c r="F108" s="22">
        <v>0</v>
      </c>
      <c r="G108" s="22">
        <v>0</v>
      </c>
      <c r="H108" s="22">
        <v>0</v>
      </c>
      <c r="I108" s="22">
        <v>0</v>
      </c>
      <c r="J108" s="22">
        <v>0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  <c r="IZ108" s="22"/>
      <c r="JA108" s="22"/>
      <c r="JB108" s="22"/>
      <c r="JC108" s="22"/>
      <c r="JD108" s="22"/>
      <c r="JE108" s="22"/>
      <c r="JF108" t="s">
        <v>49</v>
      </c>
    </row>
    <row r="109" spans="1:266" hidden="1" x14ac:dyDescent="0.45">
      <c r="A109" s="71" t="str">
        <f>IF('Quote Exports'!C100="","",'Quote Exports'!C100)</f>
        <v/>
      </c>
      <c r="B109" s="72"/>
      <c r="C109" s="68"/>
      <c r="D109" s="3" t="s">
        <v>257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  <c r="IX109" s="20"/>
      <c r="IY109" s="20"/>
      <c r="IZ109" s="20"/>
      <c r="JA109" s="20"/>
      <c r="JB109" s="20"/>
      <c r="JC109" s="20"/>
      <c r="JD109" s="20"/>
      <c r="JE109" s="20"/>
      <c r="JF109" t="s">
        <v>49</v>
      </c>
    </row>
    <row r="110" spans="1:266" hidden="1" x14ac:dyDescent="0.45">
      <c r="A110" s="71" t="e">
        <f>IF('Quote Exports'!#REF!="","",'Quote Exports'!#REF!)</f>
        <v>#REF!</v>
      </c>
      <c r="B110" s="72"/>
      <c r="C110" s="68"/>
      <c r="D110" s="3" t="s">
        <v>258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  <c r="IX110" s="20"/>
      <c r="IY110" s="20"/>
      <c r="IZ110" s="20"/>
      <c r="JA110" s="20"/>
      <c r="JB110" s="20"/>
      <c r="JC110" s="20"/>
      <c r="JD110" s="20"/>
      <c r="JE110" s="20"/>
      <c r="JF110" t="s">
        <v>49</v>
      </c>
    </row>
    <row r="111" spans="1:266" hidden="1" x14ac:dyDescent="0.45">
      <c r="A111" s="71" t="e">
        <f>IF('Quote Exports'!#REF!="","",'Quote Exports'!#REF!)</f>
        <v>#REF!</v>
      </c>
      <c r="B111" s="72"/>
      <c r="C111" s="68"/>
      <c r="D111" s="3" t="s">
        <v>259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  <c r="IX111" s="20"/>
      <c r="IY111" s="20"/>
      <c r="IZ111" s="20"/>
      <c r="JA111" s="20"/>
      <c r="JB111" s="20"/>
      <c r="JC111" s="20"/>
      <c r="JD111" s="20"/>
      <c r="JE111" s="20"/>
      <c r="JF111" t="s">
        <v>49</v>
      </c>
    </row>
    <row r="112" spans="1:266" hidden="1" x14ac:dyDescent="0.45">
      <c r="A112" s="71" t="str">
        <f>IF('Quote Exports'!C101="","",'Quote Exports'!C101)</f>
        <v>Liner Recp</v>
      </c>
      <c r="B112" s="72"/>
      <c r="C112" s="68"/>
      <c r="D112" s="3" t="s">
        <v>279</v>
      </c>
      <c r="E112" s="20">
        <v>144.06399999999999</v>
      </c>
      <c r="F112" s="20">
        <v>144.06399999999999</v>
      </c>
      <c r="G112" s="20">
        <v>144.06399999999999</v>
      </c>
      <c r="H112" s="20">
        <v>144.06399999999999</v>
      </c>
      <c r="I112" s="20">
        <v>144.06399999999999</v>
      </c>
      <c r="J112" s="20">
        <v>144.06399999999999</v>
      </c>
      <c r="K112" s="20">
        <v>144.06399999999999</v>
      </c>
      <c r="L112" s="20">
        <v>144.06399999999999</v>
      </c>
      <c r="M112" s="20">
        <v>144.06399999999999</v>
      </c>
      <c r="N112" s="20">
        <v>144.06399999999999</v>
      </c>
      <c r="O112" s="20">
        <v>144.06399999999999</v>
      </c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  <c r="IX112" s="20"/>
      <c r="IY112" s="20"/>
      <c r="IZ112" s="20"/>
      <c r="JA112" s="20"/>
      <c r="JB112" s="20"/>
      <c r="JC112" s="20"/>
      <c r="JD112" s="20"/>
      <c r="JE112" s="20"/>
      <c r="JF112" t="s">
        <v>49</v>
      </c>
    </row>
    <row r="113" spans="1:266" hidden="1" x14ac:dyDescent="0.45">
      <c r="A113" s="71" t="str">
        <f>IF('Quote Exports'!C102="","",'Quote Exports'!C102)</f>
        <v>Liner Recp</v>
      </c>
      <c r="B113" s="72"/>
      <c r="C113" s="68"/>
      <c r="D113" s="4" t="s">
        <v>280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  <c r="IX113" s="20"/>
      <c r="IY113" s="20"/>
      <c r="IZ113" s="20"/>
      <c r="JA113" s="20"/>
      <c r="JB113" s="20"/>
      <c r="JC113" s="20"/>
      <c r="JD113" s="20"/>
      <c r="JE113" s="20"/>
      <c r="JF113" t="s">
        <v>49</v>
      </c>
    </row>
    <row r="114" spans="1:266" hidden="1" x14ac:dyDescent="0.45">
      <c r="A114" s="71" t="str">
        <f>IF('Quote Exports'!C103="","",'Quote Exports'!C103)</f>
        <v/>
      </c>
      <c r="B114" s="72"/>
      <c r="C114" s="68"/>
      <c r="D114" s="3" t="s">
        <v>237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  <c r="IX114" s="20"/>
      <c r="IY114" s="20"/>
      <c r="IZ114" s="20"/>
      <c r="JA114" s="20"/>
      <c r="JB114" s="20"/>
      <c r="JC114" s="20"/>
      <c r="JD114" s="20"/>
      <c r="JE114" s="20"/>
      <c r="JF114" t="s">
        <v>49</v>
      </c>
    </row>
    <row r="115" spans="1:266" hidden="1" x14ac:dyDescent="0.45">
      <c r="A115" s="71" t="str">
        <f>IF('Quote Exports'!C104="","",'Quote Exports'!C104)</f>
        <v/>
      </c>
      <c r="B115" s="72"/>
      <c r="C115" s="68"/>
      <c r="D115" s="3" t="s">
        <v>238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  <c r="IX115" s="20"/>
      <c r="IY115" s="20"/>
      <c r="IZ115" s="20"/>
      <c r="JA115" s="20"/>
      <c r="JB115" s="20"/>
      <c r="JC115" s="20"/>
      <c r="JD115" s="20"/>
      <c r="JE115" s="20"/>
      <c r="JF115" t="s">
        <v>49</v>
      </c>
    </row>
    <row r="116" spans="1:266" hidden="1" x14ac:dyDescent="0.45">
      <c r="A116" s="71" t="str">
        <f>IF('Quote Exports'!C105="","",'Quote Exports'!C105)</f>
        <v/>
      </c>
      <c r="B116" s="72"/>
      <c r="C116" s="68"/>
      <c r="D116" s="3" t="s">
        <v>234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  <c r="IX116" s="20"/>
      <c r="IY116" s="20"/>
      <c r="IZ116" s="20"/>
      <c r="JA116" s="20"/>
      <c r="JB116" s="20"/>
      <c r="JC116" s="20"/>
      <c r="JD116" s="20"/>
      <c r="JE116" s="20"/>
      <c r="JF116" t="s">
        <v>49</v>
      </c>
    </row>
    <row r="117" spans="1:266" hidden="1" x14ac:dyDescent="0.45">
      <c r="A117" s="71" t="str">
        <f>IF('Quote Exports'!C106="","",'Quote Exports'!C106)</f>
        <v>Liner Recp</v>
      </c>
      <c r="B117" s="72"/>
      <c r="C117" s="68"/>
      <c r="D117" s="3" t="s">
        <v>235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  <c r="IX117" s="20"/>
      <c r="IY117" s="20"/>
      <c r="IZ117" s="20"/>
      <c r="JA117" s="20"/>
      <c r="JB117" s="20"/>
      <c r="JC117" s="20"/>
      <c r="JD117" s="20"/>
      <c r="JE117" s="20"/>
      <c r="JF117" t="s">
        <v>49</v>
      </c>
    </row>
    <row r="118" spans="1:266" hidden="1" x14ac:dyDescent="0.45">
      <c r="A118" s="71" t="str">
        <f>IF('Quote Exports'!C107="","",'Quote Exports'!C107)</f>
        <v>Liner Recp</v>
      </c>
      <c r="B118" s="72"/>
      <c r="C118" s="68"/>
      <c r="D118" s="3" t="s">
        <v>236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  <c r="IX118" s="20"/>
      <c r="IY118" s="20"/>
      <c r="IZ118" s="20"/>
      <c r="JA118" s="20"/>
      <c r="JB118" s="20"/>
      <c r="JC118" s="20"/>
      <c r="JD118" s="20"/>
      <c r="JE118" s="20"/>
      <c r="JF118" t="s">
        <v>49</v>
      </c>
    </row>
    <row r="119" spans="1:266" hidden="1" x14ac:dyDescent="0.45">
      <c r="A119" s="71" t="str">
        <f>IF('Quote Exports'!C108="","",'Quote Exports'!C108)</f>
        <v>Liner Recp</v>
      </c>
      <c r="B119" s="72"/>
      <c r="C119" s="68"/>
      <c r="D119" s="3" t="s">
        <v>239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  <c r="IX119" s="20"/>
      <c r="IY119" s="20"/>
      <c r="IZ119" s="20"/>
      <c r="JA119" s="20"/>
      <c r="JB119" s="20"/>
      <c r="JC119" s="20"/>
      <c r="JD119" s="20"/>
      <c r="JE119" s="20"/>
      <c r="JF119" t="s">
        <v>49</v>
      </c>
    </row>
    <row r="120" spans="1:266" hidden="1" x14ac:dyDescent="0.45">
      <c r="A120" s="71" t="str">
        <f>IF('Quote Exports'!C109="","",'Quote Exports'!C109)</f>
        <v>Liner Recp</v>
      </c>
      <c r="B120" s="72"/>
      <c r="C120" s="68"/>
      <c r="D120" s="3" t="s">
        <v>282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  <c r="IX120" s="20"/>
      <c r="IY120" s="20"/>
      <c r="IZ120" s="20"/>
      <c r="JA120" s="20"/>
      <c r="JB120" s="20"/>
      <c r="JC120" s="20"/>
      <c r="JD120" s="20"/>
      <c r="JE120" s="20"/>
      <c r="JF120" t="s">
        <v>49</v>
      </c>
    </row>
    <row r="121" spans="1:266" hidden="1" x14ac:dyDescent="0.45">
      <c r="A121" s="71" t="str">
        <f>IF('Quote Exports'!C110="","",'Quote Exports'!C110)</f>
        <v>Liner Recp</v>
      </c>
      <c r="B121" s="72"/>
      <c r="C121" s="68"/>
      <c r="D121" s="3" t="s">
        <v>283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  <c r="IX121" s="20"/>
      <c r="IY121" s="20"/>
      <c r="IZ121" s="20"/>
      <c r="JA121" s="20"/>
      <c r="JB121" s="20"/>
      <c r="JC121" s="20"/>
      <c r="JD121" s="20"/>
      <c r="JE121" s="20"/>
      <c r="JF121" t="s">
        <v>49</v>
      </c>
    </row>
    <row r="122" spans="1:266" hidden="1" x14ac:dyDescent="0.45">
      <c r="A122" s="71" t="str">
        <f>IF('Quote Exports'!C111="","",'Quote Exports'!C111)</f>
        <v>Liner Recp</v>
      </c>
      <c r="B122" s="72"/>
      <c r="C122" s="68"/>
      <c r="D122" s="3" t="s">
        <v>284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  <c r="IX122" s="20"/>
      <c r="IY122" s="20"/>
      <c r="IZ122" s="20"/>
      <c r="JA122" s="20"/>
      <c r="JB122" s="20"/>
      <c r="JC122" s="20"/>
      <c r="JD122" s="20"/>
      <c r="JE122" s="20"/>
      <c r="JF122" t="s">
        <v>49</v>
      </c>
    </row>
    <row r="123" spans="1:266" hidden="1" x14ac:dyDescent="0.45">
      <c r="A123" s="71" t="e">
        <f>IF('Quote Exports'!#REF!="","",'Quote Exports'!#REF!)</f>
        <v>#REF!</v>
      </c>
      <c r="B123" s="72"/>
      <c r="C123" s="68"/>
      <c r="D123" s="3" t="s">
        <v>422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  <c r="IX123" s="20"/>
      <c r="IY123" s="20"/>
      <c r="IZ123" s="20"/>
      <c r="JA123" s="20"/>
      <c r="JB123" s="20"/>
      <c r="JC123" s="20"/>
      <c r="JD123" s="20"/>
      <c r="JE123" s="20"/>
      <c r="JF123" t="s">
        <v>49</v>
      </c>
    </row>
    <row r="124" spans="1:266" hidden="1" x14ac:dyDescent="0.45">
      <c r="A124" s="71" t="e">
        <f>IF('Quote Exports'!#REF!="","",'Quote Exports'!#REF!)</f>
        <v>#REF!</v>
      </c>
      <c r="B124" s="72"/>
      <c r="C124" s="68"/>
      <c r="D124" s="3" t="s">
        <v>287</v>
      </c>
      <c r="E124" s="20">
        <v>446.88075409836063</v>
      </c>
      <c r="F124" s="20">
        <v>383.04075409836059</v>
      </c>
      <c r="G124" s="20">
        <v>383.04075409836059</v>
      </c>
      <c r="H124" s="20">
        <v>383.04475409836067</v>
      </c>
      <c r="I124" s="20">
        <v>99.117377049180334</v>
      </c>
      <c r="J124" s="20">
        <v>32.642786885245897</v>
      </c>
      <c r="K124" s="20">
        <v>189.59796721311474</v>
      </c>
      <c r="L124" s="20">
        <v>77.759180327868847</v>
      </c>
      <c r="M124" s="20">
        <v>99.123377049180334</v>
      </c>
      <c r="N124" s="20">
        <v>149.03977049180327</v>
      </c>
      <c r="O124" s="20">
        <v>77.759180327868847</v>
      </c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  <c r="JB124" s="20"/>
      <c r="JC124" s="20"/>
      <c r="JD124" s="20"/>
      <c r="JE124" s="20"/>
      <c r="JF124" t="s">
        <v>49</v>
      </c>
    </row>
    <row r="125" spans="1:266" hidden="1" x14ac:dyDescent="0.45">
      <c r="A125" s="71" t="e">
        <f>IF('Quote Exports'!#REF!="","",'Quote Exports'!#REF!)</f>
        <v>#REF!</v>
      </c>
      <c r="B125" s="72"/>
      <c r="C125" s="68"/>
      <c r="D125" s="3" t="s">
        <v>288</v>
      </c>
      <c r="E125" s="20">
        <v>129.50399999999999</v>
      </c>
      <c r="F125" s="20">
        <v>129.50399999999999</v>
      </c>
      <c r="G125" s="20">
        <v>129.50399999999999</v>
      </c>
      <c r="H125" s="20">
        <v>0</v>
      </c>
      <c r="I125" s="20">
        <v>0</v>
      </c>
      <c r="J125" s="20">
        <v>0</v>
      </c>
      <c r="K125" s="20">
        <v>64.463999999999999</v>
      </c>
      <c r="L125" s="20">
        <v>0</v>
      </c>
      <c r="M125" s="20">
        <v>33.984000000000002</v>
      </c>
      <c r="N125" s="20">
        <v>50.784000000000006</v>
      </c>
      <c r="O125" s="20">
        <v>0</v>
      </c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  <c r="IX125" s="20"/>
      <c r="IY125" s="20"/>
      <c r="IZ125" s="20"/>
      <c r="JA125" s="20"/>
      <c r="JB125" s="20"/>
      <c r="JC125" s="20"/>
      <c r="JD125" s="20"/>
      <c r="JE125" s="20"/>
      <c r="JF125" t="s">
        <v>49</v>
      </c>
    </row>
    <row r="126" spans="1:266" hidden="1" x14ac:dyDescent="0.45">
      <c r="A126" s="71" t="e">
        <f>IF('Quote Exports'!#REF!="","",'Quote Exports'!#REF!)</f>
        <v>#REF!</v>
      </c>
      <c r="B126" s="72"/>
      <c r="C126" s="68"/>
      <c r="D126" s="3" t="s">
        <v>289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  <c r="JB126" s="20"/>
      <c r="JC126" s="20"/>
      <c r="JD126" s="20"/>
      <c r="JE126" s="20"/>
      <c r="JF126" t="s">
        <v>49</v>
      </c>
    </row>
    <row r="127" spans="1:266" hidden="1" x14ac:dyDescent="0.45">
      <c r="A127" s="71" t="e">
        <f>IF('Quote Exports'!#REF!="","",'Quote Exports'!#REF!)</f>
        <v>#REF!</v>
      </c>
      <c r="B127" s="72"/>
      <c r="C127" s="68"/>
      <c r="D127" s="3" t="s">
        <v>290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  <c r="IX127" s="20"/>
      <c r="IY127" s="20"/>
      <c r="IZ127" s="20"/>
      <c r="JA127" s="20"/>
      <c r="JB127" s="20"/>
      <c r="JC127" s="20"/>
      <c r="JD127" s="20"/>
      <c r="JE127" s="20"/>
      <c r="JF127" t="s">
        <v>49</v>
      </c>
    </row>
    <row r="128" spans="1:266" hidden="1" x14ac:dyDescent="0.45">
      <c r="A128" s="71" t="e">
        <f>IF('Quote Exports'!#REF!="","",'Quote Exports'!#REF!)</f>
        <v>#REF!</v>
      </c>
      <c r="B128" s="72"/>
      <c r="C128" s="68"/>
      <c r="D128" s="3" t="s">
        <v>291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  <c r="JB128" s="20"/>
      <c r="JC128" s="20"/>
      <c r="JD128" s="20"/>
      <c r="JE128" s="20"/>
      <c r="JF128" t="s">
        <v>49</v>
      </c>
    </row>
    <row r="129" spans="1:266" hidden="1" x14ac:dyDescent="0.45">
      <c r="A129" s="71" t="e">
        <f>IF('Quote Exports'!#REF!="","",'Quote Exports'!#REF!)</f>
        <v>#REF!</v>
      </c>
      <c r="B129" s="72"/>
      <c r="C129" s="68"/>
      <c r="D129" s="3" t="s">
        <v>292</v>
      </c>
      <c r="E129" s="20">
        <v>96.885245901639337</v>
      </c>
      <c r="F129" s="20">
        <v>96.885245901639337</v>
      </c>
      <c r="G129" s="20">
        <v>26.885245901639344</v>
      </c>
      <c r="H129" s="20">
        <v>26.885245901639344</v>
      </c>
      <c r="I129" s="20">
        <v>15.442622950819672</v>
      </c>
      <c r="J129" s="20">
        <v>13.967213114754099</v>
      </c>
      <c r="K129" s="20">
        <v>20.518032786885247</v>
      </c>
      <c r="L129" s="20">
        <v>10.950819672131146</v>
      </c>
      <c r="M129" s="20">
        <v>15.442622950819672</v>
      </c>
      <c r="N129" s="20">
        <v>19.42622950819672</v>
      </c>
      <c r="O129" s="20">
        <v>2.9508196721311473</v>
      </c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  <c r="IX129" s="20"/>
      <c r="IY129" s="20"/>
      <c r="IZ129" s="20"/>
      <c r="JA129" s="20"/>
      <c r="JB129" s="20"/>
      <c r="JC129" s="20"/>
      <c r="JD129" s="20"/>
      <c r="JE129" s="20"/>
      <c r="JF129" t="s">
        <v>49</v>
      </c>
    </row>
    <row r="130" spans="1:266" hidden="1" x14ac:dyDescent="0.45">
      <c r="A130" s="71" t="e">
        <f>IF('Quote Exports'!#REF!="","",'Quote Exports'!#REF!)</f>
        <v>#REF!</v>
      </c>
      <c r="B130" s="72"/>
      <c r="C130" s="68"/>
      <c r="D130" s="3" t="s">
        <v>293</v>
      </c>
      <c r="E130" s="93">
        <v>673.27</v>
      </c>
      <c r="F130" s="93">
        <v>609.42999999999995</v>
      </c>
      <c r="G130" s="93">
        <v>539.42999999999995</v>
      </c>
      <c r="H130" s="93">
        <v>409.93</v>
      </c>
      <c r="I130" s="93">
        <v>114.56</v>
      </c>
      <c r="J130" s="93">
        <v>46.61</v>
      </c>
      <c r="K130" s="93">
        <v>274.58</v>
      </c>
      <c r="L130" s="93">
        <v>88.71</v>
      </c>
      <c r="M130" s="93">
        <v>148.55000000000001</v>
      </c>
      <c r="N130" s="93">
        <v>219.24999999999997</v>
      </c>
      <c r="O130" s="93">
        <v>80.709999999999994</v>
      </c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  <c r="AQ130" s="93"/>
      <c r="AR130" s="93"/>
      <c r="AS130" s="93"/>
      <c r="AT130" s="93"/>
      <c r="AU130" s="93"/>
      <c r="AV130" s="93"/>
      <c r="AW130" s="93"/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3"/>
      <c r="BT130" s="93"/>
      <c r="BU130" s="93"/>
      <c r="BV130" s="93"/>
      <c r="BW130" s="93"/>
      <c r="BX130" s="93"/>
      <c r="BY130" s="93"/>
      <c r="BZ130" s="93"/>
      <c r="CA130" s="93"/>
      <c r="CB130" s="93"/>
      <c r="CC130" s="93"/>
      <c r="CD130" s="93"/>
      <c r="CE130" s="93"/>
      <c r="CF130" s="93"/>
      <c r="CG130" s="93"/>
      <c r="CH130" s="93"/>
      <c r="CI130" s="93"/>
      <c r="CJ130" s="93"/>
      <c r="CK130" s="93"/>
      <c r="CL130" s="93"/>
      <c r="CM130" s="93"/>
      <c r="CN130" s="93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93"/>
      <c r="EH130" s="93"/>
      <c r="EI130" s="93"/>
      <c r="EJ130" s="93"/>
      <c r="EK130" s="93"/>
      <c r="EL130" s="93"/>
      <c r="EM130" s="93"/>
      <c r="EN130" s="93"/>
      <c r="EO130" s="93"/>
      <c r="EP130" s="93"/>
      <c r="EQ130" s="93"/>
      <c r="ER130" s="93"/>
      <c r="ES130" s="93"/>
      <c r="ET130" s="93"/>
      <c r="EU130" s="93"/>
      <c r="EV130" s="93"/>
      <c r="EW130" s="93"/>
      <c r="EX130" s="93"/>
      <c r="EY130" s="93"/>
      <c r="EZ130" s="93"/>
      <c r="FA130" s="93"/>
      <c r="FB130" s="93"/>
      <c r="FC130" s="93"/>
      <c r="FD130" s="93"/>
      <c r="FE130" s="93"/>
      <c r="FF130" s="93"/>
      <c r="FG130" s="93"/>
      <c r="FH130" s="93"/>
      <c r="FI130" s="93"/>
      <c r="FJ130" s="93"/>
      <c r="FK130" s="93"/>
      <c r="FL130" s="93"/>
      <c r="FM130" s="93"/>
      <c r="FN130" s="93"/>
      <c r="FO130" s="93"/>
      <c r="FP130" s="93"/>
      <c r="FQ130" s="93"/>
      <c r="FR130" s="93"/>
      <c r="FS130" s="93"/>
      <c r="FT130" s="93"/>
      <c r="FU130" s="93"/>
      <c r="FV130" s="93"/>
      <c r="FW130" s="93"/>
      <c r="FX130" s="93"/>
      <c r="FY130" s="93"/>
      <c r="FZ130" s="93"/>
      <c r="GA130" s="93"/>
      <c r="GB130" s="93"/>
      <c r="GC130" s="93"/>
      <c r="GD130" s="93"/>
      <c r="GE130" s="93"/>
      <c r="GF130" s="93"/>
      <c r="GG130" s="93"/>
      <c r="GH130" s="93"/>
      <c r="GI130" s="93"/>
      <c r="GJ130" s="93"/>
      <c r="GK130" s="93"/>
      <c r="GL130" s="93"/>
      <c r="GM130" s="93"/>
      <c r="GN130" s="93"/>
      <c r="GO130" s="93"/>
      <c r="GP130" s="93"/>
      <c r="GQ130" s="93"/>
      <c r="GR130" s="93"/>
      <c r="GS130" s="93"/>
      <c r="GT130" s="93"/>
      <c r="GU130" s="93"/>
      <c r="GV130" s="93"/>
      <c r="GW130" s="93"/>
      <c r="GX130" s="93"/>
      <c r="GY130" s="93"/>
      <c r="GZ130" s="93"/>
      <c r="HA130" s="93"/>
      <c r="HB130" s="93"/>
      <c r="HC130" s="93"/>
      <c r="HD130" s="93"/>
      <c r="HE130" s="93"/>
      <c r="HF130" s="93"/>
      <c r="HG130" s="93"/>
      <c r="HH130" s="93"/>
      <c r="HI130" s="93"/>
      <c r="HJ130" s="93"/>
      <c r="HK130" s="93"/>
      <c r="HL130" s="93"/>
      <c r="HM130" s="93"/>
      <c r="HN130" s="93"/>
      <c r="HO130" s="93"/>
      <c r="HP130" s="93"/>
      <c r="HQ130" s="93"/>
      <c r="HR130" s="93"/>
      <c r="HS130" s="93"/>
      <c r="HT130" s="93"/>
      <c r="HU130" s="93"/>
      <c r="HV130" s="93"/>
      <c r="HW130" s="93"/>
      <c r="HX130" s="93"/>
      <c r="HY130" s="93"/>
      <c r="HZ130" s="93"/>
      <c r="IA130" s="93"/>
      <c r="IB130" s="93"/>
      <c r="IC130" s="93"/>
      <c r="ID130" s="93"/>
      <c r="IE130" s="93"/>
      <c r="IF130" s="93"/>
      <c r="IG130" s="93"/>
      <c r="IH130" s="93"/>
      <c r="II130" s="93"/>
      <c r="IJ130" s="93"/>
      <c r="IK130" s="93"/>
      <c r="IL130" s="93"/>
      <c r="IM130" s="93"/>
      <c r="IN130" s="93"/>
      <c r="IO130" s="93"/>
      <c r="IP130" s="93"/>
      <c r="IQ130" s="93"/>
      <c r="IR130" s="93"/>
      <c r="IS130" s="93"/>
      <c r="IT130" s="93"/>
      <c r="IU130" s="93"/>
      <c r="IV130" s="93"/>
      <c r="IW130" s="93"/>
      <c r="IX130" s="93"/>
      <c r="IY130" s="93"/>
      <c r="IZ130" s="93"/>
      <c r="JA130" s="93"/>
      <c r="JB130" s="93"/>
      <c r="JC130" s="93"/>
      <c r="JD130" s="93"/>
      <c r="JE130" s="93"/>
      <c r="JF130" t="s">
        <v>49</v>
      </c>
    </row>
    <row r="131" spans="1:266" hidden="1" x14ac:dyDescent="0.45">
      <c r="A131" s="71" t="str">
        <f>IF('Quote Exports'!C112="","",'Quote Exports'!C112)</f>
        <v/>
      </c>
      <c r="B131" s="72"/>
      <c r="C131" s="68"/>
      <c r="D131" s="4" t="s">
        <v>294</v>
      </c>
      <c r="E131" s="22">
        <v>156.90070872893563</v>
      </c>
      <c r="F131" s="22">
        <v>159.4031291185706</v>
      </c>
      <c r="G131" s="22">
        <v>143.75368255145335</v>
      </c>
      <c r="H131" s="22">
        <v>142.65227801861414</v>
      </c>
      <c r="I131" s="22">
        <v>152.82596815367708</v>
      </c>
      <c r="J131" s="22">
        <v>177.058670944742</v>
      </c>
      <c r="K131" s="22">
        <v>147.33604222156043</v>
      </c>
      <c r="L131" s="22">
        <v>151.15702652126748</v>
      </c>
      <c r="M131" s="22">
        <v>151.54719373036181</v>
      </c>
      <c r="N131" s="22">
        <v>153.61371326207902</v>
      </c>
      <c r="O131" s="22">
        <v>138.38607140009464</v>
      </c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  <c r="IZ131" s="22"/>
      <c r="JA131" s="22"/>
      <c r="JB131" s="22"/>
      <c r="JC131" s="22"/>
      <c r="JD131" s="22"/>
      <c r="JE131" s="22"/>
      <c r="JF131" t="s">
        <v>49</v>
      </c>
    </row>
    <row r="132" spans="1:266" hidden="1" x14ac:dyDescent="0.45">
      <c r="A132" s="71" t="str">
        <f>IF('Quote Exports'!C113="","",'Quote Exports'!C113)</f>
        <v/>
      </c>
      <c r="B132" s="72"/>
      <c r="C132" s="68"/>
      <c r="D132" s="3" t="s">
        <v>296</v>
      </c>
      <c r="E132" s="20">
        <v>28</v>
      </c>
      <c r="F132" s="20">
        <v>28</v>
      </c>
      <c r="G132" s="20">
        <v>28</v>
      </c>
      <c r="H132" s="20">
        <v>28</v>
      </c>
      <c r="I132" s="20">
        <v>25</v>
      </c>
      <c r="J132" s="20">
        <v>25</v>
      </c>
      <c r="K132" s="20">
        <v>25</v>
      </c>
      <c r="L132" s="20">
        <v>25</v>
      </c>
      <c r="M132" s="20">
        <v>25</v>
      </c>
      <c r="N132" s="20">
        <v>25</v>
      </c>
      <c r="O132" s="20">
        <v>25</v>
      </c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  <c r="IX132" s="20"/>
      <c r="IY132" s="20"/>
      <c r="IZ132" s="20"/>
      <c r="JA132" s="20"/>
      <c r="JB132" s="20"/>
      <c r="JC132" s="20"/>
      <c r="JD132" s="20"/>
      <c r="JE132" s="20"/>
      <c r="JF132" t="s">
        <v>49</v>
      </c>
    </row>
    <row r="133" spans="1:266" hidden="1" x14ac:dyDescent="0.45">
      <c r="A133" s="71" t="str">
        <f>IF('Quote Exports'!C116="","",'Quote Exports'!C116)</f>
        <v>BOPP/Paper Print Cost</v>
      </c>
      <c r="B133" s="72"/>
      <c r="C133" s="68"/>
      <c r="D133" s="3" t="s">
        <v>297</v>
      </c>
      <c r="E133" s="20">
        <v>14</v>
      </c>
      <c r="F133" s="20">
        <v>20</v>
      </c>
      <c r="G133" s="20">
        <v>20</v>
      </c>
      <c r="H133" s="20">
        <v>20</v>
      </c>
      <c r="I133" s="20">
        <v>20</v>
      </c>
      <c r="J133" s="20">
        <v>20</v>
      </c>
      <c r="K133" s="20">
        <v>20</v>
      </c>
      <c r="L133" s="20">
        <v>20</v>
      </c>
      <c r="M133" s="20">
        <v>20</v>
      </c>
      <c r="N133" s="20">
        <v>20</v>
      </c>
      <c r="O133" s="20">
        <v>20</v>
      </c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  <c r="IX133" s="20"/>
      <c r="IY133" s="20"/>
      <c r="IZ133" s="20"/>
      <c r="JA133" s="20"/>
      <c r="JB133" s="20"/>
      <c r="JC133" s="20"/>
      <c r="JD133" s="20"/>
      <c r="JE133" s="20"/>
      <c r="JF133" t="s">
        <v>49</v>
      </c>
    </row>
    <row r="134" spans="1:266" hidden="1" x14ac:dyDescent="0.45">
      <c r="A134" s="71" t="str">
        <f>IF('Quote Exports'!C117="","",'Quote Exports'!C117)</f>
        <v>BOPP/Paper Print Cost</v>
      </c>
      <c r="B134" s="72"/>
      <c r="C134" s="68"/>
      <c r="D134" s="3" t="s">
        <v>298</v>
      </c>
      <c r="E134" s="20">
        <v>14</v>
      </c>
      <c r="F134" s="20">
        <v>14</v>
      </c>
      <c r="G134" s="20">
        <v>14</v>
      </c>
      <c r="H134" s="20">
        <v>14</v>
      </c>
      <c r="I134" s="20">
        <v>14</v>
      </c>
      <c r="J134" s="20">
        <v>14</v>
      </c>
      <c r="K134" s="20">
        <v>14</v>
      </c>
      <c r="L134" s="20">
        <v>14</v>
      </c>
      <c r="M134" s="20">
        <v>14</v>
      </c>
      <c r="N134" s="20">
        <v>14</v>
      </c>
      <c r="O134" s="20">
        <v>14</v>
      </c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  <c r="IX134" s="20"/>
      <c r="IY134" s="20"/>
      <c r="IZ134" s="20"/>
      <c r="JA134" s="20"/>
      <c r="JB134" s="20"/>
      <c r="JC134" s="20"/>
      <c r="JD134" s="20"/>
      <c r="JE134" s="20"/>
      <c r="JF134" t="s">
        <v>49</v>
      </c>
    </row>
    <row r="135" spans="1:266" hidden="1" x14ac:dyDescent="0.45">
      <c r="A135" s="71" t="str">
        <f>IF('Quote Exports'!C118="","",'Quote Exports'!C118)</f>
        <v>BOPP/Paper Print Cost</v>
      </c>
      <c r="B135" s="72"/>
      <c r="C135" s="68"/>
      <c r="D135" s="3" t="s">
        <v>299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  <c r="IX135" s="20"/>
      <c r="IY135" s="20"/>
      <c r="IZ135" s="20"/>
      <c r="JA135" s="20"/>
      <c r="JB135" s="20"/>
      <c r="JC135" s="20"/>
      <c r="JD135" s="20"/>
      <c r="JE135" s="20"/>
      <c r="JF135" t="s">
        <v>49</v>
      </c>
    </row>
    <row r="136" spans="1:266" hidden="1" x14ac:dyDescent="0.45">
      <c r="A136" s="71" t="str">
        <f>IF('Quote Exports'!C119="","",'Quote Exports'!C119)</f>
        <v>BOPP/Paper Print Cost</v>
      </c>
      <c r="B136" s="72"/>
      <c r="C136" s="68"/>
      <c r="D136" s="3" t="s">
        <v>301</v>
      </c>
      <c r="E136" s="20">
        <v>0.05</v>
      </c>
      <c r="F136" s="20">
        <v>0.05</v>
      </c>
      <c r="G136" s="20">
        <v>0.05</v>
      </c>
      <c r="H136" s="20">
        <v>0.05</v>
      </c>
      <c r="I136" s="20">
        <v>0.05</v>
      </c>
      <c r="J136" s="20">
        <v>0.05</v>
      </c>
      <c r="K136" s="20">
        <v>0.05</v>
      </c>
      <c r="L136" s="20">
        <v>0.05</v>
      </c>
      <c r="M136" s="20">
        <v>0.05</v>
      </c>
      <c r="N136" s="20">
        <v>0.05</v>
      </c>
      <c r="O136" s="20">
        <v>0.05</v>
      </c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  <c r="IX136" s="20"/>
      <c r="IY136" s="20"/>
      <c r="IZ136" s="20"/>
      <c r="JA136" s="20"/>
      <c r="JB136" s="20"/>
      <c r="JC136" s="20"/>
      <c r="JD136" s="20"/>
      <c r="JE136" s="20"/>
      <c r="JF136" t="s">
        <v>49</v>
      </c>
    </row>
    <row r="137" spans="1:266" hidden="1" x14ac:dyDescent="0.45">
      <c r="A137" s="71" t="str">
        <f>IF('Quote Exports'!C120="","",'Quote Exports'!C120)</f>
        <v>BOPP/Paper Print Cost</v>
      </c>
      <c r="B137" s="72"/>
      <c r="C137" s="68"/>
      <c r="D137" s="3" t="s">
        <v>302</v>
      </c>
      <c r="E137" s="20">
        <v>1.375E-2</v>
      </c>
      <c r="F137" s="20">
        <v>1.375E-2</v>
      </c>
      <c r="G137" s="20">
        <v>1.375E-2</v>
      </c>
      <c r="H137" s="20">
        <v>0</v>
      </c>
      <c r="I137" s="20">
        <v>0</v>
      </c>
      <c r="J137" s="20">
        <v>0</v>
      </c>
      <c r="K137" s="20">
        <v>1.6250000000000001E-2</v>
      </c>
      <c r="L137" s="20">
        <v>0</v>
      </c>
      <c r="M137" s="20">
        <v>0.02</v>
      </c>
      <c r="N137" s="20">
        <v>1.7222222222222222E-2</v>
      </c>
      <c r="O137" s="20">
        <v>0</v>
      </c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  <c r="IX137" s="20"/>
      <c r="IY137" s="20"/>
      <c r="IZ137" s="20"/>
      <c r="JA137" s="20"/>
      <c r="JB137" s="20"/>
      <c r="JC137" s="20"/>
      <c r="JD137" s="20"/>
      <c r="JE137" s="20"/>
      <c r="JF137" t="s">
        <v>49</v>
      </c>
    </row>
    <row r="138" spans="1:266" hidden="1" x14ac:dyDescent="0.45">
      <c r="A138" s="71" t="str">
        <f>IF('Quote Exports'!C121="","",'Quote Exports'!C121)</f>
        <v>BOPP/Paper Print Cost</v>
      </c>
      <c r="B138" s="72"/>
      <c r="C138" s="68"/>
      <c r="D138" s="3" t="s">
        <v>303</v>
      </c>
      <c r="E138" s="94">
        <v>0.02</v>
      </c>
      <c r="F138" s="94">
        <v>0.02</v>
      </c>
      <c r="G138" s="94">
        <v>0.02</v>
      </c>
      <c r="H138" s="94">
        <v>0.02</v>
      </c>
      <c r="I138" s="94">
        <v>0.02</v>
      </c>
      <c r="J138" s="94">
        <v>0.02</v>
      </c>
      <c r="K138" s="94">
        <v>0.02</v>
      </c>
      <c r="L138" s="94">
        <v>0.02</v>
      </c>
      <c r="M138" s="94">
        <v>0.02</v>
      </c>
      <c r="N138" s="94">
        <v>0.02</v>
      </c>
      <c r="O138" s="94">
        <v>0.02</v>
      </c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  <c r="AS138" s="94"/>
      <c r="AT138" s="94"/>
      <c r="AU138" s="94"/>
      <c r="AV138" s="94"/>
      <c r="AW138" s="94"/>
      <c r="AX138" s="94"/>
      <c r="AY138" s="94"/>
      <c r="AZ138" s="94"/>
      <c r="BA138" s="94"/>
      <c r="BB138" s="94"/>
      <c r="BC138" s="94"/>
      <c r="BD138" s="94"/>
      <c r="BE138" s="94"/>
      <c r="BF138" s="94"/>
      <c r="BG138" s="94"/>
      <c r="BH138" s="94"/>
      <c r="BI138" s="94"/>
      <c r="BJ138" s="94"/>
      <c r="BK138" s="94"/>
      <c r="BL138" s="94"/>
      <c r="BM138" s="94"/>
      <c r="BN138" s="94"/>
      <c r="BO138" s="94"/>
      <c r="BP138" s="94"/>
      <c r="BQ138" s="94"/>
      <c r="BR138" s="94"/>
      <c r="BS138" s="94"/>
      <c r="BT138" s="94"/>
      <c r="BU138" s="94"/>
      <c r="BV138" s="94"/>
      <c r="BW138" s="94"/>
      <c r="BX138" s="94"/>
      <c r="BY138" s="94"/>
      <c r="BZ138" s="94"/>
      <c r="CA138" s="94"/>
      <c r="CB138" s="94"/>
      <c r="CC138" s="94"/>
      <c r="CD138" s="94"/>
      <c r="CE138" s="94"/>
      <c r="CF138" s="94"/>
      <c r="CG138" s="94"/>
      <c r="CH138" s="94"/>
      <c r="CI138" s="94"/>
      <c r="CJ138" s="94"/>
      <c r="CK138" s="94"/>
      <c r="CL138" s="94"/>
      <c r="CM138" s="94"/>
      <c r="CN138" s="94"/>
      <c r="CO138" s="94"/>
      <c r="CP138" s="94"/>
      <c r="CQ138" s="94"/>
      <c r="CR138" s="94"/>
      <c r="CS138" s="94"/>
      <c r="CT138" s="94"/>
      <c r="CU138" s="94"/>
      <c r="CV138" s="94"/>
      <c r="CW138" s="94"/>
      <c r="CX138" s="94"/>
      <c r="CY138" s="94"/>
      <c r="CZ138" s="94"/>
      <c r="DA138" s="94"/>
      <c r="DB138" s="94"/>
      <c r="DC138" s="94"/>
      <c r="DD138" s="94"/>
      <c r="DE138" s="94"/>
      <c r="DF138" s="94"/>
      <c r="DG138" s="94"/>
      <c r="DH138" s="94"/>
      <c r="DI138" s="94"/>
      <c r="DJ138" s="94"/>
      <c r="DK138" s="94"/>
      <c r="DL138" s="94"/>
      <c r="DM138" s="94"/>
      <c r="DN138" s="94"/>
      <c r="DO138" s="94"/>
      <c r="DP138" s="94"/>
      <c r="DQ138" s="94"/>
      <c r="DR138" s="94"/>
      <c r="DS138" s="94"/>
      <c r="DT138" s="94"/>
      <c r="DU138" s="94"/>
      <c r="DV138" s="94"/>
      <c r="DW138" s="94"/>
      <c r="DX138" s="94"/>
      <c r="DY138" s="94"/>
      <c r="DZ138" s="94"/>
      <c r="EA138" s="94"/>
      <c r="EB138" s="94"/>
      <c r="EC138" s="94"/>
      <c r="ED138" s="94"/>
      <c r="EE138" s="94"/>
      <c r="EF138" s="94"/>
      <c r="EG138" s="94"/>
      <c r="EH138" s="94"/>
      <c r="EI138" s="94"/>
      <c r="EJ138" s="94"/>
      <c r="EK138" s="94"/>
      <c r="EL138" s="94"/>
      <c r="EM138" s="94"/>
      <c r="EN138" s="94"/>
      <c r="EO138" s="94"/>
      <c r="EP138" s="94"/>
      <c r="EQ138" s="94"/>
      <c r="ER138" s="94"/>
      <c r="ES138" s="94"/>
      <c r="ET138" s="94"/>
      <c r="EU138" s="94"/>
      <c r="EV138" s="94"/>
      <c r="EW138" s="94"/>
      <c r="EX138" s="94"/>
      <c r="EY138" s="94"/>
      <c r="EZ138" s="94"/>
      <c r="FA138" s="94"/>
      <c r="FB138" s="94"/>
      <c r="FC138" s="94"/>
      <c r="FD138" s="94"/>
      <c r="FE138" s="94"/>
      <c r="FF138" s="94"/>
      <c r="FG138" s="94"/>
      <c r="FH138" s="94"/>
      <c r="FI138" s="94"/>
      <c r="FJ138" s="94"/>
      <c r="FK138" s="94"/>
      <c r="FL138" s="94"/>
      <c r="FM138" s="94"/>
      <c r="FN138" s="94"/>
      <c r="FO138" s="94"/>
      <c r="FP138" s="94"/>
      <c r="FQ138" s="94"/>
      <c r="FR138" s="94"/>
      <c r="FS138" s="94"/>
      <c r="FT138" s="94"/>
      <c r="FU138" s="94"/>
      <c r="FV138" s="94"/>
      <c r="FW138" s="94"/>
      <c r="FX138" s="94"/>
      <c r="FY138" s="94"/>
      <c r="FZ138" s="94"/>
      <c r="GA138" s="94"/>
      <c r="GB138" s="94"/>
      <c r="GC138" s="94"/>
      <c r="GD138" s="94"/>
      <c r="GE138" s="94"/>
      <c r="GF138" s="94"/>
      <c r="GG138" s="94"/>
      <c r="GH138" s="94"/>
      <c r="GI138" s="94"/>
      <c r="GJ138" s="94"/>
      <c r="GK138" s="94"/>
      <c r="GL138" s="94"/>
      <c r="GM138" s="94"/>
      <c r="GN138" s="94"/>
      <c r="GO138" s="94"/>
      <c r="GP138" s="94"/>
      <c r="GQ138" s="94"/>
      <c r="GR138" s="94"/>
      <c r="GS138" s="94"/>
      <c r="GT138" s="94"/>
      <c r="GU138" s="94"/>
      <c r="GV138" s="94"/>
      <c r="GW138" s="94"/>
      <c r="GX138" s="94"/>
      <c r="GY138" s="94"/>
      <c r="GZ138" s="94"/>
      <c r="HA138" s="94"/>
      <c r="HB138" s="94"/>
      <c r="HC138" s="94"/>
      <c r="HD138" s="94"/>
      <c r="HE138" s="94"/>
      <c r="HF138" s="94"/>
      <c r="HG138" s="94"/>
      <c r="HH138" s="94"/>
      <c r="HI138" s="94"/>
      <c r="HJ138" s="94"/>
      <c r="HK138" s="94"/>
      <c r="HL138" s="94"/>
      <c r="HM138" s="94"/>
      <c r="HN138" s="94"/>
      <c r="HO138" s="94"/>
      <c r="HP138" s="94"/>
      <c r="HQ138" s="94"/>
      <c r="HR138" s="94"/>
      <c r="HS138" s="94"/>
      <c r="HT138" s="94"/>
      <c r="HU138" s="94"/>
      <c r="HV138" s="94"/>
      <c r="HW138" s="94"/>
      <c r="HX138" s="94"/>
      <c r="HY138" s="94"/>
      <c r="HZ138" s="94"/>
      <c r="IA138" s="94"/>
      <c r="IB138" s="94"/>
      <c r="IC138" s="94"/>
      <c r="ID138" s="94"/>
      <c r="IE138" s="94"/>
      <c r="IF138" s="94"/>
      <c r="IG138" s="94"/>
      <c r="IH138" s="94"/>
      <c r="II138" s="94"/>
      <c r="IJ138" s="94"/>
      <c r="IK138" s="94"/>
      <c r="IL138" s="94"/>
      <c r="IM138" s="94"/>
      <c r="IN138" s="94"/>
      <c r="IO138" s="94"/>
      <c r="IP138" s="94"/>
      <c r="IQ138" s="94"/>
      <c r="IR138" s="94"/>
      <c r="IS138" s="94"/>
      <c r="IT138" s="94"/>
      <c r="IU138" s="94"/>
      <c r="IV138" s="94"/>
      <c r="IW138" s="94"/>
      <c r="IX138" s="94"/>
      <c r="IY138" s="94"/>
      <c r="IZ138" s="94"/>
      <c r="JA138" s="94"/>
      <c r="JB138" s="94"/>
      <c r="JC138" s="94"/>
      <c r="JD138" s="94"/>
      <c r="JE138" s="94"/>
      <c r="JF138" t="s">
        <v>49</v>
      </c>
    </row>
    <row r="139" spans="1:266" hidden="1" x14ac:dyDescent="0.45">
      <c r="A139" s="71" t="str">
        <f>IF('Quote Exports'!C122="","",'Quote Exports'!C122)</f>
        <v>BOPP/Paper Print Cost</v>
      </c>
      <c r="B139" s="72"/>
      <c r="C139" s="68"/>
      <c r="D139" s="3" t="s">
        <v>304</v>
      </c>
      <c r="E139" s="93">
        <v>0.03</v>
      </c>
      <c r="F139" s="93">
        <v>0.02</v>
      </c>
      <c r="G139" s="93">
        <v>0.02</v>
      </c>
      <c r="H139" s="93">
        <v>0.02</v>
      </c>
      <c r="I139" s="93">
        <v>0.02</v>
      </c>
      <c r="J139" s="93">
        <v>0.02</v>
      </c>
      <c r="K139" s="93">
        <v>0.02</v>
      </c>
      <c r="L139" s="93">
        <v>0.02</v>
      </c>
      <c r="M139" s="93">
        <v>0.02</v>
      </c>
      <c r="N139" s="93">
        <v>0.02</v>
      </c>
      <c r="O139" s="93">
        <v>0.02</v>
      </c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  <c r="AM139" s="93"/>
      <c r="AN139" s="93"/>
      <c r="AO139" s="93"/>
      <c r="AP139" s="93"/>
      <c r="AQ139" s="93"/>
      <c r="AR139" s="93"/>
      <c r="AS139" s="93"/>
      <c r="AT139" s="93"/>
      <c r="AU139" s="93"/>
      <c r="AV139" s="93"/>
      <c r="AW139" s="93"/>
      <c r="AX139" s="93"/>
      <c r="AY139" s="93"/>
      <c r="AZ139" s="93"/>
      <c r="BA139" s="93"/>
      <c r="BB139" s="93"/>
      <c r="BC139" s="93"/>
      <c r="BD139" s="93"/>
      <c r="BE139" s="93"/>
      <c r="BF139" s="93"/>
      <c r="BG139" s="93"/>
      <c r="BH139" s="93"/>
      <c r="BI139" s="93"/>
      <c r="BJ139" s="93"/>
      <c r="BK139" s="93"/>
      <c r="BL139" s="93"/>
      <c r="BM139" s="93"/>
      <c r="BN139" s="93"/>
      <c r="BO139" s="93"/>
      <c r="BP139" s="93"/>
      <c r="BQ139" s="93"/>
      <c r="BR139" s="93"/>
      <c r="BS139" s="93"/>
      <c r="BT139" s="93"/>
      <c r="BU139" s="93"/>
      <c r="BV139" s="93"/>
      <c r="BW139" s="93"/>
      <c r="BX139" s="93"/>
      <c r="BY139" s="93"/>
      <c r="BZ139" s="93"/>
      <c r="CA139" s="93"/>
      <c r="CB139" s="93"/>
      <c r="CC139" s="93"/>
      <c r="CD139" s="93"/>
      <c r="CE139" s="93"/>
      <c r="CF139" s="93"/>
      <c r="CG139" s="93"/>
      <c r="CH139" s="93"/>
      <c r="CI139" s="93"/>
      <c r="CJ139" s="93"/>
      <c r="CK139" s="93"/>
      <c r="CL139" s="93"/>
      <c r="CM139" s="93"/>
      <c r="CN139" s="93"/>
      <c r="CO139" s="93"/>
      <c r="CP139" s="93"/>
      <c r="CQ139" s="93"/>
      <c r="CR139" s="93"/>
      <c r="CS139" s="93"/>
      <c r="CT139" s="93"/>
      <c r="CU139" s="93"/>
      <c r="CV139" s="93"/>
      <c r="CW139" s="93"/>
      <c r="CX139" s="93"/>
      <c r="CY139" s="93"/>
      <c r="CZ139" s="93"/>
      <c r="DA139" s="93"/>
      <c r="DB139" s="93"/>
      <c r="DC139" s="93"/>
      <c r="DD139" s="93"/>
      <c r="DE139" s="93"/>
      <c r="DF139" s="93"/>
      <c r="DG139" s="93"/>
      <c r="DH139" s="93"/>
      <c r="DI139" s="93"/>
      <c r="DJ139" s="93"/>
      <c r="DK139" s="93"/>
      <c r="DL139" s="93"/>
      <c r="DM139" s="93"/>
      <c r="DN139" s="93"/>
      <c r="DO139" s="93"/>
      <c r="DP139" s="93"/>
      <c r="DQ139" s="93"/>
      <c r="DR139" s="93"/>
      <c r="DS139" s="93"/>
      <c r="DT139" s="93"/>
      <c r="DU139" s="93"/>
      <c r="DV139" s="93"/>
      <c r="DW139" s="93"/>
      <c r="DX139" s="93"/>
      <c r="DY139" s="93"/>
      <c r="DZ139" s="93"/>
      <c r="EA139" s="93"/>
      <c r="EB139" s="93"/>
      <c r="EC139" s="93"/>
      <c r="ED139" s="93"/>
      <c r="EE139" s="93"/>
      <c r="EF139" s="93"/>
      <c r="EG139" s="93"/>
      <c r="EH139" s="93"/>
      <c r="EI139" s="93"/>
      <c r="EJ139" s="93"/>
      <c r="EK139" s="93"/>
      <c r="EL139" s="93"/>
      <c r="EM139" s="93"/>
      <c r="EN139" s="93"/>
      <c r="EO139" s="93"/>
      <c r="EP139" s="93"/>
      <c r="EQ139" s="93"/>
      <c r="ER139" s="93"/>
      <c r="ES139" s="93"/>
      <c r="ET139" s="93"/>
      <c r="EU139" s="93"/>
      <c r="EV139" s="93"/>
      <c r="EW139" s="93"/>
      <c r="EX139" s="93"/>
      <c r="EY139" s="93"/>
      <c r="EZ139" s="93"/>
      <c r="FA139" s="93"/>
      <c r="FB139" s="93"/>
      <c r="FC139" s="93"/>
      <c r="FD139" s="93"/>
      <c r="FE139" s="93"/>
      <c r="FF139" s="93"/>
      <c r="FG139" s="93"/>
      <c r="FH139" s="93"/>
      <c r="FI139" s="93"/>
      <c r="FJ139" s="93"/>
      <c r="FK139" s="93"/>
      <c r="FL139" s="93"/>
      <c r="FM139" s="93"/>
      <c r="FN139" s="93"/>
      <c r="FO139" s="93"/>
      <c r="FP139" s="93"/>
      <c r="FQ139" s="93"/>
      <c r="FR139" s="93"/>
      <c r="FS139" s="93"/>
      <c r="FT139" s="93"/>
      <c r="FU139" s="93"/>
      <c r="FV139" s="93"/>
      <c r="FW139" s="93"/>
      <c r="FX139" s="93"/>
      <c r="FY139" s="93"/>
      <c r="FZ139" s="93"/>
      <c r="GA139" s="93"/>
      <c r="GB139" s="93"/>
      <c r="GC139" s="93"/>
      <c r="GD139" s="93"/>
      <c r="GE139" s="93"/>
      <c r="GF139" s="93"/>
      <c r="GG139" s="93"/>
      <c r="GH139" s="93"/>
      <c r="GI139" s="93"/>
      <c r="GJ139" s="93"/>
      <c r="GK139" s="93"/>
      <c r="GL139" s="93"/>
      <c r="GM139" s="93"/>
      <c r="GN139" s="93"/>
      <c r="GO139" s="93"/>
      <c r="GP139" s="93"/>
      <c r="GQ139" s="93"/>
      <c r="GR139" s="93"/>
      <c r="GS139" s="93"/>
      <c r="GT139" s="93"/>
      <c r="GU139" s="93"/>
      <c r="GV139" s="93"/>
      <c r="GW139" s="93"/>
      <c r="GX139" s="93"/>
      <c r="GY139" s="93"/>
      <c r="GZ139" s="93"/>
      <c r="HA139" s="93"/>
      <c r="HB139" s="93"/>
      <c r="HC139" s="93"/>
      <c r="HD139" s="93"/>
      <c r="HE139" s="93"/>
      <c r="HF139" s="93"/>
      <c r="HG139" s="93"/>
      <c r="HH139" s="93"/>
      <c r="HI139" s="93"/>
      <c r="HJ139" s="93"/>
      <c r="HK139" s="93"/>
      <c r="HL139" s="93"/>
      <c r="HM139" s="93"/>
      <c r="HN139" s="93"/>
      <c r="HO139" s="93"/>
      <c r="HP139" s="93"/>
      <c r="HQ139" s="93"/>
      <c r="HR139" s="93"/>
      <c r="HS139" s="93"/>
      <c r="HT139" s="93"/>
      <c r="HU139" s="93"/>
      <c r="HV139" s="93"/>
      <c r="HW139" s="93"/>
      <c r="HX139" s="93"/>
      <c r="HY139" s="93"/>
      <c r="HZ139" s="93"/>
      <c r="IA139" s="93"/>
      <c r="IB139" s="93"/>
      <c r="IC139" s="93"/>
      <c r="ID139" s="93"/>
      <c r="IE139" s="93"/>
      <c r="IF139" s="93"/>
      <c r="IG139" s="93"/>
      <c r="IH139" s="93"/>
      <c r="II139" s="93"/>
      <c r="IJ139" s="93"/>
      <c r="IK139" s="93"/>
      <c r="IL139" s="93"/>
      <c r="IM139" s="93"/>
      <c r="IN139" s="93"/>
      <c r="IO139" s="93"/>
      <c r="IP139" s="93"/>
      <c r="IQ139" s="93"/>
      <c r="IR139" s="93"/>
      <c r="IS139" s="93"/>
      <c r="IT139" s="93"/>
      <c r="IU139" s="93"/>
      <c r="IV139" s="93"/>
      <c r="IW139" s="93"/>
      <c r="IX139" s="93"/>
      <c r="IY139" s="93"/>
      <c r="IZ139" s="93"/>
      <c r="JA139" s="93"/>
      <c r="JB139" s="93"/>
      <c r="JC139" s="93"/>
      <c r="JD139" s="93"/>
      <c r="JE139" s="93"/>
      <c r="JF139" t="s">
        <v>49</v>
      </c>
    </row>
    <row r="140" spans="1:266" hidden="1" x14ac:dyDescent="0.45">
      <c r="A140" s="71" t="str">
        <f>IF('Quote Exports'!C123="","",'Quote Exports'!C123)</f>
        <v>BOPP/Paper Print Cost</v>
      </c>
      <c r="B140" s="72"/>
      <c r="C140" s="68"/>
      <c r="D140" s="3" t="s">
        <v>305</v>
      </c>
      <c r="E140" s="20">
        <v>50</v>
      </c>
      <c r="F140" s="20">
        <v>50</v>
      </c>
      <c r="G140" s="20">
        <v>50</v>
      </c>
      <c r="H140" s="20">
        <v>50</v>
      </c>
      <c r="I140" s="20">
        <v>50</v>
      </c>
      <c r="J140" s="20">
        <v>50</v>
      </c>
      <c r="K140" s="20">
        <v>50</v>
      </c>
      <c r="L140" s="20">
        <v>50</v>
      </c>
      <c r="M140" s="20">
        <v>50</v>
      </c>
      <c r="N140" s="20">
        <v>50</v>
      </c>
      <c r="O140" s="20">
        <v>50</v>
      </c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  <c r="IX140" s="20"/>
      <c r="IY140" s="20"/>
      <c r="IZ140" s="20"/>
      <c r="JA140" s="20"/>
      <c r="JB140" s="20"/>
      <c r="JC140" s="20"/>
      <c r="JD140" s="20"/>
      <c r="JE140" s="20"/>
      <c r="JF140" t="s">
        <v>49</v>
      </c>
    </row>
    <row r="141" spans="1:266" hidden="1" x14ac:dyDescent="0.45">
      <c r="A141" s="71" t="str">
        <f>IF('Quote Exports'!C124="","",'Quote Exports'!C124)</f>
        <v>Weight Component</v>
      </c>
      <c r="B141" s="72"/>
      <c r="C141" s="68"/>
      <c r="D141" s="3" t="s">
        <v>306</v>
      </c>
      <c r="E141" s="20">
        <v>35</v>
      </c>
      <c r="F141" s="20">
        <v>35</v>
      </c>
      <c r="G141" s="20">
        <v>35</v>
      </c>
      <c r="H141" s="20">
        <v>35</v>
      </c>
      <c r="I141" s="20">
        <v>35</v>
      </c>
      <c r="J141" s="20">
        <v>35</v>
      </c>
      <c r="K141" s="20">
        <v>35</v>
      </c>
      <c r="L141" s="20">
        <v>35</v>
      </c>
      <c r="M141" s="20">
        <v>35</v>
      </c>
      <c r="N141" s="20">
        <v>35</v>
      </c>
      <c r="O141" s="20">
        <v>35</v>
      </c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  <c r="IX141" s="20"/>
      <c r="IY141" s="20"/>
      <c r="IZ141" s="20"/>
      <c r="JA141" s="20"/>
      <c r="JB141" s="20"/>
      <c r="JC141" s="20"/>
      <c r="JD141" s="20"/>
      <c r="JE141" s="20"/>
      <c r="JF141" t="s">
        <v>49</v>
      </c>
    </row>
    <row r="142" spans="1:266" hidden="1" x14ac:dyDescent="0.45">
      <c r="A142" s="71" t="str">
        <f>IF('Quote Exports'!C125="","",'Quote Exports'!C125)</f>
        <v>Weight Component</v>
      </c>
      <c r="B142" s="72"/>
      <c r="C142" s="68"/>
      <c r="D142" s="3" t="s">
        <v>307</v>
      </c>
      <c r="E142" s="20">
        <v>50</v>
      </c>
      <c r="F142" s="20">
        <v>50</v>
      </c>
      <c r="G142" s="20">
        <v>50</v>
      </c>
      <c r="H142" s="20">
        <v>50</v>
      </c>
      <c r="I142" s="20">
        <v>50</v>
      </c>
      <c r="J142" s="20">
        <v>50</v>
      </c>
      <c r="K142" s="20">
        <v>50</v>
      </c>
      <c r="L142" s="20">
        <v>50</v>
      </c>
      <c r="M142" s="20">
        <v>50</v>
      </c>
      <c r="N142" s="20">
        <v>40</v>
      </c>
      <c r="O142" s="20">
        <v>50</v>
      </c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  <c r="IX142" s="20"/>
      <c r="IY142" s="20"/>
      <c r="IZ142" s="20"/>
      <c r="JA142" s="20"/>
      <c r="JB142" s="20"/>
      <c r="JC142" s="20"/>
      <c r="JD142" s="20"/>
      <c r="JE142" s="20"/>
      <c r="JF142" t="s">
        <v>49</v>
      </c>
    </row>
    <row r="143" spans="1:266" hidden="1" x14ac:dyDescent="0.45">
      <c r="A143" s="71" t="str">
        <f>IF('Quote Exports'!C126="","",'Quote Exports'!C126)</f>
        <v>Weight Component</v>
      </c>
      <c r="B143" s="72"/>
      <c r="C143" s="68"/>
      <c r="D143" s="3" t="s">
        <v>308</v>
      </c>
      <c r="E143" s="20">
        <v>35</v>
      </c>
      <c r="F143" s="20">
        <v>35</v>
      </c>
      <c r="G143" s="20">
        <v>35</v>
      </c>
      <c r="H143" s="20">
        <v>35</v>
      </c>
      <c r="I143" s="20">
        <v>35</v>
      </c>
      <c r="J143" s="20">
        <v>35</v>
      </c>
      <c r="K143" s="20">
        <v>35</v>
      </c>
      <c r="L143" s="20">
        <v>35</v>
      </c>
      <c r="M143" s="20">
        <v>35</v>
      </c>
      <c r="N143" s="20">
        <v>35</v>
      </c>
      <c r="O143" s="20">
        <v>35</v>
      </c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  <c r="IX143" s="20"/>
      <c r="IY143" s="20"/>
      <c r="IZ143" s="20"/>
      <c r="JA143" s="20"/>
      <c r="JB143" s="20"/>
      <c r="JC143" s="20"/>
      <c r="JD143" s="20"/>
      <c r="JE143" s="20"/>
      <c r="JF143" t="s">
        <v>49</v>
      </c>
    </row>
    <row r="144" spans="1:266" hidden="1" x14ac:dyDescent="0.45">
      <c r="A144" s="71" t="str">
        <f>IF('Quote Exports'!C127="","",'Quote Exports'!C127)</f>
        <v>Weight Component</v>
      </c>
      <c r="B144" s="72"/>
      <c r="C144" s="68"/>
      <c r="D144" s="3" t="s">
        <v>309</v>
      </c>
      <c r="E144" s="20">
        <v>7.0510517935524133</v>
      </c>
      <c r="F144" s="20">
        <v>5.3568361664255679</v>
      </c>
      <c r="G144" s="20">
        <v>4.886555435925569</v>
      </c>
      <c r="H144" s="20">
        <v>3.5632327731358693</v>
      </c>
      <c r="I144" s="20">
        <v>0.88081524971960667</v>
      </c>
      <c r="J144" s="20">
        <v>0.33703925192091799</v>
      </c>
      <c r="K144" s="20">
        <v>2.3934764458544948</v>
      </c>
      <c r="L144" s="20">
        <v>0.68691192693337699</v>
      </c>
      <c r="M144" s="20">
        <v>1.3696273158028067</v>
      </c>
      <c r="N144" s="20">
        <v>1.9921404356765953</v>
      </c>
      <c r="O144" s="20">
        <v>0.64171192693337709</v>
      </c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  <c r="IX144" s="20"/>
      <c r="IY144" s="20"/>
      <c r="IZ144" s="20"/>
      <c r="JA144" s="20"/>
      <c r="JB144" s="20"/>
      <c r="JC144" s="20"/>
      <c r="JD144" s="20"/>
      <c r="JE144" s="20"/>
      <c r="JF144" t="s">
        <v>49</v>
      </c>
    </row>
    <row r="145" spans="1:266" hidden="1" x14ac:dyDescent="0.45">
      <c r="A145" s="71" t="str">
        <f>IF('Quote Exports'!C128="","",'Quote Exports'!C128)</f>
        <v>Weight Component</v>
      </c>
      <c r="B145" s="72"/>
      <c r="C145" s="68"/>
      <c r="D145" s="3" t="s">
        <v>310</v>
      </c>
      <c r="E145" s="20">
        <v>10.472844168836296</v>
      </c>
      <c r="F145" s="20">
        <v>8.7899121579600088</v>
      </c>
      <c r="G145" s="20">
        <v>9.0587387351937583</v>
      </c>
      <c r="H145" s="20">
        <v>8.692295692278849</v>
      </c>
      <c r="I145" s="20">
        <v>7.6886806016027123</v>
      </c>
      <c r="J145" s="20">
        <v>7.2310502450314953</v>
      </c>
      <c r="K145" s="20">
        <v>8.716863740456315</v>
      </c>
      <c r="L145" s="20">
        <v>7.7433426550938682</v>
      </c>
      <c r="M145" s="20">
        <v>9.2199751989418139</v>
      </c>
      <c r="N145" s="20">
        <v>9.0861593417404567</v>
      </c>
      <c r="O145" s="20">
        <v>7.950835422294352</v>
      </c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  <c r="IX145" s="20"/>
      <c r="IY145" s="20"/>
      <c r="IZ145" s="20"/>
      <c r="JA145" s="20"/>
      <c r="JB145" s="20"/>
      <c r="JC145" s="20"/>
      <c r="JD145" s="20"/>
      <c r="JE145" s="20"/>
      <c r="JF145" t="s">
        <v>49</v>
      </c>
    </row>
    <row r="146" spans="1:266" hidden="1" x14ac:dyDescent="0.45">
      <c r="A146" s="71" t="str">
        <f>IF('Quote Exports'!C130="","",'Quote Exports'!C130)</f>
        <v>Weight Component</v>
      </c>
      <c r="B146" s="72"/>
      <c r="C146" s="68"/>
      <c r="D146" s="3" t="s">
        <v>312</v>
      </c>
      <c r="E146" s="93">
        <v>13</v>
      </c>
      <c r="F146" s="93">
        <v>13</v>
      </c>
      <c r="G146" s="93">
        <v>13</v>
      </c>
      <c r="H146" s="93">
        <v>13</v>
      </c>
      <c r="I146" s="93">
        <v>1.3</v>
      </c>
      <c r="J146" s="93">
        <v>0.6</v>
      </c>
      <c r="K146" s="93">
        <v>1.5</v>
      </c>
      <c r="L146" s="93">
        <v>1.1000000000000001</v>
      </c>
      <c r="M146" s="93">
        <v>1.1000000000000001</v>
      </c>
      <c r="N146" s="93">
        <v>1.3</v>
      </c>
      <c r="O146" s="93">
        <v>0.8</v>
      </c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3"/>
      <c r="CE146" s="93"/>
      <c r="CF146" s="93"/>
      <c r="CG146" s="93"/>
      <c r="CH146" s="93"/>
      <c r="CI146" s="93"/>
      <c r="CJ146" s="93"/>
      <c r="CK146" s="93"/>
      <c r="CL146" s="93"/>
      <c r="CM146" s="93"/>
      <c r="CN146" s="93"/>
      <c r="CO146" s="93"/>
      <c r="CP146" s="93"/>
      <c r="CQ146" s="93"/>
      <c r="CR146" s="93"/>
      <c r="CS146" s="93"/>
      <c r="CT146" s="93"/>
      <c r="CU146" s="93"/>
      <c r="CV146" s="93"/>
      <c r="CW146" s="93"/>
      <c r="CX146" s="93"/>
      <c r="CY146" s="93"/>
      <c r="CZ146" s="93"/>
      <c r="DA146" s="93"/>
      <c r="DB146" s="93"/>
      <c r="DC146" s="93"/>
      <c r="DD146" s="93"/>
      <c r="DE146" s="93"/>
      <c r="DF146" s="93"/>
      <c r="DG146" s="93"/>
      <c r="DH146" s="93"/>
      <c r="DI146" s="93"/>
      <c r="DJ146" s="93"/>
      <c r="DK146" s="93"/>
      <c r="DL146" s="93"/>
      <c r="DM146" s="93"/>
      <c r="DN146" s="93"/>
      <c r="DO146" s="93"/>
      <c r="DP146" s="93"/>
      <c r="DQ146" s="93"/>
      <c r="DR146" s="93"/>
      <c r="DS146" s="93"/>
      <c r="DT146" s="93"/>
      <c r="DU146" s="93"/>
      <c r="DV146" s="93"/>
      <c r="DW146" s="93"/>
      <c r="DX146" s="93"/>
      <c r="DY146" s="93"/>
      <c r="DZ146" s="93"/>
      <c r="EA146" s="93"/>
      <c r="EB146" s="93"/>
      <c r="EC146" s="93"/>
      <c r="ED146" s="93"/>
      <c r="EE146" s="93"/>
      <c r="EF146" s="93"/>
      <c r="EG146" s="93"/>
      <c r="EH146" s="93"/>
      <c r="EI146" s="93"/>
      <c r="EJ146" s="93"/>
      <c r="EK146" s="93"/>
      <c r="EL146" s="93"/>
      <c r="EM146" s="93"/>
      <c r="EN146" s="93"/>
      <c r="EO146" s="93"/>
      <c r="EP146" s="93"/>
      <c r="EQ146" s="93"/>
      <c r="ER146" s="93"/>
      <c r="ES146" s="93"/>
      <c r="ET146" s="93"/>
      <c r="EU146" s="93"/>
      <c r="EV146" s="93"/>
      <c r="EW146" s="93"/>
      <c r="EX146" s="93"/>
      <c r="EY146" s="93"/>
      <c r="EZ146" s="93"/>
      <c r="FA146" s="93"/>
      <c r="FB146" s="93"/>
      <c r="FC146" s="93"/>
      <c r="FD146" s="93"/>
      <c r="FE146" s="93"/>
      <c r="FF146" s="93"/>
      <c r="FG146" s="93"/>
      <c r="FH146" s="93"/>
      <c r="FI146" s="93"/>
      <c r="FJ146" s="93"/>
      <c r="FK146" s="93"/>
      <c r="FL146" s="93"/>
      <c r="FM146" s="93"/>
      <c r="FN146" s="93"/>
      <c r="FO146" s="93"/>
      <c r="FP146" s="93"/>
      <c r="FQ146" s="93"/>
      <c r="FR146" s="93"/>
      <c r="FS146" s="93"/>
      <c r="FT146" s="93"/>
      <c r="FU146" s="93"/>
      <c r="FV146" s="93"/>
      <c r="FW146" s="93"/>
      <c r="FX146" s="93"/>
      <c r="FY146" s="93"/>
      <c r="FZ146" s="93"/>
      <c r="GA146" s="93"/>
      <c r="GB146" s="93"/>
      <c r="GC146" s="93"/>
      <c r="GD146" s="93"/>
      <c r="GE146" s="93"/>
      <c r="GF146" s="93"/>
      <c r="GG146" s="93"/>
      <c r="GH146" s="93"/>
      <c r="GI146" s="93"/>
      <c r="GJ146" s="93"/>
      <c r="GK146" s="93"/>
      <c r="GL146" s="93"/>
      <c r="GM146" s="93"/>
      <c r="GN146" s="93"/>
      <c r="GO146" s="93"/>
      <c r="GP146" s="93"/>
      <c r="GQ146" s="93"/>
      <c r="GR146" s="93"/>
      <c r="GS146" s="93"/>
      <c r="GT146" s="93"/>
      <c r="GU146" s="93"/>
      <c r="GV146" s="93"/>
      <c r="GW146" s="93"/>
      <c r="GX146" s="93"/>
      <c r="GY146" s="93"/>
      <c r="GZ146" s="93"/>
      <c r="HA146" s="93"/>
      <c r="HB146" s="93"/>
      <c r="HC146" s="93"/>
      <c r="HD146" s="93"/>
      <c r="HE146" s="93"/>
      <c r="HF146" s="93"/>
      <c r="HG146" s="93"/>
      <c r="HH146" s="93"/>
      <c r="HI146" s="93"/>
      <c r="HJ146" s="93"/>
      <c r="HK146" s="93"/>
      <c r="HL146" s="93"/>
      <c r="HM146" s="93"/>
      <c r="HN146" s="93"/>
      <c r="HO146" s="93"/>
      <c r="HP146" s="93"/>
      <c r="HQ146" s="93"/>
      <c r="HR146" s="93"/>
      <c r="HS146" s="93"/>
      <c r="HT146" s="93"/>
      <c r="HU146" s="93"/>
      <c r="HV146" s="93"/>
      <c r="HW146" s="93"/>
      <c r="HX146" s="93"/>
      <c r="HY146" s="93"/>
      <c r="HZ146" s="93"/>
      <c r="IA146" s="93"/>
      <c r="IB146" s="93"/>
      <c r="IC146" s="93"/>
      <c r="ID146" s="93"/>
      <c r="IE146" s="93"/>
      <c r="IF146" s="93"/>
      <c r="IG146" s="93"/>
      <c r="IH146" s="93"/>
      <c r="II146" s="93"/>
      <c r="IJ146" s="93"/>
      <c r="IK146" s="93"/>
      <c r="IL146" s="93"/>
      <c r="IM146" s="93"/>
      <c r="IN146" s="93"/>
      <c r="IO146" s="93"/>
      <c r="IP146" s="93"/>
      <c r="IQ146" s="93"/>
      <c r="IR146" s="93"/>
      <c r="IS146" s="93"/>
      <c r="IT146" s="93"/>
      <c r="IU146" s="93"/>
      <c r="IV146" s="93"/>
      <c r="IW146" s="93"/>
      <c r="IX146" s="93"/>
      <c r="IY146" s="93"/>
      <c r="IZ146" s="93"/>
      <c r="JA146" s="93"/>
      <c r="JB146" s="93"/>
      <c r="JC146" s="93"/>
      <c r="JD146" s="93"/>
      <c r="JE146" s="93"/>
      <c r="JF146" t="s">
        <v>49</v>
      </c>
    </row>
    <row r="147" spans="1:266" hidden="1" x14ac:dyDescent="0.45">
      <c r="A147" s="71" t="str">
        <f>IF('Quote Exports'!C131="","",'Quote Exports'!C131)</f>
        <v/>
      </c>
      <c r="B147" s="72"/>
      <c r="C147" s="68"/>
      <c r="D147" s="3" t="s">
        <v>313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  <c r="IX147" s="20"/>
      <c r="IY147" s="20"/>
      <c r="IZ147" s="20"/>
      <c r="JA147" s="20"/>
      <c r="JB147" s="20"/>
      <c r="JC147" s="20"/>
      <c r="JD147" s="20"/>
      <c r="JE147" s="20"/>
      <c r="JF147" t="s">
        <v>49</v>
      </c>
    </row>
    <row r="148" spans="1:266" hidden="1" x14ac:dyDescent="0.45">
      <c r="A148" s="71" t="str">
        <f>IF('Quote Exports'!C132="","",'Quote Exports'!C132)</f>
        <v>Conversion</v>
      </c>
      <c r="B148" s="72">
        <v>1</v>
      </c>
      <c r="C148" s="68"/>
      <c r="D148" s="3" t="s">
        <v>314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  <c r="IX148" s="20"/>
      <c r="IY148" s="20"/>
      <c r="IZ148" s="20"/>
      <c r="JA148" s="20"/>
      <c r="JB148" s="20"/>
      <c r="JC148" s="20"/>
      <c r="JD148" s="20"/>
      <c r="JE148" s="20"/>
      <c r="JF148" t="s">
        <v>49</v>
      </c>
    </row>
    <row r="149" spans="1:266" hidden="1" x14ac:dyDescent="0.45">
      <c r="A149" s="71"/>
      <c r="B149" s="72"/>
      <c r="C149" s="68"/>
      <c r="D149" s="3" t="s">
        <v>315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  <c r="IX149" s="20"/>
      <c r="IY149" s="20"/>
      <c r="IZ149" s="20"/>
      <c r="JA149" s="20"/>
      <c r="JB149" s="20"/>
      <c r="JC149" s="20"/>
      <c r="JD149" s="20"/>
      <c r="JE149" s="20"/>
    </row>
    <row r="150" spans="1:266" hidden="1" x14ac:dyDescent="0.45">
      <c r="A150" s="71" t="str">
        <f>IF('Quote Exports'!C133="","",'Quote Exports'!C133)</f>
        <v>Conversion</v>
      </c>
      <c r="B150" s="72"/>
      <c r="C150" s="68"/>
      <c r="D150" s="3" t="s">
        <v>316</v>
      </c>
      <c r="E150" s="20">
        <v>4</v>
      </c>
      <c r="F150" s="20">
        <v>4</v>
      </c>
      <c r="G150" s="20">
        <v>4</v>
      </c>
      <c r="H150" s="20">
        <v>4</v>
      </c>
      <c r="I150" s="20">
        <v>0</v>
      </c>
      <c r="J150" s="20">
        <v>0</v>
      </c>
      <c r="K150" s="20">
        <v>0.6</v>
      </c>
      <c r="L150" s="20">
        <v>0</v>
      </c>
      <c r="M150" s="20">
        <v>0.5</v>
      </c>
      <c r="N150" s="20">
        <v>0</v>
      </c>
      <c r="O150" s="20">
        <v>0</v>
      </c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  <c r="IX150" s="20"/>
      <c r="IY150" s="20"/>
      <c r="IZ150" s="20"/>
      <c r="JA150" s="20"/>
      <c r="JB150" s="20"/>
      <c r="JC150" s="20"/>
      <c r="JD150" s="20"/>
      <c r="JE150" s="20"/>
      <c r="JF150" t="s">
        <v>49</v>
      </c>
    </row>
    <row r="151" spans="1:266" hidden="1" x14ac:dyDescent="0.45">
      <c r="A151" s="71" t="str">
        <f>IF('Quote Exports'!C134="","",'Quote Exports'!C134)</f>
        <v>Conversion</v>
      </c>
      <c r="B151" s="72"/>
      <c r="C151" s="68"/>
      <c r="D151" s="3" t="s">
        <v>317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  <c r="IX151" s="20"/>
      <c r="IY151" s="20"/>
      <c r="IZ151" s="20"/>
      <c r="JA151" s="20"/>
      <c r="JB151" s="20"/>
      <c r="JC151" s="20"/>
      <c r="JD151" s="20"/>
      <c r="JE151" s="20"/>
      <c r="JF151" t="s">
        <v>49</v>
      </c>
    </row>
    <row r="152" spans="1:266" hidden="1" x14ac:dyDescent="0.45">
      <c r="A152" s="71" t="str">
        <f>IF('Quote Exports'!C135="","",'Quote Exports'!C135)</f>
        <v>Conversion</v>
      </c>
      <c r="B152" s="72"/>
      <c r="C152" s="68"/>
      <c r="D152" s="3" t="s">
        <v>318</v>
      </c>
      <c r="E152" s="20">
        <v>2</v>
      </c>
      <c r="F152" s="20">
        <v>2</v>
      </c>
      <c r="G152" s="20">
        <v>2</v>
      </c>
      <c r="H152" s="20">
        <v>2</v>
      </c>
      <c r="I152" s="20">
        <v>1</v>
      </c>
      <c r="J152" s="20">
        <v>1</v>
      </c>
      <c r="K152" s="20">
        <v>1</v>
      </c>
      <c r="L152" s="20">
        <v>1</v>
      </c>
      <c r="M152" s="20">
        <v>1</v>
      </c>
      <c r="N152" s="20">
        <v>1</v>
      </c>
      <c r="O152" s="20">
        <v>1</v>
      </c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  <c r="IX152" s="20"/>
      <c r="IY152" s="20"/>
      <c r="IZ152" s="20"/>
      <c r="JA152" s="20"/>
      <c r="JB152" s="20"/>
      <c r="JC152" s="20"/>
      <c r="JD152" s="20"/>
      <c r="JE152" s="20"/>
      <c r="JF152" t="s">
        <v>49</v>
      </c>
    </row>
    <row r="153" spans="1:266" hidden="1" x14ac:dyDescent="0.45">
      <c r="A153" s="71" t="str">
        <f>IF('Quote Exports'!C136="","",'Quote Exports'!C136)</f>
        <v>Wastage</v>
      </c>
      <c r="B153" s="72">
        <v>1</v>
      </c>
      <c r="C153" s="68"/>
      <c r="D153" s="3" t="s">
        <v>319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  <c r="IX153" s="20"/>
      <c r="IY153" s="20"/>
      <c r="IZ153" s="20"/>
      <c r="JA153" s="20"/>
      <c r="JB153" s="20"/>
      <c r="JC153" s="20"/>
      <c r="JD153" s="20"/>
      <c r="JE153" s="20"/>
      <c r="JF153" t="s">
        <v>49</v>
      </c>
    </row>
    <row r="154" spans="1:266" hidden="1" x14ac:dyDescent="0.45">
      <c r="A154" s="71" t="str">
        <f>IF('Quote Exports'!C137="","",'Quote Exports'!C137)</f>
        <v>Wastage</v>
      </c>
      <c r="B154" s="72"/>
      <c r="C154" s="68"/>
      <c r="D154" s="3" t="s">
        <v>321</v>
      </c>
      <c r="E154" s="20">
        <v>3.5</v>
      </c>
      <c r="F154" s="20">
        <v>3.5</v>
      </c>
      <c r="G154" s="20">
        <v>3.5</v>
      </c>
      <c r="H154" s="20">
        <v>3.5</v>
      </c>
      <c r="I154" s="20">
        <v>3.5</v>
      </c>
      <c r="J154" s="20">
        <v>3.5</v>
      </c>
      <c r="K154" s="20">
        <v>3.5</v>
      </c>
      <c r="L154" s="20">
        <v>3.5</v>
      </c>
      <c r="M154" s="20">
        <v>3.5</v>
      </c>
      <c r="N154" s="20">
        <v>3.5</v>
      </c>
      <c r="O154" s="20">
        <v>3.5</v>
      </c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  <c r="IX154" s="20"/>
      <c r="IY154" s="20"/>
      <c r="IZ154" s="20"/>
      <c r="JA154" s="20"/>
      <c r="JB154" s="20"/>
      <c r="JC154" s="20"/>
      <c r="JD154" s="20"/>
      <c r="JE154" s="20"/>
      <c r="JF154" t="s">
        <v>49</v>
      </c>
    </row>
    <row r="155" spans="1:266" hidden="1" x14ac:dyDescent="0.45">
      <c r="A155" s="71" t="str">
        <f>IF('Quote Exports'!C138="","",'Quote Exports'!C138)</f>
        <v>Wastage</v>
      </c>
      <c r="B155" s="72"/>
      <c r="C155" s="68"/>
      <c r="D155" s="3" t="s">
        <v>322</v>
      </c>
      <c r="E155" s="20">
        <v>147.716294074237</v>
      </c>
      <c r="F155" s="20">
        <v>136.16897125991014</v>
      </c>
      <c r="G155" s="20">
        <v>115.71369052941016</v>
      </c>
      <c r="H155" s="20">
        <v>92.020549216060459</v>
      </c>
      <c r="I155" s="20">
        <v>22.682012587634361</v>
      </c>
      <c r="J155" s="20">
        <v>10.215558576786492</v>
      </c>
      <c r="K155" s="20">
        <v>52.213846099378429</v>
      </c>
      <c r="L155" s="20">
        <v>17.539226257831736</v>
      </c>
      <c r="M155" s="20">
        <v>29.308202370677559</v>
      </c>
      <c r="N155" s="20">
        <v>42.700246330682489</v>
      </c>
      <c r="O155" s="20">
        <v>14.918026257831738</v>
      </c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  <c r="IX155" s="20"/>
      <c r="IY155" s="20"/>
      <c r="IZ155" s="20"/>
      <c r="JA155" s="20"/>
      <c r="JB155" s="20"/>
      <c r="JC155" s="20"/>
      <c r="JD155" s="20"/>
      <c r="JE155" s="20"/>
      <c r="JF155" t="s">
        <v>49</v>
      </c>
    </row>
    <row r="156" spans="1:266" hidden="1" x14ac:dyDescent="0.45">
      <c r="A156" s="71" t="e">
        <f>IF('Quote Exports'!#REF!="","",'Quote Exports'!#REF!)</f>
        <v>#REF!</v>
      </c>
      <c r="B156" s="72"/>
      <c r="C156" s="68"/>
      <c r="D156" s="3" t="s">
        <v>323</v>
      </c>
      <c r="E156" s="20">
        <v>219.40127151697982</v>
      </c>
      <c r="F156" s="20">
        <v>223.43660676354978</v>
      </c>
      <c r="G156" s="20">
        <v>214.51104041193514</v>
      </c>
      <c r="H156" s="20">
        <v>224.47868957153773</v>
      </c>
      <c r="I156" s="20">
        <v>197.99242831384743</v>
      </c>
      <c r="J156" s="20">
        <v>219.17096281455679</v>
      </c>
      <c r="K156" s="20">
        <v>190.15895585759498</v>
      </c>
      <c r="L156" s="20">
        <v>197.71419521848424</v>
      </c>
      <c r="M156" s="20">
        <v>197.29520276457461</v>
      </c>
      <c r="N156" s="20">
        <v>194.75596958122006</v>
      </c>
      <c r="O156" s="20">
        <v>184.83491832278204</v>
      </c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  <c r="IX156" s="20"/>
      <c r="IY156" s="20"/>
      <c r="IZ156" s="20"/>
      <c r="JA156" s="20"/>
      <c r="JB156" s="20"/>
      <c r="JC156" s="20"/>
      <c r="JD156" s="20"/>
      <c r="JE156" s="20"/>
      <c r="JF156" t="s">
        <v>49</v>
      </c>
    </row>
    <row r="157" spans="1:266" hidden="1" x14ac:dyDescent="0.45">
      <c r="A157" s="71" t="str">
        <f>IF('Quote Exports'!C139="","",'Quote Exports'!C139)</f>
        <v>Wastage</v>
      </c>
      <c r="B157" s="72"/>
      <c r="C157" s="68"/>
      <c r="D157" s="3" t="s">
        <v>325</v>
      </c>
      <c r="E157" s="20">
        <v>30</v>
      </c>
      <c r="F157" s="20">
        <v>30</v>
      </c>
      <c r="G157" s="20">
        <v>30</v>
      </c>
      <c r="H157" s="20">
        <v>30</v>
      </c>
      <c r="I157" s="20">
        <v>30</v>
      </c>
      <c r="J157" s="20">
        <v>30</v>
      </c>
      <c r="K157" s="20">
        <v>30</v>
      </c>
      <c r="L157" s="20">
        <v>30</v>
      </c>
      <c r="M157" s="20">
        <v>30</v>
      </c>
      <c r="N157" s="20">
        <v>30</v>
      </c>
      <c r="O157" s="20">
        <v>30</v>
      </c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  <c r="IX157" s="20"/>
      <c r="IY157" s="20"/>
      <c r="IZ157" s="20"/>
      <c r="JA157" s="20"/>
      <c r="JB157" s="20"/>
      <c r="JC157" s="20"/>
      <c r="JD157" s="20"/>
      <c r="JE157" s="20"/>
      <c r="JF157" t="s">
        <v>49</v>
      </c>
    </row>
    <row r="158" spans="1:266" hidden="1" x14ac:dyDescent="0.45">
      <c r="A158" s="71" t="str">
        <f>IF('Quote Exports'!C140="","",'Quote Exports'!C140)</f>
        <v>Wastage</v>
      </c>
      <c r="B158" s="72">
        <v>1</v>
      </c>
      <c r="C158" s="68"/>
      <c r="D158" s="3" t="s">
        <v>423</v>
      </c>
      <c r="E158" s="20">
        <v>4.5082453051434213</v>
      </c>
      <c r="F158" s="20">
        <v>4.5911631526756809</v>
      </c>
      <c r="G158" s="20">
        <v>4.4077611043548321</v>
      </c>
      <c r="H158" s="20">
        <v>4.6125758131137884</v>
      </c>
      <c r="I158" s="20">
        <v>4.0683375680927556</v>
      </c>
      <c r="J158" s="20">
        <v>4.5035129345456877</v>
      </c>
      <c r="K158" s="20">
        <v>3.907375805293047</v>
      </c>
      <c r="L158" s="20">
        <v>4.0626204496948812</v>
      </c>
      <c r="M158" s="20">
        <v>4.0540110157104374</v>
      </c>
      <c r="N158" s="20">
        <v>4.0018349913949329</v>
      </c>
      <c r="O158" s="20">
        <v>3.7979777737557954</v>
      </c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  <c r="IX158" s="20"/>
      <c r="IY158" s="20"/>
      <c r="IZ158" s="20"/>
      <c r="JA158" s="20"/>
      <c r="JB158" s="20"/>
      <c r="JC158" s="20"/>
      <c r="JD158" s="20"/>
      <c r="JE158" s="20"/>
      <c r="JF158" t="s">
        <v>49</v>
      </c>
    </row>
    <row r="159" spans="1:266" hidden="1" x14ac:dyDescent="0.45">
      <c r="A159" s="71" t="str">
        <f>IF('Quote Exports'!C141="","",'Quote Exports'!C141)</f>
        <v>Wastage</v>
      </c>
      <c r="B159" s="72"/>
      <c r="C159" s="68"/>
      <c r="D159" s="3" t="s">
        <v>327</v>
      </c>
      <c r="E159" s="20">
        <v>13.14</v>
      </c>
      <c r="F159" s="20">
        <v>13.14</v>
      </c>
      <c r="G159" s="20">
        <v>13.14</v>
      </c>
      <c r="H159" s="20">
        <v>13.14</v>
      </c>
      <c r="I159" s="20">
        <v>13.14</v>
      </c>
      <c r="J159" s="20">
        <v>13.14</v>
      </c>
      <c r="K159" s="20">
        <v>13.14</v>
      </c>
      <c r="L159" s="20">
        <v>13.14</v>
      </c>
      <c r="M159" s="20">
        <v>13.14</v>
      </c>
      <c r="N159" s="20">
        <v>13.14</v>
      </c>
      <c r="O159" s="20">
        <v>13.14</v>
      </c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  <c r="IX159" s="20"/>
      <c r="IY159" s="20"/>
      <c r="IZ159" s="20"/>
      <c r="JA159" s="20"/>
      <c r="JB159" s="20"/>
      <c r="JC159" s="20"/>
      <c r="JD159" s="20"/>
      <c r="JE159" s="20"/>
      <c r="JF159" t="s">
        <v>49</v>
      </c>
    </row>
    <row r="160" spans="1:266" hidden="1" x14ac:dyDescent="0.45">
      <c r="A160" s="71"/>
      <c r="B160" s="72"/>
      <c r="C160" s="68"/>
      <c r="D160" s="3" t="s">
        <v>328</v>
      </c>
      <c r="E160" s="20">
        <v>5</v>
      </c>
      <c r="F160" s="20">
        <v>5</v>
      </c>
      <c r="G160" s="20">
        <v>5</v>
      </c>
      <c r="H160" s="20">
        <v>5</v>
      </c>
      <c r="I160" s="20">
        <v>5</v>
      </c>
      <c r="J160" s="20">
        <v>5</v>
      </c>
      <c r="K160" s="20">
        <v>5</v>
      </c>
      <c r="L160" s="20">
        <v>5</v>
      </c>
      <c r="M160" s="20">
        <v>5</v>
      </c>
      <c r="N160" s="20">
        <v>5</v>
      </c>
      <c r="O160" s="20">
        <v>5</v>
      </c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  <c r="IX160" s="20"/>
      <c r="IY160" s="20"/>
      <c r="IZ160" s="20"/>
      <c r="JA160" s="20"/>
      <c r="JB160" s="20"/>
      <c r="JC160" s="20"/>
      <c r="JD160" s="20"/>
      <c r="JE160" s="20"/>
      <c r="JF160" t="s">
        <v>49</v>
      </c>
    </row>
    <row r="161" spans="1:266" hidden="1" x14ac:dyDescent="0.45">
      <c r="A161" s="71"/>
      <c r="B161" s="72"/>
      <c r="C161" s="68"/>
      <c r="D161" s="3" t="s">
        <v>329</v>
      </c>
      <c r="E161" s="20">
        <v>11.852475841106161</v>
      </c>
      <c r="F161" s="20">
        <v>12.058388495811274</v>
      </c>
      <c r="G161" s="20">
        <v>11.6029400758145</v>
      </c>
      <c r="H161" s="20">
        <v>12.111563269232576</v>
      </c>
      <c r="I161" s="20">
        <v>10.76003829409701</v>
      </c>
      <c r="J161" s="20">
        <v>11.840723787455124</v>
      </c>
      <c r="K161" s="20">
        <v>10.360316583144401</v>
      </c>
      <c r="L161" s="20">
        <v>10.745840783408958</v>
      </c>
      <c r="M161" s="20">
        <v>10.724460689014254</v>
      </c>
      <c r="N161" s="20">
        <v>10.594890228630748</v>
      </c>
      <c r="O161" s="20">
        <v>10.088644804826892</v>
      </c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  <c r="IX161" s="20"/>
      <c r="IY161" s="20"/>
      <c r="IZ161" s="20"/>
      <c r="JA161" s="20"/>
      <c r="JB161" s="20"/>
      <c r="JC161" s="20"/>
      <c r="JD161" s="20"/>
      <c r="JE161" s="20"/>
      <c r="JF161" t="s">
        <v>49</v>
      </c>
    </row>
    <row r="162" spans="1:266" x14ac:dyDescent="0.45">
      <c r="A162" s="71" t="str">
        <f>IF('Quote Exports'!C142="","",'Quote Exports'!C142)</f>
        <v>Wastage</v>
      </c>
      <c r="B162" s="72"/>
      <c r="C162" s="68" t="s">
        <v>424</v>
      </c>
      <c r="D162" s="3" t="s">
        <v>331</v>
      </c>
      <c r="E162" s="95">
        <v>248.90199266322941</v>
      </c>
      <c r="F162" s="95">
        <v>253.22615841203674</v>
      </c>
      <c r="G162" s="95">
        <v>243.66174159210448</v>
      </c>
      <c r="H162" s="95">
        <v>254.34282865388411</v>
      </c>
      <c r="I162" s="95">
        <v>225.96080417603719</v>
      </c>
      <c r="J162" s="95">
        <v>248.65519953655763</v>
      </c>
      <c r="K162" s="95">
        <v>217.56664824603243</v>
      </c>
      <c r="L162" s="95">
        <v>225.66265645158808</v>
      </c>
      <c r="M162" s="95">
        <v>225.21367446929935</v>
      </c>
      <c r="N162" s="95">
        <v>222.4926948012457</v>
      </c>
      <c r="O162" s="95">
        <v>211.86154090136475</v>
      </c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  <c r="AQ162" s="95"/>
      <c r="AR162" s="95"/>
      <c r="AS162" s="95"/>
      <c r="AT162" s="95"/>
      <c r="AU162" s="95"/>
      <c r="AV162" s="95"/>
      <c r="AW162" s="95"/>
      <c r="AX162" s="95"/>
      <c r="AY162" s="95"/>
      <c r="AZ162" s="95"/>
      <c r="BA162" s="95"/>
      <c r="BB162" s="95"/>
      <c r="BC162" s="95"/>
      <c r="BD162" s="95"/>
      <c r="BE162" s="95"/>
      <c r="BF162" s="95"/>
      <c r="BG162" s="95"/>
      <c r="BH162" s="95"/>
      <c r="BI162" s="95"/>
      <c r="BJ162" s="95"/>
      <c r="BK162" s="95"/>
      <c r="BL162" s="95"/>
      <c r="BM162" s="95"/>
      <c r="BN162" s="95"/>
      <c r="BO162" s="95"/>
      <c r="BP162" s="95"/>
      <c r="BQ162" s="95"/>
      <c r="BR162" s="95"/>
      <c r="BS162" s="95"/>
      <c r="BT162" s="95"/>
      <c r="BU162" s="95"/>
      <c r="BV162" s="95"/>
      <c r="BW162" s="95"/>
      <c r="BX162" s="95"/>
      <c r="BY162" s="95"/>
      <c r="BZ162" s="95"/>
      <c r="CA162" s="95"/>
      <c r="CB162" s="95"/>
      <c r="CC162" s="95"/>
      <c r="CD162" s="95"/>
      <c r="CE162" s="95"/>
      <c r="CF162" s="95"/>
      <c r="CG162" s="95"/>
      <c r="CH162" s="95"/>
      <c r="CI162" s="95"/>
      <c r="CJ162" s="95"/>
      <c r="CK162" s="95"/>
      <c r="CL162" s="95"/>
      <c r="CM162" s="95"/>
      <c r="CN162" s="95"/>
      <c r="CO162" s="95"/>
      <c r="CP162" s="95"/>
      <c r="CQ162" s="95"/>
      <c r="CR162" s="95"/>
      <c r="CS162" s="95"/>
      <c r="CT162" s="95"/>
      <c r="CU162" s="95"/>
      <c r="CV162" s="95"/>
      <c r="CW162" s="95"/>
      <c r="CX162" s="95"/>
      <c r="CY162" s="95"/>
      <c r="CZ162" s="95"/>
      <c r="DA162" s="95"/>
      <c r="DB162" s="95"/>
      <c r="DC162" s="95"/>
      <c r="DD162" s="95"/>
      <c r="DE162" s="95"/>
      <c r="DF162" s="95"/>
      <c r="DG162" s="95"/>
      <c r="DH162" s="95"/>
      <c r="DI162" s="95"/>
      <c r="DJ162" s="95"/>
      <c r="DK162" s="95"/>
      <c r="DL162" s="95"/>
      <c r="DM162" s="95"/>
      <c r="DN162" s="95"/>
      <c r="DO162" s="95"/>
      <c r="DP162" s="95"/>
      <c r="DQ162" s="95"/>
      <c r="DR162" s="95"/>
      <c r="DS162" s="95"/>
      <c r="DT162" s="95"/>
      <c r="DU162" s="95"/>
      <c r="DV162" s="95"/>
      <c r="DW162" s="95"/>
      <c r="DX162" s="95"/>
      <c r="DY162" s="95"/>
      <c r="DZ162" s="95"/>
      <c r="EA162" s="95"/>
      <c r="EB162" s="95"/>
      <c r="EC162" s="95"/>
      <c r="ED162" s="95"/>
      <c r="EE162" s="95"/>
      <c r="EF162" s="95"/>
      <c r="EG162" s="95"/>
      <c r="EH162" s="95"/>
      <c r="EI162" s="95"/>
      <c r="EJ162" s="95"/>
      <c r="EK162" s="95"/>
      <c r="EL162" s="95"/>
      <c r="EM162" s="95"/>
      <c r="EN162" s="95"/>
      <c r="EO162" s="95"/>
      <c r="EP162" s="95"/>
      <c r="EQ162" s="95"/>
      <c r="ER162" s="95"/>
      <c r="ES162" s="95"/>
      <c r="ET162" s="95"/>
      <c r="EU162" s="95"/>
      <c r="EV162" s="95"/>
      <c r="EW162" s="95"/>
      <c r="EX162" s="95"/>
      <c r="EY162" s="95"/>
      <c r="EZ162" s="95"/>
      <c r="FA162" s="95"/>
      <c r="FB162" s="95"/>
      <c r="FC162" s="95"/>
      <c r="FD162" s="95"/>
      <c r="FE162" s="95"/>
      <c r="FF162" s="95"/>
      <c r="FG162" s="95"/>
      <c r="FH162" s="95"/>
      <c r="FI162" s="95"/>
      <c r="FJ162" s="95"/>
      <c r="FK162" s="95"/>
      <c r="FL162" s="95"/>
      <c r="FM162" s="95"/>
      <c r="FN162" s="95"/>
      <c r="FO162" s="95"/>
      <c r="FP162" s="95"/>
      <c r="FQ162" s="95"/>
      <c r="FR162" s="95"/>
      <c r="FS162" s="95"/>
      <c r="FT162" s="95"/>
      <c r="FU162" s="95"/>
      <c r="FV162" s="95"/>
      <c r="FW162" s="95"/>
      <c r="FX162" s="95"/>
      <c r="FY162" s="95"/>
      <c r="FZ162" s="95"/>
      <c r="GA162" s="95"/>
      <c r="GB162" s="95"/>
      <c r="GC162" s="95"/>
      <c r="GD162" s="95"/>
      <c r="GE162" s="95"/>
      <c r="GF162" s="95"/>
      <c r="GG162" s="95"/>
      <c r="GH162" s="95"/>
      <c r="GI162" s="95"/>
      <c r="GJ162" s="95"/>
      <c r="GK162" s="95"/>
      <c r="GL162" s="95"/>
      <c r="GM162" s="95"/>
      <c r="GN162" s="95"/>
      <c r="GO162" s="95"/>
      <c r="GP162" s="95"/>
      <c r="GQ162" s="95"/>
      <c r="GR162" s="95"/>
      <c r="GS162" s="95"/>
      <c r="GT162" s="95"/>
      <c r="GU162" s="95"/>
      <c r="GV162" s="95"/>
      <c r="GW162" s="95"/>
      <c r="GX162" s="95"/>
      <c r="GY162" s="95"/>
      <c r="GZ162" s="95"/>
      <c r="HA162" s="95"/>
      <c r="HB162" s="95"/>
      <c r="HC162" s="95"/>
      <c r="HD162" s="95"/>
      <c r="HE162" s="95"/>
      <c r="HF162" s="95"/>
      <c r="HG162" s="95"/>
      <c r="HH162" s="95"/>
      <c r="HI162" s="95"/>
      <c r="HJ162" s="95"/>
      <c r="HK162" s="95"/>
      <c r="HL162" s="95"/>
      <c r="HM162" s="95"/>
      <c r="HN162" s="95"/>
      <c r="HO162" s="95"/>
      <c r="HP162" s="95"/>
      <c r="HQ162" s="95"/>
      <c r="HR162" s="95"/>
      <c r="HS162" s="95"/>
      <c r="HT162" s="95"/>
      <c r="HU162" s="95"/>
      <c r="HV162" s="95"/>
      <c r="HW162" s="95"/>
      <c r="HX162" s="95"/>
      <c r="HY162" s="95"/>
      <c r="HZ162" s="95"/>
      <c r="IA162" s="95"/>
      <c r="IB162" s="95"/>
      <c r="IC162" s="95"/>
      <c r="ID162" s="95"/>
      <c r="IE162" s="95"/>
      <c r="IF162" s="95"/>
      <c r="IG162" s="95"/>
      <c r="IH162" s="95"/>
      <c r="II162" s="95"/>
      <c r="IJ162" s="95"/>
      <c r="IK162" s="95"/>
      <c r="IL162" s="95"/>
      <c r="IM162" s="95"/>
      <c r="IN162" s="95"/>
      <c r="IO162" s="95"/>
      <c r="IP162" s="95"/>
      <c r="IQ162" s="95"/>
      <c r="IR162" s="95"/>
      <c r="IS162" s="95"/>
      <c r="IT162" s="95"/>
      <c r="IU162" s="95"/>
      <c r="IV162" s="95"/>
      <c r="IW162" s="95"/>
      <c r="IX162" s="95"/>
      <c r="IY162" s="95"/>
      <c r="IZ162" s="95"/>
      <c r="JA162" s="95"/>
      <c r="JB162" s="95"/>
      <c r="JC162" s="95"/>
      <c r="JD162" s="95"/>
      <c r="JE162" s="95"/>
      <c r="JF162" t="s">
        <v>49</v>
      </c>
    </row>
    <row r="163" spans="1:266" hidden="1" x14ac:dyDescent="0.45">
      <c r="A163" s="71" t="e">
        <f>IF('Quote Exports'!#REF!="","",'Quote Exports'!#REF!)</f>
        <v>#REF!</v>
      </c>
      <c r="B163" s="72"/>
      <c r="C163" s="68"/>
      <c r="D163" s="3" t="s">
        <v>333</v>
      </c>
      <c r="E163" s="95">
        <v>88</v>
      </c>
      <c r="F163" s="95">
        <v>88</v>
      </c>
      <c r="G163" s="95">
        <v>88</v>
      </c>
      <c r="H163" s="95">
        <v>88</v>
      </c>
      <c r="I163" s="95">
        <v>88</v>
      </c>
      <c r="J163" s="96">
        <v>88</v>
      </c>
      <c r="K163" s="96">
        <v>88</v>
      </c>
      <c r="L163" s="96">
        <v>88</v>
      </c>
      <c r="M163" s="96">
        <v>88</v>
      </c>
      <c r="N163" s="96">
        <v>88</v>
      </c>
      <c r="O163" s="96">
        <v>88</v>
      </c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  <c r="AZ163" s="96"/>
      <c r="BA163" s="96"/>
      <c r="BB163" s="96"/>
      <c r="BC163" s="96"/>
      <c r="BD163" s="96"/>
      <c r="BE163" s="96"/>
      <c r="BF163" s="96"/>
      <c r="BG163" s="96"/>
      <c r="BH163" s="96"/>
      <c r="BI163" s="96"/>
      <c r="BJ163" s="96"/>
      <c r="BK163" s="96"/>
      <c r="BL163" s="96"/>
      <c r="BM163" s="96"/>
      <c r="BN163" s="96"/>
      <c r="BO163" s="96"/>
      <c r="BP163" s="96"/>
      <c r="BQ163" s="96"/>
      <c r="BR163" s="96"/>
      <c r="BS163" s="96"/>
      <c r="BT163" s="96"/>
      <c r="BU163" s="96"/>
      <c r="BV163" s="96"/>
      <c r="BW163" s="96"/>
      <c r="BX163" s="96"/>
      <c r="BY163" s="96"/>
      <c r="BZ163" s="96"/>
      <c r="CA163" s="96"/>
      <c r="CB163" s="96"/>
      <c r="CC163" s="96"/>
      <c r="CD163" s="96"/>
      <c r="CE163" s="96"/>
      <c r="CF163" s="96"/>
      <c r="CG163" s="96"/>
      <c r="CH163" s="96"/>
      <c r="CI163" s="96"/>
      <c r="CJ163" s="96"/>
      <c r="CK163" s="96"/>
      <c r="CL163" s="96"/>
      <c r="CM163" s="96"/>
      <c r="CN163" s="96"/>
      <c r="CO163" s="96"/>
      <c r="CP163" s="96"/>
      <c r="CQ163" s="96"/>
      <c r="CR163" s="96"/>
      <c r="CS163" s="96"/>
      <c r="CT163" s="96"/>
      <c r="CU163" s="96"/>
      <c r="CV163" s="96"/>
      <c r="CW163" s="96"/>
      <c r="CX163" s="96"/>
      <c r="CY163" s="96"/>
      <c r="CZ163" s="96"/>
      <c r="DA163" s="96"/>
      <c r="DB163" s="96"/>
      <c r="DC163" s="96"/>
      <c r="DD163" s="96"/>
      <c r="DE163" s="96"/>
      <c r="DF163" s="96"/>
      <c r="DG163" s="96"/>
      <c r="DH163" s="96"/>
      <c r="DI163" s="96"/>
      <c r="DJ163" s="96"/>
      <c r="DK163" s="96"/>
      <c r="DL163" s="96"/>
      <c r="DM163" s="96"/>
      <c r="DN163" s="96"/>
      <c r="DO163" s="96"/>
      <c r="DP163" s="96"/>
      <c r="DQ163" s="96"/>
      <c r="DR163" s="96"/>
      <c r="DS163" s="96"/>
      <c r="DT163" s="96"/>
      <c r="DU163" s="96"/>
      <c r="DV163" s="96"/>
      <c r="DW163" s="96"/>
      <c r="DX163" s="96"/>
      <c r="DY163" s="96"/>
      <c r="DZ163" s="96"/>
      <c r="EA163" s="96"/>
      <c r="EB163" s="96"/>
      <c r="EC163" s="96"/>
      <c r="ED163" s="96"/>
      <c r="EE163" s="96"/>
      <c r="EF163" s="96"/>
      <c r="EG163" s="96"/>
      <c r="EH163" s="96"/>
      <c r="EI163" s="96"/>
      <c r="EJ163" s="96"/>
      <c r="EK163" s="96"/>
      <c r="EL163" s="96"/>
      <c r="EM163" s="96"/>
      <c r="EN163" s="96"/>
      <c r="EO163" s="96"/>
      <c r="EP163" s="96"/>
      <c r="EQ163" s="96"/>
      <c r="ER163" s="96"/>
      <c r="ES163" s="96"/>
      <c r="ET163" s="96"/>
      <c r="EU163" s="96"/>
      <c r="EV163" s="96"/>
      <c r="EW163" s="96"/>
      <c r="EX163" s="96"/>
      <c r="EY163" s="96"/>
      <c r="EZ163" s="96"/>
      <c r="FA163" s="96"/>
      <c r="FB163" s="96"/>
      <c r="FC163" s="96"/>
      <c r="FD163" s="96"/>
      <c r="FE163" s="96"/>
      <c r="FF163" s="96"/>
      <c r="FG163" s="96"/>
      <c r="FH163" s="96"/>
      <c r="FI163" s="96"/>
      <c r="FJ163" s="96"/>
      <c r="FK163" s="96"/>
      <c r="FL163" s="96"/>
      <c r="FM163" s="96"/>
      <c r="FN163" s="96"/>
      <c r="FO163" s="96"/>
      <c r="FP163" s="96"/>
      <c r="FQ163" s="96"/>
      <c r="FR163" s="96"/>
      <c r="FS163" s="96"/>
      <c r="FT163" s="96"/>
      <c r="FU163" s="96"/>
      <c r="FV163" s="96"/>
      <c r="FW163" s="96"/>
      <c r="FX163" s="96"/>
      <c r="FY163" s="96"/>
      <c r="FZ163" s="96"/>
      <c r="GA163" s="96"/>
      <c r="GB163" s="96"/>
      <c r="GC163" s="96"/>
      <c r="GD163" s="96"/>
      <c r="GE163" s="96"/>
      <c r="GF163" s="96"/>
      <c r="GG163" s="96"/>
      <c r="GH163" s="96"/>
      <c r="GI163" s="96"/>
      <c r="GJ163" s="96"/>
      <c r="GK163" s="96"/>
      <c r="GL163" s="96"/>
      <c r="GM163" s="96"/>
      <c r="GN163" s="96"/>
      <c r="GO163" s="96"/>
      <c r="GP163" s="96"/>
      <c r="GQ163" s="96"/>
      <c r="GR163" s="96"/>
      <c r="GS163" s="96"/>
      <c r="GT163" s="96"/>
      <c r="GU163" s="96"/>
      <c r="GV163" s="96"/>
      <c r="GW163" s="96"/>
      <c r="GX163" s="96"/>
      <c r="GY163" s="96"/>
      <c r="GZ163" s="96"/>
      <c r="HA163" s="96"/>
      <c r="HB163" s="96"/>
      <c r="HC163" s="96"/>
      <c r="HD163" s="96"/>
      <c r="HE163" s="96"/>
      <c r="HF163" s="96"/>
      <c r="HG163" s="96"/>
      <c r="HH163" s="96"/>
      <c r="HI163" s="96"/>
      <c r="HJ163" s="96"/>
      <c r="HK163" s="96"/>
      <c r="HL163" s="96"/>
      <c r="HM163" s="96"/>
      <c r="HN163" s="96"/>
      <c r="HO163" s="96"/>
      <c r="HP163" s="96"/>
      <c r="HQ163" s="96"/>
      <c r="HR163" s="96"/>
      <c r="HS163" s="96"/>
      <c r="HT163" s="96"/>
      <c r="HU163" s="96"/>
      <c r="HV163" s="96"/>
      <c r="HW163" s="96"/>
      <c r="HX163" s="96"/>
      <c r="HY163" s="96"/>
      <c r="HZ163" s="96"/>
      <c r="IA163" s="96"/>
      <c r="IB163" s="96"/>
      <c r="IC163" s="96"/>
      <c r="ID163" s="96"/>
      <c r="IE163" s="96"/>
      <c r="IF163" s="96"/>
      <c r="IG163" s="96"/>
      <c r="IH163" s="96"/>
      <c r="II163" s="96"/>
      <c r="IJ163" s="96"/>
      <c r="IK163" s="96"/>
      <c r="IL163" s="96"/>
      <c r="IM163" s="96"/>
      <c r="IN163" s="96"/>
      <c r="IO163" s="96"/>
      <c r="IP163" s="96"/>
      <c r="IQ163" s="96"/>
      <c r="IR163" s="96"/>
      <c r="IS163" s="96"/>
      <c r="IT163" s="96"/>
      <c r="IU163" s="96"/>
      <c r="IV163" s="96"/>
      <c r="IW163" s="96"/>
      <c r="IX163" s="96"/>
      <c r="IY163" s="96"/>
      <c r="IZ163" s="96"/>
      <c r="JA163" s="96"/>
      <c r="JB163" s="96"/>
      <c r="JC163" s="96"/>
      <c r="JD163" s="96"/>
      <c r="JE163" s="96"/>
      <c r="JF163" t="s">
        <v>49</v>
      </c>
    </row>
    <row r="164" spans="1:266" hidden="1" x14ac:dyDescent="0.45">
      <c r="A164" s="71" t="str">
        <f>IF('Quote Exports'!C143="","",'Quote Exports'!C143)</f>
        <v>Wastage</v>
      </c>
      <c r="B164" s="72"/>
      <c r="C164" s="68"/>
      <c r="D164" s="3" t="s">
        <v>334</v>
      </c>
      <c r="E164" s="95">
        <v>1.05</v>
      </c>
      <c r="F164" s="95">
        <v>1.1000000000000001</v>
      </c>
      <c r="G164" s="95">
        <v>1.1000000000000001</v>
      </c>
      <c r="H164" s="95">
        <v>1.1000000000000001</v>
      </c>
      <c r="I164" s="95">
        <v>1.1000000000000001</v>
      </c>
      <c r="J164" s="96">
        <v>1.1000000000000001</v>
      </c>
      <c r="K164" s="96">
        <v>1.1000000000000001</v>
      </c>
      <c r="L164" s="96">
        <v>1.1000000000000001</v>
      </c>
      <c r="M164" s="96">
        <v>1.1000000000000001</v>
      </c>
      <c r="N164" s="96">
        <v>1.1000000000000001</v>
      </c>
      <c r="O164" s="96">
        <v>1.1000000000000001</v>
      </c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  <c r="AZ164" s="96"/>
      <c r="BA164" s="96"/>
      <c r="BB164" s="96"/>
      <c r="BC164" s="96"/>
      <c r="BD164" s="96"/>
      <c r="BE164" s="96"/>
      <c r="BF164" s="96"/>
      <c r="BG164" s="96"/>
      <c r="BH164" s="96"/>
      <c r="BI164" s="96"/>
      <c r="BJ164" s="96"/>
      <c r="BK164" s="96"/>
      <c r="BL164" s="96"/>
      <c r="BM164" s="96"/>
      <c r="BN164" s="96"/>
      <c r="BO164" s="96"/>
      <c r="BP164" s="96"/>
      <c r="BQ164" s="96"/>
      <c r="BR164" s="96"/>
      <c r="BS164" s="96"/>
      <c r="BT164" s="96"/>
      <c r="BU164" s="96"/>
      <c r="BV164" s="96"/>
      <c r="BW164" s="96"/>
      <c r="BX164" s="96"/>
      <c r="BY164" s="96"/>
      <c r="BZ164" s="96"/>
      <c r="CA164" s="96"/>
      <c r="CB164" s="96"/>
      <c r="CC164" s="96"/>
      <c r="CD164" s="96"/>
      <c r="CE164" s="96"/>
      <c r="CF164" s="96"/>
      <c r="CG164" s="96"/>
      <c r="CH164" s="96"/>
      <c r="CI164" s="96"/>
      <c r="CJ164" s="96"/>
      <c r="CK164" s="96"/>
      <c r="CL164" s="96"/>
      <c r="CM164" s="96"/>
      <c r="CN164" s="96"/>
      <c r="CO164" s="96"/>
      <c r="CP164" s="96"/>
      <c r="CQ164" s="96"/>
      <c r="CR164" s="96"/>
      <c r="CS164" s="96"/>
      <c r="CT164" s="96"/>
      <c r="CU164" s="96"/>
      <c r="CV164" s="96"/>
      <c r="CW164" s="96"/>
      <c r="CX164" s="96"/>
      <c r="CY164" s="96"/>
      <c r="CZ164" s="96"/>
      <c r="DA164" s="96"/>
      <c r="DB164" s="96"/>
      <c r="DC164" s="96"/>
      <c r="DD164" s="96"/>
      <c r="DE164" s="96"/>
      <c r="DF164" s="96"/>
      <c r="DG164" s="96"/>
      <c r="DH164" s="96"/>
      <c r="DI164" s="96"/>
      <c r="DJ164" s="96"/>
      <c r="DK164" s="96"/>
      <c r="DL164" s="96"/>
      <c r="DM164" s="96"/>
      <c r="DN164" s="96"/>
      <c r="DO164" s="96"/>
      <c r="DP164" s="96"/>
      <c r="DQ164" s="96"/>
      <c r="DR164" s="96"/>
      <c r="DS164" s="96"/>
      <c r="DT164" s="96"/>
      <c r="DU164" s="96"/>
      <c r="DV164" s="96"/>
      <c r="DW164" s="96"/>
      <c r="DX164" s="96"/>
      <c r="DY164" s="96"/>
      <c r="DZ164" s="96"/>
      <c r="EA164" s="96"/>
      <c r="EB164" s="96"/>
      <c r="EC164" s="96"/>
      <c r="ED164" s="96"/>
      <c r="EE164" s="96"/>
      <c r="EF164" s="96"/>
      <c r="EG164" s="96"/>
      <c r="EH164" s="96"/>
      <c r="EI164" s="96"/>
      <c r="EJ164" s="96"/>
      <c r="EK164" s="96"/>
      <c r="EL164" s="96"/>
      <c r="EM164" s="96"/>
      <c r="EN164" s="96"/>
      <c r="EO164" s="96"/>
      <c r="EP164" s="96"/>
      <c r="EQ164" s="96"/>
      <c r="ER164" s="96"/>
      <c r="ES164" s="96"/>
      <c r="ET164" s="96"/>
      <c r="EU164" s="96"/>
      <c r="EV164" s="96"/>
      <c r="EW164" s="96"/>
      <c r="EX164" s="96"/>
      <c r="EY164" s="96"/>
      <c r="EZ164" s="96"/>
      <c r="FA164" s="96"/>
      <c r="FB164" s="96"/>
      <c r="FC164" s="96"/>
      <c r="FD164" s="96"/>
      <c r="FE164" s="96"/>
      <c r="FF164" s="96"/>
      <c r="FG164" s="96"/>
      <c r="FH164" s="96"/>
      <c r="FI164" s="96"/>
      <c r="FJ164" s="96"/>
      <c r="FK164" s="96"/>
      <c r="FL164" s="96"/>
      <c r="FM164" s="96"/>
      <c r="FN164" s="96"/>
      <c r="FO164" s="96"/>
      <c r="FP164" s="96"/>
      <c r="FQ164" s="96"/>
      <c r="FR164" s="96"/>
      <c r="FS164" s="96"/>
      <c r="FT164" s="96"/>
      <c r="FU164" s="96"/>
      <c r="FV164" s="96"/>
      <c r="FW164" s="96"/>
      <c r="FX164" s="96"/>
      <c r="FY164" s="96"/>
      <c r="FZ164" s="96"/>
      <c r="GA164" s="96"/>
      <c r="GB164" s="96"/>
      <c r="GC164" s="96"/>
      <c r="GD164" s="96"/>
      <c r="GE164" s="96"/>
      <c r="GF164" s="96"/>
      <c r="GG164" s="96"/>
      <c r="GH164" s="96"/>
      <c r="GI164" s="96"/>
      <c r="GJ164" s="96"/>
      <c r="GK164" s="96"/>
      <c r="GL164" s="96"/>
      <c r="GM164" s="96"/>
      <c r="GN164" s="96"/>
      <c r="GO164" s="96"/>
      <c r="GP164" s="96"/>
      <c r="GQ164" s="96"/>
      <c r="GR164" s="96"/>
      <c r="GS164" s="96"/>
      <c r="GT164" s="96"/>
      <c r="GU164" s="96"/>
      <c r="GV164" s="96"/>
      <c r="GW164" s="96"/>
      <c r="GX164" s="96"/>
      <c r="GY164" s="96"/>
      <c r="GZ164" s="96"/>
      <c r="HA164" s="96"/>
      <c r="HB164" s="96"/>
      <c r="HC164" s="96"/>
      <c r="HD164" s="96"/>
      <c r="HE164" s="96"/>
      <c r="HF164" s="96"/>
      <c r="HG164" s="96"/>
      <c r="HH164" s="96"/>
      <c r="HI164" s="96"/>
      <c r="HJ164" s="96"/>
      <c r="HK164" s="96"/>
      <c r="HL164" s="96"/>
      <c r="HM164" s="96"/>
      <c r="HN164" s="96"/>
      <c r="HO164" s="96"/>
      <c r="HP164" s="96"/>
      <c r="HQ164" s="96"/>
      <c r="HR164" s="96"/>
      <c r="HS164" s="96"/>
      <c r="HT164" s="96"/>
      <c r="HU164" s="96"/>
      <c r="HV164" s="96"/>
      <c r="HW164" s="96"/>
      <c r="HX164" s="96"/>
      <c r="HY164" s="96"/>
      <c r="HZ164" s="96"/>
      <c r="IA164" s="96"/>
      <c r="IB164" s="96"/>
      <c r="IC164" s="96"/>
      <c r="ID164" s="96"/>
      <c r="IE164" s="96"/>
      <c r="IF164" s="96"/>
      <c r="IG164" s="96"/>
      <c r="IH164" s="96"/>
      <c r="II164" s="96"/>
      <c r="IJ164" s="96"/>
      <c r="IK164" s="96"/>
      <c r="IL164" s="96"/>
      <c r="IM164" s="96"/>
      <c r="IN164" s="96"/>
      <c r="IO164" s="96"/>
      <c r="IP164" s="96"/>
      <c r="IQ164" s="96"/>
      <c r="IR164" s="96"/>
      <c r="IS164" s="96"/>
      <c r="IT164" s="96"/>
      <c r="IU164" s="96"/>
      <c r="IV164" s="96"/>
      <c r="IW164" s="96"/>
      <c r="IX164" s="96"/>
      <c r="IY164" s="96"/>
      <c r="IZ164" s="96"/>
      <c r="JA164" s="96"/>
      <c r="JB164" s="96"/>
      <c r="JC164" s="96"/>
      <c r="JD164" s="96"/>
      <c r="JE164" s="96"/>
      <c r="JF164" t="s">
        <v>49</v>
      </c>
    </row>
    <row r="165" spans="1:266" hidden="1" x14ac:dyDescent="0.45">
      <c r="A165" s="71" t="str">
        <f>IF('Quote Exports'!C144="","",'Quote Exports'!C144)</f>
        <v/>
      </c>
      <c r="B165" s="72"/>
      <c r="C165" s="68"/>
      <c r="D165" s="3" t="s">
        <v>335</v>
      </c>
      <c r="E165" s="95">
        <v>1.23</v>
      </c>
      <c r="F165" s="95">
        <v>1.23</v>
      </c>
      <c r="G165" s="95">
        <v>1.23</v>
      </c>
      <c r="H165" s="95">
        <v>1.23</v>
      </c>
      <c r="I165" s="95">
        <v>1.23</v>
      </c>
      <c r="J165" s="96">
        <v>1.23</v>
      </c>
      <c r="K165" s="96">
        <v>1.23</v>
      </c>
      <c r="L165" s="96">
        <v>1.23</v>
      </c>
      <c r="M165" s="96">
        <v>1.23</v>
      </c>
      <c r="N165" s="96">
        <v>1.23</v>
      </c>
      <c r="O165" s="96">
        <v>1.23</v>
      </c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  <c r="BB165" s="96"/>
      <c r="BC165" s="96"/>
      <c r="BD165" s="96"/>
      <c r="BE165" s="96"/>
      <c r="BF165" s="96"/>
      <c r="BG165" s="96"/>
      <c r="BH165" s="96"/>
      <c r="BI165" s="96"/>
      <c r="BJ165" s="96"/>
      <c r="BK165" s="96"/>
      <c r="BL165" s="96"/>
      <c r="BM165" s="96"/>
      <c r="BN165" s="96"/>
      <c r="BO165" s="96"/>
      <c r="BP165" s="96"/>
      <c r="BQ165" s="96"/>
      <c r="BR165" s="96"/>
      <c r="BS165" s="96"/>
      <c r="BT165" s="96"/>
      <c r="BU165" s="96"/>
      <c r="BV165" s="96"/>
      <c r="BW165" s="96"/>
      <c r="BX165" s="96"/>
      <c r="BY165" s="96"/>
      <c r="BZ165" s="96"/>
      <c r="CA165" s="96"/>
      <c r="CB165" s="96"/>
      <c r="CC165" s="96"/>
      <c r="CD165" s="96"/>
      <c r="CE165" s="96"/>
      <c r="CF165" s="96"/>
      <c r="CG165" s="96"/>
      <c r="CH165" s="96"/>
      <c r="CI165" s="96"/>
      <c r="CJ165" s="96"/>
      <c r="CK165" s="96"/>
      <c r="CL165" s="96"/>
      <c r="CM165" s="96"/>
      <c r="CN165" s="96"/>
      <c r="CO165" s="96"/>
      <c r="CP165" s="96"/>
      <c r="CQ165" s="96"/>
      <c r="CR165" s="96"/>
      <c r="CS165" s="96"/>
      <c r="CT165" s="96"/>
      <c r="CU165" s="96"/>
      <c r="CV165" s="96"/>
      <c r="CW165" s="96"/>
      <c r="CX165" s="96"/>
      <c r="CY165" s="96"/>
      <c r="CZ165" s="96"/>
      <c r="DA165" s="96"/>
      <c r="DB165" s="96"/>
      <c r="DC165" s="96"/>
      <c r="DD165" s="96"/>
      <c r="DE165" s="96"/>
      <c r="DF165" s="96"/>
      <c r="DG165" s="96"/>
      <c r="DH165" s="96"/>
      <c r="DI165" s="96"/>
      <c r="DJ165" s="96"/>
      <c r="DK165" s="96"/>
      <c r="DL165" s="96"/>
      <c r="DM165" s="96"/>
      <c r="DN165" s="96"/>
      <c r="DO165" s="96"/>
      <c r="DP165" s="96"/>
      <c r="DQ165" s="96"/>
      <c r="DR165" s="96"/>
      <c r="DS165" s="96"/>
      <c r="DT165" s="96"/>
      <c r="DU165" s="96"/>
      <c r="DV165" s="96"/>
      <c r="DW165" s="96"/>
      <c r="DX165" s="96"/>
      <c r="DY165" s="96"/>
      <c r="DZ165" s="96"/>
      <c r="EA165" s="96"/>
      <c r="EB165" s="96"/>
      <c r="EC165" s="96"/>
      <c r="ED165" s="96"/>
      <c r="EE165" s="96"/>
      <c r="EF165" s="96"/>
      <c r="EG165" s="96"/>
      <c r="EH165" s="96"/>
      <c r="EI165" s="96"/>
      <c r="EJ165" s="96"/>
      <c r="EK165" s="96"/>
      <c r="EL165" s="96"/>
      <c r="EM165" s="96"/>
      <c r="EN165" s="96"/>
      <c r="EO165" s="96"/>
      <c r="EP165" s="96"/>
      <c r="EQ165" s="96"/>
      <c r="ER165" s="96"/>
      <c r="ES165" s="96"/>
      <c r="ET165" s="96"/>
      <c r="EU165" s="96"/>
      <c r="EV165" s="96"/>
      <c r="EW165" s="96"/>
      <c r="EX165" s="96"/>
      <c r="EY165" s="96"/>
      <c r="EZ165" s="96"/>
      <c r="FA165" s="96"/>
      <c r="FB165" s="96"/>
      <c r="FC165" s="96"/>
      <c r="FD165" s="96"/>
      <c r="FE165" s="96"/>
      <c r="FF165" s="96"/>
      <c r="FG165" s="96"/>
      <c r="FH165" s="96"/>
      <c r="FI165" s="96"/>
      <c r="FJ165" s="96"/>
      <c r="FK165" s="96"/>
      <c r="FL165" s="96"/>
      <c r="FM165" s="96"/>
      <c r="FN165" s="96"/>
      <c r="FO165" s="96"/>
      <c r="FP165" s="96"/>
      <c r="FQ165" s="96"/>
      <c r="FR165" s="96"/>
      <c r="FS165" s="96"/>
      <c r="FT165" s="96"/>
      <c r="FU165" s="96"/>
      <c r="FV165" s="96"/>
      <c r="FW165" s="96"/>
      <c r="FX165" s="96"/>
      <c r="FY165" s="96"/>
      <c r="FZ165" s="96"/>
      <c r="GA165" s="96"/>
      <c r="GB165" s="96"/>
      <c r="GC165" s="96"/>
      <c r="GD165" s="96"/>
      <c r="GE165" s="96"/>
      <c r="GF165" s="96"/>
      <c r="GG165" s="96"/>
      <c r="GH165" s="96"/>
      <c r="GI165" s="96"/>
      <c r="GJ165" s="96"/>
      <c r="GK165" s="96"/>
      <c r="GL165" s="96"/>
      <c r="GM165" s="96"/>
      <c r="GN165" s="96"/>
      <c r="GO165" s="96"/>
      <c r="GP165" s="96"/>
      <c r="GQ165" s="96"/>
      <c r="GR165" s="96"/>
      <c r="GS165" s="96"/>
      <c r="GT165" s="96"/>
      <c r="GU165" s="96"/>
      <c r="GV165" s="96"/>
      <c r="GW165" s="96"/>
      <c r="GX165" s="96"/>
      <c r="GY165" s="96"/>
      <c r="GZ165" s="96"/>
      <c r="HA165" s="96"/>
      <c r="HB165" s="96"/>
      <c r="HC165" s="96"/>
      <c r="HD165" s="96"/>
      <c r="HE165" s="96"/>
      <c r="HF165" s="96"/>
      <c r="HG165" s="96"/>
      <c r="HH165" s="96"/>
      <c r="HI165" s="96"/>
      <c r="HJ165" s="96"/>
      <c r="HK165" s="96"/>
      <c r="HL165" s="96"/>
      <c r="HM165" s="96"/>
      <c r="HN165" s="96"/>
      <c r="HO165" s="96"/>
      <c r="HP165" s="96"/>
      <c r="HQ165" s="96"/>
      <c r="HR165" s="96"/>
      <c r="HS165" s="96"/>
      <c r="HT165" s="96"/>
      <c r="HU165" s="96"/>
      <c r="HV165" s="96"/>
      <c r="HW165" s="96"/>
      <c r="HX165" s="96"/>
      <c r="HY165" s="96"/>
      <c r="HZ165" s="96"/>
      <c r="IA165" s="96"/>
      <c r="IB165" s="96"/>
      <c r="IC165" s="96"/>
      <c r="ID165" s="96"/>
      <c r="IE165" s="96"/>
      <c r="IF165" s="96"/>
      <c r="IG165" s="96"/>
      <c r="IH165" s="96"/>
      <c r="II165" s="96"/>
      <c r="IJ165" s="96"/>
      <c r="IK165" s="96"/>
      <c r="IL165" s="96"/>
      <c r="IM165" s="96"/>
      <c r="IN165" s="96"/>
      <c r="IO165" s="96"/>
      <c r="IP165" s="96"/>
      <c r="IQ165" s="96"/>
      <c r="IR165" s="96"/>
      <c r="IS165" s="96"/>
      <c r="IT165" s="96"/>
      <c r="IU165" s="96"/>
      <c r="IV165" s="96"/>
      <c r="IW165" s="96"/>
      <c r="IX165" s="96"/>
      <c r="IY165" s="96"/>
      <c r="IZ165" s="96"/>
      <c r="JA165" s="96"/>
      <c r="JB165" s="96"/>
      <c r="JC165" s="96"/>
      <c r="JD165" s="96"/>
      <c r="JE165" s="96"/>
      <c r="JF165" t="s">
        <v>49</v>
      </c>
    </row>
    <row r="166" spans="1:266" x14ac:dyDescent="0.45">
      <c r="A166" s="71" t="str">
        <f>IF('Quote Exports'!C145="","",'Quote Exports'!C145)</f>
        <v/>
      </c>
      <c r="B166" s="72">
        <v>1</v>
      </c>
      <c r="C166" s="68" t="s">
        <v>424</v>
      </c>
      <c r="D166" s="1" t="s">
        <v>336</v>
      </c>
      <c r="E166" s="95">
        <v>2.828431734809425</v>
      </c>
      <c r="F166" s="95">
        <v>2.8775699819549629</v>
      </c>
      <c r="G166" s="95">
        <v>2.7688834271830056</v>
      </c>
      <c r="H166" s="95">
        <v>2.8902594165214102</v>
      </c>
      <c r="I166" s="95">
        <v>2.5677364110913317</v>
      </c>
      <c r="J166" s="95">
        <v>2.8256272674608822</v>
      </c>
      <c r="K166" s="95">
        <v>2.4723482755230957</v>
      </c>
      <c r="L166" s="95">
        <v>2.5643483687680462</v>
      </c>
      <c r="M166" s="95">
        <v>2.5592463007874926</v>
      </c>
      <c r="N166" s="95">
        <v>2.528326077286883</v>
      </c>
      <c r="O166" s="95">
        <v>2.4075175102427813</v>
      </c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  <c r="AQ166" s="95"/>
      <c r="AR166" s="95"/>
      <c r="AS166" s="95"/>
      <c r="AT166" s="95"/>
      <c r="AU166" s="95"/>
      <c r="AV166" s="95"/>
      <c r="AW166" s="95"/>
      <c r="AX166" s="95"/>
      <c r="AY166" s="95"/>
      <c r="AZ166" s="95"/>
      <c r="BA166" s="95"/>
      <c r="BB166" s="95"/>
      <c r="BC166" s="95"/>
      <c r="BD166" s="95"/>
      <c r="BE166" s="95"/>
      <c r="BF166" s="95"/>
      <c r="BG166" s="95"/>
      <c r="BH166" s="95"/>
      <c r="BI166" s="95"/>
      <c r="BJ166" s="95"/>
      <c r="BK166" s="95"/>
      <c r="BL166" s="95"/>
      <c r="BM166" s="95"/>
      <c r="BN166" s="95"/>
      <c r="BO166" s="95"/>
      <c r="BP166" s="95"/>
      <c r="BQ166" s="95"/>
      <c r="BR166" s="95"/>
      <c r="BS166" s="95"/>
      <c r="BT166" s="95"/>
      <c r="BU166" s="95"/>
      <c r="BV166" s="95"/>
      <c r="BW166" s="95"/>
      <c r="BX166" s="95"/>
      <c r="BY166" s="95"/>
      <c r="BZ166" s="95"/>
      <c r="CA166" s="95"/>
      <c r="CB166" s="95"/>
      <c r="CC166" s="95"/>
      <c r="CD166" s="95"/>
      <c r="CE166" s="95"/>
      <c r="CF166" s="95"/>
      <c r="CG166" s="95"/>
      <c r="CH166" s="95"/>
      <c r="CI166" s="95"/>
      <c r="CJ166" s="95"/>
      <c r="CK166" s="95"/>
      <c r="CL166" s="95"/>
      <c r="CM166" s="95"/>
      <c r="CN166" s="95"/>
      <c r="CO166" s="95"/>
      <c r="CP166" s="95"/>
      <c r="CQ166" s="95"/>
      <c r="CR166" s="95"/>
      <c r="CS166" s="95"/>
      <c r="CT166" s="95"/>
      <c r="CU166" s="95"/>
      <c r="CV166" s="95"/>
      <c r="CW166" s="95"/>
      <c r="CX166" s="95"/>
      <c r="CY166" s="95"/>
      <c r="CZ166" s="95"/>
      <c r="DA166" s="95"/>
      <c r="DB166" s="95"/>
      <c r="DC166" s="95"/>
      <c r="DD166" s="95"/>
      <c r="DE166" s="95"/>
      <c r="DF166" s="95"/>
      <c r="DG166" s="95"/>
      <c r="DH166" s="95"/>
      <c r="DI166" s="95"/>
      <c r="DJ166" s="95"/>
      <c r="DK166" s="95"/>
      <c r="DL166" s="95"/>
      <c r="DM166" s="95"/>
      <c r="DN166" s="95"/>
      <c r="DO166" s="95"/>
      <c r="DP166" s="95"/>
      <c r="DQ166" s="95"/>
      <c r="DR166" s="95"/>
      <c r="DS166" s="95"/>
      <c r="DT166" s="95"/>
      <c r="DU166" s="95"/>
      <c r="DV166" s="95"/>
      <c r="DW166" s="95"/>
      <c r="DX166" s="95"/>
      <c r="DY166" s="95"/>
      <c r="DZ166" s="95"/>
      <c r="EA166" s="95"/>
      <c r="EB166" s="95"/>
      <c r="EC166" s="95"/>
      <c r="ED166" s="95"/>
      <c r="EE166" s="95"/>
      <c r="EF166" s="95"/>
      <c r="EG166" s="95"/>
      <c r="EH166" s="95"/>
      <c r="EI166" s="95"/>
      <c r="EJ166" s="95"/>
      <c r="EK166" s="95"/>
      <c r="EL166" s="95"/>
      <c r="EM166" s="95"/>
      <c r="EN166" s="95"/>
      <c r="EO166" s="95"/>
      <c r="EP166" s="95"/>
      <c r="EQ166" s="95"/>
      <c r="ER166" s="95"/>
      <c r="ES166" s="95"/>
      <c r="ET166" s="95"/>
      <c r="EU166" s="95"/>
      <c r="EV166" s="95"/>
      <c r="EW166" s="95"/>
      <c r="EX166" s="95"/>
      <c r="EY166" s="95"/>
      <c r="EZ166" s="95"/>
      <c r="FA166" s="95"/>
      <c r="FB166" s="95"/>
      <c r="FC166" s="95"/>
      <c r="FD166" s="95"/>
      <c r="FE166" s="95"/>
      <c r="FF166" s="95"/>
      <c r="FG166" s="95"/>
      <c r="FH166" s="95"/>
      <c r="FI166" s="95"/>
      <c r="FJ166" s="95"/>
      <c r="FK166" s="95"/>
      <c r="FL166" s="95"/>
      <c r="FM166" s="95"/>
      <c r="FN166" s="95"/>
      <c r="FO166" s="95"/>
      <c r="FP166" s="95"/>
      <c r="FQ166" s="95"/>
      <c r="FR166" s="95"/>
      <c r="FS166" s="95"/>
      <c r="FT166" s="95"/>
      <c r="FU166" s="95"/>
      <c r="FV166" s="95"/>
      <c r="FW166" s="95"/>
      <c r="FX166" s="95"/>
      <c r="FY166" s="95"/>
      <c r="FZ166" s="95"/>
      <c r="GA166" s="95"/>
      <c r="GB166" s="95"/>
      <c r="GC166" s="95"/>
      <c r="GD166" s="95"/>
      <c r="GE166" s="95"/>
      <c r="GF166" s="95"/>
      <c r="GG166" s="95"/>
      <c r="GH166" s="95"/>
      <c r="GI166" s="95"/>
      <c r="GJ166" s="95"/>
      <c r="GK166" s="95"/>
      <c r="GL166" s="95"/>
      <c r="GM166" s="95"/>
      <c r="GN166" s="95"/>
      <c r="GO166" s="95"/>
      <c r="GP166" s="95"/>
      <c r="GQ166" s="95"/>
      <c r="GR166" s="95"/>
      <c r="GS166" s="95"/>
      <c r="GT166" s="95"/>
      <c r="GU166" s="95"/>
      <c r="GV166" s="95"/>
      <c r="GW166" s="95"/>
      <c r="GX166" s="95"/>
      <c r="GY166" s="95"/>
      <c r="GZ166" s="95"/>
      <c r="HA166" s="95"/>
      <c r="HB166" s="95"/>
      <c r="HC166" s="95"/>
      <c r="HD166" s="95"/>
      <c r="HE166" s="95"/>
      <c r="HF166" s="95"/>
      <c r="HG166" s="95"/>
      <c r="HH166" s="95"/>
      <c r="HI166" s="95"/>
      <c r="HJ166" s="95"/>
      <c r="HK166" s="95"/>
      <c r="HL166" s="95"/>
      <c r="HM166" s="95"/>
      <c r="HN166" s="95"/>
      <c r="HO166" s="95"/>
      <c r="HP166" s="95"/>
      <c r="HQ166" s="95"/>
      <c r="HR166" s="95"/>
      <c r="HS166" s="95"/>
      <c r="HT166" s="95"/>
      <c r="HU166" s="95"/>
      <c r="HV166" s="95"/>
      <c r="HW166" s="95"/>
      <c r="HX166" s="95"/>
      <c r="HY166" s="95"/>
      <c r="HZ166" s="95"/>
      <c r="IA166" s="95"/>
      <c r="IB166" s="95"/>
      <c r="IC166" s="95"/>
      <c r="ID166" s="95"/>
      <c r="IE166" s="95"/>
      <c r="IF166" s="95"/>
      <c r="IG166" s="95"/>
      <c r="IH166" s="95"/>
      <c r="II166" s="95"/>
      <c r="IJ166" s="95"/>
      <c r="IK166" s="95"/>
      <c r="IL166" s="95"/>
      <c r="IM166" s="95"/>
      <c r="IN166" s="95"/>
      <c r="IO166" s="95"/>
      <c r="IP166" s="95"/>
      <c r="IQ166" s="95"/>
      <c r="IR166" s="95"/>
      <c r="IS166" s="95"/>
      <c r="IT166" s="95"/>
      <c r="IU166" s="95"/>
      <c r="IV166" s="95"/>
      <c r="IW166" s="95"/>
      <c r="IX166" s="95"/>
      <c r="IY166" s="95"/>
      <c r="IZ166" s="95"/>
      <c r="JA166" s="95"/>
      <c r="JB166" s="95"/>
      <c r="JC166" s="95"/>
      <c r="JD166" s="95"/>
      <c r="JE166" s="95"/>
      <c r="JF166" t="s">
        <v>49</v>
      </c>
    </row>
    <row r="167" spans="1:266" hidden="1" x14ac:dyDescent="0.45">
      <c r="A167" s="71" t="str">
        <f>IF('Quote Exports'!C146="","",'Quote Exports'!C146)</f>
        <v>Fnsg Cost</v>
      </c>
      <c r="B167" s="72"/>
      <c r="C167" s="68"/>
      <c r="D167" s="1" t="s">
        <v>337</v>
      </c>
      <c r="E167" s="97">
        <v>2.6937445093423094</v>
      </c>
      <c r="F167" s="97">
        <v>2.6159727108681481</v>
      </c>
      <c r="G167" s="97">
        <v>2.5171667519845502</v>
      </c>
      <c r="H167" s="97">
        <v>2.6275085604740092</v>
      </c>
      <c r="I167" s="97">
        <v>2.3343058282648466</v>
      </c>
      <c r="J167" s="97">
        <v>2.5687520613280745</v>
      </c>
      <c r="K167" s="97">
        <v>2.2475893413846322</v>
      </c>
      <c r="L167" s="97">
        <v>2.3312257897891326</v>
      </c>
      <c r="M167" s="97">
        <v>2.3265875461704475</v>
      </c>
      <c r="N167" s="97">
        <v>2.2984782520789842</v>
      </c>
      <c r="O167" s="97">
        <v>2.1886522820388921</v>
      </c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  <c r="AU167" s="97"/>
      <c r="AV167" s="97"/>
      <c r="AW167" s="97"/>
      <c r="AX167" s="97"/>
      <c r="AY167" s="97"/>
      <c r="AZ167" s="97"/>
      <c r="BA167" s="97"/>
      <c r="BB167" s="97"/>
      <c r="BC167" s="97"/>
      <c r="BD167" s="97"/>
      <c r="BE167" s="97"/>
      <c r="BF167" s="97"/>
      <c r="BG167" s="97"/>
      <c r="BH167" s="97"/>
      <c r="BI167" s="97"/>
      <c r="BJ167" s="97"/>
      <c r="BK167" s="97"/>
      <c r="BL167" s="97"/>
      <c r="BM167" s="97"/>
      <c r="BN167" s="97"/>
      <c r="BO167" s="97"/>
      <c r="BP167" s="97"/>
      <c r="BQ167" s="97"/>
      <c r="BR167" s="97"/>
      <c r="BS167" s="97"/>
      <c r="BT167" s="97"/>
      <c r="BU167" s="97"/>
      <c r="BV167" s="97"/>
      <c r="BW167" s="97"/>
      <c r="BX167" s="97"/>
      <c r="BY167" s="97"/>
      <c r="BZ167" s="97"/>
      <c r="CA167" s="97"/>
      <c r="CB167" s="97"/>
      <c r="CC167" s="97"/>
      <c r="CD167" s="97"/>
      <c r="CE167" s="97"/>
      <c r="CF167" s="97"/>
      <c r="CG167" s="97"/>
      <c r="CH167" s="97"/>
      <c r="CI167" s="97"/>
      <c r="CJ167" s="97"/>
      <c r="CK167" s="97"/>
      <c r="CL167" s="97"/>
      <c r="CM167" s="97"/>
      <c r="CN167" s="97"/>
      <c r="CO167" s="97"/>
      <c r="CP167" s="97"/>
      <c r="CQ167" s="97"/>
      <c r="CR167" s="97"/>
      <c r="CS167" s="97"/>
      <c r="CT167" s="97"/>
      <c r="CU167" s="97"/>
      <c r="CV167" s="97"/>
      <c r="CW167" s="97"/>
      <c r="CX167" s="97"/>
      <c r="CY167" s="97"/>
      <c r="CZ167" s="97"/>
      <c r="DA167" s="97"/>
      <c r="DB167" s="97"/>
      <c r="DC167" s="97"/>
      <c r="DD167" s="97"/>
      <c r="DE167" s="97"/>
      <c r="DF167" s="97"/>
      <c r="DG167" s="97"/>
      <c r="DH167" s="97"/>
      <c r="DI167" s="97"/>
      <c r="DJ167" s="97"/>
      <c r="DK167" s="97"/>
      <c r="DL167" s="97"/>
      <c r="DM167" s="97"/>
      <c r="DN167" s="97"/>
      <c r="DO167" s="97"/>
      <c r="DP167" s="97"/>
      <c r="DQ167" s="97"/>
      <c r="DR167" s="97"/>
      <c r="DS167" s="97"/>
      <c r="DT167" s="97"/>
      <c r="DU167" s="97"/>
      <c r="DV167" s="97"/>
      <c r="DW167" s="97"/>
      <c r="DX167" s="97"/>
      <c r="DY167" s="97"/>
      <c r="DZ167" s="97"/>
      <c r="EA167" s="97"/>
      <c r="EB167" s="97"/>
      <c r="EC167" s="97"/>
      <c r="ED167" s="97"/>
      <c r="EE167" s="97"/>
      <c r="EF167" s="97"/>
      <c r="EG167" s="97"/>
      <c r="EH167" s="97"/>
      <c r="EI167" s="97"/>
      <c r="EJ167" s="97"/>
      <c r="EK167" s="97"/>
      <c r="EL167" s="97"/>
      <c r="EM167" s="97"/>
      <c r="EN167" s="97"/>
      <c r="EO167" s="97"/>
      <c r="EP167" s="97"/>
      <c r="EQ167" s="97"/>
      <c r="ER167" s="97"/>
      <c r="ES167" s="97"/>
      <c r="ET167" s="97"/>
      <c r="EU167" s="97"/>
      <c r="EV167" s="97"/>
      <c r="EW167" s="97"/>
      <c r="EX167" s="97"/>
      <c r="EY167" s="97"/>
      <c r="EZ167" s="97"/>
      <c r="FA167" s="97"/>
      <c r="FB167" s="97"/>
      <c r="FC167" s="97"/>
      <c r="FD167" s="97"/>
      <c r="FE167" s="97"/>
      <c r="FF167" s="97"/>
      <c r="FG167" s="97"/>
      <c r="FH167" s="97"/>
      <c r="FI167" s="97"/>
      <c r="FJ167" s="97"/>
      <c r="FK167" s="97"/>
      <c r="FL167" s="97"/>
      <c r="FM167" s="97"/>
      <c r="FN167" s="97"/>
      <c r="FO167" s="97"/>
      <c r="FP167" s="97"/>
      <c r="FQ167" s="97"/>
      <c r="FR167" s="97"/>
      <c r="FS167" s="97"/>
      <c r="FT167" s="97"/>
      <c r="FU167" s="97"/>
      <c r="FV167" s="97"/>
      <c r="FW167" s="97"/>
      <c r="FX167" s="97"/>
      <c r="FY167" s="97"/>
      <c r="FZ167" s="97"/>
      <c r="GA167" s="97"/>
      <c r="GB167" s="97"/>
      <c r="GC167" s="97"/>
      <c r="GD167" s="97"/>
      <c r="GE167" s="97"/>
      <c r="GF167" s="97"/>
      <c r="GG167" s="97"/>
      <c r="GH167" s="97"/>
      <c r="GI167" s="97"/>
      <c r="GJ167" s="97"/>
      <c r="GK167" s="97"/>
      <c r="GL167" s="97"/>
      <c r="GM167" s="97"/>
      <c r="GN167" s="97"/>
      <c r="GO167" s="97"/>
      <c r="GP167" s="97"/>
      <c r="GQ167" s="97"/>
      <c r="GR167" s="97"/>
      <c r="GS167" s="97"/>
      <c r="GT167" s="97"/>
      <c r="GU167" s="97"/>
      <c r="GV167" s="97"/>
      <c r="GW167" s="97"/>
      <c r="GX167" s="97"/>
      <c r="GY167" s="97"/>
      <c r="GZ167" s="97"/>
      <c r="HA167" s="97"/>
      <c r="HB167" s="97"/>
      <c r="HC167" s="97"/>
      <c r="HD167" s="97"/>
      <c r="HE167" s="97"/>
      <c r="HF167" s="97"/>
      <c r="HG167" s="97"/>
      <c r="HH167" s="97"/>
      <c r="HI167" s="97"/>
      <c r="HJ167" s="97"/>
      <c r="HK167" s="97"/>
      <c r="HL167" s="97"/>
      <c r="HM167" s="97"/>
      <c r="HN167" s="97"/>
      <c r="HO167" s="97"/>
      <c r="HP167" s="97"/>
      <c r="HQ167" s="97"/>
      <c r="HR167" s="97"/>
      <c r="HS167" s="97"/>
      <c r="HT167" s="97"/>
      <c r="HU167" s="97"/>
      <c r="HV167" s="97"/>
      <c r="HW167" s="97"/>
      <c r="HX167" s="97"/>
      <c r="HY167" s="97"/>
      <c r="HZ167" s="97"/>
      <c r="IA167" s="97"/>
      <c r="IB167" s="97"/>
      <c r="IC167" s="97"/>
      <c r="ID167" s="97"/>
      <c r="IE167" s="97"/>
      <c r="IF167" s="97"/>
      <c r="IG167" s="97"/>
      <c r="IH167" s="97"/>
      <c r="II167" s="97"/>
      <c r="IJ167" s="97"/>
      <c r="IK167" s="97"/>
      <c r="IL167" s="97"/>
      <c r="IM167" s="97"/>
      <c r="IN167" s="97"/>
      <c r="IO167" s="97"/>
      <c r="IP167" s="97"/>
      <c r="IQ167" s="97"/>
      <c r="IR167" s="97"/>
      <c r="IS167" s="97"/>
      <c r="IT167" s="97"/>
      <c r="IU167" s="97"/>
      <c r="IV167" s="97"/>
      <c r="IW167" s="97"/>
      <c r="IX167" s="97"/>
      <c r="IY167" s="97"/>
      <c r="IZ167" s="97"/>
      <c r="JA167" s="97"/>
      <c r="JB167" s="97"/>
      <c r="JC167" s="97"/>
      <c r="JD167" s="97"/>
      <c r="JE167" s="97"/>
      <c r="JF167" t="s">
        <v>49</v>
      </c>
    </row>
    <row r="168" spans="1:266" hidden="1" x14ac:dyDescent="0.45">
      <c r="A168" s="71" t="str">
        <f>IF('Quote Exports'!C150="","",'Quote Exports'!C150)</f>
        <v>Fnsg Cost</v>
      </c>
      <c r="B168" s="72"/>
      <c r="C168" s="68"/>
      <c r="D168" s="1" t="s">
        <v>338</v>
      </c>
      <c r="E168" s="97">
        <v>2.2995379957800202</v>
      </c>
      <c r="F168" s="97">
        <v>2.3394877902072868</v>
      </c>
      <c r="G168" s="97">
        <v>2.2511247375471592</v>
      </c>
      <c r="H168" s="97">
        <v>2.3498044036759431</v>
      </c>
      <c r="I168" s="97">
        <v>2.0875905781230339</v>
      </c>
      <c r="J168" s="97">
        <v>2.2972579410251077</v>
      </c>
      <c r="K168" s="97">
        <v>2.0100392483927609</v>
      </c>
      <c r="L168" s="97">
        <v>2.0848360721691432</v>
      </c>
      <c r="M168" s="97">
        <v>2.0806880494207256</v>
      </c>
      <c r="N168" s="97">
        <v>2.0555496563307991</v>
      </c>
      <c r="O168" s="97">
        <v>1.9573313091404727</v>
      </c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  <c r="AU168" s="97"/>
      <c r="AV168" s="97"/>
      <c r="AW168" s="97"/>
      <c r="AX168" s="97"/>
      <c r="AY168" s="97"/>
      <c r="AZ168" s="97"/>
      <c r="BA168" s="97"/>
      <c r="BB168" s="97"/>
      <c r="BC168" s="97"/>
      <c r="BD168" s="97"/>
      <c r="BE168" s="97"/>
      <c r="BF168" s="97"/>
      <c r="BG168" s="97"/>
      <c r="BH168" s="97"/>
      <c r="BI168" s="97"/>
      <c r="BJ168" s="97"/>
      <c r="BK168" s="97"/>
      <c r="BL168" s="97"/>
      <c r="BM168" s="97"/>
      <c r="BN168" s="97"/>
      <c r="BO168" s="97"/>
      <c r="BP168" s="97"/>
      <c r="BQ168" s="97"/>
      <c r="BR168" s="97"/>
      <c r="BS168" s="97"/>
      <c r="BT168" s="97"/>
      <c r="BU168" s="97"/>
      <c r="BV168" s="97"/>
      <c r="BW168" s="97"/>
      <c r="BX168" s="97"/>
      <c r="BY168" s="97"/>
      <c r="BZ168" s="97"/>
      <c r="CA168" s="97"/>
      <c r="CB168" s="97"/>
      <c r="CC168" s="97"/>
      <c r="CD168" s="97"/>
      <c r="CE168" s="97"/>
      <c r="CF168" s="97"/>
      <c r="CG168" s="97"/>
      <c r="CH168" s="97"/>
      <c r="CI168" s="97"/>
      <c r="CJ168" s="97"/>
      <c r="CK168" s="97"/>
      <c r="CL168" s="97"/>
      <c r="CM168" s="97"/>
      <c r="CN168" s="97"/>
      <c r="CO168" s="97"/>
      <c r="CP168" s="97"/>
      <c r="CQ168" s="97"/>
      <c r="CR168" s="97"/>
      <c r="CS168" s="97"/>
      <c r="CT168" s="97"/>
      <c r="CU168" s="97"/>
      <c r="CV168" s="97"/>
      <c r="CW168" s="97"/>
      <c r="CX168" s="97"/>
      <c r="CY168" s="97"/>
      <c r="CZ168" s="97"/>
      <c r="DA168" s="97"/>
      <c r="DB168" s="97"/>
      <c r="DC168" s="97"/>
      <c r="DD168" s="97"/>
      <c r="DE168" s="97"/>
      <c r="DF168" s="97"/>
      <c r="DG168" s="97"/>
      <c r="DH168" s="97"/>
      <c r="DI168" s="97"/>
      <c r="DJ168" s="97"/>
      <c r="DK168" s="97"/>
      <c r="DL168" s="97"/>
      <c r="DM168" s="97"/>
      <c r="DN168" s="97"/>
      <c r="DO168" s="97"/>
      <c r="DP168" s="97"/>
      <c r="DQ168" s="97"/>
      <c r="DR168" s="97"/>
      <c r="DS168" s="97"/>
      <c r="DT168" s="97"/>
      <c r="DU168" s="97"/>
      <c r="DV168" s="97"/>
      <c r="DW168" s="97"/>
      <c r="DX168" s="97"/>
      <c r="DY168" s="97"/>
      <c r="DZ168" s="97"/>
      <c r="EA168" s="97"/>
      <c r="EB168" s="97"/>
      <c r="EC168" s="97"/>
      <c r="ED168" s="97"/>
      <c r="EE168" s="97"/>
      <c r="EF168" s="97"/>
      <c r="EG168" s="97"/>
      <c r="EH168" s="97"/>
      <c r="EI168" s="97"/>
      <c r="EJ168" s="97"/>
      <c r="EK168" s="97"/>
      <c r="EL168" s="97"/>
      <c r="EM168" s="97"/>
      <c r="EN168" s="97"/>
      <c r="EO168" s="97"/>
      <c r="EP168" s="97"/>
      <c r="EQ168" s="97"/>
      <c r="ER168" s="97"/>
      <c r="ES168" s="97"/>
      <c r="ET168" s="97"/>
      <c r="EU168" s="97"/>
      <c r="EV168" s="97"/>
      <c r="EW168" s="97"/>
      <c r="EX168" s="97"/>
      <c r="EY168" s="97"/>
      <c r="EZ168" s="97"/>
      <c r="FA168" s="97"/>
      <c r="FB168" s="97"/>
      <c r="FC168" s="97"/>
      <c r="FD168" s="97"/>
      <c r="FE168" s="97"/>
      <c r="FF168" s="97"/>
      <c r="FG168" s="97"/>
      <c r="FH168" s="97"/>
      <c r="FI168" s="97"/>
      <c r="FJ168" s="97"/>
      <c r="FK168" s="97"/>
      <c r="FL168" s="97"/>
      <c r="FM168" s="97"/>
      <c r="FN168" s="97"/>
      <c r="FO168" s="97"/>
      <c r="FP168" s="97"/>
      <c r="FQ168" s="97"/>
      <c r="FR168" s="97"/>
      <c r="FS168" s="97"/>
      <c r="FT168" s="97"/>
      <c r="FU168" s="97"/>
      <c r="FV168" s="97"/>
      <c r="FW168" s="97"/>
      <c r="FX168" s="97"/>
      <c r="FY168" s="97"/>
      <c r="FZ168" s="97"/>
      <c r="GA168" s="97"/>
      <c r="GB168" s="97"/>
      <c r="GC168" s="97"/>
      <c r="GD168" s="97"/>
      <c r="GE168" s="97"/>
      <c r="GF168" s="97"/>
      <c r="GG168" s="97"/>
      <c r="GH168" s="97"/>
      <c r="GI168" s="97"/>
      <c r="GJ168" s="97"/>
      <c r="GK168" s="97"/>
      <c r="GL168" s="97"/>
      <c r="GM168" s="97"/>
      <c r="GN168" s="97"/>
      <c r="GO168" s="97"/>
      <c r="GP168" s="97"/>
      <c r="GQ168" s="97"/>
      <c r="GR168" s="97"/>
      <c r="GS168" s="97"/>
      <c r="GT168" s="97"/>
      <c r="GU168" s="97"/>
      <c r="GV168" s="97"/>
      <c r="GW168" s="97"/>
      <c r="GX168" s="97"/>
      <c r="GY168" s="97"/>
      <c r="GZ168" s="97"/>
      <c r="HA168" s="97"/>
      <c r="HB168" s="97"/>
      <c r="HC168" s="97"/>
      <c r="HD168" s="97"/>
      <c r="HE168" s="97"/>
      <c r="HF168" s="97"/>
      <c r="HG168" s="97"/>
      <c r="HH168" s="97"/>
      <c r="HI168" s="97"/>
      <c r="HJ168" s="97"/>
      <c r="HK168" s="97"/>
      <c r="HL168" s="97"/>
      <c r="HM168" s="97"/>
      <c r="HN168" s="97"/>
      <c r="HO168" s="97"/>
      <c r="HP168" s="97"/>
      <c r="HQ168" s="97"/>
      <c r="HR168" s="97"/>
      <c r="HS168" s="97"/>
      <c r="HT168" s="97"/>
      <c r="HU168" s="97"/>
      <c r="HV168" s="97"/>
      <c r="HW168" s="97"/>
      <c r="HX168" s="97"/>
      <c r="HY168" s="97"/>
      <c r="HZ168" s="97"/>
      <c r="IA168" s="97"/>
      <c r="IB168" s="97"/>
      <c r="IC168" s="97"/>
      <c r="ID168" s="97"/>
      <c r="IE168" s="97"/>
      <c r="IF168" s="97"/>
      <c r="IG168" s="97"/>
      <c r="IH168" s="97"/>
      <c r="II168" s="97"/>
      <c r="IJ168" s="97"/>
      <c r="IK168" s="97"/>
      <c r="IL168" s="97"/>
      <c r="IM168" s="97"/>
      <c r="IN168" s="97"/>
      <c r="IO168" s="97"/>
      <c r="IP168" s="97"/>
      <c r="IQ168" s="97"/>
      <c r="IR168" s="97"/>
      <c r="IS168" s="97"/>
      <c r="IT168" s="97"/>
      <c r="IU168" s="97"/>
      <c r="IV168" s="97"/>
      <c r="IW168" s="97"/>
      <c r="IX168" s="97"/>
      <c r="IY168" s="97"/>
      <c r="IZ168" s="97"/>
      <c r="JA168" s="97"/>
      <c r="JB168" s="97"/>
      <c r="JC168" s="97"/>
      <c r="JD168" s="97"/>
      <c r="JE168" s="97"/>
      <c r="JF168" t="s">
        <v>49</v>
      </c>
    </row>
    <row r="169" spans="1:266" hidden="1" x14ac:dyDescent="0.45">
      <c r="A169" s="71" t="str">
        <f>IF('Quote Exports'!C151="","",'Quote Exports'!C151)</f>
        <v>Fnsg Cost</v>
      </c>
      <c r="B169" s="72"/>
      <c r="C169" s="68"/>
      <c r="D169" s="3" t="s">
        <v>339</v>
      </c>
      <c r="E169" s="97">
        <v>0</v>
      </c>
      <c r="F169" s="97">
        <v>0</v>
      </c>
      <c r="G169" s="97">
        <v>0</v>
      </c>
      <c r="H169" s="97">
        <v>0</v>
      </c>
      <c r="I169" s="97">
        <v>0</v>
      </c>
      <c r="J169" s="97">
        <v>0</v>
      </c>
      <c r="K169" s="97">
        <v>0</v>
      </c>
      <c r="L169" s="97">
        <v>0</v>
      </c>
      <c r="M169" s="97">
        <v>0</v>
      </c>
      <c r="N169" s="97">
        <v>0</v>
      </c>
      <c r="O169" s="97">
        <v>0</v>
      </c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  <c r="AU169" s="97"/>
      <c r="AV169" s="97"/>
      <c r="AW169" s="97"/>
      <c r="AX169" s="97"/>
      <c r="AY169" s="97"/>
      <c r="AZ169" s="97"/>
      <c r="BA169" s="97"/>
      <c r="BB169" s="97"/>
      <c r="BC169" s="97"/>
      <c r="BD169" s="97"/>
      <c r="BE169" s="97"/>
      <c r="BF169" s="97"/>
      <c r="BG169" s="97"/>
      <c r="BH169" s="97"/>
      <c r="BI169" s="97"/>
      <c r="BJ169" s="97"/>
      <c r="BK169" s="97"/>
      <c r="BL169" s="97"/>
      <c r="BM169" s="97"/>
      <c r="BN169" s="97"/>
      <c r="BO169" s="97"/>
      <c r="BP169" s="97"/>
      <c r="BQ169" s="97"/>
      <c r="BR169" s="97"/>
      <c r="BS169" s="97"/>
      <c r="BT169" s="97"/>
      <c r="BU169" s="97"/>
      <c r="BV169" s="97"/>
      <c r="BW169" s="97"/>
      <c r="BX169" s="97"/>
      <c r="BY169" s="97"/>
      <c r="BZ169" s="97"/>
      <c r="CA169" s="97"/>
      <c r="CB169" s="97"/>
      <c r="CC169" s="97"/>
      <c r="CD169" s="97"/>
      <c r="CE169" s="97"/>
      <c r="CF169" s="97"/>
      <c r="CG169" s="97"/>
      <c r="CH169" s="97"/>
      <c r="CI169" s="97"/>
      <c r="CJ169" s="97"/>
      <c r="CK169" s="97"/>
      <c r="CL169" s="97"/>
      <c r="CM169" s="97"/>
      <c r="CN169" s="97"/>
      <c r="CO169" s="97"/>
      <c r="CP169" s="97"/>
      <c r="CQ169" s="97"/>
      <c r="CR169" s="97"/>
      <c r="CS169" s="97"/>
      <c r="CT169" s="97"/>
      <c r="CU169" s="97"/>
      <c r="CV169" s="97"/>
      <c r="CW169" s="97"/>
      <c r="CX169" s="97"/>
      <c r="CY169" s="97"/>
      <c r="CZ169" s="97"/>
      <c r="DA169" s="97"/>
      <c r="DB169" s="97"/>
      <c r="DC169" s="97"/>
      <c r="DD169" s="97"/>
      <c r="DE169" s="97"/>
      <c r="DF169" s="97"/>
      <c r="DG169" s="97"/>
      <c r="DH169" s="97"/>
      <c r="DI169" s="97"/>
      <c r="DJ169" s="97"/>
      <c r="DK169" s="97"/>
      <c r="DL169" s="97"/>
      <c r="DM169" s="97"/>
      <c r="DN169" s="97"/>
      <c r="DO169" s="97"/>
      <c r="DP169" s="97"/>
      <c r="DQ169" s="97"/>
      <c r="DR169" s="97"/>
      <c r="DS169" s="97"/>
      <c r="DT169" s="97"/>
      <c r="DU169" s="97"/>
      <c r="DV169" s="97"/>
      <c r="DW169" s="97"/>
      <c r="DX169" s="97"/>
      <c r="DY169" s="97"/>
      <c r="DZ169" s="97"/>
      <c r="EA169" s="97"/>
      <c r="EB169" s="97"/>
      <c r="EC169" s="97"/>
      <c r="ED169" s="97"/>
      <c r="EE169" s="97"/>
      <c r="EF169" s="97"/>
      <c r="EG169" s="97"/>
      <c r="EH169" s="97"/>
      <c r="EI169" s="97"/>
      <c r="EJ169" s="97"/>
      <c r="EK169" s="97"/>
      <c r="EL169" s="97"/>
      <c r="EM169" s="97"/>
      <c r="EN169" s="97"/>
      <c r="EO169" s="97"/>
      <c r="EP169" s="97"/>
      <c r="EQ169" s="97"/>
      <c r="ER169" s="97"/>
      <c r="ES169" s="97"/>
      <c r="ET169" s="97"/>
      <c r="EU169" s="97"/>
      <c r="EV169" s="97"/>
      <c r="EW169" s="97"/>
      <c r="EX169" s="97"/>
      <c r="EY169" s="97"/>
      <c r="EZ169" s="97"/>
      <c r="FA169" s="97"/>
      <c r="FB169" s="97"/>
      <c r="FC169" s="97"/>
      <c r="FD169" s="97"/>
      <c r="FE169" s="97"/>
      <c r="FF169" s="97"/>
      <c r="FG169" s="97"/>
      <c r="FH169" s="97"/>
      <c r="FI169" s="97"/>
      <c r="FJ169" s="97"/>
      <c r="FK169" s="97"/>
      <c r="FL169" s="97"/>
      <c r="FM169" s="97"/>
      <c r="FN169" s="97"/>
      <c r="FO169" s="97"/>
      <c r="FP169" s="97"/>
      <c r="FQ169" s="97"/>
      <c r="FR169" s="97"/>
      <c r="FS169" s="97"/>
      <c r="FT169" s="97"/>
      <c r="FU169" s="97"/>
      <c r="FV169" s="97"/>
      <c r="FW169" s="97"/>
      <c r="FX169" s="97"/>
      <c r="FY169" s="97"/>
      <c r="FZ169" s="97"/>
      <c r="GA169" s="97"/>
      <c r="GB169" s="97"/>
      <c r="GC169" s="97"/>
      <c r="GD169" s="97"/>
      <c r="GE169" s="97"/>
      <c r="GF169" s="97"/>
      <c r="GG169" s="97"/>
      <c r="GH169" s="97"/>
      <c r="GI169" s="97"/>
      <c r="GJ169" s="97"/>
      <c r="GK169" s="97"/>
      <c r="GL169" s="97"/>
      <c r="GM169" s="97"/>
      <c r="GN169" s="97"/>
      <c r="GO169" s="97"/>
      <c r="GP169" s="97"/>
      <c r="GQ169" s="97"/>
      <c r="GR169" s="97"/>
      <c r="GS169" s="97"/>
      <c r="GT169" s="97"/>
      <c r="GU169" s="97"/>
      <c r="GV169" s="97"/>
      <c r="GW169" s="97"/>
      <c r="GX169" s="97"/>
      <c r="GY169" s="97"/>
      <c r="GZ169" s="97"/>
      <c r="HA169" s="97"/>
      <c r="HB169" s="97"/>
      <c r="HC169" s="97"/>
      <c r="HD169" s="97"/>
      <c r="HE169" s="97"/>
      <c r="HF169" s="97"/>
      <c r="HG169" s="97"/>
      <c r="HH169" s="97"/>
      <c r="HI169" s="97"/>
      <c r="HJ169" s="97"/>
      <c r="HK169" s="97"/>
      <c r="HL169" s="97"/>
      <c r="HM169" s="97"/>
      <c r="HN169" s="97"/>
      <c r="HO169" s="97"/>
      <c r="HP169" s="97"/>
      <c r="HQ169" s="97"/>
      <c r="HR169" s="97"/>
      <c r="HS169" s="97"/>
      <c r="HT169" s="97"/>
      <c r="HU169" s="97"/>
      <c r="HV169" s="97"/>
      <c r="HW169" s="97"/>
      <c r="HX169" s="97"/>
      <c r="HY169" s="97"/>
      <c r="HZ169" s="97"/>
      <c r="IA169" s="97"/>
      <c r="IB169" s="97"/>
      <c r="IC169" s="97"/>
      <c r="ID169" s="97"/>
      <c r="IE169" s="97"/>
      <c r="IF169" s="97"/>
      <c r="IG169" s="97"/>
      <c r="IH169" s="97"/>
      <c r="II169" s="97"/>
      <c r="IJ169" s="97"/>
      <c r="IK169" s="97"/>
      <c r="IL169" s="97"/>
      <c r="IM169" s="97"/>
      <c r="IN169" s="97"/>
      <c r="IO169" s="97"/>
      <c r="IP169" s="97"/>
      <c r="IQ169" s="97"/>
      <c r="IR169" s="97"/>
      <c r="IS169" s="97"/>
      <c r="IT169" s="97"/>
      <c r="IU169" s="97"/>
      <c r="IV169" s="97"/>
      <c r="IW169" s="97"/>
      <c r="IX169" s="97"/>
      <c r="IY169" s="97"/>
      <c r="IZ169" s="97"/>
      <c r="JA169" s="97"/>
      <c r="JB169" s="97"/>
      <c r="JC169" s="97"/>
      <c r="JD169" s="97"/>
      <c r="JE169" s="97"/>
      <c r="JF169" t="s">
        <v>49</v>
      </c>
    </row>
    <row r="170" spans="1:266" hidden="1" x14ac:dyDescent="0.45">
      <c r="A170" s="71" t="str">
        <f>IF('Quote Exports'!C152="","",'Quote Exports'!C152)</f>
        <v>Fnsg Cost</v>
      </c>
      <c r="B170" s="72">
        <v>1</v>
      </c>
      <c r="C170" s="68"/>
      <c r="D170" s="3" t="s">
        <v>340</v>
      </c>
      <c r="E170" s="97">
        <v>0</v>
      </c>
      <c r="F170" s="97">
        <v>0</v>
      </c>
      <c r="G170" s="97">
        <v>0</v>
      </c>
      <c r="H170" s="97">
        <v>0</v>
      </c>
      <c r="I170" s="97">
        <v>0</v>
      </c>
      <c r="J170" s="97">
        <v>0</v>
      </c>
      <c r="K170" s="97">
        <v>0</v>
      </c>
      <c r="L170" s="97">
        <v>0</v>
      </c>
      <c r="M170" s="97">
        <v>0</v>
      </c>
      <c r="N170" s="97">
        <v>0</v>
      </c>
      <c r="O170" s="97">
        <v>0</v>
      </c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  <c r="AT170" s="97"/>
      <c r="AU170" s="97"/>
      <c r="AV170" s="97"/>
      <c r="AW170" s="97"/>
      <c r="AX170" s="97"/>
      <c r="AY170" s="97"/>
      <c r="AZ170" s="97"/>
      <c r="BA170" s="97"/>
      <c r="BB170" s="97"/>
      <c r="BC170" s="97"/>
      <c r="BD170" s="97"/>
      <c r="BE170" s="97"/>
      <c r="BF170" s="97"/>
      <c r="BG170" s="97"/>
      <c r="BH170" s="97"/>
      <c r="BI170" s="97"/>
      <c r="BJ170" s="97"/>
      <c r="BK170" s="97"/>
      <c r="BL170" s="97"/>
      <c r="BM170" s="97"/>
      <c r="BN170" s="97"/>
      <c r="BO170" s="97"/>
      <c r="BP170" s="97"/>
      <c r="BQ170" s="97"/>
      <c r="BR170" s="97"/>
      <c r="BS170" s="97"/>
      <c r="BT170" s="97"/>
      <c r="BU170" s="97"/>
      <c r="BV170" s="97"/>
      <c r="BW170" s="97"/>
      <c r="BX170" s="97"/>
      <c r="BY170" s="97"/>
      <c r="BZ170" s="97"/>
      <c r="CA170" s="97"/>
      <c r="CB170" s="97"/>
      <c r="CC170" s="97"/>
      <c r="CD170" s="97"/>
      <c r="CE170" s="97"/>
      <c r="CF170" s="97"/>
      <c r="CG170" s="97"/>
      <c r="CH170" s="97"/>
      <c r="CI170" s="97"/>
      <c r="CJ170" s="97"/>
      <c r="CK170" s="97"/>
      <c r="CL170" s="97"/>
      <c r="CM170" s="97"/>
      <c r="CN170" s="97"/>
      <c r="CO170" s="97"/>
      <c r="CP170" s="97"/>
      <c r="CQ170" s="97"/>
      <c r="CR170" s="97"/>
      <c r="CS170" s="97"/>
      <c r="CT170" s="97"/>
      <c r="CU170" s="97"/>
      <c r="CV170" s="97"/>
      <c r="CW170" s="97"/>
      <c r="CX170" s="97"/>
      <c r="CY170" s="97"/>
      <c r="CZ170" s="97"/>
      <c r="DA170" s="97"/>
      <c r="DB170" s="97"/>
      <c r="DC170" s="97"/>
      <c r="DD170" s="97"/>
      <c r="DE170" s="97"/>
      <c r="DF170" s="97"/>
      <c r="DG170" s="97"/>
      <c r="DH170" s="97"/>
      <c r="DI170" s="97"/>
      <c r="DJ170" s="97"/>
      <c r="DK170" s="97"/>
      <c r="DL170" s="97"/>
      <c r="DM170" s="97"/>
      <c r="DN170" s="97"/>
      <c r="DO170" s="97"/>
      <c r="DP170" s="97"/>
      <c r="DQ170" s="97"/>
      <c r="DR170" s="97"/>
      <c r="DS170" s="97"/>
      <c r="DT170" s="97"/>
      <c r="DU170" s="97"/>
      <c r="DV170" s="97"/>
      <c r="DW170" s="97"/>
      <c r="DX170" s="97"/>
      <c r="DY170" s="97"/>
      <c r="DZ170" s="97"/>
      <c r="EA170" s="97"/>
      <c r="EB170" s="97"/>
      <c r="EC170" s="97"/>
      <c r="ED170" s="97"/>
      <c r="EE170" s="97"/>
      <c r="EF170" s="97"/>
      <c r="EG170" s="97"/>
      <c r="EH170" s="97"/>
      <c r="EI170" s="97"/>
      <c r="EJ170" s="97"/>
      <c r="EK170" s="97"/>
      <c r="EL170" s="97"/>
      <c r="EM170" s="97"/>
      <c r="EN170" s="97"/>
      <c r="EO170" s="97"/>
      <c r="EP170" s="97"/>
      <c r="EQ170" s="97"/>
      <c r="ER170" s="97"/>
      <c r="ES170" s="97"/>
      <c r="ET170" s="97"/>
      <c r="EU170" s="97"/>
      <c r="EV170" s="97"/>
      <c r="EW170" s="97"/>
      <c r="EX170" s="97"/>
      <c r="EY170" s="97"/>
      <c r="EZ170" s="97"/>
      <c r="FA170" s="97"/>
      <c r="FB170" s="97"/>
      <c r="FC170" s="97"/>
      <c r="FD170" s="97"/>
      <c r="FE170" s="97"/>
      <c r="FF170" s="97"/>
      <c r="FG170" s="97"/>
      <c r="FH170" s="97"/>
      <c r="FI170" s="97"/>
      <c r="FJ170" s="97"/>
      <c r="FK170" s="97"/>
      <c r="FL170" s="97"/>
      <c r="FM170" s="97"/>
      <c r="FN170" s="97"/>
      <c r="FO170" s="97"/>
      <c r="FP170" s="97"/>
      <c r="FQ170" s="97"/>
      <c r="FR170" s="97"/>
      <c r="FS170" s="97"/>
      <c r="FT170" s="97"/>
      <c r="FU170" s="97"/>
      <c r="FV170" s="97"/>
      <c r="FW170" s="97"/>
      <c r="FX170" s="97"/>
      <c r="FY170" s="97"/>
      <c r="FZ170" s="97"/>
      <c r="GA170" s="97"/>
      <c r="GB170" s="97"/>
      <c r="GC170" s="97"/>
      <c r="GD170" s="97"/>
      <c r="GE170" s="97"/>
      <c r="GF170" s="97"/>
      <c r="GG170" s="97"/>
      <c r="GH170" s="97"/>
      <c r="GI170" s="97"/>
      <c r="GJ170" s="97"/>
      <c r="GK170" s="97"/>
      <c r="GL170" s="97"/>
      <c r="GM170" s="97"/>
      <c r="GN170" s="97"/>
      <c r="GO170" s="97"/>
      <c r="GP170" s="97"/>
      <c r="GQ170" s="97"/>
      <c r="GR170" s="97"/>
      <c r="GS170" s="97"/>
      <c r="GT170" s="97"/>
      <c r="GU170" s="97"/>
      <c r="GV170" s="97"/>
      <c r="GW170" s="97"/>
      <c r="GX170" s="97"/>
      <c r="GY170" s="97"/>
      <c r="GZ170" s="97"/>
      <c r="HA170" s="97"/>
      <c r="HB170" s="97"/>
      <c r="HC170" s="97"/>
      <c r="HD170" s="97"/>
      <c r="HE170" s="97"/>
      <c r="HF170" s="97"/>
      <c r="HG170" s="97"/>
      <c r="HH170" s="97"/>
      <c r="HI170" s="97"/>
      <c r="HJ170" s="97"/>
      <c r="HK170" s="97"/>
      <c r="HL170" s="97"/>
      <c r="HM170" s="97"/>
      <c r="HN170" s="97"/>
      <c r="HO170" s="97"/>
      <c r="HP170" s="97"/>
      <c r="HQ170" s="97"/>
      <c r="HR170" s="97"/>
      <c r="HS170" s="97"/>
      <c r="HT170" s="97"/>
      <c r="HU170" s="97"/>
      <c r="HV170" s="97"/>
      <c r="HW170" s="97"/>
      <c r="HX170" s="97"/>
      <c r="HY170" s="97"/>
      <c r="HZ170" s="97"/>
      <c r="IA170" s="97"/>
      <c r="IB170" s="97"/>
      <c r="IC170" s="97"/>
      <c r="ID170" s="97"/>
      <c r="IE170" s="97"/>
      <c r="IF170" s="97"/>
      <c r="IG170" s="97"/>
      <c r="IH170" s="97"/>
      <c r="II170" s="97"/>
      <c r="IJ170" s="97"/>
      <c r="IK170" s="97"/>
      <c r="IL170" s="97"/>
      <c r="IM170" s="97"/>
      <c r="IN170" s="97"/>
      <c r="IO170" s="97"/>
      <c r="IP170" s="97"/>
      <c r="IQ170" s="97"/>
      <c r="IR170" s="97"/>
      <c r="IS170" s="97"/>
      <c r="IT170" s="97"/>
      <c r="IU170" s="97"/>
      <c r="IV170" s="97"/>
      <c r="IW170" s="97"/>
      <c r="IX170" s="97"/>
      <c r="IY170" s="97"/>
      <c r="IZ170" s="97"/>
      <c r="JA170" s="97"/>
      <c r="JB170" s="97"/>
      <c r="JC170" s="97"/>
      <c r="JD170" s="97"/>
      <c r="JE170" s="97"/>
      <c r="JF170" t="s">
        <v>49</v>
      </c>
    </row>
    <row r="171" spans="1:266" hidden="1" x14ac:dyDescent="0.45">
      <c r="A171" s="71" t="str">
        <f>IF('Quote Exports'!C153="","",'Quote Exports'!C153)</f>
        <v>Fnsg Cost</v>
      </c>
      <c r="B171" s="72"/>
      <c r="C171" s="68"/>
      <c r="D171" s="3" t="s">
        <v>341</v>
      </c>
      <c r="E171" s="97">
        <v>248.90199266322941</v>
      </c>
      <c r="F171" s="97">
        <v>253.22615841203674</v>
      </c>
      <c r="G171" s="97">
        <v>243.66174159210451</v>
      </c>
      <c r="H171" s="97">
        <v>254.34282865388408</v>
      </c>
      <c r="I171" s="97">
        <v>225.96080417603719</v>
      </c>
      <c r="J171" s="97">
        <v>248.65519953655763</v>
      </c>
      <c r="K171" s="97">
        <v>217.56664824603243</v>
      </c>
      <c r="L171" s="97">
        <v>225.66265645158808</v>
      </c>
      <c r="M171" s="97">
        <v>225.21367446929935</v>
      </c>
      <c r="N171" s="97">
        <v>222.4926948012457</v>
      </c>
      <c r="O171" s="97">
        <v>211.86154090136475</v>
      </c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  <c r="AA171" s="97"/>
      <c r="AB171" s="97"/>
      <c r="AC171" s="97"/>
      <c r="AD171" s="97"/>
      <c r="AE171" s="97"/>
      <c r="AF171" s="97"/>
      <c r="AG171" s="97"/>
      <c r="AH171" s="97"/>
      <c r="AI171" s="97"/>
      <c r="AJ171" s="97"/>
      <c r="AK171" s="97"/>
      <c r="AL171" s="97"/>
      <c r="AM171" s="97"/>
      <c r="AN171" s="97"/>
      <c r="AO171" s="97"/>
      <c r="AP171" s="97"/>
      <c r="AQ171" s="97"/>
      <c r="AR171" s="97"/>
      <c r="AS171" s="97"/>
      <c r="AT171" s="97"/>
      <c r="AU171" s="97"/>
      <c r="AV171" s="97"/>
      <c r="AW171" s="97"/>
      <c r="AX171" s="97"/>
      <c r="AY171" s="97"/>
      <c r="AZ171" s="97"/>
      <c r="BA171" s="97"/>
      <c r="BB171" s="97"/>
      <c r="BC171" s="97"/>
      <c r="BD171" s="97"/>
      <c r="BE171" s="97"/>
      <c r="BF171" s="97"/>
      <c r="BG171" s="97"/>
      <c r="BH171" s="97"/>
      <c r="BI171" s="97"/>
      <c r="BJ171" s="97"/>
      <c r="BK171" s="97"/>
      <c r="BL171" s="97"/>
      <c r="BM171" s="97"/>
      <c r="BN171" s="97"/>
      <c r="BO171" s="97"/>
      <c r="BP171" s="97"/>
      <c r="BQ171" s="97"/>
      <c r="BR171" s="97"/>
      <c r="BS171" s="97"/>
      <c r="BT171" s="97"/>
      <c r="BU171" s="97"/>
      <c r="BV171" s="97"/>
      <c r="BW171" s="97"/>
      <c r="BX171" s="97"/>
      <c r="BY171" s="97"/>
      <c r="BZ171" s="97"/>
      <c r="CA171" s="97"/>
      <c r="CB171" s="97"/>
      <c r="CC171" s="97"/>
      <c r="CD171" s="97"/>
      <c r="CE171" s="97"/>
      <c r="CF171" s="97"/>
      <c r="CG171" s="97"/>
      <c r="CH171" s="97"/>
      <c r="CI171" s="97"/>
      <c r="CJ171" s="97"/>
      <c r="CK171" s="97"/>
      <c r="CL171" s="97"/>
      <c r="CM171" s="97"/>
      <c r="CN171" s="97"/>
      <c r="CO171" s="97"/>
      <c r="CP171" s="97"/>
      <c r="CQ171" s="97"/>
      <c r="CR171" s="97"/>
      <c r="CS171" s="97"/>
      <c r="CT171" s="97"/>
      <c r="CU171" s="97"/>
      <c r="CV171" s="97"/>
      <c r="CW171" s="97"/>
      <c r="CX171" s="97"/>
      <c r="CY171" s="97"/>
      <c r="CZ171" s="97"/>
      <c r="DA171" s="97"/>
      <c r="DB171" s="97"/>
      <c r="DC171" s="97"/>
      <c r="DD171" s="97"/>
      <c r="DE171" s="97"/>
      <c r="DF171" s="97"/>
      <c r="DG171" s="97"/>
      <c r="DH171" s="97"/>
      <c r="DI171" s="97"/>
      <c r="DJ171" s="97"/>
      <c r="DK171" s="97"/>
      <c r="DL171" s="97"/>
      <c r="DM171" s="97"/>
      <c r="DN171" s="97"/>
      <c r="DO171" s="97"/>
      <c r="DP171" s="97"/>
      <c r="DQ171" s="97"/>
      <c r="DR171" s="97"/>
      <c r="DS171" s="97"/>
      <c r="DT171" s="97"/>
      <c r="DU171" s="97"/>
      <c r="DV171" s="97"/>
      <c r="DW171" s="97"/>
      <c r="DX171" s="97"/>
      <c r="DY171" s="97"/>
      <c r="DZ171" s="97"/>
      <c r="EA171" s="97"/>
      <c r="EB171" s="97"/>
      <c r="EC171" s="97"/>
      <c r="ED171" s="97"/>
      <c r="EE171" s="97"/>
      <c r="EF171" s="97"/>
      <c r="EG171" s="97"/>
      <c r="EH171" s="97"/>
      <c r="EI171" s="97"/>
      <c r="EJ171" s="97"/>
      <c r="EK171" s="97"/>
      <c r="EL171" s="97"/>
      <c r="EM171" s="97"/>
      <c r="EN171" s="97"/>
      <c r="EO171" s="97"/>
      <c r="EP171" s="97"/>
      <c r="EQ171" s="97"/>
      <c r="ER171" s="97"/>
      <c r="ES171" s="97"/>
      <c r="ET171" s="97"/>
      <c r="EU171" s="97"/>
      <c r="EV171" s="97"/>
      <c r="EW171" s="97"/>
      <c r="EX171" s="97"/>
      <c r="EY171" s="97"/>
      <c r="EZ171" s="97"/>
      <c r="FA171" s="97"/>
      <c r="FB171" s="97"/>
      <c r="FC171" s="97"/>
      <c r="FD171" s="97"/>
      <c r="FE171" s="97"/>
      <c r="FF171" s="97"/>
      <c r="FG171" s="97"/>
      <c r="FH171" s="97"/>
      <c r="FI171" s="97"/>
      <c r="FJ171" s="97"/>
      <c r="FK171" s="97"/>
      <c r="FL171" s="97"/>
      <c r="FM171" s="97"/>
      <c r="FN171" s="97"/>
      <c r="FO171" s="97"/>
      <c r="FP171" s="97"/>
      <c r="FQ171" s="97"/>
      <c r="FR171" s="97"/>
      <c r="FS171" s="97"/>
      <c r="FT171" s="97"/>
      <c r="FU171" s="97"/>
      <c r="FV171" s="97"/>
      <c r="FW171" s="97"/>
      <c r="FX171" s="97"/>
      <c r="FY171" s="97"/>
      <c r="FZ171" s="97"/>
      <c r="GA171" s="97"/>
      <c r="GB171" s="97"/>
      <c r="GC171" s="97"/>
      <c r="GD171" s="97"/>
      <c r="GE171" s="97"/>
      <c r="GF171" s="97"/>
      <c r="GG171" s="97"/>
      <c r="GH171" s="97"/>
      <c r="GI171" s="97"/>
      <c r="GJ171" s="97"/>
      <c r="GK171" s="97"/>
      <c r="GL171" s="97"/>
      <c r="GM171" s="97"/>
      <c r="GN171" s="97"/>
      <c r="GO171" s="97"/>
      <c r="GP171" s="97"/>
      <c r="GQ171" s="97"/>
      <c r="GR171" s="97"/>
      <c r="GS171" s="97"/>
      <c r="GT171" s="97"/>
      <c r="GU171" s="97"/>
      <c r="GV171" s="97"/>
      <c r="GW171" s="97"/>
      <c r="GX171" s="97"/>
      <c r="GY171" s="97"/>
      <c r="GZ171" s="97"/>
      <c r="HA171" s="97"/>
      <c r="HB171" s="97"/>
      <c r="HC171" s="97"/>
      <c r="HD171" s="97"/>
      <c r="HE171" s="97"/>
      <c r="HF171" s="97"/>
      <c r="HG171" s="97"/>
      <c r="HH171" s="97"/>
      <c r="HI171" s="97"/>
      <c r="HJ171" s="97"/>
      <c r="HK171" s="97"/>
      <c r="HL171" s="97"/>
      <c r="HM171" s="97"/>
      <c r="HN171" s="97"/>
      <c r="HO171" s="97"/>
      <c r="HP171" s="97"/>
      <c r="HQ171" s="97"/>
      <c r="HR171" s="97"/>
      <c r="HS171" s="97"/>
      <c r="HT171" s="97"/>
      <c r="HU171" s="97"/>
      <c r="HV171" s="97"/>
      <c r="HW171" s="97"/>
      <c r="HX171" s="97"/>
      <c r="HY171" s="97"/>
      <c r="HZ171" s="97"/>
      <c r="IA171" s="97"/>
      <c r="IB171" s="97"/>
      <c r="IC171" s="97"/>
      <c r="ID171" s="97"/>
      <c r="IE171" s="97"/>
      <c r="IF171" s="97"/>
      <c r="IG171" s="97"/>
      <c r="IH171" s="97"/>
      <c r="II171" s="97"/>
      <c r="IJ171" s="97"/>
      <c r="IK171" s="97"/>
      <c r="IL171" s="97"/>
      <c r="IM171" s="97"/>
      <c r="IN171" s="97"/>
      <c r="IO171" s="97"/>
      <c r="IP171" s="97"/>
      <c r="IQ171" s="97"/>
      <c r="IR171" s="97"/>
      <c r="IS171" s="97"/>
      <c r="IT171" s="97"/>
      <c r="IU171" s="97"/>
      <c r="IV171" s="97"/>
      <c r="IW171" s="97"/>
      <c r="IX171" s="97"/>
      <c r="IY171" s="97"/>
      <c r="IZ171" s="97"/>
      <c r="JA171" s="97"/>
      <c r="JB171" s="97"/>
      <c r="JC171" s="97"/>
      <c r="JD171" s="97"/>
      <c r="JE171" s="97"/>
      <c r="JF171" t="s">
        <v>49</v>
      </c>
    </row>
    <row r="172" spans="1:266" x14ac:dyDescent="0.45">
      <c r="A172" s="71" t="str">
        <f>IF('Quote Exports'!C154="","",'Quote Exports'!C154)</f>
        <v>Freight</v>
      </c>
      <c r="B172" s="72">
        <v>1</v>
      </c>
      <c r="C172" s="68" t="s">
        <v>424</v>
      </c>
      <c r="D172" s="1" t="s">
        <v>342</v>
      </c>
      <c r="E172" s="20">
        <v>2.828431734809425</v>
      </c>
      <c r="F172" s="20">
        <v>2.8775699819549629</v>
      </c>
      <c r="G172" s="20">
        <v>2.7688834271830056</v>
      </c>
      <c r="H172" s="20">
        <v>2.8902594165214102</v>
      </c>
      <c r="I172" s="20">
        <v>2.5677364110913317</v>
      </c>
      <c r="J172" s="20">
        <v>2.8256272674608822</v>
      </c>
      <c r="K172" s="20">
        <v>2.4723482755230957</v>
      </c>
      <c r="L172" s="20">
        <v>2.5643483687680462</v>
      </c>
      <c r="M172" s="20">
        <v>2.5592463007874926</v>
      </c>
      <c r="N172" s="20">
        <v>2.528326077286883</v>
      </c>
      <c r="O172" s="20">
        <v>2.4075175102427813</v>
      </c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  <c r="IX172" s="20"/>
      <c r="IY172" s="20"/>
      <c r="IZ172" s="20"/>
      <c r="JA172" s="20"/>
      <c r="JB172" s="20"/>
      <c r="JC172" s="20"/>
      <c r="JD172" s="20"/>
      <c r="JE172" s="20"/>
      <c r="JF172" t="s">
        <v>49</v>
      </c>
    </row>
    <row r="173" spans="1:266" hidden="1" x14ac:dyDescent="0.45">
      <c r="A173" s="71" t="str">
        <f>IF('Quote Exports'!C155="","",'Quote Exports'!C155)</f>
        <v/>
      </c>
      <c r="B173" s="72"/>
      <c r="C173" s="68"/>
      <c r="D173" s="1" t="s">
        <v>343</v>
      </c>
      <c r="E173" s="20">
        <v>2.6937445093423094</v>
      </c>
      <c r="F173" s="20">
        <v>2.6159727108681481</v>
      </c>
      <c r="G173" s="20">
        <v>2.5171667519845502</v>
      </c>
      <c r="H173" s="20">
        <v>2.6275085604740092</v>
      </c>
      <c r="I173" s="20">
        <v>2.3343058282648466</v>
      </c>
      <c r="J173" s="20">
        <v>2.5687520613280745</v>
      </c>
      <c r="K173" s="20">
        <v>2.2475893413846322</v>
      </c>
      <c r="L173" s="20">
        <v>2.3312257897891326</v>
      </c>
      <c r="M173" s="20">
        <v>2.3265875461704475</v>
      </c>
      <c r="N173" s="20">
        <v>2.2984782520789842</v>
      </c>
      <c r="O173" s="20">
        <v>2.1886522820388921</v>
      </c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  <c r="IX173" s="20"/>
      <c r="IY173" s="20"/>
      <c r="IZ173" s="20"/>
      <c r="JA173" s="20"/>
      <c r="JB173" s="20"/>
      <c r="JC173" s="20"/>
      <c r="JD173" s="20"/>
      <c r="JE173" s="20"/>
      <c r="JF173" t="s">
        <v>49</v>
      </c>
    </row>
    <row r="174" spans="1:266" hidden="1" x14ac:dyDescent="0.45">
      <c r="A174" s="71" t="str">
        <f>IF('Quote Exports'!C156="","",'Quote Exports'!C156)</f>
        <v/>
      </c>
      <c r="B174" s="72">
        <v>1</v>
      </c>
      <c r="C174" s="68"/>
      <c r="D174" s="1" t="s">
        <v>344</v>
      </c>
      <c r="E174" s="97">
        <v>2.2995379957800202</v>
      </c>
      <c r="F174" s="97">
        <v>2.3394877902072868</v>
      </c>
      <c r="G174" s="97">
        <v>2.2511247375471592</v>
      </c>
      <c r="H174" s="97">
        <v>2.3498044036759431</v>
      </c>
      <c r="I174" s="97">
        <v>2.0875905781230339</v>
      </c>
      <c r="J174" s="97">
        <v>2.2972579410251077</v>
      </c>
      <c r="K174" s="97">
        <v>2.0100392483927609</v>
      </c>
      <c r="L174" s="97">
        <v>2.0848360721691432</v>
      </c>
      <c r="M174" s="97">
        <v>2.0806880494207256</v>
      </c>
      <c r="N174" s="97">
        <v>2.0555496563307991</v>
      </c>
      <c r="O174" s="97">
        <v>1.9573313091404727</v>
      </c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  <c r="AA174" s="97"/>
      <c r="AB174" s="97"/>
      <c r="AC174" s="97"/>
      <c r="AD174" s="97"/>
      <c r="AE174" s="97"/>
      <c r="AF174" s="97"/>
      <c r="AG174" s="97"/>
      <c r="AH174" s="97"/>
      <c r="AI174" s="97"/>
      <c r="AJ174" s="97"/>
      <c r="AK174" s="97"/>
      <c r="AL174" s="97"/>
      <c r="AM174" s="97"/>
      <c r="AN174" s="97"/>
      <c r="AO174" s="97"/>
      <c r="AP174" s="97"/>
      <c r="AQ174" s="97"/>
      <c r="AR174" s="97"/>
      <c r="AS174" s="97"/>
      <c r="AT174" s="97"/>
      <c r="AU174" s="97"/>
      <c r="AV174" s="97"/>
      <c r="AW174" s="97"/>
      <c r="AX174" s="97"/>
      <c r="AY174" s="97"/>
      <c r="AZ174" s="97"/>
      <c r="BA174" s="97"/>
      <c r="BB174" s="97"/>
      <c r="BC174" s="97"/>
      <c r="BD174" s="97"/>
      <c r="BE174" s="97"/>
      <c r="BF174" s="97"/>
      <c r="BG174" s="97"/>
      <c r="BH174" s="97"/>
      <c r="BI174" s="97"/>
      <c r="BJ174" s="97"/>
      <c r="BK174" s="97"/>
      <c r="BL174" s="97"/>
      <c r="BM174" s="97"/>
      <c r="BN174" s="97"/>
      <c r="BO174" s="97"/>
      <c r="BP174" s="97"/>
      <c r="BQ174" s="97"/>
      <c r="BR174" s="97"/>
      <c r="BS174" s="97"/>
      <c r="BT174" s="97"/>
      <c r="BU174" s="97"/>
      <c r="BV174" s="97"/>
      <c r="BW174" s="97"/>
      <c r="BX174" s="97"/>
      <c r="BY174" s="97"/>
      <c r="BZ174" s="97"/>
      <c r="CA174" s="97"/>
      <c r="CB174" s="97"/>
      <c r="CC174" s="97"/>
      <c r="CD174" s="97"/>
      <c r="CE174" s="97"/>
      <c r="CF174" s="97"/>
      <c r="CG174" s="97"/>
      <c r="CH174" s="97"/>
      <c r="CI174" s="97"/>
      <c r="CJ174" s="97"/>
      <c r="CK174" s="97"/>
      <c r="CL174" s="97"/>
      <c r="CM174" s="97"/>
      <c r="CN174" s="97"/>
      <c r="CO174" s="97"/>
      <c r="CP174" s="97"/>
      <c r="CQ174" s="97"/>
      <c r="CR174" s="97"/>
      <c r="CS174" s="97"/>
      <c r="CT174" s="97"/>
      <c r="CU174" s="97"/>
      <c r="CV174" s="97"/>
      <c r="CW174" s="97"/>
      <c r="CX174" s="97"/>
      <c r="CY174" s="97"/>
      <c r="CZ174" s="97"/>
      <c r="DA174" s="97"/>
      <c r="DB174" s="97"/>
      <c r="DC174" s="97"/>
      <c r="DD174" s="97"/>
      <c r="DE174" s="97"/>
      <c r="DF174" s="97"/>
      <c r="DG174" s="97"/>
      <c r="DH174" s="97"/>
      <c r="DI174" s="97"/>
      <c r="DJ174" s="97"/>
      <c r="DK174" s="97"/>
      <c r="DL174" s="97"/>
      <c r="DM174" s="97"/>
      <c r="DN174" s="97"/>
      <c r="DO174" s="97"/>
      <c r="DP174" s="97"/>
      <c r="DQ174" s="97"/>
      <c r="DR174" s="97"/>
      <c r="DS174" s="97"/>
      <c r="DT174" s="97"/>
      <c r="DU174" s="97"/>
      <c r="DV174" s="97"/>
      <c r="DW174" s="97"/>
      <c r="DX174" s="97"/>
      <c r="DY174" s="97"/>
      <c r="DZ174" s="97"/>
      <c r="EA174" s="97"/>
      <c r="EB174" s="97"/>
      <c r="EC174" s="97"/>
      <c r="ED174" s="97"/>
      <c r="EE174" s="97"/>
      <c r="EF174" s="97"/>
      <c r="EG174" s="97"/>
      <c r="EH174" s="97"/>
      <c r="EI174" s="97"/>
      <c r="EJ174" s="97"/>
      <c r="EK174" s="97"/>
      <c r="EL174" s="97"/>
      <c r="EM174" s="97"/>
      <c r="EN174" s="97"/>
      <c r="EO174" s="97"/>
      <c r="EP174" s="97"/>
      <c r="EQ174" s="97"/>
      <c r="ER174" s="97"/>
      <c r="ES174" s="97"/>
      <c r="ET174" s="97"/>
      <c r="EU174" s="97"/>
      <c r="EV174" s="97"/>
      <c r="EW174" s="97"/>
      <c r="EX174" s="97"/>
      <c r="EY174" s="97"/>
      <c r="EZ174" s="97"/>
      <c r="FA174" s="97"/>
      <c r="FB174" s="97"/>
      <c r="FC174" s="97"/>
      <c r="FD174" s="97"/>
      <c r="FE174" s="97"/>
      <c r="FF174" s="97"/>
      <c r="FG174" s="97"/>
      <c r="FH174" s="97"/>
      <c r="FI174" s="97"/>
      <c r="FJ174" s="97"/>
      <c r="FK174" s="97"/>
      <c r="FL174" s="97"/>
      <c r="FM174" s="97"/>
      <c r="FN174" s="97"/>
      <c r="FO174" s="97"/>
      <c r="FP174" s="97"/>
      <c r="FQ174" s="97"/>
      <c r="FR174" s="97"/>
      <c r="FS174" s="97"/>
      <c r="FT174" s="97"/>
      <c r="FU174" s="97"/>
      <c r="FV174" s="97"/>
      <c r="FW174" s="97"/>
      <c r="FX174" s="97"/>
      <c r="FY174" s="97"/>
      <c r="FZ174" s="97"/>
      <c r="GA174" s="97"/>
      <c r="GB174" s="97"/>
      <c r="GC174" s="97"/>
      <c r="GD174" s="97"/>
      <c r="GE174" s="97"/>
      <c r="GF174" s="97"/>
      <c r="GG174" s="97"/>
      <c r="GH174" s="97"/>
      <c r="GI174" s="97"/>
      <c r="GJ174" s="97"/>
      <c r="GK174" s="97"/>
      <c r="GL174" s="97"/>
      <c r="GM174" s="97"/>
      <c r="GN174" s="97"/>
      <c r="GO174" s="97"/>
      <c r="GP174" s="97"/>
      <c r="GQ174" s="97"/>
      <c r="GR174" s="97"/>
      <c r="GS174" s="97"/>
      <c r="GT174" s="97"/>
      <c r="GU174" s="97"/>
      <c r="GV174" s="97"/>
      <c r="GW174" s="97"/>
      <c r="GX174" s="97"/>
      <c r="GY174" s="97"/>
      <c r="GZ174" s="97"/>
      <c r="HA174" s="97"/>
      <c r="HB174" s="97"/>
      <c r="HC174" s="97"/>
      <c r="HD174" s="97"/>
      <c r="HE174" s="97"/>
      <c r="HF174" s="97"/>
      <c r="HG174" s="97"/>
      <c r="HH174" s="97"/>
      <c r="HI174" s="97"/>
      <c r="HJ174" s="97"/>
      <c r="HK174" s="97"/>
      <c r="HL174" s="97"/>
      <c r="HM174" s="97"/>
      <c r="HN174" s="97"/>
      <c r="HO174" s="97"/>
      <c r="HP174" s="97"/>
      <c r="HQ174" s="97"/>
      <c r="HR174" s="97"/>
      <c r="HS174" s="97"/>
      <c r="HT174" s="97"/>
      <c r="HU174" s="97"/>
      <c r="HV174" s="97"/>
      <c r="HW174" s="97"/>
      <c r="HX174" s="97"/>
      <c r="HY174" s="97"/>
      <c r="HZ174" s="97"/>
      <c r="IA174" s="97"/>
      <c r="IB174" s="97"/>
      <c r="IC174" s="97"/>
      <c r="ID174" s="97"/>
      <c r="IE174" s="97"/>
      <c r="IF174" s="97"/>
      <c r="IG174" s="97"/>
      <c r="IH174" s="97"/>
      <c r="II174" s="97"/>
      <c r="IJ174" s="97"/>
      <c r="IK174" s="97"/>
      <c r="IL174" s="97"/>
      <c r="IM174" s="97"/>
      <c r="IN174" s="97"/>
      <c r="IO174" s="97"/>
      <c r="IP174" s="97"/>
      <c r="IQ174" s="97"/>
      <c r="IR174" s="97"/>
      <c r="IS174" s="97"/>
      <c r="IT174" s="97"/>
      <c r="IU174" s="97"/>
      <c r="IV174" s="97"/>
      <c r="IW174" s="97"/>
      <c r="IX174" s="97"/>
      <c r="IY174" s="97"/>
      <c r="IZ174" s="97"/>
      <c r="JA174" s="97"/>
      <c r="JB174" s="97"/>
      <c r="JC174" s="97"/>
      <c r="JD174" s="97"/>
      <c r="JE174" s="97"/>
      <c r="JF174" t="s">
        <v>49</v>
      </c>
    </row>
    <row r="175" spans="1:266" x14ac:dyDescent="0.45">
      <c r="A175" s="71" t="str">
        <f>IF('Quote Exports'!C157="","",'Quote Exports'!C157)</f>
        <v>Payment</v>
      </c>
      <c r="B175" s="72">
        <v>1</v>
      </c>
      <c r="C175" s="68" t="s">
        <v>424</v>
      </c>
      <c r="D175" s="107" t="s">
        <v>190</v>
      </c>
      <c r="E175" s="133" t="str">
        <v>3.3002</v>
      </c>
      <c r="F175" s="133">
        <v>3.3003999999999998</v>
      </c>
      <c r="G175" s="133" t="str">
        <v>3.3006</v>
      </c>
      <c r="H175" s="133">
        <v>3.3010999999999999</v>
      </c>
      <c r="I175" s="133">
        <v>3.9001000000000001</v>
      </c>
      <c r="J175" s="133">
        <v>3.9003000000000001</v>
      </c>
      <c r="K175" s="133">
        <v>3.9003999999999999</v>
      </c>
      <c r="L175" s="133">
        <v>3.9005000000000001</v>
      </c>
      <c r="M175" s="133">
        <v>3.9007999999999998</v>
      </c>
      <c r="N175" s="133">
        <v>3.9014000000000002</v>
      </c>
      <c r="O175" s="133">
        <v>3.9015</v>
      </c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  <c r="AX175" s="133"/>
      <c r="AY175" s="133"/>
      <c r="AZ175" s="133"/>
      <c r="BA175" s="133"/>
      <c r="BB175" s="133"/>
      <c r="BC175" s="133"/>
      <c r="BD175" s="133"/>
      <c r="BE175" s="133"/>
      <c r="BF175" s="133"/>
      <c r="BG175" s="133"/>
      <c r="BH175" s="133"/>
      <c r="BI175" s="133"/>
      <c r="BJ175" s="133"/>
      <c r="BK175" s="133"/>
      <c r="BL175" s="133"/>
      <c r="BM175" s="133"/>
      <c r="BN175" s="133"/>
      <c r="BO175" s="133"/>
      <c r="BP175" s="133"/>
      <c r="BQ175" s="133"/>
      <c r="BR175" s="133"/>
      <c r="BS175" s="133"/>
      <c r="BT175" s="133"/>
      <c r="BU175" s="133"/>
      <c r="BV175" s="133"/>
      <c r="BW175" s="133"/>
      <c r="BX175" s="133"/>
      <c r="BY175" s="133"/>
      <c r="BZ175" s="133"/>
      <c r="CA175" s="133"/>
      <c r="CB175" s="133"/>
      <c r="CC175" s="133"/>
      <c r="CD175" s="133"/>
      <c r="CE175" s="133"/>
      <c r="CF175" s="133"/>
      <c r="CG175" s="133"/>
      <c r="CH175" s="133"/>
      <c r="CI175" s="133"/>
      <c r="CJ175" s="133"/>
      <c r="CK175" s="133"/>
      <c r="CL175" s="133"/>
      <c r="CM175" s="133"/>
      <c r="CN175" s="133"/>
      <c r="CO175" s="133"/>
      <c r="CP175" s="133"/>
      <c r="CQ175" s="133"/>
      <c r="CR175" s="133"/>
      <c r="CS175" s="133"/>
      <c r="CT175" s="133"/>
      <c r="CU175" s="133"/>
      <c r="CV175" s="133"/>
      <c r="CW175" s="133"/>
      <c r="CX175" s="133"/>
      <c r="CY175" s="133"/>
      <c r="CZ175" s="133"/>
      <c r="DA175" s="133"/>
      <c r="DB175" s="133"/>
      <c r="DC175" s="133"/>
      <c r="DD175" s="133"/>
      <c r="DE175" s="133"/>
      <c r="DF175" s="133"/>
      <c r="DG175" s="133"/>
      <c r="DH175" s="133"/>
      <c r="DI175" s="133"/>
      <c r="DJ175" s="133"/>
      <c r="DK175" s="133"/>
      <c r="DL175" s="133"/>
      <c r="DM175" s="133"/>
      <c r="DN175" s="133"/>
      <c r="DO175" s="133"/>
      <c r="DP175" s="133"/>
      <c r="DQ175" s="133"/>
      <c r="DR175" s="133"/>
      <c r="DS175" s="133"/>
      <c r="DT175" s="133"/>
      <c r="DU175" s="133"/>
      <c r="DV175" s="133"/>
      <c r="DW175" s="133"/>
      <c r="DX175" s="133"/>
      <c r="DY175" s="133"/>
      <c r="DZ175" s="133"/>
      <c r="EA175" s="133"/>
      <c r="EB175" s="133"/>
      <c r="EC175" s="133"/>
      <c r="ED175" s="133"/>
      <c r="EE175" s="133"/>
      <c r="EF175" s="133"/>
      <c r="EG175" s="133"/>
      <c r="EH175" s="133"/>
      <c r="EI175" s="133"/>
      <c r="EJ175" s="133"/>
      <c r="EK175" s="133"/>
      <c r="EL175" s="133"/>
      <c r="EM175" s="133"/>
      <c r="EN175" s="133"/>
      <c r="EO175" s="133"/>
      <c r="EP175" s="133"/>
      <c r="EQ175" s="133"/>
      <c r="ER175" s="133"/>
      <c r="ES175" s="133"/>
      <c r="ET175" s="133"/>
      <c r="EU175" s="133"/>
      <c r="EV175" s="133"/>
      <c r="EW175" s="133"/>
      <c r="EX175" s="133"/>
      <c r="EY175" s="133"/>
      <c r="EZ175" s="133"/>
      <c r="FA175" s="133"/>
      <c r="FB175" s="133"/>
      <c r="FC175" s="133"/>
      <c r="FD175" s="133"/>
      <c r="FE175" s="133"/>
      <c r="FF175" s="133"/>
      <c r="FG175" s="133"/>
      <c r="FH175" s="133"/>
      <c r="FI175" s="133"/>
      <c r="FJ175" s="133"/>
      <c r="FK175" s="133"/>
      <c r="FL175" s="133"/>
      <c r="FM175" s="133"/>
      <c r="FN175" s="133"/>
      <c r="FO175" s="133"/>
      <c r="FP175" s="133"/>
      <c r="FQ175" s="133"/>
      <c r="FR175" s="133"/>
      <c r="FS175" s="133"/>
      <c r="FT175" s="133"/>
      <c r="FU175" s="133"/>
      <c r="FV175" s="133"/>
      <c r="FW175" s="133"/>
      <c r="FX175" s="133"/>
      <c r="FY175" s="133"/>
      <c r="FZ175" s="133"/>
      <c r="GA175" s="133"/>
      <c r="GB175" s="133"/>
      <c r="GC175" s="133"/>
      <c r="GD175" s="133"/>
      <c r="GE175" s="133"/>
      <c r="GF175" s="133"/>
      <c r="GG175" s="133"/>
      <c r="GH175" s="133"/>
      <c r="GI175" s="133"/>
      <c r="GJ175" s="133"/>
      <c r="GK175" s="133"/>
      <c r="GL175" s="133"/>
      <c r="GM175" s="133"/>
      <c r="GN175" s="133"/>
      <c r="GO175" s="133"/>
      <c r="GP175" s="133"/>
      <c r="GQ175" s="133"/>
      <c r="GR175" s="133"/>
      <c r="GS175" s="133"/>
      <c r="GT175" s="133"/>
      <c r="GU175" s="133"/>
      <c r="GV175" s="133"/>
      <c r="GW175" s="133"/>
      <c r="GX175" s="133"/>
      <c r="GY175" s="133"/>
      <c r="GZ175" s="133"/>
      <c r="HA175" s="133"/>
      <c r="HB175" s="133"/>
      <c r="HC175" s="133"/>
      <c r="HD175" s="133"/>
      <c r="HE175" s="133"/>
      <c r="HF175" s="133"/>
      <c r="HG175" s="133"/>
      <c r="HH175" s="133"/>
      <c r="HI175" s="133"/>
      <c r="HJ175" s="133"/>
      <c r="HK175" s="133"/>
      <c r="HL175" s="133"/>
      <c r="HM175" s="133"/>
      <c r="HN175" s="133"/>
      <c r="HO175" s="133"/>
      <c r="HP175" s="133"/>
      <c r="HQ175" s="133"/>
      <c r="HR175" s="133"/>
      <c r="HS175" s="133"/>
      <c r="HT175" s="133"/>
      <c r="HU175" s="133"/>
      <c r="HV175" s="133"/>
      <c r="HW175" s="133"/>
      <c r="HX175" s="133"/>
      <c r="HY175" s="133"/>
      <c r="HZ175" s="133"/>
      <c r="IA175" s="133"/>
      <c r="IB175" s="133"/>
      <c r="IC175" s="133"/>
      <c r="ID175" s="133"/>
      <c r="IE175" s="133"/>
      <c r="IF175" s="133"/>
      <c r="IG175" s="133"/>
      <c r="IH175" s="133"/>
      <c r="II175" s="133"/>
      <c r="IJ175" s="133"/>
      <c r="IK175" s="133"/>
      <c r="IL175" s="133"/>
      <c r="IM175" s="133"/>
      <c r="IN175" s="133"/>
      <c r="IO175" s="133"/>
      <c r="IP175" s="133"/>
      <c r="IQ175" s="133"/>
      <c r="IR175" s="133"/>
      <c r="IS175" s="133"/>
      <c r="IT175" s="133"/>
      <c r="IU175" s="133"/>
      <c r="IV175" s="133"/>
      <c r="IW175" s="133"/>
      <c r="IX175" s="133"/>
      <c r="IY175" s="133"/>
      <c r="IZ175" s="133"/>
      <c r="JA175" s="133"/>
      <c r="JB175" s="133"/>
      <c r="JC175" s="133"/>
      <c r="JD175" s="133"/>
      <c r="JE175" s="133"/>
      <c r="JF175" t="s">
        <v>49</v>
      </c>
    </row>
    <row r="176" spans="1:266" x14ac:dyDescent="0.45">
      <c r="A176" s="71" t="str">
        <f>IF('Quote Exports'!C158="","",'Quote Exports'!C158)</f>
        <v/>
      </c>
      <c r="B176" s="72">
        <v>1</v>
      </c>
      <c r="C176" s="68" t="s">
        <v>424</v>
      </c>
      <c r="D176" s="109" t="s">
        <v>346</v>
      </c>
      <c r="E176" s="108" t="str">
        <v>CM</v>
      </c>
      <c r="F176" s="108" t="str">
        <v>CM</v>
      </c>
      <c r="G176" s="108" t="str">
        <v>CM</v>
      </c>
      <c r="H176" s="108" t="str">
        <v>CM</v>
      </c>
      <c r="I176" s="108" t="str">
        <v>CM</v>
      </c>
      <c r="J176" s="108" t="str">
        <v>CM</v>
      </c>
      <c r="K176" s="108" t="str">
        <v>CM</v>
      </c>
      <c r="L176" s="108" t="str">
        <v>CM</v>
      </c>
      <c r="M176" s="108" t="str">
        <v>CM</v>
      </c>
      <c r="N176" s="108" t="str">
        <v>CM</v>
      </c>
      <c r="O176" s="108" t="str">
        <v>CM</v>
      </c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8"/>
      <c r="BJ176" s="108"/>
      <c r="BK176" s="108"/>
      <c r="BL176" s="108"/>
      <c r="BM176" s="108"/>
      <c r="BN176" s="108"/>
      <c r="BO176" s="108"/>
      <c r="BP176" s="108"/>
      <c r="BQ176" s="108"/>
      <c r="BR176" s="108"/>
      <c r="BS176" s="108"/>
      <c r="BT176" s="108"/>
      <c r="BU176" s="108"/>
      <c r="BV176" s="108"/>
      <c r="BW176" s="108"/>
      <c r="BX176" s="108"/>
      <c r="BY176" s="108"/>
      <c r="BZ176" s="108"/>
      <c r="CA176" s="108"/>
      <c r="CB176" s="108"/>
      <c r="CC176" s="108"/>
      <c r="CD176" s="108"/>
      <c r="CE176" s="108"/>
      <c r="CF176" s="108"/>
      <c r="CG176" s="108"/>
      <c r="CH176" s="108"/>
      <c r="CI176" s="108"/>
      <c r="CJ176" s="108"/>
      <c r="CK176" s="108"/>
      <c r="CL176" s="108"/>
      <c r="CM176" s="108"/>
      <c r="CN176" s="108"/>
      <c r="CO176" s="108"/>
      <c r="CP176" s="108"/>
      <c r="CQ176" s="108"/>
      <c r="CR176" s="108"/>
      <c r="CS176" s="108"/>
      <c r="CT176" s="108"/>
      <c r="CU176" s="108"/>
      <c r="CV176" s="108"/>
      <c r="CW176" s="108"/>
      <c r="CX176" s="108"/>
      <c r="CY176" s="108"/>
      <c r="CZ176" s="108"/>
      <c r="DA176" s="108"/>
      <c r="DB176" s="108"/>
      <c r="DC176" s="108"/>
      <c r="DD176" s="108"/>
      <c r="DE176" s="108"/>
      <c r="DF176" s="108"/>
      <c r="DG176" s="108"/>
      <c r="DH176" s="108"/>
      <c r="DI176" s="108"/>
      <c r="DJ176" s="108"/>
      <c r="DK176" s="108"/>
      <c r="DL176" s="108"/>
      <c r="DM176" s="108"/>
      <c r="DN176" s="108"/>
      <c r="DO176" s="108"/>
      <c r="DP176" s="108"/>
      <c r="DQ176" s="108"/>
      <c r="DR176" s="108"/>
      <c r="DS176" s="108"/>
      <c r="DT176" s="108"/>
      <c r="DU176" s="108"/>
      <c r="DV176" s="108"/>
      <c r="DW176" s="108"/>
      <c r="DX176" s="108"/>
      <c r="DY176" s="108"/>
      <c r="DZ176" s="108"/>
      <c r="EA176" s="108"/>
      <c r="EB176" s="108"/>
      <c r="EC176" s="108"/>
      <c r="ED176" s="108"/>
      <c r="EE176" s="108"/>
      <c r="EF176" s="108"/>
      <c r="EG176" s="108"/>
      <c r="EH176" s="108"/>
      <c r="EI176" s="108"/>
      <c r="EJ176" s="108"/>
      <c r="EK176" s="108"/>
      <c r="EL176" s="108"/>
      <c r="EM176" s="108"/>
      <c r="EN176" s="108"/>
      <c r="EO176" s="108"/>
      <c r="EP176" s="108"/>
      <c r="EQ176" s="108"/>
      <c r="ER176" s="108"/>
      <c r="ES176" s="108"/>
      <c r="ET176" s="108"/>
      <c r="EU176" s="108"/>
      <c r="EV176" s="108"/>
      <c r="EW176" s="108"/>
      <c r="EX176" s="108"/>
      <c r="EY176" s="108"/>
      <c r="EZ176" s="108"/>
      <c r="FA176" s="108"/>
      <c r="FB176" s="108"/>
      <c r="FC176" s="108"/>
      <c r="FD176" s="108"/>
      <c r="FE176" s="108"/>
      <c r="FF176" s="108"/>
      <c r="FG176" s="108"/>
      <c r="FH176" s="108"/>
      <c r="FI176" s="108"/>
      <c r="FJ176" s="108"/>
      <c r="FK176" s="108"/>
      <c r="FL176" s="108"/>
      <c r="FM176" s="108"/>
      <c r="FN176" s="108"/>
      <c r="FO176" s="108"/>
      <c r="FP176" s="108"/>
      <c r="FQ176" s="108"/>
      <c r="FR176" s="108"/>
      <c r="FS176" s="108"/>
      <c r="FT176" s="108"/>
      <c r="FU176" s="108"/>
      <c r="FV176" s="108"/>
      <c r="FW176" s="108"/>
      <c r="FX176" s="108"/>
      <c r="FY176" s="108"/>
      <c r="FZ176" s="108"/>
      <c r="GA176" s="108"/>
      <c r="GB176" s="108"/>
      <c r="GC176" s="108"/>
      <c r="GD176" s="108"/>
      <c r="GE176" s="108"/>
      <c r="GF176" s="108"/>
      <c r="GG176" s="108"/>
      <c r="GH176" s="108"/>
      <c r="GI176" s="108"/>
      <c r="GJ176" s="108"/>
      <c r="GK176" s="108"/>
      <c r="GL176" s="108"/>
      <c r="GM176" s="108"/>
      <c r="GN176" s="108"/>
      <c r="GO176" s="108"/>
      <c r="GP176" s="108"/>
      <c r="GQ176" s="108"/>
      <c r="GR176" s="108"/>
      <c r="GS176" s="108"/>
      <c r="GT176" s="108"/>
      <c r="GU176" s="108"/>
      <c r="GV176" s="108"/>
      <c r="GW176" s="108"/>
      <c r="GX176" s="108"/>
      <c r="GY176" s="108"/>
      <c r="GZ176" s="108"/>
      <c r="HA176" s="108"/>
      <c r="HB176" s="108"/>
      <c r="HC176" s="108"/>
      <c r="HD176" s="108"/>
      <c r="HE176" s="108"/>
      <c r="HF176" s="108"/>
      <c r="HG176" s="108"/>
      <c r="HH176" s="108"/>
      <c r="HI176" s="108"/>
      <c r="HJ176" s="108"/>
      <c r="HK176" s="108"/>
      <c r="HL176" s="108"/>
      <c r="HM176" s="108"/>
      <c r="HN176" s="108"/>
      <c r="HO176" s="108"/>
      <c r="HP176" s="108"/>
      <c r="HQ176" s="108"/>
      <c r="HR176" s="108"/>
      <c r="HS176" s="108"/>
      <c r="HT176" s="108"/>
      <c r="HU176" s="108"/>
      <c r="HV176" s="108"/>
      <c r="HW176" s="108"/>
      <c r="HX176" s="108"/>
      <c r="HY176" s="108"/>
      <c r="HZ176" s="108"/>
      <c r="IA176" s="108"/>
      <c r="IB176" s="108"/>
      <c r="IC176" s="108"/>
      <c r="ID176" s="108"/>
      <c r="IE176" s="108"/>
      <c r="IF176" s="108"/>
      <c r="IG176" s="108"/>
      <c r="IH176" s="108"/>
      <c r="II176" s="108"/>
      <c r="IJ176" s="108"/>
      <c r="IK176" s="108"/>
      <c r="IL176" s="108"/>
      <c r="IM176" s="108"/>
      <c r="IN176" s="108"/>
      <c r="IO176" s="108"/>
      <c r="IP176" s="108"/>
      <c r="IQ176" s="108"/>
      <c r="IR176" s="108"/>
      <c r="IS176" s="108"/>
      <c r="IT176" s="108"/>
      <c r="IU176" s="108"/>
      <c r="IV176" s="108"/>
      <c r="IW176" s="108"/>
      <c r="IX176" s="108"/>
      <c r="IY176" s="108"/>
      <c r="IZ176" s="108"/>
      <c r="JA176" s="108"/>
      <c r="JB176" s="108"/>
      <c r="JC176" s="108"/>
      <c r="JD176" s="108"/>
      <c r="JE176" s="108"/>
      <c r="JF176" t="s">
        <v>49</v>
      </c>
    </row>
    <row r="177" spans="1:266" x14ac:dyDescent="0.45">
      <c r="A177" s="71" t="str">
        <f>IF('Quote Exports'!C161="","",'Quote Exports'!C161)</f>
        <v>Ebidta</v>
      </c>
      <c r="B177" s="72">
        <v>1</v>
      </c>
      <c r="C177" s="68" t="s">
        <v>425</v>
      </c>
      <c r="D177" s="107" t="s">
        <v>426</v>
      </c>
      <c r="E177" s="108">
        <v>140</v>
      </c>
      <c r="F177" s="108">
        <v>140</v>
      </c>
      <c r="G177" s="108">
        <v>140</v>
      </c>
      <c r="H177" s="108">
        <v>140</v>
      </c>
      <c r="I177" s="108">
        <v>70</v>
      </c>
      <c r="J177" s="108">
        <v>40</v>
      </c>
      <c r="K177" s="108">
        <v>100</v>
      </c>
      <c r="L177" s="108">
        <v>60</v>
      </c>
      <c r="M177" s="108">
        <v>70</v>
      </c>
      <c r="N177" s="108">
        <v>90</v>
      </c>
      <c r="O177" s="108">
        <v>60</v>
      </c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8"/>
      <c r="BJ177" s="108"/>
      <c r="BK177" s="108"/>
      <c r="BL177" s="108"/>
      <c r="BM177" s="108"/>
      <c r="BN177" s="108"/>
      <c r="BO177" s="108"/>
      <c r="BP177" s="108"/>
      <c r="BQ177" s="108"/>
      <c r="BR177" s="108"/>
      <c r="BS177" s="108"/>
      <c r="BT177" s="108"/>
      <c r="BU177" s="108"/>
      <c r="BV177" s="108"/>
      <c r="BW177" s="108"/>
      <c r="BX177" s="108"/>
      <c r="BY177" s="108"/>
      <c r="BZ177" s="108"/>
      <c r="CA177" s="108"/>
      <c r="CB177" s="108"/>
      <c r="CC177" s="108"/>
      <c r="CD177" s="108"/>
      <c r="CE177" s="108"/>
      <c r="CF177" s="108"/>
      <c r="CG177" s="108"/>
      <c r="CH177" s="108"/>
      <c r="CI177" s="108"/>
      <c r="CJ177" s="108"/>
      <c r="CK177" s="108"/>
      <c r="CL177" s="108"/>
      <c r="CM177" s="108"/>
      <c r="CN177" s="108"/>
      <c r="CO177" s="108"/>
      <c r="CP177" s="108"/>
      <c r="CQ177" s="108"/>
      <c r="CR177" s="108"/>
      <c r="CS177" s="108"/>
      <c r="CT177" s="108"/>
      <c r="CU177" s="108"/>
      <c r="CV177" s="108"/>
      <c r="CW177" s="108"/>
      <c r="CX177" s="108"/>
      <c r="CY177" s="108"/>
      <c r="CZ177" s="108"/>
      <c r="DA177" s="108"/>
      <c r="DB177" s="108"/>
      <c r="DC177" s="108"/>
      <c r="DD177" s="108"/>
      <c r="DE177" s="108"/>
      <c r="DF177" s="108"/>
      <c r="DG177" s="108"/>
      <c r="DH177" s="108"/>
      <c r="DI177" s="108"/>
      <c r="DJ177" s="108"/>
      <c r="DK177" s="108"/>
      <c r="DL177" s="108"/>
      <c r="DM177" s="108"/>
      <c r="DN177" s="108"/>
      <c r="DO177" s="108"/>
      <c r="DP177" s="108"/>
      <c r="DQ177" s="108"/>
      <c r="DR177" s="108"/>
      <c r="DS177" s="108"/>
      <c r="DT177" s="108"/>
      <c r="DU177" s="108"/>
      <c r="DV177" s="108"/>
      <c r="DW177" s="108"/>
      <c r="DX177" s="108"/>
      <c r="DY177" s="108"/>
      <c r="DZ177" s="108"/>
      <c r="EA177" s="108"/>
      <c r="EB177" s="108"/>
      <c r="EC177" s="108"/>
      <c r="ED177" s="108"/>
      <c r="EE177" s="108"/>
      <c r="EF177" s="108"/>
      <c r="EG177" s="108"/>
      <c r="EH177" s="108"/>
      <c r="EI177" s="108"/>
      <c r="EJ177" s="108"/>
      <c r="EK177" s="108"/>
      <c r="EL177" s="108"/>
      <c r="EM177" s="108"/>
      <c r="EN177" s="108"/>
      <c r="EO177" s="108"/>
      <c r="EP177" s="108"/>
      <c r="EQ177" s="108"/>
      <c r="ER177" s="108"/>
      <c r="ES177" s="108"/>
      <c r="ET177" s="108"/>
      <c r="EU177" s="108"/>
      <c r="EV177" s="108"/>
      <c r="EW177" s="108"/>
      <c r="EX177" s="108"/>
      <c r="EY177" s="108"/>
      <c r="EZ177" s="108"/>
      <c r="FA177" s="108"/>
      <c r="FB177" s="108"/>
      <c r="FC177" s="108"/>
      <c r="FD177" s="108"/>
      <c r="FE177" s="108"/>
      <c r="FF177" s="108"/>
      <c r="FG177" s="108"/>
      <c r="FH177" s="108"/>
      <c r="FI177" s="108"/>
      <c r="FJ177" s="108"/>
      <c r="FK177" s="108"/>
      <c r="FL177" s="108"/>
      <c r="FM177" s="108"/>
      <c r="FN177" s="108"/>
      <c r="FO177" s="108"/>
      <c r="FP177" s="108"/>
      <c r="FQ177" s="108"/>
      <c r="FR177" s="108"/>
      <c r="FS177" s="108"/>
      <c r="FT177" s="108"/>
      <c r="FU177" s="108"/>
      <c r="FV177" s="108"/>
      <c r="FW177" s="108"/>
      <c r="FX177" s="108"/>
      <c r="FY177" s="108"/>
      <c r="FZ177" s="108"/>
      <c r="GA177" s="108"/>
      <c r="GB177" s="108"/>
      <c r="GC177" s="108"/>
      <c r="GD177" s="108"/>
      <c r="GE177" s="108"/>
      <c r="GF177" s="108"/>
      <c r="GG177" s="108"/>
      <c r="GH177" s="108"/>
      <c r="GI177" s="108"/>
      <c r="GJ177" s="108"/>
      <c r="GK177" s="108"/>
      <c r="GL177" s="108"/>
      <c r="GM177" s="108"/>
      <c r="GN177" s="108"/>
      <c r="GO177" s="108"/>
      <c r="GP177" s="108"/>
      <c r="GQ177" s="108"/>
      <c r="GR177" s="108"/>
      <c r="GS177" s="108"/>
      <c r="GT177" s="108"/>
      <c r="GU177" s="108"/>
      <c r="GV177" s="108"/>
      <c r="GW177" s="108"/>
      <c r="GX177" s="108"/>
      <c r="GY177" s="108"/>
      <c r="GZ177" s="108"/>
      <c r="HA177" s="108"/>
      <c r="HB177" s="108"/>
      <c r="HC177" s="108"/>
      <c r="HD177" s="108"/>
      <c r="HE177" s="108"/>
      <c r="HF177" s="108"/>
      <c r="HG177" s="108"/>
      <c r="HH177" s="108"/>
      <c r="HI177" s="108"/>
      <c r="HJ177" s="108"/>
      <c r="HK177" s="108"/>
      <c r="HL177" s="108"/>
      <c r="HM177" s="108"/>
      <c r="HN177" s="108"/>
      <c r="HO177" s="108"/>
      <c r="HP177" s="108"/>
      <c r="HQ177" s="108"/>
      <c r="HR177" s="108"/>
      <c r="HS177" s="108"/>
      <c r="HT177" s="108"/>
      <c r="HU177" s="108"/>
      <c r="HV177" s="108"/>
      <c r="HW177" s="108"/>
      <c r="HX177" s="108"/>
      <c r="HY177" s="108"/>
      <c r="HZ177" s="108"/>
      <c r="IA177" s="108"/>
      <c r="IB177" s="108"/>
      <c r="IC177" s="108"/>
      <c r="ID177" s="108"/>
      <c r="IE177" s="108"/>
      <c r="IF177" s="108"/>
      <c r="IG177" s="108"/>
      <c r="IH177" s="108"/>
      <c r="II177" s="108"/>
      <c r="IJ177" s="108"/>
      <c r="IK177" s="108"/>
      <c r="IL177" s="108"/>
      <c r="IM177" s="108"/>
      <c r="IN177" s="108"/>
      <c r="IO177" s="108"/>
      <c r="IP177" s="108"/>
      <c r="IQ177" s="108"/>
      <c r="IR177" s="108"/>
      <c r="IS177" s="108"/>
      <c r="IT177" s="108"/>
      <c r="IU177" s="108"/>
      <c r="IV177" s="108"/>
      <c r="IW177" s="108"/>
      <c r="IX177" s="108"/>
      <c r="IY177" s="108"/>
      <c r="IZ177" s="108"/>
      <c r="JA177" s="108"/>
      <c r="JB177" s="108"/>
      <c r="JC177" s="108"/>
      <c r="JD177" s="108"/>
      <c r="JE177" s="108"/>
      <c r="JF177" t="s">
        <v>49</v>
      </c>
    </row>
    <row r="178" spans="1:266" x14ac:dyDescent="0.45">
      <c r="A178" s="71" t="str">
        <f>IF('Quote Exports'!C162="","",'Quote Exports'!C162)</f>
        <v/>
      </c>
      <c r="B178" s="72">
        <v>1</v>
      </c>
      <c r="C178" s="68" t="s">
        <v>425</v>
      </c>
      <c r="D178" s="107" t="s">
        <v>350</v>
      </c>
      <c r="E178" s="110">
        <v>0</v>
      </c>
      <c r="F178" s="110">
        <v>0</v>
      </c>
      <c r="G178" s="110">
        <v>0</v>
      </c>
      <c r="H178" s="110">
        <v>0</v>
      </c>
      <c r="I178" s="110">
        <v>0</v>
      </c>
      <c r="J178" s="110">
        <v>0</v>
      </c>
      <c r="K178" s="110">
        <v>0</v>
      </c>
      <c r="L178" s="110">
        <v>0</v>
      </c>
      <c r="M178" s="110">
        <v>0</v>
      </c>
      <c r="N178" s="110">
        <v>0</v>
      </c>
      <c r="O178" s="110">
        <v>0</v>
      </c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  <c r="AE178" s="110"/>
      <c r="AF178" s="110"/>
      <c r="AG178" s="110"/>
      <c r="AH178" s="110"/>
      <c r="AI178" s="110"/>
      <c r="AJ178" s="110"/>
      <c r="AK178" s="110"/>
      <c r="AL178" s="110"/>
      <c r="AM178" s="110"/>
      <c r="AN178" s="110"/>
      <c r="AO178" s="110"/>
      <c r="AP178" s="110"/>
      <c r="AQ178" s="110"/>
      <c r="AR178" s="110"/>
      <c r="AS178" s="110"/>
      <c r="AT178" s="110"/>
      <c r="AU178" s="110"/>
      <c r="AV178" s="110"/>
      <c r="AW178" s="110"/>
      <c r="AX178" s="110"/>
      <c r="AY178" s="110"/>
      <c r="AZ178" s="110"/>
      <c r="BA178" s="110"/>
      <c r="BB178" s="110"/>
      <c r="BC178" s="110"/>
      <c r="BD178" s="110"/>
      <c r="BE178" s="110"/>
      <c r="BF178" s="110"/>
      <c r="BG178" s="110"/>
      <c r="BH178" s="110"/>
      <c r="BI178" s="110"/>
      <c r="BJ178" s="110"/>
      <c r="BK178" s="110"/>
      <c r="BL178" s="110"/>
      <c r="BM178" s="110"/>
      <c r="BN178" s="110"/>
      <c r="BO178" s="110"/>
      <c r="BP178" s="110"/>
      <c r="BQ178" s="110"/>
      <c r="BR178" s="110"/>
      <c r="BS178" s="110"/>
      <c r="BT178" s="110"/>
      <c r="BU178" s="110"/>
      <c r="BV178" s="110"/>
      <c r="BW178" s="110"/>
      <c r="BX178" s="110"/>
      <c r="BY178" s="110"/>
      <c r="BZ178" s="110"/>
      <c r="CA178" s="110"/>
      <c r="CB178" s="110"/>
      <c r="CC178" s="110"/>
      <c r="CD178" s="110"/>
      <c r="CE178" s="110"/>
      <c r="CF178" s="110"/>
      <c r="CG178" s="110"/>
      <c r="CH178" s="110"/>
      <c r="CI178" s="110"/>
      <c r="CJ178" s="110"/>
      <c r="CK178" s="110"/>
      <c r="CL178" s="110"/>
      <c r="CM178" s="110"/>
      <c r="CN178" s="110"/>
      <c r="CO178" s="110"/>
      <c r="CP178" s="110"/>
      <c r="CQ178" s="110"/>
      <c r="CR178" s="110"/>
      <c r="CS178" s="110"/>
      <c r="CT178" s="110"/>
      <c r="CU178" s="110"/>
      <c r="CV178" s="110"/>
      <c r="CW178" s="110"/>
      <c r="CX178" s="110"/>
      <c r="CY178" s="110"/>
      <c r="CZ178" s="110"/>
      <c r="DA178" s="110"/>
      <c r="DB178" s="110"/>
      <c r="DC178" s="110"/>
      <c r="DD178" s="110"/>
      <c r="DE178" s="110"/>
      <c r="DF178" s="110"/>
      <c r="DG178" s="110"/>
      <c r="DH178" s="110"/>
      <c r="DI178" s="110"/>
      <c r="DJ178" s="110"/>
      <c r="DK178" s="110"/>
      <c r="DL178" s="110"/>
      <c r="DM178" s="110"/>
      <c r="DN178" s="110"/>
      <c r="DO178" s="110"/>
      <c r="DP178" s="110"/>
      <c r="DQ178" s="110"/>
      <c r="DR178" s="110"/>
      <c r="DS178" s="110"/>
      <c r="DT178" s="110"/>
      <c r="DU178" s="110"/>
      <c r="DV178" s="110"/>
      <c r="DW178" s="110"/>
      <c r="DX178" s="110"/>
      <c r="DY178" s="110"/>
      <c r="DZ178" s="110"/>
      <c r="EA178" s="110"/>
      <c r="EB178" s="110"/>
      <c r="EC178" s="110"/>
      <c r="ED178" s="110"/>
      <c r="EE178" s="110"/>
      <c r="EF178" s="110"/>
      <c r="EG178" s="110"/>
      <c r="EH178" s="110"/>
      <c r="EI178" s="110"/>
      <c r="EJ178" s="110"/>
      <c r="EK178" s="110"/>
      <c r="EL178" s="110"/>
      <c r="EM178" s="110"/>
      <c r="EN178" s="110"/>
      <c r="EO178" s="110"/>
      <c r="EP178" s="110"/>
      <c r="EQ178" s="110"/>
      <c r="ER178" s="110"/>
      <c r="ES178" s="110"/>
      <c r="ET178" s="110"/>
      <c r="EU178" s="110"/>
      <c r="EV178" s="110"/>
      <c r="EW178" s="110"/>
      <c r="EX178" s="110"/>
      <c r="EY178" s="110"/>
      <c r="EZ178" s="110"/>
      <c r="FA178" s="110"/>
      <c r="FB178" s="110"/>
      <c r="FC178" s="110"/>
      <c r="FD178" s="110"/>
      <c r="FE178" s="110"/>
      <c r="FF178" s="110"/>
      <c r="FG178" s="110"/>
      <c r="FH178" s="110"/>
      <c r="FI178" s="110"/>
      <c r="FJ178" s="110"/>
      <c r="FK178" s="110"/>
      <c r="FL178" s="110"/>
      <c r="FM178" s="110"/>
      <c r="FN178" s="110"/>
      <c r="FO178" s="110"/>
      <c r="FP178" s="110"/>
      <c r="FQ178" s="110"/>
      <c r="FR178" s="110"/>
      <c r="FS178" s="110"/>
      <c r="FT178" s="110"/>
      <c r="FU178" s="110"/>
      <c r="FV178" s="110"/>
      <c r="FW178" s="110"/>
      <c r="FX178" s="110"/>
      <c r="FY178" s="110"/>
      <c r="FZ178" s="110"/>
      <c r="GA178" s="110"/>
      <c r="GB178" s="110"/>
      <c r="GC178" s="110"/>
      <c r="GD178" s="110"/>
      <c r="GE178" s="110"/>
      <c r="GF178" s="110"/>
      <c r="GG178" s="110"/>
      <c r="GH178" s="110"/>
      <c r="GI178" s="110"/>
      <c r="GJ178" s="110"/>
      <c r="GK178" s="110"/>
      <c r="GL178" s="110"/>
      <c r="GM178" s="110"/>
      <c r="GN178" s="110"/>
      <c r="GO178" s="110"/>
      <c r="GP178" s="110"/>
      <c r="GQ178" s="110"/>
      <c r="GR178" s="110"/>
      <c r="GS178" s="110"/>
      <c r="GT178" s="110"/>
      <c r="GU178" s="110"/>
      <c r="GV178" s="110"/>
      <c r="GW178" s="110"/>
      <c r="GX178" s="110"/>
      <c r="GY178" s="110"/>
      <c r="GZ178" s="110"/>
      <c r="HA178" s="110"/>
      <c r="HB178" s="110"/>
      <c r="HC178" s="110"/>
      <c r="HD178" s="110"/>
      <c r="HE178" s="110"/>
      <c r="HF178" s="110"/>
      <c r="HG178" s="110"/>
      <c r="HH178" s="110"/>
      <c r="HI178" s="110"/>
      <c r="HJ178" s="110"/>
      <c r="HK178" s="110"/>
      <c r="HL178" s="110"/>
      <c r="HM178" s="110"/>
      <c r="HN178" s="110"/>
      <c r="HO178" s="110"/>
      <c r="HP178" s="110"/>
      <c r="HQ178" s="110"/>
      <c r="HR178" s="110"/>
      <c r="HS178" s="110"/>
      <c r="HT178" s="110"/>
      <c r="HU178" s="110"/>
      <c r="HV178" s="110"/>
      <c r="HW178" s="110"/>
      <c r="HX178" s="110"/>
      <c r="HY178" s="110"/>
      <c r="HZ178" s="110"/>
      <c r="IA178" s="110"/>
      <c r="IB178" s="110"/>
      <c r="IC178" s="110"/>
      <c r="ID178" s="110"/>
      <c r="IE178" s="110"/>
      <c r="IF178" s="110"/>
      <c r="IG178" s="110"/>
      <c r="IH178" s="110"/>
      <c r="II178" s="110"/>
      <c r="IJ178" s="110"/>
      <c r="IK178" s="110"/>
      <c r="IL178" s="110"/>
      <c r="IM178" s="110"/>
      <c r="IN178" s="110"/>
      <c r="IO178" s="110"/>
      <c r="IP178" s="110"/>
      <c r="IQ178" s="110"/>
      <c r="IR178" s="110"/>
      <c r="IS178" s="110"/>
      <c r="IT178" s="110"/>
      <c r="IU178" s="110"/>
      <c r="IV178" s="110"/>
      <c r="IW178" s="110"/>
      <c r="IX178" s="110"/>
      <c r="IY178" s="110"/>
      <c r="IZ178" s="110"/>
      <c r="JA178" s="110"/>
      <c r="JB178" s="110"/>
      <c r="JC178" s="110"/>
      <c r="JD178" s="110"/>
      <c r="JE178" s="110"/>
      <c r="JF178" t="s">
        <v>49</v>
      </c>
    </row>
    <row r="179" spans="1:266" x14ac:dyDescent="0.45">
      <c r="A179" s="71" t="str">
        <f>IF('Quote Exports'!C163="","",'Quote Exports'!C163)</f>
        <v>Excng Rt</v>
      </c>
      <c r="B179" s="72">
        <v>1</v>
      </c>
      <c r="C179" s="68" t="s">
        <v>425</v>
      </c>
      <c r="D179" s="107" t="s">
        <v>351</v>
      </c>
      <c r="E179" s="110">
        <v>220</v>
      </c>
      <c r="F179" s="110">
        <v>220</v>
      </c>
      <c r="G179" s="110">
        <v>220</v>
      </c>
      <c r="H179" s="110">
        <v>220</v>
      </c>
      <c r="I179" s="110">
        <v>110</v>
      </c>
      <c r="J179" s="110">
        <v>60</v>
      </c>
      <c r="K179" s="110">
        <v>150</v>
      </c>
      <c r="L179" s="110">
        <v>100</v>
      </c>
      <c r="M179" s="110">
        <v>110</v>
      </c>
      <c r="N179" s="110">
        <v>130</v>
      </c>
      <c r="O179" s="110">
        <v>100</v>
      </c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  <c r="AE179" s="110"/>
      <c r="AF179" s="110"/>
      <c r="AG179" s="110"/>
      <c r="AH179" s="110"/>
      <c r="AI179" s="110"/>
      <c r="AJ179" s="110"/>
      <c r="AK179" s="110"/>
      <c r="AL179" s="110"/>
      <c r="AM179" s="110"/>
      <c r="AN179" s="110"/>
      <c r="AO179" s="110"/>
      <c r="AP179" s="110"/>
      <c r="AQ179" s="110"/>
      <c r="AR179" s="110"/>
      <c r="AS179" s="110"/>
      <c r="AT179" s="110"/>
      <c r="AU179" s="110"/>
      <c r="AV179" s="110"/>
      <c r="AW179" s="110"/>
      <c r="AX179" s="110"/>
      <c r="AY179" s="110"/>
      <c r="AZ179" s="110"/>
      <c r="BA179" s="110"/>
      <c r="BB179" s="110"/>
      <c r="BC179" s="110"/>
      <c r="BD179" s="110"/>
      <c r="BE179" s="110"/>
      <c r="BF179" s="110"/>
      <c r="BG179" s="110"/>
      <c r="BH179" s="110"/>
      <c r="BI179" s="110"/>
      <c r="BJ179" s="110"/>
      <c r="BK179" s="110"/>
      <c r="BL179" s="110"/>
      <c r="BM179" s="110"/>
      <c r="BN179" s="110"/>
      <c r="BO179" s="110"/>
      <c r="BP179" s="110"/>
      <c r="BQ179" s="110"/>
      <c r="BR179" s="110"/>
      <c r="BS179" s="110"/>
      <c r="BT179" s="110"/>
      <c r="BU179" s="110"/>
      <c r="BV179" s="110"/>
      <c r="BW179" s="110"/>
      <c r="BX179" s="110"/>
      <c r="BY179" s="110"/>
      <c r="BZ179" s="110"/>
      <c r="CA179" s="110"/>
      <c r="CB179" s="110"/>
      <c r="CC179" s="110"/>
      <c r="CD179" s="110"/>
      <c r="CE179" s="110"/>
      <c r="CF179" s="110"/>
      <c r="CG179" s="110"/>
      <c r="CH179" s="110"/>
      <c r="CI179" s="110"/>
      <c r="CJ179" s="110"/>
      <c r="CK179" s="110"/>
      <c r="CL179" s="110"/>
      <c r="CM179" s="110"/>
      <c r="CN179" s="110"/>
      <c r="CO179" s="110"/>
      <c r="CP179" s="110"/>
      <c r="CQ179" s="110"/>
      <c r="CR179" s="110"/>
      <c r="CS179" s="110"/>
      <c r="CT179" s="110"/>
      <c r="CU179" s="110"/>
      <c r="CV179" s="110"/>
      <c r="CW179" s="110"/>
      <c r="CX179" s="110"/>
      <c r="CY179" s="110"/>
      <c r="CZ179" s="110"/>
      <c r="DA179" s="110"/>
      <c r="DB179" s="110"/>
      <c r="DC179" s="110"/>
      <c r="DD179" s="110"/>
      <c r="DE179" s="110"/>
      <c r="DF179" s="110"/>
      <c r="DG179" s="110"/>
      <c r="DH179" s="110"/>
      <c r="DI179" s="110"/>
      <c r="DJ179" s="110"/>
      <c r="DK179" s="110"/>
      <c r="DL179" s="110"/>
      <c r="DM179" s="110"/>
      <c r="DN179" s="110"/>
      <c r="DO179" s="110"/>
      <c r="DP179" s="110"/>
      <c r="DQ179" s="110"/>
      <c r="DR179" s="110"/>
      <c r="DS179" s="110"/>
      <c r="DT179" s="110"/>
      <c r="DU179" s="110"/>
      <c r="DV179" s="110"/>
      <c r="DW179" s="110"/>
      <c r="DX179" s="110"/>
      <c r="DY179" s="110"/>
      <c r="DZ179" s="110"/>
      <c r="EA179" s="110"/>
      <c r="EB179" s="110"/>
      <c r="EC179" s="110"/>
      <c r="ED179" s="110"/>
      <c r="EE179" s="110"/>
      <c r="EF179" s="110"/>
      <c r="EG179" s="110"/>
      <c r="EH179" s="110"/>
      <c r="EI179" s="110"/>
      <c r="EJ179" s="110"/>
      <c r="EK179" s="110"/>
      <c r="EL179" s="110"/>
      <c r="EM179" s="110"/>
      <c r="EN179" s="110"/>
      <c r="EO179" s="110"/>
      <c r="EP179" s="110"/>
      <c r="EQ179" s="110"/>
      <c r="ER179" s="110"/>
      <c r="ES179" s="110"/>
      <c r="ET179" s="110"/>
      <c r="EU179" s="110"/>
      <c r="EV179" s="110"/>
      <c r="EW179" s="110"/>
      <c r="EX179" s="110"/>
      <c r="EY179" s="110"/>
      <c r="EZ179" s="110"/>
      <c r="FA179" s="110"/>
      <c r="FB179" s="110"/>
      <c r="FC179" s="110"/>
      <c r="FD179" s="110"/>
      <c r="FE179" s="110"/>
      <c r="FF179" s="110"/>
      <c r="FG179" s="110"/>
      <c r="FH179" s="110"/>
      <c r="FI179" s="110"/>
      <c r="FJ179" s="110"/>
      <c r="FK179" s="110"/>
      <c r="FL179" s="110"/>
      <c r="FM179" s="110"/>
      <c r="FN179" s="110"/>
      <c r="FO179" s="110"/>
      <c r="FP179" s="110"/>
      <c r="FQ179" s="110"/>
      <c r="FR179" s="110"/>
      <c r="FS179" s="110"/>
      <c r="FT179" s="110"/>
      <c r="FU179" s="110"/>
      <c r="FV179" s="110"/>
      <c r="FW179" s="110"/>
      <c r="FX179" s="110"/>
      <c r="FY179" s="110"/>
      <c r="FZ179" s="110"/>
      <c r="GA179" s="110"/>
      <c r="GB179" s="110"/>
      <c r="GC179" s="110"/>
      <c r="GD179" s="110"/>
      <c r="GE179" s="110"/>
      <c r="GF179" s="110"/>
      <c r="GG179" s="110"/>
      <c r="GH179" s="110"/>
      <c r="GI179" s="110"/>
      <c r="GJ179" s="110"/>
      <c r="GK179" s="110"/>
      <c r="GL179" s="110"/>
      <c r="GM179" s="110"/>
      <c r="GN179" s="110"/>
      <c r="GO179" s="110"/>
      <c r="GP179" s="110"/>
      <c r="GQ179" s="110"/>
      <c r="GR179" s="110"/>
      <c r="GS179" s="110"/>
      <c r="GT179" s="110"/>
      <c r="GU179" s="110"/>
      <c r="GV179" s="110"/>
      <c r="GW179" s="110"/>
      <c r="GX179" s="110"/>
      <c r="GY179" s="110"/>
      <c r="GZ179" s="110"/>
      <c r="HA179" s="110"/>
      <c r="HB179" s="110"/>
      <c r="HC179" s="110"/>
      <c r="HD179" s="110"/>
      <c r="HE179" s="110"/>
      <c r="HF179" s="110"/>
      <c r="HG179" s="110"/>
      <c r="HH179" s="110"/>
      <c r="HI179" s="110"/>
      <c r="HJ179" s="110"/>
      <c r="HK179" s="110"/>
      <c r="HL179" s="110"/>
      <c r="HM179" s="110"/>
      <c r="HN179" s="110"/>
      <c r="HO179" s="110"/>
      <c r="HP179" s="110"/>
      <c r="HQ179" s="110"/>
      <c r="HR179" s="110"/>
      <c r="HS179" s="110"/>
      <c r="HT179" s="110"/>
      <c r="HU179" s="110"/>
      <c r="HV179" s="110"/>
      <c r="HW179" s="110"/>
      <c r="HX179" s="110"/>
      <c r="HY179" s="110"/>
      <c r="HZ179" s="110"/>
      <c r="IA179" s="110"/>
      <c r="IB179" s="110"/>
      <c r="IC179" s="110"/>
      <c r="ID179" s="110"/>
      <c r="IE179" s="110"/>
      <c r="IF179" s="110"/>
      <c r="IG179" s="110"/>
      <c r="IH179" s="110"/>
      <c r="II179" s="110"/>
      <c r="IJ179" s="110"/>
      <c r="IK179" s="110"/>
      <c r="IL179" s="110"/>
      <c r="IM179" s="110"/>
      <c r="IN179" s="110"/>
      <c r="IO179" s="110"/>
      <c r="IP179" s="110"/>
      <c r="IQ179" s="110"/>
      <c r="IR179" s="110"/>
      <c r="IS179" s="110"/>
      <c r="IT179" s="110"/>
      <c r="IU179" s="110"/>
      <c r="IV179" s="110"/>
      <c r="IW179" s="110"/>
      <c r="IX179" s="110"/>
      <c r="IY179" s="110"/>
      <c r="IZ179" s="110"/>
      <c r="JA179" s="110"/>
      <c r="JB179" s="110"/>
      <c r="JC179" s="110"/>
      <c r="JD179" s="110"/>
      <c r="JE179" s="110"/>
      <c r="JF179" t="s">
        <v>49</v>
      </c>
    </row>
    <row r="180" spans="1:266" x14ac:dyDescent="0.45">
      <c r="A180" s="71" t="str">
        <f>IF('Quote Exports'!C164="","",'Quote Exports'!C164)</f>
        <v>Excng Rt</v>
      </c>
      <c r="B180" s="72"/>
      <c r="C180" s="68" t="s">
        <v>425</v>
      </c>
      <c r="D180" s="107" t="s">
        <v>352</v>
      </c>
      <c r="E180" s="110">
        <v>673.27</v>
      </c>
      <c r="F180" s="110">
        <v>609.42999999999995</v>
      </c>
      <c r="G180" s="110">
        <v>539.42999999999995</v>
      </c>
      <c r="H180" s="110">
        <v>409.93</v>
      </c>
      <c r="I180" s="110">
        <v>114.56</v>
      </c>
      <c r="J180" s="110">
        <v>46.61</v>
      </c>
      <c r="K180" s="110">
        <v>274.58</v>
      </c>
      <c r="L180" s="110">
        <v>88.71</v>
      </c>
      <c r="M180" s="110">
        <v>148.55000000000001</v>
      </c>
      <c r="N180" s="110">
        <v>219.25</v>
      </c>
      <c r="O180" s="110">
        <v>80.709999999999994</v>
      </c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  <c r="AE180" s="110"/>
      <c r="AF180" s="110"/>
      <c r="AG180" s="110"/>
      <c r="AH180" s="110"/>
      <c r="AI180" s="110"/>
      <c r="AJ180" s="110"/>
      <c r="AK180" s="110"/>
      <c r="AL180" s="110"/>
      <c r="AM180" s="110"/>
      <c r="AN180" s="110"/>
      <c r="AO180" s="110"/>
      <c r="AP180" s="110"/>
      <c r="AQ180" s="110"/>
      <c r="AR180" s="110"/>
      <c r="AS180" s="110"/>
      <c r="AT180" s="110"/>
      <c r="AU180" s="110"/>
      <c r="AV180" s="110"/>
      <c r="AW180" s="110"/>
      <c r="AX180" s="110"/>
      <c r="AY180" s="110"/>
      <c r="AZ180" s="110"/>
      <c r="BA180" s="110"/>
      <c r="BB180" s="110"/>
      <c r="BC180" s="110"/>
      <c r="BD180" s="110"/>
      <c r="BE180" s="110"/>
      <c r="BF180" s="110"/>
      <c r="BG180" s="110"/>
      <c r="BH180" s="110"/>
      <c r="BI180" s="110"/>
      <c r="BJ180" s="110"/>
      <c r="BK180" s="110"/>
      <c r="BL180" s="110"/>
      <c r="BM180" s="110"/>
      <c r="BN180" s="110"/>
      <c r="BO180" s="110"/>
      <c r="BP180" s="110"/>
      <c r="BQ180" s="110"/>
      <c r="BR180" s="110"/>
      <c r="BS180" s="110"/>
      <c r="BT180" s="110"/>
      <c r="BU180" s="110"/>
      <c r="BV180" s="110"/>
      <c r="BW180" s="110"/>
      <c r="BX180" s="110"/>
      <c r="BY180" s="110"/>
      <c r="BZ180" s="110"/>
      <c r="CA180" s="110"/>
      <c r="CB180" s="110"/>
      <c r="CC180" s="110"/>
      <c r="CD180" s="110"/>
      <c r="CE180" s="110"/>
      <c r="CF180" s="110"/>
      <c r="CG180" s="110"/>
      <c r="CH180" s="110"/>
      <c r="CI180" s="110"/>
      <c r="CJ180" s="110"/>
      <c r="CK180" s="110"/>
      <c r="CL180" s="110"/>
      <c r="CM180" s="110"/>
      <c r="CN180" s="110"/>
      <c r="CO180" s="110"/>
      <c r="CP180" s="110"/>
      <c r="CQ180" s="110"/>
      <c r="CR180" s="110"/>
      <c r="CS180" s="110"/>
      <c r="CT180" s="110"/>
      <c r="CU180" s="110"/>
      <c r="CV180" s="110"/>
      <c r="CW180" s="110"/>
      <c r="CX180" s="110"/>
      <c r="CY180" s="110"/>
      <c r="CZ180" s="110"/>
      <c r="DA180" s="110"/>
      <c r="DB180" s="110"/>
      <c r="DC180" s="110"/>
      <c r="DD180" s="110"/>
      <c r="DE180" s="110"/>
      <c r="DF180" s="110"/>
      <c r="DG180" s="110"/>
      <c r="DH180" s="110"/>
      <c r="DI180" s="110"/>
      <c r="DJ180" s="110"/>
      <c r="DK180" s="110"/>
      <c r="DL180" s="110"/>
      <c r="DM180" s="110"/>
      <c r="DN180" s="110"/>
      <c r="DO180" s="110"/>
      <c r="DP180" s="110"/>
      <c r="DQ180" s="110"/>
      <c r="DR180" s="110"/>
      <c r="DS180" s="110"/>
      <c r="DT180" s="110"/>
      <c r="DU180" s="110"/>
      <c r="DV180" s="110"/>
      <c r="DW180" s="110"/>
      <c r="DX180" s="110"/>
      <c r="DY180" s="110"/>
      <c r="DZ180" s="110"/>
      <c r="EA180" s="110"/>
      <c r="EB180" s="110"/>
      <c r="EC180" s="110"/>
      <c r="ED180" s="110"/>
      <c r="EE180" s="110"/>
      <c r="EF180" s="110"/>
      <c r="EG180" s="110"/>
      <c r="EH180" s="110"/>
      <c r="EI180" s="110"/>
      <c r="EJ180" s="110"/>
      <c r="EK180" s="110"/>
      <c r="EL180" s="110"/>
      <c r="EM180" s="110"/>
      <c r="EN180" s="110"/>
      <c r="EO180" s="110"/>
      <c r="EP180" s="110"/>
      <c r="EQ180" s="110"/>
      <c r="ER180" s="110"/>
      <c r="ES180" s="110"/>
      <c r="ET180" s="110"/>
      <c r="EU180" s="110"/>
      <c r="EV180" s="110"/>
      <c r="EW180" s="110"/>
      <c r="EX180" s="110"/>
      <c r="EY180" s="110"/>
      <c r="EZ180" s="110"/>
      <c r="FA180" s="110"/>
      <c r="FB180" s="110"/>
      <c r="FC180" s="110"/>
      <c r="FD180" s="110"/>
      <c r="FE180" s="110"/>
      <c r="FF180" s="110"/>
      <c r="FG180" s="110"/>
      <c r="FH180" s="110"/>
      <c r="FI180" s="110"/>
      <c r="FJ180" s="110"/>
      <c r="FK180" s="110"/>
      <c r="FL180" s="110"/>
      <c r="FM180" s="110"/>
      <c r="FN180" s="110"/>
      <c r="FO180" s="110"/>
      <c r="FP180" s="110"/>
      <c r="FQ180" s="110"/>
      <c r="FR180" s="110"/>
      <c r="FS180" s="110"/>
      <c r="FT180" s="110"/>
      <c r="FU180" s="110"/>
      <c r="FV180" s="110"/>
      <c r="FW180" s="110"/>
      <c r="FX180" s="110"/>
      <c r="FY180" s="110"/>
      <c r="FZ180" s="110"/>
      <c r="GA180" s="110"/>
      <c r="GB180" s="110"/>
      <c r="GC180" s="110"/>
      <c r="GD180" s="110"/>
      <c r="GE180" s="110"/>
      <c r="GF180" s="110"/>
      <c r="GG180" s="110"/>
      <c r="GH180" s="110"/>
      <c r="GI180" s="110"/>
      <c r="GJ180" s="110"/>
      <c r="GK180" s="110"/>
      <c r="GL180" s="110"/>
      <c r="GM180" s="110"/>
      <c r="GN180" s="110"/>
      <c r="GO180" s="110"/>
      <c r="GP180" s="110"/>
      <c r="GQ180" s="110"/>
      <c r="GR180" s="110"/>
      <c r="GS180" s="110"/>
      <c r="GT180" s="110"/>
      <c r="GU180" s="110"/>
      <c r="GV180" s="110"/>
      <c r="GW180" s="110"/>
      <c r="GX180" s="110"/>
      <c r="GY180" s="110"/>
      <c r="GZ180" s="110"/>
      <c r="HA180" s="110"/>
      <c r="HB180" s="110"/>
      <c r="HC180" s="110"/>
      <c r="HD180" s="110"/>
      <c r="HE180" s="110"/>
      <c r="HF180" s="110"/>
      <c r="HG180" s="110"/>
      <c r="HH180" s="110"/>
      <c r="HI180" s="110"/>
      <c r="HJ180" s="110"/>
      <c r="HK180" s="110"/>
      <c r="HL180" s="110"/>
      <c r="HM180" s="110"/>
      <c r="HN180" s="110"/>
      <c r="HO180" s="110"/>
      <c r="HP180" s="110"/>
      <c r="HQ180" s="110"/>
      <c r="HR180" s="110"/>
      <c r="HS180" s="110"/>
      <c r="HT180" s="110"/>
      <c r="HU180" s="110"/>
      <c r="HV180" s="110"/>
      <c r="HW180" s="110"/>
      <c r="HX180" s="110"/>
      <c r="HY180" s="110"/>
      <c r="HZ180" s="110"/>
      <c r="IA180" s="110"/>
      <c r="IB180" s="110"/>
      <c r="IC180" s="110"/>
      <c r="ID180" s="110"/>
      <c r="IE180" s="110"/>
      <c r="IF180" s="110"/>
      <c r="IG180" s="110"/>
      <c r="IH180" s="110"/>
      <c r="II180" s="110"/>
      <c r="IJ180" s="110"/>
      <c r="IK180" s="110"/>
      <c r="IL180" s="110"/>
      <c r="IM180" s="110"/>
      <c r="IN180" s="110"/>
      <c r="IO180" s="110"/>
      <c r="IP180" s="110"/>
      <c r="IQ180" s="110"/>
      <c r="IR180" s="110"/>
      <c r="IS180" s="110"/>
      <c r="IT180" s="110"/>
      <c r="IU180" s="110"/>
      <c r="IV180" s="110"/>
      <c r="IW180" s="110"/>
      <c r="IX180" s="110"/>
      <c r="IY180" s="110"/>
      <c r="IZ180" s="110"/>
      <c r="JA180" s="110"/>
      <c r="JB180" s="110"/>
      <c r="JC180" s="110"/>
      <c r="JD180" s="110"/>
      <c r="JE180" s="110"/>
      <c r="JF180" t="s">
        <v>49</v>
      </c>
    </row>
    <row r="181" spans="1:266" x14ac:dyDescent="0.45">
      <c r="A181" s="71" t="str">
        <f>IF('Quote Exports'!C165="","",'Quote Exports'!C165)</f>
        <v>Excng Rt</v>
      </c>
      <c r="B181" s="72"/>
      <c r="C181" s="68" t="s">
        <v>425</v>
      </c>
      <c r="D181" s="107" t="s">
        <v>353</v>
      </c>
      <c r="E181" s="110" t="str">
        <v>Yes</v>
      </c>
      <c r="F181" s="110" t="str">
        <v>Yes</v>
      </c>
      <c r="G181" s="110" t="str">
        <v>Yes</v>
      </c>
      <c r="H181" s="110" t="str">
        <v>No</v>
      </c>
      <c r="I181" s="110" t="str">
        <v>No</v>
      </c>
      <c r="J181" s="110" t="str">
        <v>No</v>
      </c>
      <c r="K181" s="110" t="str">
        <v>Yes</v>
      </c>
      <c r="L181" s="110" t="str">
        <v>No</v>
      </c>
      <c r="M181" s="110" t="str">
        <v>Yes</v>
      </c>
      <c r="N181" s="110" t="str">
        <v>Yes</v>
      </c>
      <c r="O181" s="110" t="str">
        <v>No</v>
      </c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  <c r="AE181" s="110"/>
      <c r="AF181" s="110"/>
      <c r="AG181" s="110"/>
      <c r="AH181" s="110"/>
      <c r="AI181" s="110"/>
      <c r="AJ181" s="110"/>
      <c r="AK181" s="110"/>
      <c r="AL181" s="110"/>
      <c r="AM181" s="110"/>
      <c r="AN181" s="110"/>
      <c r="AO181" s="110"/>
      <c r="AP181" s="110"/>
      <c r="AQ181" s="110"/>
      <c r="AR181" s="110"/>
      <c r="AS181" s="110"/>
      <c r="AT181" s="110"/>
      <c r="AU181" s="110"/>
      <c r="AV181" s="110"/>
      <c r="AW181" s="110"/>
      <c r="AX181" s="110"/>
      <c r="AY181" s="110"/>
      <c r="AZ181" s="110"/>
      <c r="BA181" s="110"/>
      <c r="BB181" s="110"/>
      <c r="BC181" s="110"/>
      <c r="BD181" s="110"/>
      <c r="BE181" s="110"/>
      <c r="BF181" s="110"/>
      <c r="BG181" s="110"/>
      <c r="BH181" s="110"/>
      <c r="BI181" s="110"/>
      <c r="BJ181" s="110"/>
      <c r="BK181" s="110"/>
      <c r="BL181" s="110"/>
      <c r="BM181" s="110"/>
      <c r="BN181" s="110"/>
      <c r="BO181" s="110"/>
      <c r="BP181" s="110"/>
      <c r="BQ181" s="110"/>
      <c r="BR181" s="110"/>
      <c r="BS181" s="110"/>
      <c r="BT181" s="110"/>
      <c r="BU181" s="110"/>
      <c r="BV181" s="110"/>
      <c r="BW181" s="110"/>
      <c r="BX181" s="110"/>
      <c r="BY181" s="110"/>
      <c r="BZ181" s="110"/>
      <c r="CA181" s="110"/>
      <c r="CB181" s="110"/>
      <c r="CC181" s="110"/>
      <c r="CD181" s="110"/>
      <c r="CE181" s="110"/>
      <c r="CF181" s="110"/>
      <c r="CG181" s="110"/>
      <c r="CH181" s="110"/>
      <c r="CI181" s="110"/>
      <c r="CJ181" s="110"/>
      <c r="CK181" s="110"/>
      <c r="CL181" s="110"/>
      <c r="CM181" s="110"/>
      <c r="CN181" s="110"/>
      <c r="CO181" s="110"/>
      <c r="CP181" s="110"/>
      <c r="CQ181" s="110"/>
      <c r="CR181" s="110"/>
      <c r="CS181" s="110"/>
      <c r="CT181" s="110"/>
      <c r="CU181" s="110"/>
      <c r="CV181" s="110"/>
      <c r="CW181" s="110"/>
      <c r="CX181" s="110"/>
      <c r="CY181" s="110"/>
      <c r="CZ181" s="110"/>
      <c r="DA181" s="110"/>
      <c r="DB181" s="110"/>
      <c r="DC181" s="110"/>
      <c r="DD181" s="110"/>
      <c r="DE181" s="110"/>
      <c r="DF181" s="110"/>
      <c r="DG181" s="110"/>
      <c r="DH181" s="110"/>
      <c r="DI181" s="110"/>
      <c r="DJ181" s="110"/>
      <c r="DK181" s="110"/>
      <c r="DL181" s="110"/>
      <c r="DM181" s="110"/>
      <c r="DN181" s="110"/>
      <c r="DO181" s="110"/>
      <c r="DP181" s="110"/>
      <c r="DQ181" s="110"/>
      <c r="DR181" s="110"/>
      <c r="DS181" s="110"/>
      <c r="DT181" s="110"/>
      <c r="DU181" s="110"/>
      <c r="DV181" s="110"/>
      <c r="DW181" s="110"/>
      <c r="DX181" s="110"/>
      <c r="DY181" s="110"/>
      <c r="DZ181" s="110"/>
      <c r="EA181" s="110"/>
      <c r="EB181" s="110"/>
      <c r="EC181" s="110"/>
      <c r="ED181" s="110"/>
      <c r="EE181" s="110"/>
      <c r="EF181" s="110"/>
      <c r="EG181" s="110"/>
      <c r="EH181" s="110"/>
      <c r="EI181" s="110"/>
      <c r="EJ181" s="110"/>
      <c r="EK181" s="110"/>
      <c r="EL181" s="110"/>
      <c r="EM181" s="110"/>
      <c r="EN181" s="110"/>
      <c r="EO181" s="110"/>
      <c r="EP181" s="110"/>
      <c r="EQ181" s="110"/>
      <c r="ER181" s="110"/>
      <c r="ES181" s="110"/>
      <c r="ET181" s="110"/>
      <c r="EU181" s="110"/>
      <c r="EV181" s="110"/>
      <c r="EW181" s="110"/>
      <c r="EX181" s="110"/>
      <c r="EY181" s="110"/>
      <c r="EZ181" s="110"/>
      <c r="FA181" s="110"/>
      <c r="FB181" s="110"/>
      <c r="FC181" s="110"/>
      <c r="FD181" s="110"/>
      <c r="FE181" s="110"/>
      <c r="FF181" s="110"/>
      <c r="FG181" s="110"/>
      <c r="FH181" s="110"/>
      <c r="FI181" s="110"/>
      <c r="FJ181" s="110"/>
      <c r="FK181" s="110"/>
      <c r="FL181" s="110"/>
      <c r="FM181" s="110"/>
      <c r="FN181" s="110"/>
      <c r="FO181" s="110"/>
      <c r="FP181" s="110"/>
      <c r="FQ181" s="110"/>
      <c r="FR181" s="110"/>
      <c r="FS181" s="110"/>
      <c r="FT181" s="110"/>
      <c r="FU181" s="110"/>
      <c r="FV181" s="110"/>
      <c r="FW181" s="110"/>
      <c r="FX181" s="110"/>
      <c r="FY181" s="110"/>
      <c r="FZ181" s="110"/>
      <c r="GA181" s="110"/>
      <c r="GB181" s="110"/>
      <c r="GC181" s="110"/>
      <c r="GD181" s="110"/>
      <c r="GE181" s="110"/>
      <c r="GF181" s="110"/>
      <c r="GG181" s="110"/>
      <c r="GH181" s="110"/>
      <c r="GI181" s="110"/>
      <c r="GJ181" s="110"/>
      <c r="GK181" s="110"/>
      <c r="GL181" s="110"/>
      <c r="GM181" s="110"/>
      <c r="GN181" s="110"/>
      <c r="GO181" s="110"/>
      <c r="GP181" s="110"/>
      <c r="GQ181" s="110"/>
      <c r="GR181" s="110"/>
      <c r="GS181" s="110"/>
      <c r="GT181" s="110"/>
      <c r="GU181" s="110"/>
      <c r="GV181" s="110"/>
      <c r="GW181" s="110"/>
      <c r="GX181" s="110"/>
      <c r="GY181" s="110"/>
      <c r="GZ181" s="110"/>
      <c r="HA181" s="110"/>
      <c r="HB181" s="110"/>
      <c r="HC181" s="110"/>
      <c r="HD181" s="110"/>
      <c r="HE181" s="110"/>
      <c r="HF181" s="110"/>
      <c r="HG181" s="110"/>
      <c r="HH181" s="110"/>
      <c r="HI181" s="110"/>
      <c r="HJ181" s="110"/>
      <c r="HK181" s="110"/>
      <c r="HL181" s="110"/>
      <c r="HM181" s="110"/>
      <c r="HN181" s="110"/>
      <c r="HO181" s="110"/>
      <c r="HP181" s="110"/>
      <c r="HQ181" s="110"/>
      <c r="HR181" s="110"/>
      <c r="HS181" s="110"/>
      <c r="HT181" s="110"/>
      <c r="HU181" s="110"/>
      <c r="HV181" s="110"/>
      <c r="HW181" s="110"/>
      <c r="HX181" s="110"/>
      <c r="HY181" s="110"/>
      <c r="HZ181" s="110"/>
      <c r="IA181" s="110"/>
      <c r="IB181" s="110"/>
      <c r="IC181" s="110"/>
      <c r="ID181" s="110"/>
      <c r="IE181" s="110"/>
      <c r="IF181" s="110"/>
      <c r="IG181" s="110"/>
      <c r="IH181" s="110"/>
      <c r="II181" s="110"/>
      <c r="IJ181" s="110"/>
      <c r="IK181" s="110"/>
      <c r="IL181" s="110"/>
      <c r="IM181" s="110"/>
      <c r="IN181" s="110"/>
      <c r="IO181" s="110"/>
      <c r="IP181" s="110"/>
      <c r="IQ181" s="110"/>
      <c r="IR181" s="110"/>
      <c r="IS181" s="110"/>
      <c r="IT181" s="110"/>
      <c r="IU181" s="110"/>
      <c r="IV181" s="110"/>
      <c r="IW181" s="110"/>
      <c r="IX181" s="110"/>
      <c r="IY181" s="110"/>
      <c r="IZ181" s="110"/>
      <c r="JA181" s="110"/>
      <c r="JB181" s="110"/>
      <c r="JC181" s="110"/>
      <c r="JD181" s="110"/>
      <c r="JE181" s="110"/>
      <c r="JF181" t="s">
        <v>49</v>
      </c>
    </row>
    <row r="182" spans="1:266" x14ac:dyDescent="0.45">
      <c r="A182" s="71" t="str">
        <f>IF('Quote Exports'!C166="","",'Quote Exports'!C166)</f>
        <v/>
      </c>
      <c r="B182" s="72">
        <v>1</v>
      </c>
      <c r="C182" s="68" t="s">
        <v>424</v>
      </c>
      <c r="D182" s="107" t="s">
        <v>354</v>
      </c>
      <c r="E182" s="110" t="str">
        <v>Yes</v>
      </c>
      <c r="F182" s="110" t="str">
        <v>Yes</v>
      </c>
      <c r="G182" s="110" t="str">
        <v>Yes</v>
      </c>
      <c r="H182" s="110" t="str">
        <v>Yes</v>
      </c>
      <c r="I182" s="110" t="str">
        <v>Yes</v>
      </c>
      <c r="J182" s="110" t="str">
        <v>Yes</v>
      </c>
      <c r="K182" s="110" t="str">
        <v>Yes</v>
      </c>
      <c r="L182" s="110" t="str">
        <v>Yes</v>
      </c>
      <c r="M182" s="110" t="str">
        <v>Yes</v>
      </c>
      <c r="N182" s="110" t="str">
        <v>Yes</v>
      </c>
      <c r="O182" s="110" t="str">
        <v>Yes</v>
      </c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  <c r="AE182" s="110"/>
      <c r="AF182" s="110"/>
      <c r="AG182" s="110"/>
      <c r="AH182" s="110"/>
      <c r="AI182" s="110"/>
      <c r="AJ182" s="110"/>
      <c r="AK182" s="110"/>
      <c r="AL182" s="110"/>
      <c r="AM182" s="110"/>
      <c r="AN182" s="110"/>
      <c r="AO182" s="110"/>
      <c r="AP182" s="110"/>
      <c r="AQ182" s="110"/>
      <c r="AR182" s="110"/>
      <c r="AS182" s="110"/>
      <c r="AT182" s="110"/>
      <c r="AU182" s="110"/>
      <c r="AV182" s="110"/>
      <c r="AW182" s="110"/>
      <c r="AX182" s="110"/>
      <c r="AY182" s="110"/>
      <c r="AZ182" s="110"/>
      <c r="BA182" s="110"/>
      <c r="BB182" s="110"/>
      <c r="BC182" s="110"/>
      <c r="BD182" s="110"/>
      <c r="BE182" s="110"/>
      <c r="BF182" s="110"/>
      <c r="BG182" s="110"/>
      <c r="BH182" s="110"/>
      <c r="BI182" s="110"/>
      <c r="BJ182" s="110"/>
      <c r="BK182" s="110"/>
      <c r="BL182" s="110"/>
      <c r="BM182" s="110"/>
      <c r="BN182" s="110"/>
      <c r="BO182" s="110"/>
      <c r="BP182" s="110"/>
      <c r="BQ182" s="110"/>
      <c r="BR182" s="110"/>
      <c r="BS182" s="110"/>
      <c r="BT182" s="110"/>
      <c r="BU182" s="110"/>
      <c r="BV182" s="110"/>
      <c r="BW182" s="110"/>
      <c r="BX182" s="110"/>
      <c r="BY182" s="110"/>
      <c r="BZ182" s="110"/>
      <c r="CA182" s="110"/>
      <c r="CB182" s="110"/>
      <c r="CC182" s="110"/>
      <c r="CD182" s="110"/>
      <c r="CE182" s="110"/>
      <c r="CF182" s="110"/>
      <c r="CG182" s="110"/>
      <c r="CH182" s="110"/>
      <c r="CI182" s="110"/>
      <c r="CJ182" s="110"/>
      <c r="CK182" s="110"/>
      <c r="CL182" s="110"/>
      <c r="CM182" s="110"/>
      <c r="CN182" s="110"/>
      <c r="CO182" s="110"/>
      <c r="CP182" s="110"/>
      <c r="CQ182" s="110"/>
      <c r="CR182" s="110"/>
      <c r="CS182" s="110"/>
      <c r="CT182" s="110"/>
      <c r="CU182" s="110"/>
      <c r="CV182" s="110"/>
      <c r="CW182" s="110"/>
      <c r="CX182" s="110"/>
      <c r="CY182" s="110"/>
      <c r="CZ182" s="110"/>
      <c r="DA182" s="110"/>
      <c r="DB182" s="110"/>
      <c r="DC182" s="110"/>
      <c r="DD182" s="110"/>
      <c r="DE182" s="110"/>
      <c r="DF182" s="110"/>
      <c r="DG182" s="110"/>
      <c r="DH182" s="110"/>
      <c r="DI182" s="110"/>
      <c r="DJ182" s="110"/>
      <c r="DK182" s="110"/>
      <c r="DL182" s="110"/>
      <c r="DM182" s="110"/>
      <c r="DN182" s="110"/>
      <c r="DO182" s="110"/>
      <c r="DP182" s="110"/>
      <c r="DQ182" s="110"/>
      <c r="DR182" s="110"/>
      <c r="DS182" s="110"/>
      <c r="DT182" s="110"/>
      <c r="DU182" s="110"/>
      <c r="DV182" s="110"/>
      <c r="DW182" s="110"/>
      <c r="DX182" s="110"/>
      <c r="DY182" s="110"/>
      <c r="DZ182" s="110"/>
      <c r="EA182" s="110"/>
      <c r="EB182" s="110"/>
      <c r="EC182" s="110"/>
      <c r="ED182" s="110"/>
      <c r="EE182" s="110"/>
      <c r="EF182" s="110"/>
      <c r="EG182" s="110"/>
      <c r="EH182" s="110"/>
      <c r="EI182" s="110"/>
      <c r="EJ182" s="110"/>
      <c r="EK182" s="110"/>
      <c r="EL182" s="110"/>
      <c r="EM182" s="110"/>
      <c r="EN182" s="110"/>
      <c r="EO182" s="110"/>
      <c r="EP182" s="110"/>
      <c r="EQ182" s="110"/>
      <c r="ER182" s="110"/>
      <c r="ES182" s="110"/>
      <c r="ET182" s="110"/>
      <c r="EU182" s="110"/>
      <c r="EV182" s="110"/>
      <c r="EW182" s="110"/>
      <c r="EX182" s="110"/>
      <c r="EY182" s="110"/>
      <c r="EZ182" s="110"/>
      <c r="FA182" s="110"/>
      <c r="FB182" s="110"/>
      <c r="FC182" s="110"/>
      <c r="FD182" s="110"/>
      <c r="FE182" s="110"/>
      <c r="FF182" s="110"/>
      <c r="FG182" s="110"/>
      <c r="FH182" s="110"/>
      <c r="FI182" s="110"/>
      <c r="FJ182" s="110"/>
      <c r="FK182" s="110"/>
      <c r="FL182" s="110"/>
      <c r="FM182" s="110"/>
      <c r="FN182" s="110"/>
      <c r="FO182" s="110"/>
      <c r="FP182" s="110"/>
      <c r="FQ182" s="110"/>
      <c r="FR182" s="110"/>
      <c r="FS182" s="110"/>
      <c r="FT182" s="110"/>
      <c r="FU182" s="110"/>
      <c r="FV182" s="110"/>
      <c r="FW182" s="110"/>
      <c r="FX182" s="110"/>
      <c r="FY182" s="110"/>
      <c r="FZ182" s="110"/>
      <c r="GA182" s="110"/>
      <c r="GB182" s="110"/>
      <c r="GC182" s="110"/>
      <c r="GD182" s="110"/>
      <c r="GE182" s="110"/>
      <c r="GF182" s="110"/>
      <c r="GG182" s="110"/>
      <c r="GH182" s="110"/>
      <c r="GI182" s="110"/>
      <c r="GJ182" s="110"/>
      <c r="GK182" s="110"/>
      <c r="GL182" s="110"/>
      <c r="GM182" s="110"/>
      <c r="GN182" s="110"/>
      <c r="GO182" s="110"/>
      <c r="GP182" s="110"/>
      <c r="GQ182" s="110"/>
      <c r="GR182" s="110"/>
      <c r="GS182" s="110"/>
      <c r="GT182" s="110"/>
      <c r="GU182" s="110"/>
      <c r="GV182" s="110"/>
      <c r="GW182" s="110"/>
      <c r="GX182" s="110"/>
      <c r="GY182" s="110"/>
      <c r="GZ182" s="110"/>
      <c r="HA182" s="110"/>
      <c r="HB182" s="110"/>
      <c r="HC182" s="110"/>
      <c r="HD182" s="110"/>
      <c r="HE182" s="110"/>
      <c r="HF182" s="110"/>
      <c r="HG182" s="110"/>
      <c r="HH182" s="110"/>
      <c r="HI182" s="110"/>
      <c r="HJ182" s="110"/>
      <c r="HK182" s="110"/>
      <c r="HL182" s="110"/>
      <c r="HM182" s="110"/>
      <c r="HN182" s="110"/>
      <c r="HO182" s="110"/>
      <c r="HP182" s="110"/>
      <c r="HQ182" s="110"/>
      <c r="HR182" s="110"/>
      <c r="HS182" s="110"/>
      <c r="HT182" s="110"/>
      <c r="HU182" s="110"/>
      <c r="HV182" s="110"/>
      <c r="HW182" s="110"/>
      <c r="HX182" s="110"/>
      <c r="HY182" s="110"/>
      <c r="HZ182" s="110"/>
      <c r="IA182" s="110"/>
      <c r="IB182" s="110"/>
      <c r="IC182" s="110"/>
      <c r="ID182" s="110"/>
      <c r="IE182" s="110"/>
      <c r="IF182" s="110"/>
      <c r="IG182" s="110"/>
      <c r="IH182" s="110"/>
      <c r="II182" s="110"/>
      <c r="IJ182" s="110"/>
      <c r="IK182" s="110"/>
      <c r="IL182" s="110"/>
      <c r="IM182" s="110"/>
      <c r="IN182" s="110"/>
      <c r="IO182" s="110"/>
      <c r="IP182" s="110"/>
      <c r="IQ182" s="110"/>
      <c r="IR182" s="110"/>
      <c r="IS182" s="110"/>
      <c r="IT182" s="110"/>
      <c r="IU182" s="110"/>
      <c r="IV182" s="110"/>
      <c r="IW182" s="110"/>
      <c r="IX182" s="110"/>
      <c r="IY182" s="110"/>
      <c r="IZ182" s="110"/>
      <c r="JA182" s="110"/>
      <c r="JB182" s="110"/>
      <c r="JC182" s="110"/>
      <c r="JD182" s="110"/>
      <c r="JE182" s="110"/>
      <c r="JF182" t="s">
        <v>49</v>
      </c>
    </row>
    <row r="183" spans="1:266" x14ac:dyDescent="0.45">
      <c r="A183" s="71" t="str">
        <f>IF('Quote Exports'!C167="","",'Quote Exports'!C167)</f>
        <v/>
      </c>
      <c r="B183" s="72"/>
      <c r="C183" s="68" t="s">
        <v>424</v>
      </c>
      <c r="D183" s="107" t="s">
        <v>355</v>
      </c>
      <c r="E183" s="110" t="str">
        <v>MW</v>
      </c>
      <c r="F183" s="110" t="str">
        <v>MW</v>
      </c>
      <c r="G183" s="110" t="str">
        <v>MW</v>
      </c>
      <c r="H183" s="110" t="str">
        <v>MW</v>
      </c>
      <c r="I183" s="110" t="str">
        <v>MW</v>
      </c>
      <c r="J183" s="110" t="str">
        <v>MW</v>
      </c>
      <c r="K183" s="110" t="str">
        <v>MW</v>
      </c>
      <c r="L183" s="110" t="str">
        <v>MW</v>
      </c>
      <c r="M183" s="110" t="str">
        <v>MW</v>
      </c>
      <c r="N183" s="110" t="str">
        <v>Coloured</v>
      </c>
      <c r="O183" s="110" t="str">
        <v>MW</v>
      </c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  <c r="AE183" s="110"/>
      <c r="AF183" s="110"/>
      <c r="AG183" s="110"/>
      <c r="AH183" s="110"/>
      <c r="AI183" s="110"/>
      <c r="AJ183" s="110"/>
      <c r="AK183" s="110"/>
      <c r="AL183" s="110"/>
      <c r="AM183" s="110"/>
      <c r="AN183" s="110"/>
      <c r="AO183" s="110"/>
      <c r="AP183" s="110"/>
      <c r="AQ183" s="110"/>
      <c r="AR183" s="110"/>
      <c r="AS183" s="110"/>
      <c r="AT183" s="110"/>
      <c r="AU183" s="110"/>
      <c r="AV183" s="110"/>
      <c r="AW183" s="110"/>
      <c r="AX183" s="110"/>
      <c r="AY183" s="110"/>
      <c r="AZ183" s="110"/>
      <c r="BA183" s="110"/>
      <c r="BB183" s="110"/>
      <c r="BC183" s="110"/>
      <c r="BD183" s="110"/>
      <c r="BE183" s="110"/>
      <c r="BF183" s="110"/>
      <c r="BG183" s="110"/>
      <c r="BH183" s="110"/>
      <c r="BI183" s="110"/>
      <c r="BJ183" s="110"/>
      <c r="BK183" s="110"/>
      <c r="BL183" s="110"/>
      <c r="BM183" s="110"/>
      <c r="BN183" s="110"/>
      <c r="BO183" s="110"/>
      <c r="BP183" s="110"/>
      <c r="BQ183" s="110"/>
      <c r="BR183" s="110"/>
      <c r="BS183" s="110"/>
      <c r="BT183" s="110"/>
      <c r="BU183" s="110"/>
      <c r="BV183" s="110"/>
      <c r="BW183" s="110"/>
      <c r="BX183" s="110"/>
      <c r="BY183" s="110"/>
      <c r="BZ183" s="110"/>
      <c r="CA183" s="110"/>
      <c r="CB183" s="110"/>
      <c r="CC183" s="110"/>
      <c r="CD183" s="110"/>
      <c r="CE183" s="110"/>
      <c r="CF183" s="110"/>
      <c r="CG183" s="110"/>
      <c r="CH183" s="110"/>
      <c r="CI183" s="110"/>
      <c r="CJ183" s="110"/>
      <c r="CK183" s="110"/>
      <c r="CL183" s="110"/>
      <c r="CM183" s="110"/>
      <c r="CN183" s="110"/>
      <c r="CO183" s="110"/>
      <c r="CP183" s="110"/>
      <c r="CQ183" s="110"/>
      <c r="CR183" s="110"/>
      <c r="CS183" s="110"/>
      <c r="CT183" s="110"/>
      <c r="CU183" s="110"/>
      <c r="CV183" s="110"/>
      <c r="CW183" s="110"/>
      <c r="CX183" s="110"/>
      <c r="CY183" s="110"/>
      <c r="CZ183" s="110"/>
      <c r="DA183" s="110"/>
      <c r="DB183" s="110"/>
      <c r="DC183" s="110"/>
      <c r="DD183" s="110"/>
      <c r="DE183" s="110"/>
      <c r="DF183" s="110"/>
      <c r="DG183" s="110"/>
      <c r="DH183" s="110"/>
      <c r="DI183" s="110"/>
      <c r="DJ183" s="110"/>
      <c r="DK183" s="110"/>
      <c r="DL183" s="110"/>
      <c r="DM183" s="110"/>
      <c r="DN183" s="110"/>
      <c r="DO183" s="110"/>
      <c r="DP183" s="110"/>
      <c r="DQ183" s="110"/>
      <c r="DR183" s="110"/>
      <c r="DS183" s="110"/>
      <c r="DT183" s="110"/>
      <c r="DU183" s="110"/>
      <c r="DV183" s="110"/>
      <c r="DW183" s="110"/>
      <c r="DX183" s="110"/>
      <c r="DY183" s="110"/>
      <c r="DZ183" s="110"/>
      <c r="EA183" s="110"/>
      <c r="EB183" s="110"/>
      <c r="EC183" s="110"/>
      <c r="ED183" s="110"/>
      <c r="EE183" s="110"/>
      <c r="EF183" s="110"/>
      <c r="EG183" s="110"/>
      <c r="EH183" s="110"/>
      <c r="EI183" s="110"/>
      <c r="EJ183" s="110"/>
      <c r="EK183" s="110"/>
      <c r="EL183" s="110"/>
      <c r="EM183" s="110"/>
      <c r="EN183" s="110"/>
      <c r="EO183" s="110"/>
      <c r="EP183" s="110"/>
      <c r="EQ183" s="110"/>
      <c r="ER183" s="110"/>
      <c r="ES183" s="110"/>
      <c r="ET183" s="110"/>
      <c r="EU183" s="110"/>
      <c r="EV183" s="110"/>
      <c r="EW183" s="110"/>
      <c r="EX183" s="110"/>
      <c r="EY183" s="110"/>
      <c r="EZ183" s="110"/>
      <c r="FA183" s="110"/>
      <c r="FB183" s="110"/>
      <c r="FC183" s="110"/>
      <c r="FD183" s="110"/>
      <c r="FE183" s="110"/>
      <c r="FF183" s="110"/>
      <c r="FG183" s="110"/>
      <c r="FH183" s="110"/>
      <c r="FI183" s="110"/>
      <c r="FJ183" s="110"/>
      <c r="FK183" s="110"/>
      <c r="FL183" s="110"/>
      <c r="FM183" s="110"/>
      <c r="FN183" s="110"/>
      <c r="FO183" s="110"/>
      <c r="FP183" s="110"/>
      <c r="FQ183" s="110"/>
      <c r="FR183" s="110"/>
      <c r="FS183" s="110"/>
      <c r="FT183" s="110"/>
      <c r="FU183" s="110"/>
      <c r="FV183" s="110"/>
      <c r="FW183" s="110"/>
      <c r="FX183" s="110"/>
      <c r="FY183" s="110"/>
      <c r="FZ183" s="110"/>
      <c r="GA183" s="110"/>
      <c r="GB183" s="110"/>
      <c r="GC183" s="110"/>
      <c r="GD183" s="110"/>
      <c r="GE183" s="110"/>
      <c r="GF183" s="110"/>
      <c r="GG183" s="110"/>
      <c r="GH183" s="110"/>
      <c r="GI183" s="110"/>
      <c r="GJ183" s="110"/>
      <c r="GK183" s="110"/>
      <c r="GL183" s="110"/>
      <c r="GM183" s="110"/>
      <c r="GN183" s="110"/>
      <c r="GO183" s="110"/>
      <c r="GP183" s="110"/>
      <c r="GQ183" s="110"/>
      <c r="GR183" s="110"/>
      <c r="GS183" s="110"/>
      <c r="GT183" s="110"/>
      <c r="GU183" s="110"/>
      <c r="GV183" s="110"/>
      <c r="GW183" s="110"/>
      <c r="GX183" s="110"/>
      <c r="GY183" s="110"/>
      <c r="GZ183" s="110"/>
      <c r="HA183" s="110"/>
      <c r="HB183" s="110"/>
      <c r="HC183" s="110"/>
      <c r="HD183" s="110"/>
      <c r="HE183" s="110"/>
      <c r="HF183" s="110"/>
      <c r="HG183" s="110"/>
      <c r="HH183" s="110"/>
      <c r="HI183" s="110"/>
      <c r="HJ183" s="110"/>
      <c r="HK183" s="110"/>
      <c r="HL183" s="110"/>
      <c r="HM183" s="110"/>
      <c r="HN183" s="110"/>
      <c r="HO183" s="110"/>
      <c r="HP183" s="110"/>
      <c r="HQ183" s="110"/>
      <c r="HR183" s="110"/>
      <c r="HS183" s="110"/>
      <c r="HT183" s="110"/>
      <c r="HU183" s="110"/>
      <c r="HV183" s="110"/>
      <c r="HW183" s="110"/>
      <c r="HX183" s="110"/>
      <c r="HY183" s="110"/>
      <c r="HZ183" s="110"/>
      <c r="IA183" s="110"/>
      <c r="IB183" s="110"/>
      <c r="IC183" s="110"/>
      <c r="ID183" s="110"/>
      <c r="IE183" s="110"/>
      <c r="IF183" s="110"/>
      <c r="IG183" s="110"/>
      <c r="IH183" s="110"/>
      <c r="II183" s="110"/>
      <c r="IJ183" s="110"/>
      <c r="IK183" s="110"/>
      <c r="IL183" s="110"/>
      <c r="IM183" s="110"/>
      <c r="IN183" s="110"/>
      <c r="IO183" s="110"/>
      <c r="IP183" s="110"/>
      <c r="IQ183" s="110"/>
      <c r="IR183" s="110"/>
      <c r="IS183" s="110"/>
      <c r="IT183" s="110"/>
      <c r="IU183" s="110"/>
      <c r="IV183" s="110"/>
      <c r="IW183" s="110"/>
      <c r="IX183" s="110"/>
      <c r="IY183" s="110"/>
      <c r="IZ183" s="110"/>
      <c r="JA183" s="110"/>
      <c r="JB183" s="110"/>
      <c r="JC183" s="110"/>
      <c r="JD183" s="110"/>
      <c r="JE183" s="110"/>
      <c r="JF183" t="s">
        <v>49</v>
      </c>
    </row>
    <row r="184" spans="1:266" x14ac:dyDescent="0.45">
      <c r="A184" s="71" t="str">
        <f>IF('Quote Exports'!C168="","",'Quote Exports'!C168)</f>
        <v/>
      </c>
      <c r="B184" s="72"/>
      <c r="C184" s="68" t="s">
        <v>424</v>
      </c>
      <c r="D184" s="107" t="s">
        <v>356</v>
      </c>
      <c r="E184" s="110" t="str">
        <v>Yes</v>
      </c>
      <c r="F184" s="110" t="str">
        <v>Yes</v>
      </c>
      <c r="G184" s="110" t="str">
        <v>Yes</v>
      </c>
      <c r="H184" s="110" t="str">
        <v>Yes</v>
      </c>
      <c r="I184" s="110" t="str">
        <v>No</v>
      </c>
      <c r="J184" s="110" t="str">
        <v>No</v>
      </c>
      <c r="K184" s="110" t="str">
        <v>Yes</v>
      </c>
      <c r="L184" s="110" t="str">
        <v>No</v>
      </c>
      <c r="M184" s="110" t="str">
        <v>Yes</v>
      </c>
      <c r="N184" s="110" t="str">
        <v>No</v>
      </c>
      <c r="O184" s="110" t="str">
        <v>No</v>
      </c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  <c r="AE184" s="110"/>
      <c r="AF184" s="110"/>
      <c r="AG184" s="110"/>
      <c r="AH184" s="110"/>
      <c r="AI184" s="110"/>
      <c r="AJ184" s="110"/>
      <c r="AK184" s="110"/>
      <c r="AL184" s="110"/>
      <c r="AM184" s="110"/>
      <c r="AN184" s="110"/>
      <c r="AO184" s="110"/>
      <c r="AP184" s="110"/>
      <c r="AQ184" s="110"/>
      <c r="AR184" s="110"/>
      <c r="AS184" s="110"/>
      <c r="AT184" s="110"/>
      <c r="AU184" s="110"/>
      <c r="AV184" s="110"/>
      <c r="AW184" s="110"/>
      <c r="AX184" s="110"/>
      <c r="AY184" s="110"/>
      <c r="AZ184" s="110"/>
      <c r="BA184" s="110"/>
      <c r="BB184" s="110"/>
      <c r="BC184" s="110"/>
      <c r="BD184" s="110"/>
      <c r="BE184" s="110"/>
      <c r="BF184" s="110"/>
      <c r="BG184" s="110"/>
      <c r="BH184" s="110"/>
      <c r="BI184" s="110"/>
      <c r="BJ184" s="110"/>
      <c r="BK184" s="110"/>
      <c r="BL184" s="110"/>
      <c r="BM184" s="110"/>
      <c r="BN184" s="110"/>
      <c r="BO184" s="110"/>
      <c r="BP184" s="110"/>
      <c r="BQ184" s="110"/>
      <c r="BR184" s="110"/>
      <c r="BS184" s="110"/>
      <c r="BT184" s="110"/>
      <c r="BU184" s="110"/>
      <c r="BV184" s="110"/>
      <c r="BW184" s="110"/>
      <c r="BX184" s="110"/>
      <c r="BY184" s="110"/>
      <c r="BZ184" s="110"/>
      <c r="CA184" s="110"/>
      <c r="CB184" s="110"/>
      <c r="CC184" s="110"/>
      <c r="CD184" s="110"/>
      <c r="CE184" s="110"/>
      <c r="CF184" s="110"/>
      <c r="CG184" s="110"/>
      <c r="CH184" s="110"/>
      <c r="CI184" s="110"/>
      <c r="CJ184" s="110"/>
      <c r="CK184" s="110"/>
      <c r="CL184" s="110"/>
      <c r="CM184" s="110"/>
      <c r="CN184" s="110"/>
      <c r="CO184" s="110"/>
      <c r="CP184" s="110"/>
      <c r="CQ184" s="110"/>
      <c r="CR184" s="110"/>
      <c r="CS184" s="110"/>
      <c r="CT184" s="110"/>
      <c r="CU184" s="110"/>
      <c r="CV184" s="110"/>
      <c r="CW184" s="110"/>
      <c r="CX184" s="110"/>
      <c r="CY184" s="110"/>
      <c r="CZ184" s="110"/>
      <c r="DA184" s="110"/>
      <c r="DB184" s="110"/>
      <c r="DC184" s="110"/>
      <c r="DD184" s="110"/>
      <c r="DE184" s="110"/>
      <c r="DF184" s="110"/>
      <c r="DG184" s="110"/>
      <c r="DH184" s="110"/>
      <c r="DI184" s="110"/>
      <c r="DJ184" s="110"/>
      <c r="DK184" s="110"/>
      <c r="DL184" s="110"/>
      <c r="DM184" s="110"/>
      <c r="DN184" s="110"/>
      <c r="DO184" s="110"/>
      <c r="DP184" s="110"/>
      <c r="DQ184" s="110"/>
      <c r="DR184" s="110"/>
      <c r="DS184" s="110"/>
      <c r="DT184" s="110"/>
      <c r="DU184" s="110"/>
      <c r="DV184" s="110"/>
      <c r="DW184" s="110"/>
      <c r="DX184" s="110"/>
      <c r="DY184" s="110"/>
      <c r="DZ184" s="110"/>
      <c r="EA184" s="110"/>
      <c r="EB184" s="110"/>
      <c r="EC184" s="110"/>
      <c r="ED184" s="110"/>
      <c r="EE184" s="110"/>
      <c r="EF184" s="110"/>
      <c r="EG184" s="110"/>
      <c r="EH184" s="110"/>
      <c r="EI184" s="110"/>
      <c r="EJ184" s="110"/>
      <c r="EK184" s="110"/>
      <c r="EL184" s="110"/>
      <c r="EM184" s="110"/>
      <c r="EN184" s="110"/>
      <c r="EO184" s="110"/>
      <c r="EP184" s="110"/>
      <c r="EQ184" s="110"/>
      <c r="ER184" s="110"/>
      <c r="ES184" s="110"/>
      <c r="ET184" s="110"/>
      <c r="EU184" s="110"/>
      <c r="EV184" s="110"/>
      <c r="EW184" s="110"/>
      <c r="EX184" s="110"/>
      <c r="EY184" s="110"/>
      <c r="EZ184" s="110"/>
      <c r="FA184" s="110"/>
      <c r="FB184" s="110"/>
      <c r="FC184" s="110"/>
      <c r="FD184" s="110"/>
      <c r="FE184" s="110"/>
      <c r="FF184" s="110"/>
      <c r="FG184" s="110"/>
      <c r="FH184" s="110"/>
      <c r="FI184" s="110"/>
      <c r="FJ184" s="110"/>
      <c r="FK184" s="110"/>
      <c r="FL184" s="110"/>
      <c r="FM184" s="110"/>
      <c r="FN184" s="110"/>
      <c r="FO184" s="110"/>
      <c r="FP184" s="110"/>
      <c r="FQ184" s="110"/>
      <c r="FR184" s="110"/>
      <c r="FS184" s="110"/>
      <c r="FT184" s="110"/>
      <c r="FU184" s="110"/>
      <c r="FV184" s="110"/>
      <c r="FW184" s="110"/>
      <c r="FX184" s="110"/>
      <c r="FY184" s="110"/>
      <c r="FZ184" s="110"/>
      <c r="GA184" s="110"/>
      <c r="GB184" s="110"/>
      <c r="GC184" s="110"/>
      <c r="GD184" s="110"/>
      <c r="GE184" s="110"/>
      <c r="GF184" s="110"/>
      <c r="GG184" s="110"/>
      <c r="GH184" s="110"/>
      <c r="GI184" s="110"/>
      <c r="GJ184" s="110"/>
      <c r="GK184" s="110"/>
      <c r="GL184" s="110"/>
      <c r="GM184" s="110"/>
      <c r="GN184" s="110"/>
      <c r="GO184" s="110"/>
      <c r="GP184" s="110"/>
      <c r="GQ184" s="110"/>
      <c r="GR184" s="110"/>
      <c r="GS184" s="110"/>
      <c r="GT184" s="110"/>
      <c r="GU184" s="110"/>
      <c r="GV184" s="110"/>
      <c r="GW184" s="110"/>
      <c r="GX184" s="110"/>
      <c r="GY184" s="110"/>
      <c r="GZ184" s="110"/>
      <c r="HA184" s="110"/>
      <c r="HB184" s="110"/>
      <c r="HC184" s="110"/>
      <c r="HD184" s="110"/>
      <c r="HE184" s="110"/>
      <c r="HF184" s="110"/>
      <c r="HG184" s="110"/>
      <c r="HH184" s="110"/>
      <c r="HI184" s="110"/>
      <c r="HJ184" s="110"/>
      <c r="HK184" s="110"/>
      <c r="HL184" s="110"/>
      <c r="HM184" s="110"/>
      <c r="HN184" s="110"/>
      <c r="HO184" s="110"/>
      <c r="HP184" s="110"/>
      <c r="HQ184" s="110"/>
      <c r="HR184" s="110"/>
      <c r="HS184" s="110"/>
      <c r="HT184" s="110"/>
      <c r="HU184" s="110"/>
      <c r="HV184" s="110"/>
      <c r="HW184" s="110"/>
      <c r="HX184" s="110"/>
      <c r="HY184" s="110"/>
      <c r="HZ184" s="110"/>
      <c r="IA184" s="110"/>
      <c r="IB184" s="110"/>
      <c r="IC184" s="110"/>
      <c r="ID184" s="110"/>
      <c r="IE184" s="110"/>
      <c r="IF184" s="110"/>
      <c r="IG184" s="110"/>
      <c r="IH184" s="110"/>
      <c r="II184" s="110"/>
      <c r="IJ184" s="110"/>
      <c r="IK184" s="110"/>
      <c r="IL184" s="110"/>
      <c r="IM184" s="110"/>
      <c r="IN184" s="110"/>
      <c r="IO184" s="110"/>
      <c r="IP184" s="110"/>
      <c r="IQ184" s="110"/>
      <c r="IR184" s="110"/>
      <c r="IS184" s="110"/>
      <c r="IT184" s="110"/>
      <c r="IU184" s="110"/>
      <c r="IV184" s="110"/>
      <c r="IW184" s="110"/>
      <c r="IX184" s="110"/>
      <c r="IY184" s="110"/>
      <c r="IZ184" s="110"/>
      <c r="JA184" s="110"/>
      <c r="JB184" s="110"/>
      <c r="JC184" s="110"/>
      <c r="JD184" s="110"/>
      <c r="JE184" s="110"/>
      <c r="JF184" t="s">
        <v>49</v>
      </c>
    </row>
    <row r="185" spans="1:266" x14ac:dyDescent="0.45">
      <c r="A185" s="71" t="str">
        <f>IF('Quote Exports'!C169="","",'Quote Exports'!C169)</f>
        <v>Freight</v>
      </c>
      <c r="B185" s="72">
        <v>1</v>
      </c>
      <c r="C185" s="68" t="s">
        <v>425</v>
      </c>
      <c r="D185" s="107" t="s">
        <v>357</v>
      </c>
      <c r="E185" s="110" t="str">
        <v>No</v>
      </c>
      <c r="F185" s="110" t="str">
        <v>No</v>
      </c>
      <c r="G185" s="110" t="str">
        <v>No</v>
      </c>
      <c r="H185" s="110" t="str">
        <v>No</v>
      </c>
      <c r="I185" s="110" t="str">
        <v>No</v>
      </c>
      <c r="J185" s="110" t="str">
        <v>No</v>
      </c>
      <c r="K185" s="110" t="str">
        <v>No</v>
      </c>
      <c r="L185" s="110" t="str">
        <v>No</v>
      </c>
      <c r="M185" s="110" t="str">
        <v>No</v>
      </c>
      <c r="N185" s="110" t="str">
        <v>No</v>
      </c>
      <c r="O185" s="110" t="str">
        <v>No</v>
      </c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  <c r="AE185" s="110"/>
      <c r="AF185" s="110"/>
      <c r="AG185" s="110"/>
      <c r="AH185" s="110"/>
      <c r="AI185" s="110"/>
      <c r="AJ185" s="110"/>
      <c r="AK185" s="110"/>
      <c r="AL185" s="110"/>
      <c r="AM185" s="110"/>
      <c r="AN185" s="110"/>
      <c r="AO185" s="110"/>
      <c r="AP185" s="110"/>
      <c r="AQ185" s="110"/>
      <c r="AR185" s="110"/>
      <c r="AS185" s="110"/>
      <c r="AT185" s="110"/>
      <c r="AU185" s="110"/>
      <c r="AV185" s="110"/>
      <c r="AW185" s="110"/>
      <c r="AX185" s="110"/>
      <c r="AY185" s="110"/>
      <c r="AZ185" s="110"/>
      <c r="BA185" s="110"/>
      <c r="BB185" s="110"/>
      <c r="BC185" s="110"/>
      <c r="BD185" s="110"/>
      <c r="BE185" s="110"/>
      <c r="BF185" s="110"/>
      <c r="BG185" s="110"/>
      <c r="BH185" s="110"/>
      <c r="BI185" s="110"/>
      <c r="BJ185" s="110"/>
      <c r="BK185" s="110"/>
      <c r="BL185" s="110"/>
      <c r="BM185" s="110"/>
      <c r="BN185" s="110"/>
      <c r="BO185" s="110"/>
      <c r="BP185" s="110"/>
      <c r="BQ185" s="110"/>
      <c r="BR185" s="110"/>
      <c r="BS185" s="110"/>
      <c r="BT185" s="110"/>
      <c r="BU185" s="110"/>
      <c r="BV185" s="110"/>
      <c r="BW185" s="110"/>
      <c r="BX185" s="110"/>
      <c r="BY185" s="110"/>
      <c r="BZ185" s="110"/>
      <c r="CA185" s="110"/>
      <c r="CB185" s="110"/>
      <c r="CC185" s="110"/>
      <c r="CD185" s="110"/>
      <c r="CE185" s="110"/>
      <c r="CF185" s="110"/>
      <c r="CG185" s="110"/>
      <c r="CH185" s="110"/>
      <c r="CI185" s="110"/>
      <c r="CJ185" s="110"/>
      <c r="CK185" s="110"/>
      <c r="CL185" s="110"/>
      <c r="CM185" s="110"/>
      <c r="CN185" s="110"/>
      <c r="CO185" s="110"/>
      <c r="CP185" s="110"/>
      <c r="CQ185" s="110"/>
      <c r="CR185" s="110"/>
      <c r="CS185" s="110"/>
      <c r="CT185" s="110"/>
      <c r="CU185" s="110"/>
      <c r="CV185" s="110"/>
      <c r="CW185" s="110"/>
      <c r="CX185" s="110"/>
      <c r="CY185" s="110"/>
      <c r="CZ185" s="110"/>
      <c r="DA185" s="110"/>
      <c r="DB185" s="110"/>
      <c r="DC185" s="110"/>
      <c r="DD185" s="110"/>
      <c r="DE185" s="110"/>
      <c r="DF185" s="110"/>
      <c r="DG185" s="110"/>
      <c r="DH185" s="110"/>
      <c r="DI185" s="110"/>
      <c r="DJ185" s="110"/>
      <c r="DK185" s="110"/>
      <c r="DL185" s="110"/>
      <c r="DM185" s="110"/>
      <c r="DN185" s="110"/>
      <c r="DO185" s="110"/>
      <c r="DP185" s="110"/>
      <c r="DQ185" s="110"/>
      <c r="DR185" s="110"/>
      <c r="DS185" s="110"/>
      <c r="DT185" s="110"/>
      <c r="DU185" s="110"/>
      <c r="DV185" s="110"/>
      <c r="DW185" s="110"/>
      <c r="DX185" s="110"/>
      <c r="DY185" s="110"/>
      <c r="DZ185" s="110"/>
      <c r="EA185" s="110"/>
      <c r="EB185" s="110"/>
      <c r="EC185" s="110"/>
      <c r="ED185" s="110"/>
      <c r="EE185" s="110"/>
      <c r="EF185" s="110"/>
      <c r="EG185" s="110"/>
      <c r="EH185" s="110"/>
      <c r="EI185" s="110"/>
      <c r="EJ185" s="110"/>
      <c r="EK185" s="110"/>
      <c r="EL185" s="110"/>
      <c r="EM185" s="110"/>
      <c r="EN185" s="110"/>
      <c r="EO185" s="110"/>
      <c r="EP185" s="110"/>
      <c r="EQ185" s="110"/>
      <c r="ER185" s="110"/>
      <c r="ES185" s="110"/>
      <c r="ET185" s="110"/>
      <c r="EU185" s="110"/>
      <c r="EV185" s="110"/>
      <c r="EW185" s="110"/>
      <c r="EX185" s="110"/>
      <c r="EY185" s="110"/>
      <c r="EZ185" s="110"/>
      <c r="FA185" s="110"/>
      <c r="FB185" s="110"/>
      <c r="FC185" s="110"/>
      <c r="FD185" s="110"/>
      <c r="FE185" s="110"/>
      <c r="FF185" s="110"/>
      <c r="FG185" s="110"/>
      <c r="FH185" s="110"/>
      <c r="FI185" s="110"/>
      <c r="FJ185" s="110"/>
      <c r="FK185" s="110"/>
      <c r="FL185" s="110"/>
      <c r="FM185" s="110"/>
      <c r="FN185" s="110"/>
      <c r="FO185" s="110"/>
      <c r="FP185" s="110"/>
      <c r="FQ185" s="110"/>
      <c r="FR185" s="110"/>
      <c r="FS185" s="110"/>
      <c r="FT185" s="110"/>
      <c r="FU185" s="110"/>
      <c r="FV185" s="110"/>
      <c r="FW185" s="110"/>
      <c r="FX185" s="110"/>
      <c r="FY185" s="110"/>
      <c r="FZ185" s="110"/>
      <c r="GA185" s="110"/>
      <c r="GB185" s="110"/>
      <c r="GC185" s="110"/>
      <c r="GD185" s="110"/>
      <c r="GE185" s="110"/>
      <c r="GF185" s="110"/>
      <c r="GG185" s="110"/>
      <c r="GH185" s="110"/>
      <c r="GI185" s="110"/>
      <c r="GJ185" s="110"/>
      <c r="GK185" s="110"/>
      <c r="GL185" s="110"/>
      <c r="GM185" s="110"/>
      <c r="GN185" s="110"/>
      <c r="GO185" s="110"/>
      <c r="GP185" s="110"/>
      <c r="GQ185" s="110"/>
      <c r="GR185" s="110"/>
      <c r="GS185" s="110"/>
      <c r="GT185" s="110"/>
      <c r="GU185" s="110"/>
      <c r="GV185" s="110"/>
      <c r="GW185" s="110"/>
      <c r="GX185" s="110"/>
      <c r="GY185" s="110"/>
      <c r="GZ185" s="110"/>
      <c r="HA185" s="110"/>
      <c r="HB185" s="110"/>
      <c r="HC185" s="110"/>
      <c r="HD185" s="110"/>
      <c r="HE185" s="110"/>
      <c r="HF185" s="110"/>
      <c r="HG185" s="110"/>
      <c r="HH185" s="110"/>
      <c r="HI185" s="110"/>
      <c r="HJ185" s="110"/>
      <c r="HK185" s="110"/>
      <c r="HL185" s="110"/>
      <c r="HM185" s="110"/>
      <c r="HN185" s="110"/>
      <c r="HO185" s="110"/>
      <c r="HP185" s="110"/>
      <c r="HQ185" s="110"/>
      <c r="HR185" s="110"/>
      <c r="HS185" s="110"/>
      <c r="HT185" s="110"/>
      <c r="HU185" s="110"/>
      <c r="HV185" s="110"/>
      <c r="HW185" s="110"/>
      <c r="HX185" s="110"/>
      <c r="HY185" s="110"/>
      <c r="HZ185" s="110"/>
      <c r="IA185" s="110"/>
      <c r="IB185" s="110"/>
      <c r="IC185" s="110"/>
      <c r="ID185" s="110"/>
      <c r="IE185" s="110"/>
      <c r="IF185" s="110"/>
      <c r="IG185" s="110"/>
      <c r="IH185" s="110"/>
      <c r="II185" s="110"/>
      <c r="IJ185" s="110"/>
      <c r="IK185" s="110"/>
      <c r="IL185" s="110"/>
      <c r="IM185" s="110"/>
      <c r="IN185" s="110"/>
      <c r="IO185" s="110"/>
      <c r="IP185" s="110"/>
      <c r="IQ185" s="110"/>
      <c r="IR185" s="110"/>
      <c r="IS185" s="110"/>
      <c r="IT185" s="110"/>
      <c r="IU185" s="110"/>
      <c r="IV185" s="110"/>
      <c r="IW185" s="110"/>
      <c r="IX185" s="110"/>
      <c r="IY185" s="110"/>
      <c r="IZ185" s="110"/>
      <c r="JA185" s="110"/>
      <c r="JB185" s="110"/>
      <c r="JC185" s="110"/>
      <c r="JD185" s="110"/>
      <c r="JE185" s="110"/>
      <c r="JF185" t="s">
        <v>49</v>
      </c>
    </row>
    <row r="186" spans="1:266" x14ac:dyDescent="0.45">
      <c r="A186" s="71" t="str">
        <f>IF('Quote Exports'!C171="","",'Quote Exports'!C171)</f>
        <v/>
      </c>
      <c r="B186" s="72">
        <v>1</v>
      </c>
      <c r="C186" s="68" t="s">
        <v>425</v>
      </c>
      <c r="D186" s="107" t="s">
        <v>211</v>
      </c>
      <c r="E186" s="110" t="str">
        <v>Hemmed</v>
      </c>
      <c r="F186" s="110" t="str">
        <v>Hemmed</v>
      </c>
      <c r="G186" s="110" t="str">
        <v>Hemmed</v>
      </c>
      <c r="H186" s="110" t="str">
        <v>Hemmed</v>
      </c>
      <c r="I186" s="110" t="str">
        <v>Hemmed</v>
      </c>
      <c r="J186" s="110" t="str">
        <v>Hemmed</v>
      </c>
      <c r="K186" s="110" t="str">
        <v>Hemmed</v>
      </c>
      <c r="L186" s="110" t="str">
        <v>Hemmed</v>
      </c>
      <c r="M186" s="110" t="str">
        <v>Hemmed</v>
      </c>
      <c r="N186" s="110" t="str">
        <v>Hemmed</v>
      </c>
      <c r="O186" s="110" t="str">
        <v>Hemmed</v>
      </c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  <c r="AE186" s="110"/>
      <c r="AF186" s="110"/>
      <c r="AG186" s="110"/>
      <c r="AH186" s="110"/>
      <c r="AI186" s="110"/>
      <c r="AJ186" s="110"/>
      <c r="AK186" s="110"/>
      <c r="AL186" s="110"/>
      <c r="AM186" s="110"/>
      <c r="AN186" s="110"/>
      <c r="AO186" s="110"/>
      <c r="AP186" s="110"/>
      <c r="AQ186" s="110"/>
      <c r="AR186" s="110"/>
      <c r="AS186" s="110"/>
      <c r="AT186" s="110"/>
      <c r="AU186" s="110"/>
      <c r="AV186" s="110"/>
      <c r="AW186" s="110"/>
      <c r="AX186" s="110"/>
      <c r="AY186" s="110"/>
      <c r="AZ186" s="110"/>
      <c r="BA186" s="110"/>
      <c r="BB186" s="110"/>
      <c r="BC186" s="110"/>
      <c r="BD186" s="110"/>
      <c r="BE186" s="110"/>
      <c r="BF186" s="110"/>
      <c r="BG186" s="110"/>
      <c r="BH186" s="110"/>
      <c r="BI186" s="110"/>
      <c r="BJ186" s="110"/>
      <c r="BK186" s="110"/>
      <c r="BL186" s="110"/>
      <c r="BM186" s="110"/>
      <c r="BN186" s="110"/>
      <c r="BO186" s="110"/>
      <c r="BP186" s="110"/>
      <c r="BQ186" s="110"/>
      <c r="BR186" s="110"/>
      <c r="BS186" s="110"/>
      <c r="BT186" s="110"/>
      <c r="BU186" s="110"/>
      <c r="BV186" s="110"/>
      <c r="BW186" s="110"/>
      <c r="BX186" s="110"/>
      <c r="BY186" s="110"/>
      <c r="BZ186" s="110"/>
      <c r="CA186" s="110"/>
      <c r="CB186" s="110"/>
      <c r="CC186" s="110"/>
      <c r="CD186" s="110"/>
      <c r="CE186" s="110"/>
      <c r="CF186" s="110"/>
      <c r="CG186" s="110"/>
      <c r="CH186" s="110"/>
      <c r="CI186" s="110"/>
      <c r="CJ186" s="110"/>
      <c r="CK186" s="110"/>
      <c r="CL186" s="110"/>
      <c r="CM186" s="110"/>
      <c r="CN186" s="110"/>
      <c r="CO186" s="110"/>
      <c r="CP186" s="110"/>
      <c r="CQ186" s="110"/>
      <c r="CR186" s="110"/>
      <c r="CS186" s="110"/>
      <c r="CT186" s="110"/>
      <c r="CU186" s="110"/>
      <c r="CV186" s="110"/>
      <c r="CW186" s="110"/>
      <c r="CX186" s="110"/>
      <c r="CY186" s="110"/>
      <c r="CZ186" s="110"/>
      <c r="DA186" s="110"/>
      <c r="DB186" s="110"/>
      <c r="DC186" s="110"/>
      <c r="DD186" s="110"/>
      <c r="DE186" s="110"/>
      <c r="DF186" s="110"/>
      <c r="DG186" s="110"/>
      <c r="DH186" s="110"/>
      <c r="DI186" s="110"/>
      <c r="DJ186" s="110"/>
      <c r="DK186" s="110"/>
      <c r="DL186" s="110"/>
      <c r="DM186" s="110"/>
      <c r="DN186" s="110"/>
      <c r="DO186" s="110"/>
      <c r="DP186" s="110"/>
      <c r="DQ186" s="110"/>
      <c r="DR186" s="110"/>
      <c r="DS186" s="110"/>
      <c r="DT186" s="110"/>
      <c r="DU186" s="110"/>
      <c r="DV186" s="110"/>
      <c r="DW186" s="110"/>
      <c r="DX186" s="110"/>
      <c r="DY186" s="110"/>
      <c r="DZ186" s="110"/>
      <c r="EA186" s="110"/>
      <c r="EB186" s="110"/>
      <c r="EC186" s="110"/>
      <c r="ED186" s="110"/>
      <c r="EE186" s="110"/>
      <c r="EF186" s="110"/>
      <c r="EG186" s="110"/>
      <c r="EH186" s="110"/>
      <c r="EI186" s="110"/>
      <c r="EJ186" s="110"/>
      <c r="EK186" s="110"/>
      <c r="EL186" s="110"/>
      <c r="EM186" s="110"/>
      <c r="EN186" s="110"/>
      <c r="EO186" s="110"/>
      <c r="EP186" s="110"/>
      <c r="EQ186" s="110"/>
      <c r="ER186" s="110"/>
      <c r="ES186" s="110"/>
      <c r="ET186" s="110"/>
      <c r="EU186" s="110"/>
      <c r="EV186" s="110"/>
      <c r="EW186" s="110"/>
      <c r="EX186" s="110"/>
      <c r="EY186" s="110"/>
      <c r="EZ186" s="110"/>
      <c r="FA186" s="110"/>
      <c r="FB186" s="110"/>
      <c r="FC186" s="110"/>
      <c r="FD186" s="110"/>
      <c r="FE186" s="110"/>
      <c r="FF186" s="110"/>
      <c r="FG186" s="110"/>
      <c r="FH186" s="110"/>
      <c r="FI186" s="110"/>
      <c r="FJ186" s="110"/>
      <c r="FK186" s="110"/>
      <c r="FL186" s="110"/>
      <c r="FM186" s="110"/>
      <c r="FN186" s="110"/>
      <c r="FO186" s="110"/>
      <c r="FP186" s="110"/>
      <c r="FQ186" s="110"/>
      <c r="FR186" s="110"/>
      <c r="FS186" s="110"/>
      <c r="FT186" s="110"/>
      <c r="FU186" s="110"/>
      <c r="FV186" s="110"/>
      <c r="FW186" s="110"/>
      <c r="FX186" s="110"/>
      <c r="FY186" s="110"/>
      <c r="FZ186" s="110"/>
      <c r="GA186" s="110"/>
      <c r="GB186" s="110"/>
      <c r="GC186" s="110"/>
      <c r="GD186" s="110"/>
      <c r="GE186" s="110"/>
      <c r="GF186" s="110"/>
      <c r="GG186" s="110"/>
      <c r="GH186" s="110"/>
      <c r="GI186" s="110"/>
      <c r="GJ186" s="110"/>
      <c r="GK186" s="110"/>
      <c r="GL186" s="110"/>
      <c r="GM186" s="110"/>
      <c r="GN186" s="110"/>
      <c r="GO186" s="110"/>
      <c r="GP186" s="110"/>
      <c r="GQ186" s="110"/>
      <c r="GR186" s="110"/>
      <c r="GS186" s="110"/>
      <c r="GT186" s="110"/>
      <c r="GU186" s="110"/>
      <c r="GV186" s="110"/>
      <c r="GW186" s="110"/>
      <c r="GX186" s="110"/>
      <c r="GY186" s="110"/>
      <c r="GZ186" s="110"/>
      <c r="HA186" s="110"/>
      <c r="HB186" s="110"/>
      <c r="HC186" s="110"/>
      <c r="HD186" s="110"/>
      <c r="HE186" s="110"/>
      <c r="HF186" s="110"/>
      <c r="HG186" s="110"/>
      <c r="HH186" s="110"/>
      <c r="HI186" s="110"/>
      <c r="HJ186" s="110"/>
      <c r="HK186" s="110"/>
      <c r="HL186" s="110"/>
      <c r="HM186" s="110"/>
      <c r="HN186" s="110"/>
      <c r="HO186" s="110"/>
      <c r="HP186" s="110"/>
      <c r="HQ186" s="110"/>
      <c r="HR186" s="110"/>
      <c r="HS186" s="110"/>
      <c r="HT186" s="110"/>
      <c r="HU186" s="110"/>
      <c r="HV186" s="110"/>
      <c r="HW186" s="110"/>
      <c r="HX186" s="110"/>
      <c r="HY186" s="110"/>
      <c r="HZ186" s="110"/>
      <c r="IA186" s="110"/>
      <c r="IB186" s="110"/>
      <c r="IC186" s="110"/>
      <c r="ID186" s="110"/>
      <c r="IE186" s="110"/>
      <c r="IF186" s="110"/>
      <c r="IG186" s="110"/>
      <c r="IH186" s="110"/>
      <c r="II186" s="110"/>
      <c r="IJ186" s="110"/>
      <c r="IK186" s="110"/>
      <c r="IL186" s="110"/>
      <c r="IM186" s="110"/>
      <c r="IN186" s="110"/>
      <c r="IO186" s="110"/>
      <c r="IP186" s="110"/>
      <c r="IQ186" s="110"/>
      <c r="IR186" s="110"/>
      <c r="IS186" s="110"/>
      <c r="IT186" s="110"/>
      <c r="IU186" s="110"/>
      <c r="IV186" s="110"/>
      <c r="IW186" s="110"/>
      <c r="IX186" s="110"/>
      <c r="IY186" s="110"/>
      <c r="IZ186" s="110"/>
      <c r="JA186" s="110"/>
      <c r="JB186" s="110"/>
      <c r="JC186" s="110"/>
      <c r="JD186" s="110"/>
      <c r="JE186" s="110"/>
      <c r="JF186" t="s">
        <v>49</v>
      </c>
    </row>
    <row r="187" spans="1:266" x14ac:dyDescent="0.45">
      <c r="A187" s="71" t="str">
        <f>IF('Quote Exports'!C172="","",'Quote Exports'!C172)</f>
        <v/>
      </c>
      <c r="B187" s="72"/>
      <c r="C187" s="68" t="s">
        <v>425</v>
      </c>
      <c r="D187" s="107" t="s">
        <v>313</v>
      </c>
      <c r="E187" s="111" t="str">
        <v>No</v>
      </c>
      <c r="F187" s="111" t="str">
        <v>No</v>
      </c>
      <c r="G187" s="111" t="str">
        <v>No</v>
      </c>
      <c r="H187" s="111" t="str">
        <v>No</v>
      </c>
      <c r="I187" s="111" t="str">
        <v>No</v>
      </c>
      <c r="J187" s="111" t="str">
        <v>No</v>
      </c>
      <c r="K187" s="111" t="str">
        <v>No</v>
      </c>
      <c r="L187" s="111" t="str">
        <v>No</v>
      </c>
      <c r="M187" s="111" t="str">
        <v>No</v>
      </c>
      <c r="N187" s="111" t="str">
        <v>No</v>
      </c>
      <c r="O187" s="111" t="str">
        <v>No</v>
      </c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  <c r="BO187" s="111"/>
      <c r="BP187" s="111"/>
      <c r="BQ187" s="111"/>
      <c r="BR187" s="111"/>
      <c r="BS187" s="111"/>
      <c r="BT187" s="111"/>
      <c r="BU187" s="111"/>
      <c r="BV187" s="111"/>
      <c r="BW187" s="111"/>
      <c r="BX187" s="111"/>
      <c r="BY187" s="111"/>
      <c r="BZ187" s="111"/>
      <c r="CA187" s="111"/>
      <c r="CB187" s="111"/>
      <c r="CC187" s="111"/>
      <c r="CD187" s="111"/>
      <c r="CE187" s="111"/>
      <c r="CF187" s="111"/>
      <c r="CG187" s="111"/>
      <c r="CH187" s="111"/>
      <c r="CI187" s="111"/>
      <c r="CJ187" s="111"/>
      <c r="CK187" s="111"/>
      <c r="CL187" s="111"/>
      <c r="CM187" s="111"/>
      <c r="CN187" s="111"/>
      <c r="CO187" s="111"/>
      <c r="CP187" s="111"/>
      <c r="CQ187" s="111"/>
      <c r="CR187" s="111"/>
      <c r="CS187" s="111"/>
      <c r="CT187" s="111"/>
      <c r="CU187" s="111"/>
      <c r="CV187" s="111"/>
      <c r="CW187" s="111"/>
      <c r="CX187" s="111"/>
      <c r="CY187" s="111"/>
      <c r="CZ187" s="111"/>
      <c r="DA187" s="111"/>
      <c r="DB187" s="111"/>
      <c r="DC187" s="111"/>
      <c r="DD187" s="111"/>
      <c r="DE187" s="111"/>
      <c r="DF187" s="111"/>
      <c r="DG187" s="111"/>
      <c r="DH187" s="111"/>
      <c r="DI187" s="111"/>
      <c r="DJ187" s="111"/>
      <c r="DK187" s="111"/>
      <c r="DL187" s="111"/>
      <c r="DM187" s="111"/>
      <c r="DN187" s="111"/>
      <c r="DO187" s="111"/>
      <c r="DP187" s="111"/>
      <c r="DQ187" s="111"/>
      <c r="DR187" s="111"/>
      <c r="DS187" s="111"/>
      <c r="DT187" s="111"/>
      <c r="DU187" s="111"/>
      <c r="DV187" s="111"/>
      <c r="DW187" s="111"/>
      <c r="DX187" s="111"/>
      <c r="DY187" s="111"/>
      <c r="DZ187" s="111"/>
      <c r="EA187" s="111"/>
      <c r="EB187" s="111"/>
      <c r="EC187" s="111"/>
      <c r="ED187" s="111"/>
      <c r="EE187" s="111"/>
      <c r="EF187" s="111"/>
      <c r="EG187" s="111"/>
      <c r="EH187" s="111"/>
      <c r="EI187" s="111"/>
      <c r="EJ187" s="111"/>
      <c r="EK187" s="111"/>
      <c r="EL187" s="111"/>
      <c r="EM187" s="111"/>
      <c r="EN187" s="111"/>
      <c r="EO187" s="111"/>
      <c r="EP187" s="111"/>
      <c r="EQ187" s="111"/>
      <c r="ER187" s="111"/>
      <c r="ES187" s="111"/>
      <c r="ET187" s="111"/>
      <c r="EU187" s="111"/>
      <c r="EV187" s="111"/>
      <c r="EW187" s="111"/>
      <c r="EX187" s="111"/>
      <c r="EY187" s="111"/>
      <c r="EZ187" s="111"/>
      <c r="FA187" s="111"/>
      <c r="FB187" s="111"/>
      <c r="FC187" s="111"/>
      <c r="FD187" s="111"/>
      <c r="FE187" s="111"/>
      <c r="FF187" s="111"/>
      <c r="FG187" s="111"/>
      <c r="FH187" s="111"/>
      <c r="FI187" s="111"/>
      <c r="FJ187" s="111"/>
      <c r="FK187" s="111"/>
      <c r="FL187" s="111"/>
      <c r="FM187" s="111"/>
      <c r="FN187" s="111"/>
      <c r="FO187" s="111"/>
      <c r="FP187" s="111"/>
      <c r="FQ187" s="111"/>
      <c r="FR187" s="111"/>
      <c r="FS187" s="111"/>
      <c r="FT187" s="111"/>
      <c r="FU187" s="111"/>
      <c r="FV187" s="111"/>
      <c r="FW187" s="111"/>
      <c r="FX187" s="111"/>
      <c r="FY187" s="111"/>
      <c r="FZ187" s="111"/>
      <c r="GA187" s="111"/>
      <c r="GB187" s="111"/>
      <c r="GC187" s="111"/>
      <c r="GD187" s="111"/>
      <c r="GE187" s="111"/>
      <c r="GF187" s="111"/>
      <c r="GG187" s="111"/>
      <c r="GH187" s="111"/>
      <c r="GI187" s="111"/>
      <c r="GJ187" s="111"/>
      <c r="GK187" s="111"/>
      <c r="GL187" s="111"/>
      <c r="GM187" s="111"/>
      <c r="GN187" s="111"/>
      <c r="GO187" s="111"/>
      <c r="GP187" s="111"/>
      <c r="GQ187" s="111"/>
      <c r="GR187" s="111"/>
      <c r="GS187" s="111"/>
      <c r="GT187" s="111"/>
      <c r="GU187" s="111"/>
      <c r="GV187" s="111"/>
      <c r="GW187" s="111"/>
      <c r="GX187" s="111"/>
      <c r="GY187" s="111"/>
      <c r="GZ187" s="111"/>
      <c r="HA187" s="111"/>
      <c r="HB187" s="111"/>
      <c r="HC187" s="111"/>
      <c r="HD187" s="111"/>
      <c r="HE187" s="111"/>
      <c r="HF187" s="111"/>
      <c r="HG187" s="111"/>
      <c r="HH187" s="111"/>
      <c r="HI187" s="111"/>
      <c r="HJ187" s="111"/>
      <c r="HK187" s="111"/>
      <c r="HL187" s="111"/>
      <c r="HM187" s="111"/>
      <c r="HN187" s="111"/>
      <c r="HO187" s="111"/>
      <c r="HP187" s="111"/>
      <c r="HQ187" s="111"/>
      <c r="HR187" s="111"/>
      <c r="HS187" s="111"/>
      <c r="HT187" s="111"/>
      <c r="HU187" s="111"/>
      <c r="HV187" s="111"/>
      <c r="HW187" s="111"/>
      <c r="HX187" s="111"/>
      <c r="HY187" s="111"/>
      <c r="HZ187" s="111"/>
      <c r="IA187" s="111"/>
      <c r="IB187" s="111"/>
      <c r="IC187" s="111"/>
      <c r="ID187" s="111"/>
      <c r="IE187" s="111"/>
      <c r="IF187" s="111"/>
      <c r="IG187" s="111"/>
      <c r="IH187" s="111"/>
      <c r="II187" s="111"/>
      <c r="IJ187" s="111"/>
      <c r="IK187" s="111"/>
      <c r="IL187" s="111"/>
      <c r="IM187" s="111"/>
      <c r="IN187" s="111"/>
      <c r="IO187" s="111"/>
      <c r="IP187" s="111"/>
      <c r="IQ187" s="111"/>
      <c r="IR187" s="111"/>
      <c r="IS187" s="111"/>
      <c r="IT187" s="111"/>
      <c r="IU187" s="111"/>
      <c r="IV187" s="111"/>
      <c r="IW187" s="111"/>
      <c r="IX187" s="111"/>
      <c r="IY187" s="111"/>
      <c r="IZ187" s="111"/>
      <c r="JA187" s="111"/>
      <c r="JB187" s="111"/>
      <c r="JC187" s="111"/>
      <c r="JD187" s="111"/>
      <c r="JE187" s="111"/>
      <c r="JF187" t="s">
        <v>49</v>
      </c>
    </row>
    <row r="188" spans="1:266" x14ac:dyDescent="0.45">
      <c r="A188" s="71" t="str">
        <f>IF('Quote Exports'!C173="","",'Quote Exports'!C173)</f>
        <v/>
      </c>
      <c r="B188" s="72"/>
      <c r="C188" s="68" t="s">
        <v>425</v>
      </c>
      <c r="D188" s="107" t="s">
        <v>314</v>
      </c>
      <c r="E188" s="111" t="str">
        <v>No</v>
      </c>
      <c r="F188" s="111" t="str">
        <v>No</v>
      </c>
      <c r="G188" s="111" t="str">
        <v>No</v>
      </c>
      <c r="H188" s="111" t="str">
        <v>No</v>
      </c>
      <c r="I188" s="111" t="str">
        <v>No</v>
      </c>
      <c r="J188" s="111" t="str">
        <v>No</v>
      </c>
      <c r="K188" s="111" t="str">
        <v>No</v>
      </c>
      <c r="L188" s="111" t="str">
        <v>No</v>
      </c>
      <c r="M188" s="111" t="str">
        <v>No</v>
      </c>
      <c r="N188" s="111" t="str">
        <v>No</v>
      </c>
      <c r="O188" s="111" t="str">
        <v>No</v>
      </c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  <c r="BO188" s="111"/>
      <c r="BP188" s="111"/>
      <c r="BQ188" s="111"/>
      <c r="BR188" s="111"/>
      <c r="BS188" s="111"/>
      <c r="BT188" s="111"/>
      <c r="BU188" s="111"/>
      <c r="BV188" s="111"/>
      <c r="BW188" s="111"/>
      <c r="BX188" s="111"/>
      <c r="BY188" s="111"/>
      <c r="BZ188" s="111"/>
      <c r="CA188" s="111"/>
      <c r="CB188" s="111"/>
      <c r="CC188" s="111"/>
      <c r="CD188" s="111"/>
      <c r="CE188" s="111"/>
      <c r="CF188" s="111"/>
      <c r="CG188" s="111"/>
      <c r="CH188" s="111"/>
      <c r="CI188" s="111"/>
      <c r="CJ188" s="111"/>
      <c r="CK188" s="111"/>
      <c r="CL188" s="111"/>
      <c r="CM188" s="111"/>
      <c r="CN188" s="111"/>
      <c r="CO188" s="111"/>
      <c r="CP188" s="111"/>
      <c r="CQ188" s="111"/>
      <c r="CR188" s="111"/>
      <c r="CS188" s="111"/>
      <c r="CT188" s="111"/>
      <c r="CU188" s="111"/>
      <c r="CV188" s="111"/>
      <c r="CW188" s="111"/>
      <c r="CX188" s="111"/>
      <c r="CY188" s="111"/>
      <c r="CZ188" s="111"/>
      <c r="DA188" s="111"/>
      <c r="DB188" s="111"/>
      <c r="DC188" s="111"/>
      <c r="DD188" s="111"/>
      <c r="DE188" s="111"/>
      <c r="DF188" s="111"/>
      <c r="DG188" s="111"/>
      <c r="DH188" s="111"/>
      <c r="DI188" s="111"/>
      <c r="DJ188" s="111"/>
      <c r="DK188" s="111"/>
      <c r="DL188" s="111"/>
      <c r="DM188" s="111"/>
      <c r="DN188" s="111"/>
      <c r="DO188" s="111"/>
      <c r="DP188" s="111"/>
      <c r="DQ188" s="111"/>
      <c r="DR188" s="111"/>
      <c r="DS188" s="111"/>
      <c r="DT188" s="111"/>
      <c r="DU188" s="111"/>
      <c r="DV188" s="111"/>
      <c r="DW188" s="111"/>
      <c r="DX188" s="111"/>
      <c r="DY188" s="111"/>
      <c r="DZ188" s="111"/>
      <c r="EA188" s="111"/>
      <c r="EB188" s="111"/>
      <c r="EC188" s="111"/>
      <c r="ED188" s="111"/>
      <c r="EE188" s="111"/>
      <c r="EF188" s="111"/>
      <c r="EG188" s="111"/>
      <c r="EH188" s="111"/>
      <c r="EI188" s="111"/>
      <c r="EJ188" s="111"/>
      <c r="EK188" s="111"/>
      <c r="EL188" s="111"/>
      <c r="EM188" s="111"/>
      <c r="EN188" s="111"/>
      <c r="EO188" s="111"/>
      <c r="EP188" s="111"/>
      <c r="EQ188" s="111"/>
      <c r="ER188" s="111"/>
      <c r="ES188" s="111"/>
      <c r="ET188" s="111"/>
      <c r="EU188" s="111"/>
      <c r="EV188" s="111"/>
      <c r="EW188" s="111"/>
      <c r="EX188" s="111"/>
      <c r="EY188" s="111"/>
      <c r="EZ188" s="111"/>
      <c r="FA188" s="111"/>
      <c r="FB188" s="111"/>
      <c r="FC188" s="111"/>
      <c r="FD188" s="111"/>
      <c r="FE188" s="111"/>
      <c r="FF188" s="111"/>
      <c r="FG188" s="111"/>
      <c r="FH188" s="111"/>
      <c r="FI188" s="111"/>
      <c r="FJ188" s="111"/>
      <c r="FK188" s="111"/>
      <c r="FL188" s="111"/>
      <c r="FM188" s="111"/>
      <c r="FN188" s="111"/>
      <c r="FO188" s="111"/>
      <c r="FP188" s="111"/>
      <c r="FQ188" s="111"/>
      <c r="FR188" s="111"/>
      <c r="FS188" s="111"/>
      <c r="FT188" s="111"/>
      <c r="FU188" s="111"/>
      <c r="FV188" s="111"/>
      <c r="FW188" s="111"/>
      <c r="FX188" s="111"/>
      <c r="FY188" s="111"/>
      <c r="FZ188" s="111"/>
      <c r="GA188" s="111"/>
      <c r="GB188" s="111"/>
      <c r="GC188" s="111"/>
      <c r="GD188" s="111"/>
      <c r="GE188" s="111"/>
      <c r="GF188" s="111"/>
      <c r="GG188" s="111"/>
      <c r="GH188" s="111"/>
      <c r="GI188" s="111"/>
      <c r="GJ188" s="111"/>
      <c r="GK188" s="111"/>
      <c r="GL188" s="111"/>
      <c r="GM188" s="111"/>
      <c r="GN188" s="111"/>
      <c r="GO188" s="111"/>
      <c r="GP188" s="111"/>
      <c r="GQ188" s="111"/>
      <c r="GR188" s="111"/>
      <c r="GS188" s="111"/>
      <c r="GT188" s="111"/>
      <c r="GU188" s="111"/>
      <c r="GV188" s="111"/>
      <c r="GW188" s="111"/>
      <c r="GX188" s="111"/>
      <c r="GY188" s="111"/>
      <c r="GZ188" s="111"/>
      <c r="HA188" s="111"/>
      <c r="HB188" s="111"/>
      <c r="HC188" s="111"/>
      <c r="HD188" s="111"/>
      <c r="HE188" s="111"/>
      <c r="HF188" s="111"/>
      <c r="HG188" s="111"/>
      <c r="HH188" s="111"/>
      <c r="HI188" s="111"/>
      <c r="HJ188" s="111"/>
      <c r="HK188" s="111"/>
      <c r="HL188" s="111"/>
      <c r="HM188" s="111"/>
      <c r="HN188" s="111"/>
      <c r="HO188" s="111"/>
      <c r="HP188" s="111"/>
      <c r="HQ188" s="111"/>
      <c r="HR188" s="111"/>
      <c r="HS188" s="111"/>
      <c r="HT188" s="111"/>
      <c r="HU188" s="111"/>
      <c r="HV188" s="111"/>
      <c r="HW188" s="111"/>
      <c r="HX188" s="111"/>
      <c r="HY188" s="111"/>
      <c r="HZ188" s="111"/>
      <c r="IA188" s="111"/>
      <c r="IB188" s="111"/>
      <c r="IC188" s="111"/>
      <c r="ID188" s="111"/>
      <c r="IE188" s="111"/>
      <c r="IF188" s="111"/>
      <c r="IG188" s="111"/>
      <c r="IH188" s="111"/>
      <c r="II188" s="111"/>
      <c r="IJ188" s="111"/>
      <c r="IK188" s="111"/>
      <c r="IL188" s="111"/>
      <c r="IM188" s="111"/>
      <c r="IN188" s="111"/>
      <c r="IO188" s="111"/>
      <c r="IP188" s="111"/>
      <c r="IQ188" s="111"/>
      <c r="IR188" s="111"/>
      <c r="IS188" s="111"/>
      <c r="IT188" s="111"/>
      <c r="IU188" s="111"/>
      <c r="IV188" s="111"/>
      <c r="IW188" s="111"/>
      <c r="IX188" s="111"/>
      <c r="IY188" s="111"/>
      <c r="IZ188" s="111"/>
      <c r="JA188" s="111"/>
      <c r="JB188" s="111"/>
      <c r="JC188" s="111"/>
      <c r="JD188" s="111"/>
      <c r="JE188" s="111"/>
      <c r="JF188" t="s">
        <v>49</v>
      </c>
    </row>
    <row r="189" spans="1:266" x14ac:dyDescent="0.45">
      <c r="A189" s="71"/>
      <c r="B189" s="72"/>
      <c r="C189" s="68" t="s">
        <v>425</v>
      </c>
      <c r="D189" s="107" t="s">
        <v>315</v>
      </c>
      <c r="E189" s="111" t="str">
        <v>No</v>
      </c>
      <c r="F189" s="111" t="str">
        <v>No</v>
      </c>
      <c r="G189" s="111" t="str">
        <v>No</v>
      </c>
      <c r="H189" s="111" t="str">
        <v>No</v>
      </c>
      <c r="I189" s="111" t="str">
        <v>No</v>
      </c>
      <c r="J189" s="111" t="str">
        <v>No</v>
      </c>
      <c r="K189" s="111" t="str">
        <v>No</v>
      </c>
      <c r="L189" s="111" t="str">
        <v>No</v>
      </c>
      <c r="M189" s="111" t="str">
        <v>No</v>
      </c>
      <c r="N189" s="111" t="str">
        <v>No</v>
      </c>
      <c r="O189" s="111" t="str">
        <v>No</v>
      </c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  <c r="BN189" s="111"/>
      <c r="BO189" s="111"/>
      <c r="BP189" s="111"/>
      <c r="BQ189" s="111"/>
      <c r="BR189" s="111"/>
      <c r="BS189" s="111"/>
      <c r="BT189" s="111"/>
      <c r="BU189" s="111"/>
      <c r="BV189" s="111"/>
      <c r="BW189" s="111"/>
      <c r="BX189" s="111"/>
      <c r="BY189" s="111"/>
      <c r="BZ189" s="111"/>
      <c r="CA189" s="111"/>
      <c r="CB189" s="111"/>
      <c r="CC189" s="111"/>
      <c r="CD189" s="111"/>
      <c r="CE189" s="111"/>
      <c r="CF189" s="111"/>
      <c r="CG189" s="111"/>
      <c r="CH189" s="111"/>
      <c r="CI189" s="111"/>
      <c r="CJ189" s="111"/>
      <c r="CK189" s="111"/>
      <c r="CL189" s="111"/>
      <c r="CM189" s="111"/>
      <c r="CN189" s="111"/>
      <c r="CO189" s="111"/>
      <c r="CP189" s="111"/>
      <c r="CQ189" s="111"/>
      <c r="CR189" s="111"/>
      <c r="CS189" s="111"/>
      <c r="CT189" s="111"/>
      <c r="CU189" s="111"/>
      <c r="CV189" s="111"/>
      <c r="CW189" s="111"/>
      <c r="CX189" s="111"/>
      <c r="CY189" s="111"/>
      <c r="CZ189" s="111"/>
      <c r="DA189" s="111"/>
      <c r="DB189" s="111"/>
      <c r="DC189" s="111"/>
      <c r="DD189" s="111"/>
      <c r="DE189" s="111"/>
      <c r="DF189" s="111"/>
      <c r="DG189" s="111"/>
      <c r="DH189" s="111"/>
      <c r="DI189" s="111"/>
      <c r="DJ189" s="111"/>
      <c r="DK189" s="111"/>
      <c r="DL189" s="111"/>
      <c r="DM189" s="111"/>
      <c r="DN189" s="111"/>
      <c r="DO189" s="111"/>
      <c r="DP189" s="111"/>
      <c r="DQ189" s="111"/>
      <c r="DR189" s="111"/>
      <c r="DS189" s="111"/>
      <c r="DT189" s="111"/>
      <c r="DU189" s="111"/>
      <c r="DV189" s="111"/>
      <c r="DW189" s="111"/>
      <c r="DX189" s="111"/>
      <c r="DY189" s="111"/>
      <c r="DZ189" s="111"/>
      <c r="EA189" s="111"/>
      <c r="EB189" s="111"/>
      <c r="EC189" s="111"/>
      <c r="ED189" s="111"/>
      <c r="EE189" s="111"/>
      <c r="EF189" s="111"/>
      <c r="EG189" s="111"/>
      <c r="EH189" s="111"/>
      <c r="EI189" s="111"/>
      <c r="EJ189" s="111"/>
      <c r="EK189" s="111"/>
      <c r="EL189" s="111"/>
      <c r="EM189" s="111"/>
      <c r="EN189" s="111"/>
      <c r="EO189" s="111"/>
      <c r="EP189" s="111"/>
      <c r="EQ189" s="111"/>
      <c r="ER189" s="111"/>
      <c r="ES189" s="111"/>
      <c r="ET189" s="111"/>
      <c r="EU189" s="111"/>
      <c r="EV189" s="111"/>
      <c r="EW189" s="111"/>
      <c r="EX189" s="111"/>
      <c r="EY189" s="111"/>
      <c r="EZ189" s="111"/>
      <c r="FA189" s="111"/>
      <c r="FB189" s="111"/>
      <c r="FC189" s="111"/>
      <c r="FD189" s="111"/>
      <c r="FE189" s="111"/>
      <c r="FF189" s="111"/>
      <c r="FG189" s="111"/>
      <c r="FH189" s="111"/>
      <c r="FI189" s="111"/>
      <c r="FJ189" s="111"/>
      <c r="FK189" s="111"/>
      <c r="FL189" s="111"/>
      <c r="FM189" s="111"/>
      <c r="FN189" s="111"/>
      <c r="FO189" s="111"/>
      <c r="FP189" s="111"/>
      <c r="FQ189" s="111"/>
      <c r="FR189" s="111"/>
      <c r="FS189" s="111"/>
      <c r="FT189" s="111"/>
      <c r="FU189" s="111"/>
      <c r="FV189" s="111"/>
      <c r="FW189" s="111"/>
      <c r="FX189" s="111"/>
      <c r="FY189" s="111"/>
      <c r="FZ189" s="111"/>
      <c r="GA189" s="111"/>
      <c r="GB189" s="111"/>
      <c r="GC189" s="111"/>
      <c r="GD189" s="111"/>
      <c r="GE189" s="111"/>
      <c r="GF189" s="111"/>
      <c r="GG189" s="111"/>
      <c r="GH189" s="111"/>
      <c r="GI189" s="111"/>
      <c r="GJ189" s="111"/>
      <c r="GK189" s="111"/>
      <c r="GL189" s="111"/>
      <c r="GM189" s="111"/>
      <c r="GN189" s="111"/>
      <c r="GO189" s="111"/>
      <c r="GP189" s="111"/>
      <c r="GQ189" s="111"/>
      <c r="GR189" s="111"/>
      <c r="GS189" s="111"/>
      <c r="GT189" s="111"/>
      <c r="GU189" s="111"/>
      <c r="GV189" s="111"/>
      <c r="GW189" s="111"/>
      <c r="GX189" s="111"/>
      <c r="GY189" s="111"/>
      <c r="GZ189" s="111"/>
      <c r="HA189" s="111"/>
      <c r="HB189" s="111"/>
      <c r="HC189" s="111"/>
      <c r="HD189" s="111"/>
      <c r="HE189" s="111"/>
      <c r="HF189" s="111"/>
      <c r="HG189" s="111"/>
      <c r="HH189" s="111"/>
      <c r="HI189" s="111"/>
      <c r="HJ189" s="111"/>
      <c r="HK189" s="111"/>
      <c r="HL189" s="111"/>
      <c r="HM189" s="111"/>
      <c r="HN189" s="111"/>
      <c r="HO189" s="111"/>
      <c r="HP189" s="111"/>
      <c r="HQ189" s="111"/>
      <c r="HR189" s="111"/>
      <c r="HS189" s="111"/>
      <c r="HT189" s="111"/>
      <c r="HU189" s="111"/>
      <c r="HV189" s="111"/>
      <c r="HW189" s="111"/>
      <c r="HX189" s="111"/>
      <c r="HY189" s="111"/>
      <c r="HZ189" s="111"/>
      <c r="IA189" s="111"/>
      <c r="IB189" s="111"/>
      <c r="IC189" s="111"/>
      <c r="ID189" s="111"/>
      <c r="IE189" s="111"/>
      <c r="IF189" s="111"/>
      <c r="IG189" s="111"/>
      <c r="IH189" s="111"/>
      <c r="II189" s="111"/>
      <c r="IJ189" s="111"/>
      <c r="IK189" s="111"/>
      <c r="IL189" s="111"/>
      <c r="IM189" s="111"/>
      <c r="IN189" s="111"/>
      <c r="IO189" s="111"/>
      <c r="IP189" s="111"/>
      <c r="IQ189" s="111"/>
      <c r="IR189" s="111"/>
      <c r="IS189" s="111"/>
      <c r="IT189" s="111"/>
      <c r="IU189" s="111"/>
      <c r="IV189" s="111"/>
      <c r="IW189" s="111"/>
      <c r="IX189" s="111"/>
      <c r="IY189" s="111"/>
      <c r="IZ189" s="111"/>
      <c r="JA189" s="111"/>
      <c r="JB189" s="111"/>
      <c r="JC189" s="111"/>
      <c r="JD189" s="111"/>
      <c r="JE189" s="111"/>
    </row>
    <row r="190" spans="1:266" x14ac:dyDescent="0.45">
      <c r="A190" s="71" t="str">
        <f>IF('Quote Exports'!C174="","",'Quote Exports'!C174)</f>
        <v/>
      </c>
      <c r="B190" s="72"/>
      <c r="C190" s="68" t="s">
        <v>425</v>
      </c>
      <c r="D190" s="109" t="s">
        <v>360</v>
      </c>
      <c r="E190" s="111" t="str">
        <v>FOB</v>
      </c>
      <c r="F190" s="111" t="str">
        <v>FOB</v>
      </c>
      <c r="G190" s="111" t="str">
        <v>FOB</v>
      </c>
      <c r="H190" s="111" t="str">
        <v>FOB</v>
      </c>
      <c r="I190" s="111" t="str">
        <v>FOB</v>
      </c>
      <c r="J190" s="111" t="str">
        <v>FOB</v>
      </c>
      <c r="K190" s="111" t="str">
        <v>FOB</v>
      </c>
      <c r="L190" s="111" t="str">
        <v>FOB</v>
      </c>
      <c r="M190" s="111" t="str">
        <v>FOB</v>
      </c>
      <c r="N190" s="111" t="str">
        <v>FOB</v>
      </c>
      <c r="O190" s="111" t="str">
        <v>FOB</v>
      </c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  <c r="BN190" s="111"/>
      <c r="BO190" s="111"/>
      <c r="BP190" s="111"/>
      <c r="BQ190" s="111"/>
      <c r="BR190" s="111"/>
      <c r="BS190" s="111"/>
      <c r="BT190" s="111"/>
      <c r="BU190" s="111"/>
      <c r="BV190" s="111"/>
      <c r="BW190" s="111"/>
      <c r="BX190" s="111"/>
      <c r="BY190" s="111"/>
      <c r="BZ190" s="111"/>
      <c r="CA190" s="111"/>
      <c r="CB190" s="111"/>
      <c r="CC190" s="111"/>
      <c r="CD190" s="111"/>
      <c r="CE190" s="111"/>
      <c r="CF190" s="111"/>
      <c r="CG190" s="111"/>
      <c r="CH190" s="111"/>
      <c r="CI190" s="111"/>
      <c r="CJ190" s="111"/>
      <c r="CK190" s="111"/>
      <c r="CL190" s="111"/>
      <c r="CM190" s="111"/>
      <c r="CN190" s="111"/>
      <c r="CO190" s="111"/>
      <c r="CP190" s="111"/>
      <c r="CQ190" s="111"/>
      <c r="CR190" s="111"/>
      <c r="CS190" s="111"/>
      <c r="CT190" s="111"/>
      <c r="CU190" s="111"/>
      <c r="CV190" s="111"/>
      <c r="CW190" s="111"/>
      <c r="CX190" s="111"/>
      <c r="CY190" s="111"/>
      <c r="CZ190" s="111"/>
      <c r="DA190" s="111"/>
      <c r="DB190" s="111"/>
      <c r="DC190" s="111"/>
      <c r="DD190" s="111"/>
      <c r="DE190" s="111"/>
      <c r="DF190" s="111"/>
      <c r="DG190" s="111"/>
      <c r="DH190" s="111"/>
      <c r="DI190" s="111"/>
      <c r="DJ190" s="111"/>
      <c r="DK190" s="111"/>
      <c r="DL190" s="111"/>
      <c r="DM190" s="111"/>
      <c r="DN190" s="111"/>
      <c r="DO190" s="111"/>
      <c r="DP190" s="111"/>
      <c r="DQ190" s="111"/>
      <c r="DR190" s="111"/>
      <c r="DS190" s="111"/>
      <c r="DT190" s="111"/>
      <c r="DU190" s="111"/>
      <c r="DV190" s="111"/>
      <c r="DW190" s="111"/>
      <c r="DX190" s="111"/>
      <c r="DY190" s="111"/>
      <c r="DZ190" s="111"/>
      <c r="EA190" s="111"/>
      <c r="EB190" s="111"/>
      <c r="EC190" s="111"/>
      <c r="ED190" s="111"/>
      <c r="EE190" s="111"/>
      <c r="EF190" s="111"/>
      <c r="EG190" s="111"/>
      <c r="EH190" s="111"/>
      <c r="EI190" s="111"/>
      <c r="EJ190" s="111"/>
      <c r="EK190" s="111"/>
      <c r="EL190" s="111"/>
      <c r="EM190" s="111"/>
      <c r="EN190" s="111"/>
      <c r="EO190" s="111"/>
      <c r="EP190" s="111"/>
      <c r="EQ190" s="111"/>
      <c r="ER190" s="111"/>
      <c r="ES190" s="111"/>
      <c r="ET190" s="111"/>
      <c r="EU190" s="111"/>
      <c r="EV190" s="111"/>
      <c r="EW190" s="111"/>
      <c r="EX190" s="111"/>
      <c r="EY190" s="111"/>
      <c r="EZ190" s="111"/>
      <c r="FA190" s="111"/>
      <c r="FB190" s="111"/>
      <c r="FC190" s="111"/>
      <c r="FD190" s="111"/>
      <c r="FE190" s="111"/>
      <c r="FF190" s="111"/>
      <c r="FG190" s="111"/>
      <c r="FH190" s="111"/>
      <c r="FI190" s="111"/>
      <c r="FJ190" s="111"/>
      <c r="FK190" s="111"/>
      <c r="FL190" s="111"/>
      <c r="FM190" s="111"/>
      <c r="FN190" s="111"/>
      <c r="FO190" s="111"/>
      <c r="FP190" s="111"/>
      <c r="FQ190" s="111"/>
      <c r="FR190" s="111"/>
      <c r="FS190" s="111"/>
      <c r="FT190" s="111"/>
      <c r="FU190" s="111"/>
      <c r="FV190" s="111"/>
      <c r="FW190" s="111"/>
      <c r="FX190" s="111"/>
      <c r="FY190" s="111"/>
      <c r="FZ190" s="111"/>
      <c r="GA190" s="111"/>
      <c r="GB190" s="111"/>
      <c r="GC190" s="111"/>
      <c r="GD190" s="111"/>
      <c r="GE190" s="111"/>
      <c r="GF190" s="111"/>
      <c r="GG190" s="111"/>
      <c r="GH190" s="111"/>
      <c r="GI190" s="111"/>
      <c r="GJ190" s="111"/>
      <c r="GK190" s="111"/>
      <c r="GL190" s="111"/>
      <c r="GM190" s="111"/>
      <c r="GN190" s="111"/>
      <c r="GO190" s="111"/>
      <c r="GP190" s="111"/>
      <c r="GQ190" s="111"/>
      <c r="GR190" s="111"/>
      <c r="GS190" s="111"/>
      <c r="GT190" s="111"/>
      <c r="GU190" s="111"/>
      <c r="GV190" s="111"/>
      <c r="GW190" s="111"/>
      <c r="GX190" s="111"/>
      <c r="GY190" s="111"/>
      <c r="GZ190" s="111"/>
      <c r="HA190" s="111"/>
      <c r="HB190" s="111"/>
      <c r="HC190" s="111"/>
      <c r="HD190" s="111"/>
      <c r="HE190" s="111"/>
      <c r="HF190" s="111"/>
      <c r="HG190" s="111"/>
      <c r="HH190" s="111"/>
      <c r="HI190" s="111"/>
      <c r="HJ190" s="111"/>
      <c r="HK190" s="111"/>
      <c r="HL190" s="111"/>
      <c r="HM190" s="111"/>
      <c r="HN190" s="111"/>
      <c r="HO190" s="111"/>
      <c r="HP190" s="111"/>
      <c r="HQ190" s="111"/>
      <c r="HR190" s="111"/>
      <c r="HS190" s="111"/>
      <c r="HT190" s="111"/>
      <c r="HU190" s="111"/>
      <c r="HV190" s="111"/>
      <c r="HW190" s="111"/>
      <c r="HX190" s="111"/>
      <c r="HY190" s="111"/>
      <c r="HZ190" s="111"/>
      <c r="IA190" s="111"/>
      <c r="IB190" s="111"/>
      <c r="IC190" s="111"/>
      <c r="ID190" s="111"/>
      <c r="IE190" s="111"/>
      <c r="IF190" s="111"/>
      <c r="IG190" s="111"/>
      <c r="IH190" s="111"/>
      <c r="II190" s="111"/>
      <c r="IJ190" s="111"/>
      <c r="IK190" s="111"/>
      <c r="IL190" s="111"/>
      <c r="IM190" s="111"/>
      <c r="IN190" s="111"/>
      <c r="IO190" s="111"/>
      <c r="IP190" s="111"/>
      <c r="IQ190" s="111"/>
      <c r="IR190" s="111"/>
      <c r="IS190" s="111"/>
      <c r="IT190" s="111"/>
      <c r="IU190" s="111"/>
      <c r="IV190" s="111"/>
      <c r="IW190" s="111"/>
      <c r="IX190" s="111"/>
      <c r="IY190" s="111"/>
      <c r="IZ190" s="111"/>
      <c r="JA190" s="111"/>
      <c r="JB190" s="111"/>
      <c r="JC190" s="111"/>
      <c r="JD190" s="111"/>
      <c r="JE190" s="111"/>
      <c r="JF190" t="s">
        <v>49</v>
      </c>
    </row>
    <row r="191" spans="1:266" x14ac:dyDescent="0.45">
      <c r="A191" s="71" t="str">
        <f>IF('Quote Exports'!C175="","",'Quote Exports'!C175)</f>
        <v/>
      </c>
      <c r="B191" s="72"/>
      <c r="C191" s="68" t="s">
        <v>425</v>
      </c>
      <c r="D191" s="109" t="s">
        <v>365</v>
      </c>
      <c r="E191" s="111" t="str">
        <v>Mundra</v>
      </c>
      <c r="F191" s="111" t="str">
        <v>Mundra</v>
      </c>
      <c r="G191" s="111" t="str">
        <v>Mundra</v>
      </c>
      <c r="H191" s="111" t="str">
        <v>Mundra</v>
      </c>
      <c r="I191" s="111" t="str">
        <v>Mundra</v>
      </c>
      <c r="J191" s="111" t="str">
        <v>Mundra</v>
      </c>
      <c r="K191" s="111" t="str">
        <v>Mundra</v>
      </c>
      <c r="L191" s="111" t="str">
        <v>Mundra</v>
      </c>
      <c r="M191" s="111" t="str">
        <v>Mundra</v>
      </c>
      <c r="N191" s="111" t="str">
        <v>Mundra</v>
      </c>
      <c r="O191" s="111" t="str">
        <v>Mundra</v>
      </c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  <c r="BN191" s="111"/>
      <c r="BO191" s="111"/>
      <c r="BP191" s="111"/>
      <c r="BQ191" s="111"/>
      <c r="BR191" s="111"/>
      <c r="BS191" s="111"/>
      <c r="BT191" s="111"/>
      <c r="BU191" s="111"/>
      <c r="BV191" s="111"/>
      <c r="BW191" s="111"/>
      <c r="BX191" s="111"/>
      <c r="BY191" s="111"/>
      <c r="BZ191" s="111"/>
      <c r="CA191" s="111"/>
      <c r="CB191" s="111"/>
      <c r="CC191" s="111"/>
      <c r="CD191" s="111"/>
      <c r="CE191" s="111"/>
      <c r="CF191" s="111"/>
      <c r="CG191" s="111"/>
      <c r="CH191" s="111"/>
      <c r="CI191" s="111"/>
      <c r="CJ191" s="111"/>
      <c r="CK191" s="111"/>
      <c r="CL191" s="111"/>
      <c r="CM191" s="111"/>
      <c r="CN191" s="111"/>
      <c r="CO191" s="111"/>
      <c r="CP191" s="111"/>
      <c r="CQ191" s="111"/>
      <c r="CR191" s="111"/>
      <c r="CS191" s="111"/>
      <c r="CT191" s="111"/>
      <c r="CU191" s="111"/>
      <c r="CV191" s="111"/>
      <c r="CW191" s="111"/>
      <c r="CX191" s="111"/>
      <c r="CY191" s="111"/>
      <c r="CZ191" s="111"/>
      <c r="DA191" s="111"/>
      <c r="DB191" s="111"/>
      <c r="DC191" s="111"/>
      <c r="DD191" s="111"/>
      <c r="DE191" s="111"/>
      <c r="DF191" s="111"/>
      <c r="DG191" s="111"/>
      <c r="DH191" s="111"/>
      <c r="DI191" s="111"/>
      <c r="DJ191" s="111"/>
      <c r="DK191" s="111"/>
      <c r="DL191" s="111"/>
      <c r="DM191" s="111"/>
      <c r="DN191" s="111"/>
      <c r="DO191" s="111"/>
      <c r="DP191" s="111"/>
      <c r="DQ191" s="111"/>
      <c r="DR191" s="111"/>
      <c r="DS191" s="111"/>
      <c r="DT191" s="111"/>
      <c r="DU191" s="111"/>
      <c r="DV191" s="111"/>
      <c r="DW191" s="111"/>
      <c r="DX191" s="111"/>
      <c r="DY191" s="111"/>
      <c r="DZ191" s="111"/>
      <c r="EA191" s="111"/>
      <c r="EB191" s="111"/>
      <c r="EC191" s="111"/>
      <c r="ED191" s="111"/>
      <c r="EE191" s="111"/>
      <c r="EF191" s="111"/>
      <c r="EG191" s="111"/>
      <c r="EH191" s="111"/>
      <c r="EI191" s="111"/>
      <c r="EJ191" s="111"/>
      <c r="EK191" s="111"/>
      <c r="EL191" s="111"/>
      <c r="EM191" s="111"/>
      <c r="EN191" s="111"/>
      <c r="EO191" s="111"/>
      <c r="EP191" s="111"/>
      <c r="EQ191" s="111"/>
      <c r="ER191" s="111"/>
      <c r="ES191" s="111"/>
      <c r="ET191" s="111"/>
      <c r="EU191" s="111"/>
      <c r="EV191" s="111"/>
      <c r="EW191" s="111"/>
      <c r="EX191" s="111"/>
      <c r="EY191" s="111"/>
      <c r="EZ191" s="111"/>
      <c r="FA191" s="111"/>
      <c r="FB191" s="111"/>
      <c r="FC191" s="111"/>
      <c r="FD191" s="111"/>
      <c r="FE191" s="111"/>
      <c r="FF191" s="111"/>
      <c r="FG191" s="111"/>
      <c r="FH191" s="111"/>
      <c r="FI191" s="111"/>
      <c r="FJ191" s="111"/>
      <c r="FK191" s="111"/>
      <c r="FL191" s="111"/>
      <c r="FM191" s="111"/>
      <c r="FN191" s="111"/>
      <c r="FO191" s="111"/>
      <c r="FP191" s="111"/>
      <c r="FQ191" s="111"/>
      <c r="FR191" s="111"/>
      <c r="FS191" s="111"/>
      <c r="FT191" s="111"/>
      <c r="FU191" s="111"/>
      <c r="FV191" s="111"/>
      <c r="FW191" s="111"/>
      <c r="FX191" s="111"/>
      <c r="FY191" s="111"/>
      <c r="FZ191" s="111"/>
      <c r="GA191" s="111"/>
      <c r="GB191" s="111"/>
      <c r="GC191" s="111"/>
      <c r="GD191" s="111"/>
      <c r="GE191" s="111"/>
      <c r="GF191" s="111"/>
      <c r="GG191" s="111"/>
      <c r="GH191" s="111"/>
      <c r="GI191" s="111"/>
      <c r="GJ191" s="111"/>
      <c r="GK191" s="111"/>
      <c r="GL191" s="111"/>
      <c r="GM191" s="111"/>
      <c r="GN191" s="111"/>
      <c r="GO191" s="111"/>
      <c r="GP191" s="111"/>
      <c r="GQ191" s="111"/>
      <c r="GR191" s="111"/>
      <c r="GS191" s="111"/>
      <c r="GT191" s="111"/>
      <c r="GU191" s="111"/>
      <c r="GV191" s="111"/>
      <c r="GW191" s="111"/>
      <c r="GX191" s="111"/>
      <c r="GY191" s="111"/>
      <c r="GZ191" s="111"/>
      <c r="HA191" s="111"/>
      <c r="HB191" s="111"/>
      <c r="HC191" s="111"/>
      <c r="HD191" s="111"/>
      <c r="HE191" s="111"/>
      <c r="HF191" s="111"/>
      <c r="HG191" s="111"/>
      <c r="HH191" s="111"/>
      <c r="HI191" s="111"/>
      <c r="HJ191" s="111"/>
      <c r="HK191" s="111"/>
      <c r="HL191" s="111"/>
      <c r="HM191" s="111"/>
      <c r="HN191" s="111"/>
      <c r="HO191" s="111"/>
      <c r="HP191" s="111"/>
      <c r="HQ191" s="111"/>
      <c r="HR191" s="111"/>
      <c r="HS191" s="111"/>
      <c r="HT191" s="111"/>
      <c r="HU191" s="111"/>
      <c r="HV191" s="111"/>
      <c r="HW191" s="111"/>
      <c r="HX191" s="111"/>
      <c r="HY191" s="111"/>
      <c r="HZ191" s="111"/>
      <c r="IA191" s="111"/>
      <c r="IB191" s="111"/>
      <c r="IC191" s="111"/>
      <c r="ID191" s="111"/>
      <c r="IE191" s="111"/>
      <c r="IF191" s="111"/>
      <c r="IG191" s="111"/>
      <c r="IH191" s="111"/>
      <c r="II191" s="111"/>
      <c r="IJ191" s="111"/>
      <c r="IK191" s="111"/>
      <c r="IL191" s="111"/>
      <c r="IM191" s="111"/>
      <c r="IN191" s="111"/>
      <c r="IO191" s="111"/>
      <c r="IP191" s="111"/>
      <c r="IQ191" s="111"/>
      <c r="IR191" s="111"/>
      <c r="IS191" s="111"/>
      <c r="IT191" s="111"/>
      <c r="IU191" s="111"/>
      <c r="IV191" s="111"/>
      <c r="IW191" s="111"/>
      <c r="IX191" s="111"/>
      <c r="IY191" s="111"/>
      <c r="IZ191" s="111"/>
      <c r="JA191" s="111"/>
      <c r="JB191" s="111"/>
      <c r="JC191" s="111"/>
      <c r="JD191" s="111"/>
      <c r="JE191" s="111"/>
      <c r="JF191" t="s">
        <v>49</v>
      </c>
    </row>
    <row r="192" spans="1:266" x14ac:dyDescent="0.45">
      <c r="A192" s="71" t="str">
        <f>IF('Quote Exports'!C176="","",'Quote Exports'!C176)</f>
        <v>For Cust</v>
      </c>
      <c r="B192" s="72"/>
      <c r="C192" s="68" t="s">
        <v>425</v>
      </c>
      <c r="D192" s="109" t="s">
        <v>368</v>
      </c>
      <c r="E192" s="112" t="str">
        <v>USD</v>
      </c>
      <c r="F192" s="112" t="str">
        <v>USD</v>
      </c>
      <c r="G192" s="112" t="str">
        <v>USD</v>
      </c>
      <c r="H192" s="112" t="str">
        <v>USD</v>
      </c>
      <c r="I192" s="112" t="str">
        <v>USD</v>
      </c>
      <c r="J192" s="112" t="str">
        <v>USD</v>
      </c>
      <c r="K192" s="112" t="str">
        <v>USD</v>
      </c>
      <c r="L192" s="112" t="str">
        <v>USD</v>
      </c>
      <c r="M192" s="112" t="str">
        <v>USD</v>
      </c>
      <c r="N192" s="112" t="str">
        <v>USD</v>
      </c>
      <c r="O192" s="112" t="str">
        <v>USD</v>
      </c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  <c r="AA192" s="112"/>
      <c r="AB192" s="112"/>
      <c r="AC192" s="112"/>
      <c r="AD192" s="112"/>
      <c r="AE192" s="112"/>
      <c r="AF192" s="112"/>
      <c r="AG192" s="112"/>
      <c r="AH192" s="112"/>
      <c r="AI192" s="112"/>
      <c r="AJ192" s="112"/>
      <c r="AK192" s="112"/>
      <c r="AL192" s="112"/>
      <c r="AM192" s="112"/>
      <c r="AN192" s="112"/>
      <c r="AO192" s="112"/>
      <c r="AP192" s="112"/>
      <c r="AQ192" s="112"/>
      <c r="AR192" s="112"/>
      <c r="AS192" s="112"/>
      <c r="AT192" s="112"/>
      <c r="AU192" s="112"/>
      <c r="AV192" s="112"/>
      <c r="AW192" s="112"/>
      <c r="AX192" s="112"/>
      <c r="AY192" s="112"/>
      <c r="AZ192" s="112"/>
      <c r="BA192" s="112"/>
      <c r="BB192" s="112"/>
      <c r="BC192" s="112"/>
      <c r="BD192" s="112"/>
      <c r="BE192" s="112"/>
      <c r="BF192" s="112"/>
      <c r="BG192" s="112"/>
      <c r="BH192" s="112"/>
      <c r="BI192" s="112"/>
      <c r="BJ192" s="112"/>
      <c r="BK192" s="112"/>
      <c r="BL192" s="112"/>
      <c r="BM192" s="112"/>
      <c r="BN192" s="112"/>
      <c r="BO192" s="112"/>
      <c r="BP192" s="112"/>
      <c r="BQ192" s="112"/>
      <c r="BR192" s="112"/>
      <c r="BS192" s="112"/>
      <c r="BT192" s="112"/>
      <c r="BU192" s="112"/>
      <c r="BV192" s="112"/>
      <c r="BW192" s="112"/>
      <c r="BX192" s="112"/>
      <c r="BY192" s="112"/>
      <c r="BZ192" s="112"/>
      <c r="CA192" s="112"/>
      <c r="CB192" s="112"/>
      <c r="CC192" s="112"/>
      <c r="CD192" s="112"/>
      <c r="CE192" s="112"/>
      <c r="CF192" s="112"/>
      <c r="CG192" s="112"/>
      <c r="CH192" s="112"/>
      <c r="CI192" s="112"/>
      <c r="CJ192" s="112"/>
      <c r="CK192" s="112"/>
      <c r="CL192" s="112"/>
      <c r="CM192" s="112"/>
      <c r="CN192" s="112"/>
      <c r="CO192" s="112"/>
      <c r="CP192" s="112"/>
      <c r="CQ192" s="112"/>
      <c r="CR192" s="112"/>
      <c r="CS192" s="112"/>
      <c r="CT192" s="112"/>
      <c r="CU192" s="112"/>
      <c r="CV192" s="112"/>
      <c r="CW192" s="112"/>
      <c r="CX192" s="112"/>
      <c r="CY192" s="112"/>
      <c r="CZ192" s="112"/>
      <c r="DA192" s="112"/>
      <c r="DB192" s="112"/>
      <c r="DC192" s="112"/>
      <c r="DD192" s="112"/>
      <c r="DE192" s="112"/>
      <c r="DF192" s="112"/>
      <c r="DG192" s="112"/>
      <c r="DH192" s="112"/>
      <c r="DI192" s="112"/>
      <c r="DJ192" s="112"/>
      <c r="DK192" s="112"/>
      <c r="DL192" s="112"/>
      <c r="DM192" s="112"/>
      <c r="DN192" s="112"/>
      <c r="DO192" s="112"/>
      <c r="DP192" s="112"/>
      <c r="DQ192" s="112"/>
      <c r="DR192" s="112"/>
      <c r="DS192" s="112"/>
      <c r="DT192" s="112"/>
      <c r="DU192" s="112"/>
      <c r="DV192" s="112"/>
      <c r="DW192" s="112"/>
      <c r="DX192" s="112"/>
      <c r="DY192" s="112"/>
      <c r="DZ192" s="112"/>
      <c r="EA192" s="112"/>
      <c r="EB192" s="112"/>
      <c r="EC192" s="112"/>
      <c r="ED192" s="112"/>
      <c r="EE192" s="112"/>
      <c r="EF192" s="112"/>
      <c r="EG192" s="112"/>
      <c r="EH192" s="112"/>
      <c r="EI192" s="112"/>
      <c r="EJ192" s="112"/>
      <c r="EK192" s="112"/>
      <c r="EL192" s="112"/>
      <c r="EM192" s="112"/>
      <c r="EN192" s="112"/>
      <c r="EO192" s="112"/>
      <c r="EP192" s="112"/>
      <c r="EQ192" s="112"/>
      <c r="ER192" s="112"/>
      <c r="ES192" s="112"/>
      <c r="ET192" s="112"/>
      <c r="EU192" s="112"/>
      <c r="EV192" s="112"/>
      <c r="EW192" s="112"/>
      <c r="EX192" s="112"/>
      <c r="EY192" s="112"/>
      <c r="EZ192" s="112"/>
      <c r="FA192" s="112"/>
      <c r="FB192" s="112"/>
      <c r="FC192" s="112"/>
      <c r="FD192" s="112"/>
      <c r="FE192" s="112"/>
      <c r="FF192" s="112"/>
      <c r="FG192" s="112"/>
      <c r="FH192" s="112"/>
      <c r="FI192" s="112"/>
      <c r="FJ192" s="112"/>
      <c r="FK192" s="112"/>
      <c r="FL192" s="112"/>
      <c r="FM192" s="112"/>
      <c r="FN192" s="112"/>
      <c r="FO192" s="112"/>
      <c r="FP192" s="112"/>
      <c r="FQ192" s="112"/>
      <c r="FR192" s="112"/>
      <c r="FS192" s="112"/>
      <c r="FT192" s="112"/>
      <c r="FU192" s="112"/>
      <c r="FV192" s="112"/>
      <c r="FW192" s="112"/>
      <c r="FX192" s="112"/>
      <c r="FY192" s="112"/>
      <c r="FZ192" s="112"/>
      <c r="GA192" s="112"/>
      <c r="GB192" s="112"/>
      <c r="GC192" s="112"/>
      <c r="GD192" s="112"/>
      <c r="GE192" s="112"/>
      <c r="GF192" s="112"/>
      <c r="GG192" s="112"/>
      <c r="GH192" s="112"/>
      <c r="GI192" s="112"/>
      <c r="GJ192" s="112"/>
      <c r="GK192" s="112"/>
      <c r="GL192" s="112"/>
      <c r="GM192" s="112"/>
      <c r="GN192" s="112"/>
      <c r="GO192" s="112"/>
      <c r="GP192" s="112"/>
      <c r="GQ192" s="112"/>
      <c r="GR192" s="112"/>
      <c r="GS192" s="112"/>
      <c r="GT192" s="112"/>
      <c r="GU192" s="112"/>
      <c r="GV192" s="112"/>
      <c r="GW192" s="112"/>
      <c r="GX192" s="112"/>
      <c r="GY192" s="112"/>
      <c r="GZ192" s="112"/>
      <c r="HA192" s="112"/>
      <c r="HB192" s="112"/>
      <c r="HC192" s="112"/>
      <c r="HD192" s="112"/>
      <c r="HE192" s="112"/>
      <c r="HF192" s="112"/>
      <c r="HG192" s="112"/>
      <c r="HH192" s="112"/>
      <c r="HI192" s="112"/>
      <c r="HJ192" s="112"/>
      <c r="HK192" s="112"/>
      <c r="HL192" s="112"/>
      <c r="HM192" s="112"/>
      <c r="HN192" s="112"/>
      <c r="HO192" s="112"/>
      <c r="HP192" s="112"/>
      <c r="HQ192" s="112"/>
      <c r="HR192" s="112"/>
      <c r="HS192" s="112"/>
      <c r="HT192" s="112"/>
      <c r="HU192" s="112"/>
      <c r="HV192" s="112"/>
      <c r="HW192" s="112"/>
      <c r="HX192" s="112"/>
      <c r="HY192" s="112"/>
      <c r="HZ192" s="112"/>
      <c r="IA192" s="112"/>
      <c r="IB192" s="112"/>
      <c r="IC192" s="112"/>
      <c r="ID192" s="112"/>
      <c r="IE192" s="112"/>
      <c r="IF192" s="112"/>
      <c r="IG192" s="112"/>
      <c r="IH192" s="112"/>
      <c r="II192" s="112"/>
      <c r="IJ192" s="112"/>
      <c r="IK192" s="112"/>
      <c r="IL192" s="112"/>
      <c r="IM192" s="112"/>
      <c r="IN192" s="112"/>
      <c r="IO192" s="112"/>
      <c r="IP192" s="112"/>
      <c r="IQ192" s="112"/>
      <c r="IR192" s="112"/>
      <c r="IS192" s="112"/>
      <c r="IT192" s="112"/>
      <c r="IU192" s="112"/>
      <c r="IV192" s="112"/>
      <c r="IW192" s="112"/>
      <c r="IX192" s="112"/>
      <c r="IY192" s="112"/>
      <c r="IZ192" s="112"/>
      <c r="JA192" s="112"/>
      <c r="JB192" s="112"/>
      <c r="JC192" s="112"/>
      <c r="JD192" s="112"/>
      <c r="JE192" s="112"/>
      <c r="JF192" t="s">
        <v>49</v>
      </c>
    </row>
    <row r="193" spans="1:266" x14ac:dyDescent="0.45">
      <c r="A193" s="71" t="e">
        <f>IF('Quote Exports'!#REF!="","",'Quote Exports'!#REF!)</f>
        <v>#REF!</v>
      </c>
      <c r="B193" s="72"/>
      <c r="C193" s="68" t="s">
        <v>425</v>
      </c>
      <c r="D193" s="120" t="s">
        <v>373</v>
      </c>
      <c r="E193" s="121">
        <v>1.9042982340951413</v>
      </c>
      <c r="F193" s="121">
        <v>1.7536774741028129</v>
      </c>
      <c r="G193" s="121">
        <v>1.4936187871253286</v>
      </c>
      <c r="H193" s="121">
        <v>1.1848040426146218</v>
      </c>
      <c r="I193" s="121">
        <v>0.29415988325462294</v>
      </c>
      <c r="J193" s="121">
        <v>0.13170248693635173</v>
      </c>
      <c r="K193" s="121">
        <v>0.67885738949313157</v>
      </c>
      <c r="L193" s="121">
        <v>0.22748334379341337</v>
      </c>
      <c r="M193" s="121">
        <v>0.38017603798198207</v>
      </c>
      <c r="N193" s="121">
        <v>0.55433549244514901</v>
      </c>
      <c r="O193" s="121">
        <v>0.19431073825169487</v>
      </c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  <c r="AL193" s="121"/>
      <c r="AM193" s="121"/>
      <c r="AN193" s="121"/>
      <c r="AO193" s="121"/>
      <c r="AP193" s="121"/>
      <c r="AQ193" s="121"/>
      <c r="AR193" s="121"/>
      <c r="AS193" s="121"/>
      <c r="AT193" s="121"/>
      <c r="AU193" s="121"/>
      <c r="AV193" s="121"/>
      <c r="AW193" s="121"/>
      <c r="AX193" s="121"/>
      <c r="AY193" s="121"/>
      <c r="AZ193" s="121"/>
      <c r="BA193" s="121"/>
      <c r="BB193" s="121"/>
      <c r="BC193" s="121"/>
      <c r="BD193" s="121"/>
      <c r="BE193" s="121"/>
      <c r="BF193" s="121"/>
      <c r="BG193" s="121"/>
      <c r="BH193" s="121"/>
      <c r="BI193" s="121"/>
      <c r="BJ193" s="121"/>
      <c r="BK193" s="121"/>
      <c r="BL193" s="121"/>
      <c r="BM193" s="121"/>
      <c r="BN193" s="121"/>
      <c r="BO193" s="121"/>
      <c r="BP193" s="121"/>
      <c r="BQ193" s="121"/>
      <c r="BR193" s="121"/>
      <c r="BS193" s="121"/>
      <c r="BT193" s="121"/>
      <c r="BU193" s="121"/>
      <c r="BV193" s="121"/>
      <c r="BW193" s="121"/>
      <c r="BX193" s="121"/>
      <c r="BY193" s="121"/>
      <c r="BZ193" s="121"/>
      <c r="CA193" s="121"/>
      <c r="CB193" s="121"/>
      <c r="CC193" s="121"/>
      <c r="CD193" s="121"/>
      <c r="CE193" s="121"/>
      <c r="CF193" s="121"/>
      <c r="CG193" s="121"/>
      <c r="CH193" s="121"/>
      <c r="CI193" s="121"/>
      <c r="CJ193" s="121"/>
      <c r="CK193" s="121"/>
      <c r="CL193" s="121"/>
      <c r="CM193" s="121"/>
      <c r="CN193" s="121"/>
      <c r="CO193" s="121"/>
      <c r="CP193" s="121"/>
      <c r="CQ193" s="121"/>
      <c r="CR193" s="121"/>
      <c r="CS193" s="121"/>
      <c r="CT193" s="121"/>
      <c r="CU193" s="121"/>
      <c r="CV193" s="121"/>
      <c r="CW193" s="121"/>
      <c r="CX193" s="121"/>
      <c r="CY193" s="121"/>
      <c r="CZ193" s="121"/>
      <c r="DA193" s="121"/>
      <c r="DB193" s="121"/>
      <c r="DC193" s="121"/>
      <c r="DD193" s="121"/>
      <c r="DE193" s="121"/>
      <c r="DF193" s="121"/>
      <c r="DG193" s="121"/>
      <c r="DH193" s="121"/>
      <c r="DI193" s="121"/>
      <c r="DJ193" s="121"/>
      <c r="DK193" s="121"/>
      <c r="DL193" s="121"/>
      <c r="DM193" s="121"/>
      <c r="DN193" s="121"/>
      <c r="DO193" s="121"/>
      <c r="DP193" s="121"/>
      <c r="DQ193" s="121"/>
      <c r="DR193" s="121"/>
      <c r="DS193" s="121"/>
      <c r="DT193" s="121"/>
      <c r="DU193" s="121"/>
      <c r="DV193" s="121"/>
      <c r="DW193" s="121"/>
      <c r="DX193" s="121"/>
      <c r="DY193" s="121"/>
      <c r="DZ193" s="121"/>
      <c r="EA193" s="121"/>
      <c r="EB193" s="121"/>
      <c r="EC193" s="121"/>
      <c r="ED193" s="121"/>
      <c r="EE193" s="121"/>
      <c r="EF193" s="121"/>
      <c r="EG193" s="121"/>
      <c r="EH193" s="121"/>
      <c r="EI193" s="121"/>
      <c r="EJ193" s="121"/>
      <c r="EK193" s="121"/>
      <c r="EL193" s="121"/>
      <c r="EM193" s="121"/>
      <c r="EN193" s="121"/>
      <c r="EO193" s="121"/>
      <c r="EP193" s="121"/>
      <c r="EQ193" s="121"/>
      <c r="ER193" s="121"/>
      <c r="ES193" s="121"/>
      <c r="ET193" s="121"/>
      <c r="EU193" s="121"/>
      <c r="EV193" s="121"/>
      <c r="EW193" s="121"/>
      <c r="EX193" s="121"/>
      <c r="EY193" s="121"/>
      <c r="EZ193" s="121"/>
      <c r="FA193" s="121"/>
      <c r="FB193" s="121"/>
      <c r="FC193" s="121"/>
      <c r="FD193" s="121"/>
      <c r="FE193" s="121"/>
      <c r="FF193" s="121"/>
      <c r="FG193" s="121"/>
      <c r="FH193" s="121"/>
      <c r="FI193" s="121"/>
      <c r="FJ193" s="121"/>
      <c r="FK193" s="121"/>
      <c r="FL193" s="121"/>
      <c r="FM193" s="121"/>
      <c r="FN193" s="121"/>
      <c r="FO193" s="121"/>
      <c r="FP193" s="121"/>
      <c r="FQ193" s="121"/>
      <c r="FR193" s="121"/>
      <c r="FS193" s="121"/>
      <c r="FT193" s="121"/>
      <c r="FU193" s="121"/>
      <c r="FV193" s="121"/>
      <c r="FW193" s="121"/>
      <c r="FX193" s="121"/>
      <c r="FY193" s="121"/>
      <c r="FZ193" s="121"/>
      <c r="GA193" s="121"/>
      <c r="GB193" s="121"/>
      <c r="GC193" s="121"/>
      <c r="GD193" s="121"/>
      <c r="GE193" s="121"/>
      <c r="GF193" s="121"/>
      <c r="GG193" s="121"/>
      <c r="GH193" s="121"/>
      <c r="GI193" s="121"/>
      <c r="GJ193" s="121"/>
      <c r="GK193" s="121"/>
      <c r="GL193" s="121"/>
      <c r="GM193" s="121"/>
      <c r="GN193" s="121"/>
      <c r="GO193" s="121"/>
      <c r="GP193" s="121"/>
      <c r="GQ193" s="121"/>
      <c r="GR193" s="121"/>
      <c r="GS193" s="121"/>
      <c r="GT193" s="121"/>
      <c r="GU193" s="121"/>
      <c r="GV193" s="121"/>
      <c r="GW193" s="121"/>
      <c r="GX193" s="121"/>
      <c r="GY193" s="121"/>
      <c r="GZ193" s="121"/>
      <c r="HA193" s="121"/>
      <c r="HB193" s="121"/>
      <c r="HC193" s="121"/>
      <c r="HD193" s="121"/>
      <c r="HE193" s="121"/>
      <c r="HF193" s="121"/>
      <c r="HG193" s="121"/>
      <c r="HH193" s="121"/>
      <c r="HI193" s="121"/>
      <c r="HJ193" s="121"/>
      <c r="HK193" s="121"/>
      <c r="HL193" s="121"/>
      <c r="HM193" s="121"/>
      <c r="HN193" s="121"/>
      <c r="HO193" s="121"/>
      <c r="HP193" s="121"/>
      <c r="HQ193" s="121"/>
      <c r="HR193" s="121"/>
      <c r="HS193" s="121"/>
      <c r="HT193" s="121"/>
      <c r="HU193" s="121"/>
      <c r="HV193" s="121"/>
      <c r="HW193" s="121"/>
      <c r="HX193" s="121"/>
      <c r="HY193" s="121"/>
      <c r="HZ193" s="121"/>
      <c r="IA193" s="121"/>
      <c r="IB193" s="121"/>
      <c r="IC193" s="121"/>
      <c r="ID193" s="121"/>
      <c r="IE193" s="121"/>
      <c r="IF193" s="121"/>
      <c r="IG193" s="121"/>
      <c r="IH193" s="121"/>
      <c r="II193" s="121"/>
      <c r="IJ193" s="121"/>
      <c r="IK193" s="121"/>
      <c r="IL193" s="121"/>
      <c r="IM193" s="121"/>
      <c r="IN193" s="121"/>
      <c r="IO193" s="121"/>
      <c r="IP193" s="121"/>
      <c r="IQ193" s="121"/>
      <c r="IR193" s="121"/>
      <c r="IS193" s="121"/>
      <c r="IT193" s="121"/>
      <c r="IU193" s="121"/>
      <c r="IV193" s="121"/>
      <c r="IW193" s="121"/>
      <c r="IX193" s="121"/>
      <c r="IY193" s="121"/>
      <c r="IZ193" s="121"/>
      <c r="JA193" s="121"/>
      <c r="JB193" s="121"/>
      <c r="JC193" s="121"/>
      <c r="JD193" s="121"/>
      <c r="JE193" s="121"/>
      <c r="JF193" t="s">
        <v>49</v>
      </c>
    </row>
    <row r="194" spans="1:266" x14ac:dyDescent="0.45">
      <c r="A194" s="71"/>
      <c r="B194" s="72"/>
      <c r="C194" s="68" t="s">
        <v>424</v>
      </c>
      <c r="D194" s="109" t="s">
        <v>374</v>
      </c>
      <c r="E194" s="113" t="str">
        <v>Floor Loaded</v>
      </c>
      <c r="F194" s="113" t="str">
        <v>Floor Loaded</v>
      </c>
      <c r="G194" s="113" t="str">
        <v>Floor Loaded</v>
      </c>
      <c r="H194" s="113" t="str">
        <v>Floor Loaded</v>
      </c>
      <c r="I194" s="113" t="str">
        <v>Floor Loaded</v>
      </c>
      <c r="J194" s="113" t="str">
        <v>Floor Loaded</v>
      </c>
      <c r="K194" s="113" t="str">
        <v>Floor Loaded</v>
      </c>
      <c r="L194" s="113" t="str">
        <v>Floor Loaded</v>
      </c>
      <c r="M194" s="113" t="str">
        <v>Floor Loaded</v>
      </c>
      <c r="N194" s="113" t="str">
        <v>Floor Loaded</v>
      </c>
      <c r="O194" s="113" t="str">
        <v>Floor Loaded</v>
      </c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  <c r="AM194" s="113"/>
      <c r="AN194" s="113"/>
      <c r="AO194" s="113"/>
      <c r="AP194" s="113"/>
      <c r="AQ194" s="113"/>
      <c r="AR194" s="113"/>
      <c r="AS194" s="113"/>
      <c r="AT194" s="113"/>
      <c r="AU194" s="113"/>
      <c r="AV194" s="113"/>
      <c r="AW194" s="113"/>
      <c r="AX194" s="113"/>
      <c r="AY194" s="113"/>
      <c r="AZ194" s="113"/>
      <c r="BA194" s="113"/>
      <c r="BB194" s="113"/>
      <c r="BC194" s="113"/>
      <c r="BD194" s="113"/>
      <c r="BE194" s="113"/>
      <c r="BF194" s="113"/>
      <c r="BG194" s="113"/>
      <c r="BH194" s="113"/>
      <c r="BI194" s="113"/>
      <c r="BJ194" s="113"/>
      <c r="BK194" s="113"/>
      <c r="BL194" s="113"/>
      <c r="BM194" s="113"/>
      <c r="BN194" s="113"/>
      <c r="BO194" s="113"/>
      <c r="BP194" s="113"/>
      <c r="BQ194" s="113"/>
      <c r="BR194" s="113"/>
      <c r="BS194" s="113"/>
      <c r="BT194" s="113"/>
      <c r="BU194" s="113"/>
      <c r="BV194" s="113"/>
      <c r="BW194" s="113"/>
      <c r="BX194" s="113"/>
      <c r="BY194" s="113"/>
      <c r="BZ194" s="113"/>
      <c r="CA194" s="113"/>
      <c r="CB194" s="113"/>
      <c r="CC194" s="113"/>
      <c r="CD194" s="113"/>
      <c r="CE194" s="113"/>
      <c r="CF194" s="113"/>
      <c r="CG194" s="113"/>
      <c r="CH194" s="113"/>
      <c r="CI194" s="113"/>
      <c r="CJ194" s="113"/>
      <c r="CK194" s="113"/>
      <c r="CL194" s="113"/>
      <c r="CM194" s="113"/>
      <c r="CN194" s="113"/>
      <c r="CO194" s="113"/>
      <c r="CP194" s="113"/>
      <c r="CQ194" s="113"/>
      <c r="CR194" s="113"/>
      <c r="CS194" s="113"/>
      <c r="CT194" s="113"/>
      <c r="CU194" s="113"/>
      <c r="CV194" s="113"/>
      <c r="CW194" s="113"/>
      <c r="CX194" s="113"/>
      <c r="CY194" s="113"/>
      <c r="CZ194" s="113"/>
      <c r="DA194" s="113"/>
      <c r="DB194" s="113"/>
      <c r="DC194" s="113"/>
      <c r="DD194" s="113"/>
      <c r="DE194" s="113"/>
      <c r="DF194" s="113"/>
      <c r="DG194" s="113"/>
      <c r="DH194" s="113"/>
      <c r="DI194" s="113"/>
      <c r="DJ194" s="113"/>
      <c r="DK194" s="113"/>
      <c r="DL194" s="113"/>
      <c r="DM194" s="113"/>
      <c r="DN194" s="113"/>
      <c r="DO194" s="113"/>
      <c r="DP194" s="113"/>
      <c r="DQ194" s="113"/>
      <c r="DR194" s="113"/>
      <c r="DS194" s="113"/>
      <c r="DT194" s="113"/>
      <c r="DU194" s="113"/>
      <c r="DV194" s="113"/>
      <c r="DW194" s="113"/>
      <c r="DX194" s="113"/>
      <c r="DY194" s="113"/>
      <c r="DZ194" s="113"/>
      <c r="EA194" s="113"/>
      <c r="EB194" s="113"/>
      <c r="EC194" s="113"/>
      <c r="ED194" s="113"/>
      <c r="EE194" s="113"/>
      <c r="EF194" s="113"/>
      <c r="EG194" s="113"/>
      <c r="EH194" s="113"/>
      <c r="EI194" s="113"/>
      <c r="EJ194" s="113"/>
      <c r="EK194" s="113"/>
      <c r="EL194" s="113"/>
      <c r="EM194" s="113"/>
      <c r="EN194" s="113"/>
      <c r="EO194" s="113"/>
      <c r="EP194" s="113"/>
      <c r="EQ194" s="113"/>
      <c r="ER194" s="113"/>
      <c r="ES194" s="113"/>
      <c r="ET194" s="113"/>
      <c r="EU194" s="113"/>
      <c r="EV194" s="113"/>
      <c r="EW194" s="113"/>
      <c r="EX194" s="113"/>
      <c r="EY194" s="113"/>
      <c r="EZ194" s="113"/>
      <c r="FA194" s="113"/>
      <c r="FB194" s="113"/>
      <c r="FC194" s="113"/>
      <c r="FD194" s="113"/>
      <c r="FE194" s="113"/>
      <c r="FF194" s="113"/>
      <c r="FG194" s="113"/>
      <c r="FH194" s="113"/>
      <c r="FI194" s="113"/>
      <c r="FJ194" s="113"/>
      <c r="FK194" s="113"/>
      <c r="FL194" s="113"/>
      <c r="FM194" s="113"/>
      <c r="FN194" s="113"/>
      <c r="FO194" s="113"/>
      <c r="FP194" s="113"/>
      <c r="FQ194" s="113"/>
      <c r="FR194" s="113"/>
      <c r="FS194" s="113"/>
      <c r="FT194" s="113"/>
      <c r="FU194" s="113"/>
      <c r="FV194" s="113"/>
      <c r="FW194" s="113"/>
      <c r="FX194" s="113"/>
      <c r="FY194" s="113"/>
      <c r="FZ194" s="113"/>
      <c r="GA194" s="113"/>
      <c r="GB194" s="113"/>
      <c r="GC194" s="113"/>
      <c r="GD194" s="113"/>
      <c r="GE194" s="113"/>
      <c r="GF194" s="113"/>
      <c r="GG194" s="113"/>
      <c r="GH194" s="113"/>
      <c r="GI194" s="113"/>
      <c r="GJ194" s="113"/>
      <c r="GK194" s="113"/>
      <c r="GL194" s="113"/>
      <c r="GM194" s="113"/>
      <c r="GN194" s="113"/>
      <c r="GO194" s="113"/>
      <c r="GP194" s="113"/>
      <c r="GQ194" s="113"/>
      <c r="GR194" s="113"/>
      <c r="GS194" s="113"/>
      <c r="GT194" s="113"/>
      <c r="GU194" s="113"/>
      <c r="GV194" s="113"/>
      <c r="GW194" s="113"/>
      <c r="GX194" s="113"/>
      <c r="GY194" s="113"/>
      <c r="GZ194" s="113"/>
      <c r="HA194" s="113"/>
      <c r="HB194" s="113"/>
      <c r="HC194" s="113"/>
      <c r="HD194" s="113"/>
      <c r="HE194" s="113"/>
      <c r="HF194" s="113"/>
      <c r="HG194" s="113"/>
      <c r="HH194" s="113"/>
      <c r="HI194" s="113"/>
      <c r="HJ194" s="113"/>
      <c r="HK194" s="113"/>
      <c r="HL194" s="113"/>
      <c r="HM194" s="113"/>
      <c r="HN194" s="113"/>
      <c r="HO194" s="113"/>
      <c r="HP194" s="113"/>
      <c r="HQ194" s="113"/>
      <c r="HR194" s="113"/>
      <c r="HS194" s="113"/>
      <c r="HT194" s="113"/>
      <c r="HU194" s="113"/>
      <c r="HV194" s="113"/>
      <c r="HW194" s="113"/>
      <c r="HX194" s="113"/>
      <c r="HY194" s="113"/>
      <c r="HZ194" s="113"/>
      <c r="IA194" s="113"/>
      <c r="IB194" s="113"/>
      <c r="IC194" s="113"/>
      <c r="ID194" s="113"/>
      <c r="IE194" s="113"/>
      <c r="IF194" s="113"/>
      <c r="IG194" s="113"/>
      <c r="IH194" s="113"/>
      <c r="II194" s="113"/>
      <c r="IJ194" s="113"/>
      <c r="IK194" s="113"/>
      <c r="IL194" s="113"/>
      <c r="IM194" s="113"/>
      <c r="IN194" s="113"/>
      <c r="IO194" s="113"/>
      <c r="IP194" s="113"/>
      <c r="IQ194" s="113"/>
      <c r="IR194" s="113"/>
      <c r="IS194" s="113"/>
      <c r="IT194" s="113"/>
      <c r="IU194" s="113"/>
      <c r="IV194" s="113"/>
      <c r="IW194" s="113"/>
      <c r="IX194" s="113"/>
      <c r="IY194" s="113"/>
      <c r="IZ194" s="113"/>
      <c r="JA194" s="113"/>
      <c r="JB194" s="113"/>
      <c r="JC194" s="113"/>
      <c r="JD194" s="113"/>
      <c r="JE194" s="113"/>
      <c r="JF194" t="s">
        <v>49</v>
      </c>
    </row>
    <row r="195" spans="1:266" x14ac:dyDescent="0.45">
      <c r="A195" s="71" t="str">
        <f>IF('Quote Exports'!C177="","",'Quote Exports'!C177)</f>
        <v/>
      </c>
      <c r="B195" s="72"/>
      <c r="C195" s="68" t="s">
        <v>425</v>
      </c>
      <c r="D195" s="109" t="s">
        <v>377</v>
      </c>
      <c r="E195" s="113">
        <v>500</v>
      </c>
      <c r="F195" s="113">
        <v>500</v>
      </c>
      <c r="G195" s="113">
        <v>500</v>
      </c>
      <c r="H195" s="113">
        <v>500</v>
      </c>
      <c r="I195" s="113">
        <v>1000</v>
      </c>
      <c r="J195" s="113">
        <v>1000</v>
      </c>
      <c r="K195" s="113">
        <v>1000</v>
      </c>
      <c r="L195" s="113">
        <v>1000</v>
      </c>
      <c r="M195" s="113">
        <v>1000</v>
      </c>
      <c r="N195" s="113">
        <v>1000</v>
      </c>
      <c r="O195" s="113">
        <v>1000</v>
      </c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  <c r="AM195" s="113"/>
      <c r="AN195" s="113"/>
      <c r="AO195" s="113"/>
      <c r="AP195" s="113"/>
      <c r="AQ195" s="113"/>
      <c r="AR195" s="113"/>
      <c r="AS195" s="113"/>
      <c r="AT195" s="113"/>
      <c r="AU195" s="113"/>
      <c r="AV195" s="113"/>
      <c r="AW195" s="113"/>
      <c r="AX195" s="113"/>
      <c r="AY195" s="113"/>
      <c r="AZ195" s="113"/>
      <c r="BA195" s="113"/>
      <c r="BB195" s="113"/>
      <c r="BC195" s="113"/>
      <c r="BD195" s="113"/>
      <c r="BE195" s="113"/>
      <c r="BF195" s="113"/>
      <c r="BG195" s="113"/>
      <c r="BH195" s="113"/>
      <c r="BI195" s="113"/>
      <c r="BJ195" s="113"/>
      <c r="BK195" s="113"/>
      <c r="BL195" s="113"/>
      <c r="BM195" s="113"/>
      <c r="BN195" s="113"/>
      <c r="BO195" s="113"/>
      <c r="BP195" s="113"/>
      <c r="BQ195" s="113"/>
      <c r="BR195" s="113"/>
      <c r="BS195" s="113"/>
      <c r="BT195" s="113"/>
      <c r="BU195" s="113"/>
      <c r="BV195" s="113"/>
      <c r="BW195" s="113"/>
      <c r="BX195" s="113"/>
      <c r="BY195" s="113"/>
      <c r="BZ195" s="113"/>
      <c r="CA195" s="113"/>
      <c r="CB195" s="113"/>
      <c r="CC195" s="113"/>
      <c r="CD195" s="113"/>
      <c r="CE195" s="113"/>
      <c r="CF195" s="113"/>
      <c r="CG195" s="113"/>
      <c r="CH195" s="113"/>
      <c r="CI195" s="113"/>
      <c r="CJ195" s="113"/>
      <c r="CK195" s="113"/>
      <c r="CL195" s="113"/>
      <c r="CM195" s="113"/>
      <c r="CN195" s="113"/>
      <c r="CO195" s="113"/>
      <c r="CP195" s="113"/>
      <c r="CQ195" s="113"/>
      <c r="CR195" s="113"/>
      <c r="CS195" s="113"/>
      <c r="CT195" s="113"/>
      <c r="CU195" s="113"/>
      <c r="CV195" s="113"/>
      <c r="CW195" s="113"/>
      <c r="CX195" s="113"/>
      <c r="CY195" s="113"/>
      <c r="CZ195" s="113"/>
      <c r="DA195" s="113"/>
      <c r="DB195" s="113"/>
      <c r="DC195" s="113"/>
      <c r="DD195" s="113"/>
      <c r="DE195" s="113"/>
      <c r="DF195" s="113"/>
      <c r="DG195" s="113"/>
      <c r="DH195" s="113"/>
      <c r="DI195" s="113"/>
      <c r="DJ195" s="113"/>
      <c r="DK195" s="113"/>
      <c r="DL195" s="113"/>
      <c r="DM195" s="113"/>
      <c r="DN195" s="113"/>
      <c r="DO195" s="113"/>
      <c r="DP195" s="113"/>
      <c r="DQ195" s="113"/>
      <c r="DR195" s="113"/>
      <c r="DS195" s="113"/>
      <c r="DT195" s="113"/>
      <c r="DU195" s="113"/>
      <c r="DV195" s="113"/>
      <c r="DW195" s="113"/>
      <c r="DX195" s="113"/>
      <c r="DY195" s="113"/>
      <c r="DZ195" s="113"/>
      <c r="EA195" s="113"/>
      <c r="EB195" s="113"/>
      <c r="EC195" s="113"/>
      <c r="ED195" s="113"/>
      <c r="EE195" s="113"/>
      <c r="EF195" s="113"/>
      <c r="EG195" s="113"/>
      <c r="EH195" s="113"/>
      <c r="EI195" s="113"/>
      <c r="EJ195" s="113"/>
      <c r="EK195" s="113"/>
      <c r="EL195" s="113"/>
      <c r="EM195" s="113"/>
      <c r="EN195" s="113"/>
      <c r="EO195" s="113"/>
      <c r="EP195" s="113"/>
      <c r="EQ195" s="113"/>
      <c r="ER195" s="113"/>
      <c r="ES195" s="113"/>
      <c r="ET195" s="113"/>
      <c r="EU195" s="113"/>
      <c r="EV195" s="113"/>
      <c r="EW195" s="113"/>
      <c r="EX195" s="113"/>
      <c r="EY195" s="113"/>
      <c r="EZ195" s="113"/>
      <c r="FA195" s="113"/>
      <c r="FB195" s="113"/>
      <c r="FC195" s="113"/>
      <c r="FD195" s="113"/>
      <c r="FE195" s="113"/>
      <c r="FF195" s="113"/>
      <c r="FG195" s="113"/>
      <c r="FH195" s="113"/>
      <c r="FI195" s="113"/>
      <c r="FJ195" s="113"/>
      <c r="FK195" s="113"/>
      <c r="FL195" s="113"/>
      <c r="FM195" s="113"/>
      <c r="FN195" s="113"/>
      <c r="FO195" s="113"/>
      <c r="FP195" s="113"/>
      <c r="FQ195" s="113"/>
      <c r="FR195" s="113"/>
      <c r="FS195" s="113"/>
      <c r="FT195" s="113"/>
      <c r="FU195" s="113"/>
      <c r="FV195" s="113"/>
      <c r="FW195" s="113"/>
      <c r="FX195" s="113"/>
      <c r="FY195" s="113"/>
      <c r="FZ195" s="113"/>
      <c r="GA195" s="113"/>
      <c r="GB195" s="113"/>
      <c r="GC195" s="113"/>
      <c r="GD195" s="113"/>
      <c r="GE195" s="113"/>
      <c r="GF195" s="113"/>
      <c r="GG195" s="113"/>
      <c r="GH195" s="113"/>
      <c r="GI195" s="113"/>
      <c r="GJ195" s="113"/>
      <c r="GK195" s="113"/>
      <c r="GL195" s="113"/>
      <c r="GM195" s="113"/>
      <c r="GN195" s="113"/>
      <c r="GO195" s="113"/>
      <c r="GP195" s="113"/>
      <c r="GQ195" s="113"/>
      <c r="GR195" s="113"/>
      <c r="GS195" s="113"/>
      <c r="GT195" s="113"/>
      <c r="GU195" s="113"/>
      <c r="GV195" s="113"/>
      <c r="GW195" s="113"/>
      <c r="GX195" s="113"/>
      <c r="GY195" s="113"/>
      <c r="GZ195" s="113"/>
      <c r="HA195" s="113"/>
      <c r="HB195" s="113"/>
      <c r="HC195" s="113"/>
      <c r="HD195" s="113"/>
      <c r="HE195" s="113"/>
      <c r="HF195" s="113"/>
      <c r="HG195" s="113"/>
      <c r="HH195" s="113"/>
      <c r="HI195" s="113"/>
      <c r="HJ195" s="113"/>
      <c r="HK195" s="113"/>
      <c r="HL195" s="113"/>
      <c r="HM195" s="113"/>
      <c r="HN195" s="113"/>
      <c r="HO195" s="113"/>
      <c r="HP195" s="113"/>
      <c r="HQ195" s="113"/>
      <c r="HR195" s="113"/>
      <c r="HS195" s="113"/>
      <c r="HT195" s="113"/>
      <c r="HU195" s="113"/>
      <c r="HV195" s="113"/>
      <c r="HW195" s="113"/>
      <c r="HX195" s="113"/>
      <c r="HY195" s="113"/>
      <c r="HZ195" s="113"/>
      <c r="IA195" s="113"/>
      <c r="IB195" s="113"/>
      <c r="IC195" s="113"/>
      <c r="ID195" s="113"/>
      <c r="IE195" s="113"/>
      <c r="IF195" s="113"/>
      <c r="IG195" s="113"/>
      <c r="IH195" s="113"/>
      <c r="II195" s="113"/>
      <c r="IJ195" s="113"/>
      <c r="IK195" s="113"/>
      <c r="IL195" s="113"/>
      <c r="IM195" s="113"/>
      <c r="IN195" s="113"/>
      <c r="IO195" s="113"/>
      <c r="IP195" s="113"/>
      <c r="IQ195" s="113"/>
      <c r="IR195" s="113"/>
      <c r="IS195" s="113"/>
      <c r="IT195" s="113"/>
      <c r="IU195" s="113"/>
      <c r="IV195" s="113"/>
      <c r="IW195" s="113"/>
      <c r="IX195" s="113"/>
      <c r="IY195" s="113"/>
      <c r="IZ195" s="113"/>
      <c r="JA195" s="113"/>
      <c r="JB195" s="113"/>
      <c r="JC195" s="113"/>
      <c r="JD195" s="113"/>
      <c r="JE195" s="113"/>
      <c r="JF195" t="s">
        <v>49</v>
      </c>
    </row>
    <row r="196" spans="1:266" hidden="1" x14ac:dyDescent="0.45">
      <c r="A196" s="71" t="str">
        <f>IF('Quote Exports'!C178="","",'Quote Exports'!C178)</f>
        <v/>
      </c>
      <c r="B196" s="72"/>
      <c r="C196" s="68"/>
      <c r="D196" s="3" t="s">
        <v>378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  <c r="AH196" s="98"/>
      <c r="AI196" s="98"/>
      <c r="AJ196" s="98"/>
      <c r="AK196" s="98"/>
      <c r="AL196" s="98"/>
      <c r="AM196" s="98"/>
      <c r="AN196" s="98"/>
      <c r="AO196" s="98"/>
      <c r="AP196" s="98"/>
      <c r="AQ196" s="98"/>
      <c r="AR196" s="98"/>
      <c r="AS196" s="98"/>
      <c r="AT196" s="98"/>
      <c r="AU196" s="98"/>
      <c r="AV196" s="98"/>
      <c r="AW196" s="98"/>
      <c r="AX196" s="98"/>
      <c r="AY196" s="98"/>
      <c r="AZ196" s="98"/>
      <c r="BA196" s="98"/>
      <c r="BB196" s="98"/>
      <c r="BC196" s="98"/>
      <c r="BD196" s="98"/>
      <c r="BE196" s="98"/>
      <c r="BF196" s="98"/>
      <c r="BG196" s="98"/>
      <c r="BH196" s="98"/>
      <c r="BI196" s="98"/>
      <c r="BJ196" s="98"/>
      <c r="BK196" s="98"/>
      <c r="BL196" s="98"/>
      <c r="BM196" s="98"/>
      <c r="BN196" s="98"/>
      <c r="BO196" s="98"/>
      <c r="BP196" s="98"/>
      <c r="BQ196" s="98"/>
      <c r="BR196" s="98"/>
      <c r="BS196" s="98"/>
      <c r="BT196" s="98"/>
      <c r="BU196" s="98"/>
      <c r="BV196" s="98"/>
      <c r="BW196" s="98"/>
      <c r="BX196" s="98"/>
      <c r="BY196" s="98"/>
      <c r="BZ196" s="98"/>
      <c r="CA196" s="98"/>
      <c r="CB196" s="98"/>
      <c r="CC196" s="98"/>
      <c r="CD196" s="98"/>
      <c r="CE196" s="98"/>
      <c r="CF196" s="98"/>
      <c r="CG196" s="98"/>
      <c r="CH196" s="98"/>
      <c r="CI196" s="98"/>
      <c r="CJ196" s="98"/>
      <c r="CK196" s="98"/>
      <c r="CL196" s="98"/>
      <c r="CM196" s="98"/>
      <c r="CN196" s="98"/>
      <c r="CO196" s="98"/>
      <c r="CP196" s="98"/>
      <c r="CQ196" s="98"/>
      <c r="CR196" s="98"/>
      <c r="CS196" s="98"/>
      <c r="CT196" s="98"/>
      <c r="CU196" s="98"/>
      <c r="CV196" s="98"/>
      <c r="CW196" s="98"/>
      <c r="CX196" s="98"/>
      <c r="CY196" s="98"/>
      <c r="CZ196" s="98"/>
      <c r="DA196" s="98"/>
      <c r="DB196" s="98"/>
      <c r="DC196" s="98"/>
      <c r="DD196" s="98"/>
      <c r="DE196" s="98"/>
      <c r="DF196" s="98"/>
      <c r="DG196" s="98"/>
      <c r="DH196" s="98"/>
      <c r="DI196" s="98"/>
      <c r="DJ196" s="98"/>
      <c r="DK196" s="98"/>
      <c r="DL196" s="98"/>
      <c r="DM196" s="98"/>
      <c r="DN196" s="98"/>
      <c r="DO196" s="98"/>
      <c r="DP196" s="98"/>
      <c r="DQ196" s="98"/>
      <c r="DR196" s="98"/>
      <c r="DS196" s="98"/>
      <c r="DT196" s="98"/>
      <c r="DU196" s="98"/>
      <c r="DV196" s="98"/>
      <c r="DW196" s="98"/>
      <c r="DX196" s="98"/>
      <c r="DY196" s="98"/>
      <c r="DZ196" s="98"/>
      <c r="EA196" s="98"/>
      <c r="EB196" s="98"/>
      <c r="EC196" s="98"/>
      <c r="ED196" s="98"/>
      <c r="EE196" s="98"/>
      <c r="EF196" s="98"/>
      <c r="EG196" s="98"/>
      <c r="EH196" s="98"/>
      <c r="EI196" s="98"/>
      <c r="EJ196" s="98"/>
      <c r="EK196" s="98"/>
      <c r="EL196" s="98"/>
      <c r="EM196" s="98"/>
      <c r="EN196" s="98"/>
      <c r="EO196" s="98"/>
      <c r="EP196" s="98"/>
      <c r="EQ196" s="98"/>
      <c r="ER196" s="98"/>
      <c r="ES196" s="98"/>
      <c r="ET196" s="98"/>
      <c r="EU196" s="98"/>
      <c r="EV196" s="98"/>
      <c r="EW196" s="98"/>
      <c r="EX196" s="98"/>
      <c r="EY196" s="98"/>
      <c r="EZ196" s="98"/>
      <c r="FA196" s="98"/>
      <c r="FB196" s="98"/>
      <c r="FC196" s="98"/>
      <c r="FD196" s="98"/>
      <c r="FE196" s="98"/>
      <c r="FF196" s="98"/>
      <c r="FG196" s="98"/>
      <c r="FH196" s="98"/>
      <c r="FI196" s="98"/>
      <c r="FJ196" s="98"/>
      <c r="FK196" s="98"/>
      <c r="FL196" s="98"/>
      <c r="FM196" s="98"/>
      <c r="FN196" s="98"/>
      <c r="FO196" s="98"/>
      <c r="FP196" s="98"/>
      <c r="FQ196" s="98"/>
      <c r="FR196" s="98"/>
      <c r="FS196" s="98"/>
      <c r="FT196" s="98"/>
      <c r="FU196" s="98"/>
      <c r="FV196" s="98"/>
      <c r="FW196" s="98"/>
      <c r="FX196" s="98"/>
      <c r="FY196" s="98"/>
      <c r="FZ196" s="98"/>
      <c r="GA196" s="98"/>
      <c r="GB196" s="98"/>
      <c r="GC196" s="98"/>
      <c r="GD196" s="98"/>
      <c r="GE196" s="98"/>
      <c r="GF196" s="98"/>
      <c r="GG196" s="98"/>
      <c r="GH196" s="98"/>
      <c r="GI196" s="98"/>
      <c r="GJ196" s="98"/>
      <c r="GK196" s="98"/>
      <c r="GL196" s="98"/>
      <c r="GM196" s="98"/>
      <c r="GN196" s="98"/>
      <c r="GO196" s="98"/>
      <c r="GP196" s="98"/>
      <c r="GQ196" s="98"/>
      <c r="GR196" s="98"/>
      <c r="GS196" s="98"/>
      <c r="GT196" s="98"/>
      <c r="GU196" s="98"/>
      <c r="GV196" s="98"/>
      <c r="GW196" s="98"/>
      <c r="GX196" s="98"/>
      <c r="GY196" s="98"/>
      <c r="GZ196" s="98"/>
      <c r="HA196" s="98"/>
      <c r="HB196" s="98"/>
      <c r="HC196" s="98"/>
      <c r="HD196" s="98"/>
      <c r="HE196" s="98"/>
      <c r="HF196" s="98"/>
      <c r="HG196" s="98"/>
      <c r="HH196" s="98"/>
      <c r="HI196" s="98"/>
      <c r="HJ196" s="98"/>
      <c r="HK196" s="98"/>
      <c r="HL196" s="98"/>
      <c r="HM196" s="98"/>
      <c r="HN196" s="98"/>
      <c r="HO196" s="98"/>
      <c r="HP196" s="98"/>
      <c r="HQ196" s="98"/>
      <c r="HR196" s="98"/>
      <c r="HS196" s="98"/>
      <c r="HT196" s="98"/>
      <c r="HU196" s="98"/>
      <c r="HV196" s="98"/>
      <c r="HW196" s="98"/>
      <c r="HX196" s="98"/>
      <c r="HY196" s="98"/>
      <c r="HZ196" s="98"/>
      <c r="IA196" s="98"/>
      <c r="IB196" s="98"/>
      <c r="IC196" s="98"/>
      <c r="ID196" s="98"/>
      <c r="IE196" s="98"/>
      <c r="IF196" s="98"/>
      <c r="IG196" s="98"/>
      <c r="IH196" s="98"/>
      <c r="II196" s="98"/>
      <c r="IJ196" s="98"/>
      <c r="IK196" s="98"/>
      <c r="IL196" s="98"/>
      <c r="IM196" s="98"/>
      <c r="IN196" s="98"/>
      <c r="IO196" s="98"/>
      <c r="IP196" s="98"/>
      <c r="IQ196" s="98"/>
      <c r="IR196" s="98"/>
      <c r="IS196" s="98"/>
      <c r="IT196" s="98"/>
      <c r="IU196" s="98"/>
      <c r="IV196" s="98"/>
      <c r="IW196" s="98"/>
      <c r="IX196" s="98"/>
      <c r="IY196" s="98"/>
      <c r="IZ196" s="98"/>
      <c r="JA196" s="98"/>
      <c r="JB196" s="98"/>
      <c r="JC196" s="98"/>
      <c r="JD196" s="98"/>
      <c r="JE196" s="98"/>
      <c r="JF196" t="s">
        <v>49</v>
      </c>
    </row>
    <row r="197" spans="1:266" x14ac:dyDescent="0.45">
      <c r="A197" s="71" t="str">
        <f>IF('Quote Exports'!C179="","",'Quote Exports'!C179)</f>
        <v/>
      </c>
      <c r="B197" s="72"/>
      <c r="C197" s="68" t="s">
        <v>425</v>
      </c>
      <c r="D197" s="109" t="s">
        <v>380</v>
      </c>
      <c r="E197" s="114">
        <v>0</v>
      </c>
      <c r="F197" s="114">
        <v>0</v>
      </c>
      <c r="G197" s="114">
        <v>0</v>
      </c>
      <c r="H197" s="114">
        <v>0</v>
      </c>
      <c r="I197" s="114">
        <v>0</v>
      </c>
      <c r="J197" s="114">
        <v>0</v>
      </c>
      <c r="K197" s="114">
        <v>0</v>
      </c>
      <c r="L197" s="114">
        <v>0</v>
      </c>
      <c r="M197" s="114">
        <v>0</v>
      </c>
      <c r="N197" s="114">
        <v>0</v>
      </c>
      <c r="O197" s="114">
        <v>0</v>
      </c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s="114"/>
      <c r="AV197" s="114"/>
      <c r="AW197" s="114"/>
      <c r="AX197" s="114"/>
      <c r="AY197" s="114"/>
      <c r="AZ197" s="114"/>
      <c r="BA197" s="114"/>
      <c r="BB197" s="114"/>
      <c r="BC197" s="114"/>
      <c r="BD197" s="114"/>
      <c r="BE197" s="114"/>
      <c r="BF197" s="114"/>
      <c r="BG197" s="114"/>
      <c r="BH197" s="114"/>
      <c r="BI197" s="114"/>
      <c r="BJ197" s="114"/>
      <c r="BK197" s="114"/>
      <c r="BL197" s="114"/>
      <c r="BM197" s="114"/>
      <c r="BN197" s="114"/>
      <c r="BO197" s="114"/>
      <c r="BP197" s="114"/>
      <c r="BQ197" s="114"/>
      <c r="BR197" s="114"/>
      <c r="BS197" s="114"/>
      <c r="BT197" s="114"/>
      <c r="BU197" s="114"/>
      <c r="BV197" s="114"/>
      <c r="BW197" s="114"/>
      <c r="BX197" s="114"/>
      <c r="BY197" s="114"/>
      <c r="BZ197" s="114"/>
      <c r="CA197" s="114"/>
      <c r="CB197" s="114"/>
      <c r="CC197" s="114"/>
      <c r="CD197" s="114"/>
      <c r="CE197" s="114"/>
      <c r="CF197" s="114"/>
      <c r="CG197" s="114"/>
      <c r="CH197" s="114"/>
      <c r="CI197" s="114"/>
      <c r="CJ197" s="114"/>
      <c r="CK197" s="114"/>
      <c r="CL197" s="114"/>
      <c r="CM197" s="114"/>
      <c r="CN197" s="114"/>
      <c r="CO197" s="114"/>
      <c r="CP197" s="114"/>
      <c r="CQ197" s="114"/>
      <c r="CR197" s="114"/>
      <c r="CS197" s="114"/>
      <c r="CT197" s="114"/>
      <c r="CU197" s="114"/>
      <c r="CV197" s="114"/>
      <c r="CW197" s="114"/>
      <c r="CX197" s="114"/>
      <c r="CY197" s="114"/>
      <c r="CZ197" s="114"/>
      <c r="DA197" s="114"/>
      <c r="DB197" s="114"/>
      <c r="DC197" s="114"/>
      <c r="DD197" s="114"/>
      <c r="DE197" s="114"/>
      <c r="DF197" s="114"/>
      <c r="DG197" s="114"/>
      <c r="DH197" s="114"/>
      <c r="DI197" s="114"/>
      <c r="DJ197" s="114"/>
      <c r="DK197" s="114"/>
      <c r="DL197" s="114"/>
      <c r="DM197" s="114"/>
      <c r="DN197" s="114"/>
      <c r="DO197" s="114"/>
      <c r="DP197" s="114"/>
      <c r="DQ197" s="114"/>
      <c r="DR197" s="114"/>
      <c r="DS197" s="114"/>
      <c r="DT197" s="114"/>
      <c r="DU197" s="114"/>
      <c r="DV197" s="114"/>
      <c r="DW197" s="114"/>
      <c r="DX197" s="114"/>
      <c r="DY197" s="114"/>
      <c r="DZ197" s="114"/>
      <c r="EA197" s="114"/>
      <c r="EB197" s="114"/>
      <c r="EC197" s="114"/>
      <c r="ED197" s="114"/>
      <c r="EE197" s="114"/>
      <c r="EF197" s="114"/>
      <c r="EG197" s="114"/>
      <c r="EH197" s="114"/>
      <c r="EI197" s="114"/>
      <c r="EJ197" s="114"/>
      <c r="EK197" s="114"/>
      <c r="EL197" s="114"/>
      <c r="EM197" s="114"/>
      <c r="EN197" s="114"/>
      <c r="EO197" s="114"/>
      <c r="EP197" s="114"/>
      <c r="EQ197" s="114"/>
      <c r="ER197" s="114"/>
      <c r="ES197" s="114"/>
      <c r="ET197" s="114"/>
      <c r="EU197" s="114"/>
      <c r="EV197" s="114"/>
      <c r="EW197" s="114"/>
      <c r="EX197" s="114"/>
      <c r="EY197" s="114"/>
      <c r="EZ197" s="114"/>
      <c r="FA197" s="114"/>
      <c r="FB197" s="114"/>
      <c r="FC197" s="114"/>
      <c r="FD197" s="114"/>
      <c r="FE197" s="114"/>
      <c r="FF197" s="114"/>
      <c r="FG197" s="114"/>
      <c r="FH197" s="114"/>
      <c r="FI197" s="114"/>
      <c r="FJ197" s="114"/>
      <c r="FK197" s="114"/>
      <c r="FL197" s="114"/>
      <c r="FM197" s="114"/>
      <c r="FN197" s="114"/>
      <c r="FO197" s="114"/>
      <c r="FP197" s="114"/>
      <c r="FQ197" s="114"/>
      <c r="FR197" s="114"/>
      <c r="FS197" s="114"/>
      <c r="FT197" s="114"/>
      <c r="FU197" s="114"/>
      <c r="FV197" s="114"/>
      <c r="FW197" s="114"/>
      <c r="FX197" s="114"/>
      <c r="FY197" s="114"/>
      <c r="FZ197" s="114"/>
      <c r="GA197" s="114"/>
      <c r="GB197" s="114"/>
      <c r="GC197" s="114"/>
      <c r="GD197" s="114"/>
      <c r="GE197" s="114"/>
      <c r="GF197" s="114"/>
      <c r="GG197" s="114"/>
      <c r="GH197" s="114"/>
      <c r="GI197" s="114"/>
      <c r="GJ197" s="114"/>
      <c r="GK197" s="114"/>
      <c r="GL197" s="114"/>
      <c r="GM197" s="114"/>
      <c r="GN197" s="114"/>
      <c r="GO197" s="114"/>
      <c r="GP197" s="114"/>
      <c r="GQ197" s="114"/>
      <c r="GR197" s="114"/>
      <c r="GS197" s="114"/>
      <c r="GT197" s="114"/>
      <c r="GU197" s="114"/>
      <c r="GV197" s="114"/>
      <c r="GW197" s="114"/>
      <c r="GX197" s="114"/>
      <c r="GY197" s="114"/>
      <c r="GZ197" s="114"/>
      <c r="HA197" s="114"/>
      <c r="HB197" s="114"/>
      <c r="HC197" s="114"/>
      <c r="HD197" s="114"/>
      <c r="HE197" s="114"/>
      <c r="HF197" s="114"/>
      <c r="HG197" s="114"/>
      <c r="HH197" s="114"/>
      <c r="HI197" s="114"/>
      <c r="HJ197" s="114"/>
      <c r="HK197" s="114"/>
      <c r="HL197" s="114"/>
      <c r="HM197" s="114"/>
      <c r="HN197" s="114"/>
      <c r="HO197" s="114"/>
      <c r="HP197" s="114"/>
      <c r="HQ197" s="114"/>
      <c r="HR197" s="114"/>
      <c r="HS197" s="114"/>
      <c r="HT197" s="114"/>
      <c r="HU197" s="114"/>
      <c r="HV197" s="114"/>
      <c r="HW197" s="114"/>
      <c r="HX197" s="114"/>
      <c r="HY197" s="114"/>
      <c r="HZ197" s="114"/>
      <c r="IA197" s="114"/>
      <c r="IB197" s="114"/>
      <c r="IC197" s="114"/>
      <c r="ID197" s="114"/>
      <c r="IE197" s="114"/>
      <c r="IF197" s="114"/>
      <c r="IG197" s="114"/>
      <c r="IH197" s="114"/>
      <c r="II197" s="114"/>
      <c r="IJ197" s="114"/>
      <c r="IK197" s="114"/>
      <c r="IL197" s="114"/>
      <c r="IM197" s="114"/>
      <c r="IN197" s="114"/>
      <c r="IO197" s="114"/>
      <c r="IP197" s="114"/>
      <c r="IQ197" s="114"/>
      <c r="IR197" s="114"/>
      <c r="IS197" s="114"/>
      <c r="IT197" s="114"/>
      <c r="IU197" s="114"/>
      <c r="IV197" s="114"/>
      <c r="IW197" s="114"/>
      <c r="IX197" s="114"/>
      <c r="IY197" s="114"/>
      <c r="IZ197" s="114"/>
      <c r="JA197" s="114"/>
      <c r="JB197" s="114"/>
      <c r="JC197" s="114"/>
      <c r="JD197" s="114"/>
      <c r="JE197" s="114"/>
      <c r="JF197" t="s">
        <v>49</v>
      </c>
    </row>
    <row r="198" spans="1:266" x14ac:dyDescent="0.45">
      <c r="A198" s="71" t="str">
        <f>IF('Quote Exports'!C180="","",'Quote Exports'!C180)</f>
        <v/>
      </c>
      <c r="B198" s="72"/>
      <c r="C198" s="68" t="s">
        <v>424</v>
      </c>
      <c r="D198" s="115" t="s">
        <v>381</v>
      </c>
      <c r="E198" s="111" t="str">
        <v>USD 50 Per Colour</v>
      </c>
      <c r="F198" s="111" t="str">
        <v>USD 50 Per Colour</v>
      </c>
      <c r="G198" s="111" t="str">
        <v>USD 50 Per Colour</v>
      </c>
      <c r="H198" s="111" t="str">
        <v>USD 50 Per Colour</v>
      </c>
      <c r="I198" s="111">
        <v>0</v>
      </c>
      <c r="J198" s="111">
        <v>0</v>
      </c>
      <c r="K198" s="111" t="str">
        <v>USD 50 Per Colour</v>
      </c>
      <c r="L198" s="111">
        <v>0</v>
      </c>
      <c r="M198" s="111" t="str">
        <v>USD 50 Per Colour</v>
      </c>
      <c r="N198" s="111">
        <v>0</v>
      </c>
      <c r="O198" s="111">
        <v>0</v>
      </c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  <c r="BN198" s="111"/>
      <c r="BO198" s="111"/>
      <c r="BP198" s="111"/>
      <c r="BQ198" s="111"/>
      <c r="BR198" s="111"/>
      <c r="BS198" s="111"/>
      <c r="BT198" s="111"/>
      <c r="BU198" s="111"/>
      <c r="BV198" s="111"/>
      <c r="BW198" s="111"/>
      <c r="BX198" s="111"/>
      <c r="BY198" s="111"/>
      <c r="BZ198" s="111"/>
      <c r="CA198" s="111"/>
      <c r="CB198" s="111"/>
      <c r="CC198" s="111"/>
      <c r="CD198" s="111"/>
      <c r="CE198" s="111"/>
      <c r="CF198" s="111"/>
      <c r="CG198" s="111"/>
      <c r="CH198" s="111"/>
      <c r="CI198" s="111"/>
      <c r="CJ198" s="111"/>
      <c r="CK198" s="111"/>
      <c r="CL198" s="111"/>
      <c r="CM198" s="111"/>
      <c r="CN198" s="111"/>
      <c r="CO198" s="111"/>
      <c r="CP198" s="111"/>
      <c r="CQ198" s="111"/>
      <c r="CR198" s="111"/>
      <c r="CS198" s="111"/>
      <c r="CT198" s="111"/>
      <c r="CU198" s="111"/>
      <c r="CV198" s="111"/>
      <c r="CW198" s="111"/>
      <c r="CX198" s="111"/>
      <c r="CY198" s="111"/>
      <c r="CZ198" s="111"/>
      <c r="DA198" s="111"/>
      <c r="DB198" s="111"/>
      <c r="DC198" s="111"/>
      <c r="DD198" s="111"/>
      <c r="DE198" s="111"/>
      <c r="DF198" s="111"/>
      <c r="DG198" s="111"/>
      <c r="DH198" s="111"/>
      <c r="DI198" s="111"/>
      <c r="DJ198" s="111"/>
      <c r="DK198" s="111"/>
      <c r="DL198" s="111"/>
      <c r="DM198" s="111"/>
      <c r="DN198" s="111"/>
      <c r="DO198" s="111"/>
      <c r="DP198" s="111"/>
      <c r="DQ198" s="111"/>
      <c r="DR198" s="111"/>
      <c r="DS198" s="111"/>
      <c r="DT198" s="111"/>
      <c r="DU198" s="111"/>
      <c r="DV198" s="111"/>
      <c r="DW198" s="111"/>
      <c r="DX198" s="111"/>
      <c r="DY198" s="111"/>
      <c r="DZ198" s="111"/>
      <c r="EA198" s="111"/>
      <c r="EB198" s="111"/>
      <c r="EC198" s="111"/>
      <c r="ED198" s="111"/>
      <c r="EE198" s="111"/>
      <c r="EF198" s="111"/>
      <c r="EG198" s="111"/>
      <c r="EH198" s="111"/>
      <c r="EI198" s="111"/>
      <c r="EJ198" s="111"/>
      <c r="EK198" s="111"/>
      <c r="EL198" s="111"/>
      <c r="EM198" s="111"/>
      <c r="EN198" s="111"/>
      <c r="EO198" s="111"/>
      <c r="EP198" s="111"/>
      <c r="EQ198" s="111"/>
      <c r="ER198" s="111"/>
      <c r="ES198" s="111"/>
      <c r="ET198" s="111"/>
      <c r="EU198" s="111"/>
      <c r="EV198" s="111"/>
      <c r="EW198" s="111"/>
      <c r="EX198" s="111"/>
      <c r="EY198" s="111"/>
      <c r="EZ198" s="111"/>
      <c r="FA198" s="111"/>
      <c r="FB198" s="111"/>
      <c r="FC198" s="111"/>
      <c r="FD198" s="111"/>
      <c r="FE198" s="111"/>
      <c r="FF198" s="111"/>
      <c r="FG198" s="111"/>
      <c r="FH198" s="111"/>
      <c r="FI198" s="111"/>
      <c r="FJ198" s="111"/>
      <c r="FK198" s="111"/>
      <c r="FL198" s="111"/>
      <c r="FM198" s="111"/>
      <c r="FN198" s="111"/>
      <c r="FO198" s="111"/>
      <c r="FP198" s="111"/>
      <c r="FQ198" s="111"/>
      <c r="FR198" s="111"/>
      <c r="FS198" s="111"/>
      <c r="FT198" s="111"/>
      <c r="FU198" s="111"/>
      <c r="FV198" s="111"/>
      <c r="FW198" s="111"/>
      <c r="FX198" s="111"/>
      <c r="FY198" s="111"/>
      <c r="FZ198" s="111"/>
      <c r="GA198" s="111"/>
      <c r="GB198" s="111"/>
      <c r="GC198" s="111"/>
      <c r="GD198" s="111"/>
      <c r="GE198" s="111"/>
      <c r="GF198" s="111"/>
      <c r="GG198" s="111"/>
      <c r="GH198" s="111"/>
      <c r="GI198" s="111"/>
      <c r="GJ198" s="111"/>
      <c r="GK198" s="111"/>
      <c r="GL198" s="111"/>
      <c r="GM198" s="111"/>
      <c r="GN198" s="111"/>
      <c r="GO198" s="111"/>
      <c r="GP198" s="111"/>
      <c r="GQ198" s="111"/>
      <c r="GR198" s="111"/>
      <c r="GS198" s="111"/>
      <c r="GT198" s="111"/>
      <c r="GU198" s="111"/>
      <c r="GV198" s="111"/>
      <c r="GW198" s="111"/>
      <c r="GX198" s="111"/>
      <c r="GY198" s="111"/>
      <c r="GZ198" s="111"/>
      <c r="HA198" s="111"/>
      <c r="HB198" s="111"/>
      <c r="HC198" s="111"/>
      <c r="HD198" s="111"/>
      <c r="HE198" s="111"/>
      <c r="HF198" s="111"/>
      <c r="HG198" s="111"/>
      <c r="HH198" s="111"/>
      <c r="HI198" s="111"/>
      <c r="HJ198" s="111"/>
      <c r="HK198" s="111"/>
      <c r="HL198" s="111"/>
      <c r="HM198" s="111"/>
      <c r="HN198" s="111"/>
      <c r="HO198" s="111"/>
      <c r="HP198" s="111"/>
      <c r="HQ198" s="111"/>
      <c r="HR198" s="111"/>
      <c r="HS198" s="111"/>
      <c r="HT198" s="111"/>
      <c r="HU198" s="111"/>
      <c r="HV198" s="111"/>
      <c r="HW198" s="111"/>
      <c r="HX198" s="111"/>
      <c r="HY198" s="111"/>
      <c r="HZ198" s="111"/>
      <c r="IA198" s="111"/>
      <c r="IB198" s="111"/>
      <c r="IC198" s="111"/>
      <c r="ID198" s="111"/>
      <c r="IE198" s="111"/>
      <c r="IF198" s="111"/>
      <c r="IG198" s="111"/>
      <c r="IH198" s="111"/>
      <c r="II198" s="111"/>
      <c r="IJ198" s="111"/>
      <c r="IK198" s="111"/>
      <c r="IL198" s="111"/>
      <c r="IM198" s="111"/>
      <c r="IN198" s="111"/>
      <c r="IO198" s="111"/>
      <c r="IP198" s="111"/>
      <c r="IQ198" s="111"/>
      <c r="IR198" s="111"/>
      <c r="IS198" s="111"/>
      <c r="IT198" s="111"/>
      <c r="IU198" s="111"/>
      <c r="IV198" s="111"/>
      <c r="IW198" s="111"/>
      <c r="IX198" s="111"/>
      <c r="IY198" s="111"/>
      <c r="IZ198" s="111"/>
      <c r="JA198" s="111"/>
      <c r="JB198" s="111"/>
      <c r="JC198" s="111"/>
      <c r="JD198" s="111"/>
      <c r="JE198" s="111"/>
      <c r="JF198" t="s">
        <v>49</v>
      </c>
    </row>
    <row r="199" spans="1:266" x14ac:dyDescent="0.45">
      <c r="A199" s="71" t="str">
        <f>IF('Quote Exports'!C181="","",'Quote Exports'!C181)</f>
        <v/>
      </c>
      <c r="B199" s="72"/>
      <c r="C199" s="88" t="s">
        <v>425</v>
      </c>
      <c r="D199" s="116" t="s">
        <v>383</v>
      </c>
      <c r="E199" s="117" t="str">
        <v>40' Cont</v>
      </c>
      <c r="F199" s="117" t="str">
        <v>40' Cont</v>
      </c>
      <c r="G199" s="117" t="str">
        <v>40' Cont</v>
      </c>
      <c r="H199" s="117" t="str">
        <v>40' Cont</v>
      </c>
      <c r="I199" s="117" t="str">
        <v>40' Cont</v>
      </c>
      <c r="J199" s="117" t="str">
        <v>40' Cont</v>
      </c>
      <c r="K199" s="117" t="str">
        <v>40' Cont</v>
      </c>
      <c r="L199" s="117" t="str">
        <v>40' Cont</v>
      </c>
      <c r="M199" s="117" t="str">
        <v>40' Cont</v>
      </c>
      <c r="N199" s="117" t="str">
        <v>40' Cont</v>
      </c>
      <c r="O199" s="117" t="str">
        <v>40' Cont</v>
      </c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7"/>
      <c r="AW199" s="117"/>
      <c r="AX199" s="117"/>
      <c r="AY199" s="117"/>
      <c r="AZ199" s="117"/>
      <c r="BA199" s="117"/>
      <c r="BB199" s="117"/>
      <c r="BC199" s="117"/>
      <c r="BD199" s="117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17"/>
      <c r="DB199" s="117"/>
      <c r="DC199" s="117"/>
      <c r="DD199" s="117"/>
      <c r="DE199" s="117"/>
      <c r="DF199" s="117"/>
      <c r="DG199" s="117"/>
      <c r="DH199" s="117"/>
      <c r="DI199" s="117"/>
      <c r="DJ199" s="117"/>
      <c r="DK199" s="117"/>
      <c r="DL199" s="117"/>
      <c r="DM199" s="117"/>
      <c r="DN199" s="117"/>
      <c r="DO199" s="117"/>
      <c r="DP199" s="117"/>
      <c r="DQ199" s="117"/>
      <c r="DR199" s="117"/>
      <c r="DS199" s="117"/>
      <c r="DT199" s="117"/>
      <c r="DU199" s="117"/>
      <c r="DV199" s="117"/>
      <c r="DW199" s="117"/>
      <c r="DX199" s="117"/>
      <c r="DY199" s="117"/>
      <c r="DZ199" s="117"/>
      <c r="EA199" s="117"/>
      <c r="EB199" s="117"/>
      <c r="EC199" s="117"/>
      <c r="ED199" s="117"/>
      <c r="EE199" s="117"/>
      <c r="EF199" s="117"/>
      <c r="EG199" s="117"/>
      <c r="EH199" s="117"/>
      <c r="EI199" s="117"/>
      <c r="EJ199" s="117"/>
      <c r="EK199" s="117"/>
      <c r="EL199" s="117"/>
      <c r="EM199" s="117"/>
      <c r="EN199" s="117"/>
      <c r="EO199" s="117"/>
      <c r="EP199" s="117"/>
      <c r="EQ199" s="117"/>
      <c r="ER199" s="117"/>
      <c r="ES199" s="117"/>
      <c r="ET199" s="117"/>
      <c r="EU199" s="117"/>
      <c r="EV199" s="117"/>
      <c r="EW199" s="117"/>
      <c r="EX199" s="117"/>
      <c r="EY199" s="117"/>
      <c r="EZ199" s="117"/>
      <c r="FA199" s="117"/>
      <c r="FB199" s="117"/>
      <c r="FC199" s="117"/>
      <c r="FD199" s="117"/>
      <c r="FE199" s="117"/>
      <c r="FF199" s="117"/>
      <c r="FG199" s="117"/>
      <c r="FH199" s="117"/>
      <c r="FI199" s="117"/>
      <c r="FJ199" s="117"/>
      <c r="FK199" s="117"/>
      <c r="FL199" s="117"/>
      <c r="FM199" s="117"/>
      <c r="FN199" s="117"/>
      <c r="FO199" s="117"/>
      <c r="FP199" s="117"/>
      <c r="FQ199" s="117"/>
      <c r="FR199" s="117"/>
      <c r="FS199" s="117"/>
      <c r="FT199" s="117"/>
      <c r="FU199" s="117"/>
      <c r="FV199" s="117"/>
      <c r="FW199" s="117"/>
      <c r="FX199" s="117"/>
      <c r="FY199" s="117"/>
      <c r="FZ199" s="117"/>
      <c r="GA199" s="117"/>
      <c r="GB199" s="117"/>
      <c r="GC199" s="117"/>
      <c r="GD199" s="117"/>
      <c r="GE199" s="117"/>
      <c r="GF199" s="117"/>
      <c r="GG199" s="117"/>
      <c r="GH199" s="117"/>
      <c r="GI199" s="117"/>
      <c r="GJ199" s="117"/>
      <c r="GK199" s="117"/>
      <c r="GL199" s="117"/>
      <c r="GM199" s="117"/>
      <c r="GN199" s="117"/>
      <c r="GO199" s="117"/>
      <c r="GP199" s="117"/>
      <c r="GQ199" s="117"/>
      <c r="GR199" s="117"/>
      <c r="GS199" s="117"/>
      <c r="GT199" s="117"/>
      <c r="GU199" s="117"/>
      <c r="GV199" s="117"/>
      <c r="GW199" s="117"/>
      <c r="GX199" s="117"/>
      <c r="GY199" s="117"/>
      <c r="GZ199" s="117"/>
      <c r="HA199" s="117"/>
      <c r="HB199" s="117"/>
      <c r="HC199" s="117"/>
      <c r="HD199" s="117"/>
      <c r="HE199" s="117"/>
      <c r="HF199" s="117"/>
      <c r="HG199" s="117"/>
      <c r="HH199" s="117"/>
      <c r="HI199" s="117"/>
      <c r="HJ199" s="117"/>
      <c r="HK199" s="117"/>
      <c r="HL199" s="117"/>
      <c r="HM199" s="117"/>
      <c r="HN199" s="117"/>
      <c r="HO199" s="117"/>
      <c r="HP199" s="117"/>
      <c r="HQ199" s="117"/>
      <c r="HR199" s="117"/>
      <c r="HS199" s="117"/>
      <c r="HT199" s="117"/>
      <c r="HU199" s="117"/>
      <c r="HV199" s="117"/>
      <c r="HW199" s="117"/>
      <c r="HX199" s="117"/>
      <c r="HY199" s="117"/>
      <c r="HZ199" s="117"/>
      <c r="IA199" s="117"/>
      <c r="IB199" s="117"/>
      <c r="IC199" s="117"/>
      <c r="ID199" s="117"/>
      <c r="IE199" s="117"/>
      <c r="IF199" s="117"/>
      <c r="IG199" s="117"/>
      <c r="IH199" s="117"/>
      <c r="II199" s="117"/>
      <c r="IJ199" s="117"/>
      <c r="IK199" s="117"/>
      <c r="IL199" s="117"/>
      <c r="IM199" s="117"/>
      <c r="IN199" s="117"/>
      <c r="IO199" s="117"/>
      <c r="IP199" s="117"/>
      <c r="IQ199" s="117"/>
      <c r="IR199" s="117"/>
      <c r="IS199" s="117"/>
      <c r="IT199" s="117"/>
      <c r="IU199" s="117"/>
      <c r="IV199" s="117"/>
      <c r="IW199" s="117"/>
      <c r="IX199" s="117"/>
      <c r="IY199" s="117"/>
      <c r="IZ199" s="117"/>
      <c r="JA199" s="117"/>
      <c r="JB199" s="117"/>
      <c r="JC199" s="117"/>
      <c r="JD199" s="117"/>
      <c r="JE199" s="117"/>
      <c r="JF199" t="s">
        <v>49</v>
      </c>
    </row>
    <row r="200" spans="1:266" hidden="1" x14ac:dyDescent="0.45">
      <c r="A200" s="71" t="str">
        <f>IF('Quote Exports'!C182="","",'Quote Exports'!C182)</f>
        <v/>
      </c>
      <c r="B200" s="72"/>
      <c r="C200" s="68"/>
      <c r="D200" s="8"/>
      <c r="E200" s="99">
        <v>0</v>
      </c>
      <c r="F200" s="100">
        <v>0</v>
      </c>
      <c r="G200" s="101">
        <v>0</v>
      </c>
      <c r="H200" s="100">
        <v>0</v>
      </c>
      <c r="I200" s="100">
        <v>0</v>
      </c>
      <c r="J200" s="100">
        <v>0</v>
      </c>
      <c r="K200" s="100">
        <v>0</v>
      </c>
      <c r="L200" s="100">
        <v>0</v>
      </c>
      <c r="M200" s="100">
        <v>0</v>
      </c>
      <c r="N200" s="100">
        <v>0</v>
      </c>
      <c r="O200" s="100">
        <v>0</v>
      </c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  <c r="BG200" s="100"/>
      <c r="BH200" s="100"/>
      <c r="BI200" s="100"/>
      <c r="BJ200" s="100"/>
      <c r="BK200" s="100"/>
      <c r="BL200" s="100"/>
      <c r="BM200" s="100"/>
      <c r="BN200" s="100"/>
      <c r="BO200" s="100"/>
      <c r="BP200" s="100"/>
      <c r="BQ200" s="100"/>
      <c r="BR200" s="100"/>
      <c r="BS200" s="100"/>
      <c r="BT200" s="100"/>
      <c r="BU200" s="100"/>
      <c r="BV200" s="100"/>
      <c r="BW200" s="100"/>
      <c r="BX200" s="100"/>
      <c r="BY200" s="100"/>
      <c r="BZ200" s="100"/>
      <c r="CA200" s="100"/>
      <c r="CB200" s="100"/>
      <c r="CC200" s="100"/>
      <c r="CD200" s="100"/>
      <c r="CE200" s="100"/>
      <c r="CF200" s="100"/>
      <c r="CG200" s="100"/>
      <c r="CH200" s="100"/>
      <c r="CI200" s="100"/>
      <c r="CJ200" s="100"/>
      <c r="CK200" s="100"/>
      <c r="CL200" s="100"/>
      <c r="CM200" s="100"/>
      <c r="CN200" s="100"/>
      <c r="CO200" s="100"/>
      <c r="CP200" s="100"/>
      <c r="CQ200" s="100"/>
      <c r="CR200" s="100"/>
      <c r="CS200" s="100"/>
      <c r="CT200" s="100"/>
      <c r="CU200" s="100"/>
      <c r="CV200" s="100"/>
      <c r="CW200" s="100"/>
      <c r="CX200" s="100"/>
      <c r="CY200" s="100"/>
      <c r="CZ200" s="100"/>
      <c r="DA200" s="100"/>
      <c r="DB200" s="100"/>
      <c r="DC200" s="100"/>
      <c r="DD200" s="100"/>
      <c r="DE200" s="100"/>
      <c r="DF200" s="100"/>
      <c r="DG200" s="100"/>
      <c r="DH200" s="100"/>
      <c r="DI200" s="100"/>
      <c r="DJ200" s="100"/>
      <c r="DK200" s="100"/>
      <c r="DL200" s="100"/>
      <c r="DM200" s="100"/>
      <c r="DN200" s="100"/>
      <c r="DO200" s="100"/>
      <c r="DP200" s="100"/>
      <c r="DQ200" s="100"/>
      <c r="DR200" s="100"/>
      <c r="DS200" s="100"/>
      <c r="DT200" s="100"/>
      <c r="DU200" s="100"/>
      <c r="DV200" s="100"/>
      <c r="DW200" s="100"/>
      <c r="DX200" s="100"/>
      <c r="DY200" s="100"/>
      <c r="DZ200" s="100"/>
      <c r="EA200" s="100"/>
      <c r="EB200" s="100"/>
      <c r="EC200" s="100"/>
      <c r="ED200" s="100"/>
      <c r="EE200" s="100"/>
      <c r="EF200" s="100"/>
      <c r="EG200" s="100"/>
      <c r="EH200" s="100"/>
      <c r="EI200" s="100"/>
      <c r="EJ200" s="100"/>
      <c r="EK200" s="100"/>
      <c r="EL200" s="100"/>
      <c r="EM200" s="100"/>
      <c r="EN200" s="100"/>
      <c r="EO200" s="100"/>
      <c r="EP200" s="100"/>
      <c r="EQ200" s="100"/>
      <c r="ER200" s="100"/>
      <c r="ES200" s="100"/>
      <c r="ET200" s="100"/>
      <c r="EU200" s="100"/>
      <c r="EV200" s="100"/>
      <c r="EW200" s="100"/>
      <c r="EX200" s="100"/>
      <c r="EY200" s="100"/>
      <c r="EZ200" s="100"/>
      <c r="FA200" s="100"/>
      <c r="FB200" s="100"/>
      <c r="FC200" s="100"/>
      <c r="FD200" s="100"/>
      <c r="FE200" s="100"/>
      <c r="FF200" s="100"/>
      <c r="FG200" s="100"/>
      <c r="FH200" s="100"/>
      <c r="FI200" s="100"/>
      <c r="FJ200" s="100"/>
      <c r="FK200" s="100"/>
      <c r="FL200" s="100"/>
      <c r="FM200" s="100"/>
      <c r="FN200" s="100"/>
      <c r="FO200" s="100"/>
      <c r="FP200" s="100"/>
      <c r="FQ200" s="100"/>
      <c r="FR200" s="100"/>
      <c r="FS200" s="100"/>
      <c r="FT200" s="100"/>
      <c r="FU200" s="100"/>
      <c r="FV200" s="100"/>
      <c r="FW200" s="100"/>
      <c r="FX200" s="100"/>
      <c r="FY200" s="100"/>
      <c r="FZ200" s="100"/>
      <c r="GA200" s="100"/>
      <c r="GB200" s="100"/>
      <c r="GC200" s="100"/>
      <c r="GD200" s="100"/>
      <c r="GE200" s="100"/>
      <c r="GF200" s="100"/>
      <c r="GG200" s="100"/>
      <c r="GH200" s="100"/>
      <c r="GI200" s="100"/>
      <c r="GJ200" s="100"/>
      <c r="GK200" s="100"/>
      <c r="GL200" s="100"/>
      <c r="GM200" s="100"/>
      <c r="GN200" s="100"/>
      <c r="GO200" s="100"/>
      <c r="GP200" s="100"/>
      <c r="GQ200" s="100"/>
      <c r="GR200" s="100"/>
      <c r="GS200" s="100"/>
      <c r="GT200" s="100"/>
      <c r="GU200" s="100"/>
      <c r="GV200" s="100"/>
      <c r="GW200" s="100"/>
      <c r="GX200" s="100"/>
      <c r="GY200" s="100"/>
      <c r="GZ200" s="100"/>
      <c r="HA200" s="100"/>
      <c r="HB200" s="100"/>
      <c r="HC200" s="100"/>
      <c r="HD200" s="100"/>
      <c r="HE200" s="100"/>
      <c r="HF200" s="100"/>
      <c r="HG200" s="100"/>
      <c r="HH200" s="100"/>
      <c r="HI200" s="100"/>
      <c r="HJ200" s="100"/>
      <c r="HK200" s="100"/>
      <c r="HL200" s="100"/>
      <c r="HM200" s="100"/>
      <c r="HN200" s="100"/>
      <c r="HO200" s="100"/>
      <c r="HP200" s="100"/>
      <c r="HQ200" s="100"/>
      <c r="HR200" s="100"/>
      <c r="HS200" s="100"/>
      <c r="HT200" s="100"/>
      <c r="HU200" s="100"/>
      <c r="HV200" s="100"/>
      <c r="HW200" s="100"/>
      <c r="HX200" s="100"/>
      <c r="HY200" s="100"/>
      <c r="HZ200" s="100"/>
      <c r="IA200" s="100"/>
      <c r="IB200" s="100"/>
      <c r="IC200" s="100"/>
      <c r="ID200" s="100"/>
      <c r="IE200" s="100"/>
      <c r="IF200" s="100"/>
      <c r="IG200" s="100"/>
      <c r="IH200" s="100"/>
      <c r="II200" s="100"/>
      <c r="IJ200" s="100"/>
      <c r="IK200" s="100"/>
      <c r="IL200" s="100"/>
      <c r="IM200" s="100"/>
      <c r="IN200" s="100"/>
      <c r="IO200" s="100"/>
      <c r="IP200" s="100"/>
      <c r="IQ200" s="100"/>
      <c r="IR200" s="100"/>
      <c r="IS200" s="100"/>
      <c r="IT200" s="100"/>
      <c r="IU200" s="100"/>
      <c r="IV200" s="100"/>
      <c r="IW200" s="100"/>
      <c r="IX200" s="100"/>
      <c r="IY200" s="100"/>
      <c r="IZ200" s="100"/>
      <c r="JA200" s="100"/>
      <c r="JB200" s="100"/>
      <c r="JC200" s="100"/>
      <c r="JD200" s="100"/>
      <c r="JE200" s="100"/>
      <c r="JF200" t="s">
        <v>49</v>
      </c>
    </row>
    <row r="201" spans="1:266" hidden="1" x14ac:dyDescent="0.45">
      <c r="A201" s="71" t="str">
        <f>IF('Quote Exports'!C183="","",'Quote Exports'!C183)</f>
        <v/>
      </c>
      <c r="B201" s="72"/>
      <c r="C201" s="68"/>
      <c r="D201" s="1" t="s">
        <v>385</v>
      </c>
      <c r="E201" s="20" t="str">
        <v>CM</v>
      </c>
      <c r="F201" s="101" t="str">
        <v>CM</v>
      </c>
      <c r="G201" s="102" t="str">
        <v>CM</v>
      </c>
      <c r="H201" s="103" t="str">
        <v>CM</v>
      </c>
      <c r="I201" s="103" t="str">
        <v>CM</v>
      </c>
      <c r="J201" s="103" t="str">
        <v>CM</v>
      </c>
      <c r="K201" s="103" t="str">
        <v>CM</v>
      </c>
      <c r="L201" s="103" t="str">
        <v>CM</v>
      </c>
      <c r="M201" s="103" t="str">
        <v>CM</v>
      </c>
      <c r="N201" s="103" t="str">
        <v>CM</v>
      </c>
      <c r="O201" s="103" t="str">
        <v>CM</v>
      </c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3"/>
      <c r="AJ201" s="103"/>
      <c r="AK201" s="103"/>
      <c r="AL201" s="103"/>
      <c r="AM201" s="103"/>
      <c r="AN201" s="103"/>
      <c r="AO201" s="103"/>
      <c r="AP201" s="103"/>
      <c r="AQ201" s="103"/>
      <c r="AR201" s="103"/>
      <c r="AS201" s="103"/>
      <c r="AT201" s="103"/>
      <c r="AU201" s="103"/>
      <c r="AV201" s="103"/>
      <c r="AW201" s="103"/>
      <c r="AX201" s="103"/>
      <c r="AY201" s="103"/>
      <c r="AZ201" s="103"/>
      <c r="BA201" s="103"/>
      <c r="BB201" s="103"/>
      <c r="BC201" s="103"/>
      <c r="BD201" s="103"/>
      <c r="BE201" s="103"/>
      <c r="BF201" s="103"/>
      <c r="BG201" s="103"/>
      <c r="BH201" s="103"/>
      <c r="BI201" s="103"/>
      <c r="BJ201" s="103"/>
      <c r="BK201" s="103"/>
      <c r="BL201" s="103"/>
      <c r="BM201" s="103"/>
      <c r="BN201" s="103"/>
      <c r="BO201" s="103"/>
      <c r="BP201" s="103"/>
      <c r="BQ201" s="103"/>
      <c r="BR201" s="103"/>
      <c r="BS201" s="103"/>
      <c r="BT201" s="103"/>
      <c r="BU201" s="103"/>
      <c r="BV201" s="103"/>
      <c r="BW201" s="103"/>
      <c r="BX201" s="103"/>
      <c r="BY201" s="103"/>
      <c r="BZ201" s="103"/>
      <c r="CA201" s="103"/>
      <c r="CB201" s="103"/>
      <c r="CC201" s="103"/>
      <c r="CD201" s="103"/>
      <c r="CE201" s="103"/>
      <c r="CF201" s="103"/>
      <c r="CG201" s="103"/>
      <c r="CH201" s="103"/>
      <c r="CI201" s="103"/>
      <c r="CJ201" s="103"/>
      <c r="CK201" s="103"/>
      <c r="CL201" s="103"/>
      <c r="CM201" s="103"/>
      <c r="CN201" s="103"/>
      <c r="CO201" s="103"/>
      <c r="CP201" s="103"/>
      <c r="CQ201" s="103"/>
      <c r="CR201" s="103"/>
      <c r="CS201" s="103"/>
      <c r="CT201" s="103"/>
      <c r="CU201" s="103"/>
      <c r="CV201" s="103"/>
      <c r="CW201" s="103"/>
      <c r="CX201" s="103"/>
      <c r="CY201" s="103"/>
      <c r="CZ201" s="103"/>
      <c r="DA201" s="103"/>
      <c r="DB201" s="103"/>
      <c r="DC201" s="103"/>
      <c r="DD201" s="103"/>
      <c r="DE201" s="103"/>
      <c r="DF201" s="103"/>
      <c r="DG201" s="103"/>
      <c r="DH201" s="103"/>
      <c r="DI201" s="103"/>
      <c r="DJ201" s="103"/>
      <c r="DK201" s="103"/>
      <c r="DL201" s="103"/>
      <c r="DM201" s="103"/>
      <c r="DN201" s="103"/>
      <c r="DO201" s="103"/>
      <c r="DP201" s="103"/>
      <c r="DQ201" s="103"/>
      <c r="DR201" s="103"/>
      <c r="DS201" s="103"/>
      <c r="DT201" s="103"/>
      <c r="DU201" s="103"/>
      <c r="DV201" s="103"/>
      <c r="DW201" s="103"/>
      <c r="DX201" s="103"/>
      <c r="DY201" s="103"/>
      <c r="DZ201" s="103"/>
      <c r="EA201" s="103"/>
      <c r="EB201" s="103"/>
      <c r="EC201" s="103"/>
      <c r="ED201" s="103"/>
      <c r="EE201" s="103"/>
      <c r="EF201" s="103"/>
      <c r="EG201" s="103"/>
      <c r="EH201" s="103"/>
      <c r="EI201" s="103"/>
      <c r="EJ201" s="103"/>
      <c r="EK201" s="103"/>
      <c r="EL201" s="103"/>
      <c r="EM201" s="103"/>
      <c r="EN201" s="103"/>
      <c r="EO201" s="103"/>
      <c r="EP201" s="103"/>
      <c r="EQ201" s="103"/>
      <c r="ER201" s="103"/>
      <c r="ES201" s="103"/>
      <c r="ET201" s="103"/>
      <c r="EU201" s="103"/>
      <c r="EV201" s="103"/>
      <c r="EW201" s="103"/>
      <c r="EX201" s="103"/>
      <c r="EY201" s="103"/>
      <c r="EZ201" s="103"/>
      <c r="FA201" s="103"/>
      <c r="FB201" s="103"/>
      <c r="FC201" s="103"/>
      <c r="FD201" s="103"/>
      <c r="FE201" s="103"/>
      <c r="FF201" s="103"/>
      <c r="FG201" s="103"/>
      <c r="FH201" s="103"/>
      <c r="FI201" s="103"/>
      <c r="FJ201" s="103"/>
      <c r="FK201" s="103"/>
      <c r="FL201" s="103"/>
      <c r="FM201" s="103"/>
      <c r="FN201" s="103"/>
      <c r="FO201" s="103"/>
      <c r="FP201" s="103"/>
      <c r="FQ201" s="103"/>
      <c r="FR201" s="103"/>
      <c r="FS201" s="103"/>
      <c r="FT201" s="103"/>
      <c r="FU201" s="103"/>
      <c r="FV201" s="103"/>
      <c r="FW201" s="103"/>
      <c r="FX201" s="103"/>
      <c r="FY201" s="103"/>
      <c r="FZ201" s="103"/>
      <c r="GA201" s="103"/>
      <c r="GB201" s="103"/>
      <c r="GC201" s="103"/>
      <c r="GD201" s="103"/>
      <c r="GE201" s="103"/>
      <c r="GF201" s="103"/>
      <c r="GG201" s="103"/>
      <c r="GH201" s="103"/>
      <c r="GI201" s="103"/>
      <c r="GJ201" s="103"/>
      <c r="GK201" s="103"/>
      <c r="GL201" s="103"/>
      <c r="GM201" s="103"/>
      <c r="GN201" s="103"/>
      <c r="GO201" s="103"/>
      <c r="GP201" s="103"/>
      <c r="GQ201" s="103"/>
      <c r="GR201" s="103"/>
      <c r="GS201" s="103"/>
      <c r="GT201" s="103"/>
      <c r="GU201" s="103"/>
      <c r="GV201" s="103"/>
      <c r="GW201" s="103"/>
      <c r="GX201" s="103"/>
      <c r="GY201" s="103"/>
      <c r="GZ201" s="103"/>
      <c r="HA201" s="103"/>
      <c r="HB201" s="103"/>
      <c r="HC201" s="103"/>
      <c r="HD201" s="103"/>
      <c r="HE201" s="103"/>
      <c r="HF201" s="103"/>
      <c r="HG201" s="103"/>
      <c r="HH201" s="103"/>
      <c r="HI201" s="103"/>
      <c r="HJ201" s="103"/>
      <c r="HK201" s="103"/>
      <c r="HL201" s="103"/>
      <c r="HM201" s="103"/>
      <c r="HN201" s="103"/>
      <c r="HO201" s="103"/>
      <c r="HP201" s="103"/>
      <c r="HQ201" s="103"/>
      <c r="HR201" s="103"/>
      <c r="HS201" s="103"/>
      <c r="HT201" s="103"/>
      <c r="HU201" s="103"/>
      <c r="HV201" s="103"/>
      <c r="HW201" s="103"/>
      <c r="HX201" s="103"/>
      <c r="HY201" s="103"/>
      <c r="HZ201" s="103"/>
      <c r="IA201" s="103"/>
      <c r="IB201" s="103"/>
      <c r="IC201" s="103"/>
      <c r="ID201" s="103"/>
      <c r="IE201" s="103"/>
      <c r="IF201" s="103"/>
      <c r="IG201" s="103"/>
      <c r="IH201" s="103"/>
      <c r="II201" s="103"/>
      <c r="IJ201" s="103"/>
      <c r="IK201" s="103"/>
      <c r="IL201" s="103"/>
      <c r="IM201" s="103"/>
      <c r="IN201" s="103"/>
      <c r="IO201" s="103"/>
      <c r="IP201" s="103"/>
      <c r="IQ201" s="103"/>
      <c r="IR201" s="103"/>
      <c r="IS201" s="103"/>
      <c r="IT201" s="103"/>
      <c r="IU201" s="103"/>
      <c r="IV201" s="103"/>
      <c r="IW201" s="103"/>
      <c r="IX201" s="103"/>
      <c r="IY201" s="103"/>
      <c r="IZ201" s="103"/>
      <c r="JA201" s="103"/>
      <c r="JB201" s="103"/>
      <c r="JC201" s="103"/>
      <c r="JD201" s="103"/>
      <c r="JE201" s="103"/>
      <c r="JF201" t="s">
        <v>49</v>
      </c>
    </row>
    <row r="202" spans="1:266" hidden="1" x14ac:dyDescent="0.45">
      <c r="A202" s="71" t="str">
        <f>IF('Quote Exports'!C184="","",'Quote Exports'!C184)</f>
        <v/>
      </c>
      <c r="B202" s="72"/>
      <c r="C202" s="68"/>
      <c r="D202" s="1" t="s">
        <v>190</v>
      </c>
      <c r="E202" s="20" t="str">
        <v>3.3002</v>
      </c>
      <c r="F202" s="104">
        <v>3.3003999999999998</v>
      </c>
      <c r="G202" s="100" t="str">
        <v>3.3006</v>
      </c>
      <c r="H202" s="100">
        <v>3.3010999999999999</v>
      </c>
      <c r="I202" s="100">
        <v>3.9001000000000001</v>
      </c>
      <c r="J202" s="100">
        <v>3.9003000000000001</v>
      </c>
      <c r="K202" s="100">
        <v>3.9003999999999999</v>
      </c>
      <c r="L202" s="100">
        <v>3.9005000000000001</v>
      </c>
      <c r="M202" s="100">
        <v>3.9007999999999998</v>
      </c>
      <c r="N202" s="100">
        <v>3.9014000000000002</v>
      </c>
      <c r="O202" s="100">
        <v>3.9015</v>
      </c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  <c r="BF202" s="100"/>
      <c r="BG202" s="100"/>
      <c r="BH202" s="100"/>
      <c r="BI202" s="100"/>
      <c r="BJ202" s="100"/>
      <c r="BK202" s="100"/>
      <c r="BL202" s="100"/>
      <c r="BM202" s="100"/>
      <c r="BN202" s="100"/>
      <c r="BO202" s="100"/>
      <c r="BP202" s="100"/>
      <c r="BQ202" s="100"/>
      <c r="BR202" s="100"/>
      <c r="BS202" s="100"/>
      <c r="BT202" s="100"/>
      <c r="BU202" s="100"/>
      <c r="BV202" s="100"/>
      <c r="BW202" s="100"/>
      <c r="BX202" s="100"/>
      <c r="BY202" s="100"/>
      <c r="BZ202" s="100"/>
      <c r="CA202" s="100"/>
      <c r="CB202" s="100"/>
      <c r="CC202" s="100"/>
      <c r="CD202" s="100"/>
      <c r="CE202" s="100"/>
      <c r="CF202" s="100"/>
      <c r="CG202" s="100"/>
      <c r="CH202" s="100"/>
      <c r="CI202" s="100"/>
      <c r="CJ202" s="100"/>
      <c r="CK202" s="100"/>
      <c r="CL202" s="100"/>
      <c r="CM202" s="100"/>
      <c r="CN202" s="100"/>
      <c r="CO202" s="100"/>
      <c r="CP202" s="100"/>
      <c r="CQ202" s="100"/>
      <c r="CR202" s="100"/>
      <c r="CS202" s="100"/>
      <c r="CT202" s="100"/>
      <c r="CU202" s="100"/>
      <c r="CV202" s="100"/>
      <c r="CW202" s="100"/>
      <c r="CX202" s="100"/>
      <c r="CY202" s="100"/>
      <c r="CZ202" s="100"/>
      <c r="DA202" s="100"/>
      <c r="DB202" s="100"/>
      <c r="DC202" s="100"/>
      <c r="DD202" s="100"/>
      <c r="DE202" s="100"/>
      <c r="DF202" s="100"/>
      <c r="DG202" s="100"/>
      <c r="DH202" s="100"/>
      <c r="DI202" s="100"/>
      <c r="DJ202" s="100"/>
      <c r="DK202" s="100"/>
      <c r="DL202" s="100"/>
      <c r="DM202" s="100"/>
      <c r="DN202" s="100"/>
      <c r="DO202" s="100"/>
      <c r="DP202" s="100"/>
      <c r="DQ202" s="100"/>
      <c r="DR202" s="100"/>
      <c r="DS202" s="100"/>
      <c r="DT202" s="100"/>
      <c r="DU202" s="100"/>
      <c r="DV202" s="100"/>
      <c r="DW202" s="100"/>
      <c r="DX202" s="100"/>
      <c r="DY202" s="100"/>
      <c r="DZ202" s="100"/>
      <c r="EA202" s="100"/>
      <c r="EB202" s="100"/>
      <c r="EC202" s="100"/>
      <c r="ED202" s="100"/>
      <c r="EE202" s="100"/>
      <c r="EF202" s="100"/>
      <c r="EG202" s="100"/>
      <c r="EH202" s="100"/>
      <c r="EI202" s="100"/>
      <c r="EJ202" s="100"/>
      <c r="EK202" s="100"/>
      <c r="EL202" s="100"/>
      <c r="EM202" s="100"/>
      <c r="EN202" s="100"/>
      <c r="EO202" s="100"/>
      <c r="EP202" s="100"/>
      <c r="EQ202" s="100"/>
      <c r="ER202" s="100"/>
      <c r="ES202" s="100"/>
      <c r="ET202" s="100"/>
      <c r="EU202" s="100"/>
      <c r="EV202" s="100"/>
      <c r="EW202" s="100"/>
      <c r="EX202" s="100"/>
      <c r="EY202" s="100"/>
      <c r="EZ202" s="100"/>
      <c r="FA202" s="100"/>
      <c r="FB202" s="100"/>
      <c r="FC202" s="100"/>
      <c r="FD202" s="100"/>
      <c r="FE202" s="100"/>
      <c r="FF202" s="100"/>
      <c r="FG202" s="100"/>
      <c r="FH202" s="100"/>
      <c r="FI202" s="100"/>
      <c r="FJ202" s="100"/>
      <c r="FK202" s="100"/>
      <c r="FL202" s="100"/>
      <c r="FM202" s="100"/>
      <c r="FN202" s="100"/>
      <c r="FO202" s="100"/>
      <c r="FP202" s="100"/>
      <c r="FQ202" s="100"/>
      <c r="FR202" s="100"/>
      <c r="FS202" s="100"/>
      <c r="FT202" s="100"/>
      <c r="FU202" s="100"/>
      <c r="FV202" s="100"/>
      <c r="FW202" s="100"/>
      <c r="FX202" s="100"/>
      <c r="FY202" s="100"/>
      <c r="FZ202" s="100"/>
      <c r="GA202" s="100"/>
      <c r="GB202" s="100"/>
      <c r="GC202" s="100"/>
      <c r="GD202" s="100"/>
      <c r="GE202" s="100"/>
      <c r="GF202" s="100"/>
      <c r="GG202" s="100"/>
      <c r="GH202" s="100"/>
      <c r="GI202" s="100"/>
      <c r="GJ202" s="100"/>
      <c r="GK202" s="100"/>
      <c r="GL202" s="100"/>
      <c r="GM202" s="100"/>
      <c r="GN202" s="100"/>
      <c r="GO202" s="100"/>
      <c r="GP202" s="100"/>
      <c r="GQ202" s="100"/>
      <c r="GR202" s="100"/>
      <c r="GS202" s="100"/>
      <c r="GT202" s="100"/>
      <c r="GU202" s="100"/>
      <c r="GV202" s="100"/>
      <c r="GW202" s="100"/>
      <c r="GX202" s="100"/>
      <c r="GY202" s="100"/>
      <c r="GZ202" s="100"/>
      <c r="HA202" s="100"/>
      <c r="HB202" s="100"/>
      <c r="HC202" s="100"/>
      <c r="HD202" s="100"/>
      <c r="HE202" s="100"/>
      <c r="HF202" s="100"/>
      <c r="HG202" s="100"/>
      <c r="HH202" s="100"/>
      <c r="HI202" s="100"/>
      <c r="HJ202" s="100"/>
      <c r="HK202" s="100"/>
      <c r="HL202" s="100"/>
      <c r="HM202" s="100"/>
      <c r="HN202" s="100"/>
      <c r="HO202" s="100"/>
      <c r="HP202" s="100"/>
      <c r="HQ202" s="100"/>
      <c r="HR202" s="100"/>
      <c r="HS202" s="100"/>
      <c r="HT202" s="100"/>
      <c r="HU202" s="100"/>
      <c r="HV202" s="100"/>
      <c r="HW202" s="100"/>
      <c r="HX202" s="100"/>
      <c r="HY202" s="100"/>
      <c r="HZ202" s="100"/>
      <c r="IA202" s="100"/>
      <c r="IB202" s="100"/>
      <c r="IC202" s="100"/>
      <c r="ID202" s="100"/>
      <c r="IE202" s="100"/>
      <c r="IF202" s="100"/>
      <c r="IG202" s="100"/>
      <c r="IH202" s="100"/>
      <c r="II202" s="100"/>
      <c r="IJ202" s="100"/>
      <c r="IK202" s="100"/>
      <c r="IL202" s="100"/>
      <c r="IM202" s="100"/>
      <c r="IN202" s="100"/>
      <c r="IO202" s="100"/>
      <c r="IP202" s="100"/>
      <c r="IQ202" s="100"/>
      <c r="IR202" s="100"/>
      <c r="IS202" s="100"/>
      <c r="IT202" s="100"/>
      <c r="IU202" s="100"/>
      <c r="IV202" s="100"/>
      <c r="IW202" s="100"/>
      <c r="IX202" s="100"/>
      <c r="IY202" s="100"/>
      <c r="IZ202" s="100"/>
      <c r="JA202" s="100"/>
      <c r="JB202" s="100"/>
      <c r="JC202" s="100"/>
      <c r="JD202" s="100"/>
      <c r="JE202" s="100"/>
      <c r="JF202" t="s">
        <v>49</v>
      </c>
    </row>
    <row r="203" spans="1:266" hidden="1" x14ac:dyDescent="0.45">
      <c r="A203" s="71" t="str">
        <f>IF('Quote Exports'!C185="","",'Quote Exports'!C185)</f>
        <v/>
      </c>
      <c r="B203" s="72"/>
      <c r="C203" s="68" t="s">
        <v>395</v>
      </c>
      <c r="D203" s="107" t="s">
        <v>386</v>
      </c>
      <c r="E203" s="110">
        <v>140</v>
      </c>
      <c r="F203" s="118">
        <v>140</v>
      </c>
      <c r="G203" s="119">
        <v>140</v>
      </c>
      <c r="H203" s="119">
        <v>140</v>
      </c>
      <c r="I203" s="119">
        <v>70</v>
      </c>
      <c r="J203" s="119">
        <v>40</v>
      </c>
      <c r="K203" s="119">
        <v>100</v>
      </c>
      <c r="L203" s="119">
        <v>60</v>
      </c>
      <c r="M203" s="119">
        <v>70</v>
      </c>
      <c r="N203" s="119">
        <v>90</v>
      </c>
      <c r="O203" s="119">
        <v>60</v>
      </c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  <c r="AP203" s="119"/>
      <c r="AQ203" s="119"/>
      <c r="AR203" s="119"/>
      <c r="AS203" s="119"/>
      <c r="AT203" s="119"/>
      <c r="AU203" s="119"/>
      <c r="AV203" s="119"/>
      <c r="AW203" s="119"/>
      <c r="AX203" s="119"/>
      <c r="AY203" s="119"/>
      <c r="AZ203" s="119"/>
      <c r="BA203" s="119"/>
      <c r="BB203" s="119"/>
      <c r="BC203" s="119"/>
      <c r="BD203" s="119"/>
      <c r="BE203" s="119"/>
      <c r="BF203" s="119"/>
      <c r="BG203" s="119"/>
      <c r="BH203" s="119"/>
      <c r="BI203" s="119"/>
      <c r="BJ203" s="119"/>
      <c r="BK203" s="119"/>
      <c r="BL203" s="119"/>
      <c r="BM203" s="119"/>
      <c r="BN203" s="119"/>
      <c r="BO203" s="119"/>
      <c r="BP203" s="119"/>
      <c r="BQ203" s="119"/>
      <c r="BR203" s="119"/>
      <c r="BS203" s="119"/>
      <c r="BT203" s="119"/>
      <c r="BU203" s="119"/>
      <c r="BV203" s="119"/>
      <c r="BW203" s="119"/>
      <c r="BX203" s="119"/>
      <c r="BY203" s="119"/>
      <c r="BZ203" s="119"/>
      <c r="CA203" s="119"/>
      <c r="CB203" s="119"/>
      <c r="CC203" s="119"/>
      <c r="CD203" s="119"/>
      <c r="CE203" s="119"/>
      <c r="CF203" s="119"/>
      <c r="CG203" s="119"/>
      <c r="CH203" s="119"/>
      <c r="CI203" s="119"/>
      <c r="CJ203" s="119"/>
      <c r="CK203" s="119"/>
      <c r="CL203" s="119"/>
      <c r="CM203" s="119"/>
      <c r="CN203" s="119"/>
      <c r="CO203" s="119"/>
      <c r="CP203" s="119"/>
      <c r="CQ203" s="119"/>
      <c r="CR203" s="119"/>
      <c r="CS203" s="119"/>
      <c r="CT203" s="119"/>
      <c r="CU203" s="119"/>
      <c r="CV203" s="119"/>
      <c r="CW203" s="119"/>
      <c r="CX203" s="119"/>
      <c r="CY203" s="119"/>
      <c r="CZ203" s="119"/>
      <c r="DA203" s="119"/>
      <c r="DB203" s="119"/>
      <c r="DC203" s="119"/>
      <c r="DD203" s="119"/>
      <c r="DE203" s="119"/>
      <c r="DF203" s="119"/>
      <c r="DG203" s="119"/>
      <c r="DH203" s="119"/>
      <c r="DI203" s="119"/>
      <c r="DJ203" s="119"/>
      <c r="DK203" s="119"/>
      <c r="DL203" s="119"/>
      <c r="DM203" s="119"/>
      <c r="DN203" s="119"/>
      <c r="DO203" s="119"/>
      <c r="DP203" s="119"/>
      <c r="DQ203" s="119"/>
      <c r="DR203" s="119"/>
      <c r="DS203" s="119"/>
      <c r="DT203" s="119"/>
      <c r="DU203" s="119"/>
      <c r="DV203" s="119"/>
      <c r="DW203" s="119"/>
      <c r="DX203" s="119"/>
      <c r="DY203" s="119"/>
      <c r="DZ203" s="119"/>
      <c r="EA203" s="119"/>
      <c r="EB203" s="119"/>
      <c r="EC203" s="119"/>
      <c r="ED203" s="119"/>
      <c r="EE203" s="119"/>
      <c r="EF203" s="119"/>
      <c r="EG203" s="119"/>
      <c r="EH203" s="119"/>
      <c r="EI203" s="119"/>
      <c r="EJ203" s="119"/>
      <c r="EK203" s="119"/>
      <c r="EL203" s="119"/>
      <c r="EM203" s="119"/>
      <c r="EN203" s="119"/>
      <c r="EO203" s="119"/>
      <c r="EP203" s="119"/>
      <c r="EQ203" s="119"/>
      <c r="ER203" s="119"/>
      <c r="ES203" s="119"/>
      <c r="ET203" s="119"/>
      <c r="EU203" s="119"/>
      <c r="EV203" s="119"/>
      <c r="EW203" s="119"/>
      <c r="EX203" s="119"/>
      <c r="EY203" s="119"/>
      <c r="EZ203" s="119"/>
      <c r="FA203" s="119"/>
      <c r="FB203" s="119"/>
      <c r="FC203" s="119"/>
      <c r="FD203" s="119"/>
      <c r="FE203" s="119"/>
      <c r="FF203" s="119"/>
      <c r="FG203" s="119"/>
      <c r="FH203" s="119"/>
      <c r="FI203" s="119"/>
      <c r="FJ203" s="119"/>
      <c r="FK203" s="119"/>
      <c r="FL203" s="119"/>
      <c r="FM203" s="119"/>
      <c r="FN203" s="119"/>
      <c r="FO203" s="119"/>
      <c r="FP203" s="119"/>
      <c r="FQ203" s="119"/>
      <c r="FR203" s="119"/>
      <c r="FS203" s="119"/>
      <c r="FT203" s="119"/>
      <c r="FU203" s="119"/>
      <c r="FV203" s="119"/>
      <c r="FW203" s="119"/>
      <c r="FX203" s="119"/>
      <c r="FY203" s="119"/>
      <c r="FZ203" s="119"/>
      <c r="GA203" s="119"/>
      <c r="GB203" s="119"/>
      <c r="GC203" s="119"/>
      <c r="GD203" s="119"/>
      <c r="GE203" s="119"/>
      <c r="GF203" s="119"/>
      <c r="GG203" s="119"/>
      <c r="GH203" s="119"/>
      <c r="GI203" s="119"/>
      <c r="GJ203" s="119"/>
      <c r="GK203" s="119"/>
      <c r="GL203" s="119"/>
      <c r="GM203" s="119"/>
      <c r="GN203" s="119"/>
      <c r="GO203" s="119"/>
      <c r="GP203" s="119"/>
      <c r="GQ203" s="119"/>
      <c r="GR203" s="119"/>
      <c r="GS203" s="119"/>
      <c r="GT203" s="119"/>
      <c r="GU203" s="119"/>
      <c r="GV203" s="119"/>
      <c r="GW203" s="119"/>
      <c r="GX203" s="119"/>
      <c r="GY203" s="119"/>
      <c r="GZ203" s="119"/>
      <c r="HA203" s="119"/>
      <c r="HB203" s="119"/>
      <c r="HC203" s="119"/>
      <c r="HD203" s="119"/>
      <c r="HE203" s="119"/>
      <c r="HF203" s="119"/>
      <c r="HG203" s="119"/>
      <c r="HH203" s="119"/>
      <c r="HI203" s="119"/>
      <c r="HJ203" s="119"/>
      <c r="HK203" s="119"/>
      <c r="HL203" s="119"/>
      <c r="HM203" s="119"/>
      <c r="HN203" s="119"/>
      <c r="HO203" s="119"/>
      <c r="HP203" s="119"/>
      <c r="HQ203" s="119"/>
      <c r="HR203" s="119"/>
      <c r="HS203" s="119"/>
      <c r="HT203" s="119"/>
      <c r="HU203" s="119"/>
      <c r="HV203" s="119"/>
      <c r="HW203" s="119"/>
      <c r="HX203" s="119"/>
      <c r="HY203" s="119"/>
      <c r="HZ203" s="119"/>
      <c r="IA203" s="119"/>
      <c r="IB203" s="119"/>
      <c r="IC203" s="119"/>
      <c r="ID203" s="119"/>
      <c r="IE203" s="119"/>
      <c r="IF203" s="119"/>
      <c r="IG203" s="119"/>
      <c r="IH203" s="119"/>
      <c r="II203" s="119"/>
      <c r="IJ203" s="119"/>
      <c r="IK203" s="119"/>
      <c r="IL203" s="119"/>
      <c r="IM203" s="119"/>
      <c r="IN203" s="119"/>
      <c r="IO203" s="119"/>
      <c r="IP203" s="119"/>
      <c r="IQ203" s="119"/>
      <c r="IR203" s="119"/>
      <c r="IS203" s="119"/>
      <c r="IT203" s="119"/>
      <c r="IU203" s="119"/>
      <c r="IV203" s="119"/>
      <c r="IW203" s="119"/>
      <c r="IX203" s="119"/>
      <c r="IY203" s="119"/>
      <c r="IZ203" s="119"/>
      <c r="JA203" s="119"/>
      <c r="JB203" s="119"/>
      <c r="JC203" s="119"/>
      <c r="JD203" s="119"/>
      <c r="JE203" s="119"/>
      <c r="JF203" t="s">
        <v>49</v>
      </c>
    </row>
    <row r="204" spans="1:266" hidden="1" x14ac:dyDescent="0.45">
      <c r="A204" s="71" t="str">
        <f>IF('Quote Exports'!C186="","",'Quote Exports'!C186)</f>
        <v/>
      </c>
      <c r="B204" s="72"/>
      <c r="C204" s="68" t="s">
        <v>395</v>
      </c>
      <c r="D204" s="107" t="s">
        <v>387</v>
      </c>
      <c r="E204" s="110">
        <v>0</v>
      </c>
      <c r="F204" s="118">
        <v>0</v>
      </c>
      <c r="G204" s="119">
        <v>0</v>
      </c>
      <c r="H204" s="119">
        <v>0</v>
      </c>
      <c r="I204" s="119">
        <v>0</v>
      </c>
      <c r="J204" s="119">
        <v>0</v>
      </c>
      <c r="K204" s="119">
        <v>0</v>
      </c>
      <c r="L204" s="119">
        <v>0</v>
      </c>
      <c r="M204" s="119">
        <v>0</v>
      </c>
      <c r="N204" s="119">
        <v>0</v>
      </c>
      <c r="O204" s="119">
        <v>0</v>
      </c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  <c r="AP204" s="119"/>
      <c r="AQ204" s="119"/>
      <c r="AR204" s="119"/>
      <c r="AS204" s="119"/>
      <c r="AT204" s="119"/>
      <c r="AU204" s="119"/>
      <c r="AV204" s="119"/>
      <c r="AW204" s="119"/>
      <c r="AX204" s="119"/>
      <c r="AY204" s="119"/>
      <c r="AZ204" s="119"/>
      <c r="BA204" s="119"/>
      <c r="BB204" s="119"/>
      <c r="BC204" s="119"/>
      <c r="BD204" s="119"/>
      <c r="BE204" s="119"/>
      <c r="BF204" s="119"/>
      <c r="BG204" s="119"/>
      <c r="BH204" s="119"/>
      <c r="BI204" s="119"/>
      <c r="BJ204" s="119"/>
      <c r="BK204" s="119"/>
      <c r="BL204" s="119"/>
      <c r="BM204" s="119"/>
      <c r="BN204" s="119"/>
      <c r="BO204" s="119"/>
      <c r="BP204" s="119"/>
      <c r="BQ204" s="119"/>
      <c r="BR204" s="119"/>
      <c r="BS204" s="119"/>
      <c r="BT204" s="119"/>
      <c r="BU204" s="119"/>
      <c r="BV204" s="119"/>
      <c r="BW204" s="119"/>
      <c r="BX204" s="119"/>
      <c r="BY204" s="119"/>
      <c r="BZ204" s="119"/>
      <c r="CA204" s="119"/>
      <c r="CB204" s="119"/>
      <c r="CC204" s="119"/>
      <c r="CD204" s="119"/>
      <c r="CE204" s="119"/>
      <c r="CF204" s="119"/>
      <c r="CG204" s="119"/>
      <c r="CH204" s="119"/>
      <c r="CI204" s="119"/>
      <c r="CJ204" s="119"/>
      <c r="CK204" s="119"/>
      <c r="CL204" s="119"/>
      <c r="CM204" s="119"/>
      <c r="CN204" s="119"/>
      <c r="CO204" s="119"/>
      <c r="CP204" s="119"/>
      <c r="CQ204" s="119"/>
      <c r="CR204" s="119"/>
      <c r="CS204" s="119"/>
      <c r="CT204" s="119"/>
      <c r="CU204" s="119"/>
      <c r="CV204" s="119"/>
      <c r="CW204" s="119"/>
      <c r="CX204" s="119"/>
      <c r="CY204" s="119"/>
      <c r="CZ204" s="119"/>
      <c r="DA204" s="119"/>
      <c r="DB204" s="119"/>
      <c r="DC204" s="119"/>
      <c r="DD204" s="119"/>
      <c r="DE204" s="119"/>
      <c r="DF204" s="119"/>
      <c r="DG204" s="119"/>
      <c r="DH204" s="119"/>
      <c r="DI204" s="119"/>
      <c r="DJ204" s="119"/>
      <c r="DK204" s="119"/>
      <c r="DL204" s="119"/>
      <c r="DM204" s="119"/>
      <c r="DN204" s="119"/>
      <c r="DO204" s="119"/>
      <c r="DP204" s="119"/>
      <c r="DQ204" s="119"/>
      <c r="DR204" s="119"/>
      <c r="DS204" s="119"/>
      <c r="DT204" s="119"/>
      <c r="DU204" s="119"/>
      <c r="DV204" s="119"/>
      <c r="DW204" s="119"/>
      <c r="DX204" s="119"/>
      <c r="DY204" s="119"/>
      <c r="DZ204" s="119"/>
      <c r="EA204" s="119"/>
      <c r="EB204" s="119"/>
      <c r="EC204" s="119"/>
      <c r="ED204" s="119"/>
      <c r="EE204" s="119"/>
      <c r="EF204" s="119"/>
      <c r="EG204" s="119"/>
      <c r="EH204" s="119"/>
      <c r="EI204" s="119"/>
      <c r="EJ204" s="119"/>
      <c r="EK204" s="119"/>
      <c r="EL204" s="119"/>
      <c r="EM204" s="119"/>
      <c r="EN204" s="119"/>
      <c r="EO204" s="119"/>
      <c r="EP204" s="119"/>
      <c r="EQ204" s="119"/>
      <c r="ER204" s="119"/>
      <c r="ES204" s="119"/>
      <c r="ET204" s="119"/>
      <c r="EU204" s="119"/>
      <c r="EV204" s="119"/>
      <c r="EW204" s="119"/>
      <c r="EX204" s="119"/>
      <c r="EY204" s="119"/>
      <c r="EZ204" s="119"/>
      <c r="FA204" s="119"/>
      <c r="FB204" s="119"/>
      <c r="FC204" s="119"/>
      <c r="FD204" s="119"/>
      <c r="FE204" s="119"/>
      <c r="FF204" s="119"/>
      <c r="FG204" s="119"/>
      <c r="FH204" s="119"/>
      <c r="FI204" s="119"/>
      <c r="FJ204" s="119"/>
      <c r="FK204" s="119"/>
      <c r="FL204" s="119"/>
      <c r="FM204" s="119"/>
      <c r="FN204" s="119"/>
      <c r="FO204" s="119"/>
      <c r="FP204" s="119"/>
      <c r="FQ204" s="119"/>
      <c r="FR204" s="119"/>
      <c r="FS204" s="119"/>
      <c r="FT204" s="119"/>
      <c r="FU204" s="119"/>
      <c r="FV204" s="119"/>
      <c r="FW204" s="119"/>
      <c r="FX204" s="119"/>
      <c r="FY204" s="119"/>
      <c r="FZ204" s="119"/>
      <c r="GA204" s="119"/>
      <c r="GB204" s="119"/>
      <c r="GC204" s="119"/>
      <c r="GD204" s="119"/>
      <c r="GE204" s="119"/>
      <c r="GF204" s="119"/>
      <c r="GG204" s="119"/>
      <c r="GH204" s="119"/>
      <c r="GI204" s="119"/>
      <c r="GJ204" s="119"/>
      <c r="GK204" s="119"/>
      <c r="GL204" s="119"/>
      <c r="GM204" s="119"/>
      <c r="GN204" s="119"/>
      <c r="GO204" s="119"/>
      <c r="GP204" s="119"/>
      <c r="GQ204" s="119"/>
      <c r="GR204" s="119"/>
      <c r="GS204" s="119"/>
      <c r="GT204" s="119"/>
      <c r="GU204" s="119"/>
      <c r="GV204" s="119"/>
      <c r="GW204" s="119"/>
      <c r="GX204" s="119"/>
      <c r="GY204" s="119"/>
      <c r="GZ204" s="119"/>
      <c r="HA204" s="119"/>
      <c r="HB204" s="119"/>
      <c r="HC204" s="119"/>
      <c r="HD204" s="119"/>
      <c r="HE204" s="119"/>
      <c r="HF204" s="119"/>
      <c r="HG204" s="119"/>
      <c r="HH204" s="119"/>
      <c r="HI204" s="119"/>
      <c r="HJ204" s="119"/>
      <c r="HK204" s="119"/>
      <c r="HL204" s="119"/>
      <c r="HM204" s="119"/>
      <c r="HN204" s="119"/>
      <c r="HO204" s="119"/>
      <c r="HP204" s="119"/>
      <c r="HQ204" s="119"/>
      <c r="HR204" s="119"/>
      <c r="HS204" s="119"/>
      <c r="HT204" s="119"/>
      <c r="HU204" s="119"/>
      <c r="HV204" s="119"/>
      <c r="HW204" s="119"/>
      <c r="HX204" s="119"/>
      <c r="HY204" s="119"/>
      <c r="HZ204" s="119"/>
      <c r="IA204" s="119"/>
      <c r="IB204" s="119"/>
      <c r="IC204" s="119"/>
      <c r="ID204" s="119"/>
      <c r="IE204" s="119"/>
      <c r="IF204" s="119"/>
      <c r="IG204" s="119"/>
      <c r="IH204" s="119"/>
      <c r="II204" s="119"/>
      <c r="IJ204" s="119"/>
      <c r="IK204" s="119"/>
      <c r="IL204" s="119"/>
      <c r="IM204" s="119"/>
      <c r="IN204" s="119"/>
      <c r="IO204" s="119"/>
      <c r="IP204" s="119"/>
      <c r="IQ204" s="119"/>
      <c r="IR204" s="119"/>
      <c r="IS204" s="119"/>
      <c r="IT204" s="119"/>
      <c r="IU204" s="119"/>
      <c r="IV204" s="119"/>
      <c r="IW204" s="119"/>
      <c r="IX204" s="119"/>
      <c r="IY204" s="119"/>
      <c r="IZ204" s="119"/>
      <c r="JA204" s="119"/>
      <c r="JB204" s="119"/>
      <c r="JC204" s="119"/>
      <c r="JD204" s="119"/>
      <c r="JE204" s="119"/>
      <c r="JF204" t="s">
        <v>49</v>
      </c>
    </row>
    <row r="205" spans="1:266" hidden="1" x14ac:dyDescent="0.45">
      <c r="A205" s="71" t="str">
        <f>IF('Quote Exports'!C190="","",'Quote Exports'!C190)</f>
        <v>For Cust</v>
      </c>
      <c r="B205" s="72"/>
      <c r="C205" s="68" t="s">
        <v>395</v>
      </c>
      <c r="D205" s="107" t="s">
        <v>388</v>
      </c>
      <c r="E205" s="110">
        <v>140</v>
      </c>
      <c r="F205" s="118">
        <v>140</v>
      </c>
      <c r="G205" s="119">
        <v>140</v>
      </c>
      <c r="H205" s="119">
        <v>140</v>
      </c>
      <c r="I205" s="119">
        <v>70</v>
      </c>
      <c r="J205" s="119">
        <v>40</v>
      </c>
      <c r="K205" s="119">
        <v>100</v>
      </c>
      <c r="L205" s="119">
        <v>60</v>
      </c>
      <c r="M205" s="119">
        <v>70</v>
      </c>
      <c r="N205" s="119">
        <v>90</v>
      </c>
      <c r="O205" s="119">
        <v>60</v>
      </c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  <c r="AP205" s="119"/>
      <c r="AQ205" s="119"/>
      <c r="AR205" s="119"/>
      <c r="AS205" s="119"/>
      <c r="AT205" s="119"/>
      <c r="AU205" s="119"/>
      <c r="AV205" s="119"/>
      <c r="AW205" s="119"/>
      <c r="AX205" s="119"/>
      <c r="AY205" s="119"/>
      <c r="AZ205" s="119"/>
      <c r="BA205" s="119"/>
      <c r="BB205" s="119"/>
      <c r="BC205" s="119"/>
      <c r="BD205" s="119"/>
      <c r="BE205" s="119"/>
      <c r="BF205" s="119"/>
      <c r="BG205" s="119"/>
      <c r="BH205" s="119"/>
      <c r="BI205" s="119"/>
      <c r="BJ205" s="119"/>
      <c r="BK205" s="119"/>
      <c r="BL205" s="119"/>
      <c r="BM205" s="119"/>
      <c r="BN205" s="119"/>
      <c r="BO205" s="119"/>
      <c r="BP205" s="119"/>
      <c r="BQ205" s="119"/>
      <c r="BR205" s="119"/>
      <c r="BS205" s="119"/>
      <c r="BT205" s="119"/>
      <c r="BU205" s="119"/>
      <c r="BV205" s="119"/>
      <c r="BW205" s="119"/>
      <c r="BX205" s="119"/>
      <c r="BY205" s="119"/>
      <c r="BZ205" s="119"/>
      <c r="CA205" s="119"/>
      <c r="CB205" s="119"/>
      <c r="CC205" s="119"/>
      <c r="CD205" s="119"/>
      <c r="CE205" s="119"/>
      <c r="CF205" s="119"/>
      <c r="CG205" s="119"/>
      <c r="CH205" s="119"/>
      <c r="CI205" s="119"/>
      <c r="CJ205" s="119"/>
      <c r="CK205" s="119"/>
      <c r="CL205" s="119"/>
      <c r="CM205" s="119"/>
      <c r="CN205" s="119"/>
      <c r="CO205" s="119"/>
      <c r="CP205" s="119"/>
      <c r="CQ205" s="119"/>
      <c r="CR205" s="119"/>
      <c r="CS205" s="119"/>
      <c r="CT205" s="119"/>
      <c r="CU205" s="119"/>
      <c r="CV205" s="119"/>
      <c r="CW205" s="119"/>
      <c r="CX205" s="119"/>
      <c r="CY205" s="119"/>
      <c r="CZ205" s="119"/>
      <c r="DA205" s="119"/>
      <c r="DB205" s="119"/>
      <c r="DC205" s="119"/>
      <c r="DD205" s="119"/>
      <c r="DE205" s="119"/>
      <c r="DF205" s="119"/>
      <c r="DG205" s="119"/>
      <c r="DH205" s="119"/>
      <c r="DI205" s="119"/>
      <c r="DJ205" s="119"/>
      <c r="DK205" s="119"/>
      <c r="DL205" s="119"/>
      <c r="DM205" s="119"/>
      <c r="DN205" s="119"/>
      <c r="DO205" s="119"/>
      <c r="DP205" s="119"/>
      <c r="DQ205" s="119"/>
      <c r="DR205" s="119"/>
      <c r="DS205" s="119"/>
      <c r="DT205" s="119"/>
      <c r="DU205" s="119"/>
      <c r="DV205" s="119"/>
      <c r="DW205" s="119"/>
      <c r="DX205" s="119"/>
      <c r="DY205" s="119"/>
      <c r="DZ205" s="119"/>
      <c r="EA205" s="119"/>
      <c r="EB205" s="119"/>
      <c r="EC205" s="119"/>
      <c r="ED205" s="119"/>
      <c r="EE205" s="119"/>
      <c r="EF205" s="119"/>
      <c r="EG205" s="119"/>
      <c r="EH205" s="119"/>
      <c r="EI205" s="119"/>
      <c r="EJ205" s="119"/>
      <c r="EK205" s="119"/>
      <c r="EL205" s="119"/>
      <c r="EM205" s="119"/>
      <c r="EN205" s="119"/>
      <c r="EO205" s="119"/>
      <c r="EP205" s="119"/>
      <c r="EQ205" s="119"/>
      <c r="ER205" s="119"/>
      <c r="ES205" s="119"/>
      <c r="ET205" s="119"/>
      <c r="EU205" s="119"/>
      <c r="EV205" s="119"/>
      <c r="EW205" s="119"/>
      <c r="EX205" s="119"/>
      <c r="EY205" s="119"/>
      <c r="EZ205" s="119"/>
      <c r="FA205" s="119"/>
      <c r="FB205" s="119"/>
      <c r="FC205" s="119"/>
      <c r="FD205" s="119"/>
      <c r="FE205" s="119"/>
      <c r="FF205" s="119"/>
      <c r="FG205" s="119"/>
      <c r="FH205" s="119"/>
      <c r="FI205" s="119"/>
      <c r="FJ205" s="119"/>
      <c r="FK205" s="119"/>
      <c r="FL205" s="119"/>
      <c r="FM205" s="119"/>
      <c r="FN205" s="119"/>
      <c r="FO205" s="119"/>
      <c r="FP205" s="119"/>
      <c r="FQ205" s="119"/>
      <c r="FR205" s="119"/>
      <c r="FS205" s="119"/>
      <c r="FT205" s="119"/>
      <c r="FU205" s="119"/>
      <c r="FV205" s="119"/>
      <c r="FW205" s="119"/>
      <c r="FX205" s="119"/>
      <c r="FY205" s="119"/>
      <c r="FZ205" s="119"/>
      <c r="GA205" s="119"/>
      <c r="GB205" s="119"/>
      <c r="GC205" s="119"/>
      <c r="GD205" s="119"/>
      <c r="GE205" s="119"/>
      <c r="GF205" s="119"/>
      <c r="GG205" s="119"/>
      <c r="GH205" s="119"/>
      <c r="GI205" s="119"/>
      <c r="GJ205" s="119"/>
      <c r="GK205" s="119"/>
      <c r="GL205" s="119"/>
      <c r="GM205" s="119"/>
      <c r="GN205" s="119"/>
      <c r="GO205" s="119"/>
      <c r="GP205" s="119"/>
      <c r="GQ205" s="119"/>
      <c r="GR205" s="119"/>
      <c r="GS205" s="119"/>
      <c r="GT205" s="119"/>
      <c r="GU205" s="119"/>
      <c r="GV205" s="119"/>
      <c r="GW205" s="119"/>
      <c r="GX205" s="119"/>
      <c r="GY205" s="119"/>
      <c r="GZ205" s="119"/>
      <c r="HA205" s="119"/>
      <c r="HB205" s="119"/>
      <c r="HC205" s="119"/>
      <c r="HD205" s="119"/>
      <c r="HE205" s="119"/>
      <c r="HF205" s="119"/>
      <c r="HG205" s="119"/>
      <c r="HH205" s="119"/>
      <c r="HI205" s="119"/>
      <c r="HJ205" s="119"/>
      <c r="HK205" s="119"/>
      <c r="HL205" s="119"/>
      <c r="HM205" s="119"/>
      <c r="HN205" s="119"/>
      <c r="HO205" s="119"/>
      <c r="HP205" s="119"/>
      <c r="HQ205" s="119"/>
      <c r="HR205" s="119"/>
      <c r="HS205" s="119"/>
      <c r="HT205" s="119"/>
      <c r="HU205" s="119"/>
      <c r="HV205" s="119"/>
      <c r="HW205" s="119"/>
      <c r="HX205" s="119"/>
      <c r="HY205" s="119"/>
      <c r="HZ205" s="119"/>
      <c r="IA205" s="119"/>
      <c r="IB205" s="119"/>
      <c r="IC205" s="119"/>
      <c r="ID205" s="119"/>
      <c r="IE205" s="119"/>
      <c r="IF205" s="119"/>
      <c r="IG205" s="119"/>
      <c r="IH205" s="119"/>
      <c r="II205" s="119"/>
      <c r="IJ205" s="119"/>
      <c r="IK205" s="119"/>
      <c r="IL205" s="119"/>
      <c r="IM205" s="119"/>
      <c r="IN205" s="119"/>
      <c r="IO205" s="119"/>
      <c r="IP205" s="119"/>
      <c r="IQ205" s="119"/>
      <c r="IR205" s="119"/>
      <c r="IS205" s="119"/>
      <c r="IT205" s="119"/>
      <c r="IU205" s="119"/>
      <c r="IV205" s="119"/>
      <c r="IW205" s="119"/>
      <c r="IX205" s="119"/>
      <c r="IY205" s="119"/>
      <c r="IZ205" s="119"/>
      <c r="JA205" s="119"/>
      <c r="JB205" s="119"/>
      <c r="JC205" s="119"/>
      <c r="JD205" s="119"/>
      <c r="JE205" s="119"/>
      <c r="JF205" t="s">
        <v>49</v>
      </c>
    </row>
    <row r="206" spans="1:266" hidden="1" x14ac:dyDescent="0.45">
      <c r="A206" s="71" t="str">
        <f>IF('Quote Exports'!C191="","",'Quote Exports'!C191)</f>
        <v>For Cust</v>
      </c>
      <c r="B206" s="72"/>
      <c r="C206" s="68" t="s">
        <v>395</v>
      </c>
      <c r="D206" s="107" t="s">
        <v>389</v>
      </c>
      <c r="E206" s="110" t="str">
        <v/>
      </c>
      <c r="F206" s="118" t="str">
        <v/>
      </c>
      <c r="G206" s="119" t="str">
        <v/>
      </c>
      <c r="H206" s="119" t="str">
        <v/>
      </c>
      <c r="I206" s="119" t="str">
        <v/>
      </c>
      <c r="J206" s="119" t="str">
        <v/>
      </c>
      <c r="K206" s="119" t="str">
        <v/>
      </c>
      <c r="L206" s="119" t="str">
        <v/>
      </c>
      <c r="M206" s="119" t="str">
        <v/>
      </c>
      <c r="N206" s="119" t="str">
        <v/>
      </c>
      <c r="O206" s="119" t="str">
        <v/>
      </c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  <c r="AP206" s="119"/>
      <c r="AQ206" s="119"/>
      <c r="AR206" s="119"/>
      <c r="AS206" s="119"/>
      <c r="AT206" s="119"/>
      <c r="AU206" s="119"/>
      <c r="AV206" s="119"/>
      <c r="AW206" s="119"/>
      <c r="AX206" s="119"/>
      <c r="AY206" s="119"/>
      <c r="AZ206" s="119"/>
      <c r="BA206" s="119"/>
      <c r="BB206" s="119"/>
      <c r="BC206" s="119"/>
      <c r="BD206" s="119"/>
      <c r="BE206" s="119"/>
      <c r="BF206" s="119"/>
      <c r="BG206" s="119"/>
      <c r="BH206" s="119"/>
      <c r="BI206" s="119"/>
      <c r="BJ206" s="119"/>
      <c r="BK206" s="119"/>
      <c r="BL206" s="119"/>
      <c r="BM206" s="119"/>
      <c r="BN206" s="119"/>
      <c r="BO206" s="119"/>
      <c r="BP206" s="119"/>
      <c r="BQ206" s="119"/>
      <c r="BR206" s="119"/>
      <c r="BS206" s="119"/>
      <c r="BT206" s="119"/>
      <c r="BU206" s="119"/>
      <c r="BV206" s="119"/>
      <c r="BW206" s="119"/>
      <c r="BX206" s="119"/>
      <c r="BY206" s="119"/>
      <c r="BZ206" s="119"/>
      <c r="CA206" s="119"/>
      <c r="CB206" s="119"/>
      <c r="CC206" s="119"/>
      <c r="CD206" s="119"/>
      <c r="CE206" s="119"/>
      <c r="CF206" s="119"/>
      <c r="CG206" s="119"/>
      <c r="CH206" s="119"/>
      <c r="CI206" s="119"/>
      <c r="CJ206" s="119"/>
      <c r="CK206" s="119"/>
      <c r="CL206" s="119"/>
      <c r="CM206" s="119"/>
      <c r="CN206" s="119"/>
      <c r="CO206" s="119"/>
      <c r="CP206" s="119"/>
      <c r="CQ206" s="119"/>
      <c r="CR206" s="119"/>
      <c r="CS206" s="119"/>
      <c r="CT206" s="119"/>
      <c r="CU206" s="119"/>
      <c r="CV206" s="119"/>
      <c r="CW206" s="119"/>
      <c r="CX206" s="119"/>
      <c r="CY206" s="119"/>
      <c r="CZ206" s="119"/>
      <c r="DA206" s="119"/>
      <c r="DB206" s="119"/>
      <c r="DC206" s="119"/>
      <c r="DD206" s="119"/>
      <c r="DE206" s="119"/>
      <c r="DF206" s="119"/>
      <c r="DG206" s="119"/>
      <c r="DH206" s="119"/>
      <c r="DI206" s="119"/>
      <c r="DJ206" s="119"/>
      <c r="DK206" s="119"/>
      <c r="DL206" s="119"/>
      <c r="DM206" s="119"/>
      <c r="DN206" s="119"/>
      <c r="DO206" s="119"/>
      <c r="DP206" s="119"/>
      <c r="DQ206" s="119"/>
      <c r="DR206" s="119"/>
      <c r="DS206" s="119"/>
      <c r="DT206" s="119"/>
      <c r="DU206" s="119"/>
      <c r="DV206" s="119"/>
      <c r="DW206" s="119"/>
      <c r="DX206" s="119"/>
      <c r="DY206" s="119"/>
      <c r="DZ206" s="119"/>
      <c r="EA206" s="119"/>
      <c r="EB206" s="119"/>
      <c r="EC206" s="119"/>
      <c r="ED206" s="119"/>
      <c r="EE206" s="119"/>
      <c r="EF206" s="119"/>
      <c r="EG206" s="119"/>
      <c r="EH206" s="119"/>
      <c r="EI206" s="119"/>
      <c r="EJ206" s="119"/>
      <c r="EK206" s="119"/>
      <c r="EL206" s="119"/>
      <c r="EM206" s="119"/>
      <c r="EN206" s="119"/>
      <c r="EO206" s="119"/>
      <c r="EP206" s="119"/>
      <c r="EQ206" s="119"/>
      <c r="ER206" s="119"/>
      <c r="ES206" s="119"/>
      <c r="ET206" s="119"/>
      <c r="EU206" s="119"/>
      <c r="EV206" s="119"/>
      <c r="EW206" s="119"/>
      <c r="EX206" s="119"/>
      <c r="EY206" s="119"/>
      <c r="EZ206" s="119"/>
      <c r="FA206" s="119"/>
      <c r="FB206" s="119"/>
      <c r="FC206" s="119"/>
      <c r="FD206" s="119"/>
      <c r="FE206" s="119"/>
      <c r="FF206" s="119"/>
      <c r="FG206" s="119"/>
      <c r="FH206" s="119"/>
      <c r="FI206" s="119"/>
      <c r="FJ206" s="119"/>
      <c r="FK206" s="119"/>
      <c r="FL206" s="119"/>
      <c r="FM206" s="119"/>
      <c r="FN206" s="119"/>
      <c r="FO206" s="119"/>
      <c r="FP206" s="119"/>
      <c r="FQ206" s="119"/>
      <c r="FR206" s="119"/>
      <c r="FS206" s="119"/>
      <c r="FT206" s="119"/>
      <c r="FU206" s="119"/>
      <c r="FV206" s="119"/>
      <c r="FW206" s="119"/>
      <c r="FX206" s="119"/>
      <c r="FY206" s="119"/>
      <c r="FZ206" s="119"/>
      <c r="GA206" s="119"/>
      <c r="GB206" s="119"/>
      <c r="GC206" s="119"/>
      <c r="GD206" s="119"/>
      <c r="GE206" s="119"/>
      <c r="GF206" s="119"/>
      <c r="GG206" s="119"/>
      <c r="GH206" s="119"/>
      <c r="GI206" s="119"/>
      <c r="GJ206" s="119"/>
      <c r="GK206" s="119"/>
      <c r="GL206" s="119"/>
      <c r="GM206" s="119"/>
      <c r="GN206" s="119"/>
      <c r="GO206" s="119"/>
      <c r="GP206" s="119"/>
      <c r="GQ206" s="119"/>
      <c r="GR206" s="119"/>
      <c r="GS206" s="119"/>
      <c r="GT206" s="119"/>
      <c r="GU206" s="119"/>
      <c r="GV206" s="119"/>
      <c r="GW206" s="119"/>
      <c r="GX206" s="119"/>
      <c r="GY206" s="119"/>
      <c r="GZ206" s="119"/>
      <c r="HA206" s="119"/>
      <c r="HB206" s="119"/>
      <c r="HC206" s="119"/>
      <c r="HD206" s="119"/>
      <c r="HE206" s="119"/>
      <c r="HF206" s="119"/>
      <c r="HG206" s="119"/>
      <c r="HH206" s="119"/>
      <c r="HI206" s="119"/>
      <c r="HJ206" s="119"/>
      <c r="HK206" s="119"/>
      <c r="HL206" s="119"/>
      <c r="HM206" s="119"/>
      <c r="HN206" s="119"/>
      <c r="HO206" s="119"/>
      <c r="HP206" s="119"/>
      <c r="HQ206" s="119"/>
      <c r="HR206" s="119"/>
      <c r="HS206" s="119"/>
      <c r="HT206" s="119"/>
      <c r="HU206" s="119"/>
      <c r="HV206" s="119"/>
      <c r="HW206" s="119"/>
      <c r="HX206" s="119"/>
      <c r="HY206" s="119"/>
      <c r="HZ206" s="119"/>
      <c r="IA206" s="119"/>
      <c r="IB206" s="119"/>
      <c r="IC206" s="119"/>
      <c r="ID206" s="119"/>
      <c r="IE206" s="119"/>
      <c r="IF206" s="119"/>
      <c r="IG206" s="119"/>
      <c r="IH206" s="119"/>
      <c r="II206" s="119"/>
      <c r="IJ206" s="119"/>
      <c r="IK206" s="119"/>
      <c r="IL206" s="119"/>
      <c r="IM206" s="119"/>
      <c r="IN206" s="119"/>
      <c r="IO206" s="119"/>
      <c r="IP206" s="119"/>
      <c r="IQ206" s="119"/>
      <c r="IR206" s="119"/>
      <c r="IS206" s="119"/>
      <c r="IT206" s="119"/>
      <c r="IU206" s="119"/>
      <c r="IV206" s="119"/>
      <c r="IW206" s="119"/>
      <c r="IX206" s="119"/>
      <c r="IY206" s="119"/>
      <c r="IZ206" s="119"/>
      <c r="JA206" s="119"/>
      <c r="JB206" s="119"/>
      <c r="JC206" s="119"/>
      <c r="JD206" s="119"/>
      <c r="JE206" s="119"/>
      <c r="JF206" t="s">
        <v>49</v>
      </c>
    </row>
    <row r="207" spans="1:266" x14ac:dyDescent="0.45">
      <c r="A207" s="71" t="str">
        <f>IF('Quote Exports'!C192="","",'Quote Exports'!C192)</f>
        <v>For Cust</v>
      </c>
      <c r="B207" s="72"/>
      <c r="C207" s="68" t="s">
        <v>424</v>
      </c>
      <c r="D207" s="109" t="s">
        <v>391</v>
      </c>
      <c r="E207" s="110" t="str">
        <v>70+20</v>
      </c>
      <c r="F207" s="118" t="str">
        <v>60+20</v>
      </c>
      <c r="G207" s="119" t="str">
        <v>60+20</v>
      </c>
      <c r="H207" s="119">
        <v>60</v>
      </c>
      <c r="I207" s="119">
        <v>60</v>
      </c>
      <c r="J207" s="119">
        <v>60</v>
      </c>
      <c r="K207" s="119" t="str">
        <v>60+20</v>
      </c>
      <c r="L207" s="119">
        <v>60</v>
      </c>
      <c r="M207" s="119" t="str">
        <v>60+20</v>
      </c>
      <c r="N207" s="119" t="str">
        <v>60+20</v>
      </c>
      <c r="O207" s="119">
        <v>60</v>
      </c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  <c r="AP207" s="119"/>
      <c r="AQ207" s="119"/>
      <c r="AR207" s="119"/>
      <c r="AS207" s="119"/>
      <c r="AT207" s="119"/>
      <c r="AU207" s="119"/>
      <c r="AV207" s="119"/>
      <c r="AW207" s="119"/>
      <c r="AX207" s="119"/>
      <c r="AY207" s="119"/>
      <c r="AZ207" s="119"/>
      <c r="BA207" s="119"/>
      <c r="BB207" s="119"/>
      <c r="BC207" s="119"/>
      <c r="BD207" s="119"/>
      <c r="BE207" s="119"/>
      <c r="BF207" s="119"/>
      <c r="BG207" s="119"/>
      <c r="BH207" s="119"/>
      <c r="BI207" s="119"/>
      <c r="BJ207" s="119"/>
      <c r="BK207" s="119"/>
      <c r="BL207" s="119"/>
      <c r="BM207" s="119"/>
      <c r="BN207" s="119"/>
      <c r="BO207" s="119"/>
      <c r="BP207" s="119"/>
      <c r="BQ207" s="119"/>
      <c r="BR207" s="119"/>
      <c r="BS207" s="119"/>
      <c r="BT207" s="119"/>
      <c r="BU207" s="119"/>
      <c r="BV207" s="119"/>
      <c r="BW207" s="119"/>
      <c r="BX207" s="119"/>
      <c r="BY207" s="119"/>
      <c r="BZ207" s="119"/>
      <c r="CA207" s="119"/>
      <c r="CB207" s="119"/>
      <c r="CC207" s="119"/>
      <c r="CD207" s="119"/>
      <c r="CE207" s="119"/>
      <c r="CF207" s="119"/>
      <c r="CG207" s="119"/>
      <c r="CH207" s="119"/>
      <c r="CI207" s="119"/>
      <c r="CJ207" s="119"/>
      <c r="CK207" s="119"/>
      <c r="CL207" s="119"/>
      <c r="CM207" s="119"/>
      <c r="CN207" s="119"/>
      <c r="CO207" s="119"/>
      <c r="CP207" s="119"/>
      <c r="CQ207" s="119"/>
      <c r="CR207" s="119"/>
      <c r="CS207" s="119"/>
      <c r="CT207" s="119"/>
      <c r="CU207" s="119"/>
      <c r="CV207" s="119"/>
      <c r="CW207" s="119"/>
      <c r="CX207" s="119"/>
      <c r="CY207" s="119"/>
      <c r="CZ207" s="119"/>
      <c r="DA207" s="119"/>
      <c r="DB207" s="119"/>
      <c r="DC207" s="119"/>
      <c r="DD207" s="119"/>
      <c r="DE207" s="119"/>
      <c r="DF207" s="119"/>
      <c r="DG207" s="119"/>
      <c r="DH207" s="119"/>
      <c r="DI207" s="119"/>
      <c r="DJ207" s="119"/>
      <c r="DK207" s="119"/>
      <c r="DL207" s="119"/>
      <c r="DM207" s="119"/>
      <c r="DN207" s="119"/>
      <c r="DO207" s="119"/>
      <c r="DP207" s="119"/>
      <c r="DQ207" s="119"/>
      <c r="DR207" s="119"/>
      <c r="DS207" s="119"/>
      <c r="DT207" s="119"/>
      <c r="DU207" s="119"/>
      <c r="DV207" s="119"/>
      <c r="DW207" s="119"/>
      <c r="DX207" s="119"/>
      <c r="DY207" s="119"/>
      <c r="DZ207" s="119"/>
      <c r="EA207" s="119"/>
      <c r="EB207" s="119"/>
      <c r="EC207" s="119"/>
      <c r="ED207" s="119"/>
      <c r="EE207" s="119"/>
      <c r="EF207" s="119"/>
      <c r="EG207" s="119"/>
      <c r="EH207" s="119"/>
      <c r="EI207" s="119"/>
      <c r="EJ207" s="119"/>
      <c r="EK207" s="119"/>
      <c r="EL207" s="119"/>
      <c r="EM207" s="119"/>
      <c r="EN207" s="119"/>
      <c r="EO207" s="119"/>
      <c r="EP207" s="119"/>
      <c r="EQ207" s="119"/>
      <c r="ER207" s="119"/>
      <c r="ES207" s="119"/>
      <c r="ET207" s="119"/>
      <c r="EU207" s="119"/>
      <c r="EV207" s="119"/>
      <c r="EW207" s="119"/>
      <c r="EX207" s="119"/>
      <c r="EY207" s="119"/>
      <c r="EZ207" s="119"/>
      <c r="FA207" s="119"/>
      <c r="FB207" s="119"/>
      <c r="FC207" s="119"/>
      <c r="FD207" s="119"/>
      <c r="FE207" s="119"/>
      <c r="FF207" s="119"/>
      <c r="FG207" s="119"/>
      <c r="FH207" s="119"/>
      <c r="FI207" s="119"/>
      <c r="FJ207" s="119"/>
      <c r="FK207" s="119"/>
      <c r="FL207" s="119"/>
      <c r="FM207" s="119"/>
      <c r="FN207" s="119"/>
      <c r="FO207" s="119"/>
      <c r="FP207" s="119"/>
      <c r="FQ207" s="119"/>
      <c r="FR207" s="119"/>
      <c r="FS207" s="119"/>
      <c r="FT207" s="119"/>
      <c r="FU207" s="119"/>
      <c r="FV207" s="119"/>
      <c r="FW207" s="119"/>
      <c r="FX207" s="119"/>
      <c r="FY207" s="119"/>
      <c r="FZ207" s="119"/>
      <c r="GA207" s="119"/>
      <c r="GB207" s="119"/>
      <c r="GC207" s="119"/>
      <c r="GD207" s="119"/>
      <c r="GE207" s="119"/>
      <c r="GF207" s="119"/>
      <c r="GG207" s="119"/>
      <c r="GH207" s="119"/>
      <c r="GI207" s="119"/>
      <c r="GJ207" s="119"/>
      <c r="GK207" s="119"/>
      <c r="GL207" s="119"/>
      <c r="GM207" s="119"/>
      <c r="GN207" s="119"/>
      <c r="GO207" s="119"/>
      <c r="GP207" s="119"/>
      <c r="GQ207" s="119"/>
      <c r="GR207" s="119"/>
      <c r="GS207" s="119"/>
      <c r="GT207" s="119"/>
      <c r="GU207" s="119"/>
      <c r="GV207" s="119"/>
      <c r="GW207" s="119"/>
      <c r="GX207" s="119"/>
      <c r="GY207" s="119"/>
      <c r="GZ207" s="119"/>
      <c r="HA207" s="119"/>
      <c r="HB207" s="119"/>
      <c r="HC207" s="119"/>
      <c r="HD207" s="119"/>
      <c r="HE207" s="119"/>
      <c r="HF207" s="119"/>
      <c r="HG207" s="119"/>
      <c r="HH207" s="119"/>
      <c r="HI207" s="119"/>
      <c r="HJ207" s="119"/>
      <c r="HK207" s="119"/>
      <c r="HL207" s="119"/>
      <c r="HM207" s="119"/>
      <c r="HN207" s="119"/>
      <c r="HO207" s="119"/>
      <c r="HP207" s="119"/>
      <c r="HQ207" s="119"/>
      <c r="HR207" s="119"/>
      <c r="HS207" s="119"/>
      <c r="HT207" s="119"/>
      <c r="HU207" s="119"/>
      <c r="HV207" s="119"/>
      <c r="HW207" s="119"/>
      <c r="HX207" s="119"/>
      <c r="HY207" s="119"/>
      <c r="HZ207" s="119"/>
      <c r="IA207" s="119"/>
      <c r="IB207" s="119"/>
      <c r="IC207" s="119"/>
      <c r="ID207" s="119"/>
      <c r="IE207" s="119"/>
      <c r="IF207" s="119"/>
      <c r="IG207" s="119"/>
      <c r="IH207" s="119"/>
      <c r="II207" s="119"/>
      <c r="IJ207" s="119"/>
      <c r="IK207" s="119"/>
      <c r="IL207" s="119"/>
      <c r="IM207" s="119"/>
      <c r="IN207" s="119"/>
      <c r="IO207" s="119"/>
      <c r="IP207" s="119"/>
      <c r="IQ207" s="119"/>
      <c r="IR207" s="119"/>
      <c r="IS207" s="119"/>
      <c r="IT207" s="119"/>
      <c r="IU207" s="119"/>
      <c r="IV207" s="119"/>
      <c r="IW207" s="119"/>
      <c r="IX207" s="119"/>
      <c r="IY207" s="119"/>
      <c r="IZ207" s="119"/>
      <c r="JA207" s="119"/>
      <c r="JB207" s="119"/>
      <c r="JC207" s="119"/>
      <c r="JD207" s="119"/>
      <c r="JE207" s="119"/>
      <c r="JF207" t="s">
        <v>49</v>
      </c>
    </row>
    <row r="208" spans="1:266" hidden="1" x14ac:dyDescent="0.45">
      <c r="A208" s="71" t="str">
        <f>IF('Quote Exports'!C193="","",'Quote Exports'!C193)</f>
        <v/>
      </c>
      <c r="B208" s="72"/>
      <c r="C208" s="68" t="s">
        <v>395</v>
      </c>
      <c r="D208" s="109" t="s">
        <v>396</v>
      </c>
      <c r="E208" s="110">
        <v>0</v>
      </c>
      <c r="F208" s="118">
        <v>0</v>
      </c>
      <c r="G208" s="119">
        <v>0</v>
      </c>
      <c r="H208" s="119">
        <v>0</v>
      </c>
      <c r="I208" s="119">
        <v>0</v>
      </c>
      <c r="J208" s="119">
        <v>0</v>
      </c>
      <c r="K208" s="119">
        <v>0</v>
      </c>
      <c r="L208" s="119">
        <v>0</v>
      </c>
      <c r="M208" s="119">
        <v>0</v>
      </c>
      <c r="N208" s="119">
        <v>0</v>
      </c>
      <c r="O208" s="119">
        <v>0</v>
      </c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  <c r="AN208" s="119"/>
      <c r="AO208" s="119"/>
      <c r="AP208" s="119"/>
      <c r="AQ208" s="119"/>
      <c r="AR208" s="119"/>
      <c r="AS208" s="119"/>
      <c r="AT208" s="119"/>
      <c r="AU208" s="119"/>
      <c r="AV208" s="119"/>
      <c r="AW208" s="119"/>
      <c r="AX208" s="119"/>
      <c r="AY208" s="119"/>
      <c r="AZ208" s="119"/>
      <c r="BA208" s="119"/>
      <c r="BB208" s="119"/>
      <c r="BC208" s="119"/>
      <c r="BD208" s="119"/>
      <c r="BE208" s="119"/>
      <c r="BF208" s="119"/>
      <c r="BG208" s="119"/>
      <c r="BH208" s="119"/>
      <c r="BI208" s="119"/>
      <c r="BJ208" s="119"/>
      <c r="BK208" s="119"/>
      <c r="BL208" s="119"/>
      <c r="BM208" s="119"/>
      <c r="BN208" s="119"/>
      <c r="BO208" s="119"/>
      <c r="BP208" s="119"/>
      <c r="BQ208" s="119"/>
      <c r="BR208" s="119"/>
      <c r="BS208" s="119"/>
      <c r="BT208" s="119"/>
      <c r="BU208" s="119"/>
      <c r="BV208" s="119"/>
      <c r="BW208" s="119"/>
      <c r="BX208" s="119"/>
      <c r="BY208" s="119"/>
      <c r="BZ208" s="119"/>
      <c r="CA208" s="119"/>
      <c r="CB208" s="119"/>
      <c r="CC208" s="119"/>
      <c r="CD208" s="119"/>
      <c r="CE208" s="119"/>
      <c r="CF208" s="119"/>
      <c r="CG208" s="119"/>
      <c r="CH208" s="119"/>
      <c r="CI208" s="119"/>
      <c r="CJ208" s="119"/>
      <c r="CK208" s="119"/>
      <c r="CL208" s="119"/>
      <c r="CM208" s="119"/>
      <c r="CN208" s="119"/>
      <c r="CO208" s="119"/>
      <c r="CP208" s="119"/>
      <c r="CQ208" s="119"/>
      <c r="CR208" s="119"/>
      <c r="CS208" s="119"/>
      <c r="CT208" s="119"/>
      <c r="CU208" s="119"/>
      <c r="CV208" s="119"/>
      <c r="CW208" s="119"/>
      <c r="CX208" s="119"/>
      <c r="CY208" s="119"/>
      <c r="CZ208" s="119"/>
      <c r="DA208" s="119"/>
      <c r="DB208" s="119"/>
      <c r="DC208" s="119"/>
      <c r="DD208" s="119"/>
      <c r="DE208" s="119"/>
      <c r="DF208" s="119"/>
      <c r="DG208" s="119"/>
      <c r="DH208" s="119"/>
      <c r="DI208" s="119"/>
      <c r="DJ208" s="119"/>
      <c r="DK208" s="119"/>
      <c r="DL208" s="119"/>
      <c r="DM208" s="119"/>
      <c r="DN208" s="119"/>
      <c r="DO208" s="119"/>
      <c r="DP208" s="119"/>
      <c r="DQ208" s="119"/>
      <c r="DR208" s="119"/>
      <c r="DS208" s="119"/>
      <c r="DT208" s="119"/>
      <c r="DU208" s="119"/>
      <c r="DV208" s="119"/>
      <c r="DW208" s="119"/>
      <c r="DX208" s="119"/>
      <c r="DY208" s="119"/>
      <c r="DZ208" s="119"/>
      <c r="EA208" s="119"/>
      <c r="EB208" s="119"/>
      <c r="EC208" s="119"/>
      <c r="ED208" s="119"/>
      <c r="EE208" s="119"/>
      <c r="EF208" s="119"/>
      <c r="EG208" s="119"/>
      <c r="EH208" s="119"/>
      <c r="EI208" s="119"/>
      <c r="EJ208" s="119"/>
      <c r="EK208" s="119"/>
      <c r="EL208" s="119"/>
      <c r="EM208" s="119"/>
      <c r="EN208" s="119"/>
      <c r="EO208" s="119"/>
      <c r="EP208" s="119"/>
      <c r="EQ208" s="119"/>
      <c r="ER208" s="119"/>
      <c r="ES208" s="119"/>
      <c r="ET208" s="119"/>
      <c r="EU208" s="119"/>
      <c r="EV208" s="119"/>
      <c r="EW208" s="119"/>
      <c r="EX208" s="119"/>
      <c r="EY208" s="119"/>
      <c r="EZ208" s="119"/>
      <c r="FA208" s="119"/>
      <c r="FB208" s="119"/>
      <c r="FC208" s="119"/>
      <c r="FD208" s="119"/>
      <c r="FE208" s="119"/>
      <c r="FF208" s="119"/>
      <c r="FG208" s="119"/>
      <c r="FH208" s="119"/>
      <c r="FI208" s="119"/>
      <c r="FJ208" s="119"/>
      <c r="FK208" s="119"/>
      <c r="FL208" s="119"/>
      <c r="FM208" s="119"/>
      <c r="FN208" s="119"/>
      <c r="FO208" s="119"/>
      <c r="FP208" s="119"/>
      <c r="FQ208" s="119"/>
      <c r="FR208" s="119"/>
      <c r="FS208" s="119"/>
      <c r="FT208" s="119"/>
      <c r="FU208" s="119"/>
      <c r="FV208" s="119"/>
      <c r="FW208" s="119"/>
      <c r="FX208" s="119"/>
      <c r="FY208" s="119"/>
      <c r="FZ208" s="119"/>
      <c r="GA208" s="119"/>
      <c r="GB208" s="119"/>
      <c r="GC208" s="119"/>
      <c r="GD208" s="119"/>
      <c r="GE208" s="119"/>
      <c r="GF208" s="119"/>
      <c r="GG208" s="119"/>
      <c r="GH208" s="119"/>
      <c r="GI208" s="119"/>
      <c r="GJ208" s="119"/>
      <c r="GK208" s="119"/>
      <c r="GL208" s="119"/>
      <c r="GM208" s="119"/>
      <c r="GN208" s="119"/>
      <c r="GO208" s="119"/>
      <c r="GP208" s="119"/>
      <c r="GQ208" s="119"/>
      <c r="GR208" s="119"/>
      <c r="GS208" s="119"/>
      <c r="GT208" s="119"/>
      <c r="GU208" s="119"/>
      <c r="GV208" s="119"/>
      <c r="GW208" s="119"/>
      <c r="GX208" s="119"/>
      <c r="GY208" s="119"/>
      <c r="GZ208" s="119"/>
      <c r="HA208" s="119"/>
      <c r="HB208" s="119"/>
      <c r="HC208" s="119"/>
      <c r="HD208" s="119"/>
      <c r="HE208" s="119"/>
      <c r="HF208" s="119"/>
      <c r="HG208" s="119"/>
      <c r="HH208" s="119"/>
      <c r="HI208" s="119"/>
      <c r="HJ208" s="119"/>
      <c r="HK208" s="119"/>
      <c r="HL208" s="119"/>
      <c r="HM208" s="119"/>
      <c r="HN208" s="119"/>
      <c r="HO208" s="119"/>
      <c r="HP208" s="119"/>
      <c r="HQ208" s="119"/>
      <c r="HR208" s="119"/>
      <c r="HS208" s="119"/>
      <c r="HT208" s="119"/>
      <c r="HU208" s="119"/>
      <c r="HV208" s="119"/>
      <c r="HW208" s="119"/>
      <c r="HX208" s="119"/>
      <c r="HY208" s="119"/>
      <c r="HZ208" s="119"/>
      <c r="IA208" s="119"/>
      <c r="IB208" s="119"/>
      <c r="IC208" s="119"/>
      <c r="ID208" s="119"/>
      <c r="IE208" s="119"/>
      <c r="IF208" s="119"/>
      <c r="IG208" s="119"/>
      <c r="IH208" s="119"/>
      <c r="II208" s="119"/>
      <c r="IJ208" s="119"/>
      <c r="IK208" s="119"/>
      <c r="IL208" s="119"/>
      <c r="IM208" s="119"/>
      <c r="IN208" s="119"/>
      <c r="IO208" s="119"/>
      <c r="IP208" s="119"/>
      <c r="IQ208" s="119"/>
      <c r="IR208" s="119"/>
      <c r="IS208" s="119"/>
      <c r="IT208" s="119"/>
      <c r="IU208" s="119"/>
      <c r="IV208" s="119"/>
      <c r="IW208" s="119"/>
      <c r="IX208" s="119"/>
      <c r="IY208" s="119"/>
      <c r="IZ208" s="119"/>
      <c r="JA208" s="119"/>
      <c r="JB208" s="119"/>
      <c r="JC208" s="119"/>
      <c r="JD208" s="119"/>
      <c r="JE208" s="119"/>
      <c r="JF208" t="s">
        <v>49</v>
      </c>
    </row>
    <row r="209" spans="1:266" hidden="1" x14ac:dyDescent="0.45">
      <c r="A209" s="71" t="str">
        <f>IF('Quote Exports'!C194="","",'Quote Exports'!C194)</f>
        <v>For Cust</v>
      </c>
      <c r="B209" s="72"/>
      <c r="C209" s="68"/>
      <c r="D209" s="1" t="s">
        <v>355</v>
      </c>
      <c r="E209" s="22" t="str">
        <v>MW</v>
      </c>
      <c r="F209" s="105" t="str">
        <v>MW</v>
      </c>
      <c r="G209" s="106" t="str">
        <v>MW</v>
      </c>
      <c r="H209" s="106" t="str">
        <v>MW</v>
      </c>
      <c r="I209" s="106" t="str">
        <v>MW</v>
      </c>
      <c r="J209" s="106" t="str">
        <v>MW</v>
      </c>
      <c r="K209" s="106" t="str">
        <v>MW</v>
      </c>
      <c r="L209" s="106" t="str">
        <v>MW</v>
      </c>
      <c r="M209" s="106" t="str">
        <v>MW</v>
      </c>
      <c r="N209" s="106" t="str">
        <v>Coloured</v>
      </c>
      <c r="O209" s="106" t="str">
        <v>MW</v>
      </c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/>
      <c r="BJ209" s="106"/>
      <c r="BK209" s="106"/>
      <c r="BL209" s="106"/>
      <c r="BM209" s="106"/>
      <c r="BN209" s="106"/>
      <c r="BO209" s="106"/>
      <c r="BP209" s="106"/>
      <c r="BQ209" s="106"/>
      <c r="BR209" s="106"/>
      <c r="BS209" s="106"/>
      <c r="BT209" s="106"/>
      <c r="BU209" s="106"/>
      <c r="BV209" s="106"/>
      <c r="BW209" s="106"/>
      <c r="BX209" s="106"/>
      <c r="BY209" s="106"/>
      <c r="BZ209" s="106"/>
      <c r="CA209" s="106"/>
      <c r="CB209" s="106"/>
      <c r="CC209" s="106"/>
      <c r="CD209" s="106"/>
      <c r="CE209" s="106"/>
      <c r="CF209" s="106"/>
      <c r="CG209" s="106"/>
      <c r="CH209" s="106"/>
      <c r="CI209" s="106"/>
      <c r="CJ209" s="106"/>
      <c r="CK209" s="106"/>
      <c r="CL209" s="106"/>
      <c r="CM209" s="106"/>
      <c r="CN209" s="106"/>
      <c r="CO209" s="106"/>
      <c r="CP209" s="106"/>
      <c r="CQ209" s="106"/>
      <c r="CR209" s="106"/>
      <c r="CS209" s="106"/>
      <c r="CT209" s="106"/>
      <c r="CU209" s="106"/>
      <c r="CV209" s="106"/>
      <c r="CW209" s="106"/>
      <c r="CX209" s="106"/>
      <c r="CY209" s="106"/>
      <c r="CZ209" s="106"/>
      <c r="DA209" s="106"/>
      <c r="DB209" s="106"/>
      <c r="DC209" s="106"/>
      <c r="DD209" s="106"/>
      <c r="DE209" s="106"/>
      <c r="DF209" s="106"/>
      <c r="DG209" s="106"/>
      <c r="DH209" s="106"/>
      <c r="DI209" s="106"/>
      <c r="DJ209" s="106"/>
      <c r="DK209" s="106"/>
      <c r="DL209" s="106"/>
      <c r="DM209" s="106"/>
      <c r="DN209" s="106"/>
      <c r="DO209" s="106"/>
      <c r="DP209" s="106"/>
      <c r="DQ209" s="106"/>
      <c r="DR209" s="106"/>
      <c r="DS209" s="106"/>
      <c r="DT209" s="106"/>
      <c r="DU209" s="106"/>
      <c r="DV209" s="106"/>
      <c r="DW209" s="106"/>
      <c r="DX209" s="106"/>
      <c r="DY209" s="106"/>
      <c r="DZ209" s="106"/>
      <c r="EA209" s="106"/>
      <c r="EB209" s="106"/>
      <c r="EC209" s="106"/>
      <c r="ED209" s="106"/>
      <c r="EE209" s="106"/>
      <c r="EF209" s="106"/>
      <c r="EG209" s="106"/>
      <c r="EH209" s="106"/>
      <c r="EI209" s="106"/>
      <c r="EJ209" s="106"/>
      <c r="EK209" s="106"/>
      <c r="EL209" s="106"/>
      <c r="EM209" s="106"/>
      <c r="EN209" s="106"/>
      <c r="EO209" s="106"/>
      <c r="EP209" s="106"/>
      <c r="EQ209" s="106"/>
      <c r="ER209" s="106"/>
      <c r="ES209" s="106"/>
      <c r="ET209" s="106"/>
      <c r="EU209" s="106"/>
      <c r="EV209" s="106"/>
      <c r="EW209" s="106"/>
      <c r="EX209" s="106"/>
      <c r="EY209" s="106"/>
      <c r="EZ209" s="106"/>
      <c r="FA209" s="106"/>
      <c r="FB209" s="106"/>
      <c r="FC209" s="106"/>
      <c r="FD209" s="106"/>
      <c r="FE209" s="106"/>
      <c r="FF209" s="106"/>
      <c r="FG209" s="106"/>
      <c r="FH209" s="106"/>
      <c r="FI209" s="106"/>
      <c r="FJ209" s="106"/>
      <c r="FK209" s="106"/>
      <c r="FL209" s="106"/>
      <c r="FM209" s="106"/>
      <c r="FN209" s="106"/>
      <c r="FO209" s="106"/>
      <c r="FP209" s="106"/>
      <c r="FQ209" s="106"/>
      <c r="FR209" s="106"/>
      <c r="FS209" s="106"/>
      <c r="FT209" s="106"/>
      <c r="FU209" s="106"/>
      <c r="FV209" s="106"/>
      <c r="FW209" s="106"/>
      <c r="FX209" s="106"/>
      <c r="FY209" s="106"/>
      <c r="FZ209" s="106"/>
      <c r="GA209" s="106"/>
      <c r="GB209" s="106"/>
      <c r="GC209" s="106"/>
      <c r="GD209" s="106"/>
      <c r="GE209" s="106"/>
      <c r="GF209" s="106"/>
      <c r="GG209" s="106"/>
      <c r="GH209" s="106"/>
      <c r="GI209" s="106"/>
      <c r="GJ209" s="106"/>
      <c r="GK209" s="106"/>
      <c r="GL209" s="106"/>
      <c r="GM209" s="106"/>
      <c r="GN209" s="106"/>
      <c r="GO209" s="106"/>
      <c r="GP209" s="106"/>
      <c r="GQ209" s="106"/>
      <c r="GR209" s="106"/>
      <c r="GS209" s="106"/>
      <c r="GT209" s="106"/>
      <c r="GU209" s="106"/>
      <c r="GV209" s="106"/>
      <c r="GW209" s="106"/>
      <c r="GX209" s="106"/>
      <c r="GY209" s="106"/>
      <c r="GZ209" s="106"/>
      <c r="HA209" s="106"/>
      <c r="HB209" s="106"/>
      <c r="HC209" s="106"/>
      <c r="HD209" s="106"/>
      <c r="HE209" s="106"/>
      <c r="HF209" s="106"/>
      <c r="HG209" s="106"/>
      <c r="HH209" s="106"/>
      <c r="HI209" s="106"/>
      <c r="HJ209" s="106"/>
      <c r="HK209" s="106"/>
      <c r="HL209" s="106"/>
      <c r="HM209" s="106"/>
      <c r="HN209" s="106"/>
      <c r="HO209" s="106"/>
      <c r="HP209" s="106"/>
      <c r="HQ209" s="106"/>
      <c r="HR209" s="106"/>
      <c r="HS209" s="106"/>
      <c r="HT209" s="106"/>
      <c r="HU209" s="106"/>
      <c r="HV209" s="106"/>
      <c r="HW209" s="106"/>
      <c r="HX209" s="106"/>
      <c r="HY209" s="106"/>
      <c r="HZ209" s="106"/>
      <c r="IA209" s="106"/>
      <c r="IB209" s="106"/>
      <c r="IC209" s="106"/>
      <c r="ID209" s="106"/>
      <c r="IE209" s="106"/>
      <c r="IF209" s="106"/>
      <c r="IG209" s="106"/>
      <c r="IH209" s="106"/>
      <c r="II209" s="106"/>
      <c r="IJ209" s="106"/>
      <c r="IK209" s="106"/>
      <c r="IL209" s="106"/>
      <c r="IM209" s="106"/>
      <c r="IN209" s="106"/>
      <c r="IO209" s="106"/>
      <c r="IP209" s="106"/>
      <c r="IQ209" s="106"/>
      <c r="IR209" s="106"/>
      <c r="IS209" s="106"/>
      <c r="IT209" s="106"/>
      <c r="IU209" s="106"/>
      <c r="IV209" s="106"/>
      <c r="IW209" s="106"/>
      <c r="IX209" s="106"/>
      <c r="IY209" s="106"/>
      <c r="IZ209" s="106"/>
      <c r="JA209" s="106"/>
      <c r="JB209" s="106"/>
      <c r="JC209" s="106"/>
      <c r="JD209" s="106"/>
      <c r="JE209" s="106"/>
      <c r="JF209" t="s">
        <v>49</v>
      </c>
    </row>
    <row r="210" spans="1:266" hidden="1" x14ac:dyDescent="0.45">
      <c r="A210" s="71" t="str">
        <f>IF('Quote Exports'!C195="","",'Quote Exports'!C195)</f>
        <v>For Cust</v>
      </c>
      <c r="B210" s="72"/>
      <c r="C210" s="68"/>
      <c r="D210" s="1" t="s">
        <v>354</v>
      </c>
      <c r="E210" s="22" t="str">
        <v>Yes</v>
      </c>
      <c r="F210" s="105" t="str">
        <v>Yes</v>
      </c>
      <c r="G210" s="106" t="str">
        <v>Yes</v>
      </c>
      <c r="H210" s="106" t="str">
        <v>Yes</v>
      </c>
      <c r="I210" s="106" t="str">
        <v>Yes</v>
      </c>
      <c r="J210" s="106" t="str">
        <v>Yes</v>
      </c>
      <c r="K210" s="106" t="str">
        <v>Yes</v>
      </c>
      <c r="L210" s="106" t="str">
        <v>Yes</v>
      </c>
      <c r="M210" s="106" t="str">
        <v>Yes</v>
      </c>
      <c r="N210" s="106" t="str">
        <v>Yes</v>
      </c>
      <c r="O210" s="106" t="str">
        <v>Yes</v>
      </c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06"/>
      <c r="BC210" s="106"/>
      <c r="BD210" s="106"/>
      <c r="BE210" s="106"/>
      <c r="BF210" s="106"/>
      <c r="BG210" s="106"/>
      <c r="BH210" s="106"/>
      <c r="BI210" s="106"/>
      <c r="BJ210" s="106"/>
      <c r="BK210" s="106"/>
      <c r="BL210" s="106"/>
      <c r="BM210" s="106"/>
      <c r="BN210" s="106"/>
      <c r="BO210" s="106"/>
      <c r="BP210" s="106"/>
      <c r="BQ210" s="106"/>
      <c r="BR210" s="106"/>
      <c r="BS210" s="106"/>
      <c r="BT210" s="106"/>
      <c r="BU210" s="106"/>
      <c r="BV210" s="106"/>
      <c r="BW210" s="106"/>
      <c r="BX210" s="106"/>
      <c r="BY210" s="106"/>
      <c r="BZ210" s="106"/>
      <c r="CA210" s="106"/>
      <c r="CB210" s="106"/>
      <c r="CC210" s="106"/>
      <c r="CD210" s="106"/>
      <c r="CE210" s="106"/>
      <c r="CF210" s="106"/>
      <c r="CG210" s="106"/>
      <c r="CH210" s="106"/>
      <c r="CI210" s="106"/>
      <c r="CJ210" s="106"/>
      <c r="CK210" s="106"/>
      <c r="CL210" s="106"/>
      <c r="CM210" s="106"/>
      <c r="CN210" s="106"/>
      <c r="CO210" s="106"/>
      <c r="CP210" s="106"/>
      <c r="CQ210" s="106"/>
      <c r="CR210" s="106"/>
      <c r="CS210" s="106"/>
      <c r="CT210" s="106"/>
      <c r="CU210" s="106"/>
      <c r="CV210" s="106"/>
      <c r="CW210" s="106"/>
      <c r="CX210" s="106"/>
      <c r="CY210" s="106"/>
      <c r="CZ210" s="106"/>
      <c r="DA210" s="106"/>
      <c r="DB210" s="106"/>
      <c r="DC210" s="106"/>
      <c r="DD210" s="106"/>
      <c r="DE210" s="106"/>
      <c r="DF210" s="106"/>
      <c r="DG210" s="106"/>
      <c r="DH210" s="106"/>
      <c r="DI210" s="106"/>
      <c r="DJ210" s="106"/>
      <c r="DK210" s="106"/>
      <c r="DL210" s="106"/>
      <c r="DM210" s="106"/>
      <c r="DN210" s="106"/>
      <c r="DO210" s="106"/>
      <c r="DP210" s="106"/>
      <c r="DQ210" s="106"/>
      <c r="DR210" s="106"/>
      <c r="DS210" s="106"/>
      <c r="DT210" s="106"/>
      <c r="DU210" s="106"/>
      <c r="DV210" s="106"/>
      <c r="DW210" s="106"/>
      <c r="DX210" s="106"/>
      <c r="DY210" s="106"/>
      <c r="DZ210" s="106"/>
      <c r="EA210" s="106"/>
      <c r="EB210" s="106"/>
      <c r="EC210" s="106"/>
      <c r="ED210" s="106"/>
      <c r="EE210" s="106"/>
      <c r="EF210" s="106"/>
      <c r="EG210" s="106"/>
      <c r="EH210" s="106"/>
      <c r="EI210" s="106"/>
      <c r="EJ210" s="106"/>
      <c r="EK210" s="106"/>
      <c r="EL210" s="106"/>
      <c r="EM210" s="106"/>
      <c r="EN210" s="106"/>
      <c r="EO210" s="106"/>
      <c r="EP210" s="106"/>
      <c r="EQ210" s="106"/>
      <c r="ER210" s="106"/>
      <c r="ES210" s="106"/>
      <c r="ET210" s="106"/>
      <c r="EU210" s="106"/>
      <c r="EV210" s="106"/>
      <c r="EW210" s="106"/>
      <c r="EX210" s="106"/>
      <c r="EY210" s="106"/>
      <c r="EZ210" s="106"/>
      <c r="FA210" s="106"/>
      <c r="FB210" s="106"/>
      <c r="FC210" s="106"/>
      <c r="FD210" s="106"/>
      <c r="FE210" s="106"/>
      <c r="FF210" s="106"/>
      <c r="FG210" s="106"/>
      <c r="FH210" s="106"/>
      <c r="FI210" s="106"/>
      <c r="FJ210" s="106"/>
      <c r="FK210" s="106"/>
      <c r="FL210" s="106"/>
      <c r="FM210" s="106"/>
      <c r="FN210" s="106"/>
      <c r="FO210" s="106"/>
      <c r="FP210" s="106"/>
      <c r="FQ210" s="106"/>
      <c r="FR210" s="106"/>
      <c r="FS210" s="106"/>
      <c r="FT210" s="106"/>
      <c r="FU210" s="106"/>
      <c r="FV210" s="106"/>
      <c r="FW210" s="106"/>
      <c r="FX210" s="106"/>
      <c r="FY210" s="106"/>
      <c r="FZ210" s="106"/>
      <c r="GA210" s="106"/>
      <c r="GB210" s="106"/>
      <c r="GC210" s="106"/>
      <c r="GD210" s="106"/>
      <c r="GE210" s="106"/>
      <c r="GF210" s="106"/>
      <c r="GG210" s="106"/>
      <c r="GH210" s="106"/>
      <c r="GI210" s="106"/>
      <c r="GJ210" s="106"/>
      <c r="GK210" s="106"/>
      <c r="GL210" s="106"/>
      <c r="GM210" s="106"/>
      <c r="GN210" s="106"/>
      <c r="GO210" s="106"/>
      <c r="GP210" s="106"/>
      <c r="GQ210" s="106"/>
      <c r="GR210" s="106"/>
      <c r="GS210" s="106"/>
      <c r="GT210" s="106"/>
      <c r="GU210" s="106"/>
      <c r="GV210" s="106"/>
      <c r="GW210" s="106"/>
      <c r="GX210" s="106"/>
      <c r="GY210" s="106"/>
      <c r="GZ210" s="106"/>
      <c r="HA210" s="106"/>
      <c r="HB210" s="106"/>
      <c r="HC210" s="106"/>
      <c r="HD210" s="106"/>
      <c r="HE210" s="106"/>
      <c r="HF210" s="106"/>
      <c r="HG210" s="106"/>
      <c r="HH210" s="106"/>
      <c r="HI210" s="106"/>
      <c r="HJ210" s="106"/>
      <c r="HK210" s="106"/>
      <c r="HL210" s="106"/>
      <c r="HM210" s="106"/>
      <c r="HN210" s="106"/>
      <c r="HO210" s="106"/>
      <c r="HP210" s="106"/>
      <c r="HQ210" s="106"/>
      <c r="HR210" s="106"/>
      <c r="HS210" s="106"/>
      <c r="HT210" s="106"/>
      <c r="HU210" s="106"/>
      <c r="HV210" s="106"/>
      <c r="HW210" s="106"/>
      <c r="HX210" s="106"/>
      <c r="HY210" s="106"/>
      <c r="HZ210" s="106"/>
      <c r="IA210" s="106"/>
      <c r="IB210" s="106"/>
      <c r="IC210" s="106"/>
      <c r="ID210" s="106"/>
      <c r="IE210" s="106"/>
      <c r="IF210" s="106"/>
      <c r="IG210" s="106"/>
      <c r="IH210" s="106"/>
      <c r="II210" s="106"/>
      <c r="IJ210" s="106"/>
      <c r="IK210" s="106"/>
      <c r="IL210" s="106"/>
      <c r="IM210" s="106"/>
      <c r="IN210" s="106"/>
      <c r="IO210" s="106"/>
      <c r="IP210" s="106"/>
      <c r="IQ210" s="106"/>
      <c r="IR210" s="106"/>
      <c r="IS210" s="106"/>
      <c r="IT210" s="106"/>
      <c r="IU210" s="106"/>
      <c r="IV210" s="106"/>
      <c r="IW210" s="106"/>
      <c r="IX210" s="106"/>
      <c r="IY210" s="106"/>
      <c r="IZ210" s="106"/>
      <c r="JA210" s="106"/>
      <c r="JB210" s="106"/>
      <c r="JC210" s="106"/>
      <c r="JD210" s="106"/>
      <c r="JE210" s="106"/>
      <c r="JF210" t="s">
        <v>49</v>
      </c>
    </row>
    <row r="211" spans="1:266" hidden="1" x14ac:dyDescent="0.45">
      <c r="A211" s="71" t="str">
        <f>IF('Quote Exports'!C196="","",'Quote Exports'!C196)</f>
        <v>For Cust</v>
      </c>
      <c r="B211" s="72"/>
      <c r="C211" s="68"/>
      <c r="D211" s="3" t="s">
        <v>374</v>
      </c>
      <c r="E211" s="22" t="str">
        <v>Floor Loaded</v>
      </c>
      <c r="F211" s="105" t="str">
        <v>Floor Loaded</v>
      </c>
      <c r="G211" s="106" t="str">
        <v>Floor Loaded</v>
      </c>
      <c r="H211" s="106" t="str">
        <v>Floor Loaded</v>
      </c>
      <c r="I211" s="106" t="str">
        <v>Floor Loaded</v>
      </c>
      <c r="J211" s="106" t="str">
        <v>Floor Loaded</v>
      </c>
      <c r="K211" s="106" t="str">
        <v>Floor Loaded</v>
      </c>
      <c r="L211" s="106" t="str">
        <v>Floor Loaded</v>
      </c>
      <c r="M211" s="106" t="str">
        <v>Floor Loaded</v>
      </c>
      <c r="N211" s="106" t="str">
        <v>Floor Loaded</v>
      </c>
      <c r="O211" s="106" t="str">
        <v>Floor Loaded</v>
      </c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06"/>
      <c r="BC211" s="106"/>
      <c r="BD211" s="106"/>
      <c r="BE211" s="106"/>
      <c r="BF211" s="106"/>
      <c r="BG211" s="106"/>
      <c r="BH211" s="106"/>
      <c r="BI211" s="106"/>
      <c r="BJ211" s="106"/>
      <c r="BK211" s="106"/>
      <c r="BL211" s="106"/>
      <c r="BM211" s="106"/>
      <c r="BN211" s="106"/>
      <c r="BO211" s="106"/>
      <c r="BP211" s="106"/>
      <c r="BQ211" s="106"/>
      <c r="BR211" s="106"/>
      <c r="BS211" s="106"/>
      <c r="BT211" s="106"/>
      <c r="BU211" s="106"/>
      <c r="BV211" s="106"/>
      <c r="BW211" s="106"/>
      <c r="BX211" s="106"/>
      <c r="BY211" s="106"/>
      <c r="BZ211" s="106"/>
      <c r="CA211" s="106"/>
      <c r="CB211" s="106"/>
      <c r="CC211" s="106"/>
      <c r="CD211" s="106"/>
      <c r="CE211" s="106"/>
      <c r="CF211" s="106"/>
      <c r="CG211" s="106"/>
      <c r="CH211" s="106"/>
      <c r="CI211" s="106"/>
      <c r="CJ211" s="106"/>
      <c r="CK211" s="106"/>
      <c r="CL211" s="106"/>
      <c r="CM211" s="106"/>
      <c r="CN211" s="106"/>
      <c r="CO211" s="106"/>
      <c r="CP211" s="106"/>
      <c r="CQ211" s="106"/>
      <c r="CR211" s="106"/>
      <c r="CS211" s="106"/>
      <c r="CT211" s="106"/>
      <c r="CU211" s="106"/>
      <c r="CV211" s="106"/>
      <c r="CW211" s="106"/>
      <c r="CX211" s="106"/>
      <c r="CY211" s="106"/>
      <c r="CZ211" s="106"/>
      <c r="DA211" s="106"/>
      <c r="DB211" s="106"/>
      <c r="DC211" s="106"/>
      <c r="DD211" s="106"/>
      <c r="DE211" s="106"/>
      <c r="DF211" s="106"/>
      <c r="DG211" s="106"/>
      <c r="DH211" s="106"/>
      <c r="DI211" s="106"/>
      <c r="DJ211" s="106"/>
      <c r="DK211" s="106"/>
      <c r="DL211" s="106"/>
      <c r="DM211" s="106"/>
      <c r="DN211" s="106"/>
      <c r="DO211" s="106"/>
      <c r="DP211" s="106"/>
      <c r="DQ211" s="106"/>
      <c r="DR211" s="106"/>
      <c r="DS211" s="106"/>
      <c r="DT211" s="106"/>
      <c r="DU211" s="106"/>
      <c r="DV211" s="106"/>
      <c r="DW211" s="106"/>
      <c r="DX211" s="106"/>
      <c r="DY211" s="106"/>
      <c r="DZ211" s="106"/>
      <c r="EA211" s="106"/>
      <c r="EB211" s="106"/>
      <c r="EC211" s="106"/>
      <c r="ED211" s="106"/>
      <c r="EE211" s="106"/>
      <c r="EF211" s="106"/>
      <c r="EG211" s="106"/>
      <c r="EH211" s="106"/>
      <c r="EI211" s="106"/>
      <c r="EJ211" s="106"/>
      <c r="EK211" s="106"/>
      <c r="EL211" s="106"/>
      <c r="EM211" s="106"/>
      <c r="EN211" s="106"/>
      <c r="EO211" s="106"/>
      <c r="EP211" s="106"/>
      <c r="EQ211" s="106"/>
      <c r="ER211" s="106"/>
      <c r="ES211" s="106"/>
      <c r="ET211" s="106"/>
      <c r="EU211" s="106"/>
      <c r="EV211" s="106"/>
      <c r="EW211" s="106"/>
      <c r="EX211" s="106"/>
      <c r="EY211" s="106"/>
      <c r="EZ211" s="106"/>
      <c r="FA211" s="106"/>
      <c r="FB211" s="106"/>
      <c r="FC211" s="106"/>
      <c r="FD211" s="106"/>
      <c r="FE211" s="106"/>
      <c r="FF211" s="106"/>
      <c r="FG211" s="106"/>
      <c r="FH211" s="106"/>
      <c r="FI211" s="106"/>
      <c r="FJ211" s="106"/>
      <c r="FK211" s="106"/>
      <c r="FL211" s="106"/>
      <c r="FM211" s="106"/>
      <c r="FN211" s="106"/>
      <c r="FO211" s="106"/>
      <c r="FP211" s="106"/>
      <c r="FQ211" s="106"/>
      <c r="FR211" s="106"/>
      <c r="FS211" s="106"/>
      <c r="FT211" s="106"/>
      <c r="FU211" s="106"/>
      <c r="FV211" s="106"/>
      <c r="FW211" s="106"/>
      <c r="FX211" s="106"/>
      <c r="FY211" s="106"/>
      <c r="FZ211" s="106"/>
      <c r="GA211" s="106"/>
      <c r="GB211" s="106"/>
      <c r="GC211" s="106"/>
      <c r="GD211" s="106"/>
      <c r="GE211" s="106"/>
      <c r="GF211" s="106"/>
      <c r="GG211" s="106"/>
      <c r="GH211" s="106"/>
      <c r="GI211" s="106"/>
      <c r="GJ211" s="106"/>
      <c r="GK211" s="106"/>
      <c r="GL211" s="106"/>
      <c r="GM211" s="106"/>
      <c r="GN211" s="106"/>
      <c r="GO211" s="106"/>
      <c r="GP211" s="106"/>
      <c r="GQ211" s="106"/>
      <c r="GR211" s="106"/>
      <c r="GS211" s="106"/>
      <c r="GT211" s="106"/>
      <c r="GU211" s="106"/>
      <c r="GV211" s="106"/>
      <c r="GW211" s="106"/>
      <c r="GX211" s="106"/>
      <c r="GY211" s="106"/>
      <c r="GZ211" s="106"/>
      <c r="HA211" s="106"/>
      <c r="HB211" s="106"/>
      <c r="HC211" s="106"/>
      <c r="HD211" s="106"/>
      <c r="HE211" s="106"/>
      <c r="HF211" s="106"/>
      <c r="HG211" s="106"/>
      <c r="HH211" s="106"/>
      <c r="HI211" s="106"/>
      <c r="HJ211" s="106"/>
      <c r="HK211" s="106"/>
      <c r="HL211" s="106"/>
      <c r="HM211" s="106"/>
      <c r="HN211" s="106"/>
      <c r="HO211" s="106"/>
      <c r="HP211" s="106"/>
      <c r="HQ211" s="106"/>
      <c r="HR211" s="106"/>
      <c r="HS211" s="106"/>
      <c r="HT211" s="106"/>
      <c r="HU211" s="106"/>
      <c r="HV211" s="106"/>
      <c r="HW211" s="106"/>
      <c r="HX211" s="106"/>
      <c r="HY211" s="106"/>
      <c r="HZ211" s="106"/>
      <c r="IA211" s="106"/>
      <c r="IB211" s="106"/>
      <c r="IC211" s="106"/>
      <c r="ID211" s="106"/>
      <c r="IE211" s="106"/>
      <c r="IF211" s="106"/>
      <c r="IG211" s="106"/>
      <c r="IH211" s="106"/>
      <c r="II211" s="106"/>
      <c r="IJ211" s="106"/>
      <c r="IK211" s="106"/>
      <c r="IL211" s="106"/>
      <c r="IM211" s="106"/>
      <c r="IN211" s="106"/>
      <c r="IO211" s="106"/>
      <c r="IP211" s="106"/>
      <c r="IQ211" s="106"/>
      <c r="IR211" s="106"/>
      <c r="IS211" s="106"/>
      <c r="IT211" s="106"/>
      <c r="IU211" s="106"/>
      <c r="IV211" s="106"/>
      <c r="IW211" s="106"/>
      <c r="IX211" s="106"/>
      <c r="IY211" s="106"/>
      <c r="IZ211" s="106"/>
      <c r="JA211" s="106"/>
      <c r="JB211" s="106"/>
      <c r="JC211" s="106"/>
      <c r="JD211" s="106"/>
      <c r="JE211" s="106"/>
      <c r="JF211" t="s">
        <v>49</v>
      </c>
    </row>
    <row r="212" spans="1:266" hidden="1" x14ac:dyDescent="0.45">
      <c r="A212" s="71" t="str">
        <f>IF('Quote Exports'!C197="","",'Quote Exports'!C197)</f>
        <v>For Cust</v>
      </c>
      <c r="B212" s="72"/>
      <c r="C212" s="68" t="s">
        <v>395</v>
      </c>
      <c r="D212" s="109" t="s">
        <v>397</v>
      </c>
      <c r="E212" s="114">
        <v>0</v>
      </c>
      <c r="F212" s="122">
        <v>0</v>
      </c>
      <c r="G212" s="123">
        <v>0</v>
      </c>
      <c r="H212" s="123">
        <v>0</v>
      </c>
      <c r="I212" s="123">
        <v>0</v>
      </c>
      <c r="J212" s="123">
        <v>0</v>
      </c>
      <c r="K212" s="123">
        <v>0</v>
      </c>
      <c r="L212" s="123">
        <v>0</v>
      </c>
      <c r="M212" s="123">
        <v>0</v>
      </c>
      <c r="N212" s="123">
        <v>0</v>
      </c>
      <c r="O212" s="123">
        <v>0</v>
      </c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123"/>
      <c r="AN212" s="123"/>
      <c r="AO212" s="123"/>
      <c r="AP212" s="123"/>
      <c r="AQ212" s="123"/>
      <c r="AR212" s="123"/>
      <c r="AS212" s="123"/>
      <c r="AT212" s="123"/>
      <c r="AU212" s="123"/>
      <c r="AV212" s="123"/>
      <c r="AW212" s="123"/>
      <c r="AX212" s="123"/>
      <c r="AY212" s="123"/>
      <c r="AZ212" s="123"/>
      <c r="BA212" s="123"/>
      <c r="BB212" s="123"/>
      <c r="BC212" s="123"/>
      <c r="BD212" s="123"/>
      <c r="BE212" s="123"/>
      <c r="BF212" s="123"/>
      <c r="BG212" s="123"/>
      <c r="BH212" s="123"/>
      <c r="BI212" s="123"/>
      <c r="BJ212" s="123"/>
      <c r="BK212" s="123"/>
      <c r="BL212" s="123"/>
      <c r="BM212" s="123"/>
      <c r="BN212" s="123"/>
      <c r="BO212" s="123"/>
      <c r="BP212" s="123"/>
      <c r="BQ212" s="123"/>
      <c r="BR212" s="123"/>
      <c r="BS212" s="123"/>
      <c r="BT212" s="123"/>
      <c r="BU212" s="123"/>
      <c r="BV212" s="123"/>
      <c r="BW212" s="123"/>
      <c r="BX212" s="123"/>
      <c r="BY212" s="123"/>
      <c r="BZ212" s="123"/>
      <c r="CA212" s="123"/>
      <c r="CB212" s="123"/>
      <c r="CC212" s="123"/>
      <c r="CD212" s="123"/>
      <c r="CE212" s="123"/>
      <c r="CF212" s="123"/>
      <c r="CG212" s="123"/>
      <c r="CH212" s="123"/>
      <c r="CI212" s="123"/>
      <c r="CJ212" s="123"/>
      <c r="CK212" s="123"/>
      <c r="CL212" s="123"/>
      <c r="CM212" s="123"/>
      <c r="CN212" s="123"/>
      <c r="CO212" s="123"/>
      <c r="CP212" s="123"/>
      <c r="CQ212" s="123"/>
      <c r="CR212" s="123"/>
      <c r="CS212" s="123"/>
      <c r="CT212" s="123"/>
      <c r="CU212" s="123"/>
      <c r="CV212" s="123"/>
      <c r="CW212" s="123"/>
      <c r="CX212" s="123"/>
      <c r="CY212" s="123"/>
      <c r="CZ212" s="123"/>
      <c r="DA212" s="123"/>
      <c r="DB212" s="123"/>
      <c r="DC212" s="123"/>
      <c r="DD212" s="123"/>
      <c r="DE212" s="123"/>
      <c r="DF212" s="123"/>
      <c r="DG212" s="123"/>
      <c r="DH212" s="123"/>
      <c r="DI212" s="123"/>
      <c r="DJ212" s="123"/>
      <c r="DK212" s="123"/>
      <c r="DL212" s="123"/>
      <c r="DM212" s="123"/>
      <c r="DN212" s="123"/>
      <c r="DO212" s="123"/>
      <c r="DP212" s="123"/>
      <c r="DQ212" s="123"/>
      <c r="DR212" s="123"/>
      <c r="DS212" s="123"/>
      <c r="DT212" s="123"/>
      <c r="DU212" s="123"/>
      <c r="DV212" s="123"/>
      <c r="DW212" s="123"/>
      <c r="DX212" s="123"/>
      <c r="DY212" s="123"/>
      <c r="DZ212" s="123"/>
      <c r="EA212" s="123"/>
      <c r="EB212" s="123"/>
      <c r="EC212" s="123"/>
      <c r="ED212" s="123"/>
      <c r="EE212" s="123"/>
      <c r="EF212" s="123"/>
      <c r="EG212" s="123"/>
      <c r="EH212" s="123"/>
      <c r="EI212" s="123"/>
      <c r="EJ212" s="123"/>
      <c r="EK212" s="123"/>
      <c r="EL212" s="123"/>
      <c r="EM212" s="123"/>
      <c r="EN212" s="123"/>
      <c r="EO212" s="123"/>
      <c r="EP212" s="123"/>
      <c r="EQ212" s="123"/>
      <c r="ER212" s="123"/>
      <c r="ES212" s="123"/>
      <c r="ET212" s="123"/>
      <c r="EU212" s="123"/>
      <c r="EV212" s="123"/>
      <c r="EW212" s="123"/>
      <c r="EX212" s="123"/>
      <c r="EY212" s="123"/>
      <c r="EZ212" s="123"/>
      <c r="FA212" s="123"/>
      <c r="FB212" s="123"/>
      <c r="FC212" s="123"/>
      <c r="FD212" s="123"/>
      <c r="FE212" s="123"/>
      <c r="FF212" s="123"/>
      <c r="FG212" s="123"/>
      <c r="FH212" s="123"/>
      <c r="FI212" s="123"/>
      <c r="FJ212" s="123"/>
      <c r="FK212" s="123"/>
      <c r="FL212" s="123"/>
      <c r="FM212" s="123"/>
      <c r="FN212" s="123"/>
      <c r="FO212" s="123"/>
      <c r="FP212" s="123"/>
      <c r="FQ212" s="123"/>
      <c r="FR212" s="123"/>
      <c r="FS212" s="123"/>
      <c r="FT212" s="123"/>
      <c r="FU212" s="123"/>
      <c r="FV212" s="123"/>
      <c r="FW212" s="123"/>
      <c r="FX212" s="123"/>
      <c r="FY212" s="123"/>
      <c r="FZ212" s="123"/>
      <c r="GA212" s="123"/>
      <c r="GB212" s="123"/>
      <c r="GC212" s="123"/>
      <c r="GD212" s="123"/>
      <c r="GE212" s="123"/>
      <c r="GF212" s="123"/>
      <c r="GG212" s="123"/>
      <c r="GH212" s="123"/>
      <c r="GI212" s="123"/>
      <c r="GJ212" s="123"/>
      <c r="GK212" s="123"/>
      <c r="GL212" s="123"/>
      <c r="GM212" s="123"/>
      <c r="GN212" s="123"/>
      <c r="GO212" s="123"/>
      <c r="GP212" s="123"/>
      <c r="GQ212" s="123"/>
      <c r="GR212" s="123"/>
      <c r="GS212" s="123"/>
      <c r="GT212" s="123"/>
      <c r="GU212" s="123"/>
      <c r="GV212" s="123"/>
      <c r="GW212" s="123"/>
      <c r="GX212" s="123"/>
      <c r="GY212" s="123"/>
      <c r="GZ212" s="123"/>
      <c r="HA212" s="123"/>
      <c r="HB212" s="123"/>
      <c r="HC212" s="123"/>
      <c r="HD212" s="123"/>
      <c r="HE212" s="123"/>
      <c r="HF212" s="123"/>
      <c r="HG212" s="123"/>
      <c r="HH212" s="123"/>
      <c r="HI212" s="123"/>
      <c r="HJ212" s="123"/>
      <c r="HK212" s="123"/>
      <c r="HL212" s="123"/>
      <c r="HM212" s="123"/>
      <c r="HN212" s="123"/>
      <c r="HO212" s="123"/>
      <c r="HP212" s="123"/>
      <c r="HQ212" s="123"/>
      <c r="HR212" s="123"/>
      <c r="HS212" s="123"/>
      <c r="HT212" s="123"/>
      <c r="HU212" s="123"/>
      <c r="HV212" s="123"/>
      <c r="HW212" s="123"/>
      <c r="HX212" s="123"/>
      <c r="HY212" s="123"/>
      <c r="HZ212" s="123"/>
      <c r="IA212" s="123"/>
      <c r="IB212" s="123"/>
      <c r="IC212" s="123"/>
      <c r="ID212" s="123"/>
      <c r="IE212" s="123"/>
      <c r="IF212" s="123"/>
      <c r="IG212" s="123"/>
      <c r="IH212" s="123"/>
      <c r="II212" s="123"/>
      <c r="IJ212" s="123"/>
      <c r="IK212" s="123"/>
      <c r="IL212" s="123"/>
      <c r="IM212" s="123"/>
      <c r="IN212" s="123"/>
      <c r="IO212" s="123"/>
      <c r="IP212" s="123"/>
      <c r="IQ212" s="123"/>
      <c r="IR212" s="123"/>
      <c r="IS212" s="123"/>
      <c r="IT212" s="123"/>
      <c r="IU212" s="123"/>
      <c r="IV212" s="123"/>
      <c r="IW212" s="123"/>
      <c r="IX212" s="123"/>
      <c r="IY212" s="123"/>
      <c r="IZ212" s="123"/>
      <c r="JA212" s="123"/>
      <c r="JB212" s="123"/>
      <c r="JC212" s="123"/>
      <c r="JD212" s="123"/>
      <c r="JE212" s="123"/>
      <c r="JF212" t="s">
        <v>49</v>
      </c>
    </row>
    <row r="213" spans="1:266" hidden="1" x14ac:dyDescent="0.45">
      <c r="A213" s="71" t="str">
        <f>IF('Quote Exports'!C198="","",'Quote Exports'!C198)</f>
        <v>For Cust</v>
      </c>
      <c r="B213" s="72"/>
      <c r="C213" s="68" t="s">
        <v>395</v>
      </c>
      <c r="D213" s="107" t="s">
        <v>360</v>
      </c>
      <c r="E213" s="114" t="str">
        <v>FOB</v>
      </c>
      <c r="F213" s="122" t="str">
        <v>FOB</v>
      </c>
      <c r="G213" s="123" t="str">
        <v>FOB</v>
      </c>
      <c r="H213" s="123" t="str">
        <v>FOB</v>
      </c>
      <c r="I213" s="123" t="str">
        <v>FOB</v>
      </c>
      <c r="J213" s="123" t="str">
        <v>FOB</v>
      </c>
      <c r="K213" s="123" t="str">
        <v>FOB</v>
      </c>
      <c r="L213" s="123" t="str">
        <v>FOB</v>
      </c>
      <c r="M213" s="123" t="str">
        <v>FOB</v>
      </c>
      <c r="N213" s="123" t="str">
        <v>FOB</v>
      </c>
      <c r="O213" s="123" t="str">
        <v>FOB</v>
      </c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  <c r="AB213" s="123"/>
      <c r="AC213" s="123"/>
      <c r="AD213" s="123"/>
      <c r="AE213" s="123"/>
      <c r="AF213" s="123"/>
      <c r="AG213" s="123"/>
      <c r="AH213" s="123"/>
      <c r="AI213" s="123"/>
      <c r="AJ213" s="123"/>
      <c r="AK213" s="123"/>
      <c r="AL213" s="123"/>
      <c r="AM213" s="123"/>
      <c r="AN213" s="123"/>
      <c r="AO213" s="123"/>
      <c r="AP213" s="123"/>
      <c r="AQ213" s="123"/>
      <c r="AR213" s="123"/>
      <c r="AS213" s="123"/>
      <c r="AT213" s="123"/>
      <c r="AU213" s="123"/>
      <c r="AV213" s="123"/>
      <c r="AW213" s="123"/>
      <c r="AX213" s="123"/>
      <c r="AY213" s="123"/>
      <c r="AZ213" s="123"/>
      <c r="BA213" s="123"/>
      <c r="BB213" s="123"/>
      <c r="BC213" s="123"/>
      <c r="BD213" s="123"/>
      <c r="BE213" s="123"/>
      <c r="BF213" s="123"/>
      <c r="BG213" s="123"/>
      <c r="BH213" s="123"/>
      <c r="BI213" s="123"/>
      <c r="BJ213" s="123"/>
      <c r="BK213" s="123"/>
      <c r="BL213" s="123"/>
      <c r="BM213" s="123"/>
      <c r="BN213" s="123"/>
      <c r="BO213" s="123"/>
      <c r="BP213" s="123"/>
      <c r="BQ213" s="123"/>
      <c r="BR213" s="123"/>
      <c r="BS213" s="123"/>
      <c r="BT213" s="123"/>
      <c r="BU213" s="123"/>
      <c r="BV213" s="123"/>
      <c r="BW213" s="123"/>
      <c r="BX213" s="123"/>
      <c r="BY213" s="123"/>
      <c r="BZ213" s="123"/>
      <c r="CA213" s="123"/>
      <c r="CB213" s="123"/>
      <c r="CC213" s="123"/>
      <c r="CD213" s="123"/>
      <c r="CE213" s="123"/>
      <c r="CF213" s="123"/>
      <c r="CG213" s="123"/>
      <c r="CH213" s="123"/>
      <c r="CI213" s="123"/>
      <c r="CJ213" s="123"/>
      <c r="CK213" s="123"/>
      <c r="CL213" s="123"/>
      <c r="CM213" s="123"/>
      <c r="CN213" s="123"/>
      <c r="CO213" s="123"/>
      <c r="CP213" s="123"/>
      <c r="CQ213" s="123"/>
      <c r="CR213" s="123"/>
      <c r="CS213" s="123"/>
      <c r="CT213" s="123"/>
      <c r="CU213" s="123"/>
      <c r="CV213" s="123"/>
      <c r="CW213" s="123"/>
      <c r="CX213" s="123"/>
      <c r="CY213" s="123"/>
      <c r="CZ213" s="123"/>
      <c r="DA213" s="123"/>
      <c r="DB213" s="123"/>
      <c r="DC213" s="123"/>
      <c r="DD213" s="123"/>
      <c r="DE213" s="123"/>
      <c r="DF213" s="123"/>
      <c r="DG213" s="123"/>
      <c r="DH213" s="123"/>
      <c r="DI213" s="123"/>
      <c r="DJ213" s="123"/>
      <c r="DK213" s="123"/>
      <c r="DL213" s="123"/>
      <c r="DM213" s="123"/>
      <c r="DN213" s="123"/>
      <c r="DO213" s="123"/>
      <c r="DP213" s="123"/>
      <c r="DQ213" s="123"/>
      <c r="DR213" s="123"/>
      <c r="DS213" s="123"/>
      <c r="DT213" s="123"/>
      <c r="DU213" s="123"/>
      <c r="DV213" s="123"/>
      <c r="DW213" s="123"/>
      <c r="DX213" s="123"/>
      <c r="DY213" s="123"/>
      <c r="DZ213" s="123"/>
      <c r="EA213" s="123"/>
      <c r="EB213" s="123"/>
      <c r="EC213" s="123"/>
      <c r="ED213" s="123"/>
      <c r="EE213" s="123"/>
      <c r="EF213" s="123"/>
      <c r="EG213" s="123"/>
      <c r="EH213" s="123"/>
      <c r="EI213" s="123"/>
      <c r="EJ213" s="123"/>
      <c r="EK213" s="123"/>
      <c r="EL213" s="123"/>
      <c r="EM213" s="123"/>
      <c r="EN213" s="123"/>
      <c r="EO213" s="123"/>
      <c r="EP213" s="123"/>
      <c r="EQ213" s="123"/>
      <c r="ER213" s="123"/>
      <c r="ES213" s="123"/>
      <c r="ET213" s="123"/>
      <c r="EU213" s="123"/>
      <c r="EV213" s="123"/>
      <c r="EW213" s="123"/>
      <c r="EX213" s="123"/>
      <c r="EY213" s="123"/>
      <c r="EZ213" s="123"/>
      <c r="FA213" s="123"/>
      <c r="FB213" s="123"/>
      <c r="FC213" s="123"/>
      <c r="FD213" s="123"/>
      <c r="FE213" s="123"/>
      <c r="FF213" s="123"/>
      <c r="FG213" s="123"/>
      <c r="FH213" s="123"/>
      <c r="FI213" s="123"/>
      <c r="FJ213" s="123"/>
      <c r="FK213" s="123"/>
      <c r="FL213" s="123"/>
      <c r="FM213" s="123"/>
      <c r="FN213" s="123"/>
      <c r="FO213" s="123"/>
      <c r="FP213" s="123"/>
      <c r="FQ213" s="123"/>
      <c r="FR213" s="123"/>
      <c r="FS213" s="123"/>
      <c r="FT213" s="123"/>
      <c r="FU213" s="123"/>
      <c r="FV213" s="123"/>
      <c r="FW213" s="123"/>
      <c r="FX213" s="123"/>
      <c r="FY213" s="123"/>
      <c r="FZ213" s="123"/>
      <c r="GA213" s="123"/>
      <c r="GB213" s="123"/>
      <c r="GC213" s="123"/>
      <c r="GD213" s="123"/>
      <c r="GE213" s="123"/>
      <c r="GF213" s="123"/>
      <c r="GG213" s="123"/>
      <c r="GH213" s="123"/>
      <c r="GI213" s="123"/>
      <c r="GJ213" s="123"/>
      <c r="GK213" s="123"/>
      <c r="GL213" s="123"/>
      <c r="GM213" s="123"/>
      <c r="GN213" s="123"/>
      <c r="GO213" s="123"/>
      <c r="GP213" s="123"/>
      <c r="GQ213" s="123"/>
      <c r="GR213" s="123"/>
      <c r="GS213" s="123"/>
      <c r="GT213" s="123"/>
      <c r="GU213" s="123"/>
      <c r="GV213" s="123"/>
      <c r="GW213" s="123"/>
      <c r="GX213" s="123"/>
      <c r="GY213" s="123"/>
      <c r="GZ213" s="123"/>
      <c r="HA213" s="123"/>
      <c r="HB213" s="123"/>
      <c r="HC213" s="123"/>
      <c r="HD213" s="123"/>
      <c r="HE213" s="123"/>
      <c r="HF213" s="123"/>
      <c r="HG213" s="123"/>
      <c r="HH213" s="123"/>
      <c r="HI213" s="123"/>
      <c r="HJ213" s="123"/>
      <c r="HK213" s="123"/>
      <c r="HL213" s="123"/>
      <c r="HM213" s="123"/>
      <c r="HN213" s="123"/>
      <c r="HO213" s="123"/>
      <c r="HP213" s="123"/>
      <c r="HQ213" s="123"/>
      <c r="HR213" s="123"/>
      <c r="HS213" s="123"/>
      <c r="HT213" s="123"/>
      <c r="HU213" s="123"/>
      <c r="HV213" s="123"/>
      <c r="HW213" s="123"/>
      <c r="HX213" s="123"/>
      <c r="HY213" s="123"/>
      <c r="HZ213" s="123"/>
      <c r="IA213" s="123"/>
      <c r="IB213" s="123"/>
      <c r="IC213" s="123"/>
      <c r="ID213" s="123"/>
      <c r="IE213" s="123"/>
      <c r="IF213" s="123"/>
      <c r="IG213" s="123"/>
      <c r="IH213" s="123"/>
      <c r="II213" s="123"/>
      <c r="IJ213" s="123"/>
      <c r="IK213" s="123"/>
      <c r="IL213" s="123"/>
      <c r="IM213" s="123"/>
      <c r="IN213" s="123"/>
      <c r="IO213" s="123"/>
      <c r="IP213" s="123"/>
      <c r="IQ213" s="123"/>
      <c r="IR213" s="123"/>
      <c r="IS213" s="123"/>
      <c r="IT213" s="123"/>
      <c r="IU213" s="123"/>
      <c r="IV213" s="123"/>
      <c r="IW213" s="123"/>
      <c r="IX213" s="123"/>
      <c r="IY213" s="123"/>
      <c r="IZ213" s="123"/>
      <c r="JA213" s="123"/>
      <c r="JB213" s="123"/>
      <c r="JC213" s="123"/>
      <c r="JD213" s="123"/>
      <c r="JE213" s="123"/>
      <c r="JF213" t="s">
        <v>49</v>
      </c>
    </row>
    <row r="214" spans="1:266" hidden="1" x14ac:dyDescent="0.45">
      <c r="A214" s="71" t="str">
        <f>IF('Quote Exports'!C199="","",'Quote Exports'!C199)</f>
        <v>For Cust</v>
      </c>
      <c r="B214" s="72"/>
      <c r="C214" s="68" t="s">
        <v>395</v>
      </c>
      <c r="D214" s="107" t="s">
        <v>365</v>
      </c>
      <c r="E214" s="124" t="str">
        <v>Mundra</v>
      </c>
      <c r="F214" s="125" t="str">
        <v>Mundra</v>
      </c>
      <c r="G214" s="126" t="str">
        <v>Mundra</v>
      </c>
      <c r="H214" s="126" t="str">
        <v>Mundra</v>
      </c>
      <c r="I214" s="126" t="str">
        <v>Mundra</v>
      </c>
      <c r="J214" s="126" t="str">
        <v>Mundra</v>
      </c>
      <c r="K214" s="126" t="str">
        <v>Mundra</v>
      </c>
      <c r="L214" s="126" t="str">
        <v>Mundra</v>
      </c>
      <c r="M214" s="126" t="str">
        <v>Mundra</v>
      </c>
      <c r="N214" s="126" t="str">
        <v>Mundra</v>
      </c>
      <c r="O214" s="126" t="str">
        <v>Mundra</v>
      </c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  <c r="AK214" s="126"/>
      <c r="AL214" s="126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  <c r="AW214" s="126"/>
      <c r="AX214" s="126"/>
      <c r="AY214" s="126"/>
      <c r="AZ214" s="126"/>
      <c r="BA214" s="126"/>
      <c r="BB214" s="126"/>
      <c r="BC214" s="126"/>
      <c r="BD214" s="126"/>
      <c r="BE214" s="126"/>
      <c r="BF214" s="126"/>
      <c r="BG214" s="126"/>
      <c r="BH214" s="126"/>
      <c r="BI214" s="126"/>
      <c r="BJ214" s="126"/>
      <c r="BK214" s="126"/>
      <c r="BL214" s="126"/>
      <c r="BM214" s="126"/>
      <c r="BN214" s="126"/>
      <c r="BO214" s="126"/>
      <c r="BP214" s="126"/>
      <c r="BQ214" s="126"/>
      <c r="BR214" s="126"/>
      <c r="BS214" s="126"/>
      <c r="BT214" s="126"/>
      <c r="BU214" s="126"/>
      <c r="BV214" s="126"/>
      <c r="BW214" s="126"/>
      <c r="BX214" s="126"/>
      <c r="BY214" s="126"/>
      <c r="BZ214" s="126"/>
      <c r="CA214" s="126"/>
      <c r="CB214" s="126"/>
      <c r="CC214" s="126"/>
      <c r="CD214" s="126"/>
      <c r="CE214" s="126"/>
      <c r="CF214" s="126"/>
      <c r="CG214" s="126"/>
      <c r="CH214" s="126"/>
      <c r="CI214" s="126"/>
      <c r="CJ214" s="126"/>
      <c r="CK214" s="126"/>
      <c r="CL214" s="126"/>
      <c r="CM214" s="126"/>
      <c r="CN214" s="126"/>
      <c r="CO214" s="126"/>
      <c r="CP214" s="126"/>
      <c r="CQ214" s="126"/>
      <c r="CR214" s="126"/>
      <c r="CS214" s="126"/>
      <c r="CT214" s="126"/>
      <c r="CU214" s="126"/>
      <c r="CV214" s="126"/>
      <c r="CW214" s="126"/>
      <c r="CX214" s="126"/>
      <c r="CY214" s="126"/>
      <c r="CZ214" s="126"/>
      <c r="DA214" s="126"/>
      <c r="DB214" s="126"/>
      <c r="DC214" s="126"/>
      <c r="DD214" s="126"/>
      <c r="DE214" s="126"/>
      <c r="DF214" s="126"/>
      <c r="DG214" s="126"/>
      <c r="DH214" s="126"/>
      <c r="DI214" s="126"/>
      <c r="DJ214" s="126"/>
      <c r="DK214" s="126"/>
      <c r="DL214" s="126"/>
      <c r="DM214" s="126"/>
      <c r="DN214" s="126"/>
      <c r="DO214" s="126"/>
      <c r="DP214" s="126"/>
      <c r="DQ214" s="126"/>
      <c r="DR214" s="126"/>
      <c r="DS214" s="126"/>
      <c r="DT214" s="126"/>
      <c r="DU214" s="126"/>
      <c r="DV214" s="126"/>
      <c r="DW214" s="126"/>
      <c r="DX214" s="126"/>
      <c r="DY214" s="126"/>
      <c r="DZ214" s="126"/>
      <c r="EA214" s="126"/>
      <c r="EB214" s="126"/>
      <c r="EC214" s="126"/>
      <c r="ED214" s="126"/>
      <c r="EE214" s="126"/>
      <c r="EF214" s="126"/>
      <c r="EG214" s="126"/>
      <c r="EH214" s="126"/>
      <c r="EI214" s="126"/>
      <c r="EJ214" s="126"/>
      <c r="EK214" s="126"/>
      <c r="EL214" s="126"/>
      <c r="EM214" s="126"/>
      <c r="EN214" s="126"/>
      <c r="EO214" s="126"/>
      <c r="EP214" s="126"/>
      <c r="EQ214" s="126"/>
      <c r="ER214" s="126"/>
      <c r="ES214" s="126"/>
      <c r="ET214" s="126"/>
      <c r="EU214" s="126"/>
      <c r="EV214" s="126"/>
      <c r="EW214" s="126"/>
      <c r="EX214" s="126"/>
      <c r="EY214" s="126"/>
      <c r="EZ214" s="126"/>
      <c r="FA214" s="126"/>
      <c r="FB214" s="126"/>
      <c r="FC214" s="126"/>
      <c r="FD214" s="126"/>
      <c r="FE214" s="126"/>
      <c r="FF214" s="126"/>
      <c r="FG214" s="126"/>
      <c r="FH214" s="126"/>
      <c r="FI214" s="126"/>
      <c r="FJ214" s="126"/>
      <c r="FK214" s="126"/>
      <c r="FL214" s="126"/>
      <c r="FM214" s="126"/>
      <c r="FN214" s="126"/>
      <c r="FO214" s="126"/>
      <c r="FP214" s="126"/>
      <c r="FQ214" s="126"/>
      <c r="FR214" s="126"/>
      <c r="FS214" s="126"/>
      <c r="FT214" s="126"/>
      <c r="FU214" s="126"/>
      <c r="FV214" s="126"/>
      <c r="FW214" s="126"/>
      <c r="FX214" s="126"/>
      <c r="FY214" s="126"/>
      <c r="FZ214" s="126"/>
      <c r="GA214" s="126"/>
      <c r="GB214" s="126"/>
      <c r="GC214" s="126"/>
      <c r="GD214" s="126"/>
      <c r="GE214" s="126"/>
      <c r="GF214" s="126"/>
      <c r="GG214" s="126"/>
      <c r="GH214" s="126"/>
      <c r="GI214" s="126"/>
      <c r="GJ214" s="126"/>
      <c r="GK214" s="126"/>
      <c r="GL214" s="126"/>
      <c r="GM214" s="126"/>
      <c r="GN214" s="126"/>
      <c r="GO214" s="126"/>
      <c r="GP214" s="126"/>
      <c r="GQ214" s="126"/>
      <c r="GR214" s="126"/>
      <c r="GS214" s="126"/>
      <c r="GT214" s="126"/>
      <c r="GU214" s="126"/>
      <c r="GV214" s="126"/>
      <c r="GW214" s="126"/>
      <c r="GX214" s="126"/>
      <c r="GY214" s="126"/>
      <c r="GZ214" s="126"/>
      <c r="HA214" s="126"/>
      <c r="HB214" s="126"/>
      <c r="HC214" s="126"/>
      <c r="HD214" s="126"/>
      <c r="HE214" s="126"/>
      <c r="HF214" s="126"/>
      <c r="HG214" s="126"/>
      <c r="HH214" s="126"/>
      <c r="HI214" s="126"/>
      <c r="HJ214" s="126"/>
      <c r="HK214" s="126"/>
      <c r="HL214" s="126"/>
      <c r="HM214" s="126"/>
      <c r="HN214" s="126"/>
      <c r="HO214" s="126"/>
      <c r="HP214" s="126"/>
      <c r="HQ214" s="126"/>
      <c r="HR214" s="126"/>
      <c r="HS214" s="126"/>
      <c r="HT214" s="126"/>
      <c r="HU214" s="126"/>
      <c r="HV214" s="126"/>
      <c r="HW214" s="126"/>
      <c r="HX214" s="126"/>
      <c r="HY214" s="126"/>
      <c r="HZ214" s="126"/>
      <c r="IA214" s="126"/>
      <c r="IB214" s="126"/>
      <c r="IC214" s="126"/>
      <c r="ID214" s="126"/>
      <c r="IE214" s="126"/>
      <c r="IF214" s="126"/>
      <c r="IG214" s="126"/>
      <c r="IH214" s="126"/>
      <c r="II214" s="126"/>
      <c r="IJ214" s="126"/>
      <c r="IK214" s="126"/>
      <c r="IL214" s="126"/>
      <c r="IM214" s="126"/>
      <c r="IN214" s="126"/>
      <c r="IO214" s="126"/>
      <c r="IP214" s="126"/>
      <c r="IQ214" s="126"/>
      <c r="IR214" s="126"/>
      <c r="IS214" s="126"/>
      <c r="IT214" s="126"/>
      <c r="IU214" s="126"/>
      <c r="IV214" s="126"/>
      <c r="IW214" s="126"/>
      <c r="IX214" s="126"/>
      <c r="IY214" s="126"/>
      <c r="IZ214" s="126"/>
      <c r="JA214" s="126"/>
      <c r="JB214" s="126"/>
      <c r="JC214" s="126"/>
      <c r="JD214" s="126"/>
      <c r="JE214" s="126"/>
      <c r="JF214" t="s">
        <v>49</v>
      </c>
    </row>
    <row r="215" spans="1:266" hidden="1" x14ac:dyDescent="0.45">
      <c r="A215" s="71" t="str">
        <f>IF('Quote Exports'!C200="","",'Quote Exports'!C200)</f>
        <v/>
      </c>
      <c r="B215" s="72"/>
      <c r="C215" s="68" t="s">
        <v>395</v>
      </c>
      <c r="D215" s="107" t="s">
        <v>368</v>
      </c>
      <c r="E215" s="124" t="str">
        <v>USD</v>
      </c>
      <c r="F215" s="125" t="str">
        <v>USD</v>
      </c>
      <c r="G215" s="126" t="str">
        <v>USD</v>
      </c>
      <c r="H215" s="126" t="str">
        <v>USD</v>
      </c>
      <c r="I215" s="126" t="str">
        <v>USD</v>
      </c>
      <c r="J215" s="126" t="str">
        <v>USD</v>
      </c>
      <c r="K215" s="126" t="str">
        <v>USD</v>
      </c>
      <c r="L215" s="126" t="str">
        <v>USD</v>
      </c>
      <c r="M215" s="126" t="str">
        <v>USD</v>
      </c>
      <c r="N215" s="126" t="str">
        <v>USD</v>
      </c>
      <c r="O215" s="126" t="str">
        <v>USD</v>
      </c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  <c r="AK215" s="126"/>
      <c r="AL215" s="126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  <c r="AW215" s="126"/>
      <c r="AX215" s="126"/>
      <c r="AY215" s="126"/>
      <c r="AZ215" s="126"/>
      <c r="BA215" s="126"/>
      <c r="BB215" s="126"/>
      <c r="BC215" s="126"/>
      <c r="BD215" s="126"/>
      <c r="BE215" s="126"/>
      <c r="BF215" s="126"/>
      <c r="BG215" s="126"/>
      <c r="BH215" s="126"/>
      <c r="BI215" s="126"/>
      <c r="BJ215" s="126"/>
      <c r="BK215" s="126"/>
      <c r="BL215" s="126"/>
      <c r="BM215" s="126"/>
      <c r="BN215" s="126"/>
      <c r="BO215" s="126"/>
      <c r="BP215" s="126"/>
      <c r="BQ215" s="126"/>
      <c r="BR215" s="126"/>
      <c r="BS215" s="126"/>
      <c r="BT215" s="126"/>
      <c r="BU215" s="126"/>
      <c r="BV215" s="126"/>
      <c r="BW215" s="126"/>
      <c r="BX215" s="126"/>
      <c r="BY215" s="126"/>
      <c r="BZ215" s="126"/>
      <c r="CA215" s="126"/>
      <c r="CB215" s="126"/>
      <c r="CC215" s="126"/>
      <c r="CD215" s="126"/>
      <c r="CE215" s="126"/>
      <c r="CF215" s="126"/>
      <c r="CG215" s="126"/>
      <c r="CH215" s="126"/>
      <c r="CI215" s="126"/>
      <c r="CJ215" s="126"/>
      <c r="CK215" s="126"/>
      <c r="CL215" s="126"/>
      <c r="CM215" s="126"/>
      <c r="CN215" s="126"/>
      <c r="CO215" s="126"/>
      <c r="CP215" s="126"/>
      <c r="CQ215" s="126"/>
      <c r="CR215" s="126"/>
      <c r="CS215" s="126"/>
      <c r="CT215" s="126"/>
      <c r="CU215" s="126"/>
      <c r="CV215" s="126"/>
      <c r="CW215" s="126"/>
      <c r="CX215" s="126"/>
      <c r="CY215" s="126"/>
      <c r="CZ215" s="126"/>
      <c r="DA215" s="126"/>
      <c r="DB215" s="126"/>
      <c r="DC215" s="126"/>
      <c r="DD215" s="126"/>
      <c r="DE215" s="126"/>
      <c r="DF215" s="126"/>
      <c r="DG215" s="126"/>
      <c r="DH215" s="126"/>
      <c r="DI215" s="126"/>
      <c r="DJ215" s="126"/>
      <c r="DK215" s="126"/>
      <c r="DL215" s="126"/>
      <c r="DM215" s="126"/>
      <c r="DN215" s="126"/>
      <c r="DO215" s="126"/>
      <c r="DP215" s="126"/>
      <c r="DQ215" s="126"/>
      <c r="DR215" s="126"/>
      <c r="DS215" s="126"/>
      <c r="DT215" s="126"/>
      <c r="DU215" s="126"/>
      <c r="DV215" s="126"/>
      <c r="DW215" s="126"/>
      <c r="DX215" s="126"/>
      <c r="DY215" s="126"/>
      <c r="DZ215" s="126"/>
      <c r="EA215" s="126"/>
      <c r="EB215" s="126"/>
      <c r="EC215" s="126"/>
      <c r="ED215" s="126"/>
      <c r="EE215" s="126"/>
      <c r="EF215" s="126"/>
      <c r="EG215" s="126"/>
      <c r="EH215" s="126"/>
      <c r="EI215" s="126"/>
      <c r="EJ215" s="126"/>
      <c r="EK215" s="126"/>
      <c r="EL215" s="126"/>
      <c r="EM215" s="126"/>
      <c r="EN215" s="126"/>
      <c r="EO215" s="126"/>
      <c r="EP215" s="126"/>
      <c r="EQ215" s="126"/>
      <c r="ER215" s="126"/>
      <c r="ES215" s="126"/>
      <c r="ET215" s="126"/>
      <c r="EU215" s="126"/>
      <c r="EV215" s="126"/>
      <c r="EW215" s="126"/>
      <c r="EX215" s="126"/>
      <c r="EY215" s="126"/>
      <c r="EZ215" s="126"/>
      <c r="FA215" s="126"/>
      <c r="FB215" s="126"/>
      <c r="FC215" s="126"/>
      <c r="FD215" s="126"/>
      <c r="FE215" s="126"/>
      <c r="FF215" s="126"/>
      <c r="FG215" s="126"/>
      <c r="FH215" s="126"/>
      <c r="FI215" s="126"/>
      <c r="FJ215" s="126"/>
      <c r="FK215" s="126"/>
      <c r="FL215" s="126"/>
      <c r="FM215" s="126"/>
      <c r="FN215" s="126"/>
      <c r="FO215" s="126"/>
      <c r="FP215" s="126"/>
      <c r="FQ215" s="126"/>
      <c r="FR215" s="126"/>
      <c r="FS215" s="126"/>
      <c r="FT215" s="126"/>
      <c r="FU215" s="126"/>
      <c r="FV215" s="126"/>
      <c r="FW215" s="126"/>
      <c r="FX215" s="126"/>
      <c r="FY215" s="126"/>
      <c r="FZ215" s="126"/>
      <c r="GA215" s="126"/>
      <c r="GB215" s="126"/>
      <c r="GC215" s="126"/>
      <c r="GD215" s="126"/>
      <c r="GE215" s="126"/>
      <c r="GF215" s="126"/>
      <c r="GG215" s="126"/>
      <c r="GH215" s="126"/>
      <c r="GI215" s="126"/>
      <c r="GJ215" s="126"/>
      <c r="GK215" s="126"/>
      <c r="GL215" s="126"/>
      <c r="GM215" s="126"/>
      <c r="GN215" s="126"/>
      <c r="GO215" s="126"/>
      <c r="GP215" s="126"/>
      <c r="GQ215" s="126"/>
      <c r="GR215" s="126"/>
      <c r="GS215" s="126"/>
      <c r="GT215" s="126"/>
      <c r="GU215" s="126"/>
      <c r="GV215" s="126"/>
      <c r="GW215" s="126"/>
      <c r="GX215" s="126"/>
      <c r="GY215" s="126"/>
      <c r="GZ215" s="126"/>
      <c r="HA215" s="126"/>
      <c r="HB215" s="126"/>
      <c r="HC215" s="126"/>
      <c r="HD215" s="126"/>
      <c r="HE215" s="126"/>
      <c r="HF215" s="126"/>
      <c r="HG215" s="126"/>
      <c r="HH215" s="126"/>
      <c r="HI215" s="126"/>
      <c r="HJ215" s="126"/>
      <c r="HK215" s="126"/>
      <c r="HL215" s="126"/>
      <c r="HM215" s="126"/>
      <c r="HN215" s="126"/>
      <c r="HO215" s="126"/>
      <c r="HP215" s="126"/>
      <c r="HQ215" s="126"/>
      <c r="HR215" s="126"/>
      <c r="HS215" s="126"/>
      <c r="HT215" s="126"/>
      <c r="HU215" s="126"/>
      <c r="HV215" s="126"/>
      <c r="HW215" s="126"/>
      <c r="HX215" s="126"/>
      <c r="HY215" s="126"/>
      <c r="HZ215" s="126"/>
      <c r="IA215" s="126"/>
      <c r="IB215" s="126"/>
      <c r="IC215" s="126"/>
      <c r="ID215" s="126"/>
      <c r="IE215" s="126"/>
      <c r="IF215" s="126"/>
      <c r="IG215" s="126"/>
      <c r="IH215" s="126"/>
      <c r="II215" s="126"/>
      <c r="IJ215" s="126"/>
      <c r="IK215" s="126"/>
      <c r="IL215" s="126"/>
      <c r="IM215" s="126"/>
      <c r="IN215" s="126"/>
      <c r="IO215" s="126"/>
      <c r="IP215" s="126"/>
      <c r="IQ215" s="126"/>
      <c r="IR215" s="126"/>
      <c r="IS215" s="126"/>
      <c r="IT215" s="126"/>
      <c r="IU215" s="126"/>
      <c r="IV215" s="126"/>
      <c r="IW215" s="126"/>
      <c r="IX215" s="126"/>
      <c r="IY215" s="126"/>
      <c r="IZ215" s="126"/>
      <c r="JA215" s="126"/>
      <c r="JB215" s="126"/>
      <c r="JC215" s="126"/>
      <c r="JD215" s="126"/>
      <c r="JE215" s="126"/>
      <c r="JF215" t="s">
        <v>49</v>
      </c>
    </row>
    <row r="216" spans="1:266" hidden="1" x14ac:dyDescent="0.45">
      <c r="A216" s="71" t="str">
        <f>IF('Quote Exports'!C201="","",'Quote Exports'!C201)</f>
        <v/>
      </c>
      <c r="B216" s="72"/>
      <c r="C216" s="68" t="s">
        <v>395</v>
      </c>
      <c r="D216" s="127" t="s">
        <v>398</v>
      </c>
      <c r="E216" s="128">
        <v>1.9042982340951413</v>
      </c>
      <c r="F216" s="129">
        <v>1.7536774741028129</v>
      </c>
      <c r="G216" s="130">
        <v>1.4936187871253286</v>
      </c>
      <c r="H216" s="130">
        <v>1.1848040426146218</v>
      </c>
      <c r="I216" s="130">
        <v>0.29415988325462294</v>
      </c>
      <c r="J216" s="162">
        <v>0.13170248693635173</v>
      </c>
      <c r="K216" s="162">
        <v>0.67885738949313157</v>
      </c>
      <c r="L216" s="131">
        <v>0.22748334379341337</v>
      </c>
      <c r="M216" s="131">
        <v>0.38017603798198207</v>
      </c>
      <c r="N216" s="131">
        <v>0.55433549244514901</v>
      </c>
      <c r="O216" s="131">
        <v>0.19431073825169487</v>
      </c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  <c r="AX216" s="131"/>
      <c r="AY216" s="131"/>
      <c r="AZ216" s="131"/>
      <c r="BA216" s="131"/>
      <c r="BB216" s="131"/>
      <c r="BC216" s="131"/>
      <c r="BD216" s="131"/>
      <c r="BE216" s="131"/>
      <c r="BF216" s="131"/>
      <c r="BG216" s="131"/>
      <c r="BH216" s="131"/>
      <c r="BI216" s="131"/>
      <c r="BJ216" s="131"/>
      <c r="BK216" s="131"/>
      <c r="BL216" s="131"/>
      <c r="BM216" s="131"/>
      <c r="BN216" s="131"/>
      <c r="BO216" s="131"/>
      <c r="BP216" s="131"/>
      <c r="BQ216" s="131"/>
      <c r="BR216" s="131"/>
      <c r="BS216" s="131"/>
      <c r="BT216" s="131"/>
      <c r="BU216" s="131"/>
      <c r="BV216" s="131"/>
      <c r="BW216" s="131"/>
      <c r="BX216" s="131"/>
      <c r="BY216" s="131"/>
      <c r="BZ216" s="131"/>
      <c r="CA216" s="131"/>
      <c r="CB216" s="131"/>
      <c r="CC216" s="131"/>
      <c r="CD216" s="131"/>
      <c r="CE216" s="131"/>
      <c r="CF216" s="131"/>
      <c r="CG216" s="131"/>
      <c r="CH216" s="131"/>
      <c r="CI216" s="131"/>
      <c r="CJ216" s="131"/>
      <c r="CK216" s="131"/>
      <c r="CL216" s="131"/>
      <c r="CM216" s="131"/>
      <c r="CN216" s="131"/>
      <c r="CO216" s="131"/>
      <c r="CP216" s="131"/>
      <c r="CQ216" s="131"/>
      <c r="CR216" s="131"/>
      <c r="CS216" s="131"/>
      <c r="CT216" s="131"/>
      <c r="CU216" s="131"/>
      <c r="CV216" s="131"/>
      <c r="CW216" s="131"/>
      <c r="CX216" s="131"/>
      <c r="CY216" s="131"/>
      <c r="CZ216" s="131"/>
      <c r="DA216" s="131"/>
      <c r="DB216" s="131"/>
      <c r="DC216" s="131"/>
      <c r="DD216" s="131"/>
      <c r="DE216" s="131"/>
      <c r="DF216" s="131"/>
      <c r="DG216" s="131"/>
      <c r="DH216" s="131"/>
      <c r="DI216" s="131"/>
      <c r="DJ216" s="131"/>
      <c r="DK216" s="131"/>
      <c r="DL216" s="131"/>
      <c r="DM216" s="131"/>
      <c r="DN216" s="131"/>
      <c r="DO216" s="131"/>
      <c r="DP216" s="131"/>
      <c r="DQ216" s="131"/>
      <c r="DR216" s="131"/>
      <c r="DS216" s="131"/>
      <c r="DT216" s="131"/>
      <c r="DU216" s="131"/>
      <c r="DV216" s="131"/>
      <c r="DW216" s="131"/>
      <c r="DX216" s="131"/>
      <c r="DY216" s="131"/>
      <c r="DZ216" s="131"/>
      <c r="EA216" s="131"/>
      <c r="EB216" s="131"/>
      <c r="EC216" s="131"/>
      <c r="ED216" s="131"/>
      <c r="EE216" s="131"/>
      <c r="EF216" s="131"/>
      <c r="EG216" s="131"/>
      <c r="EH216" s="131"/>
      <c r="EI216" s="131"/>
      <c r="EJ216" s="131"/>
      <c r="EK216" s="131"/>
      <c r="EL216" s="131"/>
      <c r="EM216" s="131"/>
      <c r="EN216" s="131"/>
      <c r="EO216" s="131"/>
      <c r="EP216" s="131"/>
      <c r="EQ216" s="131"/>
      <c r="ER216" s="131"/>
      <c r="ES216" s="131"/>
      <c r="ET216" s="131"/>
      <c r="EU216" s="131"/>
      <c r="EV216" s="131"/>
      <c r="EW216" s="131"/>
      <c r="EX216" s="131"/>
      <c r="EY216" s="131"/>
      <c r="EZ216" s="131"/>
      <c r="FA216" s="131"/>
      <c r="FB216" s="131"/>
      <c r="FC216" s="131"/>
      <c r="FD216" s="131"/>
      <c r="FE216" s="131"/>
      <c r="FF216" s="131"/>
      <c r="FG216" s="131"/>
      <c r="FH216" s="131"/>
      <c r="FI216" s="131"/>
      <c r="FJ216" s="131"/>
      <c r="FK216" s="131"/>
      <c r="FL216" s="131"/>
      <c r="FM216" s="131"/>
      <c r="FN216" s="131"/>
      <c r="FO216" s="131"/>
      <c r="FP216" s="131"/>
      <c r="FQ216" s="131"/>
      <c r="FR216" s="131"/>
      <c r="FS216" s="131"/>
      <c r="FT216" s="131"/>
      <c r="FU216" s="131"/>
      <c r="FV216" s="131"/>
      <c r="FW216" s="131"/>
      <c r="FX216" s="131"/>
      <c r="FY216" s="131"/>
      <c r="FZ216" s="131"/>
      <c r="GA216" s="131"/>
      <c r="GB216" s="131"/>
      <c r="GC216" s="131"/>
      <c r="GD216" s="131"/>
      <c r="GE216" s="131"/>
      <c r="GF216" s="131"/>
      <c r="GG216" s="131"/>
      <c r="GH216" s="131"/>
      <c r="GI216" s="131"/>
      <c r="GJ216" s="131"/>
      <c r="GK216" s="131"/>
      <c r="GL216" s="131"/>
      <c r="GM216" s="131"/>
      <c r="GN216" s="131"/>
      <c r="GO216" s="131"/>
      <c r="GP216" s="131"/>
      <c r="GQ216" s="131"/>
      <c r="GR216" s="131"/>
      <c r="GS216" s="131"/>
      <c r="GT216" s="131"/>
      <c r="GU216" s="131"/>
      <c r="GV216" s="131"/>
      <c r="GW216" s="131"/>
      <c r="GX216" s="131"/>
      <c r="GY216" s="131"/>
      <c r="GZ216" s="131"/>
      <c r="HA216" s="131"/>
      <c r="HB216" s="131"/>
      <c r="HC216" s="131"/>
      <c r="HD216" s="131"/>
      <c r="HE216" s="131"/>
      <c r="HF216" s="131"/>
      <c r="HG216" s="131"/>
      <c r="HH216" s="131"/>
      <c r="HI216" s="131"/>
      <c r="HJ216" s="131"/>
      <c r="HK216" s="131"/>
      <c r="HL216" s="131"/>
      <c r="HM216" s="131"/>
      <c r="HN216" s="131"/>
      <c r="HO216" s="131"/>
      <c r="HP216" s="131"/>
      <c r="HQ216" s="131"/>
      <c r="HR216" s="131"/>
      <c r="HS216" s="131"/>
      <c r="HT216" s="131"/>
      <c r="HU216" s="131"/>
      <c r="HV216" s="131"/>
      <c r="HW216" s="131"/>
      <c r="HX216" s="131"/>
      <c r="HY216" s="131"/>
      <c r="HZ216" s="131"/>
      <c r="IA216" s="131"/>
      <c r="IB216" s="131"/>
      <c r="IC216" s="131"/>
      <c r="ID216" s="131"/>
      <c r="IE216" s="131"/>
      <c r="IF216" s="131"/>
      <c r="IG216" s="131"/>
      <c r="IH216" s="131"/>
      <c r="II216" s="131"/>
      <c r="IJ216" s="131"/>
      <c r="IK216" s="131"/>
      <c r="IL216" s="131"/>
      <c r="IM216" s="131"/>
      <c r="IN216" s="131"/>
      <c r="IO216" s="131"/>
      <c r="IP216" s="131"/>
      <c r="IQ216" s="131"/>
      <c r="IR216" s="131"/>
      <c r="IS216" s="131"/>
      <c r="IT216" s="131"/>
      <c r="IU216" s="131"/>
      <c r="IV216" s="131"/>
      <c r="IW216" s="131"/>
      <c r="IX216" s="131"/>
      <c r="IY216" s="131"/>
      <c r="IZ216" s="131"/>
      <c r="JA216" s="131"/>
      <c r="JB216" s="131"/>
      <c r="JC216" s="131"/>
      <c r="JD216" s="131"/>
      <c r="JE216" s="131"/>
      <c r="JF216" t="s">
        <v>49</v>
      </c>
    </row>
  </sheetData>
  <sheetProtection autoFilter="0"/>
  <protectedRanges>
    <protectedRange algorithmName="SHA-512" hashValue="PRZSteFpmfxieq6q3HGjWLpTQ56lsxyI5KwoKr2hqNsenCKsC5LtCCCI4D83xhlDhIJxWiJemMC63jg3Rk8etw==" saltValue="/iAEg71XhPZQjmhuj8DvLg==" spinCount="100000" sqref="E1" name="Range1_1_1"/>
    <protectedRange algorithmName="SHA-512" hashValue="PRZSteFpmfxieq6q3HGjWLpTQ56lsxyI5KwoKr2hqNsenCKsC5LtCCCI4D83xhlDhIJxWiJemMC63jg3Rk8etw==" saltValue="/iAEg71XhPZQjmhuj8DvLg==" spinCount="100000" sqref="E3" name="Range1_1"/>
  </protectedRanges>
  <autoFilter ref="A5:JE216" xr:uid="{2E35725B-62E1-4FE1-A1C2-BDCF119E51D2}">
    <filterColumn colId="2">
      <filters>
        <filter val="Bag Quote"/>
        <filter val="Display"/>
      </filters>
    </filterColumn>
  </autoFilter>
  <dataValidations count="1">
    <dataValidation operator="greaterThan" allowBlank="1" showInputMessage="1" showErrorMessage="1" sqref="E2" xr:uid="{3063D4C9-55B9-4DA4-A9F3-950A545C353E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8A5126-520C-4784-91DD-A9B78E1D7EA0}">
          <x14:formula1>
            <xm:f>'Cust Master'!$D:$D</xm:f>
          </x14:formula1>
          <xm:sqref>E1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F14F-2CFE-43C3-B633-3F7AF48DCF76}">
  <dimension ref="B4:DU42"/>
  <sheetViews>
    <sheetView workbookViewId="0">
      <pane xSplit="2" ySplit="4" topLeftCell="DK10" activePane="bottomRight" state="frozen"/>
      <selection pane="topRight"/>
      <selection pane="bottomLeft"/>
      <selection pane="bottomRight" activeCell="DN10" sqref="DN10"/>
    </sheetView>
  </sheetViews>
  <sheetFormatPr defaultRowHeight="15" customHeight="1" x14ac:dyDescent="0.45"/>
  <cols>
    <col min="1" max="1" width="3.1328125" customWidth="1"/>
    <col min="2" max="2" width="18.265625" customWidth="1"/>
    <col min="5" max="6" width="9.86328125" bestFit="1" customWidth="1"/>
    <col min="7" max="7" width="10" bestFit="1" customWidth="1"/>
    <col min="8" max="8" width="10.59765625" customWidth="1"/>
    <col min="9" max="9" width="10.1328125" customWidth="1"/>
    <col min="10" max="13" width="10" bestFit="1" customWidth="1"/>
    <col min="14" max="14" width="11.73046875" customWidth="1"/>
    <col min="17" max="17" width="9.59765625" bestFit="1" customWidth="1"/>
    <col min="18" max="19" width="10" bestFit="1" customWidth="1"/>
    <col min="23" max="23" width="10" bestFit="1" customWidth="1"/>
    <col min="24" max="25" width="10.1328125" bestFit="1" customWidth="1"/>
    <col min="26" max="26" width="11.1328125" customWidth="1"/>
    <col min="27" max="28" width="10" customWidth="1"/>
    <col min="29" max="31" width="11.3984375" bestFit="1" customWidth="1"/>
    <col min="32" max="32" width="9.59765625" bestFit="1" customWidth="1"/>
    <col min="33" max="33" width="10.59765625" bestFit="1" customWidth="1"/>
    <col min="34" max="34" width="10" customWidth="1"/>
    <col min="42" max="43" width="10" bestFit="1" customWidth="1"/>
    <col min="44" max="44" width="9.86328125" bestFit="1" customWidth="1"/>
    <col min="46" max="46" width="9.86328125" bestFit="1" customWidth="1"/>
    <col min="47" max="47" width="10.265625" bestFit="1" customWidth="1"/>
    <col min="49" max="49" width="10.265625" bestFit="1" customWidth="1"/>
    <col min="50" max="50" width="11.3984375" bestFit="1" customWidth="1"/>
    <col min="51" max="51" width="10.265625" bestFit="1" customWidth="1"/>
    <col min="54" max="54" width="10.1328125" bestFit="1" customWidth="1"/>
    <col min="59" max="59" width="9.59765625" bestFit="1" customWidth="1"/>
    <col min="61" max="61" width="9.59765625" bestFit="1" customWidth="1"/>
    <col min="63" max="63" width="9.1328125" customWidth="1"/>
    <col min="65" max="65" width="10.59765625" customWidth="1"/>
    <col min="69" max="69" width="9.59765625" bestFit="1" customWidth="1"/>
    <col min="71" max="71" width="9.59765625" bestFit="1" customWidth="1"/>
    <col min="78" max="79" width="10" bestFit="1" customWidth="1"/>
    <col min="81" max="81" width="10" bestFit="1" customWidth="1"/>
    <col min="83" max="84" width="10" bestFit="1" customWidth="1"/>
    <col min="85" max="86" width="9.265625" bestFit="1" customWidth="1"/>
    <col min="87" max="87" width="9.265625" customWidth="1"/>
    <col min="89" max="89" width="9.265625" bestFit="1" customWidth="1"/>
    <col min="91" max="92" width="10.3984375" bestFit="1" customWidth="1"/>
    <col min="93" max="93" width="9.73046875" customWidth="1"/>
    <col min="94" max="94" width="9.59765625" customWidth="1"/>
    <col min="95" max="96" width="10.3984375" bestFit="1" customWidth="1"/>
    <col min="97" max="97" width="10" customWidth="1"/>
    <col min="98" max="98" width="9.73046875" customWidth="1"/>
    <col min="99" max="99" width="10.1328125" customWidth="1"/>
    <col min="100" max="100" width="9.73046875" customWidth="1"/>
    <col min="101" max="101" width="9.59765625" customWidth="1"/>
    <col min="102" max="103" width="10.3984375" bestFit="1" customWidth="1"/>
    <col min="104" max="104" width="10.1328125" customWidth="1"/>
    <col min="107" max="107" width="9.86328125" bestFit="1" customWidth="1"/>
    <col min="110" max="110" width="9.86328125" bestFit="1" customWidth="1"/>
    <col min="115" max="115" width="9.86328125" bestFit="1" customWidth="1"/>
    <col min="119" max="120" width="9.86328125" bestFit="1" customWidth="1"/>
    <col min="121" max="124" width="10.59765625" bestFit="1" customWidth="1"/>
    <col min="125" max="125" width="10.3984375" customWidth="1"/>
  </cols>
  <sheetData>
    <row r="4" spans="2:125" ht="14.25" x14ac:dyDescent="0.45">
      <c r="B4" s="134" t="s">
        <v>51</v>
      </c>
      <c r="C4" s="135">
        <v>45536</v>
      </c>
      <c r="D4" s="135">
        <v>45536</v>
      </c>
      <c r="E4" s="135">
        <v>45585</v>
      </c>
      <c r="F4" s="135">
        <v>45594</v>
      </c>
      <c r="G4" s="135">
        <v>45647</v>
      </c>
      <c r="H4" s="135">
        <v>45647</v>
      </c>
      <c r="I4" s="135">
        <v>45647</v>
      </c>
      <c r="J4" s="135">
        <v>45656</v>
      </c>
      <c r="K4" s="135">
        <v>45656</v>
      </c>
      <c r="L4" s="135">
        <v>45656</v>
      </c>
      <c r="M4" s="135">
        <v>45656</v>
      </c>
      <c r="N4" s="135">
        <v>45667</v>
      </c>
      <c r="O4" s="135">
        <v>45667</v>
      </c>
      <c r="P4" s="135">
        <v>45667</v>
      </c>
      <c r="Q4" s="135">
        <v>45678</v>
      </c>
      <c r="R4" s="135">
        <v>45698</v>
      </c>
      <c r="S4" s="135">
        <v>45699</v>
      </c>
      <c r="T4" s="135">
        <v>45699</v>
      </c>
      <c r="U4" s="135">
        <v>45667</v>
      </c>
      <c r="V4" s="135">
        <v>45667</v>
      </c>
      <c r="W4" s="135">
        <v>45712</v>
      </c>
      <c r="X4" s="135">
        <v>45735</v>
      </c>
      <c r="Y4" s="135">
        <v>45736</v>
      </c>
      <c r="Z4" s="135">
        <v>45736</v>
      </c>
      <c r="AA4" s="135">
        <v>45736</v>
      </c>
      <c r="AB4" s="135">
        <v>45736</v>
      </c>
      <c r="AC4" s="135">
        <v>45775</v>
      </c>
      <c r="AD4" s="135">
        <v>45775</v>
      </c>
      <c r="AE4" s="135">
        <v>45775</v>
      </c>
      <c r="AF4" s="135">
        <v>45783</v>
      </c>
      <c r="AG4" s="135">
        <v>45790</v>
      </c>
      <c r="AH4" s="135">
        <v>45819</v>
      </c>
      <c r="AI4" s="135">
        <v>45819</v>
      </c>
      <c r="AJ4" s="135">
        <v>45853</v>
      </c>
      <c r="AK4" s="135">
        <v>45853</v>
      </c>
      <c r="AL4" s="135">
        <v>45853</v>
      </c>
      <c r="AM4" s="135">
        <v>45856</v>
      </c>
      <c r="AN4" s="135">
        <v>45868</v>
      </c>
      <c r="AO4" s="135">
        <v>45875</v>
      </c>
      <c r="AP4" s="135">
        <v>45922</v>
      </c>
      <c r="AQ4" s="135">
        <v>45929</v>
      </c>
      <c r="AR4" s="135">
        <v>45951</v>
      </c>
      <c r="AS4" s="135">
        <v>45951</v>
      </c>
      <c r="AT4" s="135">
        <v>45952</v>
      </c>
      <c r="AU4" s="135">
        <v>45958</v>
      </c>
      <c r="AV4" s="135">
        <v>45964</v>
      </c>
      <c r="AW4" s="135">
        <v>45964</v>
      </c>
      <c r="AX4" s="135">
        <v>45964</v>
      </c>
      <c r="AY4" s="135">
        <v>45964</v>
      </c>
      <c r="AZ4" s="135">
        <v>45967</v>
      </c>
      <c r="BA4" s="135">
        <v>45967</v>
      </c>
      <c r="BB4" s="135">
        <v>46001</v>
      </c>
      <c r="BC4" s="135">
        <v>46029</v>
      </c>
      <c r="BD4" s="135">
        <v>46029</v>
      </c>
      <c r="BE4" s="135">
        <v>46029</v>
      </c>
      <c r="BF4" s="135">
        <v>46029</v>
      </c>
      <c r="BG4" s="135">
        <v>46038</v>
      </c>
      <c r="BH4" s="135">
        <v>46038</v>
      </c>
      <c r="BI4" s="135">
        <v>46043</v>
      </c>
      <c r="BJ4" s="135">
        <v>46043</v>
      </c>
      <c r="BK4" s="135">
        <v>46045</v>
      </c>
      <c r="BL4" s="135">
        <v>46045</v>
      </c>
      <c r="BM4" s="135">
        <v>45647</v>
      </c>
      <c r="BN4" s="135">
        <v>46045</v>
      </c>
      <c r="BO4" s="135">
        <v>46045</v>
      </c>
      <c r="BP4" s="135">
        <v>46045</v>
      </c>
      <c r="BQ4" s="135">
        <v>46051</v>
      </c>
      <c r="BR4" s="135">
        <v>46051</v>
      </c>
      <c r="BS4" s="135">
        <v>46052</v>
      </c>
      <c r="BT4" s="135">
        <v>46052</v>
      </c>
      <c r="BU4" s="135">
        <v>46052</v>
      </c>
      <c r="BV4" s="135">
        <v>46054</v>
      </c>
      <c r="BW4" s="135">
        <v>46054</v>
      </c>
      <c r="BX4" s="135">
        <v>46056</v>
      </c>
      <c r="BY4" s="135">
        <v>46061</v>
      </c>
      <c r="BZ4" s="135">
        <v>46070</v>
      </c>
      <c r="CA4" s="135">
        <v>46071</v>
      </c>
      <c r="CB4" s="135">
        <v>46071</v>
      </c>
      <c r="CC4" s="135">
        <v>46078</v>
      </c>
      <c r="CD4" s="135">
        <v>46078</v>
      </c>
      <c r="CE4" s="135">
        <v>46079</v>
      </c>
      <c r="CF4" s="135">
        <v>46080</v>
      </c>
      <c r="CG4" s="135">
        <v>46087</v>
      </c>
      <c r="CH4" s="135">
        <v>46088</v>
      </c>
      <c r="CI4" s="135">
        <v>46088</v>
      </c>
      <c r="CJ4" s="135">
        <v>46088</v>
      </c>
      <c r="CK4" s="135">
        <v>46090</v>
      </c>
      <c r="CL4" s="135">
        <v>46090</v>
      </c>
      <c r="CM4" s="135">
        <v>46091</v>
      </c>
      <c r="CN4" s="135">
        <v>46092</v>
      </c>
      <c r="CO4" s="135">
        <v>46092</v>
      </c>
      <c r="CP4" s="135">
        <v>46092</v>
      </c>
      <c r="CQ4" s="135">
        <v>46093</v>
      </c>
      <c r="CR4" s="135">
        <v>46099</v>
      </c>
      <c r="CS4" s="135">
        <v>46099</v>
      </c>
      <c r="CT4" s="135">
        <v>46099</v>
      </c>
      <c r="CU4" s="135">
        <v>46099</v>
      </c>
      <c r="CV4" s="135">
        <v>46099</v>
      </c>
      <c r="CW4" s="135">
        <v>46099</v>
      </c>
      <c r="CX4" s="135">
        <v>46101</v>
      </c>
      <c r="CY4" s="135">
        <v>46108</v>
      </c>
      <c r="CZ4" s="135">
        <v>46108</v>
      </c>
      <c r="DA4" s="135">
        <v>46118</v>
      </c>
      <c r="DB4" s="135">
        <v>46120</v>
      </c>
      <c r="DC4" s="135">
        <v>46135</v>
      </c>
      <c r="DD4" s="135">
        <v>46135</v>
      </c>
      <c r="DE4" s="135">
        <v>46135</v>
      </c>
      <c r="DF4" s="135">
        <v>46136</v>
      </c>
      <c r="DG4" s="135">
        <v>46136</v>
      </c>
      <c r="DH4" s="135">
        <v>46136</v>
      </c>
      <c r="DI4" s="135">
        <v>46136</v>
      </c>
      <c r="DJ4" s="135">
        <v>46136</v>
      </c>
      <c r="DK4" s="135">
        <v>46139</v>
      </c>
      <c r="DL4" s="135">
        <v>46139</v>
      </c>
      <c r="DM4" s="135">
        <v>46139</v>
      </c>
      <c r="DN4" s="135">
        <v>46139</v>
      </c>
      <c r="DO4" s="135">
        <v>46140</v>
      </c>
      <c r="DP4" s="135">
        <v>46141</v>
      </c>
      <c r="DQ4" s="135">
        <v>46160</v>
      </c>
      <c r="DR4" s="135">
        <v>46161</v>
      </c>
      <c r="DS4" s="135">
        <v>46162</v>
      </c>
      <c r="DT4" s="135">
        <v>46164</v>
      </c>
      <c r="DU4" s="135">
        <v>46165</v>
      </c>
    </row>
    <row r="5" spans="2:125" ht="14.25" x14ac:dyDescent="0.45">
      <c r="B5" s="134" t="s">
        <v>52</v>
      </c>
      <c r="C5" s="136" t="s">
        <v>53</v>
      </c>
      <c r="D5" s="136" t="s">
        <v>53</v>
      </c>
      <c r="E5" s="136" t="s">
        <v>53</v>
      </c>
      <c r="F5" s="136" t="s">
        <v>53</v>
      </c>
      <c r="G5" s="136" t="s">
        <v>53</v>
      </c>
      <c r="H5" s="136" t="s">
        <v>53</v>
      </c>
      <c r="I5" s="136" t="s">
        <v>53</v>
      </c>
      <c r="J5" s="136" t="s">
        <v>53</v>
      </c>
      <c r="K5" s="136" t="s">
        <v>53</v>
      </c>
      <c r="L5" s="136" t="s">
        <v>53</v>
      </c>
      <c r="M5" s="136" t="s">
        <v>53</v>
      </c>
      <c r="N5" s="136" t="s">
        <v>53</v>
      </c>
      <c r="O5" s="136" t="s">
        <v>53</v>
      </c>
      <c r="P5" s="136" t="s">
        <v>53</v>
      </c>
      <c r="Q5" s="136" t="s">
        <v>53</v>
      </c>
      <c r="R5" s="136" t="s">
        <v>53</v>
      </c>
      <c r="S5" s="136" t="s">
        <v>53</v>
      </c>
      <c r="T5" s="136" t="s">
        <v>53</v>
      </c>
      <c r="U5" s="136" t="s">
        <v>53</v>
      </c>
      <c r="V5" s="136" t="s">
        <v>53</v>
      </c>
      <c r="W5" s="136" t="s">
        <v>54</v>
      </c>
      <c r="X5" s="136" t="s">
        <v>53</v>
      </c>
      <c r="Y5" s="136" t="s">
        <v>53</v>
      </c>
      <c r="Z5" s="136" t="s">
        <v>53</v>
      </c>
      <c r="AA5" s="136" t="s">
        <v>53</v>
      </c>
      <c r="AB5" s="136" t="s">
        <v>53</v>
      </c>
      <c r="AC5" s="136" t="s">
        <v>53</v>
      </c>
      <c r="AD5" s="136" t="s">
        <v>53</v>
      </c>
      <c r="AE5" s="136" t="s">
        <v>53</v>
      </c>
      <c r="AF5" s="136" t="s">
        <v>53</v>
      </c>
      <c r="AG5" s="136" t="s">
        <v>53</v>
      </c>
      <c r="AH5" s="136" t="s">
        <v>54</v>
      </c>
      <c r="AI5" s="136" t="s">
        <v>53</v>
      </c>
      <c r="AJ5" s="136" t="s">
        <v>53</v>
      </c>
      <c r="AK5" s="136" t="s">
        <v>53</v>
      </c>
      <c r="AL5" s="136" t="s">
        <v>53</v>
      </c>
      <c r="AM5" s="136" t="s">
        <v>54</v>
      </c>
      <c r="AN5" s="136" t="s">
        <v>54</v>
      </c>
      <c r="AO5" s="136" t="s">
        <v>54</v>
      </c>
      <c r="AP5" s="136" t="s">
        <v>53</v>
      </c>
      <c r="AQ5" s="136" t="s">
        <v>53</v>
      </c>
      <c r="AR5" s="136" t="s">
        <v>53</v>
      </c>
      <c r="AS5" s="136" t="s">
        <v>53</v>
      </c>
      <c r="AT5" s="136" t="s">
        <v>53</v>
      </c>
      <c r="AU5" s="136" t="s">
        <v>53</v>
      </c>
      <c r="AV5" s="136" t="s">
        <v>53</v>
      </c>
      <c r="AW5" s="136" t="s">
        <v>54</v>
      </c>
      <c r="AX5" s="136" t="s">
        <v>54</v>
      </c>
      <c r="AY5" s="136" t="s">
        <v>54</v>
      </c>
      <c r="AZ5" s="136" t="s">
        <v>53</v>
      </c>
      <c r="BA5" s="136" t="s">
        <v>53</v>
      </c>
      <c r="BB5" s="136" t="s">
        <v>53</v>
      </c>
      <c r="BC5" s="136" t="s">
        <v>54</v>
      </c>
      <c r="BD5" s="136" t="s">
        <v>53</v>
      </c>
      <c r="BE5" s="136" t="s">
        <v>53</v>
      </c>
      <c r="BF5" s="136" t="s">
        <v>53</v>
      </c>
      <c r="BG5" s="136" t="s">
        <v>53</v>
      </c>
      <c r="BH5" s="136" t="s">
        <v>53</v>
      </c>
      <c r="BI5" s="136" t="s">
        <v>53</v>
      </c>
      <c r="BJ5" s="136" t="s">
        <v>53</v>
      </c>
      <c r="BK5" s="136" t="s">
        <v>54</v>
      </c>
      <c r="BL5" s="136" t="s">
        <v>54</v>
      </c>
      <c r="BM5" s="136" t="s">
        <v>54</v>
      </c>
      <c r="BN5" s="136" t="s">
        <v>54</v>
      </c>
      <c r="BO5" s="136" t="s">
        <v>54</v>
      </c>
      <c r="BP5" s="136" t="s">
        <v>53</v>
      </c>
      <c r="BQ5" s="136" t="s">
        <v>53</v>
      </c>
      <c r="BR5" s="136" t="s">
        <v>53</v>
      </c>
      <c r="BS5" s="136" t="s">
        <v>54</v>
      </c>
      <c r="BT5" s="136" t="s">
        <v>53</v>
      </c>
      <c r="BU5" s="136" t="s">
        <v>53</v>
      </c>
      <c r="BV5" s="136" t="s">
        <v>53</v>
      </c>
      <c r="BW5" s="136" t="s">
        <v>53</v>
      </c>
      <c r="BX5" s="136" t="s">
        <v>53</v>
      </c>
      <c r="BY5" s="136" t="s">
        <v>54</v>
      </c>
      <c r="BZ5" s="136" t="s">
        <v>53</v>
      </c>
      <c r="CA5" s="136" t="s">
        <v>53</v>
      </c>
      <c r="CB5" s="136" t="s">
        <v>53</v>
      </c>
      <c r="CC5" s="136" t="s">
        <v>53</v>
      </c>
      <c r="CD5" s="136" t="s">
        <v>53</v>
      </c>
      <c r="CE5" s="136" t="s">
        <v>53</v>
      </c>
      <c r="CF5" s="136" t="s">
        <v>53</v>
      </c>
      <c r="CG5" s="136" t="s">
        <v>53</v>
      </c>
      <c r="CH5" s="136" t="s">
        <v>53</v>
      </c>
      <c r="CI5" s="136" t="s">
        <v>53</v>
      </c>
      <c r="CJ5" s="136" t="s">
        <v>53</v>
      </c>
      <c r="CK5" s="136" t="s">
        <v>53</v>
      </c>
      <c r="CL5" s="136" t="s">
        <v>53</v>
      </c>
      <c r="CM5" s="136" t="s">
        <v>54</v>
      </c>
      <c r="CN5" s="136" t="s">
        <v>53</v>
      </c>
      <c r="CO5" s="136" t="s">
        <v>53</v>
      </c>
      <c r="CP5" s="136" t="s">
        <v>53</v>
      </c>
      <c r="CQ5" s="136" t="s">
        <v>53</v>
      </c>
      <c r="CR5" s="136" t="s">
        <v>53</v>
      </c>
      <c r="CS5" s="136" t="s">
        <v>53</v>
      </c>
      <c r="CT5" s="136" t="s">
        <v>53</v>
      </c>
      <c r="CU5" s="136" t="s">
        <v>53</v>
      </c>
      <c r="CV5" s="136" t="s">
        <v>53</v>
      </c>
      <c r="CW5" s="136" t="s">
        <v>53</v>
      </c>
      <c r="CX5" s="136" t="s">
        <v>54</v>
      </c>
      <c r="CY5" s="136" t="s">
        <v>54</v>
      </c>
      <c r="CZ5" s="136" t="s">
        <v>53</v>
      </c>
      <c r="DA5" s="136" t="s">
        <v>54</v>
      </c>
      <c r="DB5" s="136" t="s">
        <v>54</v>
      </c>
      <c r="DC5" s="136" t="s">
        <v>53</v>
      </c>
      <c r="DD5" s="136" t="s">
        <v>53</v>
      </c>
      <c r="DE5" s="136" t="s">
        <v>53</v>
      </c>
      <c r="DF5" s="136" t="s">
        <v>53</v>
      </c>
      <c r="DG5" s="136" t="s">
        <v>53</v>
      </c>
      <c r="DH5" s="136" t="s">
        <v>53</v>
      </c>
      <c r="DI5" s="136" t="s">
        <v>53</v>
      </c>
      <c r="DJ5" s="136" t="s">
        <v>54</v>
      </c>
      <c r="DK5" s="136" t="s">
        <v>53</v>
      </c>
      <c r="DL5" s="136" t="s">
        <v>53</v>
      </c>
      <c r="DM5" s="136" t="s">
        <v>53</v>
      </c>
      <c r="DN5" s="136" t="s">
        <v>53</v>
      </c>
      <c r="DO5" s="136" t="s">
        <v>53</v>
      </c>
      <c r="DP5" s="136" t="s">
        <v>53</v>
      </c>
      <c r="DQ5" s="136" t="s">
        <v>54</v>
      </c>
      <c r="DR5" s="136" t="s">
        <v>53</v>
      </c>
      <c r="DS5" s="136" t="s">
        <v>54</v>
      </c>
      <c r="DT5" s="136" t="s">
        <v>54</v>
      </c>
      <c r="DU5" s="136" t="s">
        <v>54</v>
      </c>
    </row>
    <row r="6" spans="2:125" ht="14.25" x14ac:dyDescent="0.45">
      <c r="B6" s="134" t="s">
        <v>55</v>
      </c>
      <c r="C6" s="136" t="s">
        <v>114</v>
      </c>
      <c r="D6" s="136" t="s">
        <v>114</v>
      </c>
      <c r="E6" s="136" t="s">
        <v>427</v>
      </c>
      <c r="F6" s="136" t="s">
        <v>114</v>
      </c>
      <c r="G6" s="136" t="s">
        <v>428</v>
      </c>
      <c r="H6" s="136" t="s">
        <v>428</v>
      </c>
      <c r="I6" s="136" t="s">
        <v>428</v>
      </c>
      <c r="J6" s="136" t="s">
        <v>428</v>
      </c>
      <c r="K6" s="136" t="s">
        <v>428</v>
      </c>
      <c r="L6" s="136" t="s">
        <v>428</v>
      </c>
      <c r="M6" s="136" t="s">
        <v>428</v>
      </c>
      <c r="N6" s="136" t="s">
        <v>61</v>
      </c>
      <c r="O6" s="136" t="s">
        <v>94</v>
      </c>
      <c r="P6" s="136" t="s">
        <v>94</v>
      </c>
      <c r="Q6" s="136" t="s">
        <v>429</v>
      </c>
      <c r="R6" s="136" t="s">
        <v>430</v>
      </c>
      <c r="S6" s="136" t="s">
        <v>431</v>
      </c>
      <c r="T6" s="136" t="s">
        <v>431</v>
      </c>
      <c r="U6" s="136" t="s">
        <v>61</v>
      </c>
      <c r="V6" s="136" t="s">
        <v>432</v>
      </c>
      <c r="W6" s="136" t="s">
        <v>433</v>
      </c>
      <c r="X6" s="136" t="s">
        <v>79</v>
      </c>
      <c r="Y6" s="136" t="s">
        <v>434</v>
      </c>
      <c r="Z6" s="136" t="s">
        <v>430</v>
      </c>
      <c r="AA6" s="136" t="s">
        <v>430</v>
      </c>
      <c r="AB6" s="136" t="s">
        <v>430</v>
      </c>
      <c r="AC6" s="136" t="s">
        <v>428</v>
      </c>
      <c r="AD6" s="136" t="s">
        <v>428</v>
      </c>
      <c r="AE6" s="136" t="s">
        <v>428</v>
      </c>
      <c r="AF6" s="136" t="s">
        <v>435</v>
      </c>
      <c r="AG6" s="136" t="s">
        <v>435</v>
      </c>
      <c r="AH6" s="136" t="s">
        <v>436</v>
      </c>
      <c r="AI6" s="136" t="s">
        <v>436</v>
      </c>
      <c r="AJ6" s="136" t="s">
        <v>437</v>
      </c>
      <c r="AK6" s="136" t="s">
        <v>437</v>
      </c>
      <c r="AL6" s="136" t="s">
        <v>437</v>
      </c>
      <c r="AM6" s="136" t="s">
        <v>438</v>
      </c>
      <c r="AN6" s="136" t="s">
        <v>439</v>
      </c>
      <c r="AO6" s="136" t="s">
        <v>440</v>
      </c>
      <c r="AP6" s="136" t="s">
        <v>441</v>
      </c>
      <c r="AQ6" s="136" t="s">
        <v>433</v>
      </c>
      <c r="AR6" s="136" t="s">
        <v>131</v>
      </c>
      <c r="AS6" s="136" t="s">
        <v>442</v>
      </c>
      <c r="AT6" s="136" t="s">
        <v>131</v>
      </c>
      <c r="AU6" s="136" t="s">
        <v>443</v>
      </c>
      <c r="AV6" s="136" t="s">
        <v>444</v>
      </c>
      <c r="AW6" s="136" t="s">
        <v>439</v>
      </c>
      <c r="AX6" s="136" t="s">
        <v>439</v>
      </c>
      <c r="AY6" s="136" t="s">
        <v>439</v>
      </c>
      <c r="AZ6" s="136" t="s">
        <v>445</v>
      </c>
      <c r="BA6" s="136" t="s">
        <v>445</v>
      </c>
      <c r="BB6" s="136" t="s">
        <v>90</v>
      </c>
      <c r="BC6" s="136" t="s">
        <v>439</v>
      </c>
      <c r="BD6" s="136" t="s">
        <v>61</v>
      </c>
      <c r="BE6" s="136" t="s">
        <v>61</v>
      </c>
      <c r="BF6" s="136" t="s">
        <v>61</v>
      </c>
      <c r="BG6" s="136" t="s">
        <v>446</v>
      </c>
      <c r="BH6" s="136" t="s">
        <v>446</v>
      </c>
      <c r="BI6" s="136" t="s">
        <v>446</v>
      </c>
      <c r="BJ6" s="136" t="s">
        <v>446</v>
      </c>
      <c r="BK6" s="136" t="s">
        <v>447</v>
      </c>
      <c r="BL6" s="136" t="s">
        <v>447</v>
      </c>
      <c r="BM6" s="136" t="s">
        <v>447</v>
      </c>
      <c r="BN6" s="136" t="s">
        <v>439</v>
      </c>
      <c r="BO6" s="136" t="s">
        <v>439</v>
      </c>
      <c r="BP6" s="136" t="s">
        <v>444</v>
      </c>
      <c r="BQ6" s="136" t="s">
        <v>114</v>
      </c>
      <c r="BR6" s="136" t="s">
        <v>114</v>
      </c>
      <c r="BS6" s="136" t="s">
        <v>440</v>
      </c>
      <c r="BT6" s="136" t="s">
        <v>448</v>
      </c>
      <c r="BU6" s="136" t="s">
        <v>448</v>
      </c>
      <c r="BV6" s="136" t="s">
        <v>114</v>
      </c>
      <c r="BW6" s="136" t="s">
        <v>114</v>
      </c>
      <c r="BX6" s="136" t="s">
        <v>131</v>
      </c>
      <c r="BY6" s="136" t="s">
        <v>449</v>
      </c>
      <c r="BZ6" s="136" t="s">
        <v>448</v>
      </c>
      <c r="CA6" s="136" t="s">
        <v>90</v>
      </c>
      <c r="CB6" s="136" t="s">
        <v>90</v>
      </c>
      <c r="CC6" s="136" t="s">
        <v>69</v>
      </c>
      <c r="CD6" s="136" t="s">
        <v>69</v>
      </c>
      <c r="CE6" s="136" t="s">
        <v>82</v>
      </c>
      <c r="CF6" s="136" t="s">
        <v>450</v>
      </c>
      <c r="CG6" s="136" t="s">
        <v>427</v>
      </c>
      <c r="CH6" s="136" t="s">
        <v>451</v>
      </c>
      <c r="CI6" s="136" t="s">
        <v>452</v>
      </c>
      <c r="CJ6" s="136" t="s">
        <v>450</v>
      </c>
      <c r="CK6" s="136" t="s">
        <v>90</v>
      </c>
      <c r="CL6" s="136" t="s">
        <v>90</v>
      </c>
      <c r="CM6" s="136" t="s">
        <v>440</v>
      </c>
      <c r="CN6" s="136" t="s">
        <v>428</v>
      </c>
      <c r="CO6" s="136" t="s">
        <v>428</v>
      </c>
      <c r="CP6" s="136" t="s">
        <v>428</v>
      </c>
      <c r="CQ6" s="136" t="s">
        <v>452</v>
      </c>
      <c r="CR6" s="136" t="s">
        <v>82</v>
      </c>
      <c r="CS6" s="136" t="s">
        <v>445</v>
      </c>
      <c r="CT6" s="136" t="s">
        <v>445</v>
      </c>
      <c r="CU6" s="136" t="s">
        <v>452</v>
      </c>
      <c r="CV6" s="136" t="s">
        <v>90</v>
      </c>
      <c r="CW6" s="136" t="s">
        <v>90</v>
      </c>
      <c r="CX6" s="136" t="s">
        <v>449</v>
      </c>
      <c r="CY6" s="136" t="s">
        <v>449</v>
      </c>
      <c r="CZ6" s="136" t="s">
        <v>450</v>
      </c>
      <c r="DA6" s="136" t="s">
        <v>453</v>
      </c>
      <c r="DB6" s="136" t="s">
        <v>449</v>
      </c>
      <c r="DC6" s="136" t="s">
        <v>72</v>
      </c>
      <c r="DD6" s="136" t="s">
        <v>72</v>
      </c>
      <c r="DE6" s="136" t="s">
        <v>72</v>
      </c>
      <c r="DF6" s="136" t="s">
        <v>172</v>
      </c>
      <c r="DG6" s="136" t="s">
        <v>172</v>
      </c>
      <c r="DH6" s="136" t="s">
        <v>172</v>
      </c>
      <c r="DI6" s="136" t="s">
        <v>172</v>
      </c>
      <c r="DJ6" s="136" t="s">
        <v>439</v>
      </c>
      <c r="DK6" s="136" t="s">
        <v>445</v>
      </c>
      <c r="DL6" s="136" t="s">
        <v>445</v>
      </c>
      <c r="DM6" s="136" t="s">
        <v>454</v>
      </c>
      <c r="DN6" s="136" t="s">
        <v>445</v>
      </c>
      <c r="DO6" s="136" t="s">
        <v>451</v>
      </c>
      <c r="DP6" s="136" t="s">
        <v>455</v>
      </c>
      <c r="DQ6" s="136" t="s">
        <v>440</v>
      </c>
      <c r="DR6" s="136" t="s">
        <v>82</v>
      </c>
      <c r="DS6" s="136" t="s">
        <v>167</v>
      </c>
      <c r="DT6" s="136" t="s">
        <v>453</v>
      </c>
      <c r="DU6" s="136" t="s">
        <v>456</v>
      </c>
    </row>
    <row r="7" spans="2:125" ht="14.25" x14ac:dyDescent="0.45">
      <c r="B7" s="134" t="s">
        <v>176</v>
      </c>
      <c r="C7" s="136"/>
      <c r="D7" s="136"/>
      <c r="E7" s="136"/>
      <c r="F7" s="136"/>
      <c r="G7" s="136" t="s">
        <v>457</v>
      </c>
      <c r="H7" s="136" t="s">
        <v>458</v>
      </c>
      <c r="I7" s="136" t="s">
        <v>459</v>
      </c>
      <c r="J7" s="136" t="s">
        <v>459</v>
      </c>
      <c r="K7" s="136" t="s">
        <v>459</v>
      </c>
      <c r="L7" s="136" t="s">
        <v>459</v>
      </c>
      <c r="M7" s="136" t="s">
        <v>459</v>
      </c>
      <c r="N7" s="136" t="s">
        <v>460</v>
      </c>
      <c r="O7" s="136" t="s">
        <v>461</v>
      </c>
      <c r="P7" s="136" t="s">
        <v>462</v>
      </c>
      <c r="Q7" s="136"/>
      <c r="R7" s="136"/>
      <c r="S7" s="136"/>
      <c r="T7" s="136"/>
      <c r="U7" s="136" t="s">
        <v>460</v>
      </c>
      <c r="V7" s="136" t="s">
        <v>460</v>
      </c>
      <c r="W7" s="136"/>
      <c r="X7" s="136"/>
      <c r="Y7" s="136"/>
      <c r="Z7" s="136"/>
      <c r="AA7" s="136"/>
      <c r="AB7" s="136"/>
      <c r="AC7" s="136" t="s">
        <v>463</v>
      </c>
      <c r="AD7" s="136" t="s">
        <v>464</v>
      </c>
      <c r="AE7" s="136" t="s">
        <v>465</v>
      </c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 t="s">
        <v>466</v>
      </c>
      <c r="BE7" s="136" t="s">
        <v>466</v>
      </c>
      <c r="BF7" s="136" t="s">
        <v>466</v>
      </c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>
        <v>2543</v>
      </c>
      <c r="BR7" s="136">
        <v>2126</v>
      </c>
      <c r="BS7" s="136"/>
      <c r="BT7" s="136"/>
      <c r="BU7" s="136"/>
      <c r="BV7" s="136">
        <v>2543</v>
      </c>
      <c r="BW7" s="136">
        <v>2126</v>
      </c>
      <c r="BX7" s="136"/>
      <c r="BY7" s="136"/>
      <c r="BZ7" s="136"/>
      <c r="CA7" s="136"/>
      <c r="CB7" s="136"/>
      <c r="CC7" s="136"/>
      <c r="CD7" s="136"/>
      <c r="CE7" s="136"/>
      <c r="CF7" s="136"/>
      <c r="CG7" s="136"/>
      <c r="CH7" s="136"/>
      <c r="CI7" s="136"/>
      <c r="CJ7" s="136"/>
      <c r="CK7" s="136"/>
      <c r="CL7" s="136"/>
      <c r="CM7" s="136"/>
      <c r="CN7" s="136" t="s">
        <v>463</v>
      </c>
      <c r="CO7" s="136" t="s">
        <v>464</v>
      </c>
      <c r="CP7" s="136" t="s">
        <v>465</v>
      </c>
      <c r="CQ7" s="136"/>
      <c r="CR7" s="136"/>
      <c r="CS7" s="136"/>
      <c r="CT7" s="136"/>
      <c r="CU7" s="136"/>
      <c r="CV7" s="136"/>
      <c r="CW7" s="136"/>
      <c r="CX7" s="136"/>
      <c r="CY7" s="136"/>
      <c r="CZ7" s="136"/>
      <c r="DA7" s="136"/>
      <c r="DB7" s="136"/>
      <c r="DC7" s="136"/>
      <c r="DD7" s="136"/>
      <c r="DE7" s="136"/>
      <c r="DF7" s="136"/>
      <c r="DG7" s="136"/>
      <c r="DH7" s="136"/>
      <c r="DI7" s="136"/>
      <c r="DJ7" s="136"/>
      <c r="DK7" s="136"/>
      <c r="DL7" s="136"/>
      <c r="DM7" s="136"/>
      <c r="DN7" s="136"/>
      <c r="DO7" s="136"/>
      <c r="DP7" s="136"/>
      <c r="DQ7" s="136"/>
      <c r="DR7" s="136"/>
      <c r="DS7" s="136"/>
      <c r="DT7" s="136"/>
      <c r="DU7" s="136"/>
    </row>
    <row r="8" spans="2:125" ht="14.25" x14ac:dyDescent="0.45">
      <c r="B8" s="134" t="s">
        <v>190</v>
      </c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BS8" s="136"/>
      <c r="BT8" s="136"/>
      <c r="BU8" s="136"/>
      <c r="BV8" s="136"/>
      <c r="BW8" s="136"/>
      <c r="BX8" s="136"/>
      <c r="BY8" s="136"/>
      <c r="BZ8" s="136"/>
      <c r="CA8" s="136"/>
      <c r="CB8" s="136"/>
      <c r="CC8" s="136"/>
      <c r="CD8" s="136"/>
      <c r="CE8" s="136"/>
      <c r="CF8" s="136"/>
      <c r="CG8" s="136"/>
      <c r="CH8" s="136"/>
      <c r="CI8" s="136"/>
      <c r="CJ8" s="136"/>
      <c r="CK8" s="136"/>
      <c r="CL8" s="136"/>
      <c r="CM8" s="136"/>
      <c r="CN8" s="136"/>
      <c r="CO8" s="136"/>
      <c r="CP8" s="136"/>
      <c r="CQ8" s="136"/>
      <c r="CR8" s="136"/>
      <c r="CS8" s="136"/>
      <c r="CT8" s="136"/>
      <c r="CU8" s="136"/>
      <c r="CV8" s="136"/>
      <c r="CW8" s="136"/>
      <c r="CX8" s="136"/>
      <c r="CY8" s="136"/>
      <c r="CZ8" s="136"/>
      <c r="DA8" s="136"/>
      <c r="DB8" s="136"/>
      <c r="DC8" s="136"/>
      <c r="DD8" s="136"/>
      <c r="DE8" s="136"/>
      <c r="DF8" s="136"/>
      <c r="DG8" s="136"/>
      <c r="DH8" s="136"/>
      <c r="DI8" s="136"/>
      <c r="DJ8" s="136"/>
      <c r="DK8" s="136"/>
      <c r="DL8" s="136"/>
      <c r="DM8" s="136"/>
      <c r="DN8" s="136"/>
      <c r="DO8" s="136"/>
      <c r="DP8" s="136"/>
      <c r="DQ8" s="136"/>
      <c r="DR8" s="136"/>
      <c r="DS8" s="136"/>
      <c r="DT8" s="136"/>
      <c r="DU8" s="136"/>
    </row>
    <row r="9" spans="2:125" ht="14.25" x14ac:dyDescent="0.45">
      <c r="B9" s="134" t="s">
        <v>349</v>
      </c>
      <c r="C9" s="136">
        <v>45</v>
      </c>
      <c r="D9" s="136">
        <v>45</v>
      </c>
      <c r="E9" s="136">
        <v>40</v>
      </c>
      <c r="F9" s="136">
        <v>36</v>
      </c>
      <c r="G9" s="136">
        <v>37.5</v>
      </c>
      <c r="H9" s="136">
        <v>37.5</v>
      </c>
      <c r="I9" s="136">
        <v>38</v>
      </c>
      <c r="J9" s="136">
        <v>50</v>
      </c>
      <c r="K9" s="136">
        <v>50</v>
      </c>
      <c r="L9" s="136">
        <v>45</v>
      </c>
      <c r="M9" s="136">
        <v>47</v>
      </c>
      <c r="N9" s="136">
        <v>50</v>
      </c>
      <c r="O9" s="136">
        <v>51</v>
      </c>
      <c r="P9" s="136">
        <v>51</v>
      </c>
      <c r="Q9" s="136">
        <v>50</v>
      </c>
      <c r="R9" s="136">
        <v>40.5</v>
      </c>
      <c r="S9" s="136">
        <v>38</v>
      </c>
      <c r="T9" s="136">
        <v>38</v>
      </c>
      <c r="U9" s="136">
        <v>50</v>
      </c>
      <c r="V9" s="136">
        <f>15*2.54</f>
        <v>38.1</v>
      </c>
      <c r="W9" s="136">
        <v>57</v>
      </c>
      <c r="X9" s="136">
        <v>50</v>
      </c>
      <c r="Y9" s="136">
        <v>40</v>
      </c>
      <c r="Z9" s="136">
        <v>40</v>
      </c>
      <c r="AA9" s="136">
        <v>50</v>
      </c>
      <c r="AB9" s="136">
        <v>35</v>
      </c>
      <c r="AC9" s="136">
        <v>37.5</v>
      </c>
      <c r="AD9" s="136">
        <v>38</v>
      </c>
      <c r="AE9" s="136">
        <v>37.5</v>
      </c>
      <c r="AF9" s="136">
        <v>51</v>
      </c>
      <c r="AG9" s="136">
        <v>54</v>
      </c>
      <c r="AH9" s="136">
        <v>55</v>
      </c>
      <c r="AI9" s="136">
        <v>55</v>
      </c>
      <c r="AJ9" s="136">
        <v>47</v>
      </c>
      <c r="AK9" s="136">
        <v>48</v>
      </c>
      <c r="AL9" s="136">
        <v>50</v>
      </c>
      <c r="AM9" s="136">
        <f>17*2.54</f>
        <v>43.18</v>
      </c>
      <c r="AN9" s="136">
        <v>45</v>
      </c>
      <c r="AO9" s="136">
        <f>18*2.54</f>
        <v>45.72</v>
      </c>
      <c r="AP9" s="136">
        <v>45</v>
      </c>
      <c r="AQ9" s="136">
        <v>48</v>
      </c>
      <c r="AR9" s="136">
        <f>22*2.54</f>
        <v>55.88</v>
      </c>
      <c r="AS9" s="136">
        <v>54</v>
      </c>
      <c r="AT9" s="136">
        <f>22*2.54</f>
        <v>55.88</v>
      </c>
      <c r="AU9" s="136">
        <f>23.5*2.54</f>
        <v>59.69</v>
      </c>
      <c r="AV9" s="140">
        <v>49</v>
      </c>
      <c r="AW9" s="136">
        <v>43</v>
      </c>
      <c r="AX9" s="136">
        <v>50</v>
      </c>
      <c r="AY9" s="136">
        <v>43</v>
      </c>
      <c r="AZ9" s="136">
        <v>51</v>
      </c>
      <c r="BA9" s="136">
        <v>48</v>
      </c>
      <c r="BB9" s="136">
        <v>50</v>
      </c>
      <c r="BC9" s="136">
        <v>43</v>
      </c>
      <c r="BD9" s="136">
        <v>51</v>
      </c>
      <c r="BE9" s="136">
        <v>48.5</v>
      </c>
      <c r="BF9" s="136">
        <v>41</v>
      </c>
      <c r="BG9" s="136">
        <v>46</v>
      </c>
      <c r="BH9" s="136">
        <v>52</v>
      </c>
      <c r="BI9" s="136">
        <v>46</v>
      </c>
      <c r="BJ9" s="136">
        <v>52</v>
      </c>
      <c r="BK9" s="136">
        <v>50</v>
      </c>
      <c r="BL9" s="136">
        <v>50</v>
      </c>
      <c r="BM9" s="136">
        <v>37.5</v>
      </c>
      <c r="BN9" s="136">
        <v>43</v>
      </c>
      <c r="BO9" s="136">
        <v>45</v>
      </c>
      <c r="BP9" s="140">
        <v>47</v>
      </c>
      <c r="BQ9" s="140">
        <v>51</v>
      </c>
      <c r="BR9" s="140">
        <v>48</v>
      </c>
      <c r="BS9" s="140">
        <v>45</v>
      </c>
      <c r="BT9" s="140">
        <v>54</v>
      </c>
      <c r="BU9" s="140">
        <v>50</v>
      </c>
      <c r="BV9" s="140">
        <v>51</v>
      </c>
      <c r="BW9" s="140">
        <v>48</v>
      </c>
      <c r="BX9" s="136">
        <f>22*2.54</f>
        <v>55.88</v>
      </c>
      <c r="BY9" s="136">
        <v>50</v>
      </c>
      <c r="BZ9" s="136">
        <v>50</v>
      </c>
      <c r="CA9" s="136">
        <v>50</v>
      </c>
      <c r="CB9" s="136">
        <v>55</v>
      </c>
      <c r="CC9" s="136">
        <v>51</v>
      </c>
      <c r="CD9" s="136">
        <v>51</v>
      </c>
      <c r="CE9" s="136">
        <v>50</v>
      </c>
      <c r="CF9" s="136">
        <v>48</v>
      </c>
      <c r="CG9" s="136">
        <v>40</v>
      </c>
      <c r="CH9" s="136">
        <v>50</v>
      </c>
      <c r="CI9" s="136">
        <v>45</v>
      </c>
      <c r="CJ9" s="136">
        <v>48</v>
      </c>
      <c r="CK9" s="136">
        <v>50</v>
      </c>
      <c r="CL9" s="136">
        <v>55</v>
      </c>
      <c r="CM9" s="140">
        <v>45</v>
      </c>
      <c r="CN9" s="136">
        <v>37.5</v>
      </c>
      <c r="CO9" s="136">
        <v>38</v>
      </c>
      <c r="CP9" s="136">
        <v>37.5</v>
      </c>
      <c r="CQ9" s="136">
        <v>45</v>
      </c>
      <c r="CR9" s="136">
        <v>50</v>
      </c>
      <c r="CS9" s="136">
        <v>51</v>
      </c>
      <c r="CT9" s="136">
        <v>48</v>
      </c>
      <c r="CU9" s="136">
        <v>45</v>
      </c>
      <c r="CV9" s="136">
        <v>50</v>
      </c>
      <c r="CW9" s="136">
        <v>55</v>
      </c>
      <c r="CX9" s="136">
        <v>58.5</v>
      </c>
      <c r="CY9" s="136">
        <v>50</v>
      </c>
      <c r="CZ9" s="136">
        <v>48</v>
      </c>
      <c r="DA9" s="136">
        <v>50</v>
      </c>
      <c r="DB9" s="136">
        <v>50</v>
      </c>
      <c r="DC9" s="136">
        <v>45</v>
      </c>
      <c r="DD9" s="136">
        <v>45</v>
      </c>
      <c r="DE9" s="136">
        <v>40</v>
      </c>
      <c r="DF9" s="136">
        <v>58</v>
      </c>
      <c r="DG9" s="136">
        <v>50</v>
      </c>
      <c r="DH9" s="136">
        <v>50</v>
      </c>
      <c r="DI9" s="136">
        <v>49</v>
      </c>
      <c r="DJ9" s="136">
        <v>43</v>
      </c>
      <c r="DK9" s="136">
        <v>51</v>
      </c>
      <c r="DL9" s="136">
        <v>48</v>
      </c>
      <c r="DM9" s="136">
        <v>44.5</v>
      </c>
      <c r="DN9" s="136">
        <v>51</v>
      </c>
      <c r="DO9" s="136">
        <v>50</v>
      </c>
      <c r="DP9" s="136">
        <v>48</v>
      </c>
      <c r="DQ9" s="140">
        <v>45</v>
      </c>
      <c r="DR9" s="136">
        <v>59</v>
      </c>
      <c r="DS9" s="136">
        <v>55</v>
      </c>
      <c r="DT9" s="136">
        <v>35</v>
      </c>
      <c r="DU9" s="136">
        <v>50</v>
      </c>
    </row>
    <row r="10" spans="2:125" ht="14.25" x14ac:dyDescent="0.45">
      <c r="B10" s="134" t="s">
        <v>467</v>
      </c>
      <c r="C10" s="136">
        <v>71</v>
      </c>
      <c r="D10" s="136">
        <v>61</v>
      </c>
      <c r="E10" s="136">
        <v>52</v>
      </c>
      <c r="F10" s="136">
        <v>57</v>
      </c>
      <c r="G10" s="136">
        <v>48</v>
      </c>
      <c r="H10" s="136">
        <v>48</v>
      </c>
      <c r="I10" s="136">
        <v>50</v>
      </c>
      <c r="J10" s="136">
        <v>52</v>
      </c>
      <c r="K10" s="136">
        <v>56</v>
      </c>
      <c r="L10" s="136">
        <v>51</v>
      </c>
      <c r="M10" s="136">
        <v>57</v>
      </c>
      <c r="N10" s="136">
        <v>65</v>
      </c>
      <c r="O10" s="136">
        <v>76</v>
      </c>
      <c r="P10" s="136">
        <v>76</v>
      </c>
      <c r="Q10" s="136">
        <v>58</v>
      </c>
      <c r="R10" s="136">
        <v>67</v>
      </c>
      <c r="S10" s="136">
        <v>48</v>
      </c>
      <c r="T10" s="136">
        <v>48</v>
      </c>
      <c r="U10" s="136">
        <v>62</v>
      </c>
      <c r="V10" s="136">
        <f>19*2.54</f>
        <v>48.26</v>
      </c>
      <c r="W10" s="136">
        <v>67</v>
      </c>
      <c r="X10" s="136">
        <v>78</v>
      </c>
      <c r="Y10" s="136">
        <v>47</v>
      </c>
      <c r="Z10" s="136">
        <v>60</v>
      </c>
      <c r="AA10" s="136">
        <v>85</v>
      </c>
      <c r="AB10" s="136">
        <v>55</v>
      </c>
      <c r="AC10" s="136">
        <v>48</v>
      </c>
      <c r="AD10" s="136">
        <v>50</v>
      </c>
      <c r="AE10" s="136">
        <v>48</v>
      </c>
      <c r="AF10" s="136">
        <v>72</v>
      </c>
      <c r="AG10" s="136">
        <v>74</v>
      </c>
      <c r="AH10" s="136">
        <f>23.5*2.54</f>
        <v>59.69</v>
      </c>
      <c r="AI10" s="136">
        <f>23.5*2.54</f>
        <v>59.69</v>
      </c>
      <c r="AJ10" s="136">
        <v>55</v>
      </c>
      <c r="AK10" s="136">
        <v>55</v>
      </c>
      <c r="AL10" s="136">
        <v>55</v>
      </c>
      <c r="AM10" s="136">
        <f>20.5*2.54</f>
        <v>52.07</v>
      </c>
      <c r="AN10" s="136">
        <v>54</v>
      </c>
      <c r="AO10" s="136">
        <f>19*2.54</f>
        <v>48.26</v>
      </c>
      <c r="AP10" s="136">
        <v>67</v>
      </c>
      <c r="AQ10" s="136">
        <v>56</v>
      </c>
      <c r="AR10" s="136">
        <f>23.5*2.54</f>
        <v>59.69</v>
      </c>
      <c r="AS10" s="136">
        <v>92</v>
      </c>
      <c r="AT10" s="136">
        <f>23.5*2.54</f>
        <v>59.69</v>
      </c>
      <c r="AU10" s="140">
        <f>40.3*2.54</f>
        <v>102.36199999999999</v>
      </c>
      <c r="AV10" s="140">
        <v>85</v>
      </c>
      <c r="AW10" s="136">
        <v>48</v>
      </c>
      <c r="AX10" s="136">
        <v>54</v>
      </c>
      <c r="AY10" s="136">
        <v>48</v>
      </c>
      <c r="AZ10" s="136">
        <v>59</v>
      </c>
      <c r="BA10" s="136">
        <v>52</v>
      </c>
      <c r="BB10" s="136">
        <v>90</v>
      </c>
      <c r="BC10" s="136">
        <v>48</v>
      </c>
      <c r="BD10" s="136">
        <v>59.5</v>
      </c>
      <c r="BE10" s="136">
        <v>59.5</v>
      </c>
      <c r="BF10" s="136">
        <v>46</v>
      </c>
      <c r="BG10" s="136">
        <v>72</v>
      </c>
      <c r="BH10" s="136">
        <v>88</v>
      </c>
      <c r="BI10" s="136">
        <v>72</v>
      </c>
      <c r="BJ10" s="136">
        <v>88</v>
      </c>
      <c r="BK10" s="136">
        <v>62</v>
      </c>
      <c r="BL10" s="136">
        <v>62</v>
      </c>
      <c r="BM10" s="136">
        <v>48</v>
      </c>
      <c r="BN10" s="136">
        <v>48</v>
      </c>
      <c r="BO10" s="136">
        <v>56</v>
      </c>
      <c r="BP10" s="140">
        <v>85</v>
      </c>
      <c r="BQ10" s="140">
        <v>59</v>
      </c>
      <c r="BR10" s="140">
        <v>59</v>
      </c>
      <c r="BS10" s="140">
        <v>49</v>
      </c>
      <c r="BT10" s="140">
        <v>59</v>
      </c>
      <c r="BU10" s="140">
        <v>85</v>
      </c>
      <c r="BV10" s="140">
        <v>59</v>
      </c>
      <c r="BW10" s="140">
        <v>59</v>
      </c>
      <c r="BX10" s="136">
        <f>23.5*2.54</f>
        <v>59.69</v>
      </c>
      <c r="BY10" s="136">
        <v>63</v>
      </c>
      <c r="BZ10" s="136">
        <v>76</v>
      </c>
      <c r="CA10" s="136">
        <v>80</v>
      </c>
      <c r="CB10" s="136">
        <v>100.5</v>
      </c>
      <c r="CC10" s="136">
        <v>72</v>
      </c>
      <c r="CD10" s="136">
        <v>72</v>
      </c>
      <c r="CE10" s="136">
        <v>85</v>
      </c>
      <c r="CF10" s="136">
        <v>56</v>
      </c>
      <c r="CG10" s="136">
        <v>52</v>
      </c>
      <c r="CH10" s="136">
        <v>69</v>
      </c>
      <c r="CI10" s="136">
        <v>75</v>
      </c>
      <c r="CJ10" s="136">
        <v>56</v>
      </c>
      <c r="CK10" s="136">
        <v>80</v>
      </c>
      <c r="CL10" s="136">
        <v>100.5</v>
      </c>
      <c r="CM10" s="140">
        <v>49</v>
      </c>
      <c r="CN10" s="136">
        <v>48</v>
      </c>
      <c r="CO10" s="136">
        <v>50</v>
      </c>
      <c r="CP10" s="136">
        <v>48</v>
      </c>
      <c r="CQ10" s="136">
        <v>75</v>
      </c>
      <c r="CR10" s="136">
        <v>85</v>
      </c>
      <c r="CS10" s="136">
        <v>59</v>
      </c>
      <c r="CT10" s="136">
        <v>52</v>
      </c>
      <c r="CU10" s="136">
        <v>75</v>
      </c>
      <c r="CV10" s="136">
        <v>80</v>
      </c>
      <c r="CW10" s="136">
        <v>100.5</v>
      </c>
      <c r="CX10" s="136">
        <v>68.7</v>
      </c>
      <c r="CY10" s="136">
        <v>63</v>
      </c>
      <c r="CZ10" s="136">
        <v>56</v>
      </c>
      <c r="DA10" s="136">
        <v>52</v>
      </c>
      <c r="DB10" s="136">
        <v>65</v>
      </c>
      <c r="DC10" s="136">
        <v>70</v>
      </c>
      <c r="DD10" s="136">
        <v>70</v>
      </c>
      <c r="DE10" s="136">
        <v>68</v>
      </c>
      <c r="DF10" s="136">
        <v>63</v>
      </c>
      <c r="DG10" s="136">
        <v>63</v>
      </c>
      <c r="DH10" s="136">
        <v>59</v>
      </c>
      <c r="DI10" s="136">
        <v>55</v>
      </c>
      <c r="DJ10" s="136">
        <v>48</v>
      </c>
      <c r="DK10" s="136">
        <v>59</v>
      </c>
      <c r="DL10" s="136">
        <v>52</v>
      </c>
      <c r="DM10" s="136">
        <v>74.5</v>
      </c>
      <c r="DN10" s="136">
        <v>59</v>
      </c>
      <c r="DO10" s="136">
        <v>69</v>
      </c>
      <c r="DP10" s="136">
        <v>68.5</v>
      </c>
      <c r="DQ10" s="140">
        <v>49</v>
      </c>
      <c r="DR10" s="136">
        <v>70</v>
      </c>
      <c r="DS10" s="136">
        <v>80</v>
      </c>
      <c r="DT10" s="136">
        <v>46</v>
      </c>
      <c r="DU10" s="136">
        <v>52</v>
      </c>
    </row>
    <row r="11" spans="2:125" ht="14.25" x14ac:dyDescent="0.45">
      <c r="B11" s="134" t="s">
        <v>468</v>
      </c>
      <c r="C11" s="136">
        <v>15</v>
      </c>
      <c r="D11" s="136">
        <v>11</v>
      </c>
      <c r="E11" s="136">
        <v>12</v>
      </c>
      <c r="F11" s="136">
        <v>10</v>
      </c>
      <c r="G11" s="136">
        <v>11</v>
      </c>
      <c r="H11" s="136">
        <v>11</v>
      </c>
      <c r="I11" s="136">
        <v>11</v>
      </c>
      <c r="J11" s="136">
        <v>14</v>
      </c>
      <c r="K11" s="136">
        <v>14</v>
      </c>
      <c r="L11" s="136">
        <v>10</v>
      </c>
      <c r="M11" s="136">
        <v>10</v>
      </c>
      <c r="N11" s="136">
        <v>10</v>
      </c>
      <c r="O11" s="136">
        <v>12</v>
      </c>
      <c r="P11" s="136">
        <v>12</v>
      </c>
      <c r="Q11" s="136">
        <v>10</v>
      </c>
      <c r="R11" s="136">
        <v>10</v>
      </c>
      <c r="S11" s="136">
        <v>10</v>
      </c>
      <c r="T11" s="136">
        <v>10</v>
      </c>
      <c r="U11" s="136">
        <v>11</v>
      </c>
      <c r="V11" s="136">
        <f>4*2.54</f>
        <v>10.16</v>
      </c>
      <c r="W11" s="136">
        <v>15</v>
      </c>
      <c r="X11" s="136">
        <v>16</v>
      </c>
      <c r="Y11" s="136">
        <v>12</v>
      </c>
      <c r="Z11" s="136">
        <v>9</v>
      </c>
      <c r="AA11" s="136">
        <v>10</v>
      </c>
      <c r="AB11" s="136">
        <v>8</v>
      </c>
      <c r="AC11" s="136">
        <v>11</v>
      </c>
      <c r="AD11" s="136">
        <v>11</v>
      </c>
      <c r="AE11" s="136">
        <v>11</v>
      </c>
      <c r="AF11" s="136">
        <v>16</v>
      </c>
      <c r="AG11" s="136">
        <v>18</v>
      </c>
      <c r="AH11" s="136">
        <v>14</v>
      </c>
      <c r="AI11" s="136">
        <v>14</v>
      </c>
      <c r="AJ11" s="136">
        <v>11</v>
      </c>
      <c r="AK11" s="136">
        <v>11</v>
      </c>
      <c r="AL11" s="136">
        <v>11</v>
      </c>
      <c r="AM11" s="136">
        <f>4.5*2.54</f>
        <v>11.43</v>
      </c>
      <c r="AN11" s="136">
        <v>13</v>
      </c>
      <c r="AO11" s="136">
        <f>4*2.54</f>
        <v>10.16</v>
      </c>
      <c r="AP11" s="136">
        <v>15</v>
      </c>
      <c r="AQ11" s="136">
        <v>11</v>
      </c>
      <c r="AR11" s="136">
        <f>6*2.54</f>
        <v>15.24</v>
      </c>
      <c r="AS11" s="136">
        <v>14</v>
      </c>
      <c r="AT11" s="136">
        <f>6*2.54</f>
        <v>15.24</v>
      </c>
      <c r="AU11" s="136">
        <f>5.5*2.54</f>
        <v>13.97</v>
      </c>
      <c r="AV11" s="140">
        <v>13</v>
      </c>
      <c r="AW11" s="136">
        <v>13</v>
      </c>
      <c r="AX11" s="136">
        <v>11</v>
      </c>
      <c r="AY11" s="136">
        <v>13</v>
      </c>
      <c r="AZ11" s="136">
        <v>12</v>
      </c>
      <c r="BA11" s="136">
        <v>11</v>
      </c>
      <c r="BB11" s="136">
        <v>14</v>
      </c>
      <c r="BC11" s="136">
        <v>13</v>
      </c>
      <c r="BD11" s="136">
        <v>12</v>
      </c>
      <c r="BE11" s="136">
        <v>9.5</v>
      </c>
      <c r="BF11" s="136">
        <v>9</v>
      </c>
      <c r="BG11" s="136">
        <v>10</v>
      </c>
      <c r="BH11" s="136">
        <v>10</v>
      </c>
      <c r="BI11" s="136">
        <v>10</v>
      </c>
      <c r="BJ11" s="136">
        <v>10</v>
      </c>
      <c r="BK11" s="136">
        <v>11</v>
      </c>
      <c r="BL11" s="136">
        <v>11</v>
      </c>
      <c r="BM11" s="136">
        <v>11</v>
      </c>
      <c r="BN11" s="136">
        <v>13</v>
      </c>
      <c r="BO11" s="136">
        <v>10</v>
      </c>
      <c r="BP11" s="140">
        <v>13</v>
      </c>
      <c r="BQ11" s="140">
        <v>12.5</v>
      </c>
      <c r="BR11" s="140">
        <v>10</v>
      </c>
      <c r="BS11" s="140">
        <v>10</v>
      </c>
      <c r="BT11" s="140">
        <v>16</v>
      </c>
      <c r="BU11" s="140">
        <v>13</v>
      </c>
      <c r="BV11" s="140">
        <v>12.5</v>
      </c>
      <c r="BW11" s="140">
        <v>10</v>
      </c>
      <c r="BX11" s="136">
        <f>6*2.54</f>
        <v>15.24</v>
      </c>
      <c r="BY11" s="136">
        <v>11</v>
      </c>
      <c r="BZ11" s="136">
        <v>14</v>
      </c>
      <c r="CA11" s="136">
        <v>18</v>
      </c>
      <c r="CB11" s="136">
        <v>17</v>
      </c>
      <c r="CC11" s="136">
        <v>16</v>
      </c>
      <c r="CD11" s="136">
        <v>16</v>
      </c>
      <c r="CE11" s="136">
        <v>13</v>
      </c>
      <c r="CF11" s="136">
        <v>15</v>
      </c>
      <c r="CG11" s="136">
        <v>12</v>
      </c>
      <c r="CH11" s="136">
        <v>10</v>
      </c>
      <c r="CI11" s="136">
        <v>13</v>
      </c>
      <c r="CJ11" s="136">
        <v>15</v>
      </c>
      <c r="CK11" s="136">
        <v>18</v>
      </c>
      <c r="CL11" s="136">
        <v>17</v>
      </c>
      <c r="CM11" s="140">
        <v>10</v>
      </c>
      <c r="CN11" s="136">
        <v>11</v>
      </c>
      <c r="CO11" s="136">
        <v>11</v>
      </c>
      <c r="CP11" s="136">
        <v>11</v>
      </c>
      <c r="CQ11" s="136">
        <v>13</v>
      </c>
      <c r="CR11" s="136">
        <v>13</v>
      </c>
      <c r="CS11" s="136">
        <v>12</v>
      </c>
      <c r="CT11" s="136">
        <v>11</v>
      </c>
      <c r="CU11" s="136">
        <v>13</v>
      </c>
      <c r="CV11" s="136">
        <v>18</v>
      </c>
      <c r="CW11" s="136">
        <v>17</v>
      </c>
      <c r="CX11" s="136">
        <v>15.3</v>
      </c>
      <c r="CY11" s="136">
        <v>11</v>
      </c>
      <c r="CZ11" s="136">
        <v>15</v>
      </c>
      <c r="DA11" s="136">
        <v>11</v>
      </c>
      <c r="DB11" s="136">
        <v>11</v>
      </c>
      <c r="DC11" s="136">
        <v>13</v>
      </c>
      <c r="DD11" s="136">
        <v>13</v>
      </c>
      <c r="DE11" s="136">
        <v>13</v>
      </c>
      <c r="DF11" s="136">
        <v>16</v>
      </c>
      <c r="DG11" s="136">
        <v>16</v>
      </c>
      <c r="DH11" s="136">
        <v>16</v>
      </c>
      <c r="DI11" s="136">
        <v>16</v>
      </c>
      <c r="DJ11" s="136">
        <v>13</v>
      </c>
      <c r="DK11" s="136">
        <v>12</v>
      </c>
      <c r="DL11" s="136">
        <v>11</v>
      </c>
      <c r="DM11" s="136">
        <v>12</v>
      </c>
      <c r="DN11" s="136">
        <v>12</v>
      </c>
      <c r="DO11" s="136">
        <v>10</v>
      </c>
      <c r="DP11" s="136">
        <v>12.5</v>
      </c>
      <c r="DQ11" s="140">
        <v>10</v>
      </c>
      <c r="DR11" s="136">
        <v>16</v>
      </c>
      <c r="DS11" s="136">
        <v>13</v>
      </c>
      <c r="DT11" s="136">
        <v>9</v>
      </c>
      <c r="DU11" s="136">
        <v>11</v>
      </c>
    </row>
    <row r="12" spans="2:125" ht="14.25" x14ac:dyDescent="0.45">
      <c r="B12" s="134" t="s">
        <v>469</v>
      </c>
      <c r="C12" s="136">
        <v>18</v>
      </c>
      <c r="D12" s="136">
        <v>13</v>
      </c>
      <c r="E12" s="136">
        <v>15</v>
      </c>
      <c r="F12" s="136">
        <v>13</v>
      </c>
      <c r="G12" s="136">
        <v>13</v>
      </c>
      <c r="H12" s="136">
        <v>13</v>
      </c>
      <c r="I12" s="136">
        <v>13</v>
      </c>
      <c r="J12" s="136">
        <v>18</v>
      </c>
      <c r="K12" s="136">
        <v>18</v>
      </c>
      <c r="L12" s="136">
        <v>14</v>
      </c>
      <c r="M12" s="136">
        <v>14</v>
      </c>
      <c r="N12" s="136">
        <v>14</v>
      </c>
      <c r="O12" s="136">
        <v>16</v>
      </c>
      <c r="P12" s="136">
        <v>16</v>
      </c>
      <c r="Q12" s="136">
        <v>14</v>
      </c>
      <c r="R12" s="136">
        <v>14</v>
      </c>
      <c r="S12" s="136">
        <v>14</v>
      </c>
      <c r="T12" s="136">
        <v>14</v>
      </c>
      <c r="U12" s="136">
        <v>15</v>
      </c>
      <c r="V12" s="136">
        <v>15</v>
      </c>
      <c r="W12" s="136">
        <v>22</v>
      </c>
      <c r="X12" s="136">
        <v>20</v>
      </c>
      <c r="Y12" s="136">
        <v>16</v>
      </c>
      <c r="Z12" s="136">
        <v>13</v>
      </c>
      <c r="AA12" s="136">
        <v>15</v>
      </c>
      <c r="AB12" s="136">
        <v>13</v>
      </c>
      <c r="AC12" s="136">
        <v>13</v>
      </c>
      <c r="AD12" s="136">
        <v>13</v>
      </c>
      <c r="AE12" s="136">
        <v>13</v>
      </c>
      <c r="AF12" s="136">
        <v>20</v>
      </c>
      <c r="AG12" s="136">
        <v>22</v>
      </c>
      <c r="AH12" s="136">
        <v>17</v>
      </c>
      <c r="AI12" s="136">
        <v>17</v>
      </c>
      <c r="AJ12" s="136">
        <v>16</v>
      </c>
      <c r="AK12" s="136">
        <v>16</v>
      </c>
      <c r="AL12" s="136">
        <v>16</v>
      </c>
      <c r="AM12" s="136">
        <v>16</v>
      </c>
      <c r="AN12" s="136">
        <v>15</v>
      </c>
      <c r="AO12" s="136">
        <v>16</v>
      </c>
      <c r="AP12" s="136">
        <v>20</v>
      </c>
      <c r="AQ12" s="136">
        <v>20</v>
      </c>
      <c r="AR12" s="136">
        <v>22</v>
      </c>
      <c r="AS12" s="136">
        <v>20</v>
      </c>
      <c r="AT12" s="136">
        <v>22</v>
      </c>
      <c r="AU12" s="136">
        <v>0</v>
      </c>
      <c r="AV12" s="136">
        <v>0</v>
      </c>
      <c r="AW12" s="136">
        <v>16</v>
      </c>
      <c r="AX12" s="136">
        <v>16</v>
      </c>
      <c r="AY12" s="136">
        <v>16</v>
      </c>
      <c r="AZ12" s="136">
        <v>16</v>
      </c>
      <c r="BA12" s="136">
        <v>15</v>
      </c>
      <c r="BB12" s="136">
        <v>0</v>
      </c>
      <c r="BC12" s="136">
        <v>16</v>
      </c>
      <c r="BD12" s="136">
        <v>15</v>
      </c>
      <c r="BE12" s="136">
        <v>12</v>
      </c>
      <c r="BF12" s="136">
        <v>12</v>
      </c>
      <c r="BG12" s="136">
        <v>13</v>
      </c>
      <c r="BH12" s="136">
        <v>13</v>
      </c>
      <c r="BI12" s="136">
        <v>13</v>
      </c>
      <c r="BJ12" s="136">
        <v>13</v>
      </c>
      <c r="BK12" s="136">
        <v>15</v>
      </c>
      <c r="BL12" s="136">
        <v>15</v>
      </c>
      <c r="BM12" s="136">
        <v>13</v>
      </c>
      <c r="BN12" s="136">
        <v>16</v>
      </c>
      <c r="BO12" s="136">
        <v>13</v>
      </c>
      <c r="BP12" s="136">
        <v>0</v>
      </c>
      <c r="BQ12" s="136">
        <v>15</v>
      </c>
      <c r="BR12" s="136">
        <v>15</v>
      </c>
      <c r="BS12" s="136">
        <v>15</v>
      </c>
      <c r="BT12" s="140">
        <v>20</v>
      </c>
      <c r="BU12" s="140">
        <v>16</v>
      </c>
      <c r="BV12" s="136">
        <v>15</v>
      </c>
      <c r="BW12" s="136">
        <v>15</v>
      </c>
      <c r="BX12" s="136">
        <v>22</v>
      </c>
      <c r="BY12" s="136">
        <v>14</v>
      </c>
      <c r="BZ12" s="136">
        <v>16</v>
      </c>
      <c r="CA12" s="136">
        <v>0</v>
      </c>
      <c r="CB12" s="136">
        <v>0</v>
      </c>
      <c r="CC12" s="136">
        <v>0</v>
      </c>
      <c r="CD12" s="136">
        <v>0</v>
      </c>
      <c r="CE12" s="136">
        <v>0</v>
      </c>
      <c r="CF12" s="136">
        <v>16</v>
      </c>
      <c r="CG12" s="136">
        <v>15</v>
      </c>
      <c r="CH12" s="136">
        <v>14</v>
      </c>
      <c r="CI12" s="136">
        <v>15</v>
      </c>
      <c r="CJ12" s="136">
        <v>16</v>
      </c>
      <c r="CK12" s="136">
        <v>0</v>
      </c>
      <c r="CL12" s="136">
        <v>0</v>
      </c>
      <c r="CM12" s="136">
        <v>15</v>
      </c>
      <c r="CN12" s="136">
        <v>13</v>
      </c>
      <c r="CO12" s="136">
        <v>13</v>
      </c>
      <c r="CP12" s="136">
        <v>13</v>
      </c>
      <c r="CQ12" s="136">
        <v>15</v>
      </c>
      <c r="CR12" s="136">
        <v>0</v>
      </c>
      <c r="CS12" s="136">
        <v>16</v>
      </c>
      <c r="CT12" s="136">
        <v>15</v>
      </c>
      <c r="CU12" s="136">
        <v>15</v>
      </c>
      <c r="CV12" s="136">
        <v>0</v>
      </c>
      <c r="CW12" s="136">
        <v>0</v>
      </c>
      <c r="CX12" s="136">
        <v>18</v>
      </c>
      <c r="CY12" s="136">
        <v>15</v>
      </c>
      <c r="CZ12" s="136">
        <v>16</v>
      </c>
      <c r="DA12" s="136">
        <v>15</v>
      </c>
      <c r="DB12" s="136">
        <v>15</v>
      </c>
      <c r="DC12" s="136">
        <v>16</v>
      </c>
      <c r="DD12" s="136">
        <v>16</v>
      </c>
      <c r="DE12" s="136">
        <v>16</v>
      </c>
      <c r="DF12" s="136">
        <v>18</v>
      </c>
      <c r="DG12" s="136">
        <v>18</v>
      </c>
      <c r="DH12" s="136">
        <v>18</v>
      </c>
      <c r="DI12" s="136">
        <v>18</v>
      </c>
      <c r="DJ12" s="136">
        <v>16</v>
      </c>
      <c r="DK12" s="136">
        <v>16</v>
      </c>
      <c r="DL12" s="136">
        <v>15</v>
      </c>
      <c r="DM12" s="136">
        <v>16</v>
      </c>
      <c r="DN12" s="136">
        <v>16</v>
      </c>
      <c r="DO12" s="136">
        <v>14</v>
      </c>
      <c r="DP12" s="136">
        <v>14</v>
      </c>
      <c r="DQ12" s="136">
        <v>15</v>
      </c>
      <c r="DR12" s="136">
        <v>0</v>
      </c>
      <c r="DS12" s="136">
        <v>0</v>
      </c>
      <c r="DT12" s="136">
        <v>13</v>
      </c>
      <c r="DU12" s="136">
        <v>15</v>
      </c>
    </row>
    <row r="13" spans="2:125" ht="14.25" x14ac:dyDescent="0.45">
      <c r="B13" s="134" t="s">
        <v>470</v>
      </c>
      <c r="C13" s="136">
        <v>0</v>
      </c>
      <c r="D13" s="136">
        <v>0</v>
      </c>
      <c r="E13" s="136">
        <v>0</v>
      </c>
      <c r="F13" s="136">
        <v>0</v>
      </c>
      <c r="G13" s="136">
        <v>1.5</v>
      </c>
      <c r="H13" s="136">
        <v>1.5</v>
      </c>
      <c r="I13" s="136">
        <v>1.5</v>
      </c>
      <c r="J13" s="136">
        <v>0</v>
      </c>
      <c r="K13" s="136">
        <v>0</v>
      </c>
      <c r="L13" s="136">
        <v>0</v>
      </c>
      <c r="M13" s="136">
        <v>0</v>
      </c>
      <c r="N13" s="136">
        <v>0</v>
      </c>
      <c r="O13" s="136">
        <v>0</v>
      </c>
      <c r="P13" s="136">
        <v>0</v>
      </c>
      <c r="Q13" s="136">
        <v>0</v>
      </c>
      <c r="R13" s="136">
        <v>0</v>
      </c>
      <c r="S13" s="136">
        <v>0</v>
      </c>
      <c r="T13" s="136">
        <v>0</v>
      </c>
      <c r="U13" s="136">
        <v>0</v>
      </c>
      <c r="V13" s="136">
        <v>0</v>
      </c>
      <c r="W13" s="136">
        <v>1.5</v>
      </c>
      <c r="X13" s="136">
        <v>0</v>
      </c>
      <c r="Y13" s="136">
        <v>0</v>
      </c>
      <c r="Z13" s="136">
        <v>0</v>
      </c>
      <c r="AA13" s="136">
        <v>0</v>
      </c>
      <c r="AB13" s="136">
        <v>0</v>
      </c>
      <c r="AC13" s="136">
        <v>1.5</v>
      </c>
      <c r="AD13" s="136">
        <v>1.5</v>
      </c>
      <c r="AE13" s="136">
        <v>1.5</v>
      </c>
      <c r="AF13" s="136">
        <v>0</v>
      </c>
      <c r="AG13" s="136">
        <v>0</v>
      </c>
      <c r="AH13" s="136">
        <v>0</v>
      </c>
      <c r="AI13" s="136">
        <v>0</v>
      </c>
      <c r="AJ13" s="136">
        <v>0</v>
      </c>
      <c r="AK13" s="136">
        <v>0</v>
      </c>
      <c r="AL13" s="136">
        <v>0</v>
      </c>
      <c r="AM13" s="136">
        <v>0</v>
      </c>
      <c r="AN13" s="136">
        <v>0</v>
      </c>
      <c r="AO13" s="136">
        <v>0</v>
      </c>
      <c r="AP13" s="136">
        <v>0</v>
      </c>
      <c r="AQ13" s="136">
        <v>0</v>
      </c>
      <c r="AR13" s="136">
        <v>0</v>
      </c>
      <c r="AS13" s="136">
        <v>0</v>
      </c>
      <c r="AT13" s="136">
        <v>0</v>
      </c>
      <c r="AU13" s="136">
        <v>0</v>
      </c>
      <c r="AV13" s="136">
        <v>0</v>
      </c>
      <c r="AW13" s="136">
        <v>0</v>
      </c>
      <c r="AX13" s="136">
        <v>0</v>
      </c>
      <c r="AY13" s="136">
        <v>0</v>
      </c>
      <c r="AZ13" s="136">
        <v>0</v>
      </c>
      <c r="BA13" s="136">
        <v>0</v>
      </c>
      <c r="BB13" s="136">
        <v>0</v>
      </c>
      <c r="BC13" s="136">
        <v>0</v>
      </c>
      <c r="BD13" s="136">
        <v>0</v>
      </c>
      <c r="BE13" s="136">
        <v>0</v>
      </c>
      <c r="BF13" s="136">
        <v>0</v>
      </c>
      <c r="BG13" s="136">
        <v>0</v>
      </c>
      <c r="BH13" s="136">
        <v>0</v>
      </c>
      <c r="BI13" s="136">
        <v>0</v>
      </c>
      <c r="BJ13" s="136">
        <v>0</v>
      </c>
      <c r="BK13" s="136">
        <v>0</v>
      </c>
      <c r="BL13" s="136">
        <v>0</v>
      </c>
      <c r="BM13" s="136">
        <v>1.5</v>
      </c>
      <c r="BN13" s="136">
        <v>0</v>
      </c>
      <c r="BO13" s="136">
        <v>0</v>
      </c>
      <c r="BP13" s="136">
        <v>0</v>
      </c>
      <c r="BQ13" s="136">
        <v>0</v>
      </c>
      <c r="BR13" s="136">
        <v>0</v>
      </c>
      <c r="BS13" s="136">
        <v>0</v>
      </c>
      <c r="BT13" s="136">
        <v>0</v>
      </c>
      <c r="BU13" s="136">
        <v>0</v>
      </c>
      <c r="BV13" s="136">
        <v>0</v>
      </c>
      <c r="BW13" s="136">
        <v>0</v>
      </c>
      <c r="BX13" s="136">
        <v>0</v>
      </c>
      <c r="BY13" s="136">
        <v>0</v>
      </c>
      <c r="BZ13" s="136">
        <v>2</v>
      </c>
      <c r="CA13" s="136">
        <v>0</v>
      </c>
      <c r="CB13" s="136">
        <v>0</v>
      </c>
      <c r="CC13" s="136">
        <v>0</v>
      </c>
      <c r="CD13" s="136">
        <v>0</v>
      </c>
      <c r="CE13" s="136">
        <v>0</v>
      </c>
      <c r="CF13" s="136">
        <v>0</v>
      </c>
      <c r="CG13" s="136">
        <v>0</v>
      </c>
      <c r="CH13" s="136">
        <v>0</v>
      </c>
      <c r="CI13" s="136">
        <v>0</v>
      </c>
      <c r="CJ13" s="136">
        <v>0</v>
      </c>
      <c r="CK13" s="136">
        <v>0</v>
      </c>
      <c r="CL13" s="136">
        <v>0</v>
      </c>
      <c r="CM13" s="136">
        <v>0</v>
      </c>
      <c r="CN13" s="136">
        <v>1.5</v>
      </c>
      <c r="CO13" s="136">
        <v>1.5</v>
      </c>
      <c r="CP13" s="136">
        <v>1.5</v>
      </c>
      <c r="CQ13" s="136">
        <v>0</v>
      </c>
      <c r="CR13" s="136">
        <v>0</v>
      </c>
      <c r="CS13" s="136">
        <v>0</v>
      </c>
      <c r="CT13" s="136">
        <v>0</v>
      </c>
      <c r="CU13" s="136">
        <v>0</v>
      </c>
      <c r="CV13" s="136">
        <v>0</v>
      </c>
      <c r="CW13" s="136">
        <v>0</v>
      </c>
      <c r="CX13" s="136">
        <v>1.5</v>
      </c>
      <c r="CY13" s="136">
        <v>0</v>
      </c>
      <c r="CZ13" s="136">
        <v>0</v>
      </c>
      <c r="DA13" s="136">
        <v>0</v>
      </c>
      <c r="DB13" s="136">
        <v>0</v>
      </c>
      <c r="DC13" s="136">
        <v>0</v>
      </c>
      <c r="DD13" s="136">
        <v>0</v>
      </c>
      <c r="DE13" s="136">
        <v>0</v>
      </c>
      <c r="DF13" s="136">
        <v>0</v>
      </c>
      <c r="DG13" s="136">
        <v>0</v>
      </c>
      <c r="DH13" s="136">
        <v>0</v>
      </c>
      <c r="DI13" s="136">
        <v>0</v>
      </c>
      <c r="DJ13" s="136">
        <v>0</v>
      </c>
      <c r="DK13" s="136">
        <v>0</v>
      </c>
      <c r="DL13" s="136">
        <v>0</v>
      </c>
      <c r="DM13" s="136">
        <v>0</v>
      </c>
      <c r="DN13" s="136">
        <v>0</v>
      </c>
      <c r="DO13" s="136">
        <v>0</v>
      </c>
      <c r="DP13" s="136">
        <v>0</v>
      </c>
      <c r="DQ13" s="136">
        <v>0</v>
      </c>
      <c r="DR13" s="136">
        <v>0</v>
      </c>
      <c r="DS13" s="136">
        <v>0</v>
      </c>
      <c r="DT13" s="136">
        <v>0</v>
      </c>
      <c r="DU13" s="136">
        <v>0</v>
      </c>
    </row>
    <row r="14" spans="2:125" ht="14.25" x14ac:dyDescent="0.45">
      <c r="B14" s="134" t="s">
        <v>245</v>
      </c>
      <c r="C14" s="136">
        <v>65</v>
      </c>
      <c r="D14" s="136">
        <v>65</v>
      </c>
      <c r="E14" s="136">
        <v>65</v>
      </c>
      <c r="F14" s="136">
        <v>65</v>
      </c>
      <c r="G14" s="136">
        <v>66</v>
      </c>
      <c r="H14" s="136">
        <v>66</v>
      </c>
      <c r="I14" s="136">
        <v>67.099999999999994</v>
      </c>
      <c r="J14" s="136">
        <v>53</v>
      </c>
      <c r="K14" s="136">
        <v>45</v>
      </c>
      <c r="L14" s="136">
        <v>47</v>
      </c>
      <c r="M14" s="136">
        <v>52</v>
      </c>
      <c r="N14" s="136">
        <v>60</v>
      </c>
      <c r="O14" s="136">
        <v>65</v>
      </c>
      <c r="P14" s="136">
        <v>65</v>
      </c>
      <c r="Q14" s="136">
        <v>55</v>
      </c>
      <c r="R14" s="136">
        <v>55</v>
      </c>
      <c r="S14" s="136">
        <v>65</v>
      </c>
      <c r="T14" s="136">
        <v>63</v>
      </c>
      <c r="U14" s="136">
        <v>55</v>
      </c>
      <c r="V14" s="136">
        <v>65</v>
      </c>
      <c r="W14" s="136">
        <v>57</v>
      </c>
      <c r="X14" s="136">
        <v>65</v>
      </c>
      <c r="Y14" s="136">
        <v>66</v>
      </c>
      <c r="Z14" s="136">
        <v>59.1</v>
      </c>
      <c r="AA14" s="136">
        <v>57</v>
      </c>
      <c r="AB14" s="136">
        <v>57</v>
      </c>
      <c r="AC14" s="136">
        <v>66</v>
      </c>
      <c r="AD14" s="136">
        <v>67.099999999999994</v>
      </c>
      <c r="AE14" s="136">
        <v>66</v>
      </c>
      <c r="AF14" s="136">
        <v>65</v>
      </c>
      <c r="AG14" s="136">
        <v>60</v>
      </c>
      <c r="AH14" s="136">
        <v>64</v>
      </c>
      <c r="AI14" s="136">
        <v>64</v>
      </c>
      <c r="AJ14" s="136">
        <v>65</v>
      </c>
      <c r="AK14" s="136">
        <v>65</v>
      </c>
      <c r="AL14" s="136">
        <v>65</v>
      </c>
      <c r="AM14" s="136">
        <v>60</v>
      </c>
      <c r="AN14" s="136">
        <v>66</v>
      </c>
      <c r="AO14" s="136">
        <v>68</v>
      </c>
      <c r="AP14" s="136">
        <v>100</v>
      </c>
      <c r="AQ14" s="136">
        <v>50</v>
      </c>
      <c r="AR14" s="136">
        <v>65</v>
      </c>
      <c r="AS14" s="136">
        <v>53</v>
      </c>
      <c r="AT14" s="136">
        <v>65</v>
      </c>
      <c r="AU14" s="136">
        <v>68</v>
      </c>
      <c r="AV14" s="136">
        <v>67</v>
      </c>
      <c r="AW14" s="136">
        <v>60</v>
      </c>
      <c r="AX14" s="136">
        <v>60</v>
      </c>
      <c r="AY14" s="136">
        <v>66</v>
      </c>
      <c r="AZ14" s="136">
        <v>58</v>
      </c>
      <c r="BA14" s="136">
        <v>58</v>
      </c>
      <c r="BB14" s="136">
        <v>65</v>
      </c>
      <c r="BC14" s="136">
        <v>64</v>
      </c>
      <c r="BD14" s="136">
        <v>65.040000000000006</v>
      </c>
      <c r="BE14" s="136">
        <v>66.099999999999994</v>
      </c>
      <c r="BF14" s="136">
        <v>68.900000000000006</v>
      </c>
      <c r="BG14" s="136">
        <v>65</v>
      </c>
      <c r="BH14" s="136">
        <v>68.900000000000006</v>
      </c>
      <c r="BI14" s="136">
        <v>65</v>
      </c>
      <c r="BJ14" s="136">
        <v>68.900000000000006</v>
      </c>
      <c r="BK14" s="136">
        <v>65</v>
      </c>
      <c r="BL14" s="136">
        <v>61</v>
      </c>
      <c r="BM14" s="136">
        <v>66</v>
      </c>
      <c r="BN14" s="136">
        <v>64</v>
      </c>
      <c r="BO14" s="136">
        <v>62</v>
      </c>
      <c r="BP14" s="136">
        <v>70</v>
      </c>
      <c r="BQ14" s="136">
        <v>65</v>
      </c>
      <c r="BR14" s="136">
        <v>65.7</v>
      </c>
      <c r="BS14" s="136">
        <v>70</v>
      </c>
      <c r="BT14" s="136">
        <v>65</v>
      </c>
      <c r="BU14" s="136">
        <v>65</v>
      </c>
      <c r="BV14" s="136">
        <v>64.53</v>
      </c>
      <c r="BW14" s="136">
        <v>65.66</v>
      </c>
      <c r="BX14" s="136">
        <v>65</v>
      </c>
      <c r="BY14" s="136">
        <v>65.599999999999994</v>
      </c>
      <c r="BZ14" s="136">
        <v>65</v>
      </c>
      <c r="CA14" s="136">
        <v>65</v>
      </c>
      <c r="CB14" s="136">
        <v>65</v>
      </c>
      <c r="CC14" s="136">
        <v>65</v>
      </c>
      <c r="CD14" s="136">
        <v>65</v>
      </c>
      <c r="CE14" s="136">
        <v>65</v>
      </c>
      <c r="CF14" s="136">
        <v>65</v>
      </c>
      <c r="CG14" s="136">
        <v>66</v>
      </c>
      <c r="CH14" s="136">
        <v>61</v>
      </c>
      <c r="CI14" s="136">
        <v>65</v>
      </c>
      <c r="CJ14" s="136">
        <v>65</v>
      </c>
      <c r="CK14" s="136">
        <v>65</v>
      </c>
      <c r="CL14" s="136">
        <v>65</v>
      </c>
      <c r="CM14" s="136">
        <v>70</v>
      </c>
      <c r="CN14" s="136">
        <v>70.3</v>
      </c>
      <c r="CO14" s="136">
        <v>71.5</v>
      </c>
      <c r="CP14" s="136">
        <v>70.3</v>
      </c>
      <c r="CQ14" s="136">
        <v>65</v>
      </c>
      <c r="CR14" s="136">
        <v>65</v>
      </c>
      <c r="CS14" s="136">
        <v>58</v>
      </c>
      <c r="CT14" s="136">
        <v>58</v>
      </c>
      <c r="CU14" s="136">
        <v>65</v>
      </c>
      <c r="CV14" s="136">
        <v>65</v>
      </c>
      <c r="CW14" s="136">
        <v>65</v>
      </c>
      <c r="CX14" s="136">
        <v>60</v>
      </c>
      <c r="CY14" s="136">
        <v>63.9</v>
      </c>
      <c r="CZ14" s="136">
        <v>65</v>
      </c>
      <c r="DA14" s="136">
        <v>59.62</v>
      </c>
      <c r="DB14" s="136">
        <v>63.41</v>
      </c>
      <c r="DC14" s="136">
        <v>61</v>
      </c>
      <c r="DD14" s="136">
        <v>61</v>
      </c>
      <c r="DE14" s="136">
        <v>61</v>
      </c>
      <c r="DF14" s="136">
        <v>52</v>
      </c>
      <c r="DG14" s="136">
        <v>52</v>
      </c>
      <c r="DH14" s="136">
        <v>52</v>
      </c>
      <c r="DI14" s="136">
        <v>52</v>
      </c>
      <c r="DJ14" s="136">
        <v>64</v>
      </c>
      <c r="DK14" s="136">
        <v>58</v>
      </c>
      <c r="DL14" s="136">
        <v>58</v>
      </c>
      <c r="DM14" s="136">
        <v>68</v>
      </c>
      <c r="DN14" s="136">
        <v>57.4</v>
      </c>
      <c r="DO14" s="136">
        <v>61</v>
      </c>
      <c r="DP14" s="136">
        <v>75</v>
      </c>
      <c r="DQ14" s="136">
        <v>70</v>
      </c>
      <c r="DR14" s="136">
        <v>60</v>
      </c>
      <c r="DS14" s="136">
        <v>65</v>
      </c>
      <c r="DT14" s="136">
        <v>65</v>
      </c>
      <c r="DU14" s="136">
        <v>63</v>
      </c>
    </row>
    <row r="15" spans="2:125" ht="14.25" x14ac:dyDescent="0.45">
      <c r="B15" s="134" t="s">
        <v>230</v>
      </c>
      <c r="C15" s="136">
        <v>22</v>
      </c>
      <c r="D15" s="136">
        <v>22</v>
      </c>
      <c r="E15" s="136">
        <v>22</v>
      </c>
      <c r="F15" s="136">
        <v>22</v>
      </c>
      <c r="G15" s="136">
        <v>22</v>
      </c>
      <c r="H15" s="136">
        <v>22</v>
      </c>
      <c r="I15" s="136">
        <v>22</v>
      </c>
      <c r="J15" s="136">
        <v>22</v>
      </c>
      <c r="K15" s="136">
        <v>22</v>
      </c>
      <c r="L15" s="136">
        <v>22</v>
      </c>
      <c r="M15" s="136">
        <v>22</v>
      </c>
      <c r="N15" s="136">
        <v>22</v>
      </c>
      <c r="O15" s="136">
        <v>23</v>
      </c>
      <c r="P15" s="136">
        <v>23</v>
      </c>
      <c r="Q15" s="136">
        <v>22</v>
      </c>
      <c r="R15" s="136">
        <v>22</v>
      </c>
      <c r="S15" s="136">
        <v>25</v>
      </c>
      <c r="T15" s="136">
        <v>22</v>
      </c>
      <c r="U15" s="136">
        <v>22</v>
      </c>
      <c r="V15" s="136">
        <v>22</v>
      </c>
      <c r="W15" s="136">
        <v>22</v>
      </c>
      <c r="X15" s="136">
        <v>23</v>
      </c>
      <c r="Y15" s="136">
        <v>23</v>
      </c>
      <c r="Z15" s="136">
        <v>23</v>
      </c>
      <c r="AA15" s="136">
        <v>22</v>
      </c>
      <c r="AB15" s="136">
        <v>22</v>
      </c>
      <c r="AC15" s="136">
        <v>22</v>
      </c>
      <c r="AD15" s="136">
        <v>22</v>
      </c>
      <c r="AE15" s="136">
        <v>22</v>
      </c>
      <c r="AF15" s="136">
        <v>22</v>
      </c>
      <c r="AG15" s="136">
        <v>22</v>
      </c>
      <c r="AH15" s="136">
        <v>23</v>
      </c>
      <c r="AI15" s="136">
        <v>23</v>
      </c>
      <c r="AJ15" s="136">
        <v>22</v>
      </c>
      <c r="AK15" s="136">
        <v>22</v>
      </c>
      <c r="AL15" s="136">
        <v>22</v>
      </c>
      <c r="AM15" s="136">
        <v>22</v>
      </c>
      <c r="AN15" s="136">
        <v>22</v>
      </c>
      <c r="AO15" s="136">
        <v>22</v>
      </c>
      <c r="AP15" s="136">
        <v>22</v>
      </c>
      <c r="AQ15" s="136">
        <v>22</v>
      </c>
      <c r="AR15" s="136">
        <v>22</v>
      </c>
      <c r="AS15" s="136">
        <v>22</v>
      </c>
      <c r="AT15" s="136">
        <v>22</v>
      </c>
      <c r="AU15" s="136">
        <v>22</v>
      </c>
      <c r="AV15" s="136">
        <v>22</v>
      </c>
      <c r="AW15" s="136">
        <v>22</v>
      </c>
      <c r="AX15" s="136">
        <v>22</v>
      </c>
      <c r="AY15" s="136">
        <v>22</v>
      </c>
      <c r="AZ15" s="136">
        <v>22</v>
      </c>
      <c r="BA15" s="136">
        <v>22</v>
      </c>
      <c r="BB15" s="136">
        <v>22</v>
      </c>
      <c r="BC15" s="136">
        <v>22</v>
      </c>
      <c r="BD15" s="136">
        <v>22</v>
      </c>
      <c r="BE15" s="136">
        <v>22</v>
      </c>
      <c r="BF15" s="136">
        <v>22</v>
      </c>
      <c r="BG15" s="136">
        <v>22</v>
      </c>
      <c r="BH15" s="136">
        <v>22</v>
      </c>
      <c r="BI15" s="136">
        <v>22</v>
      </c>
      <c r="BJ15" s="136">
        <v>22</v>
      </c>
      <c r="BK15" s="136">
        <v>22</v>
      </c>
      <c r="BL15" s="136">
        <v>22</v>
      </c>
      <c r="BM15" s="136">
        <v>22</v>
      </c>
      <c r="BN15" s="136">
        <v>22</v>
      </c>
      <c r="BO15" s="136">
        <v>22</v>
      </c>
      <c r="BP15" s="136">
        <v>22</v>
      </c>
      <c r="BQ15" s="136">
        <v>22</v>
      </c>
      <c r="BR15" s="136">
        <v>22</v>
      </c>
      <c r="BS15" s="136">
        <v>23</v>
      </c>
      <c r="BT15" s="136">
        <v>22</v>
      </c>
      <c r="BU15" s="136">
        <v>22</v>
      </c>
      <c r="BV15" s="136">
        <v>22</v>
      </c>
      <c r="BW15" s="136">
        <v>22</v>
      </c>
      <c r="BX15" s="136">
        <v>22</v>
      </c>
      <c r="BY15" s="136">
        <v>22</v>
      </c>
      <c r="BZ15" s="136">
        <v>22</v>
      </c>
      <c r="CA15" s="136">
        <v>23</v>
      </c>
      <c r="CB15" s="136">
        <v>22</v>
      </c>
      <c r="CC15" s="136">
        <v>23</v>
      </c>
      <c r="CD15" s="136">
        <v>23</v>
      </c>
      <c r="CE15" s="136">
        <v>25</v>
      </c>
      <c r="CF15" s="136">
        <v>25</v>
      </c>
      <c r="CG15" s="136">
        <v>23</v>
      </c>
      <c r="CH15" s="136">
        <v>22</v>
      </c>
      <c r="CI15" s="136">
        <v>23</v>
      </c>
      <c r="CJ15" s="136">
        <v>25</v>
      </c>
      <c r="CK15" s="136">
        <v>23</v>
      </c>
      <c r="CL15" s="136">
        <v>22</v>
      </c>
      <c r="CM15" s="136">
        <v>23</v>
      </c>
      <c r="CN15" s="136">
        <v>22</v>
      </c>
      <c r="CO15" s="136">
        <v>22</v>
      </c>
      <c r="CP15" s="136">
        <v>22</v>
      </c>
      <c r="CQ15" s="136">
        <v>23</v>
      </c>
      <c r="CR15" s="136">
        <v>25</v>
      </c>
      <c r="CS15" s="136">
        <v>22</v>
      </c>
      <c r="CT15" s="136">
        <v>22</v>
      </c>
      <c r="CU15" s="136">
        <v>23</v>
      </c>
      <c r="CV15" s="136">
        <v>23</v>
      </c>
      <c r="CW15" s="136">
        <v>22</v>
      </c>
      <c r="CX15" s="136">
        <v>22</v>
      </c>
      <c r="CY15" s="136">
        <v>22</v>
      </c>
      <c r="CZ15" s="136">
        <v>25</v>
      </c>
      <c r="DA15" s="136">
        <v>23</v>
      </c>
      <c r="DB15" s="136">
        <v>22</v>
      </c>
      <c r="DC15" s="136">
        <v>24.85</v>
      </c>
      <c r="DD15" s="136">
        <v>24.85</v>
      </c>
      <c r="DE15" s="136">
        <v>24.85</v>
      </c>
      <c r="DF15" s="136">
        <v>23</v>
      </c>
      <c r="DG15" s="136">
        <v>23</v>
      </c>
      <c r="DH15" s="136">
        <v>23</v>
      </c>
      <c r="DI15" s="136">
        <v>23.5</v>
      </c>
      <c r="DJ15" s="136">
        <v>22</v>
      </c>
      <c r="DK15" s="136">
        <v>22</v>
      </c>
      <c r="DL15" s="136">
        <v>22</v>
      </c>
      <c r="DM15" s="136">
        <v>24</v>
      </c>
      <c r="DN15" s="136">
        <v>22</v>
      </c>
      <c r="DO15" s="136">
        <v>22</v>
      </c>
      <c r="DP15" s="136">
        <v>22.9</v>
      </c>
      <c r="DQ15" s="136">
        <v>23</v>
      </c>
      <c r="DR15" s="136">
        <v>25</v>
      </c>
      <c r="DS15" s="136">
        <v>23</v>
      </c>
      <c r="DT15" s="136">
        <v>23</v>
      </c>
      <c r="DU15" s="136">
        <v>23</v>
      </c>
    </row>
    <row r="16" spans="2:125" ht="14.25" x14ac:dyDescent="0.45">
      <c r="B16" s="134" t="s">
        <v>471</v>
      </c>
      <c r="C16" s="136">
        <v>15</v>
      </c>
      <c r="D16" s="136">
        <v>15</v>
      </c>
      <c r="E16" s="136">
        <v>0</v>
      </c>
      <c r="F16" s="136">
        <v>0</v>
      </c>
      <c r="G16" s="136">
        <v>0</v>
      </c>
      <c r="H16" s="136">
        <v>0</v>
      </c>
      <c r="I16" s="136">
        <v>0</v>
      </c>
      <c r="J16" s="136">
        <v>0</v>
      </c>
      <c r="K16" s="136">
        <v>0</v>
      </c>
      <c r="L16" s="136">
        <v>0</v>
      </c>
      <c r="M16" s="136">
        <v>0</v>
      </c>
      <c r="N16" s="136">
        <v>18</v>
      </c>
      <c r="O16" s="136">
        <v>0</v>
      </c>
      <c r="P16" s="136">
        <v>0</v>
      </c>
      <c r="Q16" s="136">
        <v>0</v>
      </c>
      <c r="R16" s="136">
        <v>0</v>
      </c>
      <c r="S16" s="136">
        <v>0</v>
      </c>
      <c r="T16" s="136">
        <v>0</v>
      </c>
      <c r="U16" s="136">
        <v>0</v>
      </c>
      <c r="V16" s="136">
        <v>0</v>
      </c>
      <c r="W16" s="136">
        <v>0</v>
      </c>
      <c r="X16" s="136">
        <v>0</v>
      </c>
      <c r="Y16" s="136">
        <v>0</v>
      </c>
      <c r="Z16" s="136">
        <v>0</v>
      </c>
      <c r="AA16" s="136">
        <v>0</v>
      </c>
      <c r="AB16" s="136">
        <v>0</v>
      </c>
      <c r="AC16" s="136">
        <v>0</v>
      </c>
      <c r="AD16" s="136">
        <v>0</v>
      </c>
      <c r="AE16" s="136">
        <v>0</v>
      </c>
      <c r="AF16" s="136">
        <v>18</v>
      </c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>
        <v>20</v>
      </c>
      <c r="AU16" s="136">
        <v>20</v>
      </c>
      <c r="AV16" s="136">
        <v>0</v>
      </c>
      <c r="AW16" s="136"/>
      <c r="AX16" s="136"/>
      <c r="AY16" s="136"/>
      <c r="AZ16" s="136"/>
      <c r="BA16" s="136"/>
      <c r="BB16" s="136"/>
      <c r="BC16" s="136"/>
      <c r="BD16" s="136">
        <v>0</v>
      </c>
      <c r="BE16" s="136">
        <v>0</v>
      </c>
      <c r="BF16" s="136">
        <v>0</v>
      </c>
      <c r="BG16" s="136">
        <v>0</v>
      </c>
      <c r="BH16" s="136">
        <v>0</v>
      </c>
      <c r="BI16" s="136">
        <v>18</v>
      </c>
      <c r="BJ16" s="136">
        <v>18</v>
      </c>
      <c r="BK16" s="136"/>
      <c r="BL16" s="136">
        <v>18</v>
      </c>
      <c r="BM16" s="136">
        <v>0</v>
      </c>
      <c r="BN16" s="136"/>
      <c r="BO16" s="136"/>
      <c r="BP16" s="136">
        <v>0</v>
      </c>
      <c r="BQ16" s="136">
        <v>0</v>
      </c>
      <c r="BR16" s="136">
        <v>0</v>
      </c>
      <c r="BS16" s="136"/>
      <c r="BT16" s="136">
        <v>0</v>
      </c>
      <c r="BU16" s="136">
        <v>0</v>
      </c>
      <c r="BV16" s="136">
        <v>0</v>
      </c>
      <c r="BW16" s="136">
        <v>0</v>
      </c>
      <c r="BX16" s="136"/>
      <c r="BY16" s="136"/>
      <c r="BZ16" s="136"/>
      <c r="CA16" s="136"/>
      <c r="CB16" s="136"/>
      <c r="CC16" s="136">
        <v>18</v>
      </c>
      <c r="CD16" s="136"/>
      <c r="CE16" s="136"/>
      <c r="CF16" s="136">
        <v>18</v>
      </c>
      <c r="CG16" s="136">
        <v>0</v>
      </c>
      <c r="CH16" s="136">
        <v>0</v>
      </c>
      <c r="CI16" s="136">
        <v>20</v>
      </c>
      <c r="CJ16" s="136">
        <v>18</v>
      </c>
      <c r="CK16" s="136"/>
      <c r="CL16" s="136"/>
      <c r="CM16" s="136"/>
      <c r="CN16" s="136">
        <v>0</v>
      </c>
      <c r="CO16" s="136">
        <v>0</v>
      </c>
      <c r="CP16" s="136">
        <v>0</v>
      </c>
      <c r="CQ16" s="136">
        <v>20</v>
      </c>
      <c r="CR16" s="136"/>
      <c r="CS16" s="136"/>
      <c r="CT16" s="136"/>
      <c r="CU16" s="136">
        <v>20</v>
      </c>
      <c r="CV16" s="136"/>
      <c r="CW16" s="136"/>
      <c r="CX16" s="136">
        <v>15</v>
      </c>
      <c r="CY16" s="136"/>
      <c r="CZ16" s="136">
        <v>18</v>
      </c>
      <c r="DA16" s="136">
        <v>0</v>
      </c>
      <c r="DB16" s="136"/>
      <c r="DC16" s="136"/>
      <c r="DD16" s="136">
        <v>20.149999999999999</v>
      </c>
      <c r="DE16" s="136">
        <v>20.149999999999999</v>
      </c>
      <c r="DF16" s="136"/>
      <c r="DG16" s="136"/>
      <c r="DH16" s="136"/>
      <c r="DI16" s="136"/>
      <c r="DJ16" s="136"/>
      <c r="DK16" s="136"/>
      <c r="DL16" s="136"/>
      <c r="DM16" s="136">
        <v>20</v>
      </c>
      <c r="DN16" s="136"/>
      <c r="DO16" s="136">
        <v>0</v>
      </c>
      <c r="DP16" s="136">
        <v>19</v>
      </c>
      <c r="DQ16" s="136"/>
      <c r="DR16" s="136"/>
      <c r="DS16" s="136">
        <v>18</v>
      </c>
      <c r="DT16" s="136">
        <v>0</v>
      </c>
      <c r="DU16" s="136">
        <v>0</v>
      </c>
    </row>
    <row r="17" spans="2:125" ht="14.25" x14ac:dyDescent="0.45">
      <c r="B17" s="134" t="s">
        <v>472</v>
      </c>
      <c r="C17" s="137" t="s">
        <v>358</v>
      </c>
      <c r="D17" s="137" t="s">
        <v>359</v>
      </c>
      <c r="E17" s="137" t="s">
        <v>358</v>
      </c>
      <c r="F17" s="137" t="s">
        <v>358</v>
      </c>
      <c r="G17" s="137" t="s">
        <v>359</v>
      </c>
      <c r="H17" s="137" t="s">
        <v>359</v>
      </c>
      <c r="I17" s="137" t="s">
        <v>359</v>
      </c>
      <c r="J17" s="137" t="s">
        <v>359</v>
      </c>
      <c r="K17" s="137" t="s">
        <v>359</v>
      </c>
      <c r="L17" s="137" t="s">
        <v>359</v>
      </c>
      <c r="M17" s="137" t="s">
        <v>359</v>
      </c>
      <c r="N17" s="137" t="s">
        <v>359</v>
      </c>
      <c r="O17" s="137" t="s">
        <v>358</v>
      </c>
      <c r="P17" s="137" t="s">
        <v>358</v>
      </c>
      <c r="Q17" s="137" t="s">
        <v>359</v>
      </c>
      <c r="R17" s="137" t="s">
        <v>358</v>
      </c>
      <c r="S17" s="137" t="s">
        <v>359</v>
      </c>
      <c r="T17" s="137" t="s">
        <v>359</v>
      </c>
      <c r="U17" s="137" t="s">
        <v>359</v>
      </c>
      <c r="V17" s="137" t="s">
        <v>359</v>
      </c>
      <c r="W17" s="137" t="s">
        <v>359</v>
      </c>
      <c r="X17" s="137" t="s">
        <v>358</v>
      </c>
      <c r="Y17" s="137" t="s">
        <v>358</v>
      </c>
      <c r="Z17" s="137" t="s">
        <v>358</v>
      </c>
      <c r="AA17" s="137" t="s">
        <v>358</v>
      </c>
      <c r="AB17" s="137" t="s">
        <v>358</v>
      </c>
      <c r="AC17" s="137" t="s">
        <v>359</v>
      </c>
      <c r="AD17" s="137" t="s">
        <v>359</v>
      </c>
      <c r="AE17" s="137" t="s">
        <v>359</v>
      </c>
      <c r="AF17" s="137" t="s">
        <v>358</v>
      </c>
      <c r="AG17" s="137" t="s">
        <v>358</v>
      </c>
      <c r="AH17" s="137" t="s">
        <v>359</v>
      </c>
      <c r="AI17" s="137" t="s">
        <v>359</v>
      </c>
      <c r="AJ17" s="137" t="s">
        <v>359</v>
      </c>
      <c r="AK17" s="137" t="s">
        <v>359</v>
      </c>
      <c r="AL17" s="137" t="s">
        <v>359</v>
      </c>
      <c r="AM17" s="137" t="s">
        <v>358</v>
      </c>
      <c r="AN17" s="137" t="s">
        <v>359</v>
      </c>
      <c r="AO17" s="137" t="s">
        <v>359</v>
      </c>
      <c r="AP17" s="137" t="s">
        <v>358</v>
      </c>
      <c r="AQ17" s="137" t="s">
        <v>359</v>
      </c>
      <c r="AR17" s="137" t="s">
        <v>359</v>
      </c>
      <c r="AS17" s="137" t="s">
        <v>359</v>
      </c>
      <c r="AT17" s="137" t="s">
        <v>359</v>
      </c>
      <c r="AU17" s="137" t="s">
        <v>358</v>
      </c>
      <c r="AV17" s="137" t="s">
        <v>358</v>
      </c>
      <c r="AW17" s="137" t="s">
        <v>359</v>
      </c>
      <c r="AX17" s="137" t="s">
        <v>359</v>
      </c>
      <c r="AY17" s="137" t="s">
        <v>359</v>
      </c>
      <c r="AZ17" s="137" t="s">
        <v>359</v>
      </c>
      <c r="BA17" s="137" t="s">
        <v>359</v>
      </c>
      <c r="BB17" s="137" t="s">
        <v>358</v>
      </c>
      <c r="BC17" s="137" t="s">
        <v>359</v>
      </c>
      <c r="BD17" s="137" t="s">
        <v>359</v>
      </c>
      <c r="BE17" s="137" t="s">
        <v>359</v>
      </c>
      <c r="BF17" s="137" t="s">
        <v>359</v>
      </c>
      <c r="BG17" s="137" t="s">
        <v>359</v>
      </c>
      <c r="BH17" s="137" t="s">
        <v>359</v>
      </c>
      <c r="BI17" s="137" t="s">
        <v>359</v>
      </c>
      <c r="BJ17" s="137" t="s">
        <v>359</v>
      </c>
      <c r="BK17" s="137" t="s">
        <v>359</v>
      </c>
      <c r="BL17" s="137" t="s">
        <v>359</v>
      </c>
      <c r="BM17" s="137" t="s">
        <v>359</v>
      </c>
      <c r="BN17" s="137" t="s">
        <v>359</v>
      </c>
      <c r="BO17" s="137" t="s">
        <v>359</v>
      </c>
      <c r="BP17" s="137" t="s">
        <v>358</v>
      </c>
      <c r="BQ17" s="137" t="s">
        <v>359</v>
      </c>
      <c r="BR17" s="137" t="s">
        <v>359</v>
      </c>
      <c r="BS17" s="137" t="s">
        <v>359</v>
      </c>
      <c r="BT17" s="137" t="s">
        <v>359</v>
      </c>
      <c r="BU17" s="137" t="s">
        <v>358</v>
      </c>
      <c r="BV17" s="137" t="s">
        <v>359</v>
      </c>
      <c r="BW17" s="137" t="s">
        <v>359</v>
      </c>
      <c r="BX17" s="137" t="s">
        <v>359</v>
      </c>
      <c r="BY17" s="137" t="s">
        <v>359</v>
      </c>
      <c r="BZ17" s="137" t="s">
        <v>359</v>
      </c>
      <c r="CA17" s="137" t="s">
        <v>358</v>
      </c>
      <c r="CB17" s="137" t="s">
        <v>358</v>
      </c>
      <c r="CC17" s="137" t="s">
        <v>358</v>
      </c>
      <c r="CD17" s="137" t="s">
        <v>358</v>
      </c>
      <c r="CE17" s="137" t="s">
        <v>358</v>
      </c>
      <c r="CF17" s="137" t="s">
        <v>359</v>
      </c>
      <c r="CG17" s="137" t="s">
        <v>358</v>
      </c>
      <c r="CH17" s="137" t="s">
        <v>359</v>
      </c>
      <c r="CI17" s="137" t="s">
        <v>359</v>
      </c>
      <c r="CJ17" s="137" t="s">
        <v>359</v>
      </c>
      <c r="CK17" s="137" t="s">
        <v>358</v>
      </c>
      <c r="CL17" s="137" t="s">
        <v>358</v>
      </c>
      <c r="CM17" s="137" t="s">
        <v>359</v>
      </c>
      <c r="CN17" s="137" t="s">
        <v>359</v>
      </c>
      <c r="CO17" s="137" t="s">
        <v>359</v>
      </c>
      <c r="CP17" s="137" t="s">
        <v>359</v>
      </c>
      <c r="CQ17" s="137" t="s">
        <v>359</v>
      </c>
      <c r="CR17" s="137" t="s">
        <v>358</v>
      </c>
      <c r="CS17" s="137" t="s">
        <v>359</v>
      </c>
      <c r="CT17" s="137" t="s">
        <v>359</v>
      </c>
      <c r="CU17" s="137" t="s">
        <v>359</v>
      </c>
      <c r="CV17" s="137" t="s">
        <v>358</v>
      </c>
      <c r="CW17" s="137" t="s">
        <v>358</v>
      </c>
      <c r="CX17" s="137" t="s">
        <v>359</v>
      </c>
      <c r="CY17" s="137" t="s">
        <v>359</v>
      </c>
      <c r="CZ17" s="137" t="s">
        <v>359</v>
      </c>
      <c r="DA17" s="137" t="s">
        <v>359</v>
      </c>
      <c r="DB17" s="137" t="s">
        <v>359</v>
      </c>
      <c r="DC17" s="137" t="s">
        <v>358</v>
      </c>
      <c r="DD17" s="137" t="s">
        <v>358</v>
      </c>
      <c r="DE17" s="137" t="s">
        <v>358</v>
      </c>
      <c r="DF17" s="137" t="s">
        <v>359</v>
      </c>
      <c r="DG17" s="137" t="s">
        <v>359</v>
      </c>
      <c r="DH17" s="137" t="s">
        <v>359</v>
      </c>
      <c r="DI17" s="137" t="s">
        <v>359</v>
      </c>
      <c r="DJ17" s="137" t="s">
        <v>359</v>
      </c>
      <c r="DK17" s="137" t="s">
        <v>359</v>
      </c>
      <c r="DL17" s="137" t="s">
        <v>359</v>
      </c>
      <c r="DM17" s="137" t="s">
        <v>358</v>
      </c>
      <c r="DN17" s="137" t="s">
        <v>359</v>
      </c>
      <c r="DO17" s="137" t="s">
        <v>359</v>
      </c>
      <c r="DP17" s="137" t="s">
        <v>358</v>
      </c>
      <c r="DQ17" s="137" t="s">
        <v>359</v>
      </c>
      <c r="DR17" s="137" t="s">
        <v>359</v>
      </c>
      <c r="DS17" s="137" t="s">
        <v>358</v>
      </c>
      <c r="DT17" s="137" t="s">
        <v>359</v>
      </c>
      <c r="DU17" s="137" t="s">
        <v>359</v>
      </c>
    </row>
    <row r="18" spans="2:125" ht="14.25" x14ac:dyDescent="0.45">
      <c r="B18" s="134" t="s">
        <v>354</v>
      </c>
      <c r="C18" s="137" t="s">
        <v>359</v>
      </c>
      <c r="D18" s="137" t="s">
        <v>359</v>
      </c>
      <c r="E18" s="137" t="s">
        <v>359</v>
      </c>
      <c r="F18" s="137" t="s">
        <v>358</v>
      </c>
      <c r="G18" s="137" t="s">
        <v>358</v>
      </c>
      <c r="H18" s="137" t="s">
        <v>358</v>
      </c>
      <c r="I18" s="137" t="s">
        <v>358</v>
      </c>
      <c r="J18" s="137" t="s">
        <v>358</v>
      </c>
      <c r="K18" s="137" t="s">
        <v>358</v>
      </c>
      <c r="L18" s="137" t="s">
        <v>358</v>
      </c>
      <c r="M18" s="137" t="s">
        <v>358</v>
      </c>
      <c r="N18" s="137" t="s">
        <v>358</v>
      </c>
      <c r="O18" s="137" t="s">
        <v>359</v>
      </c>
      <c r="P18" s="137" t="s">
        <v>359</v>
      </c>
      <c r="Q18" s="137" t="s">
        <v>359</v>
      </c>
      <c r="R18" s="137" t="s">
        <v>358</v>
      </c>
      <c r="S18" s="137" t="s">
        <v>359</v>
      </c>
      <c r="T18" s="137" t="s">
        <v>359</v>
      </c>
      <c r="U18" s="137" t="s">
        <v>359</v>
      </c>
      <c r="V18" s="137" t="s">
        <v>359</v>
      </c>
      <c r="W18" s="137" t="s">
        <v>359</v>
      </c>
      <c r="X18" s="137" t="s">
        <v>358</v>
      </c>
      <c r="Y18" s="137" t="s">
        <v>358</v>
      </c>
      <c r="Z18" s="137" t="s">
        <v>359</v>
      </c>
      <c r="AA18" s="137" t="s">
        <v>359</v>
      </c>
      <c r="AB18" s="137" t="s">
        <v>359</v>
      </c>
      <c r="AC18" s="137" t="s">
        <v>358</v>
      </c>
      <c r="AD18" s="137" t="s">
        <v>358</v>
      </c>
      <c r="AE18" s="137" t="s">
        <v>358</v>
      </c>
      <c r="AF18" s="137" t="s">
        <v>359</v>
      </c>
      <c r="AG18" s="137" t="s">
        <v>359</v>
      </c>
      <c r="AH18" s="137" t="s">
        <v>359</v>
      </c>
      <c r="AI18" s="137" t="s">
        <v>359</v>
      </c>
      <c r="AJ18" s="137" t="s">
        <v>359</v>
      </c>
      <c r="AK18" s="137" t="s">
        <v>359</v>
      </c>
      <c r="AL18" s="137" t="s">
        <v>359</v>
      </c>
      <c r="AM18" s="137" t="s">
        <v>359</v>
      </c>
      <c r="AN18" s="137" t="s">
        <v>359</v>
      </c>
      <c r="AO18" s="137" t="s">
        <v>359</v>
      </c>
      <c r="AP18" s="137" t="s">
        <v>358</v>
      </c>
      <c r="AQ18" s="137" t="s">
        <v>358</v>
      </c>
      <c r="AR18" s="137" t="s">
        <v>359</v>
      </c>
      <c r="AS18" s="137" t="s">
        <v>359</v>
      </c>
      <c r="AT18" s="137" t="s">
        <v>359</v>
      </c>
      <c r="AU18" s="137" t="s">
        <v>358</v>
      </c>
      <c r="AV18" s="137" t="s">
        <v>358</v>
      </c>
      <c r="AW18" s="137" t="s">
        <v>359</v>
      </c>
      <c r="AX18" s="137" t="s">
        <v>359</v>
      </c>
      <c r="AY18" s="137" t="s">
        <v>359</v>
      </c>
      <c r="AZ18" s="137" t="s">
        <v>358</v>
      </c>
      <c r="BA18" s="137" t="s">
        <v>358</v>
      </c>
      <c r="BB18" s="137" t="s">
        <v>359</v>
      </c>
      <c r="BC18" s="137" t="s">
        <v>359</v>
      </c>
      <c r="BD18" s="137" t="s">
        <v>359</v>
      </c>
      <c r="BE18" s="137" t="s">
        <v>359</v>
      </c>
      <c r="BF18" s="137" t="s">
        <v>359</v>
      </c>
      <c r="BG18" s="137" t="s">
        <v>359</v>
      </c>
      <c r="BH18" s="137" t="s">
        <v>359</v>
      </c>
      <c r="BI18" s="137" t="s">
        <v>359</v>
      </c>
      <c r="BJ18" s="137" t="s">
        <v>359</v>
      </c>
      <c r="BK18" s="137" t="s">
        <v>359</v>
      </c>
      <c r="BL18" s="137" t="s">
        <v>359</v>
      </c>
      <c r="BM18" s="137" t="s">
        <v>359</v>
      </c>
      <c r="BN18" s="137" t="s">
        <v>359</v>
      </c>
      <c r="BO18" s="137" t="s">
        <v>359</v>
      </c>
      <c r="BP18" s="137" t="s">
        <v>358</v>
      </c>
      <c r="BQ18" s="137" t="s">
        <v>358</v>
      </c>
      <c r="BR18" s="137" t="s">
        <v>358</v>
      </c>
      <c r="BS18" s="137" t="s">
        <v>359</v>
      </c>
      <c r="BT18" s="137" t="s">
        <v>359</v>
      </c>
      <c r="BU18" s="137" t="s">
        <v>359</v>
      </c>
      <c r="BV18" s="137" t="s">
        <v>358</v>
      </c>
      <c r="BW18" s="137" t="s">
        <v>358</v>
      </c>
      <c r="BX18" s="137" t="s">
        <v>359</v>
      </c>
      <c r="BY18" s="137" t="s">
        <v>359</v>
      </c>
      <c r="BZ18" s="137" t="s">
        <v>358</v>
      </c>
      <c r="CA18" s="137" t="s">
        <v>359</v>
      </c>
      <c r="CB18" s="137" t="s">
        <v>359</v>
      </c>
      <c r="CC18" s="137" t="s">
        <v>358</v>
      </c>
      <c r="CD18" s="137" t="s">
        <v>358</v>
      </c>
      <c r="CE18" s="137" t="s">
        <v>358</v>
      </c>
      <c r="CF18" s="137" t="s">
        <v>358</v>
      </c>
      <c r="CG18" s="137" t="s">
        <v>359</v>
      </c>
      <c r="CH18" s="137" t="s">
        <v>359</v>
      </c>
      <c r="CI18" s="137" t="s">
        <v>359</v>
      </c>
      <c r="CJ18" s="137" t="s">
        <v>358</v>
      </c>
      <c r="CK18" s="137" t="s">
        <v>359</v>
      </c>
      <c r="CL18" s="137" t="s">
        <v>359</v>
      </c>
      <c r="CM18" s="137" t="s">
        <v>359</v>
      </c>
      <c r="CN18" s="137" t="s">
        <v>358</v>
      </c>
      <c r="CO18" s="137" t="s">
        <v>358</v>
      </c>
      <c r="CP18" s="137" t="s">
        <v>358</v>
      </c>
      <c r="CQ18" s="137" t="s">
        <v>359</v>
      </c>
      <c r="CR18" s="137" t="s">
        <v>358</v>
      </c>
      <c r="CS18" s="137" t="s">
        <v>358</v>
      </c>
      <c r="CT18" s="137" t="s">
        <v>358</v>
      </c>
      <c r="CU18" s="137" t="s">
        <v>359</v>
      </c>
      <c r="CV18" s="137" t="s">
        <v>359</v>
      </c>
      <c r="CW18" s="137" t="s">
        <v>359</v>
      </c>
      <c r="CX18" s="137" t="s">
        <v>359</v>
      </c>
      <c r="CY18" s="137" t="s">
        <v>359</v>
      </c>
      <c r="CZ18" s="137" t="s">
        <v>358</v>
      </c>
      <c r="DA18" s="137" t="s">
        <v>359</v>
      </c>
      <c r="DB18" s="137" t="s">
        <v>359</v>
      </c>
      <c r="DC18" s="137" t="s">
        <v>359</v>
      </c>
      <c r="DD18" s="137" t="s">
        <v>359</v>
      </c>
      <c r="DE18" s="137" t="s">
        <v>359</v>
      </c>
      <c r="DF18" s="137" t="s">
        <v>359</v>
      </c>
      <c r="DG18" s="137" t="s">
        <v>359</v>
      </c>
      <c r="DH18" s="137" t="s">
        <v>359</v>
      </c>
      <c r="DI18" s="137" t="s">
        <v>359</v>
      </c>
      <c r="DJ18" s="137" t="s">
        <v>359</v>
      </c>
      <c r="DK18" s="137" t="s">
        <v>358</v>
      </c>
      <c r="DL18" s="137" t="s">
        <v>358</v>
      </c>
      <c r="DM18" s="137" t="s">
        <v>359</v>
      </c>
      <c r="DN18" s="137" t="s">
        <v>358</v>
      </c>
      <c r="DO18" s="137" t="s">
        <v>359</v>
      </c>
      <c r="DP18" s="137" t="s">
        <v>359</v>
      </c>
      <c r="DQ18" s="137" t="s">
        <v>359</v>
      </c>
      <c r="DR18" s="137" t="s">
        <v>358</v>
      </c>
      <c r="DS18" s="137" t="s">
        <v>358</v>
      </c>
      <c r="DT18" s="137" t="s">
        <v>359</v>
      </c>
      <c r="DU18" s="137" t="s">
        <v>358</v>
      </c>
    </row>
    <row r="19" spans="2:125" ht="14.25" x14ac:dyDescent="0.45">
      <c r="B19" s="134" t="s">
        <v>473</v>
      </c>
      <c r="C19" s="138" t="s">
        <v>474</v>
      </c>
      <c r="D19" s="138" t="s">
        <v>474</v>
      </c>
      <c r="E19" s="138" t="s">
        <v>474</v>
      </c>
      <c r="F19" s="138" t="s">
        <v>474</v>
      </c>
      <c r="G19" s="138" t="s">
        <v>474</v>
      </c>
      <c r="H19" s="138" t="s">
        <v>474</v>
      </c>
      <c r="I19" s="138" t="s">
        <v>474</v>
      </c>
      <c r="J19" s="138" t="s">
        <v>474</v>
      </c>
      <c r="K19" s="138" t="s">
        <v>474</v>
      </c>
      <c r="L19" s="138" t="s">
        <v>474</v>
      </c>
      <c r="M19" s="138" t="s">
        <v>474</v>
      </c>
      <c r="N19" s="138"/>
      <c r="O19" s="138" t="s">
        <v>474</v>
      </c>
      <c r="P19" s="138" t="s">
        <v>474</v>
      </c>
      <c r="Q19" s="138" t="s">
        <v>474</v>
      </c>
      <c r="R19" s="138"/>
      <c r="S19" s="138"/>
      <c r="T19" s="138"/>
      <c r="U19" s="138"/>
      <c r="V19" s="138" t="s">
        <v>475</v>
      </c>
      <c r="W19" s="138" t="s">
        <v>475</v>
      </c>
      <c r="X19" s="138"/>
      <c r="Y19" s="138"/>
      <c r="Z19" s="138"/>
      <c r="AA19" s="138"/>
      <c r="AB19" s="138"/>
      <c r="AC19" s="138" t="s">
        <v>474</v>
      </c>
      <c r="AD19" s="138" t="s">
        <v>474</v>
      </c>
      <c r="AE19" s="138" t="s">
        <v>474</v>
      </c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8"/>
      <c r="BH19" s="138"/>
      <c r="BI19" s="138"/>
      <c r="BJ19" s="138"/>
      <c r="BK19" s="138"/>
      <c r="BL19" s="138"/>
      <c r="BM19" s="138" t="s">
        <v>474</v>
      </c>
      <c r="BN19" s="138"/>
      <c r="BO19" s="138"/>
      <c r="BP19" s="138"/>
      <c r="BQ19" s="138"/>
      <c r="BR19" s="138"/>
      <c r="BS19" s="138"/>
      <c r="BT19" s="138"/>
      <c r="BU19" s="138"/>
      <c r="BV19" s="138"/>
      <c r="BW19" s="138"/>
      <c r="BX19" s="138"/>
      <c r="BY19" s="138"/>
      <c r="BZ19" s="138"/>
      <c r="CA19" s="138"/>
      <c r="CB19" s="138"/>
      <c r="CC19" s="138"/>
      <c r="CD19" s="138"/>
      <c r="CE19" s="138"/>
      <c r="CF19" s="138"/>
      <c r="CG19" s="138" t="s">
        <v>474</v>
      </c>
      <c r="CH19" s="138"/>
      <c r="CI19" s="138"/>
      <c r="CJ19" s="138"/>
      <c r="CK19" s="138"/>
      <c r="CL19" s="137"/>
      <c r="CM19" s="138"/>
      <c r="CN19" s="138" t="s">
        <v>474</v>
      </c>
      <c r="CO19" s="138" t="s">
        <v>474</v>
      </c>
      <c r="CP19" s="138" t="s">
        <v>474</v>
      </c>
      <c r="CQ19" s="138"/>
      <c r="CR19" s="138"/>
      <c r="CS19" s="138"/>
      <c r="CT19" s="138"/>
      <c r="CU19" s="138"/>
      <c r="CV19" s="138"/>
      <c r="CW19" s="137"/>
      <c r="CX19" s="137"/>
      <c r="CY19" s="137"/>
      <c r="CZ19" s="138"/>
      <c r="DA19" s="138"/>
      <c r="DB19" s="138"/>
      <c r="DC19" s="138"/>
      <c r="DD19" s="138"/>
      <c r="DE19" s="138"/>
      <c r="DF19" s="138"/>
      <c r="DG19" s="138"/>
      <c r="DH19" s="138"/>
      <c r="DI19" s="138"/>
      <c r="DJ19" s="138"/>
      <c r="DK19" s="137"/>
      <c r="DL19" s="137"/>
      <c r="DM19" s="138"/>
      <c r="DN19" s="137"/>
      <c r="DO19" s="138"/>
      <c r="DP19" s="138"/>
      <c r="DQ19" s="138"/>
      <c r="DR19" s="138"/>
      <c r="DS19" s="138"/>
      <c r="DT19" s="138"/>
      <c r="DU19" s="138"/>
    </row>
    <row r="20" spans="2:125" ht="14.25" x14ac:dyDescent="0.45">
      <c r="B20" s="134" t="s">
        <v>476</v>
      </c>
      <c r="C20" s="148" cm="1">
        <f t="array" ref="C20">_xlfn.IFS(C17="No",((C9*2*(C10+C11+3)/10000*(C14+C15+C16))+(C9*C11*2*(C14+C15+C16+20)/10000)+(C11*(C12+C13)*2/10000*(C14+C15+C15))),C17="Yes",(C9*2*(C10+C11/2+1.5)/10000*(C14+C15+C16)+(((C14+C15+C16+20))*C9*C11/10000)))</f>
        <v>81.674999999999997</v>
      </c>
      <c r="D20" s="148" cm="1">
        <f t="array" ref="D20">_xlfn.IFS(D17="No",((D9*2*(D10+D11+3)/10000*(D14+D15+D16))+(D9*D11*2*(D14+D15+D16+20)/10000)+(D11*(D12+D13)*2/10000*(D14+D15+D15))),D17="Yes",(D9*2*(D10+D11/2+1.5)/10000*(D14+D15+D16)+(((D14+D15+D16+20))*D9*D11/10000)))</f>
        <v>84.045400000000015</v>
      </c>
      <c r="E20" s="148" cm="1">
        <f t="array" ref="E20">_xlfn.IFS(E17="No",((E9*2*(E10+E11+3)/10000*(E14+E15+E16))+(E9*E11*2*(E14+E15+E16+20)/10000)+(E11*(E12+E13)*2/10000*(E14+E15+E15))),E17="Yes",(E9*2*(E10+E11/2+1.5)/10000*(E14+E15+E16)+(((E14+E15+E16+20))*E9*E11/10000)))</f>
        <v>46.548000000000002</v>
      </c>
      <c r="F20" s="148" cm="1">
        <f t="array" ref="F20">_xlfn.IFS(F17="No",((F9*2*(F10+F11+3)/10000*(F14+F15+F16))+(F9*F11*2*(F14+F15+F16+20)/10000)+(F11*(F12+F13)*2/10000*(F14+F15+F15))),F17="Yes",(F9*2*(F10+F11/2+1.5)/10000*(F14+F15+F16)+(((F14+F15+F16+20))*F9*F11/10000)))</f>
        <v>43.628399999999999</v>
      </c>
      <c r="G20" s="148" cm="1">
        <f t="array" ref="G20">_xlfn.IFS(G17="No",((G9*2*(G10+G11+3)/10000*(G14+G15+G16))+(G9*G11*2*(G14+G15+G16+20)/10000)+(G11*(G12+G13)*2/10000*(G14+G15+G15))),G17="Yes",(G9*2*(G10+G11/2+1.5)/10000*(G14+G15+G16)+(((G14+G15+G16+20))*G9*G11/10000)))</f>
        <v>53.338999999999999</v>
      </c>
      <c r="H20" s="148" cm="1">
        <f t="array" ref="H20">_xlfn.IFS(H17="No",((H9*2*(H10+H11+3)/10000*(H14+H15+H16))+(H9*H11*2*(H14+H15+H16+20)/10000)+(H11*(H12+H13)*2/10000*(H14+H15+H15))),H17="Yes",(H9*2*(H10+H11/2+1.5)/10000*(H14+H15+H16)+(((H14+H15+H16+20))*H9*H11/10000)))</f>
        <v>53.338999999999999</v>
      </c>
      <c r="I20" s="148" cm="1">
        <f t="array" ref="I20">_xlfn.IFS(I17="No",((I9*2*(I10+I11+3)/10000*(I14+I15+I16))+(I9*I11*2*(I14+I15+I16+20)/10000)+(I11*(I12+I13)*2/10000*(I14+I15+I15))),I17="Yes",(I9*2*(I10+I11/2+1.5)/10000*(I14+I15+I16)+(((I14+I15+I16+20))*I9*I11/10000)))</f>
        <v>56.003089999999993</v>
      </c>
      <c r="J20" s="148" cm="1">
        <f t="array" ref="J20">_xlfn.IFS(J17="No",((J9*2*(J10+J11+3)/10000*(J14+J15+J16))+(J9*J11*2*(J14+J15+J16+20)/10000)+(J11*(J12+J13)*2/10000*(J14+J15+J15))),J17="Yes",(J9*2*(J10+J11/2+1.5)/10000*(J14+J15+J16)+(((J14+J15+J16+20))*J9*J11/10000)))</f>
        <v>69.938800000000001</v>
      </c>
      <c r="K20" s="148" cm="1">
        <f t="array" ref="K20">_xlfn.IFS(K17="No",((K9*2*(K10+K11+3)/10000*(K14+K15+K16))+(K9*K11*2*(K14+K15+K16+20)/10000)+(K11*(K12+K13)*2/10000*(K14+K15+K15))),K17="Yes",(K9*2*(K10+K11/2+1.5)/10000*(K14+K15+K16)+(((K14+K15+K16+20))*K9*K11/10000)))</f>
        <v>65.575599999999994</v>
      </c>
      <c r="L20" s="148" cm="1">
        <f t="array" ref="L20">_xlfn.IFS(L17="No",((L9*2*(L10+L11+3)/10000*(L14+L15+L16))+(L9*L11*2*(L14+L15+L16+20)/10000)+(L11*(L12+L13)*2/10000*(L14+L15+L15))),L17="Yes",(L9*2*(L10+L11/2+1.5)/10000*(L14+L15+L16)+(((L14+L15+L16+20))*L9*L11/10000)))</f>
        <v>50.302</v>
      </c>
      <c r="M20" s="148" cm="1">
        <f t="array" ref="M20">_xlfn.IFS(M17="No",((M9*2*(M10+M11+3)/10000*(M14+M15+M16))+(M9*M11*2*(M14+M15+M16+20)/10000)+(M11*(M12+M13)*2/10000*(M14+M15+M15))),M17="Yes",(M9*2*(M10+M11/2+1.5)/10000*(M14+M15+M16)+(((M14+M15+M16+20))*M9*M11/10000)))</f>
        <v>60.216000000000001</v>
      </c>
      <c r="N20" s="148" cm="1">
        <f t="array" ref="N20">_xlfn.IFS(N17="No",((N9*2*(N10+N11+3)/10000*(N14+N15+N16))+(N9*N11*2*(N14+N15+N16+20)/10000)+(N11*(N12+N13)*2/10000*(N14+N15+N15))),N17="Yes",(N9*2*(N10+N11/2+1.5)/10000*(N14+N15+N16)+(((N14+N15+N16+20))*N9*N11/10000)))</f>
        <v>92.912000000000006</v>
      </c>
      <c r="O20" s="148" cm="1">
        <f t="array" ref="O20">_xlfn.IFS(O17="No",((O9*2*(O10+O11+3)/10000*(O14+O15+O16))+(O9*O11*2*(O14+O15+O16+20)/10000)+(O11*(O12+O13)*2/10000*(O14+O15+O15))),O17="Yes",(O9*2*(O10+O11/2+1.5)/10000*(O14+O15+O16)+(((O14+O15+O16+20))*O9*O11/10000)))</f>
        <v>81.559200000000004</v>
      </c>
      <c r="P20" s="148" cm="1">
        <f t="array" ref="P20">_xlfn.IFS(P17="No",((P9*2*(P10+P11+3)/10000*(P14+P15+P16))+(P9*P11*2*(P14+P15+P16+20)/10000)+(P11*(P12+P13)*2/10000*(P14+P15+P15))),P17="Yes",(P9*2*(P10+P11/2+1.5)/10000*(P14+P15+P16)+(((P14+P15+P16+20))*P9*P11/10000)))</f>
        <v>81.559200000000004</v>
      </c>
      <c r="Q20" s="148" cm="1">
        <f t="array" ref="Q20">_xlfn.IFS(Q17="No",((Q9*2*(Q10+Q11+3)/10000*(Q14+Q15+Q16))+(Q9*Q11*2*(Q14+Q15+Q16+20)/10000)+(Q11*(Q12+Q13)*2/10000*(Q14+Q15+Q15))),Q17="Yes",(Q9*2*(Q10+Q11/2+1.5)/10000*(Q14+Q15+Q16)+(((Q14+Q15+Q16+20))*Q9*Q11/10000)))</f>
        <v>67.141999999999996</v>
      </c>
      <c r="R20" s="148" cm="1">
        <f t="array" ref="R20">_xlfn.IFS(R17="No",((R9*2*(R10+R11+3)/10000*(R14+R15+R16))+(R9*R11*2*(R14+R15+R16+20)/10000)+(R11*(R12+R13)*2/10000*(R14+R15+R15))),R17="Yes",(R9*2*(R10+R11/2+1.5)/10000*(R14+R15+R16)+(((R14+R15+R16+20))*R9*R11/10000)))</f>
        <v>49.770450000000004</v>
      </c>
      <c r="S20" s="148" cm="1">
        <f t="array" ref="S20">_xlfn.IFS(S17="No",((S9*2*(S10+S11+3)/10000*(S14+S15+S16))+(S9*S11*2*(S14+S15+S16+20)/10000)+(S11*(S12+S13)*2/10000*(S14+S15+S15))),S17="Yes",(S9*2*(S10+S11/2+1.5)/10000*(S14+S15+S16)+(((S14+S15+S16+20))*S9*S11/10000)))</f>
        <v>53.304000000000002</v>
      </c>
      <c r="T20" s="148" cm="1">
        <f t="array" ref="T20">_xlfn.IFS(T17="No",((T9*2*(T10+T11+3)/10000*(T14+T15+T16))+(T9*T11*2*(T14+T15+T16+20)/10000)+(T11*(T12+T13)*2/10000*(T14+T15+T15))),T17="Yes",(T9*2*(T10+T11/2+1.5)/10000*(T14+T15+T16)+(((T14+T15+T16+20))*T9*T11/10000)))</f>
        <v>50.381999999999998</v>
      </c>
      <c r="U20" s="148" cm="1">
        <f t="array" ref="U20">_xlfn.IFS(U17="No",((U9*2*(U10+U11+3)/10000*(U14+U15+U16))+(U9*U11*2*(U14+U15+U16+20)/10000)+(U11*(U12+U13)*2/10000*(U14+U15+U15))),U17="Yes",(U9*2*(U10+U11/2+1.5)/10000*(U14+U15+U16)+(((U14+U15+U16+20))*U9*U11/10000)))</f>
        <v>72.456999999999994</v>
      </c>
      <c r="V20" s="148" cm="1">
        <f t="array" ref="V20">_xlfn.IFS(V17="No",((V9*2*(V10+V11+3)/10000*(V14+V15+V16))+(V9*V11*2*(V14+V15+V16+20)/10000)+(V11*(V12+V13)*2/10000*(V14+V15+V15))),V17="Yes",(V9*2*(V10+V11/2+1.5)/10000*(V14+V15+V16)+(((V14+V15+V16+20))*V9*V11/10000)))</f>
        <v>52.323949200000008</v>
      </c>
      <c r="W20" s="148" cm="1">
        <f t="array" ref="W20">_xlfn.IFS(W17="No",((W9*2*(W10+W11+3)/10000*(W14+W15+W16))+(W9*W11*2*(W14+W15+W16+20)/10000)+(W11*(W12+W13)*2/10000*(W14+W15+W15))),W17="Yes",(W9*2*(W10+W11/2+1.5)/10000*(W14+W15+W16)+(((W14+W15+W16+20))*W9*W11/10000)))</f>
        <v>100.6005</v>
      </c>
      <c r="X20" s="148" cm="1">
        <f t="array" ref="X20">_xlfn.IFS(X17="No",((X9*2*(X10+X11+3)/10000*(X14+X15+X16))+(X9*X11*2*(X14+X15+X16+20)/10000)+(X11*(X12+X13)*2/10000*(X14+X15+X15))),X17="Yes",(X9*2*(X10+X11/2+1.5)/10000*(X14+X15+X16)+(((X14+X15+X16+20))*X9*X11/10000)))</f>
        <v>85.64</v>
      </c>
      <c r="Y20" s="148" cm="1">
        <f t="array" ref="Y20">_xlfn.IFS(Y17="No",((Y9*2*(Y10+Y11+3)/10000*(Y14+Y15+Y16))+(Y9*Y11*2*(Y14+Y15+Y16+20)/10000)+(Y11*(Y12+Y13)*2/10000*(Y14+Y15+Y15))),Y17="Yes",(Y9*2*(Y10+Y11/2+1.5)/10000*(Y14+Y15+Y16)+(((Y14+Y15+Y16+20))*Y9*Y11/10000)))</f>
        <v>44.036000000000001</v>
      </c>
      <c r="Z20" s="148" cm="1">
        <f t="array" ref="Z20">_xlfn.IFS(Z17="No",((Z9*2*(Z10+Z11+3)/10000*(Z14+Z15+Z16))+(Z9*Z11*2*(Z14+Z15+Z16+20)/10000)+(Z11*(Z12+Z13)*2/10000*(Z14+Z15+Z15))),Z17="Yes",(Z9*2*(Z10+Z11/2+1.5)/10000*(Z14+Z15+Z16)+(((Z14+Z15+Z16+20))*Z9*Z11/10000)))</f>
        <v>47.0244</v>
      </c>
      <c r="AA20" s="148" cm="1">
        <f t="array" ref="AA20">_xlfn.IFS(AA17="No",((AA9*2*(AA10+AA11+3)/10000*(AA14+AA15+AA16))+(AA9*AA11*2*(AA14+AA15+AA16+20)/10000)+(AA11*(AA12+AA13)*2/10000*(AA14+AA15+AA15))),AA17="Yes",(AA9*2*(AA10+AA11/2+1.5)/10000*(AA14+AA15+AA16)+(((AA14+AA15+AA16+20))*AA9*AA11/10000)))</f>
        <v>77.234999999999999</v>
      </c>
      <c r="AB20" s="148" cm="1">
        <f t="array" ref="AB20">_xlfn.IFS(AB17="No",((AB9*2*(AB10+AB11+3)/10000*(AB14+AB15+AB16))+(AB9*AB11*2*(AB14+AB15+AB16+20)/10000)+(AB11*(AB12+AB13)*2/10000*(AB14+AB15+AB15))),AB17="Yes",(AB9*2*(AB10+AB11/2+1.5)/10000*(AB14+AB15+AB16)+(((AB14+AB15+AB16+20))*AB9*AB11/10000)))</f>
        <v>36.228499999999997</v>
      </c>
      <c r="AC20" s="148" cm="1">
        <f t="array" ref="AC20">_xlfn.IFS(AC17="No",((AC9*2*(AC10+AC11+3)/10000*(AC14+AC15+AC16))+(AC9*AC11*2*(AC14+AC15+AC16+20)/10000)+(AC11*(AC12+AC13)*2/10000*(AC14+AC15+AC15))),AC17="Yes",(AC9*2*(AC10+AC11/2+1.5)/10000*(AC14+AC15+AC16)+(((AC14+AC15+AC16+20))*AC9*AC11/10000)))</f>
        <v>53.338999999999999</v>
      </c>
      <c r="AD20" s="148" cm="1">
        <f t="array" ref="AD20">_xlfn.IFS(AD17="No",((AD9*2*(AD10+AD11+3)/10000*(AD14+AD15+AD16))+(AD9*AD11*2*(AD14+AD15+AD16+20)/10000)+(AD11*(AD12+AD13)*2/10000*(AD14+AD15+AD15))),AD17="Yes",(AD9*2*(AD10+AD11/2+1.5)/10000*(AD14+AD15+AD16)+(((AD14+AD15+AD16+20))*AD9*AD11/10000)))</f>
        <v>56.003089999999993</v>
      </c>
      <c r="AE20" s="148" cm="1">
        <f t="array" ref="AE20">_xlfn.IFS(AE17="No",((AE9*2*(AE10+AE11+3)/10000*(AE14+AE15+AE16))+(AE9*AE11*2*(AE14+AE15+AE16+20)/10000)+(AE11*(AE12+AE13)*2/10000*(AE14+AE15+AE15))),AE17="Yes",(AE9*2*(AE10+AE11/2+1.5)/10000*(AE14+AE15+AE16)+(((AE14+AE15+AE16+20))*AE9*AE11/10000)))</f>
        <v>53.338999999999999</v>
      </c>
      <c r="AF20" s="148" cm="1">
        <f t="array" ref="AF20">_xlfn.IFS(AF17="No",((AF9*2*(AF10+AF11+3)/10000*(AF14+AF15+AF16))+(AF9*AF11*2*(AF14+AF15+AF16+20)/10000)+(AF11*(AF12+AF13)*2/10000*(AF14+AF15+AF15))),AF17="Yes",(AF9*2*(AF10+AF11/2+1.5)/10000*(AF14+AF15+AF16)+(((AF14+AF15+AF16+20))*AF9*AF11/10000)))</f>
        <v>97.486500000000007</v>
      </c>
      <c r="AG20" s="148" cm="1">
        <f t="array" ref="AG20">_xlfn.IFS(AG17="No",((AG9*2*(AG10+AG11+3)/10000*(AG14+AG15+AG16))+(AG9*AG11*2*(AG14+AG15+AG16+20)/10000)+(AG11*(AG12+AG13)*2/10000*(AG14+AG15+AG15))),AG17="Yes",(AG9*2*(AG10+AG11/2+1.5)/10000*(AG14+AG15+AG16)+(((AG14+AG15+AG16+20))*AG9*AG11/10000)))</f>
        <v>84.747599999999991</v>
      </c>
      <c r="AH20" s="148" cm="1">
        <f t="array" ref="AH20">_xlfn.IFS(AH17="No",((AH9*2*(AH10+AH11+3)/10000*(AH14+AH15+AH16))+(AH9*AH11*2*(AH14+AH15+AH16+20)/10000)+(AH11*(AH12+AH13)*2/10000*(AH14+AH15+AH15))),AH17="Yes",(AH9*2*(AH10+AH11/2+1.5)/10000*(AH14+AH15+AH16)+(((AH14+AH15+AH16+20))*AH9*AH11/10000)))</f>
        <v>95.10633</v>
      </c>
      <c r="AI20" s="148" cm="1">
        <f t="array" ref="AI20">_xlfn.IFS(AI17="No",((AI9*2*(AI10+AI11+3)/10000*(AI14+AI15+AI16))+(AI9*AI11*2*(AI14+AI15+AI16+20)/10000)+(AI11*(AI12+AI13)*2/10000*(AI14+AI15+AI15))),AI17="Yes",(AI9*2*(AI10+AI11/2+1.5)/10000*(AI14+AI15+AI16)+(((AI14+AI15+AI16+20))*AI9*AI11/10000)))</f>
        <v>95.10633</v>
      </c>
      <c r="AJ20" s="148" cm="1">
        <f t="array" ref="AJ20">_xlfn.IFS(AJ17="No",((AJ9*2*(AJ10+AJ11+3)/10000*(AJ14+AJ15+AJ16))+(AJ9*AJ11*2*(AJ14+AJ15+AJ16+20)/10000)+(AJ11*(AJ12+AJ13)*2/10000*(AJ14+AJ15+AJ15))),AJ17="Yes",(AJ9*2*(AJ10+AJ11/2+1.5)/10000*(AJ14+AJ15+AJ16)+(((AJ14+AJ15+AJ16+20))*AJ9*AJ11/10000)))</f>
        <v>71.328799999999987</v>
      </c>
      <c r="AK20" s="148" cm="1">
        <f t="array" ref="AK20">_xlfn.IFS(AK17="No",((AK9*2*(AK10+AK11+3)/10000*(AK14+AK15+AK16))+(AK9*AK11*2*(AK14+AK15+AK16+20)/10000)+(AK11*(AK12+AK13)*2/10000*(AK14+AK15+AK15))),AK17="Yes",(AK9*2*(AK10+AK11/2+1.5)/10000*(AK14+AK15+AK16)+(((AK14+AK15+AK16+20))*AK9*AK11/10000)))</f>
        <v>72.764799999999994</v>
      </c>
      <c r="AL20" s="148" cm="1">
        <f t="array" ref="AL20">_xlfn.IFS(AL17="No",((AL9*2*(AL10+AL11+3)/10000*(AL14+AL15+AL16))+(AL9*AL11*2*(AL14+AL15+AL16+20)/10000)+(AL11*(AL12+AL13)*2/10000*(AL14+AL15+AL15))),AL17="Yes",(AL9*2*(AL10+AL11/2+1.5)/10000*(AL14+AL15+AL16)+(((AL14+AL15+AL16+20))*AL9*AL11/10000)))</f>
        <v>75.636799999999994</v>
      </c>
      <c r="AM20" s="148" cm="1">
        <f t="array" ref="AM20">_xlfn.IFS(AM17="No",((AM9*2*(AM10+AM11+3)/10000*(AM14+AM15+AM16))+(AM9*AM11*2*(AM14+AM15+AM16+20)/10000)+(AM11*(AM12+AM13)*2/10000*(AM14+AM15+AM15))),AM17="Yes",(AM9*2*(AM10+AM11/2+1.5)/10000*(AM14+AM15+AM16)+(((AM14+AM15+AM16+20))*AM9*AM11/10000)))</f>
        <v>47.016974799999986</v>
      </c>
      <c r="AN20" s="155" cm="1">
        <f t="array" ref="AN20">_xlfn.IFS(AN17="No",((AN9*2*(AN10+AN11+3)/10000*(AN14+AN15+AN16))+((AN9-AN11)*AN11*2*(AN14+AN15+AN16+20)/10000)+(AN11*(AN12+AN13)*2/10000*(AN14+AN15+20))),AN17="Yes",(AN9*2*(AN10+AN11/2+1.5)/10000*(AN14+AN15+AN16)+(((AN14+AN15+AN16+20))*(AN9-AN11)*AN11/10000)))</f>
        <v>68.637600000000006</v>
      </c>
      <c r="AO20" s="155" cm="1">
        <f t="array" ref="AO20">_xlfn.IFS(AO17="No",((AO9*2*(AO10+AO11+3)/10000*(AO14+AO15+AO16))+((AO9-AO11)*AO11*2*(AO14+AO15+AO16+20)/10000)+(AO11*(AO12+AO13)*2/10000*(AO14+AO15+20))),AO17="Yes",(AO9*2*(AO10+AO11/2+1.5)/10000*(AO14+AO15+AO16)+(((AO14+AO15+AO16+20))*(AO9-AO11)*AO11/10000)))</f>
        <v>62.070894400000007</v>
      </c>
      <c r="AP20" s="148" cm="1">
        <f t="array" ref="AP20">_xlfn.IFS(AP17="No",((AP9*2*(AP10+AP11+3)/10000*(AP14+AP15+AP16))+(AP9*AP11*2*(AP14+AP15+AP16+20)/10000)+(AP11*(AP12+AP13)*2/10000*(AP14+AP15+AP15))),AP17="Yes",(AP9*2*(AP10+AP11/2+1.5)/10000*(AP14+AP15+AP16)+(((AP14+AP15+AP16+20))*AP9*AP11/10000)))</f>
        <v>93.033000000000015</v>
      </c>
      <c r="AQ20" s="148" cm="1">
        <f t="array" ref="AQ20">_xlfn.IFS(AQ17="No",((AQ9*2*(AQ10+AQ11+3)/10000*(AQ14+AQ15+AQ16))+(AQ9*AQ11*2*(AQ14+AQ15+AQ16+20)/10000)+(AQ11*(AQ12+AQ13)*2/10000*(AQ14+AQ15+AQ15))),AQ17="Yes",(AQ9*2*(AQ10+AQ11/2+1.5)/10000*(AQ14+AQ15+AQ16)+(((AQ14+AQ15+AQ16+20))*AQ9*AQ11/10000)))</f>
        <v>62.235199999999999</v>
      </c>
      <c r="AR20" s="148" cm="1">
        <f t="array" ref="AR20">_xlfn.IFS(AR17="No",((AR9*2*(AR10+AR11+3)/10000*(AR14+AR15+AR16))+(AR9*AR11*2*(AR14+AR15+AR16+20)/10000)+(AR11*(AR12+AR13)*2/10000*(AR14+AR15+AR15))),AR17="Yes",(AR9*2*(AR10+AR11/2+1.5)/10000*(AR14+AR15+AR16)+(((AR14+AR15+AR16+20))*AR9*AR11/10000)))</f>
        <v>101.30585784</v>
      </c>
      <c r="AS20" s="148" cm="1">
        <f t="array" ref="AS20">_xlfn.IFS(AS17="No",((AS9*2*(AS10+AS11+3)/10000*(AS14+AS15+AS16))+(AS9*AS11*2*(AS14+AS15+AS16+20)/10000)+(AS11*(AS12+AS13)*2/10000*(AS14+AS15+AS15))),AS17="Yes",(AS9*2*(AS10+AS11/2+1.5)/10000*(AS14+AS15+AS16)+(((AS14+AS15+AS16+20))*AS9*AS11/10000)))</f>
        <v>108.08600000000001</v>
      </c>
      <c r="AT20" s="148" cm="1">
        <f t="array" ref="AT20">_xlfn.IFS(AT17="No",((AT9*2*(AT10+AT11+3)/10000*(AT14+AT15+AT16))+(AT9*AT11*2*(AT14+AT15+AT16+20)/10000)+(AT11*(AT12+AT13)*2/10000*(AT14+AT15+AT15))),AT17="Yes",(AT9*2*(AT10+AT11/2+1.5)/10000*(AT14+AT15+AT16)+(((AT14+AT15+AT16+20))*AT9*AT11/10000)))</f>
        <v>122.13121624</v>
      </c>
      <c r="AU20" s="148" cm="1">
        <f t="array" ref="AU20">_xlfn.IFS(AU17="No",((AU9*2*(AU10+AU11+3)/10000*(AU14+AU15+AU16))+(AU9*AU11*2*(AU14+AU15+AU16+20)/10000)+(AU11*(AU12+AU13)*2/10000*(AU14+AU15+AU15))),AU17="Yes",(AU9*2*(AU10+AU11/2+1.5)/10000*(AU14+AU15+AU16)+(((AU14+AU15+AU16+20))*AU9*AU11/10000)))</f>
        <v>156.40236435999998</v>
      </c>
      <c r="AV20" s="148" cm="1">
        <f t="array" ref="AV20">_xlfn.IFS(AV17="No",((AV9*2*(AV10+AV11+3)/10000*(AV14+AV15+AV16))+(AV9*AV11*2*(AV14+AV15+AV16+20)/10000)+(AV11*(AV12+AV13)*2/10000*(AV14+AV15+AV15))),AV17="Yes",(AV9*2*(AV10+AV11/2+1.5)/10000*(AV14+AV15+AV16)+(((AV14+AV15+AV16+20))*AV9*AV11/10000)))</f>
        <v>88.057899999999989</v>
      </c>
      <c r="AW20" s="157" cm="1">
        <f t="array" ref="AW20">_xlfn.IFS(AW17="No",((AW9*2*(AW10+AW11+3)/10000*(AW14+AW15+AW16))+((AW9-AW11)*AW11*2*(AW14+AW15+AW16+20)/10000)+(AW11*(AW12+AW13)*2/10000*(AW14+AW15+20))),AW17="Yes",(AW9*2*(AW10+AW11/2+1.5)/10000*(AW14+AW15+AW16)+(((AW14+AW15+AW16+20))*(AW9-AW11)*AW11/10000)))</f>
        <v>57.332000000000008</v>
      </c>
      <c r="AX20" s="157" cm="1">
        <f t="array" ref="AX20">_xlfn.IFS(AX17="No",((AX9*2*(AX10+AX11+3)/10000*(AX14+AX15+AX16))+((AX9-AX11)*AX11*2*(AX14+AX15+AX16+20)/10000)+(AX11*(AX12+AX13)*2/10000*(AX14+AX15+20))),AX17="Yes",(AX9*2*(AX10+AX11/2+1.5)/10000*(AX14+AX15+AX16)+(((AX14+AX15+AX16+20))*(AX9-AX11)*AX11/10000)))</f>
        <v>68.102000000000004</v>
      </c>
      <c r="AY20" s="157" cm="1">
        <f t="array" ref="AY20">_xlfn.IFS(AY17="No",((AY9*2*(AY10+AY11+3)/10000*(AY14+AY15+AY16))+((AY9-AY11)*AY11*2*(AY14+AY15+AY16+20)/10000)+(AY11*(AY12+AY13)*2/10000*(AY14+AY15+20))),AY17="Yes",(AY9*2*(AY10+AY11/2+1.5)/10000*(AY14+AY15+AY16)+(((AY14+AY15+AY16+20))*(AY9-AY11)*AY11/10000)))</f>
        <v>61.352000000000004</v>
      </c>
      <c r="AZ20" s="157" cm="1">
        <f t="array" ref="AZ20">_xlfn.IFS(AZ17="No",((AZ9*2*(AZ10+AZ11+3)/10000*(AZ14+AZ15+AZ16))+((AZ9-AZ11)*AZ11*2*(AZ14+AZ15+AZ16+20)/10000)+(AZ11*(AZ12+AZ13)*2/10000*(AZ14+AZ15+20))),AZ17="Yes",(AZ9*2*(AZ10+AZ11/2+1.5)/10000*(AZ14+AZ15+AZ16)+(((AZ14+AZ15+AZ16+20))*(AZ9-AZ11)*AZ11/10000)))</f>
        <v>73.584000000000003</v>
      </c>
      <c r="BA20" s="157" cm="1">
        <f t="array" ref="BA20">_xlfn.IFS(BA17="No",((BA9*2*(BA10+BA11+3)/10000*(BA14+BA15+BA16))+((BA9-BA11)*BA11*2*(BA14+BA15+BA16+28)/10000)+((BA11+1)*(BA12+BA13)*2/10000*(BA14+BA15+28))),BA17="Yes",(BA9*2*(BA10+BA11/2+1.5)/10000*(BA14+BA15+BA16)+(((BA14+BA15+BA16+28))*(BA9-BA11)*BA11/10000)))</f>
        <v>63.367200000000004</v>
      </c>
      <c r="BB20" s="157" cm="1">
        <f t="array" ref="BB20">_xlfn.IFS(BB17="No",((BB9*2*(BB10+BB11+3)/10000*(BB14+BB15+BB16))+((BB9-BB11)*BB11*2*(BB14+BB15+BB16+28)/10000)+((BB11+1)*(BB12+BB13)*2/10000*(BB14+BB15+28))),BB17="Yes",(BB9*2*(BB10+BB11/2+1.5)/10000*(BB14+BB15+BB16)+(((BB14+BB15+BB16+28))*(BB9-BB11)*BB11/10000)))</f>
        <v>91.491</v>
      </c>
      <c r="BC20" s="157" cm="1">
        <f t="array" ref="BC20">_xlfn.IFS(BC17="No",((BC9*2*(BC10+BC11+3)/10000*(BC14+BC15+BC16))+((BC9-BC11)*BC11*2*(BC14+BC15+BC16+20)/10000)+(BC11*(BC12+BC13)*2/10000*(BC14+BC15+20))),BC17="Yes",(BC9*2*(BC10+BC11/2+1.5)/10000*(BC14+BC15+BC16)+(((BC14+BC15+BC16+20))*(BC9-BC11)*BC11/10000)))</f>
        <v>60.012</v>
      </c>
      <c r="BD20" s="157" cm="1">
        <f t="array" ref="BD20">_xlfn.IFS(BD17="No",((BD9*2*(BD10+BD11+3)/10000*(BD14+BD15+BD16))+((BD9-BD11)*BD11*2*(BD14+BD15+BD16+20)/10000)+(BD11*(BD12+BD13)*2/10000*(BD14+BD15+20))),BD17="Yes",(BD9*2*(BD10+BD11/2+1.5)/10000*(BD14+BD15+BD16)+(((BD14+BD15+BD16+20))*(BD9-BD11)*BD11/10000)))</f>
        <v>80.014080000000021</v>
      </c>
      <c r="BE20" s="157" cm="1">
        <f t="array" ref="BE20">_xlfn.IFS(BE17="No",((BE9*2*(BE10+BE11+3)/10000*(BE14+BE15+BE16))+((BE9-BE11)*BE11*2*(BE14+BE15+BE16+20)/10000)+(BE11*(BE12+BE13)*2/10000*(BE14+BE15+20))),BE17="Yes",(BE9*2*(BE10+BE11/2+1.5)/10000*(BE14+BE15+BE16)+(((BE14+BE15+BE16+20))*(BE9-BE11)*BE11/10000)))</f>
        <v>72.003929999999997</v>
      </c>
      <c r="BF20" s="157" cm="1">
        <f t="array" ref="BF20">_xlfn.IFS(BF17="No",((BF9*2*(BF10+BF11+3)/10000*(BF14+BF15+BF16))+((BF9-BF11)*BF11*2*(BF14+BF15+BF16+20)/10000)+(BF11*(BF12+BF13)*2/10000*(BF14+BF15+20))),BF17="Yes",(BF9*2*(BF10+BF11/2+1.5)/10000*(BF14+BF15+BF16)+(((BF14+BF15+BF16+20))*(BF9-BF11)*BF11/10000)))</f>
        <v>52.015320000000003</v>
      </c>
      <c r="BG20" s="157" cm="1">
        <f t="array" ref="BG20">_xlfn.IFS(BG17="No",((BG9*2*(BG10+BG11+3)/10000*(BG14+BG15+BG16))+((BG9-BG11)*BG11*2*(BG14+BG15+BG16+20)/10000)+(BG11*(BG12+BG13)*2/10000*(BG14+BG15+20))),BG17="Yes",(BG9*2*(BG10+BG11/2+1.5)/10000*(BG14+BG15+BG16)+(((BG14+BG15+BG16+20))*(BG9-BG11)*BG11/10000)))</f>
        <v>78.52</v>
      </c>
      <c r="BH20" s="157" cm="1">
        <f t="array" ref="BH20">_xlfn.IFS(BH17="No",((BH9*2*(BH10+BH11+3)/10000*(BH14+BH15+BH16))+((BH9-BH11)*BH11*2*(BH14+BH15+BH16+20)/10000)+(BH11*(BH12+BH13)*2/10000*(BH14+BH15+20))),BH17="Yes",(BH9*2*(BH10+BH11/2+1.5)/10000*(BH14+BH15+BH16)+(((BH14+BH15+BH16+20))*(BH9-BH11)*BH11/10000)))</f>
        <v>107.68036000000001</v>
      </c>
      <c r="BI20" s="157" cm="1">
        <f t="array" ref="BI20">_xlfn.IFS(BI17="No",((BI9*2*(BI10+BI11+3)/10000*(BI14+BI15+BI16))+((BI9-BI11)*BI11*2*(BI14+BI15+BI16+20)/10000)+(BI11*(BI12+BI13)*2/10000*(BI14+BI15+20))),BI17="Yes",(BI9*2*(BI10+BI11/2+1.5)/10000*(BI14+BI15+BI16)+(((BI14+BI15+BI16+20))*(BI9-BI11)*BI11/10000)))</f>
        <v>93.891999999999996</v>
      </c>
      <c r="BJ20" s="157" cm="1">
        <f t="array" ref="BJ20">_xlfn.IFS(BJ17="No",((BJ9*2*(BJ10+BJ11+3)/10000*(BJ14+BJ15+BJ16))+((BJ9-BJ11)*BJ11*2*(BJ14+BJ15+BJ16+20)/10000)+(BJ11*(BJ12+BJ13)*2/10000*(BJ14+BJ15+20))),BJ17="Yes",(BJ9*2*(BJ10+BJ11/2+1.5)/10000*(BJ14+BJ15+BJ16)+(((BJ14+BJ15+BJ16+20))*(BJ9-BJ11)*BJ11/10000)))</f>
        <v>128.09956000000003</v>
      </c>
      <c r="BK20" s="157" cm="1">
        <f t="array" ref="BK20">_xlfn.IFS(BK17="No",((BK9*2*(BK10+BK11+3)/10000*(BK14+BK15+BK16))+((BK9-BK11)*BK11*2*(BK14+BK15+BK16+20)/10000)+(BK11*(BK12+BK13)*2/10000*(BK14+BK15+20))),BK17="Yes",(BK9*2*(BK10+BK11/2+1.5)/10000*(BK14+BK15+BK16)+(((BK14+BK15+BK16+20))*(BK9-BK11)*BK11/10000)))</f>
        <v>78.831600000000009</v>
      </c>
      <c r="BL20" s="157" cm="1">
        <f t="array" ref="BL20">_xlfn.IFS(BL17="No",((BL9*2*(BL10+BL11+3)/10000*(BL14+BL15+BL16))+((BL9-BL11)*BL11*2*(BL14+BL15+BL16+20)/10000)+(BL11*(BL12+BL13)*2/10000*(BL14+BL15+20))),BL17="Yes",(BL9*2*(BL10+BL11/2+1.5)/10000*(BL14+BL15+BL16)+(((BL14+BL15+BL16+20))*(BL9-BL11)*BL11/10000)))</f>
        <v>90.540800000000004</v>
      </c>
      <c r="BM20" s="157" cm="1">
        <f t="array" ref="BM20">_xlfn.IFS(BM17="No",((BM9*2*(BM10+BM11+3)/10000*(BM14+BM15+BM16))+((BM9-BM11)*BM11*2*(BM14+BM15+BM16+20)/10000)+(BM11*(BM12+BM13)*2/10000*(BM14+BM15+20))),BM17="Yes",(BM9*2*(BM10+BM11/2+1.5)/10000*(BM14+BM15+BM16)+(((BM14+BM15+BM16+20))*(BM9-BM11)*BM11/10000)))</f>
        <v>50.6616</v>
      </c>
      <c r="BN20" s="157" cm="1">
        <f t="array" ref="BN20">_xlfn.IFS(BN17="No",((BN9*2*(BN10+BN11+3)/10000*(BN14+BN15+BN16))+((BN9-BN11)*BN11*2*(BN14+BN15+BN16+20)/10000)+(BN11*(BN12+BN13)*2/10000*(BN14+BN15+20))),BN17="Yes",(BN9*2*(BN10+BN11/2+1.5)/10000*(BN14+BN15+BN16)+(((BN14+BN15+BN16+20))*(BN9-BN11)*BN11/10000)))</f>
        <v>60.012</v>
      </c>
      <c r="BO20" s="157" cm="1">
        <f t="array" ref="BO20">_xlfn.IFS(BO17="No",((BO9*2*(BO10+BO11+3)/10000*(BO14+BO15+BO16))+((BO9-BO11)*BO11*2*(BO14+BO15+BO16+20)/10000)+(BO11*(BO12+BO13)*2/10000*(BO14+BO15+20))),BO17="Yes",(BO9*2*(BO10+BO11/2+1.5)/10000*(BO14+BO15+BO16)+(((BO14+BO15+BO16+20))*(BO9-BO11)*BO11/10000)))</f>
        <v>62.148000000000003</v>
      </c>
      <c r="BP20" s="157" cm="1">
        <f t="array" ref="BP20">_xlfn.IFS(BP17="No",((BP9*2*(BP10+BP11+3)/10000*(BP14+BP15+BP16))+((BP9-BP11)*BP11*2*(BP14+BP15+BP16+20)/10000)+(BP11*(BP12+BP13)*2/10000*(BP14+BP15+20))),BP17="Yes",(BP9*2*(BP10+BP11/2+1.5)/10000*(BP14+BP15+BP16)+(((BP14+BP15+BP16+20))*(BP9-BP11)*BP11/10000)))</f>
        <v>85.376800000000003</v>
      </c>
      <c r="BQ20" s="157" cm="1">
        <f t="array" ref="BQ20">_xlfn.IFS(BQ17="No",((BQ9*2*(BQ10+BQ11+3)/10000*(BQ14+BQ15+BQ16))+((BQ9-BQ11)*BQ11*2*(BQ14+BQ15+BQ16+20)/10000)+(BQ11*(BQ12+BQ13)*2/10000*(BQ14+BQ15+20))),BQ17="Yes",(BQ9*2*(BQ10+BQ11/2+1.5)/10000*(BQ14+BQ15+BQ16)+(((BQ14+BQ15+BQ16+20))*(BQ9-BQ11)*BQ11/10000)))</f>
        <v>80.422550000000001</v>
      </c>
      <c r="BR20" s="157" cm="1">
        <f t="array" ref="BR20">_xlfn.IFS(BR17="No",((BR9*2*(BR10+BR11+3)/10000*(BR14+BR15+BR16))+((BR9-BR11)*BR11*2*(BR14+BR15+BR16+20)/10000)+(BR11*(BR12+BR13)*2/10000*(BR14+BR15+20))),BR17="Yes",(BR9*2*(BR10+BR11/2+1.5)/10000*(BR14+BR15+BR16)+(((BR14+BR15+BR16+20))*(BR9-BR11)*BR11/10000)))</f>
        <v>72.034440000000004</v>
      </c>
      <c r="BS20" s="157" cm="1">
        <f t="array" ref="BS20">_xlfn.IFS(BS17="No",((BS9*2*(BS10+BS11+3)/10000*(BS14+BS15+BS16))+((BS9-BS11)*BS11*2*(BS14+BS15+BS16+20)/10000)+(BS11*(BS12+BS13)*2/10000*(BS14+BS15+20))),BS17="Yes",(BS9*2*(BS10+BS11/2+1.5)/10000*(BS14+BS15+BS16)+(((BS14+BS15+BS16+20))*(BS9-BS11)*BS11/10000)))</f>
        <v>63.194000000000003</v>
      </c>
      <c r="BT20" s="157" cm="1">
        <f t="array" ref="BT20">_xlfn.IFS(BT17="No",((BT9*2*(BT10+BT11+3)/10000*(BT14+BT15+BT16))+((BT9-BT11)*BT11*2*(BT14+BT15+BT16+20)/10000)+(BT11*(BT12+BT13)*2/10000*(BT14+BT15+20))),BT17="Yes",(BT9*2*(BT10+BT11/2+1.5)/10000*(BT14+BT15+BT16)+(((BT14+BT15+BT16+20))*(BT9-BT11)*BT11/10000)))</f>
        <v>93.14800000000001</v>
      </c>
      <c r="BU20" s="157" cm="1">
        <f t="array" ref="BU20">_xlfn.IFS(BU17="No",((BU9*2*(BU10+BU11+3)/10000*(BU14+BU15+BU16))+((BU9-BU11)*BU11*2*(BU14+BU15+BU16+20)/10000)+(BU11*(BU12+BU13)*2/10000*(BU14+BU15+20))),BU17="Yes",(BU9*2*(BU10+BU11/2+1.5)/10000*(BU14+BU15+BU16)+(((BU14+BU15+BU16+20))*(BU9-BU11)*BU11/10000)))</f>
        <v>86.056700000000006</v>
      </c>
      <c r="BV20" s="157" cm="1">
        <f t="array" ref="BV20">_xlfn.IFS(BV17="No",((BV9*2*(BV10+BV11+3)/10000*(BV14+BV15+BV16))+((BV9-BV11)*BV11*2*(BV14+BV15+BV16+20)/10000)+(BV11*(BV12+BV13)*2/10000*(BV14+BV15+20))),BV17="Yes",(BV9*2*(BV10+BV11/2+1.5)/10000*(BV14+BV15+BV16)+(((BV14+BV15+BV16+20))*(BV9-BV11)*BV11/10000)))</f>
        <v>80.002534499999996</v>
      </c>
      <c r="BW20" s="157" cm="1">
        <f t="array" ref="BW20">_xlfn.IFS(BW17="No",((BW9*2*(BW10+BW11+3)/10000*(BW14+BW15+BW16))+((BW9-BW11)*BW11*2*(BW14+BW15+BW16+20)/10000)+(BW11*(BW12+BW13)*2/10000*(BW14+BW15+20))),BW17="Yes",(BW9*2*(BW10+BW11/2+1.5)/10000*(BW14+BW15+BW16)+(((BW14+BW15+BW16+20))*(BW9-BW11)*BW11/10000)))</f>
        <v>72.002551999999994</v>
      </c>
      <c r="BX20" s="157" cm="1">
        <f t="array" ref="BX20">_xlfn.IFS(BX17="No",((BX9*2*(BX10+BX11+3)/10000*(BX14+BX15+BX16))+((BX9-BX11)*BX11*2*(BX14+BX15+BX16+20)/10000)+(BX11*(BX12+BX13)*2/10000*(BX14+BX15+20))),BX17="Yes",(BX9*2*(BX10+BX11/2+1.5)/10000*(BX14+BX15+BX16)+(((BX14+BX15+BX16+20))*(BX9-BX11)*BX11/10000)))</f>
        <v>96.201433199999997</v>
      </c>
      <c r="BY20" s="157" cm="1">
        <f t="array" ref="BY20">_xlfn.IFS(BY17="No",((BY9*2*(BY10+BY11+3)/10000*(BY14+BY15+BY16))+((BY9-BY11)*BY11*2*(BY14+BY15+BY16+20)/10000)+(BY11*(BY12+BY13)*2/10000*(BY14+BY15+20))),BY17="Yes",(BY9*2*(BY10+BY11/2+1.5)/10000*(BY14+BY15+BY16)+(((BY14+BY15+BY16+20))*(BY9-BY11)*BY11/10000)))</f>
        <v>79.998159999999999</v>
      </c>
      <c r="BZ20" s="157" cm="1">
        <f t="array" ref="BZ20">_xlfn.IFS(BZ17="No",((BZ9*2*(BZ10+BZ11+3)/10000*(BZ14+BZ15+BZ16))+((BZ9-BZ11)*BZ11*2*(BZ14+BZ15+BZ16+20)/10000)+(BZ11*(BZ12+BZ13)*2/10000*(BZ14+BZ15+20))),BZ17="Yes",(BZ9*2*(BZ10+BZ11/2+1.5)/10000*(BZ14+BZ15+BZ16)+(((BZ14+BZ15+BZ16+20))*(BZ9-BZ11)*BZ11/10000)))</f>
        <v>97.088400000000007</v>
      </c>
      <c r="CA20" s="157" cm="1">
        <f t="array" ref="CA20">_xlfn.IFS(CA17="No",((CA9*2*(CA10+CA11+3)/10000*(CA14+CA15+CA16))+((CA9-CA11)*CA11*2*(CA14+CA15+CA16+28)/10000)+((CA11+1)*(CA12+CA13)*2/10000*(CA14+CA15+28))),CA17="Yes",(CA9*2*(CA10+CA11/2+1.5)/10000*(CA14+CA15+CA16)+(((CA14+CA15+CA16+28))*(CA9-CA11)*CA11/10000)))</f>
        <v>86.321600000000004</v>
      </c>
      <c r="CB20" s="157" cm="1">
        <f t="array" ref="CB20">_xlfn.IFS(CB17="No",((CB9*2*(CB10+CB11+3)/10000*(CB14+CB15+CB16))+((CB9-CB11)*CB11*2*(CB14+CB15+CB16+28)/10000)+((CB11+1)*(CB12+CB13)*2/10000*(CB14+CB15+28))),CB17="Yes",(CB9*2*(CB10+CB11/2+1.5)/10000*(CB14+CB15+CB16)+(((CB14+CB15+CB16+28))*(CB9-CB11)*CB11/10000)))</f>
        <v>113.17750000000001</v>
      </c>
      <c r="CC20" s="157" cm="1">
        <f t="array" ref="CC20">_xlfn.IFS(CC17="No",((CC9*2*(CC10+CC11+3)/10000*(CC14+CC15+CC16))+((CC9-CC11)*CC11*2*(CC14+CC15+CC16+28)/10000)+((CC11+1)*(CC12+CC13)*2/10000*(CC14+CC15+28))),CC17="Yes",(CC9*2*(CC10+CC11/2+1.5)/10000*(CC14+CC15+CC16)+(((CC14+CC15+CC16+28))*(CC9-CC11)*CC11/10000)))</f>
        <v>95.621800000000007</v>
      </c>
      <c r="CD20" s="157" cm="1">
        <f t="array" ref="CD20">_xlfn.IFS(CD17="No",((CD9*2*(CD10+CD11+3)/10000*(CD14+CD15+CD16))+((CD9-CD11)*CD11*2*(CD14+CD15+CD16+28)/10000)+((CD11+1)*(CD12+CD13)*2/10000*(CD14+CD15+28))),CD17="Yes",(CD9*2*(CD10+CD11/2+1.5)/10000*(CD14+CD15+CD16)+(((CD14+CD15+CD16+28))*(CD9-CD11)*CD11/10000)))</f>
        <v>79.650400000000005</v>
      </c>
      <c r="CE20" s="157" cm="1">
        <f t="array" ref="CE20">_xlfn.IFS(CE17="No",((CE9*2*(CE10+CE11+3)/10000*(CE14+CE15+CE16))+((CE9-CE11)*CE11*2*(CE14+CE15+CE16+28)/10000)+((CE11+1)*(CE12+CE13)*2/10000*(CE14+CE15+28))),CE17="Yes",(CE9*2*(CE10+CE11/2+1.5)/10000*(CE14+CE15+CE16)+(((CE14+CE15+CE16+28))*(CE9-CE11)*CE11/10000)))</f>
        <v>89.375799999999998</v>
      </c>
      <c r="CF20" s="157" cm="1">
        <f t="array" ref="CF20">_xlfn.IFS(CF17="No",((CF9*2*(CF10+CF11+3)/10000*(CF14+CF15+CF16))+((CF9-CF11)*CF11*2*(CF14+CF15+CF16+28)/10000)+((CF11+1)*(CF12+CF13)*2/10000*(CF14+CF15+28))),CF17="Yes",(CF9*2*(CF10+CF11/2+1.5)/10000*(CF14+CF15+CF16)+(((CF14+CF15+CF16+28))*(CF9-CF11)*CF11/10000)))</f>
        <v>96.228800000000007</v>
      </c>
      <c r="CG20" s="157" cm="1">
        <f t="array" ref="CG20">_xlfn.IFS(CG17="No",((CG9*2*(CG10+CG11+3)/10000*(CG14+CG15+CG16))+((CG9-CG11)*CG11*2*(CG14+CG15+CG16+28)/10000)+((CG11+1)*(CG12+CG13)*2/10000*(CG14+CG15+28))),CG17="Yes",(CG9*2*(CG10+CG11/2+1.5)/10000*(CG14+CG15+CG16)+(((CG14+CG15+CG16+28))*(CG9-CG11)*CG11/10000)))</f>
        <v>46.295199999999994</v>
      </c>
      <c r="CH20" s="157" cm="1">
        <f t="array" ref="CH20">_xlfn.IFS(CH17="No",((CH9*2*(CH10+CH11+3)/10000*(CH14+CH15+CH16))+((CH9-CH11)*CH11*2*(CH14+CH15+CH16+28)/10000)+((CH11+1)*(CH12+CH13)*2/10000*(CH14+CH15+28))),CH17="Yes",(CH9*2*(CH10+CH11/2+1.5)/10000*(CH14+CH15+CH16)+(((CH14+CH15+CH16+28))*(CH9-CH11)*CH11/10000)))</f>
        <v>80.358800000000002</v>
      </c>
      <c r="CI20" s="157" cm="1">
        <f t="array" ref="CI20">_xlfn.IFS(CI17="No",((CI9*2*(CI10+CI11+3)/10000*(CI14+CI15+CI16))+((CI9-CI11)*CI11*2*(CI14+CI15+CI16+28)/10000)+((CI11+1)*(CI12+CI13)*2/10000*(CI14+CI15+28))),CI17="Yes",(CI9*2*(CI10+CI11/2+1.5)/10000*(CI14+CI15+CI16)+(((CI14+CI15+CI16+28))*(CI9-CI11)*CI11/10000)))</f>
        <v>104.6392</v>
      </c>
      <c r="CJ20" s="157" cm="1">
        <f t="array" ref="CJ20">_xlfn.IFS(CJ17="No",((CJ9*2*(CJ10+CJ11+3)/10000*(CJ14+CJ15+CJ16))+((CJ9-CJ11)*CJ11*2*(CJ14+CJ15+CJ16+28)/10000)+((CJ11+1)*(CJ12+CJ13)*2/10000*(CJ14+CJ15+28))),CJ17="Yes",(CJ9*2*(CJ10+CJ11/2+1.5)/10000*(CJ14+CJ15+CJ16)+(((CJ14+CJ15+CJ16+28))*(CJ9-CJ11)*CJ11/10000)))</f>
        <v>96.228800000000007</v>
      </c>
      <c r="CK20" s="157" cm="1">
        <f t="array" ref="CK20">_xlfn.IFS(CK17="No",((CK9*2*(CK10+CK11+3)/10000*(CK14+CK15+CK16))+((CK9-CK11)*CK11*2*(CK14+CK15+CK16+28)/10000)+((CK11+1)*(CK12+CK13)*2/10000*(CK14+CK15+28))),CK17="Yes",(CK9*2*(CK10+CK11/2+1.5)/10000*(CK14+CK15+CK16)+(((CK14+CK15+CK16+28))*(CK9-CK11)*CK11/10000)))</f>
        <v>86.321600000000004</v>
      </c>
      <c r="CL20" s="160" cm="1">
        <f t="array" ref="CL20">_xlfn.IFS(CL17="No",((CL9*2*(CL10+CL11+3)/10000*(CL14+CL15+CL16))+((CL9-CL11)*CL11*2*(CL14+CL15+CL16+28)/10000)+((CL11+1)*(CL12+CL13)*2/10000*(CL14+CL15+28))),CL17="Yes",(CL9*2*(CL10+CL11/2+1.5)/10000*(CL14+CL15+CL16)+(((CL14+CL15+CL16+28))*(CL9-CL11)*CL11/10000)))</f>
        <v>113.17750000000001</v>
      </c>
      <c r="CM20" s="157" cm="1">
        <f t="array" ref="CM20">_xlfn.IFS(CM17="No",((CM9*2*(CM10+CM11+3)/10000*(CM14+CM15+CM16))+((CM9-CM11)*CM11*2*(CM14+CM15+CM16+20)/10000)+(CM11*(CM12+CM13)*2/10000*(CM14+CM15+20))),CM17="Yes",(CM9*2*(CM10+CM11/2+1.5)/10000*(CM14+CM15+CM16)+(((CM14+CM15+CM16+20))*(CM9-CM11)*CM11/10000)))</f>
        <v>63.194000000000003</v>
      </c>
      <c r="CN20" s="157" cm="1">
        <f t="array" ref="CN20">_xlfn.IFS(CN17="No",((CN9*2*(CN10+CN11+3)/10000*(CN14+CN15+CN16))+((CN9-CN11)*CN11*2*(CN14+CN15+CN16+20)/10000)+(CN11*(CN12+CN13)*2/10000*(CN14+CN15+20))),CN17="Yes",(CN9*2*(CN10+CN11/2+1.5)/10000*(CN14+CN15+CN16)+(((CN14+CN15+CN16+20))*(CN9-CN11)*CN11/10000)))</f>
        <v>53.048959999999994</v>
      </c>
      <c r="CO20" s="157" cm="1">
        <f t="array" ref="CO20">_xlfn.IFS(CO17="No",((CO9*2*(CO10+CO11+3)/10000*(CO14+CO15+CO16))+((CO9-CO11)*CO11*2*(CO14+CO15+CO16+20)/10000)+(CO11*(CO12+CO13)*2/10000*(CO14+CO15+20))),CO17="Yes",(CO9*2*(CO10+CO11/2+1.5)/10000*(CO14+CO15+CO16)+(((CO14+CO15+CO16+20))*(CO9-CO11)*CO11/10000)))</f>
        <v>55.840949999999999</v>
      </c>
      <c r="CP20" s="157" cm="1">
        <f t="array" ref="CP20">_xlfn.IFS(CP17="No",((CP9*2*(CP10+CP11+3)/10000*(CP14+CP15+CP16))+((CP9-CP11)*CP11*2*(CP14+CP15+CP16+20)/10000)+(CP11*(CP12+CP13)*2/10000*(CP14+CP15+20))),CP17="Yes",(CP9*2*(CP10+CP11/2+1.5)/10000*(CP14+CP15+CP16)+(((CP14+CP15+CP16+20))*(CP9-CP11)*CP11/10000)))</f>
        <v>53.048959999999994</v>
      </c>
      <c r="CQ20" s="157" cm="1">
        <f t="array" ref="CQ20">_xlfn.IFS(CQ17="No",((CQ9*2*(CQ10+CQ11+3)/10000*(CQ14+CQ15+CQ16))+((CQ9-CQ11)*CQ11*2*(CQ14+CQ15+CQ16+28)/10000)+((CQ11+1)*(CQ12+CQ13)*2/10000*(CQ14+CQ15+28))),CQ17="Yes",(CQ9*2*(CQ10+CQ11/2+1.5)/10000*(CQ14+CQ15+CQ16)+(((CQ14+CQ15+CQ16+28))*(CQ9-CQ11)*CQ11/10000)))</f>
        <v>104.6392</v>
      </c>
      <c r="CR20" s="157" cm="1">
        <f t="array" ref="CR20">_xlfn.IFS(CR17="No",((CR9*2*(CR10+CR11+3)/10000*(CR14+CR15+CR16))+((CR9-CR11)*CR11*2*(CR14+CR15+CR16+28)/10000)+((CR11+1)*(CR12+CR13)*2/10000*(CR14+CR15+28))),CR17="Yes",(CR9*2*(CR10+CR11/2+1.5)/10000*(CR14+CR15+CR16)+(((CR14+CR15+CR16+28))*(CR9-CR11)*CR11/10000)))</f>
        <v>89.375799999999998</v>
      </c>
      <c r="CS20" s="157" cm="1">
        <f t="array" ref="CS20">_xlfn.IFS(CS17="No",((CS9*2*(CS10+CS11+3)/10000*(CS14+CS15+CS16))+((CS9-CS11)*CS11*2*(CS14+CS15+CS16+20)/10000)+(CS11*(CS12+CS13)*2/10000*(CS14+CS15+20))),CS17="Yes",(CS9*2*(CS10+CS11/2+1.5)/10000*(CS14+CS15+CS16)+(((CS14+CS15+CS16+20))*(CS9-CS11)*CS11/10000)))</f>
        <v>73.584000000000003</v>
      </c>
      <c r="CT20" s="157" cm="1">
        <f t="array" ref="CT20">_xlfn.IFS(CT17="No",((CT9*2*(CT10+CT11+3)/10000*(CT14+CT15+CT16))+((CT9-CT11)*CT11*2*(CT14+CT15+CT16+28)/10000)+((CT11+1)*(CT12+CT13)*2/10000*(CT14+CT15+28))),CT17="Yes",(CT9*2*(CT10+CT11/2+1.5)/10000*(CT14+CT15+CT16)+(((CT14+CT15+CT16+28))*(CT9-CT11)*CT11/10000)))</f>
        <v>63.367200000000004</v>
      </c>
      <c r="CU20" s="157" cm="1">
        <f t="array" ref="CU20">_xlfn.IFS(CU17="No",((CU9*2*(CU10+CU11+3)/10000*(CU14+CU15+CU16))+((CU9-CU11)*CU11*2*(CU14+CU15+CU16+28)/10000)+((CU11+1)*(CU12+CU13)*2/10000*(CU14+CU15+28))),CU17="Yes",(CU9*2*(CU10+CU11/2+1.5)/10000*(CU14+CU15+CU16)+(((CU14+CU15+CU16+28))*(CU9-CU11)*CU11/10000)))</f>
        <v>104.6392</v>
      </c>
      <c r="CV20" s="157" cm="1">
        <f t="array" ref="CV20">_xlfn.IFS(CV17="No",((CV9*2*(CV10+CV11+3)/10000*(CV14+CV15+CV16))+((CV9-CV11)*CV11*2*(CV14+CV15+CV16+28)/10000)+((CV11+1)*(CV12+CV13)*2/10000*(CV14+CV15+28))),CV17="Yes",(CV9*2*(CV10+CV11/2+1.5)/10000*(CV14+CV15+CV16)+(((CV14+CV15+CV16+28))*(CV9-CV11)*CV11/10000)))</f>
        <v>86.321600000000004</v>
      </c>
      <c r="CW20" s="160" cm="1">
        <f t="array" ref="CW20">_xlfn.IFS(CW17="No",((CW9*2*(CW10+CW11+3)/10000*(CW14+CW15+CW16))+((CW9-CW11)*CW11*2*(CW14+CW15+CW16+28)/10000)+((CW11+1)*(CW12+CW13)*2/10000*(CW14+CW15+28))),CW17="Yes",(CW9*2*(CW10+CW11/2+1.5)/10000*(CW14+CW15+CW16)+(((CW14+CW15+CW16+28))*(CW9-CW11)*CW11/10000)))</f>
        <v>113.17750000000001</v>
      </c>
      <c r="CX20" s="160" cm="1">
        <f t="array" ref="CX20">_xlfn.IFS(CX17="No",((CX9*2*(CX10+CX11+3)/10000*(CX14+CX15+CX16))+((CX9-CX11)*CX11*2*(CX14+CX15+CX16+28)/10000)+((CX11+1)*(CX12+CX13)*2/10000*(CX14+CX15+28))),CX17="Yes",(CX9*2*(CX10+CX11/2+1.5)/10000*(CX14+CX15+CX16)+(((CX14+CX15+CX16+28))*(CX9-CX11)*CX11/10000)))</f>
        <v>122.253</v>
      </c>
      <c r="CY20" s="160" cm="1">
        <f t="array" ref="CY20">_xlfn.IFS(CY17="No",((CY9*2*(CY10+CY11+3)/10000*(CY14+CY15+CY16))+((CY9-CY11)*CY11*2*(CY14+CY15+CY16+28)/10000)+((CY11+1)*(CY12+CY13)*2/10000*(CY14+CY15+28))),CY17="Yes",(CY9*2*(CY10+CY11/2+1.5)/10000*(CY14+CY15+CY16)+(((CY14+CY15+CY16+28))*(CY9-CY11)*CY11/10000)))</f>
        <v>80.016019999999997</v>
      </c>
      <c r="CZ20" s="157" cm="1">
        <f t="array" ref="CZ20">_xlfn.IFS(CZ17="No",((CZ9*2*(CZ10+CZ11+3)/10000*(CZ14+CZ15+CZ16))+((CZ9-CZ11)*CZ11*2*(CZ14+CZ15+CZ16+28)/10000)+((CZ11+1)*(CZ12+CZ13)*2/10000*(CZ14+CZ15+28))),CZ17="Yes",(CZ9*2*(CZ10+CZ11/2+1.5)/10000*(CZ14+CZ15+CZ16)+(((CZ14+CZ15+CZ16+28))*(CZ9-CZ11)*CZ11/10000)))</f>
        <v>96.228800000000007</v>
      </c>
      <c r="DA20" s="157" cm="1">
        <f t="array" ref="DA20">_xlfn.IFS(DA17="No",((DA9*2*(DA10+DA11+3)/10000*(DA14+DA15+DA16))+((DA9-DA11)*DA11*2*(DA14+DA15+DA16+28)/10000)+((DA11+1)*(DA12+DA13)*2/10000*(DA14+DA15+28))),DA17="Yes",(DA9*2*(DA10+DA11/2+1.5)/10000*(DA14+DA15+DA16)+(((DA14+DA15+DA16+28))*(DA9-DA11)*DA11/10000)))</f>
        <v>68.002716000000007</v>
      </c>
      <c r="DB20" s="157" cm="1">
        <f t="array" ref="DB20">_xlfn.IFS(DB17="No",((DB9*2*(DB10+DB11+3)/10000*(DB14+DB15+DB16))+((DB9-DB11)*DB11*2*(DB14+DB15+DB16+20)/10000)+(DB11*(DB12+DB13)*2/10000*(DB14+DB15+20))),DB17="Yes",(DB9*2*(DB10+DB11/2+1.5)/10000*(DB14+DB15+DB16)+(((DB14+DB15+DB16+20))*(DB9-DB11)*DB11/10000)))</f>
        <v>79.996608000000009</v>
      </c>
      <c r="DC20" s="157" cm="1">
        <f t="array" ref="DC20">_xlfn.IFS(DC17="No",((DC9*2*(DC10+DC11+3)/10000*(DC14+DC15+DC16))+((DC9-DC11)*DC11*2*(DC14+DC15+DC16+28)/10000)+((DC11+1)*(DC12+DC13)*2/10000*(DC14+DC15+28))),DC17="Yes",(DC9*2*(DC10+DC11/2+1.5)/10000*(DC14+DC15+DC16)+(((DC14+DC15+DC16+28))*(DC9-DC11)*DC11/10000)))</f>
        <v>65.002859999999998</v>
      </c>
      <c r="DD20" s="157" cm="1">
        <f t="array" ref="DD20">_xlfn.IFS(DD17="No",((DD9*2*(DD10+DD11+3)/10000*(DD14+DD15+DD16))+((DD9-DD11)*DD11*2*(DD14+DD15+DD16+28)/10000)+((DD11+1)*(DD12+DD13)*2/10000*(DD14+DD15+28))),DD17="Yes",(DD9*2*(DD10+DD11/2+1.5)/10000*(DD14+DD15+DD16)+(((DD14+DD15+DD16+28))*(DD9-DD11)*DD11/10000)))</f>
        <v>79.986399999999989</v>
      </c>
      <c r="DE20" s="157" cm="1">
        <f t="array" ref="DE20">_xlfn.IFS(DE17="No",((DE9*2*(DE10+DE11+3)/10000*(DE14+DE15+DE16))+((DE9-DE11)*DE11*2*(DE14+DE15+DE16+28)/10000)+((DE11+1)*(DE12+DE13)*2/10000*(DE14+DE15+28))),DE17="Yes",(DE9*2*(DE10+DE11/2+1.5)/10000*(DE14+DE15+DE16)+(((DE14+DE15+DE16+28))*(DE9-DE11)*DE11/10000)))</f>
        <v>69.151399999999995</v>
      </c>
      <c r="DF20" s="157" cm="1">
        <f t="array" ref="DF20">_xlfn.IFS(DF17="No",((DF9*2*(DF10+DF11+3)/10000*(DF14+DF15+DF16))+((DF9-DF11)*DF11*2*(DF14+DF15+DF16+28)/10000)+((DF11+1)*(DF12+DF13)*2/10000*(DF14+DF15+28))),DF17="Yes",(DF9*2*(DF10+DF11/2+1.5)/10000*(DF14+DF15+DF16)+(((DF14+DF15+DF16+28))*(DF9-DF11)*DF11/10000)))</f>
        <v>91.486800000000002</v>
      </c>
      <c r="DG20" s="157" cm="1">
        <f t="array" ref="DG20">_xlfn.IFS(DG17="No",((DG9*2*(DG10+DG11+3)/10000*(DG14+DG15+DG16))+((DG9-DG11)*DG11*2*(DG14+DG15+DG16+28)/10000)+((DG11+1)*(DG12+DG13)*2/10000*(DG14+DG15+28))),DG17="Yes",(DG9*2*(DG10+DG11/2+1.5)/10000*(DG14+DG15+DG16)+(((DG14+DG15+DG16+28))*(DG9-DG11)*DG11/10000)))</f>
        <v>79.009999999999991</v>
      </c>
      <c r="DH20" s="157" cm="1">
        <f t="array" ref="DH20">_xlfn.IFS(DH17="No",((DH9*2*(DH10+DH11+3)/10000*(DH14+DH15+DH16))+((DH9-DH11)*DH11*2*(DH14+DH15+DH16+28)/10000)+((DH11+1)*(DH12+DH13)*2/10000*(DH14+DH15+28))),DH17="Yes",(DH9*2*(DH10+DH11/2+1.5)/10000*(DH14+DH15+DH16)+(((DH14+DH15+DH16+28))*(DH9-DH11)*DH11/10000)))</f>
        <v>76.010000000000005</v>
      </c>
      <c r="DI20" s="157" cm="1">
        <f t="array" ref="DI20">_xlfn.IFS(DI17="No",((DI9*2*(DI10+DI11+3)/10000*(DI14+DI15+DI16))+((DI9-DI11)*DI11*2*(DI14+DI15+DI16+28)/10000)+((DI11+1)*(DI12+DI13)*2/10000*(DI14+DI15+28))),DI17="Yes",(DI9*2*(DI10+DI11/2+1.5)/10000*(DI14+DI15+DI16)+(((DI14+DI15+DI16+28))*(DI9-DI11)*DI11/10000)))</f>
        <v>72.01639999999999</v>
      </c>
      <c r="DJ20" s="157" cm="1">
        <f t="array" ref="DJ20">_xlfn.IFS(DJ17="No",((DJ9*2*(DJ10+DJ11+3)/10000*(DJ14+DJ15+DJ16))+((DJ9-DJ11)*DJ11*2*(DJ14+DJ15+DJ16+20)/10000)+(DJ11*(DJ12+DJ13)*2/10000*(DJ14+DJ15+20))),DJ17="Yes",(DJ9*2*(DJ10+DJ11/2+1.5)/10000*(DJ14+DJ15+DJ16)+(((DJ14+DJ15+DJ16+20))*(DJ9-DJ11)*DJ11/10000)))</f>
        <v>60.012</v>
      </c>
      <c r="DK20" s="160" cm="1">
        <f t="array" ref="DK20">_xlfn.IFS(DK17="No",((DK9*2*(DK10+DK11+3)/10000*(DK14+DK15+DK16))+((DK9-DK11)*DK11*2*(DK14+DK15+DK16+20)/10000)+(DK11*(DK12+DK13)*2/10000*(DK14+DK15+20))),DK17="Yes",(DK9*2*(DK10+DK11/2+1.5)/10000*(DK14+DK15+DK16)+(((DK14+DK15+DK16+20))*(DK9-DK11)*DK11/10000)))</f>
        <v>73.584000000000003</v>
      </c>
      <c r="DL20" s="160" cm="1">
        <f t="array" ref="DL20">_xlfn.IFS(DL17="No",((DL9*2*(DL10+DL11+3)/10000*(DL14+DL15+DL16))+((DL9-DL11)*DL11*2*(DL14+DL15+DL16+28)/10000)+((DL11+1)*(DL12+DL13)*2/10000*(DL14+DL15+28))),DL17="Yes",(DL9*2*(DL10+DL11/2+1.5)/10000*(DL14+DL15+DL16)+(((DL14+DL15+DL16+28))*(DL9-DL11)*DL11/10000)))</f>
        <v>63.367200000000004</v>
      </c>
      <c r="DM20" s="157" cm="1">
        <f t="array" ref="DM20">_xlfn.IFS(DM17="No",((DM9*2*(DM10+DM11+3)/10000*(DM14+DM15+DM16))+((DM9-DM11)*DM11*2*(DM14+DM15+DM16+28)/10000)+((DM11+1)*(DM12+DM13)*2/10000*(DM14+DM15+28))),DM17="Yes",(DM9*2*(DM10+DM11/2+1.5)/10000*(DM14+DM15+DM16)+(((DM14+DM15+DM16+28))*(DM9-DM11)*DM11/10000)))</f>
        <v>87.197599999999994</v>
      </c>
      <c r="DN20" s="160" cm="1">
        <f t="array" ref="DN20">_xlfn.IFS(DN17="No",((DN9*2*(DN10+DN11+3)/10000*(DN14+DN15+DN16))+((DN9-DN11)*DN11*2*(DN14+DN15+DN16+20)/10000)+(DN11*(DN12+DN13)*2/10000*(DN14+DN15+20))),DN17="Yes",(DN9*2*(DN10+DN11/2+1.5)/10000*(DN14+DN15+DN16)+(((DN14+DN15+DN16+20))*(DN9-DN11)*DN11/10000)))</f>
        <v>73.051919999999996</v>
      </c>
      <c r="DO20" s="157" cm="1">
        <f t="array" ref="DO20">_xlfn.IFS(DO17="No",((DO9*2*(DO10+DO11+3)/10000*(DO14+DO15+DO16))+((DO9-DO11)*DO11*2*(DO14+DO15+DO16+28)/10000)+((DO11+1)*(DO12+DO13)*2/10000*(DO14+DO15+28))),DO17="Yes",(DO9*2*(DO10+DO11/2+1.5)/10000*(DO14+DO15+DO16)+(((DO14+DO15+DO16+28))*(DO9-DO11)*DO11/10000)))</f>
        <v>80.358800000000002</v>
      </c>
      <c r="DP20" s="157" cm="1">
        <f t="array" ref="DP20">_xlfn.IFS(DP17="No",((DP9*2*(DP10+DP11+3)/10000*(DP14+DP15+DP16))+((DP9-DP11)*DP11*2*(DP14+DP15+DP16+28)/10000)+((DP11+1)*(DP12+DP13)*2/10000*(DP14+DP15+28))),DP17="Yes",(DP9*2*(DP10+DP11/2+1.5)/10000*(DP14+DP15+DP16)+(((DP14+DP15+DP16+28))*(DP9-DP11)*DP11/10000)))</f>
        <v>92.0007375</v>
      </c>
      <c r="DQ20" s="157" cm="1">
        <f t="array" ref="DQ20">_xlfn.IFS(DQ17="No",((DQ9*2*(DQ10+DQ11+3)/10000*(DQ14+DQ15+DQ16))+((DQ9-DQ11)*DQ11*2*(DQ14+DQ15+DQ16+20)/10000)+(DQ11*(DQ12+DQ13)*2/10000*(DQ14+DQ15+20))),DQ17="Yes",(DQ9*2*(DQ10+DQ11/2+1.5)/10000*(DQ14+DQ15+DQ16)+(((DQ14+DQ15+DQ16+20))*(DQ9-DQ11)*DQ11/10000)))</f>
        <v>63.194000000000003</v>
      </c>
      <c r="DR20" s="157" cm="1">
        <f t="array" ref="DR20">_xlfn.IFS(DR17="No",((DR9*2*(DR10+DR11+3)/10000*(DR14+DR15+DR16))+((DR9-DR11)*DR11*2*(DR14+DR15+DR16+28)/10000)+((DR11+1)*(DR12+DR13)*2/10000*(DR14+DR15+28))),DR17="Yes",(DR9*2*(DR10+DR11/2+1.5)/10000*(DR14+DR15+DR16)+(((DR14+DR15+DR16+28))*(DR9-DR11)*DR11/10000)))</f>
        <v>104.8158</v>
      </c>
      <c r="DS20" s="157" cm="1">
        <f t="array" ref="DS20">_xlfn.IFS(DS17="No",((DS9*2*(DS10+DS11+3)/10000*(DS14+DS15+DS16))+((DS9-DS11)*DS11*2*(DS14+DS15+DS16+28)/10000)+((DS11+1)*(DS12+DS13)*2/10000*(DS14+DS15+28))),DS17="Yes",(DS9*2*(DS10+DS11/2+1.5)/10000*(DS14+DS15+DS16)+(((DS14+DS15+DS16+28))*(DS9-DS11)*DS11/10000)))</f>
        <v>109.92440000000001</v>
      </c>
      <c r="DT20" s="157" cm="1">
        <f t="array" ref="DT20">_xlfn.IFS(DT17="No",((DT9*2*(DT10+DT11+3)/10000*(DT14+DT15+DT16))+((DT9-DT11)*DT11*2*(DT14+DT15+DT16+28)/10000)+((DT11+1)*(DT12+DT13)*2/10000*(DT14+DT15+28))),DT17="Yes",(DT9*2*(DT10+DT11/2+1.5)/10000*(DT14+DT15+DT16)+(((DT14+DT15+DT16+28))*(DT9-DT11)*DT11/10000)))</f>
        <v>44.172800000000002</v>
      </c>
      <c r="DU20" s="157" cm="1">
        <f t="array" ref="DU20">_xlfn.IFS(DU17="No",((DU9*2*(DU10+DU11+3)/10000*(DU14+DU15+DU16))+((DU9-DU11)*DU11*2*(DU14+DU15+DU16+28)/10000)+((DU11+1)*(DU12+DU13)*2/10000*(DU14+DU15+28))),DU17="Yes",(DU9*2*(DU10+DU11/2+1.5)/10000*(DU14+DU15+DU16)+(((DU14+DU15+DU16+28))*(DU9-DU11)*DU11/10000)))</f>
        <v>70.645200000000003</v>
      </c>
    </row>
    <row r="21" spans="2:125" ht="14.25" x14ac:dyDescent="0.45">
      <c r="B21" s="134" t="s">
        <v>221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>
        <v>30</v>
      </c>
      <c r="O21" s="136">
        <v>0</v>
      </c>
      <c r="P21" s="136">
        <v>0</v>
      </c>
      <c r="Q21" s="136"/>
      <c r="R21" s="136">
        <v>0</v>
      </c>
      <c r="S21" s="136">
        <v>0</v>
      </c>
      <c r="T21" s="136">
        <v>0</v>
      </c>
      <c r="U21" s="136"/>
      <c r="V21" s="136"/>
      <c r="W21" s="136"/>
      <c r="X21" s="136">
        <v>0</v>
      </c>
      <c r="Y21" s="136">
        <v>0</v>
      </c>
      <c r="Z21" s="136">
        <v>0</v>
      </c>
      <c r="AA21" s="136">
        <v>0</v>
      </c>
      <c r="AB21" s="136">
        <v>0</v>
      </c>
      <c r="AC21" s="136"/>
      <c r="AD21" s="136"/>
      <c r="AE21" s="136"/>
      <c r="AF21" s="136">
        <v>0</v>
      </c>
      <c r="AG21" s="136">
        <v>0</v>
      </c>
      <c r="AH21" s="136">
        <v>0</v>
      </c>
      <c r="AI21" s="136">
        <v>0</v>
      </c>
      <c r="AJ21" s="136">
        <v>0</v>
      </c>
      <c r="AK21" s="136">
        <v>0</v>
      </c>
      <c r="AL21" s="136">
        <v>0</v>
      </c>
      <c r="AM21" s="136">
        <v>0</v>
      </c>
      <c r="AN21" s="136">
        <v>0</v>
      </c>
      <c r="AO21" s="136">
        <v>0</v>
      </c>
      <c r="AP21" s="136">
        <v>80</v>
      </c>
      <c r="AQ21" s="136">
        <v>0</v>
      </c>
      <c r="AR21" s="136">
        <v>0</v>
      </c>
      <c r="AS21" s="136">
        <v>0</v>
      </c>
      <c r="AT21" s="136">
        <v>0</v>
      </c>
      <c r="AU21" s="136">
        <v>0</v>
      </c>
      <c r="AV21" s="136">
        <v>0</v>
      </c>
      <c r="AW21" s="136">
        <v>0</v>
      </c>
      <c r="AX21" s="136">
        <v>0</v>
      </c>
      <c r="AY21" s="136">
        <v>0</v>
      </c>
      <c r="AZ21" s="136">
        <v>0</v>
      </c>
      <c r="BA21" s="136">
        <v>0</v>
      </c>
      <c r="BB21" s="136">
        <v>0</v>
      </c>
      <c r="BC21" s="136">
        <v>0</v>
      </c>
      <c r="BD21" s="136"/>
      <c r="BE21" s="136"/>
      <c r="BF21" s="136"/>
      <c r="BG21" s="136"/>
      <c r="BH21" s="136"/>
      <c r="BI21" s="136"/>
      <c r="BJ21" s="136"/>
      <c r="BK21" s="136">
        <v>0</v>
      </c>
      <c r="BL21" s="136">
        <v>0</v>
      </c>
      <c r="BM21" s="136"/>
      <c r="BN21" s="136">
        <v>0</v>
      </c>
      <c r="BO21" s="136">
        <v>0</v>
      </c>
      <c r="BP21" s="136">
        <v>0</v>
      </c>
      <c r="BQ21" s="136">
        <v>0</v>
      </c>
      <c r="BR21" s="136">
        <v>0</v>
      </c>
      <c r="BS21" s="136">
        <v>0</v>
      </c>
      <c r="BT21" s="136">
        <v>0</v>
      </c>
      <c r="BU21" s="136">
        <v>0</v>
      </c>
      <c r="BV21" s="136">
        <v>0</v>
      </c>
      <c r="BW21" s="136">
        <v>0</v>
      </c>
      <c r="BX21" s="136">
        <v>0</v>
      </c>
      <c r="BY21" s="136">
        <v>0</v>
      </c>
      <c r="BZ21" s="136">
        <v>0</v>
      </c>
      <c r="CA21" s="136">
        <v>0</v>
      </c>
      <c r="CB21" s="136">
        <v>0</v>
      </c>
      <c r="CC21" s="136">
        <v>0</v>
      </c>
      <c r="CD21" s="136">
        <v>0</v>
      </c>
      <c r="CE21" s="136">
        <v>0</v>
      </c>
      <c r="CF21" s="136">
        <v>0</v>
      </c>
      <c r="CG21" s="136"/>
      <c r="CH21" s="136">
        <v>0</v>
      </c>
      <c r="CI21" s="136">
        <v>0</v>
      </c>
      <c r="CJ21" s="136">
        <v>0</v>
      </c>
      <c r="CK21" s="136">
        <v>0</v>
      </c>
      <c r="CL21" s="136">
        <v>0</v>
      </c>
      <c r="CM21" s="136">
        <v>0</v>
      </c>
      <c r="CN21" s="136"/>
      <c r="CO21" s="136"/>
      <c r="CP21" s="136"/>
      <c r="CQ21" s="136">
        <v>0</v>
      </c>
      <c r="CR21" s="136">
        <v>0</v>
      </c>
      <c r="CS21" s="136">
        <v>0</v>
      </c>
      <c r="CT21" s="136">
        <v>0</v>
      </c>
      <c r="CU21" s="136">
        <v>0</v>
      </c>
      <c r="CV21" s="136">
        <v>0</v>
      </c>
      <c r="CW21" s="136">
        <v>0</v>
      </c>
      <c r="CX21" s="136">
        <v>0</v>
      </c>
      <c r="CY21" s="136">
        <v>0</v>
      </c>
      <c r="CZ21" s="136">
        <v>0</v>
      </c>
      <c r="DA21" s="136">
        <v>0</v>
      </c>
      <c r="DB21" s="136">
        <v>0</v>
      </c>
      <c r="DC21" s="136">
        <v>0</v>
      </c>
      <c r="DD21" s="136">
        <v>0</v>
      </c>
      <c r="DE21" s="136">
        <v>0</v>
      </c>
      <c r="DF21" s="136">
        <v>0</v>
      </c>
      <c r="DG21" s="136">
        <v>0</v>
      </c>
      <c r="DH21" s="136">
        <v>0</v>
      </c>
      <c r="DI21" s="136">
        <v>0</v>
      </c>
      <c r="DJ21" s="136">
        <v>0</v>
      </c>
      <c r="DK21" s="136">
        <v>0</v>
      </c>
      <c r="DL21" s="136">
        <v>0</v>
      </c>
      <c r="DM21" s="136">
        <v>40</v>
      </c>
      <c r="DN21" s="136">
        <v>0</v>
      </c>
      <c r="DO21" s="136">
        <v>0</v>
      </c>
      <c r="DP21" s="136">
        <v>0</v>
      </c>
      <c r="DQ21" s="136">
        <v>0</v>
      </c>
      <c r="DR21" s="136">
        <v>0</v>
      </c>
      <c r="DS21" s="136">
        <v>50</v>
      </c>
      <c r="DT21" s="136">
        <v>0</v>
      </c>
      <c r="DU21" s="136">
        <v>0</v>
      </c>
    </row>
    <row r="22" spans="2:125" ht="14.25" x14ac:dyDescent="0.45">
      <c r="B22" s="134" t="s">
        <v>233</v>
      </c>
      <c r="C22" s="139">
        <f>(C9+3)*2*(C10+C11)*C21*0.92/10000</f>
        <v>0</v>
      </c>
      <c r="D22" s="139">
        <f>(D9+3)*2*(D10+D11)*D21*0.92/10000</f>
        <v>0</v>
      </c>
      <c r="E22" s="139">
        <f>(E9+3)*2*(E10+E11)*E21*0.92/10000</f>
        <v>0</v>
      </c>
      <c r="F22" s="139">
        <f>(F9+3)*2*(F10+F11)*F21*0.92/10000</f>
        <v>0</v>
      </c>
      <c r="G22" s="139">
        <f>(G9+3)*2*(G10+G11)*G21*0.92/10000</f>
        <v>0</v>
      </c>
      <c r="H22" s="139">
        <f t="shared" ref="H22:I22" si="0">(H9+3)*2*(H10+H11)*H21*0.92/10000</f>
        <v>0</v>
      </c>
      <c r="I22" s="139">
        <f t="shared" si="0"/>
        <v>0</v>
      </c>
      <c r="J22" s="139">
        <f t="shared" ref="J22:K22" si="1">(J9+3)*2*(J10+J11)*J21*0.92/10000</f>
        <v>0</v>
      </c>
      <c r="K22" s="139">
        <f t="shared" si="1"/>
        <v>0</v>
      </c>
      <c r="L22" s="139">
        <f t="shared" ref="L22:M22" si="2">(L9+3)*2*(L10+L11)*L21*0.92/10000</f>
        <v>0</v>
      </c>
      <c r="M22" s="139">
        <f t="shared" si="2"/>
        <v>0</v>
      </c>
      <c r="N22" s="139">
        <f t="shared" ref="N22:O22" si="3">(N9+3)*2*(N10+N11)*N21*0.92/10000</f>
        <v>21.942</v>
      </c>
      <c r="O22" s="139">
        <f t="shared" si="3"/>
        <v>0</v>
      </c>
      <c r="P22" s="139">
        <f t="shared" ref="P22:R22" si="4">(P9+3)*2*(P10+P11)*P21*0.92/10000</f>
        <v>0</v>
      </c>
      <c r="Q22" s="139">
        <f t="shared" si="4"/>
        <v>0</v>
      </c>
      <c r="R22" s="139">
        <f t="shared" si="4"/>
        <v>0</v>
      </c>
      <c r="S22" s="139">
        <f t="shared" ref="S22" si="5">(S9+3)*2*(S10+S11)*S21*0.92/10000</f>
        <v>0</v>
      </c>
      <c r="T22" s="139">
        <f t="shared" ref="T22:U22" si="6">(T9+3)*2*(T10+T11)*T21*0.92/10000</f>
        <v>0</v>
      </c>
      <c r="U22" s="139">
        <f t="shared" si="6"/>
        <v>0</v>
      </c>
      <c r="V22" s="139">
        <f t="shared" ref="V22:X22" si="7">(V9+3)*2*(V10+V11)*V21*0.92/10000</f>
        <v>0</v>
      </c>
      <c r="W22" s="139">
        <f t="shared" si="7"/>
        <v>0</v>
      </c>
      <c r="X22" s="139">
        <f t="shared" si="7"/>
        <v>0</v>
      </c>
      <c r="Y22" s="139">
        <f t="shared" ref="Y22:Z22" si="8">(Y9+3)*2*(Y10+Y11)*Y21*0.92/10000</f>
        <v>0</v>
      </c>
      <c r="Z22" s="139">
        <f t="shared" si="8"/>
        <v>0</v>
      </c>
      <c r="AA22" s="139">
        <f t="shared" ref="AA22:AD22" si="9">(AA9+3)*2*(AA10+AA11)*AA21*0.92/10000</f>
        <v>0</v>
      </c>
      <c r="AB22" s="139">
        <f t="shared" si="9"/>
        <v>0</v>
      </c>
      <c r="AC22" s="139">
        <f t="shared" si="9"/>
        <v>0</v>
      </c>
      <c r="AD22" s="139">
        <f t="shared" si="9"/>
        <v>0</v>
      </c>
      <c r="AE22" s="139">
        <f t="shared" ref="AE22:AF22" si="10">(AE9+3)*2*(AE10+AE11)*AE21*0.92/10000</f>
        <v>0</v>
      </c>
      <c r="AF22" s="139">
        <f t="shared" si="10"/>
        <v>0</v>
      </c>
      <c r="AG22" s="139">
        <f t="shared" ref="AG22:AH22" si="11">(AG9+3)*2*(AG10+AG11)*AG21*0.92/10000</f>
        <v>0</v>
      </c>
      <c r="AH22" s="139">
        <f t="shared" si="11"/>
        <v>0</v>
      </c>
      <c r="AI22" s="139">
        <f t="shared" ref="AI22:AJ22" si="12">(AI9+3)*2*(AI10+AI11)*AI21*0.92/10000</f>
        <v>0</v>
      </c>
      <c r="AJ22" s="139">
        <f t="shared" si="12"/>
        <v>0</v>
      </c>
      <c r="AK22" s="139">
        <f t="shared" ref="AK22:AL22" si="13">(AK9+3)*2*(AK10+AK11)*AK21*0.92/10000</f>
        <v>0</v>
      </c>
      <c r="AL22" s="139">
        <f t="shared" si="13"/>
        <v>0</v>
      </c>
      <c r="AM22" s="139">
        <f t="shared" ref="AM22:AN22" si="14">(AM9+3)*2*(AM10+AM11)*AM21*0.92/10000</f>
        <v>0</v>
      </c>
      <c r="AN22" s="139">
        <f t="shared" si="14"/>
        <v>0</v>
      </c>
      <c r="AO22" s="139">
        <f t="shared" ref="AO22:AP22" si="15">(AO9+3)*2*(AO10+AO11)*AO21*0.92/10000</f>
        <v>0</v>
      </c>
      <c r="AP22" s="139">
        <f t="shared" si="15"/>
        <v>57.937920000000005</v>
      </c>
      <c r="AQ22" s="139">
        <f t="shared" ref="AQ22:AR22" si="16">(AQ9+3)*2*(AQ10+AQ11)*AQ21*0.92/10000</f>
        <v>0</v>
      </c>
      <c r="AR22" s="139">
        <f t="shared" si="16"/>
        <v>0</v>
      </c>
      <c r="AS22" s="139">
        <f t="shared" ref="AS22:AT22" si="17">(AS9+3)*2*(AS10+AS11)*AS21*0.92/10000</f>
        <v>0</v>
      </c>
      <c r="AT22" s="139">
        <f t="shared" si="17"/>
        <v>0</v>
      </c>
      <c r="AU22" s="139">
        <f t="shared" ref="AU22:AW22" si="18">(AU9+3)*2*(AU10+AU11)*AU21*0.92/10000</f>
        <v>0</v>
      </c>
      <c r="AV22" s="139">
        <f t="shared" si="18"/>
        <v>0</v>
      </c>
      <c r="AW22" s="139">
        <f t="shared" si="18"/>
        <v>0</v>
      </c>
      <c r="AX22" s="139">
        <f t="shared" ref="AX22:AY22" si="19">(AX9+3)*2*(AX10+AX11)*AX21*0.92/10000</f>
        <v>0</v>
      </c>
      <c r="AY22" s="139">
        <f t="shared" si="19"/>
        <v>0</v>
      </c>
      <c r="AZ22" s="139">
        <f t="shared" ref="AZ22:BA22" si="20">(AZ9+3)*2*(AZ10+AZ11)*AZ21*0.92/10000</f>
        <v>0</v>
      </c>
      <c r="BA22" s="139">
        <f t="shared" si="20"/>
        <v>0</v>
      </c>
      <c r="BB22" s="139">
        <f t="shared" ref="BB22:BD22" si="21">(BB9+3)*2*(BB10+BB11)*BB21*0.92/10000</f>
        <v>0</v>
      </c>
      <c r="BC22" s="139">
        <f t="shared" si="21"/>
        <v>0</v>
      </c>
      <c r="BD22" s="139">
        <f t="shared" si="21"/>
        <v>0</v>
      </c>
      <c r="BE22" s="139">
        <f t="shared" ref="BE22:BF22" si="22">(BE9+3)*2*(BE10+BE11)*BE21*0.92/10000</f>
        <v>0</v>
      </c>
      <c r="BF22" s="139">
        <f t="shared" si="22"/>
        <v>0</v>
      </c>
      <c r="BG22" s="139">
        <f t="shared" ref="BG22:BH22" si="23">(BG9+3)*2*(BG10+BG11)*BG21*0.92/10000</f>
        <v>0</v>
      </c>
      <c r="BH22" s="139">
        <f t="shared" si="23"/>
        <v>0</v>
      </c>
      <c r="BI22" s="139">
        <f t="shared" ref="BI22:BK22" si="24">(BI9+3)*2*(BI10+BI11)*BI21*0.92/10000</f>
        <v>0</v>
      </c>
      <c r="BJ22" s="139">
        <f t="shared" si="24"/>
        <v>0</v>
      </c>
      <c r="BK22" s="139">
        <f t="shared" si="24"/>
        <v>0</v>
      </c>
      <c r="BL22" s="139">
        <f t="shared" ref="BL22" si="25">(BL9+3)*2*(BL10+BL11)*BL21*0.92/10000</f>
        <v>0</v>
      </c>
      <c r="BM22" s="139">
        <f>(BM9+3)*2*(BM10+BM11)*BM21*0.92/10000</f>
        <v>0</v>
      </c>
      <c r="BN22" s="139">
        <f t="shared" ref="BN22:BP22" si="26">(BN9+3)*2*(BN10+BN11)*BN21*0.92/10000</f>
        <v>0</v>
      </c>
      <c r="BO22" s="139">
        <f t="shared" si="26"/>
        <v>0</v>
      </c>
      <c r="BP22" s="139">
        <f t="shared" si="26"/>
        <v>0</v>
      </c>
      <c r="BQ22" s="139">
        <f t="shared" ref="BQ22:BS22" si="27">(BQ9+3)*2*(BQ10+BQ11)*BQ21*0.92/10000</f>
        <v>0</v>
      </c>
      <c r="BR22" s="139">
        <f t="shared" si="27"/>
        <v>0</v>
      </c>
      <c r="BS22" s="139">
        <f t="shared" si="27"/>
        <v>0</v>
      </c>
      <c r="BT22" s="139">
        <f t="shared" ref="BT22:BY22" si="28">(BT9+3)*2*(BT10+BT11)*BT21*0.92/10000</f>
        <v>0</v>
      </c>
      <c r="BU22" s="139">
        <f t="shared" si="28"/>
        <v>0</v>
      </c>
      <c r="BV22" s="139">
        <f t="shared" si="28"/>
        <v>0</v>
      </c>
      <c r="BW22" s="139">
        <f t="shared" si="28"/>
        <v>0</v>
      </c>
      <c r="BX22" s="139">
        <f t="shared" si="28"/>
        <v>0</v>
      </c>
      <c r="BY22" s="139">
        <f t="shared" si="28"/>
        <v>0</v>
      </c>
      <c r="BZ22" s="139">
        <f t="shared" ref="BZ22:CA22" si="29">(BZ9+3)*2*(BZ10+BZ11)*BZ21*0.92/10000</f>
        <v>0</v>
      </c>
      <c r="CA22" s="139">
        <f t="shared" si="29"/>
        <v>0</v>
      </c>
      <c r="CB22" s="139">
        <f t="shared" ref="CB22:CC22" si="30">(CB9+3)*2*(CB10+CB11)*CB21*0.92/10000</f>
        <v>0</v>
      </c>
      <c r="CC22" s="139">
        <f t="shared" si="30"/>
        <v>0</v>
      </c>
      <c r="CD22" s="139">
        <f t="shared" ref="CD22:CE22" si="31">(CD9+3)*2*(CD10+CD11)*CD21*0.92/10000</f>
        <v>0</v>
      </c>
      <c r="CE22" s="139">
        <f t="shared" si="31"/>
        <v>0</v>
      </c>
      <c r="CF22" s="139">
        <f t="shared" ref="CF22:CH22" si="32">(CF9+3)*2*(CF10+CF11)*CF21*0.92/10000</f>
        <v>0</v>
      </c>
      <c r="CG22" s="139">
        <f>(CG9+3)*2*(CG10+CG11)*CG21*0.92/10000</f>
        <v>0</v>
      </c>
      <c r="CH22" s="139">
        <f t="shared" si="32"/>
        <v>0</v>
      </c>
      <c r="CI22" s="139">
        <f t="shared" ref="CI22" si="33">(CI9+3)*2*(CI10+CI11)*CI21*0.92/10000</f>
        <v>0</v>
      </c>
      <c r="CJ22" s="139">
        <f t="shared" ref="CJ22:CK22" si="34">(CJ9+3)*2*(CJ10+CJ11)*CJ21*0.92/10000</f>
        <v>0</v>
      </c>
      <c r="CK22" s="139">
        <f t="shared" si="34"/>
        <v>0</v>
      </c>
      <c r="CL22" s="139">
        <f>(CL9+3)*2*(CL10+CL11)*CL21*0.92/10000</f>
        <v>0</v>
      </c>
      <c r="CM22" s="139">
        <f t="shared" ref="CM22:CT22" si="35">(CM9+3)*2*(CM10+CM11)*CM21*0.92/10000</f>
        <v>0</v>
      </c>
      <c r="CN22" s="139">
        <f t="shared" si="35"/>
        <v>0</v>
      </c>
      <c r="CO22" s="139">
        <f t="shared" si="35"/>
        <v>0</v>
      </c>
      <c r="CP22" s="139">
        <f t="shared" si="35"/>
        <v>0</v>
      </c>
      <c r="CQ22" s="139">
        <f t="shared" si="35"/>
        <v>0</v>
      </c>
      <c r="CR22" s="139">
        <f t="shared" si="35"/>
        <v>0</v>
      </c>
      <c r="CS22" s="139">
        <f t="shared" si="35"/>
        <v>0</v>
      </c>
      <c r="CT22" s="139">
        <f t="shared" si="35"/>
        <v>0</v>
      </c>
      <c r="CU22" s="139">
        <f t="shared" ref="CU22:CV22" si="36">(CU9+3)*2*(CU10+CU11)*CU21*0.92/10000</f>
        <v>0</v>
      </c>
      <c r="CV22" s="139">
        <f t="shared" si="36"/>
        <v>0</v>
      </c>
      <c r="CW22" s="139">
        <f>(CW9+3)*2*(CW10+CW11)*CW21*0.92/10000</f>
        <v>0</v>
      </c>
      <c r="CX22" s="139">
        <f>(CX9+3)*2*(CX10+CX11)*CX21*0.92/10000</f>
        <v>0</v>
      </c>
      <c r="CY22" s="139">
        <f>(CY9+3)*2*(CY10+CY11)*CY21*0.92/10000</f>
        <v>0</v>
      </c>
      <c r="CZ22" s="139">
        <f t="shared" ref="CZ22:DB22" si="37">(CZ9+3)*2*(CZ10+CZ11)*CZ21*0.92/10000</f>
        <v>0</v>
      </c>
      <c r="DA22" s="139">
        <f t="shared" si="37"/>
        <v>0</v>
      </c>
      <c r="DB22" s="139">
        <f t="shared" si="37"/>
        <v>0</v>
      </c>
      <c r="DC22" s="139">
        <f t="shared" ref="DC22:DD22" si="38">(DC9+3)*2*(DC10+DC11)*DC21*0.92/10000</f>
        <v>0</v>
      </c>
      <c r="DD22" s="139">
        <f t="shared" si="38"/>
        <v>0</v>
      </c>
      <c r="DE22" s="139">
        <f t="shared" ref="DE22:DF22" si="39">(DE9+3)*2*(DE10+DE11)*DE21*0.92/10000</f>
        <v>0</v>
      </c>
      <c r="DF22" s="139">
        <f t="shared" si="39"/>
        <v>0</v>
      </c>
      <c r="DG22" s="139">
        <f t="shared" ref="DG22:DH22" si="40">(DG9+3)*2*(DG10+DG11)*DG21*0.92/10000</f>
        <v>0</v>
      </c>
      <c r="DH22" s="139">
        <f t="shared" si="40"/>
        <v>0</v>
      </c>
      <c r="DI22" s="139">
        <f t="shared" ref="DI22:DJ22" si="41">(DI9+3)*2*(DI10+DI11)*DI21*0.92/10000</f>
        <v>0</v>
      </c>
      <c r="DJ22" s="139">
        <f t="shared" si="41"/>
        <v>0</v>
      </c>
      <c r="DK22" s="139">
        <f>(DK9+3)*2*(DK10+DK11)*DK21*0.92/10000</f>
        <v>0</v>
      </c>
      <c r="DL22" s="139">
        <f>(DL9+3)*2*(DL10+DL11)*DL21*0.92/10000</f>
        <v>0</v>
      </c>
      <c r="DM22" s="139">
        <f t="shared" ref="DM22" si="42">(DM9+3)*2*(DM10+DM11)*DM21*0.92/10000</f>
        <v>30.240400000000001</v>
      </c>
      <c r="DN22" s="139">
        <f>(DN9+3)*2*(DN10+DN11)*DN21*0.92/10000</f>
        <v>0</v>
      </c>
      <c r="DO22" s="139">
        <f t="shared" ref="DO22:DR22" si="43">(DO9+3)*2*(DO10+DO11)*DO21*0.92/10000</f>
        <v>0</v>
      </c>
      <c r="DP22" s="139">
        <f t="shared" si="43"/>
        <v>0</v>
      </c>
      <c r="DQ22" s="139">
        <f t="shared" si="43"/>
        <v>0</v>
      </c>
      <c r="DR22" s="139">
        <f t="shared" si="43"/>
        <v>0</v>
      </c>
      <c r="DS22" s="139">
        <f t="shared" ref="DS22:DT22" si="44">(DS9+3)*2*(DS10+DS11)*DS21*0.92/10000</f>
        <v>49.6248</v>
      </c>
      <c r="DT22" s="139">
        <f t="shared" si="44"/>
        <v>0</v>
      </c>
      <c r="DU22" s="139">
        <f t="shared" ref="DU22" si="45">(DU9+3)*2*(DU10+DU11)*DU21*0.92/10000</f>
        <v>0</v>
      </c>
    </row>
    <row r="23" spans="2:125" ht="14.25" x14ac:dyDescent="0.45">
      <c r="B23" s="134" t="s">
        <v>477</v>
      </c>
      <c r="C23" s="139">
        <f>C20+C22</f>
        <v>81.674999999999997</v>
      </c>
      <c r="D23" s="139">
        <f>D20+D22</f>
        <v>84.045400000000015</v>
      </c>
      <c r="E23" s="139">
        <f>E20+E22</f>
        <v>46.548000000000002</v>
      </c>
      <c r="F23" s="139">
        <f>F20+F22</f>
        <v>43.628399999999999</v>
      </c>
      <c r="G23" s="139">
        <f>G20+G22</f>
        <v>53.338999999999999</v>
      </c>
      <c r="H23" s="139">
        <f t="shared" ref="H23:I23" si="46">H20+H22</f>
        <v>53.338999999999999</v>
      </c>
      <c r="I23" s="139">
        <f t="shared" si="46"/>
        <v>56.003089999999993</v>
      </c>
      <c r="J23" s="139">
        <f t="shared" ref="J23:K23" si="47">J20+J22</f>
        <v>69.938800000000001</v>
      </c>
      <c r="K23" s="139">
        <f t="shared" si="47"/>
        <v>65.575599999999994</v>
      </c>
      <c r="L23" s="139">
        <f t="shared" ref="L23:M23" si="48">L20+L22</f>
        <v>50.302</v>
      </c>
      <c r="M23" s="139">
        <f t="shared" si="48"/>
        <v>60.216000000000001</v>
      </c>
      <c r="N23" s="139">
        <f t="shared" ref="N23:O23" si="49">N20+N22</f>
        <v>114.85400000000001</v>
      </c>
      <c r="O23" s="139">
        <f t="shared" si="49"/>
        <v>81.559200000000004</v>
      </c>
      <c r="P23" s="139">
        <f t="shared" ref="P23:R23" si="50">P20+P22</f>
        <v>81.559200000000004</v>
      </c>
      <c r="Q23" s="139">
        <f t="shared" si="50"/>
        <v>67.141999999999996</v>
      </c>
      <c r="R23" s="139">
        <f t="shared" si="50"/>
        <v>49.770450000000004</v>
      </c>
      <c r="S23" s="139">
        <f t="shared" ref="S23" si="51">S20+S22</f>
        <v>53.304000000000002</v>
      </c>
      <c r="T23" s="139">
        <f t="shared" ref="T23:U23" si="52">T20+T22</f>
        <v>50.381999999999998</v>
      </c>
      <c r="U23" s="139">
        <f t="shared" si="52"/>
        <v>72.456999999999994</v>
      </c>
      <c r="V23" s="139">
        <f t="shared" ref="V23:X23" si="53">V20+V22</f>
        <v>52.323949200000008</v>
      </c>
      <c r="W23" s="139">
        <f t="shared" si="53"/>
        <v>100.6005</v>
      </c>
      <c r="X23" s="139">
        <f t="shared" si="53"/>
        <v>85.64</v>
      </c>
      <c r="Y23" s="139">
        <f t="shared" ref="Y23:Z23" si="54">Y20+Y22</f>
        <v>44.036000000000001</v>
      </c>
      <c r="Z23" s="139">
        <f t="shared" si="54"/>
        <v>47.0244</v>
      </c>
      <c r="AA23" s="139">
        <f t="shared" ref="AA23:AD23" si="55">AA20+AA22</f>
        <v>77.234999999999999</v>
      </c>
      <c r="AB23" s="139">
        <f t="shared" si="55"/>
        <v>36.228499999999997</v>
      </c>
      <c r="AC23" s="139">
        <f t="shared" si="55"/>
        <v>53.338999999999999</v>
      </c>
      <c r="AD23" s="139">
        <f t="shared" si="55"/>
        <v>56.003089999999993</v>
      </c>
      <c r="AE23" s="139">
        <f t="shared" ref="AE23:AF23" si="56">AE20+AE22</f>
        <v>53.338999999999999</v>
      </c>
      <c r="AF23" s="139">
        <f t="shared" si="56"/>
        <v>97.486500000000007</v>
      </c>
      <c r="AG23" s="139">
        <f t="shared" ref="AG23:AH23" si="57">AG20+AG22</f>
        <v>84.747599999999991</v>
      </c>
      <c r="AH23" s="139">
        <f t="shared" si="57"/>
        <v>95.10633</v>
      </c>
      <c r="AI23" s="139">
        <f t="shared" ref="AI23:AJ23" si="58">AI20+AI22</f>
        <v>95.10633</v>
      </c>
      <c r="AJ23" s="139">
        <f t="shared" si="58"/>
        <v>71.328799999999987</v>
      </c>
      <c r="AK23" s="139">
        <f t="shared" ref="AK23:AL23" si="59">AK20+AK22</f>
        <v>72.764799999999994</v>
      </c>
      <c r="AL23" s="139">
        <f t="shared" si="59"/>
        <v>75.636799999999994</v>
      </c>
      <c r="AM23" s="139">
        <f t="shared" ref="AM23:AN23" si="60">AM20+AM22</f>
        <v>47.016974799999986</v>
      </c>
      <c r="AN23" s="139">
        <f t="shared" si="60"/>
        <v>68.637600000000006</v>
      </c>
      <c r="AO23" s="139">
        <f t="shared" ref="AO23:AP23" si="61">AO20+AO22</f>
        <v>62.070894400000007</v>
      </c>
      <c r="AP23" s="139">
        <f t="shared" si="61"/>
        <v>150.97092000000004</v>
      </c>
      <c r="AQ23" s="139">
        <f t="shared" ref="AQ23:AR23" si="62">AQ20+AQ22</f>
        <v>62.235199999999999</v>
      </c>
      <c r="AR23" s="139">
        <f t="shared" si="62"/>
        <v>101.30585784</v>
      </c>
      <c r="AS23" s="139">
        <f t="shared" ref="AS23:AT23" si="63">AS20+AS22</f>
        <v>108.08600000000001</v>
      </c>
      <c r="AT23" s="139">
        <f t="shared" si="63"/>
        <v>122.13121624</v>
      </c>
      <c r="AU23" s="139">
        <f t="shared" ref="AU23:AW23" si="64">AU20+AU22</f>
        <v>156.40236435999998</v>
      </c>
      <c r="AV23" s="139">
        <f t="shared" si="64"/>
        <v>88.057899999999989</v>
      </c>
      <c r="AW23" s="139">
        <f t="shared" si="64"/>
        <v>57.332000000000008</v>
      </c>
      <c r="AX23" s="139">
        <f t="shared" ref="AX23:AY23" si="65">AX20+AX22</f>
        <v>68.102000000000004</v>
      </c>
      <c r="AY23" s="139">
        <f t="shared" si="65"/>
        <v>61.352000000000004</v>
      </c>
      <c r="AZ23" s="139">
        <f t="shared" ref="AZ23:BA23" si="66">AZ20+AZ22</f>
        <v>73.584000000000003</v>
      </c>
      <c r="BA23" s="139">
        <f t="shared" si="66"/>
        <v>63.367200000000004</v>
      </c>
      <c r="BB23" s="139">
        <f t="shared" ref="BB23:BD23" si="67">BB20+BB22</f>
        <v>91.491</v>
      </c>
      <c r="BC23" s="139">
        <f t="shared" si="67"/>
        <v>60.012</v>
      </c>
      <c r="BD23" s="139">
        <f t="shared" si="67"/>
        <v>80.014080000000021</v>
      </c>
      <c r="BE23" s="139">
        <f t="shared" ref="BE23:BF23" si="68">BE20+BE22</f>
        <v>72.003929999999997</v>
      </c>
      <c r="BF23" s="139">
        <f t="shared" si="68"/>
        <v>52.015320000000003</v>
      </c>
      <c r="BG23" s="139">
        <f t="shared" ref="BG23:BH23" si="69">BG20+BG22</f>
        <v>78.52</v>
      </c>
      <c r="BH23" s="139">
        <f t="shared" si="69"/>
        <v>107.68036000000001</v>
      </c>
      <c r="BI23" s="139">
        <f t="shared" ref="BI23:BK23" si="70">BI20+BI22</f>
        <v>93.891999999999996</v>
      </c>
      <c r="BJ23" s="139">
        <f t="shared" si="70"/>
        <v>128.09956000000003</v>
      </c>
      <c r="BK23" s="139">
        <f t="shared" si="70"/>
        <v>78.831600000000009</v>
      </c>
      <c r="BL23" s="139">
        <f t="shared" ref="BL23" si="71">BL20+BL22</f>
        <v>90.540800000000004</v>
      </c>
      <c r="BM23" s="139">
        <f>BM20+BM22</f>
        <v>50.6616</v>
      </c>
      <c r="BN23" s="139">
        <f t="shared" ref="BN23:BP23" si="72">BN20+BN22</f>
        <v>60.012</v>
      </c>
      <c r="BO23" s="139">
        <f t="shared" si="72"/>
        <v>62.148000000000003</v>
      </c>
      <c r="BP23" s="139">
        <f t="shared" si="72"/>
        <v>85.376800000000003</v>
      </c>
      <c r="BQ23" s="139">
        <f t="shared" ref="BQ23:BS23" si="73">BQ20+BQ22</f>
        <v>80.422550000000001</v>
      </c>
      <c r="BR23" s="139">
        <f t="shared" si="73"/>
        <v>72.034440000000004</v>
      </c>
      <c r="BS23" s="139">
        <f t="shared" si="73"/>
        <v>63.194000000000003</v>
      </c>
      <c r="BT23" s="139">
        <f t="shared" ref="BT23:BY23" si="74">BT20+BT22</f>
        <v>93.14800000000001</v>
      </c>
      <c r="BU23" s="139">
        <f t="shared" si="74"/>
        <v>86.056700000000006</v>
      </c>
      <c r="BV23" s="139">
        <f t="shared" si="74"/>
        <v>80.002534499999996</v>
      </c>
      <c r="BW23" s="139">
        <f t="shared" si="74"/>
        <v>72.002551999999994</v>
      </c>
      <c r="BX23" s="139">
        <f t="shared" si="74"/>
        <v>96.201433199999997</v>
      </c>
      <c r="BY23" s="139">
        <f t="shared" si="74"/>
        <v>79.998159999999999</v>
      </c>
      <c r="BZ23" s="139">
        <f t="shared" ref="BZ23:CA23" si="75">BZ20+BZ22</f>
        <v>97.088400000000007</v>
      </c>
      <c r="CA23" s="139">
        <f t="shared" si="75"/>
        <v>86.321600000000004</v>
      </c>
      <c r="CB23" s="139">
        <f t="shared" ref="CB23:CC23" si="76">CB20+CB22</f>
        <v>113.17750000000001</v>
      </c>
      <c r="CC23" s="139">
        <f t="shared" si="76"/>
        <v>95.621800000000007</v>
      </c>
      <c r="CD23" s="139">
        <f t="shared" ref="CD23:CE23" si="77">CD20+CD22</f>
        <v>79.650400000000005</v>
      </c>
      <c r="CE23" s="139">
        <f t="shared" si="77"/>
        <v>89.375799999999998</v>
      </c>
      <c r="CF23" s="139">
        <f t="shared" ref="CF23:CH23" si="78">CF20+CF22</f>
        <v>96.228800000000007</v>
      </c>
      <c r="CG23" s="139">
        <f>CG20+CG22</f>
        <v>46.295199999999994</v>
      </c>
      <c r="CH23" s="139">
        <f t="shared" si="78"/>
        <v>80.358800000000002</v>
      </c>
      <c r="CI23" s="139">
        <f t="shared" ref="CI23" si="79">CI20+CI22</f>
        <v>104.6392</v>
      </c>
      <c r="CJ23" s="139">
        <f t="shared" ref="CJ23:CK23" si="80">CJ20+CJ22</f>
        <v>96.228800000000007</v>
      </c>
      <c r="CK23" s="139">
        <f t="shared" si="80"/>
        <v>86.321600000000004</v>
      </c>
      <c r="CL23" s="139">
        <f>CL20+CL22</f>
        <v>113.17750000000001</v>
      </c>
      <c r="CM23" s="139">
        <f t="shared" ref="CM23:CT23" si="81">CM20+CM22</f>
        <v>63.194000000000003</v>
      </c>
      <c r="CN23" s="139">
        <f t="shared" si="81"/>
        <v>53.048959999999994</v>
      </c>
      <c r="CO23" s="139">
        <f t="shared" si="81"/>
        <v>55.840949999999999</v>
      </c>
      <c r="CP23" s="139">
        <f t="shared" si="81"/>
        <v>53.048959999999994</v>
      </c>
      <c r="CQ23" s="139">
        <f t="shared" si="81"/>
        <v>104.6392</v>
      </c>
      <c r="CR23" s="139">
        <f t="shared" si="81"/>
        <v>89.375799999999998</v>
      </c>
      <c r="CS23" s="139">
        <f t="shared" si="81"/>
        <v>73.584000000000003</v>
      </c>
      <c r="CT23" s="139">
        <f t="shared" si="81"/>
        <v>63.367200000000004</v>
      </c>
      <c r="CU23" s="139">
        <f t="shared" ref="CU23:CV23" si="82">CU20+CU22</f>
        <v>104.6392</v>
      </c>
      <c r="CV23" s="139">
        <f t="shared" si="82"/>
        <v>86.321600000000004</v>
      </c>
      <c r="CW23" s="139">
        <f>CW20+CW22</f>
        <v>113.17750000000001</v>
      </c>
      <c r="CX23" s="139">
        <f>CX20+CX22</f>
        <v>122.253</v>
      </c>
      <c r="CY23" s="139">
        <f>CY20+CY22</f>
        <v>80.016019999999997</v>
      </c>
      <c r="CZ23" s="139">
        <f t="shared" ref="CZ23:DB23" si="83">CZ20+CZ22</f>
        <v>96.228800000000007</v>
      </c>
      <c r="DA23" s="139">
        <f t="shared" si="83"/>
        <v>68.002716000000007</v>
      </c>
      <c r="DB23" s="139">
        <f t="shared" si="83"/>
        <v>79.996608000000009</v>
      </c>
      <c r="DC23" s="139">
        <f t="shared" ref="DC23:DD23" si="84">DC20+DC22</f>
        <v>65.002859999999998</v>
      </c>
      <c r="DD23" s="139">
        <f t="shared" si="84"/>
        <v>79.986399999999989</v>
      </c>
      <c r="DE23" s="139">
        <f t="shared" ref="DE23:DF23" si="85">DE20+DE22</f>
        <v>69.151399999999995</v>
      </c>
      <c r="DF23" s="139">
        <f t="shared" si="85"/>
        <v>91.486800000000002</v>
      </c>
      <c r="DG23" s="139">
        <f t="shared" ref="DG23:DH23" si="86">DG20+DG22</f>
        <v>79.009999999999991</v>
      </c>
      <c r="DH23" s="139">
        <f t="shared" si="86"/>
        <v>76.010000000000005</v>
      </c>
      <c r="DI23" s="139">
        <f t="shared" ref="DI23:DJ23" si="87">DI20+DI22</f>
        <v>72.01639999999999</v>
      </c>
      <c r="DJ23" s="139">
        <f t="shared" si="87"/>
        <v>60.012</v>
      </c>
      <c r="DK23" s="139">
        <f>DK20+DK22</f>
        <v>73.584000000000003</v>
      </c>
      <c r="DL23" s="139">
        <f>DL20+DL22</f>
        <v>63.367200000000004</v>
      </c>
      <c r="DM23" s="139">
        <f t="shared" ref="DM23" si="88">DM20+DM22</f>
        <v>117.43799999999999</v>
      </c>
      <c r="DN23" s="139">
        <f>DN20+DN22</f>
        <v>73.051919999999996</v>
      </c>
      <c r="DO23" s="139">
        <f t="shared" ref="DO23:DR23" si="89">DO20+DO22</f>
        <v>80.358800000000002</v>
      </c>
      <c r="DP23" s="139">
        <f t="shared" si="89"/>
        <v>92.0007375</v>
      </c>
      <c r="DQ23" s="139">
        <f t="shared" si="89"/>
        <v>63.194000000000003</v>
      </c>
      <c r="DR23" s="139">
        <f t="shared" si="89"/>
        <v>104.8158</v>
      </c>
      <c r="DS23" s="139">
        <f t="shared" ref="DS23:DT23" si="90">DS20+DS22</f>
        <v>159.54920000000001</v>
      </c>
      <c r="DT23" s="139">
        <f t="shared" si="90"/>
        <v>44.172800000000002</v>
      </c>
      <c r="DU23" s="139">
        <f t="shared" ref="DU23" si="91">DU20+DU22</f>
        <v>70.645200000000003</v>
      </c>
    </row>
    <row r="24" spans="2:125" ht="14.25" x14ac:dyDescent="0.45">
      <c r="B24" s="134" t="s">
        <v>478</v>
      </c>
      <c r="C24" s="136">
        <v>500</v>
      </c>
      <c r="D24" s="136">
        <v>500</v>
      </c>
      <c r="E24" s="136">
        <v>500</v>
      </c>
      <c r="F24" s="136">
        <v>500</v>
      </c>
      <c r="G24" s="136"/>
      <c r="H24" s="136"/>
      <c r="I24" s="136"/>
      <c r="J24" s="136"/>
      <c r="K24" s="136"/>
      <c r="L24" s="136"/>
      <c r="M24" s="136"/>
      <c r="N24" s="136"/>
      <c r="O24" s="136">
        <v>1000</v>
      </c>
      <c r="P24" s="136">
        <v>1000</v>
      </c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>
        <v>500</v>
      </c>
      <c r="AQ24" s="136">
        <v>500</v>
      </c>
      <c r="AR24" s="136">
        <v>500</v>
      </c>
      <c r="AS24" s="136">
        <v>500</v>
      </c>
      <c r="AT24" s="136">
        <v>500</v>
      </c>
      <c r="AU24" s="136">
        <v>500</v>
      </c>
      <c r="AV24" s="136">
        <v>4000</v>
      </c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  <c r="BJ24" s="136"/>
      <c r="BK24" s="136"/>
      <c r="BL24" s="136"/>
      <c r="BM24" s="136"/>
      <c r="BN24" s="136"/>
      <c r="BO24" s="136"/>
      <c r="BP24" s="136">
        <v>4000</v>
      </c>
      <c r="BQ24" s="136">
        <v>5000</v>
      </c>
      <c r="BR24" s="136">
        <v>5000</v>
      </c>
      <c r="BS24" s="136"/>
      <c r="BT24" s="136">
        <v>4000</v>
      </c>
      <c r="BU24" s="136">
        <v>4000</v>
      </c>
      <c r="BV24" s="136">
        <v>5000</v>
      </c>
      <c r="BW24" s="136">
        <v>5000</v>
      </c>
      <c r="BX24" s="136">
        <v>500</v>
      </c>
      <c r="BY24" s="136"/>
      <c r="BZ24" s="136">
        <v>500</v>
      </c>
      <c r="CA24" s="136"/>
      <c r="CB24" s="136"/>
      <c r="CC24" s="136"/>
      <c r="CD24" s="136"/>
      <c r="CE24" s="136"/>
      <c r="CF24" s="136"/>
      <c r="CG24" s="136">
        <v>500</v>
      </c>
      <c r="CH24" s="136">
        <v>500</v>
      </c>
      <c r="CI24" s="136">
        <v>500</v>
      </c>
      <c r="CJ24" s="136"/>
      <c r="CK24" s="136"/>
      <c r="CL24" s="136"/>
      <c r="CM24" s="136"/>
      <c r="CN24" s="136"/>
      <c r="CO24" s="136"/>
      <c r="CP24" s="136"/>
      <c r="CQ24" s="136">
        <v>500</v>
      </c>
      <c r="CR24" s="136"/>
      <c r="CS24" s="136"/>
      <c r="CT24" s="136"/>
      <c r="CU24" s="136">
        <v>500</v>
      </c>
      <c r="CV24" s="136"/>
      <c r="CW24" s="136"/>
      <c r="CX24" s="136"/>
      <c r="CY24" s="136">
        <v>1000</v>
      </c>
      <c r="CZ24" s="136"/>
      <c r="DA24" s="136"/>
      <c r="DB24" s="136"/>
      <c r="DC24" s="136"/>
      <c r="DD24" s="136"/>
      <c r="DE24" s="136"/>
      <c r="DF24" s="136"/>
      <c r="DG24" s="136"/>
      <c r="DH24" s="136"/>
      <c r="DI24" s="136"/>
      <c r="DJ24" s="136"/>
      <c r="DK24" s="136"/>
      <c r="DL24" s="136"/>
      <c r="DM24" s="136"/>
      <c r="DN24" s="136"/>
      <c r="DO24" s="136">
        <v>500</v>
      </c>
      <c r="DP24" s="136"/>
      <c r="DQ24" s="136"/>
      <c r="DR24" s="136"/>
      <c r="DS24" s="136"/>
      <c r="DT24" s="136"/>
      <c r="DU24" s="136"/>
    </row>
    <row r="25" spans="2:125" ht="14.25" x14ac:dyDescent="0.45">
      <c r="B25" s="134" t="s">
        <v>479</v>
      </c>
      <c r="C25" s="136">
        <v>6000</v>
      </c>
      <c r="D25" s="136">
        <v>6000</v>
      </c>
      <c r="E25" s="136">
        <v>6000</v>
      </c>
      <c r="F25" s="136">
        <v>6000</v>
      </c>
      <c r="G25" s="136">
        <v>6000</v>
      </c>
      <c r="H25" s="136">
        <v>6000</v>
      </c>
      <c r="I25" s="136">
        <v>6000</v>
      </c>
      <c r="J25" s="136">
        <v>6000</v>
      </c>
      <c r="K25" s="136">
        <v>6000</v>
      </c>
      <c r="L25" s="136">
        <v>6000</v>
      </c>
      <c r="M25" s="136">
        <v>6000</v>
      </c>
      <c r="N25" s="136">
        <v>6000</v>
      </c>
      <c r="O25" s="136"/>
      <c r="P25" s="136"/>
      <c r="Q25" s="136">
        <v>6000</v>
      </c>
      <c r="R25" s="136">
        <v>6000</v>
      </c>
      <c r="S25" s="136">
        <v>8000</v>
      </c>
      <c r="T25" s="136">
        <v>8000</v>
      </c>
      <c r="U25" s="136">
        <v>6000</v>
      </c>
      <c r="V25" s="136">
        <v>8000</v>
      </c>
      <c r="W25" s="136">
        <v>8000</v>
      </c>
      <c r="X25" s="136">
        <v>5000</v>
      </c>
      <c r="Y25" s="136">
        <v>5000</v>
      </c>
      <c r="Z25" s="136">
        <v>6000</v>
      </c>
      <c r="AA25" s="136">
        <v>6000</v>
      </c>
      <c r="AB25" s="136">
        <v>6000</v>
      </c>
      <c r="AC25" s="136">
        <v>6000</v>
      </c>
      <c r="AD25" s="136">
        <v>6000</v>
      </c>
      <c r="AE25" s="136">
        <v>6000</v>
      </c>
      <c r="AF25" s="136">
        <v>4000</v>
      </c>
      <c r="AG25" s="136">
        <v>4000</v>
      </c>
      <c r="AH25" s="136">
        <v>5000</v>
      </c>
      <c r="AI25" s="136">
        <v>5000</v>
      </c>
      <c r="AJ25" s="136">
        <v>4000</v>
      </c>
      <c r="AK25" s="136">
        <v>4000</v>
      </c>
      <c r="AL25" s="136">
        <v>4000</v>
      </c>
      <c r="AM25" s="136">
        <v>4000</v>
      </c>
      <c r="AN25" s="136">
        <v>4000</v>
      </c>
      <c r="AO25" s="136">
        <v>4000</v>
      </c>
      <c r="AP25" s="136"/>
      <c r="AQ25" s="136"/>
      <c r="AR25" s="136"/>
      <c r="AS25" s="136"/>
      <c r="AT25" s="136"/>
      <c r="AU25" s="136"/>
      <c r="AV25" s="136"/>
      <c r="AW25" s="136">
        <v>4000</v>
      </c>
      <c r="AX25" s="136">
        <v>4000</v>
      </c>
      <c r="AY25" s="136">
        <v>4000</v>
      </c>
      <c r="AZ25" s="136">
        <v>5000</v>
      </c>
      <c r="BA25" s="136">
        <v>5000</v>
      </c>
      <c r="BB25" s="136">
        <v>5000</v>
      </c>
      <c r="BC25" s="136">
        <v>4000</v>
      </c>
      <c r="BD25" s="136">
        <v>6000</v>
      </c>
      <c r="BE25" s="136">
        <v>6000</v>
      </c>
      <c r="BF25" s="136">
        <v>6000</v>
      </c>
      <c r="BG25" s="136">
        <v>5000</v>
      </c>
      <c r="BH25" s="136">
        <v>4000</v>
      </c>
      <c r="BI25" s="136">
        <v>5000</v>
      </c>
      <c r="BJ25" s="136">
        <v>4000</v>
      </c>
      <c r="BK25" s="136">
        <v>4000</v>
      </c>
      <c r="BL25" s="136">
        <v>4000</v>
      </c>
      <c r="BM25" s="136">
        <v>6000</v>
      </c>
      <c r="BN25" s="136">
        <v>4000</v>
      </c>
      <c r="BO25" s="136">
        <v>4000</v>
      </c>
      <c r="BP25" s="136"/>
      <c r="BQ25" s="136"/>
      <c r="BR25" s="136"/>
      <c r="BS25" s="136">
        <v>4000</v>
      </c>
      <c r="BT25" s="136"/>
      <c r="BU25" s="136"/>
      <c r="BV25" s="136"/>
      <c r="BW25" s="136"/>
      <c r="BX25" s="136"/>
      <c r="BY25" s="136"/>
      <c r="BZ25" s="136"/>
      <c r="CA25" s="136">
        <v>6000</v>
      </c>
      <c r="CB25" s="136">
        <v>6000</v>
      </c>
      <c r="CC25" s="136">
        <v>6000</v>
      </c>
      <c r="CD25" s="136">
        <v>6000</v>
      </c>
      <c r="CE25" s="136">
        <v>5000</v>
      </c>
      <c r="CF25" s="136">
        <v>5000</v>
      </c>
      <c r="CG25" s="136">
        <v>6000</v>
      </c>
      <c r="CH25" s="136"/>
      <c r="CI25" s="136"/>
      <c r="CJ25" s="136">
        <v>5000</v>
      </c>
      <c r="CK25" s="136">
        <v>6000</v>
      </c>
      <c r="CL25" s="136">
        <v>6000</v>
      </c>
      <c r="CM25" s="136">
        <v>4000</v>
      </c>
      <c r="CN25" s="136">
        <v>7500</v>
      </c>
      <c r="CO25" s="136">
        <v>6000</v>
      </c>
      <c r="CP25" s="136">
        <v>7500</v>
      </c>
      <c r="CQ25" s="136"/>
      <c r="CR25" s="136">
        <v>5000</v>
      </c>
      <c r="CS25" s="136">
        <v>5000</v>
      </c>
      <c r="CT25" s="136">
        <v>5000</v>
      </c>
      <c r="CU25" s="136"/>
      <c r="CV25" s="136">
        <v>6000</v>
      </c>
      <c r="CW25" s="136">
        <v>6000</v>
      </c>
      <c r="CX25" s="136">
        <v>6000</v>
      </c>
      <c r="CY25" s="136"/>
      <c r="CZ25" s="136">
        <v>5000</v>
      </c>
      <c r="DA25" s="136">
        <v>5000</v>
      </c>
      <c r="DB25" s="136"/>
      <c r="DC25" s="136">
        <v>5000</v>
      </c>
      <c r="DD25" s="136">
        <v>5000</v>
      </c>
      <c r="DE25" s="136">
        <v>5000</v>
      </c>
      <c r="DF25" s="136">
        <v>4000</v>
      </c>
      <c r="DG25" s="136">
        <v>4000</v>
      </c>
      <c r="DH25" s="136">
        <v>4000</v>
      </c>
      <c r="DI25" s="136">
        <v>4000</v>
      </c>
      <c r="DJ25" s="136">
        <v>4000</v>
      </c>
      <c r="DK25" s="136">
        <v>5000</v>
      </c>
      <c r="DL25" s="136">
        <v>5000</v>
      </c>
      <c r="DM25" s="136">
        <v>4000</v>
      </c>
      <c r="DN25" s="136">
        <v>5000</v>
      </c>
      <c r="DO25" s="136"/>
      <c r="DP25" s="136">
        <v>4000</v>
      </c>
      <c r="DQ25" s="136">
        <v>4000</v>
      </c>
      <c r="DR25" s="136">
        <v>4000</v>
      </c>
      <c r="DS25" s="136">
        <v>4000</v>
      </c>
      <c r="DT25" s="136">
        <v>5000</v>
      </c>
      <c r="DU25" s="136">
        <v>5000</v>
      </c>
    </row>
    <row r="26" spans="2:125" ht="14.25" x14ac:dyDescent="0.45">
      <c r="B26" s="134" t="s">
        <v>247</v>
      </c>
      <c r="C26" s="142" cm="1">
        <f t="array" ref="C26">IF(C$4="","",_xlfn.IFS(C$5="Export",LOOKUP(C$4,'RM Prices'!$C$4:$DG$4,'RM Prices'!$C5:$DG5),C$5="Domestic",LOOKUP(C$4,'RM Prices'!$C$31:$DG$31,'RM Prices'!$C32:$DG32)))</f>
        <v>87.256</v>
      </c>
      <c r="D26" s="142" cm="1">
        <f t="array" ref="D26">IF(D$4="","",_xlfn.IFS(D$5="Export",LOOKUP(D$4,'RM Prices'!$C$4:$DG$4,'RM Prices'!$C5:$DG5),D$5="Domestic",LOOKUP(D$4,'RM Prices'!$C$31:$DG$31,'RM Prices'!$C32:$DG32)))</f>
        <v>87.256</v>
      </c>
      <c r="E26" s="142" cm="1">
        <f t="array" ref="E26">IF(E$4="","",_xlfn.IFS(E$5="Export",LOOKUP(E$4,'RM Prices'!$C$4:$DG$4,'RM Prices'!$C5:$DG5),E$5="Domestic",LOOKUP(E$4,'RM Prices'!$C$31:$DG$31,'RM Prices'!$C32:$DG32)))</f>
        <v>87.256</v>
      </c>
      <c r="F26" s="142" cm="1">
        <f t="array" ref="F26">IF(F$4="","",_xlfn.IFS(F$5="Export",LOOKUP(F$4,'RM Prices'!$C$4:$DG$4,'RM Prices'!$C5:$DG5),F$5="Domestic",LOOKUP(F$4,'RM Prices'!$C$31:$DG$31,'RM Prices'!$C32:$DG32)))</f>
        <v>87.256</v>
      </c>
      <c r="G26" s="142" cm="1">
        <f t="array" ref="G26">IF(G$4="","",_xlfn.IFS(G$5="Export",LOOKUP(G$4,'RM Prices'!$C$4:$DG$4,'RM Prices'!$C5:$DG5),G$5="Domestic",LOOKUP(G$4,'RM Prices'!$C$31:$DG$31,'RM Prices'!$C32:$DG32)))</f>
        <v>84.494</v>
      </c>
      <c r="H26" s="142" cm="1">
        <f t="array" ref="H26">IF(H$4="","",_xlfn.IFS(H$5="Export",LOOKUP(H$4,'RM Prices'!$C$4:$DG$4,'RM Prices'!$C5:$DG5),H$5="Domestic",LOOKUP(H$4,'RM Prices'!$C$31:$DG$31,'RM Prices'!$C32:$DG32)))</f>
        <v>84.494</v>
      </c>
      <c r="I26" s="142" cm="1">
        <f t="array" ref="I26">IF(I$4="","",_xlfn.IFS(I$5="Export",LOOKUP(I$4,'RM Prices'!$C$4:$DG$4,'RM Prices'!$C5:$DG5),I$5="Domestic",LOOKUP(I$4,'RM Prices'!$C$31:$DG$31,'RM Prices'!$C32:$DG32)))</f>
        <v>84.494</v>
      </c>
      <c r="J26" s="142" cm="1">
        <f t="array" ref="J26">IF(J$4="","",_xlfn.IFS(J$5="Export",LOOKUP(J$4,'RM Prices'!$C$4:$DG$4,'RM Prices'!$C5:$DG5),J$5="Domestic",LOOKUP(J$4,'RM Prices'!$C$31:$DG$31,'RM Prices'!$C32:$DG32)))</f>
        <v>84.494</v>
      </c>
      <c r="K26" s="142" cm="1">
        <f t="array" ref="K26">IF(K$4="","",_xlfn.IFS(K$5="Export",LOOKUP(K$4,'RM Prices'!$C$4:$DG$4,'RM Prices'!$C5:$DG5),K$5="Domestic",LOOKUP(K$4,'RM Prices'!$C$31:$DG$31,'RM Prices'!$C32:$DG32)))</f>
        <v>84.494</v>
      </c>
      <c r="L26" s="142" cm="1">
        <f t="array" ref="L26">IF(L$4="","",_xlfn.IFS(L$5="Export",LOOKUP(L$4,'RM Prices'!$C$4:$DG$4,'RM Prices'!$C5:$DG5),L$5="Domestic",LOOKUP(L$4,'RM Prices'!$C$31:$DG$31,'RM Prices'!$C32:$DG32)))</f>
        <v>84.494</v>
      </c>
      <c r="M26" s="142" cm="1">
        <f t="array" ref="M26">IF(M$4="","",_xlfn.IFS(M$5="Export",LOOKUP(M$4,'RM Prices'!$C$4:$DG$4,'RM Prices'!$C5:$DG5),M$5="Domestic",LOOKUP(M$4,'RM Prices'!$C$31:$DG$31,'RM Prices'!$C32:$DG32)))</f>
        <v>84.494</v>
      </c>
      <c r="N26" s="142" cm="1">
        <f t="array" ref="N26">IF(N$4="","",_xlfn.IFS(N$5="Export",LOOKUP(N$4,'RM Prices'!$C$4:$DG$4,'RM Prices'!$C5:$DG5),N$5="Domestic",LOOKUP(N$4,'RM Prices'!$C$31:$DG$31,'RM Prices'!$C32:$DG32)))</f>
        <v>85.656999999999996</v>
      </c>
      <c r="O26" s="142" cm="1">
        <f t="array" ref="O26">IF(O$4="","",_xlfn.IFS(O$5="Export",LOOKUP(O$4,'RM Prices'!$C$4:$DG$4,'RM Prices'!$C5:$DG5),O$5="Domestic",LOOKUP(O$4,'RM Prices'!$C$31:$DG$31,'RM Prices'!$C32:$DG32)))</f>
        <v>85.656999999999996</v>
      </c>
      <c r="P26" s="142" cm="1">
        <f t="array" ref="P26">IF(P$4="","",_xlfn.IFS(P$5="Export",LOOKUP(P$4,'RM Prices'!$C$4:$DG$4,'RM Prices'!$C5:$DG5),P$5="Domestic",LOOKUP(P$4,'RM Prices'!$C$31:$DG$31,'RM Prices'!$C32:$DG32)))</f>
        <v>85.656999999999996</v>
      </c>
      <c r="Q26" s="142" cm="1">
        <f t="array" ref="Q26">IF(Q$4="","",_xlfn.IFS(Q$5="Export",LOOKUP(Q$4,'RM Prices'!$C$4:$DG$4,'RM Prices'!$C5:$DG5),Q$5="Domestic",LOOKUP(Q$4,'RM Prices'!$C$31:$DG$31,'RM Prices'!$C32:$DG32)))</f>
        <v>87.677000000000007</v>
      </c>
      <c r="R26" s="142" cm="1">
        <f t="array" ref="R26">IF(R$4="","",_xlfn.IFS(R$5="Export",LOOKUP(R$4,'RM Prices'!$C$4:$DG$4,'RM Prices'!$C5:$DG5),R$5="Domestic",LOOKUP(R$4,'RM Prices'!$C$31:$DG$31,'RM Prices'!$C32:$DG32)))</f>
        <v>89.679000000000002</v>
      </c>
      <c r="S26" s="142" cm="1">
        <f t="array" ref="S26">IF(S$4="","",_xlfn.IFS(S$5="Export",LOOKUP(S$4,'RM Prices'!$C$4:$DG$4,'RM Prices'!$C5:$DG5),S$5="Domestic",LOOKUP(S$4,'RM Prices'!$C$31:$DG$31,'RM Prices'!$C32:$DG32)))</f>
        <v>89.679000000000002</v>
      </c>
      <c r="T26" s="142" cm="1">
        <f t="array" ref="T26">IF(T$4="","",_xlfn.IFS(T$5="Export",LOOKUP(T$4,'RM Prices'!$C$4:$DG$4,'RM Prices'!$C5:$DG5),T$5="Domestic",LOOKUP(T$4,'RM Prices'!$C$31:$DG$31,'RM Prices'!$C32:$DG32)))</f>
        <v>89.679000000000002</v>
      </c>
      <c r="U26" s="142" cm="1">
        <f t="array" ref="U26">IF(U$4="","",_xlfn.IFS(U$5="Export",LOOKUP(U$4,'RM Prices'!$C$4:$DG$4,'RM Prices'!$C5:$DG5),U$5="Domestic",LOOKUP(U$4,'RM Prices'!$C$31:$DG$31,'RM Prices'!$C32:$DG32)))</f>
        <v>85.656999999999996</v>
      </c>
      <c r="V26" s="142" cm="1">
        <f t="array" ref="V26">IF(V$4="","",_xlfn.IFS(V$5="Export",LOOKUP(V$4,'RM Prices'!$C$4:$DG$4,'RM Prices'!$C5:$DG5),V$5="Domestic",LOOKUP(V$4,'RM Prices'!$C$31:$DG$31,'RM Prices'!$C32:$DG32)))</f>
        <v>85.656999999999996</v>
      </c>
      <c r="W26" s="142" cm="1">
        <f t="array" ref="W26">IF(W$4="","",_xlfn.IFS(W$5="Export",LOOKUP(W$4,'RM Prices'!$C$4:$DG$4,'RM Prices'!$C5:$DG5),W$5="Domestic",LOOKUP(W$4,'RM Prices'!$C$31:$DG$31,'RM Prices'!$C32:$DG32)))</f>
        <v>101.884</v>
      </c>
      <c r="X26" s="142" cm="1">
        <f t="array" ref="X26">IF(X$4="","",_xlfn.IFS(X$5="Export",LOOKUP(X$4,'RM Prices'!$C$4:$DG$4,'RM Prices'!$C5:$DG5),X$5="Domestic",LOOKUP(X$4,'RM Prices'!$C$31:$DG$31,'RM Prices'!$C32:$DG32)))</f>
        <v>90.69</v>
      </c>
      <c r="Y26" s="142" cm="1">
        <f t="array" ref="Y26">IF(Y$4="","",_xlfn.IFS(Y$5="Export",LOOKUP(Y$4,'RM Prices'!$C$4:$DG$4,'RM Prices'!$C5:$DG5),Y$5="Domestic",LOOKUP(Y$4,'RM Prices'!$C$31:$DG$31,'RM Prices'!$C32:$DG32)))</f>
        <v>90.69</v>
      </c>
      <c r="Z26" s="142" cm="1">
        <f t="array" ref="Z26">IF(Z$4="","",_xlfn.IFS(Z$5="Export",LOOKUP(Z$4,'RM Prices'!$C$4:$DG$4,'RM Prices'!$C5:$DG5),Z$5="Domestic",LOOKUP(Z$4,'RM Prices'!$C$31:$DG$31,'RM Prices'!$C32:$DG32)))</f>
        <v>90.69</v>
      </c>
      <c r="AA26" s="142" cm="1">
        <f t="array" ref="AA26">IF(AA$4="","",_xlfn.IFS(AA$5="Export",LOOKUP(AA$4,'RM Prices'!$C$4:$DG$4,'RM Prices'!$C5:$DG5),AA$5="Domestic",LOOKUP(AA$4,'RM Prices'!$C$31:$DG$31,'RM Prices'!$C32:$DG32)))</f>
        <v>90.69</v>
      </c>
      <c r="AB26" s="142" cm="1">
        <f t="array" ref="AB26">IF(AB$4="","",_xlfn.IFS(AB$5="Export",LOOKUP(AB$4,'RM Prices'!$C$4:$DG$4,'RM Prices'!$C5:$DG5),AB$5="Domestic",LOOKUP(AB$4,'RM Prices'!$C$31:$DG$31,'RM Prices'!$C32:$DG32)))</f>
        <v>90.69</v>
      </c>
      <c r="AC26" s="142" cm="1">
        <f t="array" ref="AC26">IF(AC$4="","",_xlfn.IFS(AC$5="Export",LOOKUP(AC$4,'RM Prices'!$C$4:$DG$4,'RM Prices'!$C5:$DG5),AC$5="Domestic",LOOKUP(AC$4,'RM Prices'!$C$31:$DG$31,'RM Prices'!$C32:$DG32)))</f>
        <v>87.656999999999996</v>
      </c>
      <c r="AD26" s="142" cm="1">
        <f t="array" ref="AD26">IF(AD$4="","",_xlfn.IFS(AD$5="Export",LOOKUP(AD$4,'RM Prices'!$C$4:$DG$4,'RM Prices'!$C5:$DG5),AD$5="Domestic",LOOKUP(AD$4,'RM Prices'!$C$31:$DG$31,'RM Prices'!$C32:$DG32)))</f>
        <v>87.656999999999996</v>
      </c>
      <c r="AE26" s="142" cm="1">
        <f t="array" ref="AE26">IF(AE$4="","",_xlfn.IFS(AE$5="Export",LOOKUP(AE$4,'RM Prices'!$C$4:$DG$4,'RM Prices'!$C5:$DG5),AE$5="Domestic",LOOKUP(AE$4,'RM Prices'!$C$31:$DG$31,'RM Prices'!$C32:$DG32)))</f>
        <v>87.656999999999996</v>
      </c>
      <c r="AF26" s="142" cm="1">
        <f t="array" ref="AF26">IF(AF$4="","",_xlfn.IFS(AF$5="Export",LOOKUP(AF$4,'RM Prices'!$C$4:$DG$4,'RM Prices'!$C5:$DG5),AF$5="Domestic",LOOKUP(AF$4,'RM Prices'!$C$31:$DG$31,'RM Prices'!$C32:$DG32)))</f>
        <v>85.447000000000003</v>
      </c>
      <c r="AG26" s="142" cm="1">
        <f t="array" ref="AG26">IF(AG$4="","",_xlfn.IFS(AG$5="Export",LOOKUP(AG$4,'RM Prices'!$C$4:$DG$4,'RM Prices'!$C5:$DG5),AG$5="Domestic",LOOKUP(AG$4,'RM Prices'!$C$31:$DG$31,'RM Prices'!$C32:$DG32)))</f>
        <v>85.447000000000003</v>
      </c>
      <c r="AH26" s="142" cm="1">
        <f t="array" ref="AH26">IF(AH$4="","",_xlfn.IFS(AH$5="Export",LOOKUP(AH$4,'RM Prices'!$C$4:$DG$4,'RM Prices'!$C5:$DG5),AH$5="Domestic",LOOKUP(AH$4,'RM Prices'!$C$31:$DG$31,'RM Prices'!$C32:$DG32)))</f>
        <v>99.983000000000004</v>
      </c>
      <c r="AI26" s="142" cm="1">
        <f t="array" ref="AI26">IF(AI$4="","",_xlfn.IFS(AI$5="Export",LOOKUP(AI$4,'RM Prices'!$C$4:$DG$4,'RM Prices'!$C5:$DG5),AI$5="Domestic",LOOKUP(AI$4,'RM Prices'!$C$31:$DG$31,'RM Prices'!$C32:$DG32)))</f>
        <v>85.447000000000003</v>
      </c>
      <c r="AJ26" s="142" cm="1">
        <f t="array" ref="AJ26">IF(AJ$4="","",_xlfn.IFS(AJ$5="Export",LOOKUP(AJ$4,'RM Prices'!$C$4:$DG$4,'RM Prices'!$C5:$DG5),AJ$5="Domestic",LOOKUP(AJ$4,'RM Prices'!$C$31:$DG$31,'RM Prices'!$C32:$DG32)))</f>
        <v>86.513000000000005</v>
      </c>
      <c r="AK26" s="142" cm="1">
        <f t="array" ref="AK26">IF(AK$4="","",_xlfn.IFS(AK$5="Export",LOOKUP(AK$4,'RM Prices'!$C$4:$DG$4,'RM Prices'!$C5:$DG5),AK$5="Domestic",LOOKUP(AK$4,'RM Prices'!$C$31:$DG$31,'RM Prices'!$C32:$DG32)))</f>
        <v>86.513000000000005</v>
      </c>
      <c r="AL26" s="142" cm="1">
        <f t="array" ref="AL26">IF(AL$4="","",_xlfn.IFS(AL$5="Export",LOOKUP(AL$4,'RM Prices'!$C$4:$DG$4,'RM Prices'!$C5:$DG5),AL$5="Domestic",LOOKUP(AL$4,'RM Prices'!$C$31:$DG$31,'RM Prices'!$C32:$DG32)))</f>
        <v>86.513000000000005</v>
      </c>
      <c r="AM26" s="142" cm="1">
        <f t="array" ref="AM26">IF(AM$4="","",_xlfn.IFS(AM$5="Export",LOOKUP(AM$4,'RM Prices'!$C$4:$DG$4,'RM Prices'!$C5:$DG5),AM$5="Domestic",LOOKUP(AM$4,'RM Prices'!$C$31:$DG$31,'RM Prices'!$C32:$DG32)))</f>
        <v>102.583</v>
      </c>
      <c r="AN26" s="142" cm="1">
        <f t="array" ref="AN26">IF(AN$4="","",_xlfn.IFS(AN$5="Export",LOOKUP(AN$4,'RM Prices'!$C$4:$DG$4,'RM Prices'!$C5:$DG5),AN$5="Domestic",LOOKUP(AN$4,'RM Prices'!$C$31:$DG$31,'RM Prices'!$C32:$DG32)))</f>
        <v>102.583</v>
      </c>
      <c r="AO26" s="142" cm="1">
        <f t="array" ref="AO26">IF(AO$4="","",_xlfn.IFS(AO$5="Export",LOOKUP(AO$4,'RM Prices'!$C$4:$DG$4,'RM Prices'!$C5:$DG5),AO$5="Domestic",LOOKUP(AO$4,'RM Prices'!$C$31:$DG$31,'RM Prices'!$C32:$DG32)))</f>
        <v>101.081</v>
      </c>
      <c r="AP26" s="142" cm="1">
        <f t="array" ref="AP26">IF(AP$4="","",_xlfn.IFS(AP$5="Export",LOOKUP(AP$4,'RM Prices'!$C$4:$DG$4,'RM Prices'!$C5:$DG5),AP$5="Domestic",LOOKUP(AP$4,'RM Prices'!$C$31:$DG$31,'RM Prices'!$C32:$DG32)))</f>
        <v>82.061000000000007</v>
      </c>
      <c r="AQ26" s="142" cm="1">
        <f t="array" ref="AQ26">IF(AQ$4="","",_xlfn.IFS(AQ$5="Export",LOOKUP(AQ$4,'RM Prices'!$C$4:$DG$4,'RM Prices'!$C5:$DG5),AQ$5="Domestic",LOOKUP(AQ$4,'RM Prices'!$C$31:$DG$31,'RM Prices'!$C32:$DG32)))</f>
        <v>82.061000000000007</v>
      </c>
      <c r="AR26" s="142" cm="1">
        <f t="array" ref="AR26">IF(AR$4="","",_xlfn.IFS(AR$5="Export",LOOKUP(AR$4,'RM Prices'!$C$4:$DG$4,'RM Prices'!$C5:$DG5),AR$5="Domestic",LOOKUP(AR$4,'RM Prices'!$C$31:$DG$31,'RM Prices'!$C32:$DG32)))</f>
        <v>81.037000000000006</v>
      </c>
      <c r="AS26" s="142" cm="1">
        <f t="array" ref="AS26">IF(AS$4="","",_xlfn.IFS(AS$5="Export",LOOKUP(AS$4,'RM Prices'!$C$4:$DG$4,'RM Prices'!$C5:$DG5),AS$5="Domestic",LOOKUP(AS$4,'RM Prices'!$C$31:$DG$31,'RM Prices'!$C32:$DG32)))</f>
        <v>81.037000000000006</v>
      </c>
      <c r="AT26" s="142" cm="1">
        <f t="array" ref="AT26">IF(AT$4="","",_xlfn.IFS(AT$5="Export",LOOKUP(AT$4,'RM Prices'!$C$4:$DG$4,'RM Prices'!$C5:$DG5),AT$5="Domestic",LOOKUP(AT$4,'RM Prices'!$C$31:$DG$31,'RM Prices'!$C32:$DG32)))</f>
        <v>81.037000000000006</v>
      </c>
      <c r="AU26" s="142" cm="1">
        <f t="array" ref="AU26">IF(AU$4="","",_xlfn.IFS(AU$5="Export",LOOKUP(AU$4,'RM Prices'!$C$4:$DG$4,'RM Prices'!$C5:$DG5),AU$5="Domestic",LOOKUP(AU$4,'RM Prices'!$C$31:$DG$31,'RM Prices'!$C32:$DG32)))</f>
        <v>81.037000000000006</v>
      </c>
      <c r="AV26" s="142" cm="1">
        <f t="array" ref="AV26">IF(AV$4="","",_xlfn.IFS(AV$5="Export",LOOKUP(AV$4,'RM Prices'!$C$4:$DG$4,'RM Prices'!$C5:$DG5),AV$5="Domestic",LOOKUP(AV$4,'RM Prices'!$C$31:$DG$31,'RM Prices'!$C32:$DG32)))</f>
        <v>81.037000000000006</v>
      </c>
      <c r="AW26" s="142" cm="1">
        <f t="array" ref="AW26">IF(AW$4="","",_xlfn.IFS(AW$5="Export",LOOKUP(AW$4,'RM Prices'!$C$4:$DG$4,'RM Prices'!$C5:$DG5),AW$5="Domestic",LOOKUP(AW$4,'RM Prices'!$C$31:$DG$31,'RM Prices'!$C32:$DG32)))</f>
        <v>93.028999999999996</v>
      </c>
      <c r="AX26" s="142" cm="1">
        <f t="array" ref="AX26">IF(AX$4="","",_xlfn.IFS(AX$5="Export",LOOKUP(AX$4,'RM Prices'!$C$4:$DG$4,'RM Prices'!$C5:$DG5),AX$5="Domestic",LOOKUP(AX$4,'RM Prices'!$C$31:$DG$31,'RM Prices'!$C32:$DG32)))</f>
        <v>93.028999999999996</v>
      </c>
      <c r="AY26" s="142" cm="1">
        <f t="array" ref="AY26">IF(AY$4="","",_xlfn.IFS(AY$5="Export",LOOKUP(AY$4,'RM Prices'!$C$4:$DG$4,'RM Prices'!$C5:$DG5),AY$5="Domestic",LOOKUP(AY$4,'RM Prices'!$C$31:$DG$31,'RM Prices'!$C32:$DG32)))</f>
        <v>93.028999999999996</v>
      </c>
      <c r="AZ26" s="142" cm="1">
        <f t="array" ref="AZ26">IF(AZ$4="","",_xlfn.IFS(AZ$5="Export",LOOKUP(AZ$4,'RM Prices'!$C$4:$DG$4,'RM Prices'!$C5:$DG5),AZ$5="Domestic",LOOKUP(AZ$4,'RM Prices'!$C$31:$DG$31,'RM Prices'!$C32:$DG32)))</f>
        <v>81.037000000000006</v>
      </c>
      <c r="BA26" s="142" cm="1">
        <f t="array" ref="BA26">IF(BA$4="","",_xlfn.IFS(BA$5="Export",LOOKUP(BA$4,'RM Prices'!$C$4:$DG$4,'RM Prices'!$C5:$DG5),BA$5="Domestic",LOOKUP(BA$4,'RM Prices'!$C$31:$DG$31,'RM Prices'!$C32:$DG32)))</f>
        <v>81.037000000000006</v>
      </c>
      <c r="BB26" s="142" cm="1">
        <f t="array" ref="BB26">IF(BB$4="","",_xlfn.IFS(BB$5="Export",LOOKUP(BB$4,'RM Prices'!$C$4:$DG$4,'RM Prices'!$C5:$DG5),BB$5="Domestic",LOOKUP(BB$4,'RM Prices'!$C$31:$DG$31,'RM Prices'!$C32:$DG32)))</f>
        <v>79.037000000000006</v>
      </c>
      <c r="BC26" s="142" cm="1">
        <f t="array" ref="BC26">IF(BC$4="","",_xlfn.IFS(BC$5="Export",LOOKUP(BC$4,'RM Prices'!$C$4:$DG$4,'RM Prices'!$C5:$DG5),BC$5="Domestic",LOOKUP(BC$4,'RM Prices'!$C$31:$DG$31,'RM Prices'!$C32:$DG32)))</f>
        <v>92.531999999999996</v>
      </c>
      <c r="BD26" s="142" cm="1">
        <f t="array" ref="BD26">IF(BD$4="","",_xlfn.IFS(BD$5="Export",LOOKUP(BD$4,'RM Prices'!$C$4:$DG$4,'RM Prices'!$C5:$DG5),BD$5="Domestic",LOOKUP(BD$4,'RM Prices'!$C$31:$DG$31,'RM Prices'!$C32:$DG32)))</f>
        <v>78.066999999999993</v>
      </c>
      <c r="BE26" s="142" cm="1">
        <f t="array" ref="BE26">IF(BE$4="","",_xlfn.IFS(BE$5="Export",LOOKUP(BE$4,'RM Prices'!$C$4:$DG$4,'RM Prices'!$C5:$DG5),BE$5="Domestic",LOOKUP(BE$4,'RM Prices'!$C$31:$DG$31,'RM Prices'!$C32:$DG32)))</f>
        <v>78.066999999999993</v>
      </c>
      <c r="BF26" s="142" cm="1">
        <f t="array" ref="BF26">IF(BF$4="","",_xlfn.IFS(BF$5="Export",LOOKUP(BF$4,'RM Prices'!$C$4:$DG$4,'RM Prices'!$C5:$DG5),BF$5="Domestic",LOOKUP(BF$4,'RM Prices'!$C$31:$DG$31,'RM Prices'!$C32:$DG32)))</f>
        <v>78.066999999999993</v>
      </c>
      <c r="BG26" s="142" cm="1">
        <f t="array" ref="BG26">IF(BG$4="","",_xlfn.IFS(BG$5="Export",LOOKUP(BG$4,'RM Prices'!$C$4:$DG$4,'RM Prices'!$C5:$DG5),BG$5="Domestic",LOOKUP(BG$4,'RM Prices'!$C$31:$DG$31,'RM Prices'!$C32:$DG32)))</f>
        <v>78.066999999999993</v>
      </c>
      <c r="BH26" s="142" cm="1">
        <f t="array" ref="BH26">IF(BH$4="","",_xlfn.IFS(BH$5="Export",LOOKUP(BH$4,'RM Prices'!$C$4:$DG$4,'RM Prices'!$C5:$DG5),BH$5="Domestic",LOOKUP(BH$4,'RM Prices'!$C$31:$DG$31,'RM Prices'!$C32:$DG32)))</f>
        <v>78.066999999999993</v>
      </c>
      <c r="BI26" s="142" cm="1">
        <f t="array" ref="BI26">IF(BI$4="","",_xlfn.IFS(BI$5="Export",LOOKUP(BI$4,'RM Prices'!$C$4:$DG$4,'RM Prices'!$C5:$DG5),BI$5="Domestic",LOOKUP(BI$4,'RM Prices'!$C$31:$DG$31,'RM Prices'!$C32:$DG32)))</f>
        <v>79.566999999999993</v>
      </c>
      <c r="BJ26" s="142" cm="1">
        <f t="array" ref="BJ26">IF(BJ$4="","",_xlfn.IFS(BJ$5="Export",LOOKUP(BJ$4,'RM Prices'!$C$4:$DG$4,'RM Prices'!$C5:$DG5),BJ$5="Domestic",LOOKUP(BJ$4,'RM Prices'!$C$31:$DG$31,'RM Prices'!$C32:$DG32)))</f>
        <v>79.566999999999993</v>
      </c>
      <c r="BK26" s="142" cm="1">
        <f t="array" ref="BK26">IF(BK$4="","",_xlfn.IFS(BK$5="Export",LOOKUP(BK$4,'RM Prices'!$C$4:$DG$4,'RM Prices'!$C5:$DG5),BK$5="Domestic",LOOKUP(BK$4,'RM Prices'!$C$31:$DG$31,'RM Prices'!$C32:$DG32)))</f>
        <v>95.031999999999996</v>
      </c>
      <c r="BL26" s="142" cm="1">
        <f t="array" ref="BL26">IF(BL$4="","",_xlfn.IFS(BL$5="Export",LOOKUP(BL$4,'RM Prices'!$C$4:$DG$4,'RM Prices'!$C5:$DG5),BL$5="Domestic",LOOKUP(BL$4,'RM Prices'!$C$31:$DG$31,'RM Prices'!$C32:$DG32)))</f>
        <v>95.031999999999996</v>
      </c>
      <c r="BM26" s="142" cm="1">
        <f t="array" ref="BM26">IF(BM$4="","",_xlfn.IFS(BM$5="Export",LOOKUP(BM$4,'RM Prices'!$C$4:$DG$4,'RM Prices'!$C5:$DG5),BM$5="Domestic",LOOKUP(BM$4,'RM Prices'!$C$31:$DG$31,'RM Prices'!$C32:$DG32)))</f>
        <v>98.034000000000006</v>
      </c>
      <c r="BN26" s="142" cm="1">
        <f t="array" ref="BN26">IF(BN$4="","",_xlfn.IFS(BN$5="Export",LOOKUP(BN$4,'RM Prices'!$C$4:$DG$4,'RM Prices'!$C5:$DG5),BN$5="Domestic",LOOKUP(BN$4,'RM Prices'!$C$31:$DG$31,'RM Prices'!$C32:$DG32)))</f>
        <v>95.031999999999996</v>
      </c>
      <c r="BO26" s="142" cm="1">
        <f t="array" ref="BO26">IF(BO$4="","",_xlfn.IFS(BO$5="Export",LOOKUP(BO$4,'RM Prices'!$C$4:$DG$4,'RM Prices'!$C5:$DG5),BO$5="Domestic",LOOKUP(BO$4,'RM Prices'!$C$31:$DG$31,'RM Prices'!$C32:$DG32)))</f>
        <v>95.031999999999996</v>
      </c>
      <c r="BP26" s="142" cm="1">
        <f t="array" ref="BP26">IF(BP$4="","",_xlfn.IFS(BP$5="Export",LOOKUP(BP$4,'RM Prices'!$C$4:$DG$4,'RM Prices'!$C5:$DG5),BP$5="Domestic",LOOKUP(BP$4,'RM Prices'!$C$31:$DG$31,'RM Prices'!$C32:$DG32)))</f>
        <v>79.566999999999993</v>
      </c>
      <c r="BQ26" s="142" cm="1">
        <f t="array" ref="BQ26">IF(BQ$4="","",_xlfn.IFS(BQ$5="Export",LOOKUP(BQ$4,'RM Prices'!$C$4:$DG$4,'RM Prices'!$C5:$DG5),BQ$5="Domestic",LOOKUP(BQ$4,'RM Prices'!$C$31:$DG$31,'RM Prices'!$C32:$DG32)))</f>
        <v>79.566999999999993</v>
      </c>
      <c r="BR26" s="142" cm="1">
        <f t="array" ref="BR26">IF(BR$4="","",_xlfn.IFS(BR$5="Export",LOOKUP(BR$4,'RM Prices'!$C$4:$DG$4,'RM Prices'!$C5:$DG5),BR$5="Domestic",LOOKUP(BR$4,'RM Prices'!$C$31:$DG$31,'RM Prices'!$C32:$DG32)))</f>
        <v>79.566999999999993</v>
      </c>
      <c r="BS26" s="142" cm="1">
        <f t="array" ref="BS26">IF(BS$4="","",_xlfn.IFS(BS$5="Export",LOOKUP(BS$4,'RM Prices'!$C$4:$DG$4,'RM Prices'!$C5:$DG5),BS$5="Domestic",LOOKUP(BS$4,'RM Prices'!$C$31:$DG$31,'RM Prices'!$C32:$DG32)))</f>
        <v>95.031999999999996</v>
      </c>
      <c r="BT26" s="142" cm="1">
        <f t="array" ref="BT26">IF(BT$4="","",_xlfn.IFS(BT$5="Export",LOOKUP(BT$4,'RM Prices'!$C$4:$DG$4,'RM Prices'!$C5:$DG5),BT$5="Domestic",LOOKUP(BT$4,'RM Prices'!$C$31:$DG$31,'RM Prices'!$C32:$DG32)))</f>
        <v>79.566999999999993</v>
      </c>
      <c r="BU26" s="142" cm="1">
        <f t="array" ref="BU26">IF(BU$4="","",_xlfn.IFS(BU$5="Export",LOOKUP(BU$4,'RM Prices'!$C$4:$DG$4,'RM Prices'!$C5:$DG5),BU$5="Domestic",LOOKUP(BU$4,'RM Prices'!$C$31:$DG$31,'RM Prices'!$C32:$DG32)))</f>
        <v>79.566999999999993</v>
      </c>
      <c r="BV26" s="142" cm="1">
        <f t="array" ref="BV26">IF(BV$4="","",_xlfn.IFS(BV$5="Export",LOOKUP(BV$4,'RM Prices'!$C$4:$DG$4,'RM Prices'!$C5:$DG5),BV$5="Domestic",LOOKUP(BV$4,'RM Prices'!$C$31:$DG$31,'RM Prices'!$C32:$DG32)))</f>
        <v>83.617000000000004</v>
      </c>
      <c r="BW26" s="142" cm="1">
        <f t="array" ref="BW26">IF(BW$4="","",_xlfn.IFS(BW$5="Export",LOOKUP(BW$4,'RM Prices'!$C$4:$DG$4,'RM Prices'!$C5:$DG5),BW$5="Domestic",LOOKUP(BW$4,'RM Prices'!$C$31:$DG$31,'RM Prices'!$C32:$DG32)))</f>
        <v>83.617000000000004</v>
      </c>
      <c r="BX26" s="142" cm="1">
        <f t="array" ref="BX26">IF(BX$4="","",_xlfn.IFS(BX$5="Export",LOOKUP(BX$4,'RM Prices'!$C$4:$DG$4,'RM Prices'!$C5:$DG5),BX$5="Domestic",LOOKUP(BX$4,'RM Prices'!$C$31:$DG$31,'RM Prices'!$C32:$DG32)))</f>
        <v>83.617000000000004</v>
      </c>
      <c r="BY26" s="142" cm="1">
        <f t="array" ref="BY26">IF(BY$4="","",_xlfn.IFS(BY$5="Export",LOOKUP(BY$4,'RM Prices'!$C$4:$DG$4,'RM Prices'!$C5:$DG5),BY$5="Domestic",LOOKUP(BY$4,'RM Prices'!$C$31:$DG$31,'RM Prices'!$C32:$DG32)))</f>
        <v>98.531999999999996</v>
      </c>
      <c r="BZ26" s="142" cm="1">
        <f t="array" ref="BZ26">IF(BZ$4="","",_xlfn.IFS(BZ$5="Export",LOOKUP(BZ$4,'RM Prices'!$C$4:$DG$4,'RM Prices'!$C5:$DG5),BZ$5="Domestic",LOOKUP(BZ$4,'RM Prices'!$C$31:$DG$31,'RM Prices'!$C32:$DG32)))</f>
        <v>87.576999999999998</v>
      </c>
      <c r="CA26" s="142" cm="1">
        <f t="array" ref="CA26">IF(CA$4="","",_xlfn.IFS(CA$5="Export",LOOKUP(CA$4,'RM Prices'!$C$4:$DG$4,'RM Prices'!$C5:$DG5),CA$5="Domestic",LOOKUP(CA$4,'RM Prices'!$C$31:$DG$31,'RM Prices'!$C32:$DG32)))</f>
        <v>87.576999999999998</v>
      </c>
      <c r="CB26" s="142" cm="1">
        <f t="array" ref="CB26">IF(CB$4="","",_xlfn.IFS(CB$5="Export",LOOKUP(CB$4,'RM Prices'!$C$4:$DG$4,'RM Prices'!$C5:$DG5),CB$5="Domestic",LOOKUP(CB$4,'RM Prices'!$C$31:$DG$31,'RM Prices'!$C32:$DG32)))</f>
        <v>87.576999999999998</v>
      </c>
      <c r="CC26" s="142" cm="1">
        <f t="array" ref="CC26">IF(CC$4="","",_xlfn.IFS(CC$5="Export",LOOKUP(CC$4,'RM Prices'!$C$4:$DG$4,'RM Prices'!$C5:$DG5),CC$5="Domestic",LOOKUP(CC$4,'RM Prices'!$C$31:$DG$31,'RM Prices'!$C32:$DG32)))</f>
        <v>87.576999999999998</v>
      </c>
      <c r="CD26" s="142" cm="1">
        <f t="array" ref="CD26">IF(CD$4="","",_xlfn.IFS(CD$5="Export",LOOKUP(CD$4,'RM Prices'!$C$4:$DG$4,'RM Prices'!$C5:$DG5),CD$5="Domestic",LOOKUP(CD$4,'RM Prices'!$C$31:$DG$31,'RM Prices'!$C32:$DG32)))</f>
        <v>87.576999999999998</v>
      </c>
      <c r="CE26" s="142" cm="1">
        <f t="array" ref="CE26">IF(CE$4="","",_xlfn.IFS(CE$5="Export",LOOKUP(CE$4,'RM Prices'!$C$4:$DG$4,'RM Prices'!$C5:$DG5),CE$5="Domestic",LOOKUP(CE$4,'RM Prices'!$C$31:$DG$31,'RM Prices'!$C32:$DG32)))</f>
        <v>87.576999999999998</v>
      </c>
      <c r="CF26" s="142" cm="1">
        <f t="array" ref="CF26">IF(CF$4="","",_xlfn.IFS(CF$5="Export",LOOKUP(CF$4,'RM Prices'!$C$4:$DG$4,'RM Prices'!$C5:$DG5),CF$5="Domestic",LOOKUP(CF$4,'RM Prices'!$C$31:$DG$31,'RM Prices'!$C32:$DG32)))</f>
        <v>87.576999999999998</v>
      </c>
      <c r="CG26" s="142" cm="1">
        <f t="array" ref="CG26">IF(CG$4="","",_xlfn.IFS(CG$5="Export",LOOKUP(CG$4,'RM Prices'!$C$4:$DG$4,'RM Prices'!$C5:$DG5),CG$5="Domestic",LOOKUP(CG$4,'RM Prices'!$C$31:$DG$31,'RM Prices'!$C32:$DG32)))</f>
        <v>119.59699999999999</v>
      </c>
      <c r="CH26" s="142" cm="1">
        <f t="array" ref="CH26">IF(CH$4="","",_xlfn.IFS(CH$5="Export",LOOKUP(CH$4,'RM Prices'!$C$4:$DG$4,'RM Prices'!$C5:$DG5),CH$5="Domestic",LOOKUP(CH$4,'RM Prices'!$C$31:$DG$31,'RM Prices'!$C32:$DG32)))</f>
        <v>119.59699999999999</v>
      </c>
      <c r="CI26" s="142" cm="1">
        <f t="array" ref="CI26">IF(CI$4="","",_xlfn.IFS(CI$5="Export",LOOKUP(CI$4,'RM Prices'!$C$4:$DG$4,'RM Prices'!$C5:$DG5),CI$5="Domestic",LOOKUP(CI$4,'RM Prices'!$C$31:$DG$31,'RM Prices'!$C32:$DG32)))</f>
        <v>119.59699999999999</v>
      </c>
      <c r="CJ26" s="142" cm="1">
        <f t="array" ref="CJ26">IF(CJ$4="","",_xlfn.IFS(CJ$5="Export",LOOKUP(CJ$4,'RM Prices'!$C$4:$DG$4,'RM Prices'!$C5:$DG5),CJ$5="Domestic",LOOKUP(CJ$4,'RM Prices'!$C$31:$DG$31,'RM Prices'!$C32:$DG32)))</f>
        <v>119.59699999999999</v>
      </c>
      <c r="CK26" s="142" cm="1">
        <f t="array" ref="CK26">IF(CK$4="","",_xlfn.IFS(CK$5="Export",LOOKUP(CK$4,'RM Prices'!$C$4:$DG$4,'RM Prices'!$C5:$DG5),CK$5="Domestic",LOOKUP(CK$4,'RM Prices'!$C$31:$DG$31,'RM Prices'!$C32:$DG32)))</f>
        <v>119.59699999999999</v>
      </c>
      <c r="CL26" s="161" cm="1">
        <f t="array" ref="CL26">IF(CL$4="","",_xlfn.IFS(CL$5="Export",LOOKUP(CL$4,'RM Prices'!$C$4:$DG$4,'RM Prices'!$C5:$DG5),CL$5="Domestic",LOOKUP(CL$4,'RM Prices'!$C$31:$DG$31,'RM Prices'!$C32:$DG32)))</f>
        <v>119.59699999999999</v>
      </c>
      <c r="CM26" s="142" cm="1">
        <f t="array" ref="CM26">IF(CM$4="","",_xlfn.IFS(CM$5="Export",LOOKUP(CM$4,'RM Prices'!$C$4:$DG$4,'RM Prices'!$C5:$DG5),CM$5="Domestic",LOOKUP(CM$4,'RM Prices'!$C$31:$DG$31,'RM Prices'!$C32:$DG32)))</f>
        <v>165.53199999999998</v>
      </c>
      <c r="CN26" s="142" cm="1">
        <f t="array" ref="CN26">IF(CN$4="","",_xlfn.IFS(CN$5="Export",LOOKUP(CN$4,'RM Prices'!$C$4:$DG$4,'RM Prices'!$C5:$DG5),CN$5="Domestic",LOOKUP(CN$4,'RM Prices'!$C$31:$DG$31,'RM Prices'!$C32:$DG32)))</f>
        <v>149.59699999999998</v>
      </c>
      <c r="CO26" s="142" cm="1">
        <f t="array" ref="CO26">IF(CO$4="","",_xlfn.IFS(CO$5="Export",LOOKUP(CO$4,'RM Prices'!$C$4:$DG$4,'RM Prices'!$C5:$DG5),CO$5="Domestic",LOOKUP(CO$4,'RM Prices'!$C$31:$DG$31,'RM Prices'!$C32:$DG32)))</f>
        <v>149.59699999999998</v>
      </c>
      <c r="CP26" s="142" cm="1">
        <f t="array" ref="CP26">IF(CP$4="","",_xlfn.IFS(CP$5="Export",LOOKUP(CP$4,'RM Prices'!$C$4:$DG$4,'RM Prices'!$C5:$DG5),CP$5="Domestic",LOOKUP(CP$4,'RM Prices'!$C$31:$DG$31,'RM Prices'!$C32:$DG32)))</f>
        <v>149.59699999999998</v>
      </c>
      <c r="CQ26" s="142" cm="1">
        <f t="array" ref="CQ26">IF(CQ$4="","",_xlfn.IFS(CQ$5="Export",LOOKUP(CQ$4,'RM Prices'!$C$4:$DG$4,'RM Prices'!$C5:$DG5),CQ$5="Domestic",LOOKUP(CQ$4,'RM Prices'!$C$31:$DG$31,'RM Prices'!$C32:$DG32)))</f>
        <v>149.59699999999998</v>
      </c>
      <c r="CR26" s="142" cm="1">
        <f t="array" ref="CR26">IF(CR$4="","",_xlfn.IFS(CR$5="Export",LOOKUP(CR$4,'RM Prices'!$C$4:$DG$4,'RM Prices'!$C5:$DG5),CR$5="Domestic",LOOKUP(CR$4,'RM Prices'!$C$31:$DG$31,'RM Prices'!$C32:$DG32)))</f>
        <v>150</v>
      </c>
      <c r="CS26" s="142" cm="1">
        <f t="array" ref="CS26">IF(CS$4="","",_xlfn.IFS(CS$5="Export",LOOKUP(CS$4,'RM Prices'!$C$4:$DG$4,'RM Prices'!$C5:$DG5),CS$5="Domestic",LOOKUP(CS$4,'RM Prices'!$C$31:$DG$31,'RM Prices'!$C32:$DG32)))</f>
        <v>150</v>
      </c>
      <c r="CT26" s="142" cm="1">
        <f t="array" ref="CT26">IF(CT$4="","",_xlfn.IFS(CT$5="Export",LOOKUP(CT$4,'RM Prices'!$C$4:$DG$4,'RM Prices'!$C5:$DG5),CT$5="Domestic",LOOKUP(CT$4,'RM Prices'!$C$31:$DG$31,'RM Prices'!$C32:$DG32)))</f>
        <v>150</v>
      </c>
      <c r="CU26" s="142" cm="1">
        <f t="array" ref="CU26">IF(CU$4="","",_xlfn.IFS(CU$5="Export",LOOKUP(CU$4,'RM Prices'!$C$4:$DG$4,'RM Prices'!$C5:$DG5),CU$5="Domestic",LOOKUP(CU$4,'RM Prices'!$C$31:$DG$31,'RM Prices'!$C32:$DG32)))</f>
        <v>150</v>
      </c>
      <c r="CV26" s="142" cm="1">
        <f t="array" ref="CV26">IF(CV$4="","",_xlfn.IFS(CV$5="Export",LOOKUP(CV$4,'RM Prices'!$C$4:$DG$4,'RM Prices'!$C5:$DG5),CV$5="Domestic",LOOKUP(CV$4,'RM Prices'!$C$31:$DG$31,'RM Prices'!$C32:$DG32)))</f>
        <v>150</v>
      </c>
      <c r="CW26" s="161" cm="1">
        <f t="array" ref="CW26">IF(CW$4="","",_xlfn.IFS(CW$5="Export",LOOKUP(CW$4,'RM Prices'!$C$4:$DG$4,'RM Prices'!$C5:$DG5),CW$5="Domestic",LOOKUP(CW$4,'RM Prices'!$C$31:$DG$31,'RM Prices'!$C32:$DG32)))</f>
        <v>150</v>
      </c>
      <c r="CX26" s="161" cm="1">
        <f t="array" ref="CX26">IF(CX$4="","",_xlfn.IFS(CX$5="Export",LOOKUP(CX$4,'RM Prices'!$C$4:$DG$4,'RM Prices'!$C5:$DG5),CX$5="Domestic",LOOKUP(CX$4,'RM Prices'!$C$31:$DG$31,'RM Prices'!$C32:$DG32)))</f>
        <v>165.53199999999998</v>
      </c>
      <c r="CY26" s="161" cm="1">
        <f t="array" ref="CY26">IF(CY$4="","",_xlfn.IFS(CY$5="Export",LOOKUP(CY$4,'RM Prices'!$C$4:$DG$4,'RM Prices'!$C5:$DG5),CY$5="Domestic",LOOKUP(CY$4,'RM Prices'!$C$31:$DG$31,'RM Prices'!$C32:$DG32)))</f>
        <v>165.53199999999998</v>
      </c>
      <c r="CZ26" s="142" cm="1">
        <f t="array" ref="CZ26">IF(CZ$4="","",_xlfn.IFS(CZ$5="Export",LOOKUP(CZ$4,'RM Prices'!$C$4:$DG$4,'RM Prices'!$C5:$DG5),CZ$5="Domestic",LOOKUP(CZ$4,'RM Prices'!$C$31:$DG$31,'RM Prices'!$C32:$DG32)))</f>
        <v>150</v>
      </c>
      <c r="DA26" s="142" cm="1">
        <f t="array" ref="DA26">IF(DA$4="","",_xlfn.IFS(DA$5="Export",LOOKUP(DA$4,'RM Prices'!$C$4:$DG$4,'RM Prices'!$C5:$DG5),DA$5="Domestic",LOOKUP(DA$4,'RM Prices'!$C$31:$DG$31,'RM Prices'!$C32:$DG32)))</f>
        <v>165.53199999999998</v>
      </c>
      <c r="DB26" s="142" cm="1">
        <f t="array" ref="DB26">IF(DB$4="","",_xlfn.IFS(DB$5="Export",LOOKUP(DB$4,'RM Prices'!$C$4:$DG$4,'RM Prices'!$C5:$DG5),DB$5="Domestic",LOOKUP(DB$4,'RM Prices'!$C$31:$DG$31,'RM Prices'!$C32:$DG32)))</f>
        <v>165.53199999999998</v>
      </c>
      <c r="DC26" s="142" cm="1">
        <f t="array" ref="DC26">IF(DC$4="","",_xlfn.IFS(DC$5="Export",LOOKUP(DC$4,'RM Prices'!$C$4:$DG$4,'RM Prices'!$C5:$DG5),DC$5="Domestic",LOOKUP(DC$4,'RM Prices'!$C$31:$DG$31,'RM Prices'!$C32:$DG32)))</f>
        <v>141.25399999999999</v>
      </c>
      <c r="DD26" s="142" cm="1">
        <f t="array" ref="DD26">IF(DD$4="","",_xlfn.IFS(DD$5="Export",LOOKUP(DD$4,'RM Prices'!$C$4:$DG$4,'RM Prices'!$C5:$DG5),DD$5="Domestic",LOOKUP(DD$4,'RM Prices'!$C$31:$DG$31,'RM Prices'!$C32:$DG32)))</f>
        <v>141.25399999999999</v>
      </c>
      <c r="DE26" s="142" cm="1">
        <f t="array" ref="DE26">IF(DE$4="","",_xlfn.IFS(DE$5="Export",LOOKUP(DE$4,'RM Prices'!$C$4:$DG$4,'RM Prices'!$C5:$DG5),DE$5="Domestic",LOOKUP(DE$4,'RM Prices'!$C$31:$DG$31,'RM Prices'!$C32:$DG32)))</f>
        <v>141.25399999999999</v>
      </c>
      <c r="DF26" s="142" cm="1">
        <f t="array" ref="DF26">IF(DF$4="","",_xlfn.IFS(DF$5="Export",LOOKUP(DF$4,'RM Prices'!$C$4:$DG$4,'RM Prices'!$C5:$DG5),DF$5="Domestic",LOOKUP(DF$4,'RM Prices'!$C$31:$DG$31,'RM Prices'!$C32:$DG32)))</f>
        <v>141.25399999999999</v>
      </c>
      <c r="DG26" s="142" cm="1">
        <f t="array" ref="DG26">IF(DG$4="","",_xlfn.IFS(DG$5="Export",LOOKUP(DG$4,'RM Prices'!$C$4:$DG$4,'RM Prices'!$C5:$DG5),DG$5="Domestic",LOOKUP(DG$4,'RM Prices'!$C$31:$DG$31,'RM Prices'!$C32:$DG32)))</f>
        <v>141.25399999999999</v>
      </c>
      <c r="DH26" s="142" cm="1">
        <f t="array" ref="DH26">IF(DH$4="","",_xlfn.IFS(DH$5="Export",LOOKUP(DH$4,'RM Prices'!$C$4:$DG$4,'RM Prices'!$C5:$DG5),DH$5="Domestic",LOOKUP(DH$4,'RM Prices'!$C$31:$DG$31,'RM Prices'!$C32:$DG32)))</f>
        <v>141.25399999999999</v>
      </c>
      <c r="DI26" s="142" cm="1">
        <f t="array" ref="DI26">IF(DI$4="","",_xlfn.IFS(DI$5="Export",LOOKUP(DI$4,'RM Prices'!$C$4:$DG$4,'RM Prices'!$C5:$DG5),DI$5="Domestic",LOOKUP(DI$4,'RM Prices'!$C$31:$DG$31,'RM Prices'!$C32:$DG32)))</f>
        <v>141.25399999999999</v>
      </c>
      <c r="DJ26" s="142" cm="1">
        <f t="array" ref="DJ26">IF(DJ$4="","",_xlfn.IFS(DJ$5="Export",LOOKUP(DJ$4,'RM Prices'!$C$4:$DG$4,'RM Prices'!$C5:$DG5),DJ$5="Domestic",LOOKUP(DJ$4,'RM Prices'!$C$31:$DG$31,'RM Prices'!$C32:$DG32)))</f>
        <v>140.55699999999999</v>
      </c>
      <c r="DK26" s="161" cm="1">
        <f t="array" ref="DK26">IF(DK$4="","",_xlfn.IFS(DK$5="Export",LOOKUP(DK$4,'RM Prices'!$C$4:$DG$4,'RM Prices'!$C5:$DG5),DK$5="Domestic",LOOKUP(DK$4,'RM Prices'!$C$31:$DG$31,'RM Prices'!$C32:$DG32)))</f>
        <v>141.25399999999999</v>
      </c>
      <c r="DL26" s="161" cm="1">
        <f t="array" ref="DL26">IF(DL$4="","",_xlfn.IFS(DL$5="Export",LOOKUP(DL$4,'RM Prices'!$C$4:$DG$4,'RM Prices'!$C5:$DG5),DL$5="Domestic",LOOKUP(DL$4,'RM Prices'!$C$31:$DG$31,'RM Prices'!$C32:$DG32)))</f>
        <v>141.25399999999999</v>
      </c>
      <c r="DM26" s="142" cm="1">
        <f t="array" ref="DM26">IF(DM$4="","",_xlfn.IFS(DM$5="Export",LOOKUP(DM$4,'RM Prices'!$C$4:$DG$4,'RM Prices'!$C5:$DG5),DM$5="Domestic",LOOKUP(DM$4,'RM Prices'!$C$31:$DG$31,'RM Prices'!$C32:$DG32)))</f>
        <v>141.25399999999999</v>
      </c>
      <c r="DN26" s="161" cm="1">
        <f t="array" ref="DN26">IF(DN$4="","",_xlfn.IFS(DN$5="Export",LOOKUP(DN$4,'RM Prices'!$C$4:$DG$4,'RM Prices'!$C5:$DG5),DN$5="Domestic",LOOKUP(DN$4,'RM Prices'!$C$31:$DG$31,'RM Prices'!$C32:$DG32)))</f>
        <v>141.25399999999999</v>
      </c>
      <c r="DO26" s="142" cm="1">
        <f t="array" ref="DO26">IF(DO$4="","",_xlfn.IFS(DO$5="Export",LOOKUP(DO$4,'RM Prices'!$C$4:$DG$4,'RM Prices'!$C5:$DG5),DO$5="Domestic",LOOKUP(DO$4,'RM Prices'!$C$31:$DG$31,'RM Prices'!$C32:$DG32)))</f>
        <v>141.25399999999999</v>
      </c>
      <c r="DP26" s="142" cm="1">
        <f t="array" ref="DP26">IF(DP$4="","",_xlfn.IFS(DP$5="Export",LOOKUP(DP$4,'RM Prices'!$C$4:$DG$4,'RM Prices'!$C5:$DG5),DP$5="Domestic",LOOKUP(DP$4,'RM Prices'!$C$31:$DG$31,'RM Prices'!$C32:$DG32)))</f>
        <v>141.25399999999999</v>
      </c>
      <c r="DQ26" s="142" cm="1">
        <f t="array" ref="DQ26">IF(DQ$4="","",_xlfn.IFS(DQ$5="Export",LOOKUP(DQ$4,'RM Prices'!$C$4:$DG$4,'RM Prices'!$C5:$DG5),DQ$5="Domestic",LOOKUP(DQ$4,'RM Prices'!$C$31:$DG$31,'RM Prices'!$C32:$DG32)))</f>
        <v>134.55699999999999</v>
      </c>
      <c r="DR26" s="142" cm="1">
        <f t="array" ref="DR26">IF(DR$4="","",_xlfn.IFS(DR$5="Export",LOOKUP(DR$4,'RM Prices'!$C$4:$DG$4,'RM Prices'!$C5:$DG5),DR$5="Domestic",LOOKUP(DR$4,'RM Prices'!$C$31:$DG$31,'RM Prices'!$C32:$DG32)))</f>
        <v>133.274</v>
      </c>
      <c r="DS26" s="142" cm="1">
        <f t="array" ref="DS26">IF(DS$4="","",_xlfn.IFS(DS$5="Export",LOOKUP(DS$4,'RM Prices'!$C$4:$DG$4,'RM Prices'!$C5:$DG5),DS$5="Domestic",LOOKUP(DS$4,'RM Prices'!$C$31:$DG$31,'RM Prices'!$C32:$DG32)))</f>
        <v>135.55699999999999</v>
      </c>
      <c r="DT26" s="142" cm="1">
        <f t="array" ref="DT26">IF(DT$4="","",_xlfn.IFS(DT$5="Export",LOOKUP(DT$4,'RM Prices'!$C$4:$DG$4,'RM Prices'!$C5:$DG5),DT$5="Domestic",LOOKUP(DT$4,'RM Prices'!$C$31:$DG$31,'RM Prices'!$C32:$DG32)))</f>
        <v>135.55699999999999</v>
      </c>
      <c r="DU26" s="142" cm="1">
        <f t="array" ref="DU26">IF(DU$4="","",_xlfn.IFS(DU$5="Export",LOOKUP(DU$4,'RM Prices'!$C$4:$DG$4,'RM Prices'!$C5:$DG5),DU$5="Domestic",LOOKUP(DU$4,'RM Prices'!$C$31:$DG$31,'RM Prices'!$C32:$DG32)))</f>
        <v>135.55699999999999</v>
      </c>
    </row>
    <row r="27" spans="2:125" ht="14.25" x14ac:dyDescent="0.45">
      <c r="B27" s="134" t="s">
        <v>480</v>
      </c>
      <c r="C27" s="140">
        <v>100</v>
      </c>
      <c r="D27" s="140">
        <v>100</v>
      </c>
      <c r="E27" s="140">
        <v>100</v>
      </c>
      <c r="F27" s="140">
        <v>110</v>
      </c>
      <c r="G27" s="140">
        <v>87.6</v>
      </c>
      <c r="H27" s="140">
        <v>87.6</v>
      </c>
      <c r="I27" s="140">
        <v>87.6</v>
      </c>
      <c r="J27" s="140">
        <v>87.6</v>
      </c>
      <c r="K27" s="140">
        <v>87.6</v>
      </c>
      <c r="L27" s="140">
        <v>87.6</v>
      </c>
      <c r="M27" s="140">
        <v>87.6</v>
      </c>
      <c r="N27" s="140">
        <v>132</v>
      </c>
      <c r="O27" s="140">
        <v>87.6</v>
      </c>
      <c r="P27" s="140">
        <v>87.6</v>
      </c>
      <c r="Q27" s="140">
        <v>60</v>
      </c>
      <c r="R27" s="140">
        <v>85</v>
      </c>
      <c r="S27" s="140">
        <v>95.8</v>
      </c>
      <c r="T27" s="140">
        <v>76</v>
      </c>
      <c r="U27" s="140">
        <v>132</v>
      </c>
      <c r="V27" s="140">
        <v>120</v>
      </c>
      <c r="W27" s="140">
        <v>55</v>
      </c>
      <c r="X27" s="140">
        <v>64</v>
      </c>
      <c r="Y27" s="140">
        <v>64</v>
      </c>
      <c r="Z27" s="140">
        <v>80</v>
      </c>
      <c r="AA27" s="140">
        <v>80</v>
      </c>
      <c r="AB27" s="140">
        <v>90</v>
      </c>
      <c r="AC27" s="140">
        <v>87.6</v>
      </c>
      <c r="AD27" s="140">
        <v>87.6</v>
      </c>
      <c r="AE27" s="140">
        <v>87.6</v>
      </c>
      <c r="AF27" s="140">
        <v>135</v>
      </c>
      <c r="AG27" s="140">
        <v>65</v>
      </c>
      <c r="AH27" s="140">
        <v>70</v>
      </c>
      <c r="AI27" s="140">
        <v>70</v>
      </c>
      <c r="AJ27" s="140">
        <v>70</v>
      </c>
      <c r="AK27" s="140">
        <v>70</v>
      </c>
      <c r="AL27" s="140">
        <v>70</v>
      </c>
      <c r="AM27" s="140">
        <v>55</v>
      </c>
      <c r="AN27" s="140">
        <v>60</v>
      </c>
      <c r="AO27" s="140">
        <v>70</v>
      </c>
      <c r="AP27" s="140">
        <v>90</v>
      </c>
      <c r="AQ27" s="140">
        <v>90</v>
      </c>
      <c r="AR27" s="140">
        <v>85</v>
      </c>
      <c r="AS27" s="140">
        <v>75</v>
      </c>
      <c r="AT27" s="140">
        <v>150</v>
      </c>
      <c r="AU27" s="140">
        <v>160</v>
      </c>
      <c r="AV27" s="140">
        <v>80</v>
      </c>
      <c r="AW27" s="140">
        <v>65</v>
      </c>
      <c r="AX27" s="140">
        <v>65</v>
      </c>
      <c r="AY27" s="140">
        <v>65</v>
      </c>
      <c r="AZ27" s="140">
        <v>65</v>
      </c>
      <c r="BA27" s="140">
        <v>67</v>
      </c>
      <c r="BB27" s="140">
        <v>70</v>
      </c>
      <c r="BC27" s="140">
        <v>56</v>
      </c>
      <c r="BD27" s="140">
        <v>61</v>
      </c>
      <c r="BE27" s="140">
        <v>61</v>
      </c>
      <c r="BF27" s="140">
        <v>64</v>
      </c>
      <c r="BG27" s="140">
        <v>70</v>
      </c>
      <c r="BH27" s="140">
        <v>70</v>
      </c>
      <c r="BI27" s="140">
        <v>145</v>
      </c>
      <c r="BJ27" s="140">
        <v>145</v>
      </c>
      <c r="BK27" s="140">
        <v>65</v>
      </c>
      <c r="BL27" s="140">
        <v>130</v>
      </c>
      <c r="BM27" s="140">
        <v>85</v>
      </c>
      <c r="BN27" s="140">
        <v>56</v>
      </c>
      <c r="BO27" s="140">
        <v>56</v>
      </c>
      <c r="BP27" s="140">
        <v>82</v>
      </c>
      <c r="BQ27" s="140">
        <v>57</v>
      </c>
      <c r="BR27" s="140">
        <v>57</v>
      </c>
      <c r="BS27" s="140">
        <v>65</v>
      </c>
      <c r="BT27" s="140">
        <v>78</v>
      </c>
      <c r="BU27" s="140">
        <v>78</v>
      </c>
      <c r="BV27" s="140">
        <v>38</v>
      </c>
      <c r="BW27" s="140">
        <v>37.799999999999997</v>
      </c>
      <c r="BX27" s="140">
        <v>85</v>
      </c>
      <c r="BY27" s="140">
        <v>65</v>
      </c>
      <c r="BZ27" s="140">
        <v>80</v>
      </c>
      <c r="CA27" s="140">
        <v>77</v>
      </c>
      <c r="CB27" s="140">
        <v>74</v>
      </c>
      <c r="CC27" s="140">
        <v>145</v>
      </c>
      <c r="CD27" s="140">
        <v>78</v>
      </c>
      <c r="CE27" s="140">
        <v>78</v>
      </c>
      <c r="CF27" s="140">
        <v>145</v>
      </c>
      <c r="CG27" s="140">
        <v>100</v>
      </c>
      <c r="CH27" s="140">
        <v>75</v>
      </c>
      <c r="CI27" s="140">
        <v>160</v>
      </c>
      <c r="CJ27" s="140">
        <v>158</v>
      </c>
      <c r="CK27" s="140">
        <v>90</v>
      </c>
      <c r="CL27" s="140">
        <v>88</v>
      </c>
      <c r="CM27" s="140">
        <v>65</v>
      </c>
      <c r="CN27" s="140">
        <v>87.6</v>
      </c>
      <c r="CO27" s="140">
        <v>87.6</v>
      </c>
      <c r="CP27" s="140">
        <v>87.6</v>
      </c>
      <c r="CQ27" s="140">
        <v>160</v>
      </c>
      <c r="CR27" s="140">
        <v>78</v>
      </c>
      <c r="CS27" s="140">
        <v>65</v>
      </c>
      <c r="CT27" s="140">
        <v>67</v>
      </c>
      <c r="CU27" s="140">
        <v>190</v>
      </c>
      <c r="CV27" s="140">
        <v>90</v>
      </c>
      <c r="CW27" s="140">
        <v>88</v>
      </c>
      <c r="CX27" s="140">
        <v>140</v>
      </c>
      <c r="CY27" s="140">
        <v>65</v>
      </c>
      <c r="CZ27" s="140">
        <v>158</v>
      </c>
      <c r="DA27" s="140">
        <v>68</v>
      </c>
      <c r="DB27" s="140">
        <v>65</v>
      </c>
      <c r="DC27" s="140">
        <v>75</v>
      </c>
      <c r="DD27" s="140">
        <v>140</v>
      </c>
      <c r="DE27" s="140">
        <v>140</v>
      </c>
      <c r="DF27" s="140">
        <v>70</v>
      </c>
      <c r="DG27" s="140">
        <v>65</v>
      </c>
      <c r="DH27" s="140">
        <v>65</v>
      </c>
      <c r="DI27" s="140">
        <v>65</v>
      </c>
      <c r="DJ27" s="140">
        <v>80</v>
      </c>
      <c r="DK27" s="140">
        <v>60</v>
      </c>
      <c r="DL27" s="140">
        <v>62</v>
      </c>
      <c r="DM27" s="140">
        <v>135</v>
      </c>
      <c r="DN27" s="140">
        <v>50</v>
      </c>
      <c r="DO27" s="140">
        <v>60</v>
      </c>
      <c r="DP27" s="140">
        <v>165</v>
      </c>
      <c r="DQ27" s="140">
        <v>68</v>
      </c>
      <c r="DR27" s="140">
        <v>75</v>
      </c>
      <c r="DS27" s="140">
        <v>109.2</v>
      </c>
      <c r="DT27" s="140">
        <v>76</v>
      </c>
      <c r="DU27" s="140">
        <v>55</v>
      </c>
    </row>
    <row r="28" spans="2:125" ht="14.25" x14ac:dyDescent="0.45">
      <c r="B28" s="134" t="s">
        <v>481</v>
      </c>
      <c r="C28" s="139">
        <f>C26+C27</f>
        <v>187.256</v>
      </c>
      <c r="D28" s="139">
        <f>D26+D27</f>
        <v>187.256</v>
      </c>
      <c r="E28" s="139">
        <f>E26+E27</f>
        <v>187.256</v>
      </c>
      <c r="F28" s="139">
        <f>F26+F27</f>
        <v>197.256</v>
      </c>
      <c r="G28" s="139">
        <f>G26+G27</f>
        <v>172.09399999999999</v>
      </c>
      <c r="H28" s="139">
        <f t="shared" ref="H28:I28" si="92">H26+H27</f>
        <v>172.09399999999999</v>
      </c>
      <c r="I28" s="139">
        <f t="shared" si="92"/>
        <v>172.09399999999999</v>
      </c>
      <c r="J28" s="139">
        <f t="shared" ref="J28:K28" si="93">J26+J27</f>
        <v>172.09399999999999</v>
      </c>
      <c r="K28" s="139">
        <f t="shared" si="93"/>
        <v>172.09399999999999</v>
      </c>
      <c r="L28" s="139">
        <f t="shared" ref="L28:M28" si="94">L26+L27</f>
        <v>172.09399999999999</v>
      </c>
      <c r="M28" s="139">
        <f t="shared" si="94"/>
        <v>172.09399999999999</v>
      </c>
      <c r="N28" s="139">
        <f t="shared" ref="N28:O28" si="95">N26+N27</f>
        <v>217.65699999999998</v>
      </c>
      <c r="O28" s="139">
        <f t="shared" si="95"/>
        <v>173.25700000000001</v>
      </c>
      <c r="P28" s="139">
        <f t="shared" ref="P28:R28" si="96">P26+P27</f>
        <v>173.25700000000001</v>
      </c>
      <c r="Q28" s="139">
        <f t="shared" si="96"/>
        <v>147.67700000000002</v>
      </c>
      <c r="R28" s="139">
        <f t="shared" si="96"/>
        <v>174.679</v>
      </c>
      <c r="S28" s="139">
        <f t="shared" ref="S28" si="97">S26+S27</f>
        <v>185.47899999999998</v>
      </c>
      <c r="T28" s="139">
        <f t="shared" ref="T28:U28" si="98">T26+T27</f>
        <v>165.679</v>
      </c>
      <c r="U28" s="139">
        <f t="shared" si="98"/>
        <v>217.65699999999998</v>
      </c>
      <c r="V28" s="139">
        <f t="shared" ref="V28:X28" si="99">V26+V27</f>
        <v>205.65699999999998</v>
      </c>
      <c r="W28" s="139">
        <f t="shared" si="99"/>
        <v>156.88400000000001</v>
      </c>
      <c r="X28" s="139">
        <f t="shared" si="99"/>
        <v>154.69</v>
      </c>
      <c r="Y28" s="139">
        <f t="shared" ref="Y28:Z28" si="100">Y26+Y27</f>
        <v>154.69</v>
      </c>
      <c r="Z28" s="139">
        <f t="shared" si="100"/>
        <v>170.69</v>
      </c>
      <c r="AA28" s="139">
        <f t="shared" ref="AA28:AD28" si="101">AA26+AA27</f>
        <v>170.69</v>
      </c>
      <c r="AB28" s="139">
        <f t="shared" si="101"/>
        <v>180.69</v>
      </c>
      <c r="AC28" s="139">
        <f t="shared" si="101"/>
        <v>175.25700000000001</v>
      </c>
      <c r="AD28" s="139">
        <f t="shared" si="101"/>
        <v>175.25700000000001</v>
      </c>
      <c r="AE28" s="139">
        <f t="shared" ref="AE28:AF28" si="102">AE26+AE27</f>
        <v>175.25700000000001</v>
      </c>
      <c r="AF28" s="139">
        <f t="shared" si="102"/>
        <v>220.447</v>
      </c>
      <c r="AG28" s="139">
        <f t="shared" ref="AG28:AH28" si="103">AG26+AG27</f>
        <v>150.447</v>
      </c>
      <c r="AH28" s="139">
        <f t="shared" si="103"/>
        <v>169.983</v>
      </c>
      <c r="AI28" s="139">
        <f t="shared" ref="AI28:AJ28" si="104">AI26+AI27</f>
        <v>155.447</v>
      </c>
      <c r="AJ28" s="139">
        <f t="shared" si="104"/>
        <v>156.51300000000001</v>
      </c>
      <c r="AK28" s="139">
        <f t="shared" ref="AK28:AL28" si="105">AK26+AK27</f>
        <v>156.51300000000001</v>
      </c>
      <c r="AL28" s="139">
        <f t="shared" si="105"/>
        <v>156.51300000000001</v>
      </c>
      <c r="AM28" s="139">
        <f t="shared" ref="AM28:AN28" si="106">AM26+AM27</f>
        <v>157.583</v>
      </c>
      <c r="AN28" s="139">
        <f t="shared" si="106"/>
        <v>162.583</v>
      </c>
      <c r="AO28" s="139">
        <f t="shared" ref="AO28:AP28" si="107">AO26+AO27</f>
        <v>171.08100000000002</v>
      </c>
      <c r="AP28" s="139">
        <f t="shared" si="107"/>
        <v>172.06100000000001</v>
      </c>
      <c r="AQ28" s="139">
        <f t="shared" ref="AQ28:AS28" si="108">AQ26+AQ27</f>
        <v>172.06100000000001</v>
      </c>
      <c r="AR28" s="139">
        <f t="shared" si="108"/>
        <v>166.03700000000001</v>
      </c>
      <c r="AS28" s="139">
        <f t="shared" si="108"/>
        <v>156.03700000000001</v>
      </c>
      <c r="AT28" s="139">
        <f t="shared" ref="AT28:AU28" si="109">AT26+AT27</f>
        <v>231.03700000000001</v>
      </c>
      <c r="AU28" s="139">
        <f t="shared" si="109"/>
        <v>241.03700000000001</v>
      </c>
      <c r="AV28" s="139">
        <f t="shared" ref="AV28:AW28" si="110">AV26+AV27</f>
        <v>161.03700000000001</v>
      </c>
      <c r="AW28" s="139">
        <f t="shared" si="110"/>
        <v>158.029</v>
      </c>
      <c r="AX28" s="139">
        <f t="shared" ref="AX28:AY28" si="111">AX26+AX27</f>
        <v>158.029</v>
      </c>
      <c r="AY28" s="139">
        <f t="shared" si="111"/>
        <v>158.029</v>
      </c>
      <c r="AZ28" s="139">
        <f t="shared" ref="AZ28:BA28" si="112">AZ26+AZ27</f>
        <v>146.03700000000001</v>
      </c>
      <c r="BA28" s="139">
        <f t="shared" si="112"/>
        <v>148.03700000000001</v>
      </c>
      <c r="BB28" s="139">
        <f t="shared" ref="BB28:BD28" si="113">BB26+BB27</f>
        <v>149.03700000000001</v>
      </c>
      <c r="BC28" s="139">
        <f t="shared" si="113"/>
        <v>148.53199999999998</v>
      </c>
      <c r="BD28" s="139">
        <f t="shared" si="113"/>
        <v>139.06700000000001</v>
      </c>
      <c r="BE28" s="139">
        <f t="shared" ref="BE28:BF28" si="114">BE26+BE27</f>
        <v>139.06700000000001</v>
      </c>
      <c r="BF28" s="139">
        <f t="shared" si="114"/>
        <v>142.06700000000001</v>
      </c>
      <c r="BG28" s="139">
        <f t="shared" ref="BG28:BH28" si="115">BG26+BG27</f>
        <v>148.06700000000001</v>
      </c>
      <c r="BH28" s="139">
        <f t="shared" si="115"/>
        <v>148.06700000000001</v>
      </c>
      <c r="BI28" s="139">
        <f t="shared" ref="BI28:BK28" si="116">BI26+BI27</f>
        <v>224.56700000000001</v>
      </c>
      <c r="BJ28" s="139">
        <f t="shared" si="116"/>
        <v>224.56700000000001</v>
      </c>
      <c r="BK28" s="139">
        <f t="shared" si="116"/>
        <v>160.03199999999998</v>
      </c>
      <c r="BL28" s="139">
        <f t="shared" ref="BL28" si="117">BL26+BL27</f>
        <v>225.03199999999998</v>
      </c>
      <c r="BM28" s="139">
        <f>BM26+BM27</f>
        <v>183.03399999999999</v>
      </c>
      <c r="BN28" s="139">
        <f t="shared" ref="BN28:BP28" si="118">BN26+BN27</f>
        <v>151.03199999999998</v>
      </c>
      <c r="BO28" s="139">
        <f t="shared" si="118"/>
        <v>151.03199999999998</v>
      </c>
      <c r="BP28" s="139">
        <f t="shared" si="118"/>
        <v>161.56700000000001</v>
      </c>
      <c r="BQ28" s="139">
        <f t="shared" ref="BQ28:BS28" si="119">BQ26+BQ27</f>
        <v>136.56700000000001</v>
      </c>
      <c r="BR28" s="139">
        <f t="shared" si="119"/>
        <v>136.56700000000001</v>
      </c>
      <c r="BS28" s="139">
        <f t="shared" si="119"/>
        <v>160.03199999999998</v>
      </c>
      <c r="BT28" s="139">
        <f t="shared" ref="BT28:BY28" si="120">BT26+BT27</f>
        <v>157.56700000000001</v>
      </c>
      <c r="BU28" s="139">
        <f t="shared" si="120"/>
        <v>157.56700000000001</v>
      </c>
      <c r="BV28" s="139">
        <f t="shared" si="120"/>
        <v>121.617</v>
      </c>
      <c r="BW28" s="139">
        <f t="shared" si="120"/>
        <v>121.417</v>
      </c>
      <c r="BX28" s="139">
        <f t="shared" si="120"/>
        <v>168.61700000000002</v>
      </c>
      <c r="BY28" s="139">
        <f t="shared" si="120"/>
        <v>163.53199999999998</v>
      </c>
      <c r="BZ28" s="139">
        <f t="shared" ref="BZ28:CA28" si="121">BZ26+BZ27</f>
        <v>167.577</v>
      </c>
      <c r="CA28" s="139">
        <f t="shared" si="121"/>
        <v>164.577</v>
      </c>
      <c r="CB28" s="139">
        <f t="shared" ref="CB28:CC28" si="122">CB26+CB27</f>
        <v>161.577</v>
      </c>
      <c r="CC28" s="139">
        <f t="shared" si="122"/>
        <v>232.577</v>
      </c>
      <c r="CD28" s="139">
        <f t="shared" ref="CD28:CE28" si="123">CD26+CD27</f>
        <v>165.577</v>
      </c>
      <c r="CE28" s="139">
        <f t="shared" si="123"/>
        <v>165.577</v>
      </c>
      <c r="CF28" s="139">
        <f t="shared" ref="CF28:CH28" si="124">CF26+CF27</f>
        <v>232.577</v>
      </c>
      <c r="CG28" s="139">
        <f>CG26+CG27</f>
        <v>219.59699999999998</v>
      </c>
      <c r="CH28" s="139">
        <f t="shared" si="124"/>
        <v>194.59699999999998</v>
      </c>
      <c r="CI28" s="139">
        <f t="shared" ref="CI28" si="125">CI26+CI27</f>
        <v>279.59699999999998</v>
      </c>
      <c r="CJ28" s="139">
        <f t="shared" ref="CJ28:CK28" si="126">CJ26+CJ27</f>
        <v>277.59699999999998</v>
      </c>
      <c r="CK28" s="139">
        <f t="shared" si="126"/>
        <v>209.59699999999998</v>
      </c>
      <c r="CL28" s="139">
        <f>CL26+CL27</f>
        <v>207.59699999999998</v>
      </c>
      <c r="CM28" s="139">
        <f t="shared" ref="CM28:CT28" si="127">CM26+CM27</f>
        <v>230.53199999999998</v>
      </c>
      <c r="CN28" s="139">
        <f t="shared" si="127"/>
        <v>237.19699999999997</v>
      </c>
      <c r="CO28" s="139">
        <f t="shared" si="127"/>
        <v>237.19699999999997</v>
      </c>
      <c r="CP28" s="139">
        <f t="shared" si="127"/>
        <v>237.19699999999997</v>
      </c>
      <c r="CQ28" s="139">
        <f t="shared" si="127"/>
        <v>309.59699999999998</v>
      </c>
      <c r="CR28" s="139">
        <f t="shared" si="127"/>
        <v>228</v>
      </c>
      <c r="CS28" s="139">
        <f t="shared" si="127"/>
        <v>215</v>
      </c>
      <c r="CT28" s="139">
        <f t="shared" si="127"/>
        <v>217</v>
      </c>
      <c r="CU28" s="139">
        <f t="shared" ref="CU28:CV28" si="128">CU26+CU27</f>
        <v>340</v>
      </c>
      <c r="CV28" s="139">
        <f t="shared" si="128"/>
        <v>240</v>
      </c>
      <c r="CW28" s="139">
        <f>CW26+CW27</f>
        <v>238</v>
      </c>
      <c r="CX28" s="139">
        <f>CX26+CX27</f>
        <v>305.53199999999998</v>
      </c>
      <c r="CY28" s="139">
        <f>CY26+CY27</f>
        <v>230.53199999999998</v>
      </c>
      <c r="CZ28" s="139">
        <f t="shared" ref="CZ28:DB28" si="129">CZ26+CZ27</f>
        <v>308</v>
      </c>
      <c r="DA28" s="139">
        <f t="shared" si="129"/>
        <v>233.53199999999998</v>
      </c>
      <c r="DB28" s="139">
        <f t="shared" si="129"/>
        <v>230.53199999999998</v>
      </c>
      <c r="DC28" s="139">
        <f t="shared" ref="DC28:DD28" si="130">DC26+DC27</f>
        <v>216.25399999999999</v>
      </c>
      <c r="DD28" s="139">
        <f t="shared" si="130"/>
        <v>281.25400000000002</v>
      </c>
      <c r="DE28" s="139">
        <f t="shared" ref="DE28:DF28" si="131">DE26+DE27</f>
        <v>281.25400000000002</v>
      </c>
      <c r="DF28" s="139">
        <f t="shared" si="131"/>
        <v>211.25399999999999</v>
      </c>
      <c r="DG28" s="139">
        <f t="shared" ref="DG28:DH28" si="132">DG26+DG27</f>
        <v>206.25399999999999</v>
      </c>
      <c r="DH28" s="139">
        <f t="shared" si="132"/>
        <v>206.25399999999999</v>
      </c>
      <c r="DI28" s="139">
        <f t="shared" ref="DI28:DJ28" si="133">DI26+DI27</f>
        <v>206.25399999999999</v>
      </c>
      <c r="DJ28" s="139">
        <f t="shared" si="133"/>
        <v>220.55699999999999</v>
      </c>
      <c r="DK28" s="139">
        <f>DK26+DK27</f>
        <v>201.25399999999999</v>
      </c>
      <c r="DL28" s="139">
        <f>DL26+DL27</f>
        <v>203.25399999999999</v>
      </c>
      <c r="DM28" s="139">
        <f t="shared" ref="DM28" si="134">DM26+DM27</f>
        <v>276.25400000000002</v>
      </c>
      <c r="DN28" s="139">
        <f>DN26+DN27</f>
        <v>191.25399999999999</v>
      </c>
      <c r="DO28" s="139">
        <f t="shared" ref="DO28:DR28" si="135">DO26+DO27</f>
        <v>201.25399999999999</v>
      </c>
      <c r="DP28" s="139">
        <f t="shared" si="135"/>
        <v>306.25400000000002</v>
      </c>
      <c r="DQ28" s="139">
        <f t="shared" si="135"/>
        <v>202.55699999999999</v>
      </c>
      <c r="DR28" s="139">
        <f t="shared" si="135"/>
        <v>208.274</v>
      </c>
      <c r="DS28" s="139">
        <f t="shared" ref="DS28:DT28" si="136">DS26+DS27</f>
        <v>244.75700000000001</v>
      </c>
      <c r="DT28" s="139">
        <f t="shared" si="136"/>
        <v>211.55699999999999</v>
      </c>
      <c r="DU28" s="139">
        <f t="shared" ref="DU28" si="137">DU26+DU27</f>
        <v>190.55699999999999</v>
      </c>
    </row>
    <row r="29" spans="2:125" ht="14.25" x14ac:dyDescent="0.45">
      <c r="B29" s="134" t="s">
        <v>482</v>
      </c>
      <c r="C29" s="136">
        <v>14.43</v>
      </c>
      <c r="D29" s="136">
        <v>14.43</v>
      </c>
      <c r="E29" s="140">
        <f>4000/21000*84</f>
        <v>16</v>
      </c>
      <c r="F29" s="140">
        <v>0</v>
      </c>
      <c r="G29" s="136">
        <v>0</v>
      </c>
      <c r="H29" s="136">
        <v>0</v>
      </c>
      <c r="I29" s="136">
        <v>0</v>
      </c>
      <c r="J29" s="136">
        <v>0</v>
      </c>
      <c r="K29" s="136">
        <v>0</v>
      </c>
      <c r="L29" s="136">
        <v>0</v>
      </c>
      <c r="M29" s="136">
        <v>0</v>
      </c>
      <c r="N29" s="136">
        <v>0</v>
      </c>
      <c r="O29" s="136">
        <v>0</v>
      </c>
      <c r="P29" s="136">
        <v>0</v>
      </c>
      <c r="Q29" s="140">
        <f>1850*87/20000</f>
        <v>8.0474999999999994</v>
      </c>
      <c r="R29" s="136">
        <v>0</v>
      </c>
      <c r="S29" s="136">
        <v>0</v>
      </c>
      <c r="T29" s="136">
        <v>0</v>
      </c>
      <c r="U29" s="136">
        <v>0</v>
      </c>
      <c r="V29" s="136">
        <v>0</v>
      </c>
      <c r="W29" s="136">
        <v>0</v>
      </c>
      <c r="X29" s="136">
        <v>0</v>
      </c>
      <c r="Y29" s="136">
        <f>2100/21000*85</f>
        <v>8.5</v>
      </c>
      <c r="Z29" s="136">
        <v>0</v>
      </c>
      <c r="AA29" s="136">
        <v>0</v>
      </c>
      <c r="AB29" s="136">
        <v>0</v>
      </c>
      <c r="AC29" s="136">
        <v>0</v>
      </c>
      <c r="AD29" s="136">
        <v>0</v>
      </c>
      <c r="AE29" s="136">
        <v>0</v>
      </c>
      <c r="AF29" s="136">
        <v>0</v>
      </c>
      <c r="AG29" s="136">
        <v>0</v>
      </c>
      <c r="AH29" s="136">
        <v>0</v>
      </c>
      <c r="AI29" s="136">
        <v>0</v>
      </c>
      <c r="AJ29" s="136">
        <v>0</v>
      </c>
      <c r="AK29" s="136">
        <v>0</v>
      </c>
      <c r="AL29" s="136">
        <v>0</v>
      </c>
      <c r="AM29" s="136">
        <v>0</v>
      </c>
      <c r="AN29" s="136">
        <v>0</v>
      </c>
      <c r="AO29" s="136">
        <v>0</v>
      </c>
      <c r="AP29" s="136">
        <v>0</v>
      </c>
      <c r="AQ29" s="136">
        <v>0</v>
      </c>
      <c r="AR29" s="136">
        <v>0</v>
      </c>
      <c r="AS29" s="136">
        <v>0</v>
      </c>
      <c r="AT29" s="136">
        <v>0</v>
      </c>
      <c r="AU29" s="136">
        <v>0</v>
      </c>
      <c r="AV29" s="136">
        <v>0</v>
      </c>
      <c r="AW29" s="136">
        <v>0</v>
      </c>
      <c r="AX29" s="136">
        <v>0</v>
      </c>
      <c r="AY29" s="136">
        <v>0</v>
      </c>
      <c r="AZ29" s="136">
        <f>3700/20000*88</f>
        <v>16.28</v>
      </c>
      <c r="BA29" s="136">
        <f>3700/20000*88</f>
        <v>16.28</v>
      </c>
      <c r="BB29" s="136">
        <v>0</v>
      </c>
      <c r="BC29" s="136">
        <v>0</v>
      </c>
      <c r="BD29" s="136">
        <v>0</v>
      </c>
      <c r="BE29" s="136">
        <v>0</v>
      </c>
      <c r="BF29" s="136">
        <v>0</v>
      </c>
      <c r="BG29" s="136">
        <v>0</v>
      </c>
      <c r="BH29" s="136">
        <v>0</v>
      </c>
      <c r="BI29" s="136">
        <v>0</v>
      </c>
      <c r="BJ29" s="136">
        <v>0</v>
      </c>
      <c r="BK29" s="136">
        <v>0</v>
      </c>
      <c r="BL29" s="136">
        <v>0</v>
      </c>
      <c r="BM29" s="136">
        <v>0</v>
      </c>
      <c r="BN29" s="136">
        <v>0</v>
      </c>
      <c r="BO29" s="136">
        <v>0</v>
      </c>
      <c r="BP29" s="136">
        <v>0</v>
      </c>
      <c r="BQ29" s="136">
        <v>0</v>
      </c>
      <c r="BR29" s="136">
        <v>0</v>
      </c>
      <c r="BS29" s="136">
        <v>0</v>
      </c>
      <c r="BT29" s="136">
        <v>0</v>
      </c>
      <c r="BU29" s="136">
        <v>0</v>
      </c>
      <c r="BV29" s="136">
        <v>0</v>
      </c>
      <c r="BW29" s="136">
        <v>0</v>
      </c>
      <c r="BX29" s="136">
        <v>0</v>
      </c>
      <c r="BY29" s="136">
        <v>0</v>
      </c>
      <c r="BZ29" s="136">
        <v>0</v>
      </c>
      <c r="CA29" s="136">
        <v>0</v>
      </c>
      <c r="CB29" s="136">
        <v>0</v>
      </c>
      <c r="CC29" s="136">
        <v>0</v>
      </c>
      <c r="CD29" s="136">
        <v>0</v>
      </c>
      <c r="CE29" s="136">
        <f>8</f>
        <v>8</v>
      </c>
      <c r="CF29" s="136">
        <f>8</f>
        <v>8</v>
      </c>
      <c r="CG29" s="140">
        <f>16-13</f>
        <v>3</v>
      </c>
      <c r="CH29" s="136">
        <v>0</v>
      </c>
      <c r="CI29" s="136">
        <v>0</v>
      </c>
      <c r="CJ29" s="136"/>
      <c r="CK29" s="136">
        <v>0</v>
      </c>
      <c r="CL29" s="136">
        <v>0</v>
      </c>
      <c r="CM29" s="136">
        <v>0</v>
      </c>
      <c r="CN29" s="136">
        <v>0</v>
      </c>
      <c r="CO29" s="136">
        <v>0</v>
      </c>
      <c r="CP29" s="136">
        <v>0</v>
      </c>
      <c r="CQ29" s="136">
        <v>0</v>
      </c>
      <c r="CR29" s="136">
        <f>8</f>
        <v>8</v>
      </c>
      <c r="CS29" s="136">
        <f>3700/20000*93</f>
        <v>17.204999999999998</v>
      </c>
      <c r="CT29" s="136">
        <f>3700/20000*93</f>
        <v>17.204999999999998</v>
      </c>
      <c r="CU29" s="136">
        <v>0</v>
      </c>
      <c r="CV29" s="136">
        <v>0</v>
      </c>
      <c r="CW29" s="136">
        <v>0</v>
      </c>
      <c r="CX29" s="136">
        <v>0</v>
      </c>
      <c r="CY29" s="136">
        <v>0</v>
      </c>
      <c r="CZ29" s="136"/>
      <c r="DA29" s="136"/>
      <c r="DB29" s="136">
        <v>0</v>
      </c>
      <c r="DC29" s="136"/>
      <c r="DD29" s="136"/>
      <c r="DE29" s="136"/>
      <c r="DF29" s="136"/>
      <c r="DG29" s="136"/>
      <c r="DH29" s="136"/>
      <c r="DI29" s="136"/>
      <c r="DJ29" s="136">
        <v>0</v>
      </c>
      <c r="DK29" s="136">
        <f>5100/20000*94</f>
        <v>23.97</v>
      </c>
      <c r="DL29" s="136">
        <f>5100/20000*94</f>
        <v>23.97</v>
      </c>
      <c r="DM29" s="136"/>
      <c r="DN29" s="136">
        <f>5100/20000*94</f>
        <v>23.97</v>
      </c>
      <c r="DO29" s="136">
        <f>5100/20000*94</f>
        <v>23.97</v>
      </c>
      <c r="DP29" s="136"/>
      <c r="DQ29" s="136">
        <v>0</v>
      </c>
      <c r="DR29" s="136">
        <v>0</v>
      </c>
      <c r="DS29" s="136">
        <v>0</v>
      </c>
      <c r="DT29" s="136"/>
      <c r="DU29" s="136"/>
    </row>
    <row r="30" spans="2:125" ht="14.25" x14ac:dyDescent="0.45">
      <c r="B30" s="134" t="s">
        <v>333</v>
      </c>
      <c r="C30" s="140">
        <v>83</v>
      </c>
      <c r="D30" s="140">
        <v>83</v>
      </c>
      <c r="E30" s="140">
        <v>83</v>
      </c>
      <c r="F30" s="140">
        <v>83</v>
      </c>
      <c r="G30" s="140">
        <v>83</v>
      </c>
      <c r="H30" s="140">
        <v>83</v>
      </c>
      <c r="I30" s="140">
        <v>83</v>
      </c>
      <c r="J30" s="140">
        <v>83</v>
      </c>
      <c r="K30" s="140">
        <v>83</v>
      </c>
      <c r="L30" s="140">
        <v>83</v>
      </c>
      <c r="M30" s="140">
        <v>83</v>
      </c>
      <c r="N30" s="140">
        <v>84</v>
      </c>
      <c r="O30" s="140">
        <v>84</v>
      </c>
      <c r="P30" s="140">
        <v>84</v>
      </c>
      <c r="Q30" s="140">
        <v>85</v>
      </c>
      <c r="R30" s="140">
        <v>84</v>
      </c>
      <c r="S30" s="140">
        <v>86</v>
      </c>
      <c r="T30" s="140">
        <v>86</v>
      </c>
      <c r="U30" s="140">
        <v>84</v>
      </c>
      <c r="V30" s="140">
        <v>84</v>
      </c>
      <c r="W30" s="140">
        <v>84</v>
      </c>
      <c r="X30" s="140">
        <v>85</v>
      </c>
      <c r="Y30" s="140">
        <v>85</v>
      </c>
      <c r="Z30" s="140">
        <v>84</v>
      </c>
      <c r="AA30" s="140">
        <v>84</v>
      </c>
      <c r="AB30" s="140">
        <v>84</v>
      </c>
      <c r="AC30" s="140">
        <v>83</v>
      </c>
      <c r="AD30" s="140">
        <v>83</v>
      </c>
      <c r="AE30" s="140">
        <v>83</v>
      </c>
      <c r="AF30" s="140">
        <v>83</v>
      </c>
      <c r="AG30" s="140">
        <v>83</v>
      </c>
      <c r="AH30" s="140">
        <v>83</v>
      </c>
      <c r="AI30" s="140">
        <v>83</v>
      </c>
      <c r="AJ30" s="140">
        <v>84</v>
      </c>
      <c r="AK30" s="140">
        <v>84</v>
      </c>
      <c r="AL30" s="140">
        <v>84</v>
      </c>
      <c r="AM30" s="140">
        <v>84</v>
      </c>
      <c r="AN30" s="140">
        <v>84</v>
      </c>
      <c r="AO30" s="140">
        <v>84</v>
      </c>
      <c r="AP30" s="140">
        <v>86</v>
      </c>
      <c r="AQ30" s="140">
        <v>86</v>
      </c>
      <c r="AR30" s="140">
        <v>86</v>
      </c>
      <c r="AS30" s="140">
        <v>86</v>
      </c>
      <c r="AT30" s="140">
        <v>86</v>
      </c>
      <c r="AU30" s="140">
        <v>86</v>
      </c>
      <c r="AV30" s="140">
        <v>86</v>
      </c>
      <c r="AW30" s="140">
        <v>84</v>
      </c>
      <c r="AX30" s="140">
        <v>84</v>
      </c>
      <c r="AY30" s="140">
        <v>84</v>
      </c>
      <c r="AZ30" s="140">
        <v>86</v>
      </c>
      <c r="BA30" s="140">
        <v>86</v>
      </c>
      <c r="BB30" s="140">
        <v>86</v>
      </c>
      <c r="BC30" s="140">
        <v>84</v>
      </c>
      <c r="BD30" s="140">
        <v>89</v>
      </c>
      <c r="BE30" s="140">
        <v>89</v>
      </c>
      <c r="BF30" s="140">
        <v>89</v>
      </c>
      <c r="BG30" s="140">
        <v>88</v>
      </c>
      <c r="BH30" s="140">
        <v>88</v>
      </c>
      <c r="BI30" s="140">
        <v>88</v>
      </c>
      <c r="BJ30" s="140">
        <v>88</v>
      </c>
      <c r="BK30" s="140">
        <v>84</v>
      </c>
      <c r="BL30" s="140">
        <v>84</v>
      </c>
      <c r="BM30" s="140">
        <v>83</v>
      </c>
      <c r="BN30" s="140">
        <v>84</v>
      </c>
      <c r="BO30" s="140">
        <v>84</v>
      </c>
      <c r="BP30" s="140">
        <v>86</v>
      </c>
      <c r="BQ30" s="140">
        <v>90</v>
      </c>
      <c r="BR30" s="140">
        <v>90</v>
      </c>
      <c r="BS30" s="140">
        <v>84</v>
      </c>
      <c r="BT30" s="140">
        <v>88</v>
      </c>
      <c r="BU30" s="140">
        <v>88</v>
      </c>
      <c r="BV30" s="140">
        <v>91</v>
      </c>
      <c r="BW30" s="140">
        <v>91</v>
      </c>
      <c r="BX30" s="140">
        <v>86</v>
      </c>
      <c r="BY30" s="140">
        <v>84</v>
      </c>
      <c r="BZ30" s="140">
        <v>87</v>
      </c>
      <c r="CA30" s="140">
        <v>86</v>
      </c>
      <c r="CB30" s="140">
        <v>86</v>
      </c>
      <c r="CC30" s="140">
        <v>86</v>
      </c>
      <c r="CD30" s="140">
        <v>86</v>
      </c>
      <c r="CE30" s="140">
        <v>86</v>
      </c>
      <c r="CF30" s="140">
        <v>86</v>
      </c>
      <c r="CG30" s="140">
        <v>86</v>
      </c>
      <c r="CH30" s="140">
        <v>86</v>
      </c>
      <c r="CI30" s="140">
        <v>86</v>
      </c>
      <c r="CJ30" s="140">
        <v>86</v>
      </c>
      <c r="CK30" s="140">
        <v>86</v>
      </c>
      <c r="CL30" s="140">
        <v>86</v>
      </c>
      <c r="CM30" s="140">
        <v>84</v>
      </c>
      <c r="CN30" s="140">
        <v>85</v>
      </c>
      <c r="CO30" s="140">
        <v>85</v>
      </c>
      <c r="CP30" s="140">
        <v>85</v>
      </c>
      <c r="CQ30" s="140">
        <v>86</v>
      </c>
      <c r="CR30" s="140">
        <v>86</v>
      </c>
      <c r="CS30" s="140">
        <v>86</v>
      </c>
      <c r="CT30" s="140">
        <v>86</v>
      </c>
      <c r="CU30" s="140">
        <v>86</v>
      </c>
      <c r="CV30" s="140">
        <v>86</v>
      </c>
      <c r="CW30" s="140">
        <v>86</v>
      </c>
      <c r="CX30" s="140">
        <v>86</v>
      </c>
      <c r="CY30" s="140">
        <v>86</v>
      </c>
      <c r="CZ30" s="140">
        <v>88</v>
      </c>
      <c r="DA30" s="140">
        <v>88</v>
      </c>
      <c r="DB30" s="140">
        <v>84</v>
      </c>
      <c r="DC30" s="140">
        <v>87</v>
      </c>
      <c r="DD30" s="140">
        <v>87</v>
      </c>
      <c r="DE30" s="140">
        <v>87</v>
      </c>
      <c r="DF30" s="140">
        <v>87</v>
      </c>
      <c r="DG30" s="140">
        <v>87</v>
      </c>
      <c r="DH30" s="140">
        <v>87</v>
      </c>
      <c r="DI30" s="140">
        <v>87</v>
      </c>
      <c r="DJ30" s="140">
        <v>84</v>
      </c>
      <c r="DK30" s="140">
        <v>86</v>
      </c>
      <c r="DL30" s="140">
        <v>88</v>
      </c>
      <c r="DM30" s="140">
        <v>88</v>
      </c>
      <c r="DN30" s="140">
        <v>90</v>
      </c>
      <c r="DO30" s="140">
        <v>88</v>
      </c>
      <c r="DP30" s="140">
        <v>88</v>
      </c>
      <c r="DQ30" s="140">
        <v>84</v>
      </c>
      <c r="DR30" s="140">
        <v>86</v>
      </c>
      <c r="DS30" s="140">
        <v>86</v>
      </c>
      <c r="DT30" s="140">
        <v>88</v>
      </c>
      <c r="DU30" s="140">
        <v>88</v>
      </c>
    </row>
    <row r="31" spans="2:125" ht="14.25" x14ac:dyDescent="0.45">
      <c r="B31" s="134" t="s">
        <v>334</v>
      </c>
      <c r="C31" s="136">
        <v>1.08</v>
      </c>
      <c r="D31" s="136">
        <v>1.08</v>
      </c>
      <c r="E31" s="136">
        <v>1.08</v>
      </c>
      <c r="F31" s="136">
        <v>1.08</v>
      </c>
      <c r="G31" s="136">
        <v>1.08</v>
      </c>
      <c r="H31" s="136">
        <v>1.08</v>
      </c>
      <c r="I31" s="136">
        <v>1.08</v>
      </c>
      <c r="J31" s="136">
        <v>1.08</v>
      </c>
      <c r="K31" s="136">
        <v>1.08</v>
      </c>
      <c r="L31" s="136">
        <v>1.08</v>
      </c>
      <c r="M31" s="136">
        <v>1.08</v>
      </c>
      <c r="N31" s="136">
        <v>1.08</v>
      </c>
      <c r="O31" s="136">
        <v>1.08</v>
      </c>
      <c r="P31" s="136">
        <v>1.08</v>
      </c>
      <c r="Q31" s="136">
        <v>1.08</v>
      </c>
      <c r="R31" s="136">
        <v>1.08</v>
      </c>
      <c r="S31" s="136">
        <v>1.08</v>
      </c>
      <c r="T31" s="136">
        <v>1.08</v>
      </c>
      <c r="U31" s="136">
        <v>1.08</v>
      </c>
      <c r="V31" s="136">
        <v>1.08</v>
      </c>
      <c r="W31" s="136">
        <v>1.08</v>
      </c>
      <c r="X31" s="136">
        <v>1.08</v>
      </c>
      <c r="Y31" s="136">
        <v>1.08</v>
      </c>
      <c r="Z31" s="136">
        <v>1.08</v>
      </c>
      <c r="AA31" s="136">
        <v>1.08</v>
      </c>
      <c r="AB31" s="136">
        <v>1.08</v>
      </c>
      <c r="AC31" s="136">
        <v>1.08</v>
      </c>
      <c r="AD31" s="136">
        <v>1.08</v>
      </c>
      <c r="AE31" s="136">
        <v>1.08</v>
      </c>
      <c r="AF31" s="136">
        <v>1.08</v>
      </c>
      <c r="AG31" s="136">
        <v>1.08</v>
      </c>
      <c r="AH31" s="136">
        <v>1.08</v>
      </c>
      <c r="AI31" s="136">
        <v>1.08</v>
      </c>
      <c r="AJ31" s="136">
        <v>1.08</v>
      </c>
      <c r="AK31" s="136">
        <v>1.08</v>
      </c>
      <c r="AL31" s="136">
        <v>1.08</v>
      </c>
      <c r="AM31" s="136">
        <v>1.08</v>
      </c>
      <c r="AN31" s="136">
        <v>1.08</v>
      </c>
      <c r="AO31" s="136">
        <v>1.08</v>
      </c>
      <c r="AP31" s="136">
        <v>1.08</v>
      </c>
      <c r="AQ31" s="136">
        <v>1.08</v>
      </c>
      <c r="AR31" s="136">
        <v>1.17</v>
      </c>
      <c r="AS31" s="136">
        <v>1.17</v>
      </c>
      <c r="AT31" s="136">
        <v>1.17</v>
      </c>
      <c r="AU31" s="136">
        <v>1.17</v>
      </c>
      <c r="AV31" s="136">
        <v>1.17</v>
      </c>
      <c r="AW31" s="136">
        <v>1.08</v>
      </c>
      <c r="AX31" s="136">
        <v>1.08</v>
      </c>
      <c r="AY31" s="136">
        <v>1.08</v>
      </c>
      <c r="AZ31" s="136">
        <v>1.08</v>
      </c>
      <c r="BA31" s="136">
        <v>1.08</v>
      </c>
      <c r="BB31" s="136">
        <v>1.08</v>
      </c>
      <c r="BC31" s="136">
        <v>1.08</v>
      </c>
      <c r="BD31" s="136">
        <v>1.08</v>
      </c>
      <c r="BE31" s="136">
        <v>1.08</v>
      </c>
      <c r="BF31" s="136">
        <v>1.08</v>
      </c>
      <c r="BG31" s="136">
        <v>1.08</v>
      </c>
      <c r="BH31" s="136">
        <v>1.08</v>
      </c>
      <c r="BI31" s="136">
        <v>1.08</v>
      </c>
      <c r="BJ31" s="136">
        <v>1.08</v>
      </c>
      <c r="BK31" s="136">
        <v>1.08</v>
      </c>
      <c r="BL31" s="136">
        <v>1.08</v>
      </c>
      <c r="BM31" s="136">
        <v>1.08</v>
      </c>
      <c r="BN31" s="136">
        <v>1.08</v>
      </c>
      <c r="BO31" s="136">
        <v>1.08</v>
      </c>
      <c r="BP31" s="136">
        <v>1.17</v>
      </c>
      <c r="BQ31" s="136">
        <v>1.17</v>
      </c>
      <c r="BR31" s="136">
        <v>1.17</v>
      </c>
      <c r="BS31" s="136">
        <v>1.08</v>
      </c>
      <c r="BT31" s="136">
        <v>1.17</v>
      </c>
      <c r="BU31" s="136">
        <v>1.17</v>
      </c>
      <c r="BV31" s="136">
        <v>1.17</v>
      </c>
      <c r="BW31" s="136">
        <v>1.17</v>
      </c>
      <c r="BX31" s="136">
        <v>1.17</v>
      </c>
      <c r="BY31" s="136">
        <v>1.08</v>
      </c>
      <c r="BZ31" s="136">
        <v>1.17</v>
      </c>
      <c r="CA31" s="136">
        <v>1.08</v>
      </c>
      <c r="CB31" s="136">
        <v>1.08</v>
      </c>
      <c r="CC31" s="136">
        <v>1.08</v>
      </c>
      <c r="CD31" s="136">
        <v>1.08</v>
      </c>
      <c r="CE31" s="136">
        <v>1.1599999999999999</v>
      </c>
      <c r="CF31" s="136">
        <v>1.1599999999999999</v>
      </c>
      <c r="CG31" s="136">
        <v>1.1399999999999999</v>
      </c>
      <c r="CH31" s="136">
        <v>1.1599999999999999</v>
      </c>
      <c r="CI31" s="136">
        <v>1.1599999999999999</v>
      </c>
      <c r="CJ31" s="136">
        <v>1.1599999999999999</v>
      </c>
      <c r="CK31" s="136">
        <v>1.08</v>
      </c>
      <c r="CL31" s="136">
        <v>1.08</v>
      </c>
      <c r="CM31" s="136">
        <v>1.08</v>
      </c>
      <c r="CN31" s="136">
        <v>1.08</v>
      </c>
      <c r="CO31" s="136">
        <v>1.08</v>
      </c>
      <c r="CP31" s="136">
        <v>1.08</v>
      </c>
      <c r="CQ31" s="136">
        <v>1.1599999999999999</v>
      </c>
      <c r="CR31" s="136">
        <v>1.1599999999999999</v>
      </c>
      <c r="CS31" s="136">
        <v>1.08</v>
      </c>
      <c r="CT31" s="136">
        <v>1.08</v>
      </c>
      <c r="CU31" s="136">
        <v>1.1599999999999999</v>
      </c>
      <c r="CV31" s="136">
        <v>1.08</v>
      </c>
      <c r="CW31" s="136">
        <v>1.08</v>
      </c>
      <c r="CX31" s="136">
        <v>1.08</v>
      </c>
      <c r="CY31" s="136">
        <v>1.08</v>
      </c>
      <c r="CZ31" s="136">
        <v>1.1599999999999999</v>
      </c>
      <c r="DA31" s="136">
        <v>1.1599999999999999</v>
      </c>
      <c r="DB31" s="136">
        <v>1.08</v>
      </c>
      <c r="DC31" s="136">
        <v>1.1599999999999999</v>
      </c>
      <c r="DD31" s="136">
        <v>1.1599999999999999</v>
      </c>
      <c r="DE31" s="136">
        <v>1.1599999999999999</v>
      </c>
      <c r="DF31" s="136">
        <v>1.1599999999999999</v>
      </c>
      <c r="DG31" s="136">
        <v>1.1599999999999999</v>
      </c>
      <c r="DH31" s="136">
        <v>1.1599999999999999</v>
      </c>
      <c r="DI31" s="136">
        <v>1.1599999999999999</v>
      </c>
      <c r="DJ31" s="136">
        <v>1.08</v>
      </c>
      <c r="DK31" s="136">
        <v>1.08</v>
      </c>
      <c r="DL31" s="136">
        <v>1.08</v>
      </c>
      <c r="DM31" s="136">
        <v>1.1599999999999999</v>
      </c>
      <c r="DN31" s="136">
        <v>1.08</v>
      </c>
      <c r="DO31" s="136">
        <v>1.1599999999999999</v>
      </c>
      <c r="DP31" s="136">
        <v>1.1599999999999999</v>
      </c>
      <c r="DQ31" s="136">
        <v>1.08</v>
      </c>
      <c r="DR31" s="136">
        <v>1.1599999999999999</v>
      </c>
      <c r="DS31" s="136">
        <v>1.1599999999999999</v>
      </c>
      <c r="DT31" s="136">
        <v>1.1599999999999999</v>
      </c>
      <c r="DU31" s="136">
        <v>1.1599999999999999</v>
      </c>
    </row>
    <row r="32" spans="2:125" ht="14.25" x14ac:dyDescent="0.45">
      <c r="B32" s="134" t="s">
        <v>335</v>
      </c>
      <c r="C32" s="140">
        <v>1.2</v>
      </c>
      <c r="D32" s="140">
        <v>1.2</v>
      </c>
      <c r="E32" s="140">
        <v>1.2</v>
      </c>
      <c r="F32" s="140">
        <v>1.2</v>
      </c>
      <c r="G32" s="140">
        <v>1.2</v>
      </c>
      <c r="H32" s="140">
        <v>1.2</v>
      </c>
      <c r="I32" s="140">
        <v>1.2</v>
      </c>
      <c r="J32" s="140">
        <v>1.2</v>
      </c>
      <c r="K32" s="140">
        <v>1.2</v>
      </c>
      <c r="L32" s="140">
        <v>1.2</v>
      </c>
      <c r="M32" s="140">
        <v>1.2</v>
      </c>
      <c r="N32" s="140">
        <v>1.2</v>
      </c>
      <c r="O32" s="140">
        <v>1.2</v>
      </c>
      <c r="P32" s="140">
        <v>1.2</v>
      </c>
      <c r="Q32" s="140">
        <v>1.2</v>
      </c>
      <c r="R32" s="140">
        <v>1.2</v>
      </c>
      <c r="S32" s="140">
        <v>1.2</v>
      </c>
      <c r="T32" s="140">
        <v>1.2</v>
      </c>
      <c r="U32" s="140">
        <v>1.2</v>
      </c>
      <c r="V32" s="140">
        <v>1.2</v>
      </c>
      <c r="W32" s="140">
        <v>1.2</v>
      </c>
      <c r="X32" s="140">
        <v>1.2</v>
      </c>
      <c r="Y32" s="140">
        <v>1.2</v>
      </c>
      <c r="Z32" s="140">
        <v>1.2</v>
      </c>
      <c r="AA32" s="140">
        <v>1.2</v>
      </c>
      <c r="AB32" s="140">
        <v>1.2</v>
      </c>
      <c r="AC32" s="140">
        <v>1.2</v>
      </c>
      <c r="AD32" s="140">
        <v>1.2</v>
      </c>
      <c r="AE32" s="140">
        <v>1.2</v>
      </c>
      <c r="AF32" s="140">
        <v>1.2</v>
      </c>
      <c r="AG32" s="140">
        <v>1.2</v>
      </c>
      <c r="AH32" s="140">
        <v>1.2</v>
      </c>
      <c r="AI32" s="140">
        <v>1.2</v>
      </c>
      <c r="AJ32" s="140">
        <v>1.2</v>
      </c>
      <c r="AK32" s="140">
        <v>1.2</v>
      </c>
      <c r="AL32" s="140">
        <v>1.2</v>
      </c>
      <c r="AM32" s="140">
        <v>1.2</v>
      </c>
      <c r="AN32" s="140">
        <v>1.2</v>
      </c>
      <c r="AO32" s="140">
        <v>1.2</v>
      </c>
      <c r="AP32" s="140">
        <v>1.2</v>
      </c>
      <c r="AQ32" s="140">
        <v>1.2</v>
      </c>
      <c r="AR32" s="140">
        <v>1.2</v>
      </c>
      <c r="AS32" s="140">
        <v>1.2</v>
      </c>
      <c r="AT32" s="140">
        <v>1.2</v>
      </c>
      <c r="AU32" s="140">
        <v>1.2</v>
      </c>
      <c r="AV32" s="140">
        <v>1.2</v>
      </c>
      <c r="AW32" s="140">
        <v>1.2</v>
      </c>
      <c r="AX32" s="140">
        <v>1.2</v>
      </c>
      <c r="AY32" s="140">
        <v>1.2</v>
      </c>
      <c r="AZ32" s="140">
        <v>1.2</v>
      </c>
      <c r="BA32" s="140">
        <v>1.2</v>
      </c>
      <c r="BB32" s="140">
        <v>1.2</v>
      </c>
      <c r="BC32" s="140">
        <v>1.2</v>
      </c>
      <c r="BD32" s="140">
        <v>1.2</v>
      </c>
      <c r="BE32" s="140">
        <v>1.2</v>
      </c>
      <c r="BF32" s="140">
        <v>1.2</v>
      </c>
      <c r="BG32" s="140">
        <v>1.2</v>
      </c>
      <c r="BH32" s="140">
        <v>1.2</v>
      </c>
      <c r="BI32" s="140">
        <v>1.2</v>
      </c>
      <c r="BJ32" s="140">
        <v>1.2</v>
      </c>
      <c r="BK32" s="140">
        <v>1.2</v>
      </c>
      <c r="BL32" s="140">
        <v>1.2</v>
      </c>
      <c r="BM32" s="140">
        <v>1.2</v>
      </c>
      <c r="BN32" s="140">
        <v>1.2</v>
      </c>
      <c r="BO32" s="140">
        <v>1.2</v>
      </c>
      <c r="BP32" s="140">
        <v>1.2</v>
      </c>
      <c r="BQ32" s="140">
        <v>1.2</v>
      </c>
      <c r="BR32" s="140">
        <v>1.2</v>
      </c>
      <c r="BS32" s="140">
        <v>1.2</v>
      </c>
      <c r="BT32" s="140">
        <v>1.2</v>
      </c>
      <c r="BU32" s="140">
        <v>1.2</v>
      </c>
      <c r="BV32" s="140">
        <v>1.2</v>
      </c>
      <c r="BW32" s="140">
        <v>1.2</v>
      </c>
      <c r="BX32" s="140">
        <v>1.2</v>
      </c>
      <c r="BY32" s="140">
        <v>1.2</v>
      </c>
      <c r="BZ32" s="140">
        <v>1.2</v>
      </c>
      <c r="CA32" s="140">
        <v>1.2</v>
      </c>
      <c r="CB32" s="140">
        <v>1.2</v>
      </c>
      <c r="CC32" s="140">
        <v>1.2</v>
      </c>
      <c r="CD32" s="140">
        <v>1.2</v>
      </c>
      <c r="CE32" s="140">
        <v>1.2</v>
      </c>
      <c r="CF32" s="140">
        <v>1.2</v>
      </c>
      <c r="CG32" s="140">
        <v>1.2</v>
      </c>
      <c r="CH32" s="140">
        <v>1.2</v>
      </c>
      <c r="CI32" s="140">
        <v>1.2</v>
      </c>
      <c r="CJ32" s="140">
        <v>1.2</v>
      </c>
      <c r="CK32" s="140">
        <v>1.2</v>
      </c>
      <c r="CL32" s="140">
        <v>1.2</v>
      </c>
      <c r="CM32" s="140">
        <v>1.2</v>
      </c>
      <c r="CN32" s="140">
        <v>1.2</v>
      </c>
      <c r="CO32" s="140">
        <v>1.2</v>
      </c>
      <c r="CP32" s="140">
        <v>1.2</v>
      </c>
      <c r="CQ32" s="140">
        <v>1.2</v>
      </c>
      <c r="CR32" s="140">
        <v>1.2</v>
      </c>
      <c r="CS32" s="140">
        <v>1.2</v>
      </c>
      <c r="CT32" s="140">
        <v>1.2</v>
      </c>
      <c r="CU32" s="140">
        <v>1.2</v>
      </c>
      <c r="CV32" s="140">
        <v>1.2</v>
      </c>
      <c r="CW32" s="140">
        <v>1.2</v>
      </c>
      <c r="CX32" s="140">
        <v>1.2</v>
      </c>
      <c r="CY32" s="140">
        <v>1.2</v>
      </c>
      <c r="CZ32" s="140">
        <v>1.2</v>
      </c>
      <c r="DA32" s="140">
        <v>1.2</v>
      </c>
      <c r="DB32" s="140">
        <v>1.2</v>
      </c>
      <c r="DC32" s="140">
        <v>1.2</v>
      </c>
      <c r="DD32" s="140">
        <v>1.2</v>
      </c>
      <c r="DE32" s="140">
        <v>1.2</v>
      </c>
      <c r="DF32" s="140">
        <v>1.2</v>
      </c>
      <c r="DG32" s="140">
        <v>1.2</v>
      </c>
      <c r="DH32" s="140">
        <v>1.2</v>
      </c>
      <c r="DI32" s="140">
        <v>1.2</v>
      </c>
      <c r="DJ32" s="140">
        <v>1.2</v>
      </c>
      <c r="DK32" s="140">
        <v>1.2</v>
      </c>
      <c r="DL32" s="140">
        <v>1.2</v>
      </c>
      <c r="DM32" s="140">
        <v>1.2</v>
      </c>
      <c r="DN32" s="140">
        <v>1.2</v>
      </c>
      <c r="DO32" s="140">
        <v>1.2</v>
      </c>
      <c r="DP32" s="140">
        <v>1.2</v>
      </c>
      <c r="DQ32" s="140">
        <v>1.2</v>
      </c>
      <c r="DR32" s="140">
        <v>1.2</v>
      </c>
      <c r="DS32" s="140">
        <v>1.2</v>
      </c>
      <c r="DT32" s="140">
        <v>1.2</v>
      </c>
      <c r="DU32" s="140">
        <v>1.2</v>
      </c>
    </row>
    <row r="33" spans="2:125" ht="14.25" x14ac:dyDescent="0.45">
      <c r="B33" s="134" t="s">
        <v>483</v>
      </c>
      <c r="C33" s="141">
        <f>(C28+C29)/C30*C23/1000</f>
        <v>0.19846631385542168</v>
      </c>
      <c r="D33" s="141">
        <f>(D28+D29)/D30*D23/1000</f>
        <v>0.20422627161927714</v>
      </c>
      <c r="E33" s="141">
        <f>(E28+E29)/E30*E23/1000</f>
        <v>0.1139898829879518</v>
      </c>
      <c r="F33" s="141">
        <f>(F28+F29)/F30*F23/1000</f>
        <v>0.10368630928192771</v>
      </c>
      <c r="G33" s="141">
        <f>(G28+G29)/G30*G23/1000</f>
        <v>0.11059423934939758</v>
      </c>
      <c r="H33" s="141">
        <f t="shared" ref="H33:I33" si="138">(H28+H29)/H30*H23/1000</f>
        <v>0.11059423934939758</v>
      </c>
      <c r="I33" s="141">
        <f t="shared" si="138"/>
        <v>0.11611802133084337</v>
      </c>
      <c r="J33" s="141">
        <f t="shared" ref="J33:K33" si="139">(J28+J29)/J30*J23/1000</f>
        <v>0.14501262466506024</v>
      </c>
      <c r="K33" s="141">
        <f t="shared" si="139"/>
        <v>0.13596587116144576</v>
      </c>
      <c r="L33" s="141">
        <f t="shared" ref="L33:M33" si="140">(L28+L29)/L30*L23/1000</f>
        <v>0.10429725768674698</v>
      </c>
      <c r="M33" s="141">
        <f t="shared" si="140"/>
        <v>0.12485316028915662</v>
      </c>
      <c r="N33" s="141">
        <f t="shared" ref="N33:O33" si="141">(N28+N29)/N30*N23/1000</f>
        <v>0.29760448902380954</v>
      </c>
      <c r="O33" s="141">
        <f t="shared" si="141"/>
        <v>0.16822264660000003</v>
      </c>
      <c r="P33" s="141">
        <f t="shared" ref="P33:R33" si="142">(P28+P29)/P30*P23/1000</f>
        <v>0.16822264660000003</v>
      </c>
      <c r="Q33" s="141">
        <f t="shared" si="142"/>
        <v>0.12300769857647061</v>
      </c>
      <c r="R33" s="141">
        <f t="shared" si="142"/>
        <v>0.10349824328035714</v>
      </c>
      <c r="S33" s="141">
        <f t="shared" ref="S33" si="143">(S28+S29)/S30*S23/1000</f>
        <v>0.11496247227906978</v>
      </c>
      <c r="T33" s="141">
        <f t="shared" ref="T33:U33" si="144">(T28+T29)/T30*T23/1000</f>
        <v>9.7060923000000007E-2</v>
      </c>
      <c r="U33" s="141">
        <f t="shared" si="144"/>
        <v>0.18774730058333333</v>
      </c>
      <c r="V33" s="141">
        <f t="shared" ref="V33:X33" si="145">(V28+V29)/V30*V23/1000</f>
        <v>0.12810460024552855</v>
      </c>
      <c r="W33" s="141">
        <f t="shared" si="145"/>
        <v>0.18788820050000002</v>
      </c>
      <c r="X33" s="141">
        <f t="shared" si="145"/>
        <v>0.15585472470588235</v>
      </c>
      <c r="Y33" s="141">
        <f t="shared" ref="Y33:Z33" si="146">(Y28+Y29)/Y30*Y23/1000</f>
        <v>8.4543939294117645E-2</v>
      </c>
      <c r="Z33" s="141">
        <f t="shared" si="146"/>
        <v>9.5554700428571421E-2</v>
      </c>
      <c r="AA33" s="141">
        <f t="shared" ref="AA33:AD33" si="147">(AA28+AA29)/AA30*AA23/1000</f>
        <v>0.15694335892857142</v>
      </c>
      <c r="AB33" s="141">
        <f t="shared" si="147"/>
        <v>7.7930091249999986E-2</v>
      </c>
      <c r="AC33" s="141">
        <f t="shared" si="147"/>
        <v>0.11262690509638554</v>
      </c>
      <c r="AD33" s="141">
        <f t="shared" si="147"/>
        <v>0.11825221137506023</v>
      </c>
      <c r="AE33" s="141">
        <f t="shared" ref="AE33:AF33" si="148">(AE28+AE29)/AE30*AE23/1000</f>
        <v>0.11262690509638554</v>
      </c>
      <c r="AF33" s="141">
        <f t="shared" si="148"/>
        <v>0.25892296946385546</v>
      </c>
      <c r="AG33" s="141">
        <f t="shared" ref="AG33:AH33" si="149">(AG28+AG29)/AG30*AG23/1000</f>
        <v>0.153614725026506</v>
      </c>
      <c r="AH33" s="141">
        <f t="shared" si="149"/>
        <v>0.19477661798060242</v>
      </c>
      <c r="AI33" s="141">
        <f t="shared" ref="AI33:AJ33" si="150">(AI28+AI29)/AI30*AI23/1000</f>
        <v>0.1781204057772289</v>
      </c>
      <c r="AJ33" s="141">
        <f t="shared" si="150"/>
        <v>0.13290338659999998</v>
      </c>
      <c r="AK33" s="141">
        <f t="shared" ref="AK33:AL33" si="151">(AK28+AK29)/AK30*AK23/1000</f>
        <v>0.13557901359999999</v>
      </c>
      <c r="AL33" s="141">
        <f t="shared" si="151"/>
        <v>0.14093026760000002</v>
      </c>
      <c r="AM33" s="141">
        <f t="shared" ref="AM33:AN33" si="152">(AM28+AM29)/AM30*AM23/1000</f>
        <v>8.820328499890949E-2</v>
      </c>
      <c r="AN33" s="141">
        <f t="shared" si="152"/>
        <v>0.13284889191428573</v>
      </c>
      <c r="AO33" s="141">
        <f t="shared" ref="AO33:AP33" si="153">(AO28+AO29)/AO30*AO23/1000</f>
        <v>0.12641846053388575</v>
      </c>
      <c r="AP33" s="141">
        <f t="shared" si="153"/>
        <v>0.30204892402465122</v>
      </c>
      <c r="AQ33" s="141">
        <f t="shared" ref="AQ33:AR33" si="154">(AQ28+AQ29)/AQ30*AQ23/1000</f>
        <v>0.12451454357209303</v>
      </c>
      <c r="AR33" s="141">
        <f t="shared" si="154"/>
        <v>0.19558745021139629</v>
      </c>
      <c r="AS33" s="141">
        <f t="shared" ref="AS33:AT33" si="155">(AS28+AS29)/AS30*AS23/1000</f>
        <v>0.19610947886046515</v>
      </c>
      <c r="AT33" s="141">
        <f t="shared" si="155"/>
        <v>0.32810267216791722</v>
      </c>
      <c r="AU33" s="141">
        <f t="shared" ref="AU33:AW33" si="156">(AU28+AU29)/AU30*AU23/1000</f>
        <v>0.43835763602606181</v>
      </c>
      <c r="AV33" s="141">
        <f t="shared" si="156"/>
        <v>0.16489046560813952</v>
      </c>
      <c r="AW33" s="141">
        <f t="shared" si="156"/>
        <v>0.1078585550952381</v>
      </c>
      <c r="AX33" s="141">
        <f t="shared" ref="AX33:AY33" si="157">(AX28+AX29)/AX30*AX23/1000</f>
        <v>0.12812013045238094</v>
      </c>
      <c r="AY33" s="141">
        <f t="shared" si="157"/>
        <v>0.11542137152380953</v>
      </c>
      <c r="AZ33" s="141">
        <f t="shared" ref="AZ33:BA33" si="158">(AZ28+AZ29)/AZ30*AZ23/1000</f>
        <v>0.13888295497674419</v>
      </c>
      <c r="BA33" s="141">
        <f t="shared" si="158"/>
        <v>0.12107335119069769</v>
      </c>
      <c r="BB33" s="141">
        <f t="shared" ref="BB33:BD33" si="159">(BB28+BB29)/BB30*BB23/1000</f>
        <v>0.15855283915116281</v>
      </c>
      <c r="BC33" s="141">
        <f t="shared" si="159"/>
        <v>0.10611550457142856</v>
      </c>
      <c r="BD33" s="141">
        <f t="shared" si="159"/>
        <v>0.12502604565573036</v>
      </c>
      <c r="BE33" s="141">
        <f t="shared" ref="BE33:BF33" si="160">(BE28+BE29)/BE30*BE23/1000</f>
        <v>0.11250978127314606</v>
      </c>
      <c r="BF33" s="141">
        <f t="shared" si="160"/>
        <v>8.3029892881348336E-2</v>
      </c>
      <c r="BG33" s="141">
        <f t="shared" ref="BG33:BH33" si="161">(BG28+BG29)/BG30*BG23/1000</f>
        <v>0.1321161459090909</v>
      </c>
      <c r="BH33" s="141">
        <f t="shared" si="161"/>
        <v>0.18118077118318182</v>
      </c>
      <c r="BI33" s="141">
        <f t="shared" ref="BI33:BK33" si="162">(BI28+BI29)/BI30*BI23/1000</f>
        <v>0.23960278140909091</v>
      </c>
      <c r="BJ33" s="141">
        <f t="shared" si="162"/>
        <v>0.32689697602863638</v>
      </c>
      <c r="BK33" s="141">
        <f t="shared" si="162"/>
        <v>0.15018545965714286</v>
      </c>
      <c r="BL33" s="141">
        <f t="shared" ref="BL33" si="163">(BL28+BL29)/BL30*BL23/1000</f>
        <v>0.24255449173333329</v>
      </c>
      <c r="BM33" s="141">
        <f>(BM28+BM29)/BM30*BM23/1000</f>
        <v>0.11172042523373495</v>
      </c>
      <c r="BN33" s="141">
        <f t="shared" ref="BN33:BP33" si="164">(BN28+BN29)/BN30*BN23/1000</f>
        <v>0.10790157599999999</v>
      </c>
      <c r="BO33" s="141">
        <f t="shared" si="164"/>
        <v>0.11174210399999999</v>
      </c>
      <c r="BP33" s="141">
        <f t="shared" si="164"/>
        <v>0.16039620285581396</v>
      </c>
      <c r="BQ33" s="141">
        <f t="shared" ref="BQ33:BS33" si="165">(BQ28+BQ29)/BQ30*BQ23/1000</f>
        <v>0.12203407095388891</v>
      </c>
      <c r="BR33" s="141">
        <f t="shared" si="165"/>
        <v>0.10930585963866669</v>
      </c>
      <c r="BS33" s="141">
        <f t="shared" si="165"/>
        <v>0.12039359771428572</v>
      </c>
      <c r="BT33" s="141">
        <f t="shared" ref="BT33:BY33" si="166">(BT28+BT29)/BT30*BT23/1000</f>
        <v>0.16678466950000004</v>
      </c>
      <c r="BU33" s="141">
        <f t="shared" si="166"/>
        <v>0.15408745510113639</v>
      </c>
      <c r="BV33" s="141">
        <f t="shared" si="166"/>
        <v>0.10691943118996153</v>
      </c>
      <c r="BW33" s="141">
        <f t="shared" si="166"/>
        <v>9.6069602815208779E-2</v>
      </c>
      <c r="BX33" s="141">
        <f t="shared" si="166"/>
        <v>0.1886185704870279</v>
      </c>
      <c r="BY33" s="141">
        <f t="shared" si="166"/>
        <v>0.15574117977523808</v>
      </c>
      <c r="BZ33" s="141">
        <f t="shared" ref="BZ33:CA33" si="167">(BZ28+BZ29)/BZ30*BZ23/1000</f>
        <v>0.18700899777931032</v>
      </c>
      <c r="CA33" s="141">
        <f t="shared" si="167"/>
        <v>0.16519244143255815</v>
      </c>
      <c r="CB33" s="141">
        <f t="shared" ref="CB33:CC33" si="168">(CB28+CB29)/CB30*CB23/1000</f>
        <v>0.21263815020348839</v>
      </c>
      <c r="CC33" s="141">
        <f t="shared" si="168"/>
        <v>0.25859803928604652</v>
      </c>
      <c r="CD33" s="141">
        <f t="shared" ref="CD33:CE33" si="169">(CD28+CD29)/CD30*CD23/1000</f>
        <v>0.15335202652093025</v>
      </c>
      <c r="CE33" s="141">
        <f t="shared" si="169"/>
        <v>0.18039050275116278</v>
      </c>
      <c r="CF33" s="141">
        <f t="shared" ref="CF33:CH33" si="170">(CF28+CF29)/CF30*CF23/1000</f>
        <v>0.26919111648372096</v>
      </c>
      <c r="CG33" s="141">
        <f>(CG28+CG29)/CG30*CG23/1000</f>
        <v>0.119827588772093</v>
      </c>
      <c r="CH33" s="141">
        <f t="shared" si="170"/>
        <v>0.18183234190232556</v>
      </c>
      <c r="CI33" s="141">
        <f t="shared" ref="CI33" si="171">(CI28+CI29)/CI30*CI23/1000</f>
        <v>0.34019542328372093</v>
      </c>
      <c r="CJ33" s="141">
        <f t="shared" ref="CJ33:CK33" si="172">(CJ28+CJ29)/CJ30*CJ23/1000</f>
        <v>0.31061425806511622</v>
      </c>
      <c r="CK33" s="141">
        <f t="shared" si="172"/>
        <v>0.21038079529302325</v>
      </c>
      <c r="CL33" s="141">
        <f>(CL28+CL29)/CL30*CL23/1000</f>
        <v>0.27320127287790702</v>
      </c>
      <c r="CM33" s="141">
        <f t="shared" ref="CM33:CT33" si="173">(CM28+CM29)/CM30*CM23/1000</f>
        <v>0.17343141914285712</v>
      </c>
      <c r="CN33" s="141">
        <f t="shared" si="173"/>
        <v>0.14803593135435292</v>
      </c>
      <c r="CO33" s="141">
        <f t="shared" si="173"/>
        <v>0.1558271272605882</v>
      </c>
      <c r="CP33" s="141">
        <f t="shared" si="173"/>
        <v>0.14803593135435292</v>
      </c>
      <c r="CQ33" s="141">
        <f t="shared" si="173"/>
        <v>0.37669746979534879</v>
      </c>
      <c r="CR33" s="141">
        <f t="shared" si="173"/>
        <v>0.24526382325581395</v>
      </c>
      <c r="CS33" s="141">
        <f t="shared" si="173"/>
        <v>0.19868107813953489</v>
      </c>
      <c r="CT33" s="141">
        <f t="shared" si="173"/>
        <v>0.17256877995348835</v>
      </c>
      <c r="CU33" s="141">
        <f t="shared" ref="CU33:CV33" si="174">(CU28+CU29)/CU30*CU23/1000</f>
        <v>0.4136898604651163</v>
      </c>
      <c r="CV33" s="141">
        <f t="shared" si="174"/>
        <v>0.24089748837209304</v>
      </c>
      <c r="CW33" s="141">
        <f>(CW28+CW29)/CW30*CW23/1000</f>
        <v>0.31321215116279072</v>
      </c>
      <c r="CX33" s="141">
        <f>(CX28+CX29)/CX30*CX23/1000</f>
        <v>0.43432794879069764</v>
      </c>
      <c r="CY33" s="141">
        <f>(CY28+CY29)/CY30*CY23/1000</f>
        <v>0.21449131537953486</v>
      </c>
      <c r="CZ33" s="141">
        <f t="shared" ref="CZ33:DB33" si="175">(CZ28+CZ29)/CZ30*CZ23/1000</f>
        <v>0.33680080000000001</v>
      </c>
      <c r="DA33" s="141">
        <f t="shared" si="175"/>
        <v>0.18046375310127272</v>
      </c>
      <c r="DB33" s="141">
        <f t="shared" si="175"/>
        <v>0.21954497661257144</v>
      </c>
      <c r="DC33" s="141">
        <f t="shared" ref="DC33:DD33" si="176">(DC28+DC29)/DC30*DC23/1000</f>
        <v>0.16157618949931032</v>
      </c>
      <c r="DD33" s="141">
        <f t="shared" si="176"/>
        <v>0.25858040167356316</v>
      </c>
      <c r="DE33" s="141">
        <f t="shared" ref="DE33:DF33" si="177">(DE28+DE29)/DE30*DE23/1000</f>
        <v>0.22355296385747128</v>
      </c>
      <c r="DF33" s="141">
        <f t="shared" si="177"/>
        <v>0.22214887870344824</v>
      </c>
      <c r="DG33" s="141">
        <f t="shared" ref="DG33:DH33" si="178">(DG28+DG29)/DG30*DG23/1000</f>
        <v>0.18731182229885054</v>
      </c>
      <c r="DH33" s="141">
        <f t="shared" si="178"/>
        <v>0.18019961540229887</v>
      </c>
      <c r="DI33" s="141">
        <f t="shared" ref="DI33:DJ33" si="179">(DI28+DI29)/DI30*DI23/1000</f>
        <v>0.17073184558160917</v>
      </c>
      <c r="DJ33" s="141">
        <f t="shared" si="179"/>
        <v>0.15757222242857141</v>
      </c>
      <c r="DK33" s="141">
        <f>(DK28+DK29)/DK30*DK23/1000</f>
        <v>0.19270793972093023</v>
      </c>
      <c r="DL33" s="141">
        <f>(DL28+DL29)/DL30*DL23/1000</f>
        <v>0.16361987105454545</v>
      </c>
      <c r="DM33" s="141">
        <f t="shared" ref="DM33" si="180">(DM28+DM29)/DM30*DM23/1000</f>
        <v>0.36866724149999996</v>
      </c>
      <c r="DN33" s="141">
        <f>(DN28+DN29)/DN30*DN23/1000</f>
        <v>0.17469473811199998</v>
      </c>
      <c r="DO33" s="141">
        <f t="shared" ref="DO33:DR33" si="181">(DO28+DO29)/DO30*DO23/1000</f>
        <v>0.20566739058181818</v>
      </c>
      <c r="DP33" s="141">
        <f t="shared" si="181"/>
        <v>0.32017720298096591</v>
      </c>
      <c r="DQ33" s="141">
        <f t="shared" si="181"/>
        <v>0.1523855602142857</v>
      </c>
      <c r="DR33" s="141">
        <f t="shared" si="181"/>
        <v>0.25384192940930234</v>
      </c>
      <c r="DS33" s="141">
        <f t="shared" ref="DS33:DT33" si="182">(DS28+DS29)/DS30*DS23/1000</f>
        <v>0.45407887842325589</v>
      </c>
      <c r="DT33" s="141">
        <f t="shared" si="182"/>
        <v>0.10619392101818181</v>
      </c>
      <c r="DU33" s="141">
        <f t="shared" ref="DU33" si="183">(DU28+DU29)/DU30*DU23/1000</f>
        <v>0.15297656109545454</v>
      </c>
    </row>
    <row r="34" spans="2:125" ht="14.25" x14ac:dyDescent="0.45">
      <c r="B34" s="134" t="s">
        <v>484</v>
      </c>
      <c r="C34" s="141">
        <f>C33/C31</f>
        <v>0.18376510542168673</v>
      </c>
      <c r="D34" s="141">
        <f>D33/D31</f>
        <v>0.18909839964747882</v>
      </c>
      <c r="E34" s="141">
        <f>E33/E31</f>
        <v>0.10554618795180722</v>
      </c>
      <c r="F34" s="141">
        <f>F33/F31</f>
        <v>9.6005841927710833E-2</v>
      </c>
      <c r="G34" s="141">
        <f>G33/G31</f>
        <v>0.10240207347166441</v>
      </c>
      <c r="H34" s="141">
        <f t="shared" ref="H34:I34" si="184">H33/H31</f>
        <v>0.10240207347166441</v>
      </c>
      <c r="I34" s="141">
        <f t="shared" si="184"/>
        <v>0.10751668641744756</v>
      </c>
      <c r="J34" s="141">
        <f t="shared" ref="J34:K34" si="185">J33/J31</f>
        <v>0.13427094876394466</v>
      </c>
      <c r="K34" s="141">
        <f t="shared" si="185"/>
        <v>0.12589432514948681</v>
      </c>
      <c r="L34" s="141">
        <f t="shared" ref="L34:M34" si="186">L33/L31</f>
        <v>9.6571534895136091E-2</v>
      </c>
      <c r="M34" s="141">
        <f t="shared" si="186"/>
        <v>0.11560477804551537</v>
      </c>
      <c r="N34" s="141">
        <f t="shared" ref="N34:O34" si="187">N33/N31</f>
        <v>0.27555971205908286</v>
      </c>
      <c r="O34" s="141">
        <f t="shared" si="187"/>
        <v>0.15576170981481482</v>
      </c>
      <c r="P34" s="141">
        <f t="shared" ref="P34:R34" si="188">P33/P31</f>
        <v>0.15576170981481482</v>
      </c>
      <c r="Q34" s="141">
        <f t="shared" si="188"/>
        <v>0.11389601720043574</v>
      </c>
      <c r="R34" s="141">
        <f t="shared" si="188"/>
        <v>9.5831706741071429E-2</v>
      </c>
      <c r="S34" s="141">
        <f t="shared" ref="S34" si="189">S33/S31</f>
        <v>0.10644673359173126</v>
      </c>
      <c r="T34" s="141">
        <f t="shared" ref="T34:U34" si="190">T33/T31</f>
        <v>8.9871224999999999E-2</v>
      </c>
      <c r="U34" s="141">
        <f t="shared" si="190"/>
        <v>0.17384009313271603</v>
      </c>
      <c r="V34" s="141">
        <f t="shared" ref="V34:X34" si="191">V33/V31</f>
        <v>0.11861537059771161</v>
      </c>
      <c r="W34" s="141">
        <f t="shared" si="191"/>
        <v>0.17397055601851852</v>
      </c>
      <c r="X34" s="141">
        <f t="shared" si="191"/>
        <v>0.14430993028322439</v>
      </c>
      <c r="Y34" s="141">
        <f t="shared" ref="Y34:Z34" si="192">Y33/Y31</f>
        <v>7.8281425272331145E-2</v>
      </c>
      <c r="Z34" s="141">
        <f t="shared" si="192"/>
        <v>8.8476574470899461E-2</v>
      </c>
      <c r="AA34" s="141">
        <f t="shared" ref="AA34:AD34" si="193">AA33/AA31</f>
        <v>0.14531792493386242</v>
      </c>
      <c r="AB34" s="141">
        <f t="shared" si="193"/>
        <v>7.2157491898148129E-2</v>
      </c>
      <c r="AC34" s="141">
        <f t="shared" si="193"/>
        <v>0.10428417138554216</v>
      </c>
      <c r="AD34" s="141">
        <f t="shared" si="193"/>
        <v>0.10949278831024095</v>
      </c>
      <c r="AE34" s="141">
        <f t="shared" ref="AE34:AF34" si="194">AE33/AE31</f>
        <v>0.10428417138554216</v>
      </c>
      <c r="AF34" s="141">
        <f t="shared" si="194"/>
        <v>0.2397434902443106</v>
      </c>
      <c r="AG34" s="141">
        <f t="shared" ref="AG34:AH34" si="195">AG33/AG31</f>
        <v>0.14223585650602408</v>
      </c>
      <c r="AH34" s="141">
        <f t="shared" si="195"/>
        <v>0.18034872035240965</v>
      </c>
      <c r="AI34" s="141">
        <f t="shared" ref="AI34:AJ34" si="196">AI33/AI31</f>
        <v>0.16492630164558231</v>
      </c>
      <c r="AJ34" s="141">
        <f t="shared" si="196"/>
        <v>0.12305869129629626</v>
      </c>
      <c r="AK34" s="141">
        <f t="shared" ref="AK34:AL34" si="197">AK33/AK31</f>
        <v>0.12553612370370368</v>
      </c>
      <c r="AL34" s="141">
        <f t="shared" si="197"/>
        <v>0.13049098851851854</v>
      </c>
      <c r="AM34" s="141">
        <f t="shared" ref="AM34:AN34" si="198">AM33/AM31</f>
        <v>8.1669708332323593E-2</v>
      </c>
      <c r="AN34" s="141">
        <f t="shared" si="198"/>
        <v>0.12300823325396826</v>
      </c>
      <c r="AO34" s="141">
        <f t="shared" ref="AO34:AP34" si="199">AO33/AO31</f>
        <v>0.11705413012396829</v>
      </c>
      <c r="AP34" s="141">
        <f t="shared" si="199"/>
        <v>0.27967492965245483</v>
      </c>
      <c r="AQ34" s="141">
        <f t="shared" ref="AQ34:AR34" si="200">AQ33/AQ31</f>
        <v>0.11529124404823428</v>
      </c>
      <c r="AR34" s="141">
        <f t="shared" si="200"/>
        <v>0.16716876086444127</v>
      </c>
      <c r="AS34" s="141">
        <f t="shared" ref="AS34:AT34" si="201">AS33/AS31</f>
        <v>0.16761493919697876</v>
      </c>
      <c r="AT34" s="141">
        <f t="shared" si="201"/>
        <v>0.28042963433155321</v>
      </c>
      <c r="AU34" s="141">
        <f t="shared" ref="AU34:AW34" si="202">AU33/AU31</f>
        <v>0.37466464617612122</v>
      </c>
      <c r="AV34" s="141">
        <f t="shared" si="202"/>
        <v>0.14093202188729875</v>
      </c>
      <c r="AW34" s="141">
        <f t="shared" si="202"/>
        <v>9.9869032495590829E-2</v>
      </c>
      <c r="AX34" s="141">
        <f t="shared" ref="AX34:AY34" si="203">AX33/AX31</f>
        <v>0.11862975041887124</v>
      </c>
      <c r="AY34" s="141">
        <f t="shared" si="203"/>
        <v>0.10687164029982363</v>
      </c>
      <c r="AZ34" s="141">
        <f t="shared" ref="AZ34:BA34" si="204">AZ33/AZ31</f>
        <v>0.12859532868217052</v>
      </c>
      <c r="BA34" s="141">
        <f t="shared" si="204"/>
        <v>0.11210495480620156</v>
      </c>
      <c r="BB34" s="141">
        <f t="shared" ref="BB34:BD34" si="205">BB33/BB31</f>
        <v>0.1468081843992248</v>
      </c>
      <c r="BC34" s="141">
        <f t="shared" si="205"/>
        <v>9.8255096825396807E-2</v>
      </c>
      <c r="BD34" s="141">
        <f t="shared" si="205"/>
        <v>0.11576485708863922</v>
      </c>
      <c r="BE34" s="141">
        <f t="shared" ref="BE34:BF34" si="206">BE33/BE31</f>
        <v>0.10417572340106117</v>
      </c>
      <c r="BF34" s="141">
        <f t="shared" si="206"/>
        <v>7.6879530445692901E-2</v>
      </c>
      <c r="BG34" s="141">
        <f t="shared" ref="BG34:BH34" si="207">BG33/BG31</f>
        <v>0.12232976473063972</v>
      </c>
      <c r="BH34" s="141">
        <f t="shared" si="207"/>
        <v>0.16775997331776094</v>
      </c>
      <c r="BI34" s="141">
        <f t="shared" ref="BI34:BK34" si="208">BI33/BI31</f>
        <v>0.22185442723063972</v>
      </c>
      <c r="BJ34" s="141">
        <f t="shared" si="208"/>
        <v>0.30268238521170032</v>
      </c>
      <c r="BK34" s="141">
        <f t="shared" si="208"/>
        <v>0.13906061079365079</v>
      </c>
      <c r="BL34" s="141">
        <f t="shared" ref="BL34" si="209">BL33/BL31</f>
        <v>0.22458749234567896</v>
      </c>
      <c r="BM34" s="141">
        <f>BM33/BM31</f>
        <v>0.1034448381793842</v>
      </c>
      <c r="BN34" s="141">
        <f t="shared" ref="BN34:BP34" si="210">BN33/BN31</f>
        <v>9.9908866666666651E-2</v>
      </c>
      <c r="BO34" s="141">
        <f t="shared" si="210"/>
        <v>0.1034649111111111</v>
      </c>
      <c r="BP34" s="141">
        <f t="shared" si="210"/>
        <v>0.13709077167163589</v>
      </c>
      <c r="BQ34" s="141">
        <f t="shared" ref="BQ34:BS34" si="211">BQ33/BQ31</f>
        <v>0.1043026247469136</v>
      </c>
      <c r="BR34" s="141">
        <f t="shared" si="211"/>
        <v>9.3423811656980091E-2</v>
      </c>
      <c r="BS34" s="141">
        <f t="shared" si="211"/>
        <v>0.11147555343915344</v>
      </c>
      <c r="BT34" s="141">
        <f t="shared" ref="BT34:BY34" si="212">BT33/BT31</f>
        <v>0.14255099957264961</v>
      </c>
      <c r="BU34" s="141">
        <f t="shared" si="212"/>
        <v>0.13169867957362086</v>
      </c>
      <c r="BV34" s="141">
        <f t="shared" si="212"/>
        <v>9.1384129222189345E-2</v>
      </c>
      <c r="BW34" s="141">
        <f t="shared" si="212"/>
        <v>8.2110771636930591E-2</v>
      </c>
      <c r="BX34" s="141">
        <f t="shared" si="212"/>
        <v>0.16121245340771617</v>
      </c>
      <c r="BY34" s="141">
        <f t="shared" si="212"/>
        <v>0.1442047960881834</v>
      </c>
      <c r="BZ34" s="141">
        <f t="shared" ref="BZ34:CA34" si="213">BZ33/BZ31</f>
        <v>0.15983675023872679</v>
      </c>
      <c r="CA34" s="141">
        <f t="shared" si="213"/>
        <v>0.15295596428940569</v>
      </c>
      <c r="CB34" s="141">
        <f t="shared" ref="CB34:CC34" si="214">CB33/CB31</f>
        <v>0.19688717611434109</v>
      </c>
      <c r="CC34" s="141">
        <f t="shared" si="214"/>
        <v>0.23944262896856158</v>
      </c>
      <c r="CD34" s="141">
        <f t="shared" ref="CD34:CE34" si="215">CD33/CD31</f>
        <v>0.14199261714900949</v>
      </c>
      <c r="CE34" s="141">
        <f t="shared" si="215"/>
        <v>0.15550905409582999</v>
      </c>
      <c r="CF34" s="141">
        <f t="shared" ref="CF34:CH34" si="216">CF33/CF31</f>
        <v>0.23206130731355257</v>
      </c>
      <c r="CG34" s="141">
        <f>CG33/CG31</f>
        <v>0.10511191997552019</v>
      </c>
      <c r="CH34" s="141">
        <f t="shared" si="216"/>
        <v>0.15675201888131515</v>
      </c>
      <c r="CI34" s="141">
        <f t="shared" ref="CI34" si="217">CI33/CI31</f>
        <v>0.2932719166238974</v>
      </c>
      <c r="CJ34" s="141">
        <f t="shared" ref="CJ34:CK34" si="218">CJ33/CJ31</f>
        <v>0.26777091212510024</v>
      </c>
      <c r="CK34" s="141">
        <f t="shared" si="218"/>
        <v>0.19479703267872522</v>
      </c>
      <c r="CL34" s="141">
        <f>CL33/CL31</f>
        <v>0.25296414155361757</v>
      </c>
      <c r="CM34" s="141">
        <f t="shared" ref="CM34:CT34" si="219">CM33/CM31</f>
        <v>0.16058464735449732</v>
      </c>
      <c r="CN34" s="141">
        <f t="shared" si="219"/>
        <v>0.13707030680958601</v>
      </c>
      <c r="CO34" s="141">
        <f t="shared" si="219"/>
        <v>0.14428437709313721</v>
      </c>
      <c r="CP34" s="141">
        <f t="shared" si="219"/>
        <v>0.13707030680958601</v>
      </c>
      <c r="CQ34" s="141">
        <f t="shared" si="219"/>
        <v>0.32473919809943863</v>
      </c>
      <c r="CR34" s="141">
        <f t="shared" si="219"/>
        <v>0.21143433039294307</v>
      </c>
      <c r="CS34" s="141">
        <f t="shared" si="219"/>
        <v>0.18396396124031009</v>
      </c>
      <c r="CT34" s="141">
        <f t="shared" si="219"/>
        <v>0.15978590736434106</v>
      </c>
      <c r="CU34" s="141">
        <f t="shared" ref="CU34:CV34" si="220">CU33/CU31</f>
        <v>0.35662919005613475</v>
      </c>
      <c r="CV34" s="141">
        <f t="shared" si="220"/>
        <v>0.22305322997416022</v>
      </c>
      <c r="CW34" s="141">
        <f>CW33/CW31</f>
        <v>0.29001125107665804</v>
      </c>
      <c r="CX34" s="141">
        <f>CX33/CX31</f>
        <v>0.40215550813953482</v>
      </c>
      <c r="CY34" s="141">
        <f>CY33/CY31</f>
        <v>0.19860306979586559</v>
      </c>
      <c r="CZ34" s="141">
        <f t="shared" ref="CZ34:DB34" si="221">CZ33/CZ31</f>
        <v>0.29034551724137936</v>
      </c>
      <c r="DA34" s="141">
        <f t="shared" si="221"/>
        <v>0.15557220094937305</v>
      </c>
      <c r="DB34" s="141">
        <f t="shared" si="221"/>
        <v>0.20328238575238095</v>
      </c>
      <c r="DC34" s="141">
        <f t="shared" ref="DC34:DD34" si="222">DC33/DC31</f>
        <v>0.13928981853388822</v>
      </c>
      <c r="DD34" s="141">
        <f t="shared" si="222"/>
        <v>0.22291413937376137</v>
      </c>
      <c r="DE34" s="141">
        <f t="shared" ref="DE34:DF34" si="223">DE33/DE31</f>
        <v>0.19271807229092353</v>
      </c>
      <c r="DF34" s="141">
        <f t="shared" si="223"/>
        <v>0.19150765405469677</v>
      </c>
      <c r="DG34" s="141">
        <f t="shared" ref="DG34:DH34" si="224">DG33/DG31</f>
        <v>0.16147570887831944</v>
      </c>
      <c r="DH34" s="141">
        <f t="shared" si="224"/>
        <v>0.15534449603646455</v>
      </c>
      <c r="DI34" s="141">
        <f t="shared" ref="DI34:DJ34" si="225">DI33/DI31</f>
        <v>0.14718262550138722</v>
      </c>
      <c r="DJ34" s="141">
        <f t="shared" si="225"/>
        <v>0.14590020595238093</v>
      </c>
      <c r="DK34" s="141">
        <f>DK33/DK31</f>
        <v>0.17843327751937982</v>
      </c>
      <c r="DL34" s="141">
        <f>DL33/DL31</f>
        <v>0.15149988060606059</v>
      </c>
      <c r="DM34" s="141">
        <f t="shared" ref="DM34" si="226">DM33/DM31</f>
        <v>0.31781658749999997</v>
      </c>
      <c r="DN34" s="141">
        <f>DN33/DN31</f>
        <v>0.16175438714074072</v>
      </c>
      <c r="DO34" s="141">
        <f t="shared" ref="DO34:DR34" si="227">DO33/DO31</f>
        <v>0.17729947463949844</v>
      </c>
      <c r="DP34" s="141">
        <f t="shared" si="227"/>
        <v>0.27601483015600514</v>
      </c>
      <c r="DQ34" s="141">
        <f t="shared" si="227"/>
        <v>0.14109774093915342</v>
      </c>
      <c r="DR34" s="141">
        <f t="shared" si="227"/>
        <v>0.21882924949077789</v>
      </c>
      <c r="DS34" s="141">
        <f t="shared" ref="DS34:DT34" si="228">DS33/DS31</f>
        <v>0.39144730898556546</v>
      </c>
      <c r="DT34" s="141">
        <f t="shared" si="228"/>
        <v>9.154648363636364E-2</v>
      </c>
      <c r="DU34" s="141">
        <f t="shared" ref="DU34" si="229">DU33/DU31</f>
        <v>0.13187634577194357</v>
      </c>
    </row>
    <row r="36" spans="2:125" ht="15" customHeight="1" x14ac:dyDescent="0.45">
      <c r="AT36">
        <f>AT28/AT30</f>
        <v>2.6864767441860464</v>
      </c>
      <c r="AU36">
        <f>AU28/AU30</f>
        <v>2.8027558139534885</v>
      </c>
      <c r="AW36" s="79">
        <f>AW28*AW23/1000</f>
        <v>9.0601186279999997</v>
      </c>
      <c r="AX36" s="79">
        <f>AX28*AX23/1000</f>
        <v>10.762090958</v>
      </c>
      <c r="AY36" s="79">
        <f>AY28*AY23/1000</f>
        <v>9.6953952080000008</v>
      </c>
      <c r="BC36" s="79">
        <f>BC28*BC23/1000</f>
        <v>8.9137023839999987</v>
      </c>
      <c r="BD36">
        <f t="shared" ref="BD36:BE36" si="230">BD28/BD30</f>
        <v>1.5625505617977529</v>
      </c>
      <c r="BE36">
        <f t="shared" si="230"/>
        <v>1.5625505617977529</v>
      </c>
      <c r="BF36">
        <f>BF28/BF30</f>
        <v>1.5962584269662923</v>
      </c>
      <c r="BK36" s="79">
        <f>BK28*BK23/1000</f>
        <v>12.6155786112</v>
      </c>
      <c r="BL36" s="79">
        <f>BL28*BL23/1000</f>
        <v>20.374577305599999</v>
      </c>
      <c r="BM36" s="79">
        <f>BM28*BM23/1000</f>
        <v>9.2727952943999998</v>
      </c>
      <c r="BN36" s="79">
        <f>BN28*BN23/1000</f>
        <v>9.0637323839999997</v>
      </c>
      <c r="BO36" s="79">
        <f>BO28*BO23/1000</f>
        <v>9.3863367359999987</v>
      </c>
      <c r="BQ36">
        <v>0.1069</v>
      </c>
      <c r="BR36">
        <v>9.6000000000000002E-2</v>
      </c>
      <c r="BS36" s="79">
        <f>BS28*BS23/1000</f>
        <v>10.113062207999999</v>
      </c>
      <c r="BV36">
        <v>0.1069</v>
      </c>
      <c r="BW36">
        <v>9.6000000000000002E-2</v>
      </c>
      <c r="BY36" s="79">
        <f>BY28*BY23/1000</f>
        <v>13.082259101119998</v>
      </c>
      <c r="CM36" s="79">
        <f>CM28*CM23/1000</f>
        <v>14.568239208</v>
      </c>
      <c r="CX36" s="79">
        <f>CX28*CX23/1000</f>
        <v>37.352203596000003</v>
      </c>
      <c r="CY36" s="79">
        <f>CY28*CY23/1000</f>
        <v>18.446253122639998</v>
      </c>
      <c r="DA36" s="79">
        <f>DA28*DA23/1000</f>
        <v>15.880810272912001</v>
      </c>
      <c r="DB36" s="79">
        <f>DB28*DB23/1000</f>
        <v>18.441778035456</v>
      </c>
      <c r="DJ36" s="79">
        <f>DJ28*DJ23/1000</f>
        <v>13.236066683999999</v>
      </c>
      <c r="DQ36" s="79">
        <f>DQ28*DQ23/1000</f>
        <v>12.800387058</v>
      </c>
      <c r="DS36" s="79">
        <f>DS28*DS23/1000</f>
        <v>39.050783544399998</v>
      </c>
      <c r="DT36" s="79">
        <f>DT28*DT23/1000</f>
        <v>9.3450650496000005</v>
      </c>
      <c r="DU36" s="79">
        <f>DU28*DU23/1000</f>
        <v>13.4619373764</v>
      </c>
    </row>
    <row r="37" spans="2:125" ht="15" customHeight="1" x14ac:dyDescent="0.45">
      <c r="AH37">
        <f>170*0.095</f>
        <v>16.149999999999999</v>
      </c>
      <c r="AI37">
        <f>160*0.095</f>
        <v>15.2</v>
      </c>
      <c r="AY37">
        <v>0.25</v>
      </c>
      <c r="BC37">
        <v>0.25</v>
      </c>
    </row>
    <row r="38" spans="2:125" ht="15" customHeight="1" x14ac:dyDescent="0.45">
      <c r="AT38">
        <f>AT36*1.03</f>
        <v>2.7670710465116279</v>
      </c>
      <c r="AY38" t="s">
        <v>473</v>
      </c>
      <c r="BC38" t="s">
        <v>473</v>
      </c>
    </row>
    <row r="39" spans="2:125" ht="15" customHeight="1" x14ac:dyDescent="0.45">
      <c r="AI39">
        <f>14.6/0.095</f>
        <v>153.68421052631578</v>
      </c>
      <c r="AT39">
        <f>AT33*1.03</f>
        <v>0.33794575233295476</v>
      </c>
      <c r="AY39" t="s">
        <v>485</v>
      </c>
      <c r="BC39" t="s">
        <v>485</v>
      </c>
    </row>
    <row r="41" spans="2:125" ht="15" customHeight="1" x14ac:dyDescent="0.45">
      <c r="AY41">
        <v>10.1</v>
      </c>
      <c r="BC41">
        <v>10.1</v>
      </c>
    </row>
    <row r="42" spans="2:125" ht="15" customHeight="1" x14ac:dyDescent="0.45">
      <c r="AY42" t="s">
        <v>486</v>
      </c>
      <c r="BC42" t="s">
        <v>486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6F18-CFD7-4D02-8D6A-8F564470FF1B}">
  <dimension ref="B1:H79"/>
  <sheetViews>
    <sheetView workbookViewId="0">
      <selection activeCell="C1" sqref="C1"/>
    </sheetView>
  </sheetViews>
  <sheetFormatPr defaultRowHeight="14.25" x14ac:dyDescent="0.45"/>
  <cols>
    <col min="2" max="2" width="4.73046875" customWidth="1"/>
    <col min="3" max="3" width="15.86328125" customWidth="1"/>
    <col min="5" max="5" width="12.1328125" customWidth="1"/>
  </cols>
  <sheetData>
    <row r="1" spans="2:5" x14ac:dyDescent="0.45">
      <c r="B1" s="63" t="s">
        <v>487</v>
      </c>
    </row>
    <row r="2" spans="2:5" x14ac:dyDescent="0.45">
      <c r="B2" s="1" t="s">
        <v>488</v>
      </c>
      <c r="C2" s="1" t="s">
        <v>489</v>
      </c>
      <c r="D2" s="1"/>
      <c r="E2" s="1">
        <f>15000*5000</f>
        <v>75000000</v>
      </c>
    </row>
    <row r="3" spans="2:5" x14ac:dyDescent="0.45">
      <c r="B3" s="1" t="s">
        <v>490</v>
      </c>
      <c r="C3" s="1"/>
      <c r="D3" s="1"/>
      <c r="E3" s="1">
        <f>150000*1000</f>
        <v>150000000</v>
      </c>
    </row>
    <row r="4" spans="2:5" x14ac:dyDescent="0.45">
      <c r="B4" s="1" t="s">
        <v>491</v>
      </c>
      <c r="C4" s="1"/>
      <c r="D4" s="1"/>
      <c r="E4" s="1">
        <f>SUM(D4:D25)</f>
        <v>150233000</v>
      </c>
    </row>
    <row r="5" spans="2:5" x14ac:dyDescent="0.45">
      <c r="B5" s="1"/>
      <c r="C5" s="1" t="s">
        <v>492</v>
      </c>
      <c r="D5" s="1">
        <v>30000000</v>
      </c>
      <c r="E5" s="1"/>
    </row>
    <row r="6" spans="2:5" x14ac:dyDescent="0.45">
      <c r="B6" s="1"/>
      <c r="C6" s="1" t="s">
        <v>493</v>
      </c>
      <c r="D6" s="1">
        <f>50*400000</f>
        <v>20000000</v>
      </c>
      <c r="E6" s="1"/>
    </row>
    <row r="7" spans="2:5" x14ac:dyDescent="0.45">
      <c r="B7" s="1"/>
      <c r="C7" s="1" t="s">
        <v>405</v>
      </c>
      <c r="D7" s="1">
        <v>10000000</v>
      </c>
      <c r="E7" s="1"/>
    </row>
    <row r="8" spans="2:5" x14ac:dyDescent="0.45">
      <c r="B8" s="1"/>
      <c r="C8" s="1" t="s">
        <v>494</v>
      </c>
      <c r="D8" s="1">
        <v>10000000</v>
      </c>
      <c r="E8" s="1"/>
    </row>
    <row r="9" spans="2:5" x14ac:dyDescent="0.45">
      <c r="B9" s="1"/>
      <c r="C9" s="1" t="s">
        <v>495</v>
      </c>
      <c r="D9" s="1">
        <v>12000000</v>
      </c>
      <c r="E9" s="1"/>
    </row>
    <row r="10" spans="2:5" x14ac:dyDescent="0.45">
      <c r="B10" s="1"/>
      <c r="C10" s="1" t="s">
        <v>496</v>
      </c>
      <c r="D10" s="1">
        <v>15000000</v>
      </c>
      <c r="E10" s="1"/>
    </row>
    <row r="11" spans="2:5" x14ac:dyDescent="0.45">
      <c r="B11" s="1"/>
      <c r="C11" s="1" t="s">
        <v>497</v>
      </c>
      <c r="D11" s="1">
        <v>1000000</v>
      </c>
      <c r="E11" s="1"/>
    </row>
    <row r="12" spans="2:5" x14ac:dyDescent="0.45">
      <c r="B12" s="1"/>
      <c r="C12" s="1" t="s">
        <v>498</v>
      </c>
      <c r="D12" s="1">
        <v>900000</v>
      </c>
      <c r="E12" s="1"/>
    </row>
    <row r="13" spans="2:5" x14ac:dyDescent="0.45">
      <c r="B13" s="1"/>
      <c r="C13" s="1" t="s">
        <v>313</v>
      </c>
      <c r="D13" s="1">
        <v>200000</v>
      </c>
      <c r="E13" s="1"/>
    </row>
    <row r="14" spans="2:5" x14ac:dyDescent="0.45">
      <c r="B14" s="1"/>
      <c r="C14" s="1" t="s">
        <v>499</v>
      </c>
      <c r="D14" s="1">
        <v>1800000</v>
      </c>
      <c r="E14" s="1"/>
    </row>
    <row r="15" spans="2:5" x14ac:dyDescent="0.45">
      <c r="B15" s="1"/>
      <c r="C15" s="1" t="s">
        <v>500</v>
      </c>
      <c r="D15" s="1">
        <v>233000</v>
      </c>
      <c r="E15" s="1"/>
    </row>
    <row r="16" spans="2:5" x14ac:dyDescent="0.45">
      <c r="B16" s="1"/>
      <c r="C16" s="1" t="s">
        <v>501</v>
      </c>
      <c r="D16" s="1">
        <v>17000000</v>
      </c>
      <c r="E16" s="1"/>
    </row>
    <row r="17" spans="2:5" x14ac:dyDescent="0.45">
      <c r="B17" s="1"/>
      <c r="C17" s="1" t="s">
        <v>502</v>
      </c>
      <c r="D17" s="1">
        <v>20000000</v>
      </c>
      <c r="E17" s="1"/>
    </row>
    <row r="18" spans="2:5" x14ac:dyDescent="0.45">
      <c r="B18" s="1"/>
      <c r="C18" s="1" t="s">
        <v>503</v>
      </c>
      <c r="D18" s="1">
        <v>1000000</v>
      </c>
      <c r="E18" s="1"/>
    </row>
    <row r="19" spans="2:5" x14ac:dyDescent="0.45">
      <c r="B19" s="1"/>
      <c r="C19" s="1" t="s">
        <v>504</v>
      </c>
      <c r="D19" s="1">
        <v>600000</v>
      </c>
      <c r="E19" s="1"/>
    </row>
    <row r="20" spans="2:5" x14ac:dyDescent="0.45">
      <c r="B20" s="1"/>
      <c r="C20" s="1" t="s">
        <v>505</v>
      </c>
      <c r="D20" s="1">
        <v>2000000</v>
      </c>
      <c r="E20" s="1"/>
    </row>
    <row r="21" spans="2:5" x14ac:dyDescent="0.45">
      <c r="B21" s="1"/>
      <c r="C21" s="1" t="s">
        <v>506</v>
      </c>
      <c r="D21" s="1">
        <v>2000000</v>
      </c>
      <c r="E21" s="1"/>
    </row>
    <row r="22" spans="2:5" x14ac:dyDescent="0.45">
      <c r="B22" s="1"/>
      <c r="C22" s="1" t="s">
        <v>507</v>
      </c>
      <c r="D22" s="1">
        <v>2000000</v>
      </c>
      <c r="E22" s="1"/>
    </row>
    <row r="23" spans="2:5" x14ac:dyDescent="0.45">
      <c r="B23" s="1"/>
      <c r="C23" s="1" t="s">
        <v>508</v>
      </c>
      <c r="D23" s="1">
        <v>3000000</v>
      </c>
      <c r="E23" s="1"/>
    </row>
    <row r="24" spans="2:5" x14ac:dyDescent="0.45">
      <c r="B24" s="1"/>
      <c r="C24" s="1" t="s">
        <v>509</v>
      </c>
      <c r="D24" s="1">
        <v>1500000</v>
      </c>
      <c r="E24" s="1"/>
    </row>
    <row r="25" spans="2:5" x14ac:dyDescent="0.45">
      <c r="B25" s="1"/>
      <c r="C25" s="1"/>
      <c r="D25" s="1"/>
      <c r="E25" s="1"/>
    </row>
    <row r="26" spans="2:5" x14ac:dyDescent="0.45">
      <c r="B26" s="1" t="s">
        <v>510</v>
      </c>
      <c r="C26" s="1"/>
      <c r="D26" s="1"/>
      <c r="E26" s="1">
        <f>SUM(E2:E25)</f>
        <v>375233000</v>
      </c>
    </row>
    <row r="28" spans="2:5" x14ac:dyDescent="0.45">
      <c r="B28" t="s">
        <v>511</v>
      </c>
      <c r="D28" s="85">
        <v>0.12</v>
      </c>
      <c r="E28">
        <f>E26*D28</f>
        <v>45027960</v>
      </c>
    </row>
    <row r="29" spans="2:5" x14ac:dyDescent="0.45">
      <c r="B29" t="s">
        <v>512</v>
      </c>
      <c r="E29">
        <f>E28/12</f>
        <v>3752330</v>
      </c>
    </row>
    <row r="30" spans="2:5" x14ac:dyDescent="0.45">
      <c r="B30" t="s">
        <v>408</v>
      </c>
      <c r="E30" s="79">
        <f>E29/400000</f>
        <v>9.3808249999999997</v>
      </c>
    </row>
    <row r="32" spans="2:5" x14ac:dyDescent="0.45">
      <c r="B32" t="s">
        <v>513</v>
      </c>
    </row>
    <row r="33" spans="2:5" x14ac:dyDescent="0.45">
      <c r="C33" t="s">
        <v>514</v>
      </c>
      <c r="D33">
        <v>850</v>
      </c>
    </row>
    <row r="34" spans="2:5" x14ac:dyDescent="0.45">
      <c r="C34" t="s">
        <v>515</v>
      </c>
      <c r="D34">
        <v>1200</v>
      </c>
    </row>
    <row r="35" spans="2:5" x14ac:dyDescent="0.45">
      <c r="C35" t="s">
        <v>516</v>
      </c>
      <c r="D35">
        <v>17</v>
      </c>
    </row>
    <row r="36" spans="2:5" x14ac:dyDescent="0.45">
      <c r="C36" t="s">
        <v>517</v>
      </c>
      <c r="D36">
        <v>32</v>
      </c>
    </row>
    <row r="38" spans="2:5" x14ac:dyDescent="0.45">
      <c r="C38" t="s">
        <v>518</v>
      </c>
      <c r="D38">
        <f>SUM(D33:D37)</f>
        <v>2099</v>
      </c>
    </row>
    <row r="39" spans="2:5" x14ac:dyDescent="0.45">
      <c r="C39" t="s">
        <v>519</v>
      </c>
      <c r="D39">
        <v>370</v>
      </c>
    </row>
    <row r="40" spans="2:5" x14ac:dyDescent="0.45">
      <c r="C40" t="s">
        <v>520</v>
      </c>
      <c r="D40" s="82">
        <f>D38/D39</f>
        <v>5.672972972972973</v>
      </c>
      <c r="E40" s="79"/>
    </row>
    <row r="43" spans="2:5" x14ac:dyDescent="0.45">
      <c r="B43" t="s">
        <v>521</v>
      </c>
    </row>
    <row r="44" spans="2:5" x14ac:dyDescent="0.45">
      <c r="C44" t="s">
        <v>522</v>
      </c>
    </row>
    <row r="48" spans="2:5" x14ac:dyDescent="0.45">
      <c r="C48" s="63" t="s">
        <v>523</v>
      </c>
    </row>
    <row r="49" spans="3:8" ht="28.5" x14ac:dyDescent="0.45">
      <c r="C49" s="83" t="s">
        <v>524</v>
      </c>
      <c r="D49" s="83" t="s">
        <v>525</v>
      </c>
      <c r="E49" s="83" t="s">
        <v>526</v>
      </c>
      <c r="F49" s="83" t="s">
        <v>518</v>
      </c>
      <c r="G49" s="83" t="s">
        <v>527</v>
      </c>
      <c r="H49" s="83" t="s">
        <v>528</v>
      </c>
    </row>
    <row r="50" spans="3:8" x14ac:dyDescent="0.45">
      <c r="C50" s="1" t="s">
        <v>529</v>
      </c>
      <c r="D50" s="1">
        <v>1</v>
      </c>
      <c r="E50" s="1">
        <v>185000</v>
      </c>
      <c r="F50" s="1">
        <f>D50*E50</f>
        <v>185000</v>
      </c>
      <c r="G50" s="1">
        <f>120000*26</f>
        <v>3120000</v>
      </c>
      <c r="H50" s="84">
        <f>F50/G50*1000</f>
        <v>59.294871794871796</v>
      </c>
    </row>
    <row r="51" spans="3:8" x14ac:dyDescent="0.45">
      <c r="C51" s="1" t="s">
        <v>530</v>
      </c>
      <c r="D51" s="1">
        <v>1</v>
      </c>
      <c r="E51" s="1">
        <v>30000</v>
      </c>
      <c r="F51" s="1">
        <f t="shared" ref="F51:F68" si="0">D51*E51</f>
        <v>30000</v>
      </c>
      <c r="G51" s="1">
        <f t="shared" ref="G51:G68" si="1">120000*26</f>
        <v>3120000</v>
      </c>
      <c r="H51" s="84">
        <f t="shared" ref="H51:H68" si="2">F51/G51*1000</f>
        <v>9.6153846153846168</v>
      </c>
    </row>
    <row r="52" spans="3:8" x14ac:dyDescent="0.45">
      <c r="C52" s="1" t="s">
        <v>531</v>
      </c>
      <c r="D52" s="1">
        <v>6</v>
      </c>
      <c r="E52" s="1">
        <v>15000</v>
      </c>
      <c r="F52" s="1">
        <f t="shared" si="0"/>
        <v>90000</v>
      </c>
      <c r="G52" s="1">
        <f t="shared" si="1"/>
        <v>3120000</v>
      </c>
      <c r="H52" s="84">
        <f t="shared" si="2"/>
        <v>28.846153846153847</v>
      </c>
    </row>
    <row r="53" spans="3:8" x14ac:dyDescent="0.45">
      <c r="C53" s="1" t="s">
        <v>532</v>
      </c>
      <c r="D53" s="1">
        <v>1</v>
      </c>
      <c r="E53" s="1">
        <v>30000</v>
      </c>
      <c r="F53" s="1">
        <f t="shared" si="0"/>
        <v>30000</v>
      </c>
      <c r="G53" s="1">
        <f t="shared" si="1"/>
        <v>3120000</v>
      </c>
      <c r="H53" s="84">
        <f t="shared" si="2"/>
        <v>9.6153846153846168</v>
      </c>
    </row>
    <row r="54" spans="3:8" x14ac:dyDescent="0.45">
      <c r="C54" s="1" t="s">
        <v>533</v>
      </c>
      <c r="D54" s="1">
        <v>2</v>
      </c>
      <c r="E54" s="1">
        <v>18000</v>
      </c>
      <c r="F54" s="1">
        <f t="shared" si="0"/>
        <v>36000</v>
      </c>
      <c r="G54" s="1">
        <f t="shared" si="1"/>
        <v>3120000</v>
      </c>
      <c r="H54" s="84">
        <f t="shared" si="2"/>
        <v>11.538461538461538</v>
      </c>
    </row>
    <row r="55" spans="3:8" x14ac:dyDescent="0.45">
      <c r="C55" s="1" t="s">
        <v>534</v>
      </c>
      <c r="D55" s="1">
        <v>1</v>
      </c>
      <c r="E55" s="1">
        <v>30000</v>
      </c>
      <c r="F55" s="1">
        <f t="shared" si="0"/>
        <v>30000</v>
      </c>
      <c r="G55" s="1">
        <f t="shared" si="1"/>
        <v>3120000</v>
      </c>
      <c r="H55" s="84">
        <f t="shared" si="2"/>
        <v>9.6153846153846168</v>
      </c>
    </row>
    <row r="56" spans="3:8" x14ac:dyDescent="0.45">
      <c r="C56" s="1" t="s">
        <v>535</v>
      </c>
      <c r="D56" s="1">
        <v>1</v>
      </c>
      <c r="E56" s="1">
        <v>18000</v>
      </c>
      <c r="F56" s="1">
        <f t="shared" si="0"/>
        <v>18000</v>
      </c>
      <c r="G56" s="1">
        <f t="shared" si="1"/>
        <v>3120000</v>
      </c>
      <c r="H56" s="84">
        <f t="shared" si="2"/>
        <v>5.7692307692307692</v>
      </c>
    </row>
    <row r="57" spans="3:8" x14ac:dyDescent="0.45">
      <c r="C57" s="1" t="s">
        <v>536</v>
      </c>
      <c r="D57" s="1">
        <v>2</v>
      </c>
      <c r="E57" s="1">
        <v>30000</v>
      </c>
      <c r="F57" s="1">
        <f t="shared" si="0"/>
        <v>60000</v>
      </c>
      <c r="G57" s="1">
        <f t="shared" si="1"/>
        <v>3120000</v>
      </c>
      <c r="H57" s="84">
        <f t="shared" si="2"/>
        <v>19.230769230769234</v>
      </c>
    </row>
    <row r="58" spans="3:8" x14ac:dyDescent="0.45">
      <c r="C58" s="1" t="s">
        <v>537</v>
      </c>
      <c r="D58" s="1">
        <v>2</v>
      </c>
      <c r="E58" s="1">
        <v>18000</v>
      </c>
      <c r="F58" s="1">
        <f t="shared" si="0"/>
        <v>36000</v>
      </c>
      <c r="G58" s="1">
        <f t="shared" si="1"/>
        <v>3120000</v>
      </c>
      <c r="H58" s="84">
        <f t="shared" si="2"/>
        <v>11.538461538461538</v>
      </c>
    </row>
    <row r="59" spans="3:8" x14ac:dyDescent="0.45">
      <c r="C59" s="1" t="s">
        <v>538</v>
      </c>
      <c r="D59" s="1">
        <v>2</v>
      </c>
      <c r="E59" s="1">
        <v>36000</v>
      </c>
      <c r="F59" s="1">
        <f t="shared" si="0"/>
        <v>72000</v>
      </c>
      <c r="G59" s="1">
        <f t="shared" si="1"/>
        <v>3120000</v>
      </c>
      <c r="H59" s="84">
        <f t="shared" si="2"/>
        <v>23.076923076923077</v>
      </c>
    </row>
    <row r="60" spans="3:8" x14ac:dyDescent="0.45">
      <c r="C60" s="1" t="s">
        <v>537</v>
      </c>
      <c r="D60" s="1">
        <v>6</v>
      </c>
      <c r="E60" s="1">
        <v>18000</v>
      </c>
      <c r="F60" s="1">
        <f t="shared" si="0"/>
        <v>108000</v>
      </c>
      <c r="G60" s="1">
        <f t="shared" si="1"/>
        <v>3120000</v>
      </c>
      <c r="H60" s="84">
        <f t="shared" si="2"/>
        <v>34.61538461538462</v>
      </c>
    </row>
    <row r="61" spans="3:8" x14ac:dyDescent="0.45">
      <c r="C61" s="1" t="s">
        <v>539</v>
      </c>
      <c r="D61" s="1">
        <v>4</v>
      </c>
      <c r="E61" s="1">
        <v>22000</v>
      </c>
      <c r="F61" s="1">
        <f t="shared" si="0"/>
        <v>88000</v>
      </c>
      <c r="G61" s="1">
        <f t="shared" si="1"/>
        <v>3120000</v>
      </c>
      <c r="H61" s="84">
        <f t="shared" si="2"/>
        <v>28.205128205128204</v>
      </c>
    </row>
    <row r="62" spans="3:8" x14ac:dyDescent="0.45">
      <c r="C62" s="1" t="s">
        <v>540</v>
      </c>
      <c r="D62" s="1">
        <v>8</v>
      </c>
      <c r="E62" s="1">
        <v>18000</v>
      </c>
      <c r="F62" s="1">
        <f t="shared" si="0"/>
        <v>144000</v>
      </c>
      <c r="G62" s="1">
        <f t="shared" si="1"/>
        <v>3120000</v>
      </c>
      <c r="H62" s="84">
        <f t="shared" si="2"/>
        <v>46.153846153846153</v>
      </c>
    </row>
    <row r="63" spans="3:8" x14ac:dyDescent="0.45">
      <c r="C63" s="1" t="s">
        <v>541</v>
      </c>
      <c r="D63" s="1">
        <v>1</v>
      </c>
      <c r="E63" s="1">
        <v>35000</v>
      </c>
      <c r="F63" s="1">
        <f t="shared" si="0"/>
        <v>35000</v>
      </c>
      <c r="G63" s="1">
        <f t="shared" si="1"/>
        <v>3120000</v>
      </c>
      <c r="H63" s="84">
        <f t="shared" si="2"/>
        <v>11.217948717948717</v>
      </c>
    </row>
    <row r="64" spans="3:8" x14ac:dyDescent="0.45">
      <c r="C64" s="1" t="s">
        <v>542</v>
      </c>
      <c r="D64" s="1">
        <v>12</v>
      </c>
      <c r="E64" s="1">
        <v>24000</v>
      </c>
      <c r="F64" s="1">
        <f t="shared" si="0"/>
        <v>288000</v>
      </c>
      <c r="G64" s="1">
        <f t="shared" si="1"/>
        <v>3120000</v>
      </c>
      <c r="H64" s="84">
        <f t="shared" si="2"/>
        <v>92.307692307692307</v>
      </c>
    </row>
    <row r="65" spans="3:8" x14ac:dyDescent="0.45">
      <c r="C65" s="1" t="s">
        <v>543</v>
      </c>
      <c r="D65" s="1">
        <v>2</v>
      </c>
      <c r="E65" s="1">
        <v>30000</v>
      </c>
      <c r="F65" s="1">
        <f t="shared" si="0"/>
        <v>60000</v>
      </c>
      <c r="G65" s="1">
        <f t="shared" si="1"/>
        <v>3120000</v>
      </c>
      <c r="H65" s="84">
        <f t="shared" si="2"/>
        <v>19.230769230769234</v>
      </c>
    </row>
    <row r="66" spans="3:8" x14ac:dyDescent="0.45">
      <c r="C66" s="1" t="s">
        <v>544</v>
      </c>
      <c r="D66" s="1">
        <v>2</v>
      </c>
      <c r="E66" s="1">
        <v>30000</v>
      </c>
      <c r="F66" s="1">
        <f t="shared" si="0"/>
        <v>60000</v>
      </c>
      <c r="G66" s="1">
        <f t="shared" si="1"/>
        <v>3120000</v>
      </c>
      <c r="H66" s="84">
        <f t="shared" si="2"/>
        <v>19.230769230769234</v>
      </c>
    </row>
    <row r="67" spans="3:8" x14ac:dyDescent="0.45">
      <c r="C67" s="1" t="s">
        <v>545</v>
      </c>
      <c r="D67" s="1"/>
      <c r="E67" s="1"/>
      <c r="F67" s="1">
        <v>312000</v>
      </c>
      <c r="G67" s="1">
        <f t="shared" si="1"/>
        <v>3120000</v>
      </c>
      <c r="H67" s="84">
        <f t="shared" si="2"/>
        <v>100</v>
      </c>
    </row>
    <row r="68" spans="3:8" x14ac:dyDescent="0.45">
      <c r="C68" s="1" t="s">
        <v>546</v>
      </c>
      <c r="D68" s="1">
        <v>1</v>
      </c>
      <c r="E68" s="1">
        <v>22000</v>
      </c>
      <c r="F68" s="1">
        <f t="shared" si="0"/>
        <v>22000</v>
      </c>
      <c r="G68" s="1">
        <f t="shared" si="1"/>
        <v>3120000</v>
      </c>
      <c r="H68" s="84">
        <f t="shared" si="2"/>
        <v>7.0512820512820511</v>
      </c>
    </row>
    <row r="69" spans="3:8" x14ac:dyDescent="0.45">
      <c r="C69" s="1"/>
      <c r="D69" s="1"/>
      <c r="E69" s="1"/>
      <c r="F69" s="1"/>
      <c r="G69" s="1"/>
      <c r="H69" s="1"/>
    </row>
    <row r="70" spans="3:8" x14ac:dyDescent="0.45">
      <c r="C70" s="1" t="s">
        <v>547</v>
      </c>
      <c r="D70" s="1"/>
      <c r="E70" s="1"/>
      <c r="F70" s="1"/>
      <c r="G70" s="1"/>
      <c r="H70" s="84">
        <f>SUM(H50:H69)</f>
        <v>546.15384615384619</v>
      </c>
    </row>
    <row r="71" spans="3:8" x14ac:dyDescent="0.45">
      <c r="C71" s="1" t="s">
        <v>548</v>
      </c>
      <c r="D71" s="1"/>
      <c r="E71" s="1"/>
      <c r="F71" s="1"/>
      <c r="G71" s="1"/>
      <c r="H71" s="84">
        <f>H70*0.15</f>
        <v>81.92307692307692</v>
      </c>
    </row>
    <row r="72" spans="3:8" x14ac:dyDescent="0.45">
      <c r="C72" s="1" t="s">
        <v>549</v>
      </c>
      <c r="D72" s="1"/>
      <c r="E72" s="1"/>
      <c r="F72" s="1"/>
      <c r="G72" s="1"/>
      <c r="H72" s="84">
        <f>0.25*1000</f>
        <v>250</v>
      </c>
    </row>
    <row r="73" spans="3:8" x14ac:dyDescent="0.45">
      <c r="C73" s="1" t="s">
        <v>550</v>
      </c>
      <c r="D73" s="1"/>
      <c r="E73" s="1"/>
      <c r="F73" s="1"/>
      <c r="G73" s="1"/>
      <c r="H73" s="84">
        <v>150</v>
      </c>
    </row>
    <row r="74" spans="3:8" x14ac:dyDescent="0.45">
      <c r="C74" s="1"/>
      <c r="D74" s="1"/>
      <c r="E74" s="1"/>
      <c r="F74" s="1"/>
      <c r="G74" s="1"/>
      <c r="H74" s="1"/>
    </row>
    <row r="75" spans="3:8" x14ac:dyDescent="0.45">
      <c r="C75" s="1" t="s">
        <v>551</v>
      </c>
      <c r="D75" s="1"/>
      <c r="E75" s="1"/>
      <c r="F75" s="1"/>
      <c r="G75" s="1"/>
      <c r="H75" s="84">
        <f>SUM(H70:H74)</f>
        <v>1028.0769230769231</v>
      </c>
    </row>
    <row r="76" spans="3:8" x14ac:dyDescent="0.45">
      <c r="C76" t="s">
        <v>552</v>
      </c>
    </row>
    <row r="78" spans="3:8" x14ac:dyDescent="0.45">
      <c r="C78" s="1" t="s">
        <v>553</v>
      </c>
      <c r="D78" s="1"/>
      <c r="E78" s="1"/>
      <c r="F78" s="1"/>
      <c r="G78" s="1"/>
      <c r="H78" s="1">
        <v>400</v>
      </c>
    </row>
    <row r="79" spans="3:8" x14ac:dyDescent="0.45">
      <c r="C79" s="1" t="s">
        <v>554</v>
      </c>
      <c r="D79" s="1"/>
      <c r="E79" s="1"/>
      <c r="F79" s="1"/>
      <c r="G79" s="1"/>
      <c r="H79" s="1">
        <v>300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2872C-1CF8-4FB0-81B3-6D56E7C3E264}">
  <dimension ref="A2:B49"/>
  <sheetViews>
    <sheetView topLeftCell="A17" workbookViewId="0">
      <selection activeCell="B43" sqref="B43"/>
    </sheetView>
  </sheetViews>
  <sheetFormatPr defaultRowHeight="14.25" x14ac:dyDescent="0.45"/>
  <cols>
    <col min="1" max="1" width="8.73046875" style="2"/>
    <col min="2" max="2" width="26" customWidth="1"/>
    <col min="3" max="3" width="11.1328125" customWidth="1"/>
    <col min="4" max="4" width="9.265625" customWidth="1"/>
    <col min="5" max="5" width="9.1328125" customWidth="1"/>
    <col min="6" max="6" width="9.1328125" bestFit="1" customWidth="1"/>
    <col min="9" max="10" width="8.73046875" customWidth="1"/>
    <col min="15" max="15" width="7.59765625" customWidth="1"/>
  </cols>
  <sheetData>
    <row r="2" spans="2:2" x14ac:dyDescent="0.45">
      <c r="B2" s="1" t="s">
        <v>211</v>
      </c>
    </row>
    <row r="3" spans="2:2" x14ac:dyDescent="0.45">
      <c r="B3" s="1" t="s">
        <v>215</v>
      </c>
    </row>
    <row r="4" spans="2:2" x14ac:dyDescent="0.45">
      <c r="B4" s="1" t="s">
        <v>214</v>
      </c>
    </row>
    <row r="5" spans="2:2" x14ac:dyDescent="0.45">
      <c r="B5" s="1" t="s">
        <v>213</v>
      </c>
    </row>
    <row r="6" spans="2:2" x14ac:dyDescent="0.45">
      <c r="B6" s="1" t="s">
        <v>212</v>
      </c>
    </row>
    <row r="9" spans="2:2" x14ac:dyDescent="0.45">
      <c r="B9" t="s">
        <v>197</v>
      </c>
    </row>
    <row r="10" spans="2:2" x14ac:dyDescent="0.45">
      <c r="B10" t="s">
        <v>198</v>
      </c>
    </row>
    <row r="11" spans="2:2" x14ac:dyDescent="0.45">
      <c r="B11" t="s">
        <v>199</v>
      </c>
    </row>
    <row r="12" spans="2:2" x14ac:dyDescent="0.45">
      <c r="B12" t="s">
        <v>196</v>
      </c>
    </row>
    <row r="15" spans="2:2" x14ac:dyDescent="0.45">
      <c r="B15" t="s">
        <v>202</v>
      </c>
    </row>
    <row r="16" spans="2:2" x14ac:dyDescent="0.45">
      <c r="B16" t="s">
        <v>206</v>
      </c>
    </row>
    <row r="17" spans="2:2" x14ac:dyDescent="0.45">
      <c r="B17" t="s">
        <v>204</v>
      </c>
    </row>
    <row r="18" spans="2:2" x14ac:dyDescent="0.45">
      <c r="B18" t="s">
        <v>205</v>
      </c>
    </row>
    <row r="19" spans="2:2" x14ac:dyDescent="0.45">
      <c r="B19" t="s">
        <v>203</v>
      </c>
    </row>
    <row r="20" spans="2:2" x14ac:dyDescent="0.45">
      <c r="B20" t="s">
        <v>207</v>
      </c>
    </row>
    <row r="23" spans="2:2" x14ac:dyDescent="0.45">
      <c r="B23" t="s">
        <v>364</v>
      </c>
    </row>
    <row r="24" spans="2:2" x14ac:dyDescent="0.45">
      <c r="B24" t="s">
        <v>361</v>
      </c>
    </row>
    <row r="25" spans="2:2" x14ac:dyDescent="0.45">
      <c r="B25" t="s">
        <v>362</v>
      </c>
    </row>
    <row r="26" spans="2:2" x14ac:dyDescent="0.45">
      <c r="B26" t="s">
        <v>363</v>
      </c>
    </row>
    <row r="27" spans="2:2" x14ac:dyDescent="0.45">
      <c r="B27" t="s">
        <v>555</v>
      </c>
    </row>
    <row r="30" spans="2:2" x14ac:dyDescent="0.45">
      <c r="B30" t="s">
        <v>370</v>
      </c>
    </row>
    <row r="31" spans="2:2" x14ac:dyDescent="0.45">
      <c r="B31" t="s">
        <v>369</v>
      </c>
    </row>
    <row r="32" spans="2:2" x14ac:dyDescent="0.45">
      <c r="B32" t="s">
        <v>371</v>
      </c>
    </row>
    <row r="33" spans="2:2" x14ac:dyDescent="0.45">
      <c r="B33" t="s">
        <v>372</v>
      </c>
    </row>
    <row r="35" spans="2:2" x14ac:dyDescent="0.45">
      <c r="B35" t="s">
        <v>347</v>
      </c>
    </row>
    <row r="36" spans="2:2" x14ac:dyDescent="0.45">
      <c r="B36" t="s">
        <v>348</v>
      </c>
    </row>
    <row r="38" spans="2:2" x14ac:dyDescent="0.45">
      <c r="B38" t="s">
        <v>376</v>
      </c>
    </row>
    <row r="39" spans="2:2" x14ac:dyDescent="0.45">
      <c r="B39" t="s">
        <v>556</v>
      </c>
    </row>
    <row r="40" spans="2:2" x14ac:dyDescent="0.45">
      <c r="B40" t="s">
        <v>375</v>
      </c>
    </row>
    <row r="43" spans="2:2" x14ac:dyDescent="0.45">
      <c r="B43" s="69" t="str" cm="1">
        <f t="array" ref="B43:B49">_xlfn.UNIQUE(_xlfn._xlws.SORT((TRANSPOSE('Quote Exports'!E7:AX7))))</f>
        <v>ATEA Turkey</v>
      </c>
    </row>
    <row r="44" spans="2:2" x14ac:dyDescent="0.45">
      <c r="B44" t="str">
        <v>Condepols</v>
      </c>
    </row>
    <row r="45" spans="2:2" x14ac:dyDescent="0.45">
      <c r="B45" t="str">
        <v>Desabag</v>
      </c>
    </row>
    <row r="46" spans="2:2" x14ac:dyDescent="0.45">
      <c r="B46" t="str">
        <v>ISP Korea</v>
      </c>
    </row>
    <row r="47" spans="2:2" x14ac:dyDescent="0.45">
      <c r="B47" t="str">
        <v>Procon</v>
      </c>
    </row>
    <row r="48" spans="2:2" x14ac:dyDescent="0.45">
      <c r="B48" t="str">
        <v>Safesack Scand</v>
      </c>
    </row>
    <row r="49" spans="2:2" x14ac:dyDescent="0.45">
      <c r="B49">
        <v>0</v>
      </c>
    </row>
  </sheetData>
  <sheetProtection sheet="1" objects="1" scenarios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ED42-D1E3-4ED5-9512-7E5205024A73}">
  <dimension ref="B1:BZ54"/>
  <sheetViews>
    <sheetView workbookViewId="0">
      <pane xSplit="2" ySplit="4" topLeftCell="AI5" activePane="bottomRight" state="frozen"/>
      <selection pane="topRight"/>
      <selection pane="bottomLeft"/>
      <selection pane="bottomRight" activeCell="AU4" sqref="AU4"/>
    </sheetView>
  </sheetViews>
  <sheetFormatPr defaultRowHeight="15" customHeight="1" x14ac:dyDescent="0.45"/>
  <cols>
    <col min="1" max="1" width="2" customWidth="1"/>
    <col min="2" max="2" width="22.73046875" customWidth="1"/>
    <col min="6" max="6" width="11" customWidth="1"/>
    <col min="16" max="16" width="10" customWidth="1"/>
  </cols>
  <sheetData>
    <row r="1" spans="2:78" ht="15" customHeight="1" x14ac:dyDescent="0.45">
      <c r="AM1">
        <f>AM5/92.5</f>
        <v>1.6172648648648646</v>
      </c>
    </row>
    <row r="3" spans="2:78" ht="15" customHeight="1" x14ac:dyDescent="0.45">
      <c r="B3" s="63" t="s">
        <v>557</v>
      </c>
      <c r="BZ3" t="s">
        <v>558</v>
      </c>
    </row>
    <row r="4" spans="2:78" ht="15" customHeight="1" x14ac:dyDescent="0.45">
      <c r="B4" s="1" t="s">
        <v>559</v>
      </c>
      <c r="C4" s="64">
        <v>45505</v>
      </c>
      <c r="D4" s="64">
        <v>45524</v>
      </c>
      <c r="E4" s="64">
        <v>45536</v>
      </c>
      <c r="F4" s="64">
        <v>45580</v>
      </c>
      <c r="G4" s="64">
        <v>45605</v>
      </c>
      <c r="H4" s="64">
        <v>45606</v>
      </c>
      <c r="I4" s="64">
        <v>45632</v>
      </c>
      <c r="J4" s="64">
        <v>45642</v>
      </c>
      <c r="K4" s="64">
        <v>45659</v>
      </c>
      <c r="L4" s="64">
        <v>45673</v>
      </c>
      <c r="M4" s="64">
        <v>45689</v>
      </c>
      <c r="N4" s="64">
        <v>45706</v>
      </c>
      <c r="O4" s="64">
        <v>45707</v>
      </c>
      <c r="P4" s="64">
        <v>45717</v>
      </c>
      <c r="Q4" s="64">
        <v>45731</v>
      </c>
      <c r="R4" s="64">
        <v>45748</v>
      </c>
      <c r="S4" s="64">
        <v>45768</v>
      </c>
      <c r="T4" s="64">
        <v>45778</v>
      </c>
      <c r="U4" s="64">
        <v>45792</v>
      </c>
      <c r="V4" s="64">
        <v>45825</v>
      </c>
      <c r="W4" s="64">
        <v>45839</v>
      </c>
      <c r="X4" s="64">
        <v>45870</v>
      </c>
      <c r="Y4" s="64">
        <v>45889</v>
      </c>
      <c r="Z4" s="64">
        <v>45903</v>
      </c>
      <c r="AA4" s="64">
        <v>45906</v>
      </c>
      <c r="AB4" s="64">
        <v>45933</v>
      </c>
      <c r="AC4" s="64">
        <v>45968</v>
      </c>
      <c r="AD4" s="64">
        <v>45976</v>
      </c>
      <c r="AE4" s="64">
        <v>46023</v>
      </c>
      <c r="AF4" s="64">
        <v>46039</v>
      </c>
      <c r="AG4" s="64">
        <v>46043</v>
      </c>
      <c r="AH4" s="64">
        <v>46054</v>
      </c>
      <c r="AI4" s="64">
        <v>46066</v>
      </c>
      <c r="AJ4" s="64">
        <v>46070</v>
      </c>
      <c r="AK4" s="64">
        <v>46083</v>
      </c>
      <c r="AL4" s="64">
        <v>46087</v>
      </c>
      <c r="AM4" s="64">
        <v>46091</v>
      </c>
      <c r="AN4" s="64">
        <v>46096</v>
      </c>
      <c r="AO4" s="64">
        <v>46113</v>
      </c>
      <c r="AP4" s="64">
        <v>46115</v>
      </c>
      <c r="AQ4" s="64">
        <v>46128</v>
      </c>
      <c r="AR4" s="64">
        <v>46133</v>
      </c>
      <c r="AS4" s="64">
        <v>46144</v>
      </c>
      <c r="AT4" s="64">
        <v>46153</v>
      </c>
      <c r="AU4" s="64">
        <v>46161</v>
      </c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7" t="s">
        <v>49</v>
      </c>
    </row>
    <row r="5" spans="2:78" ht="15" customHeight="1" x14ac:dyDescent="0.45">
      <c r="B5" s="3" t="s">
        <v>560</v>
      </c>
      <c r="C5" s="55">
        <v>90.456000000000003</v>
      </c>
      <c r="D5" s="55">
        <v>88.465999999999994</v>
      </c>
      <c r="E5" s="55">
        <v>87.256</v>
      </c>
      <c r="F5" s="55">
        <v>87.256</v>
      </c>
      <c r="G5" s="55">
        <v>86.474000000000004</v>
      </c>
      <c r="H5" s="55">
        <v>86.474000000000004</v>
      </c>
      <c r="I5" s="55">
        <v>86.474000000000004</v>
      </c>
      <c r="J5" s="55">
        <v>84.494</v>
      </c>
      <c r="K5" s="55">
        <v>85.656999999999996</v>
      </c>
      <c r="L5" s="55">
        <v>87.677000000000007</v>
      </c>
      <c r="M5" s="55">
        <v>89.679000000000002</v>
      </c>
      <c r="N5" s="55">
        <v>90.68</v>
      </c>
      <c r="O5" s="55">
        <v>90.68</v>
      </c>
      <c r="P5" s="55">
        <v>90.69</v>
      </c>
      <c r="Q5" s="55">
        <v>90.69</v>
      </c>
      <c r="R5" s="55">
        <v>89.156999999999996</v>
      </c>
      <c r="S5" s="55">
        <v>87.656999999999996</v>
      </c>
      <c r="T5" s="55">
        <v>85.447000000000003</v>
      </c>
      <c r="U5" s="55">
        <v>85.447000000000003</v>
      </c>
      <c r="V5" s="55">
        <v>86.466999999999999</v>
      </c>
      <c r="W5" s="55">
        <v>86.513000000000005</v>
      </c>
      <c r="X5" s="55">
        <v>85.561000000000007</v>
      </c>
      <c r="Y5" s="55">
        <v>84.061000000000007</v>
      </c>
      <c r="Z5" s="55">
        <v>82.061000000000007</v>
      </c>
      <c r="AA5" s="55">
        <v>82.061000000000007</v>
      </c>
      <c r="AB5" s="55">
        <v>81.037000000000006</v>
      </c>
      <c r="AC5" s="55">
        <v>80.027000000000001</v>
      </c>
      <c r="AD5" s="55">
        <v>79.037000000000006</v>
      </c>
      <c r="AE5" s="55">
        <v>78.066999999999993</v>
      </c>
      <c r="AF5" s="55">
        <v>79.566999999999993</v>
      </c>
      <c r="AG5" s="55">
        <v>79.566999999999993</v>
      </c>
      <c r="AH5" s="55">
        <v>83.617000000000004</v>
      </c>
      <c r="AI5" s="55">
        <v>83.617000000000004</v>
      </c>
      <c r="AJ5" s="55">
        <v>87.576999999999998</v>
      </c>
      <c r="AK5" s="55">
        <v>94.596999999999994</v>
      </c>
      <c r="AL5" s="55">
        <f t="shared" ref="AL5:AL11" si="0">AK5+25</f>
        <v>119.59699999999999</v>
      </c>
      <c r="AM5" s="55">
        <f>AL5+30</f>
        <v>149.59699999999998</v>
      </c>
      <c r="AN5" s="55">
        <v>150</v>
      </c>
      <c r="AO5" s="55">
        <v>150</v>
      </c>
      <c r="AP5" s="55">
        <v>154</v>
      </c>
      <c r="AQ5" s="55">
        <f>154-7</f>
        <v>147</v>
      </c>
      <c r="AR5" s="55">
        <v>141.25399999999999</v>
      </c>
      <c r="AS5" s="55">
        <v>131.25399999999999</v>
      </c>
      <c r="AT5" s="55">
        <v>132.25399999999999</v>
      </c>
      <c r="AU5" s="55">
        <v>133.274</v>
      </c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67" t="s">
        <v>49</v>
      </c>
    </row>
    <row r="6" spans="2:78" ht="15" customHeight="1" x14ac:dyDescent="0.45">
      <c r="B6" s="3" t="s">
        <v>561</v>
      </c>
      <c r="C6" s="55">
        <v>99.478999999999999</v>
      </c>
      <c r="D6" s="55">
        <v>97.938999999999993</v>
      </c>
      <c r="E6" s="55">
        <v>97.968999999999994</v>
      </c>
      <c r="F6" s="55">
        <v>97.968999999999994</v>
      </c>
      <c r="G6" s="55">
        <v>97.266999999999996</v>
      </c>
      <c r="H6" s="55">
        <v>97.266999999999996</v>
      </c>
      <c r="I6" s="55">
        <v>93.227000000000004</v>
      </c>
      <c r="J6" s="55">
        <v>93.227000000000004</v>
      </c>
      <c r="K6" s="55">
        <v>94.471000000000004</v>
      </c>
      <c r="L6" s="55">
        <v>95.411000000000001</v>
      </c>
      <c r="M6" s="55">
        <v>96.444999999999993</v>
      </c>
      <c r="N6" s="55">
        <v>96.444999999999993</v>
      </c>
      <c r="O6" s="55">
        <v>96.444999999999993</v>
      </c>
      <c r="P6" s="55">
        <v>97.825000000000003</v>
      </c>
      <c r="Q6" s="55">
        <v>97.825000000000003</v>
      </c>
      <c r="R6" s="55">
        <v>97.831000000000003</v>
      </c>
      <c r="S6" s="55">
        <v>95.790999999999997</v>
      </c>
      <c r="T6" s="55">
        <v>90.760999999999996</v>
      </c>
      <c r="U6" s="55">
        <v>91.021000000000001</v>
      </c>
      <c r="V6" s="55">
        <v>90.840999999999994</v>
      </c>
      <c r="W6" s="55">
        <v>92.382000000000005</v>
      </c>
      <c r="X6" s="55">
        <v>94.86</v>
      </c>
      <c r="Y6" s="55">
        <v>94.86</v>
      </c>
      <c r="Z6" s="55">
        <v>92.231999999999999</v>
      </c>
      <c r="AA6" s="55">
        <v>92.231999999999999</v>
      </c>
      <c r="AB6" s="55">
        <v>91.448999999999998</v>
      </c>
      <c r="AC6" s="55">
        <v>91.299000000000007</v>
      </c>
      <c r="AD6" s="55">
        <v>91.299000000000007</v>
      </c>
      <c r="AE6" s="55">
        <v>88.602000000000004</v>
      </c>
      <c r="AF6" s="55">
        <v>89.141999999999996</v>
      </c>
      <c r="AG6" s="55">
        <v>89.141999999999996</v>
      </c>
      <c r="AH6" s="55">
        <v>91.742000000000004</v>
      </c>
      <c r="AI6" s="55">
        <v>91.742000000000004</v>
      </c>
      <c r="AJ6" s="55">
        <v>94.262</v>
      </c>
      <c r="AK6" s="55">
        <f>94.262+6</f>
        <v>100.262</v>
      </c>
      <c r="AL6" s="55">
        <f t="shared" si="0"/>
        <v>125.262</v>
      </c>
      <c r="AM6" s="55">
        <f t="shared" ref="AM6:AM11" si="1">AL6+30</f>
        <v>155.262</v>
      </c>
      <c r="AN6" s="55">
        <v>160</v>
      </c>
      <c r="AO6" s="55">
        <v>160</v>
      </c>
      <c r="AP6" s="55">
        <v>166.81200000000001</v>
      </c>
      <c r="AQ6" s="55">
        <v>166.81200000000001</v>
      </c>
      <c r="AR6" s="55">
        <v>156.83699999999999</v>
      </c>
      <c r="AS6" s="55">
        <v>153.83699999999999</v>
      </c>
      <c r="AT6" s="55">
        <v>154.83699999999999</v>
      </c>
      <c r="AU6" s="55">
        <v>155.83699999999999</v>
      </c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67" t="s">
        <v>49</v>
      </c>
    </row>
    <row r="7" spans="2:78" ht="15" customHeight="1" x14ac:dyDescent="0.45">
      <c r="B7" s="3" t="s">
        <v>249</v>
      </c>
      <c r="C7" s="55">
        <v>85.575999999999993</v>
      </c>
      <c r="D7" s="55">
        <v>83.575999999999993</v>
      </c>
      <c r="E7" s="55">
        <v>84.956000000000003</v>
      </c>
      <c r="F7" s="55">
        <v>84.956000000000003</v>
      </c>
      <c r="G7" s="55">
        <v>84.323999999999998</v>
      </c>
      <c r="H7" s="55">
        <v>84.323999999999998</v>
      </c>
      <c r="I7" s="55">
        <v>82.584000000000003</v>
      </c>
      <c r="J7" s="55">
        <v>82.584000000000003</v>
      </c>
      <c r="K7" s="55">
        <v>85.126999999999995</v>
      </c>
      <c r="L7" s="55">
        <v>86.587000000000003</v>
      </c>
      <c r="M7" s="55">
        <v>88.649000000000001</v>
      </c>
      <c r="N7" s="55">
        <v>88.649000000000001</v>
      </c>
      <c r="O7" s="55">
        <v>88.649000000000001</v>
      </c>
      <c r="P7" s="55">
        <v>89.99</v>
      </c>
      <c r="Q7" s="55">
        <v>89.99</v>
      </c>
      <c r="R7" s="55">
        <v>89.997</v>
      </c>
      <c r="S7" s="55">
        <v>87.867000000000004</v>
      </c>
      <c r="T7" s="55">
        <v>85.706999999999994</v>
      </c>
      <c r="U7" s="55">
        <v>85.706999999999994</v>
      </c>
      <c r="V7" s="55">
        <v>84.427000000000007</v>
      </c>
      <c r="W7" s="55">
        <v>85.503</v>
      </c>
      <c r="X7" s="55">
        <v>87.191000000000003</v>
      </c>
      <c r="Y7" s="55">
        <v>87.191000000000003</v>
      </c>
      <c r="Z7" s="55">
        <v>85.980999999999995</v>
      </c>
      <c r="AA7" s="55">
        <v>85.980999999999995</v>
      </c>
      <c r="AB7" s="55">
        <v>83.867000000000004</v>
      </c>
      <c r="AC7" s="55">
        <v>83.867000000000004</v>
      </c>
      <c r="AD7" s="55">
        <v>83.867000000000004</v>
      </c>
      <c r="AE7" s="55">
        <v>80.917000000000002</v>
      </c>
      <c r="AF7" s="55">
        <v>81.427000000000007</v>
      </c>
      <c r="AG7" s="55">
        <v>81.427000000000007</v>
      </c>
      <c r="AH7" s="55">
        <v>83.977000000000004</v>
      </c>
      <c r="AI7" s="55">
        <v>83.977000000000004</v>
      </c>
      <c r="AJ7" s="55">
        <v>86.966999999999999</v>
      </c>
      <c r="AK7" s="55">
        <f>86.967+6</f>
        <v>92.966999999999999</v>
      </c>
      <c r="AL7" s="55">
        <f t="shared" si="0"/>
        <v>117.967</v>
      </c>
      <c r="AM7" s="55">
        <f t="shared" si="1"/>
        <v>147.96699999999998</v>
      </c>
      <c r="AN7" s="55">
        <v>150</v>
      </c>
      <c r="AO7" s="55">
        <v>150</v>
      </c>
      <c r="AP7" s="55">
        <v>163.084</v>
      </c>
      <c r="AQ7" s="55">
        <v>163.084</v>
      </c>
      <c r="AR7" s="55">
        <v>146.084</v>
      </c>
      <c r="AS7" s="55">
        <v>139.084</v>
      </c>
      <c r="AT7" s="55">
        <v>140.084</v>
      </c>
      <c r="AU7" s="55">
        <v>141.084</v>
      </c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67" t="s">
        <v>49</v>
      </c>
    </row>
    <row r="8" spans="2:78" ht="15" customHeight="1" x14ac:dyDescent="0.45">
      <c r="B8" s="3" t="s">
        <v>250</v>
      </c>
      <c r="C8" s="55">
        <v>104.836</v>
      </c>
      <c r="D8" s="55">
        <v>102.886</v>
      </c>
      <c r="E8" s="55">
        <v>102.926</v>
      </c>
      <c r="F8" s="55">
        <v>102.926</v>
      </c>
      <c r="G8" s="55">
        <v>100.464</v>
      </c>
      <c r="H8" s="55">
        <v>100.464</v>
      </c>
      <c r="I8" s="55">
        <v>98.974000000000004</v>
      </c>
      <c r="J8" s="55">
        <v>98.974000000000004</v>
      </c>
      <c r="K8" s="55">
        <v>100.28700000000001</v>
      </c>
      <c r="L8" s="55">
        <v>101.807</v>
      </c>
      <c r="M8" s="55">
        <v>103.889</v>
      </c>
      <c r="N8" s="55">
        <v>103.889</v>
      </c>
      <c r="O8" s="55">
        <v>103.889</v>
      </c>
      <c r="P8" s="55">
        <v>106.03</v>
      </c>
      <c r="Q8" s="55">
        <v>106.03</v>
      </c>
      <c r="R8" s="55">
        <v>107.017</v>
      </c>
      <c r="S8" s="55">
        <v>105.937</v>
      </c>
      <c r="T8" s="55">
        <v>105.39700000000001</v>
      </c>
      <c r="U8" s="55">
        <v>105.39700000000001</v>
      </c>
      <c r="V8" s="55">
        <v>103.137</v>
      </c>
      <c r="W8" s="55">
        <v>104.583</v>
      </c>
      <c r="X8" s="55">
        <v>106.761</v>
      </c>
      <c r="Y8" s="55">
        <v>106.761</v>
      </c>
      <c r="Z8" s="55">
        <v>104.491</v>
      </c>
      <c r="AA8" s="55">
        <v>104.491</v>
      </c>
      <c r="AB8" s="55">
        <v>101.887</v>
      </c>
      <c r="AC8" s="55">
        <v>101.717</v>
      </c>
      <c r="AD8" s="55">
        <v>101.717</v>
      </c>
      <c r="AE8" s="55">
        <v>99.247</v>
      </c>
      <c r="AF8" s="55">
        <v>99.546999999999997</v>
      </c>
      <c r="AG8" s="55">
        <v>99.546999999999997</v>
      </c>
      <c r="AH8" s="55">
        <v>102.167</v>
      </c>
      <c r="AI8" s="55">
        <v>102.167</v>
      </c>
      <c r="AJ8" s="55">
        <v>103.187</v>
      </c>
      <c r="AK8" s="55">
        <f>103.187+6</f>
        <v>109.187</v>
      </c>
      <c r="AL8" s="55">
        <f t="shared" si="0"/>
        <v>134.18700000000001</v>
      </c>
      <c r="AM8" s="55">
        <f t="shared" si="1"/>
        <v>164.18700000000001</v>
      </c>
      <c r="AN8" s="55">
        <v>170</v>
      </c>
      <c r="AO8" s="55">
        <v>171.274</v>
      </c>
      <c r="AP8" s="55">
        <v>180.88399999999999</v>
      </c>
      <c r="AQ8" s="55">
        <v>180.88399999999999</v>
      </c>
      <c r="AR8" s="55">
        <v>174.88399999999999</v>
      </c>
      <c r="AS8" s="55">
        <v>168.88399999999999</v>
      </c>
      <c r="AT8" s="55">
        <v>169.88399999999999</v>
      </c>
      <c r="AU8" s="55">
        <v>170.88399999999999</v>
      </c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67" t="s">
        <v>49</v>
      </c>
    </row>
    <row r="9" spans="2:78" ht="15" customHeight="1" x14ac:dyDescent="0.45">
      <c r="B9" s="3" t="s">
        <v>562</v>
      </c>
      <c r="C9" s="55">
        <v>129.29300000000001</v>
      </c>
      <c r="D9" s="55">
        <v>127.74299999999999</v>
      </c>
      <c r="E9" s="55">
        <v>127.783</v>
      </c>
      <c r="F9" s="55">
        <v>127.783</v>
      </c>
      <c r="G9" s="55">
        <v>124.51300000000001</v>
      </c>
      <c r="H9" s="55">
        <v>124.51300000000001</v>
      </c>
      <c r="I9" s="55">
        <v>114.173</v>
      </c>
      <c r="J9" s="55">
        <v>114.173</v>
      </c>
      <c r="K9" s="55">
        <v>115.70099999999999</v>
      </c>
      <c r="L9" s="55">
        <v>117.211</v>
      </c>
      <c r="M9" s="55">
        <v>118.259</v>
      </c>
      <c r="N9" s="55">
        <v>118.259</v>
      </c>
      <c r="O9" s="55">
        <v>118.259</v>
      </c>
      <c r="P9" s="55">
        <v>120.33</v>
      </c>
      <c r="Q9" s="55">
        <v>120.33</v>
      </c>
      <c r="R9" s="55">
        <v>122.492</v>
      </c>
      <c r="S9" s="55">
        <v>120.22199999999999</v>
      </c>
      <c r="T9" s="55">
        <v>119.61199999999999</v>
      </c>
      <c r="U9" s="55">
        <v>119.61199999999999</v>
      </c>
      <c r="V9" s="55">
        <v>115.61199999999999</v>
      </c>
      <c r="W9" s="55">
        <v>116.696</v>
      </c>
      <c r="X9" s="55">
        <v>118.476</v>
      </c>
      <c r="Y9" s="55">
        <v>118.476</v>
      </c>
      <c r="Z9" s="55">
        <v>113.426</v>
      </c>
      <c r="AA9" s="55">
        <v>113.426</v>
      </c>
      <c r="AB9" s="55">
        <v>110.36199999999999</v>
      </c>
      <c r="AC9" s="55">
        <v>110.182</v>
      </c>
      <c r="AD9" s="55">
        <v>110.182</v>
      </c>
      <c r="AE9" s="55">
        <v>105.642</v>
      </c>
      <c r="AF9" s="55">
        <v>105.991</v>
      </c>
      <c r="AG9" s="55">
        <v>105.991</v>
      </c>
      <c r="AH9" s="55">
        <v>108.541</v>
      </c>
      <c r="AI9" s="55">
        <v>108.541</v>
      </c>
      <c r="AJ9" s="55">
        <v>109.571</v>
      </c>
      <c r="AK9" s="55">
        <f>109.571+7</f>
        <v>116.571</v>
      </c>
      <c r="AL9" s="55">
        <f t="shared" si="0"/>
        <v>141.571</v>
      </c>
      <c r="AM9" s="55">
        <f t="shared" si="1"/>
        <v>171.571</v>
      </c>
      <c r="AN9" s="55">
        <v>175</v>
      </c>
      <c r="AO9" s="55">
        <v>185.922</v>
      </c>
      <c r="AP9" s="55">
        <v>196.63200000000001</v>
      </c>
      <c r="AQ9" s="55">
        <v>196.63200000000001</v>
      </c>
      <c r="AR9" s="55">
        <v>183.63200000000001</v>
      </c>
      <c r="AS9" s="55">
        <v>173.63200000000001</v>
      </c>
      <c r="AT9" s="55">
        <v>173.63200000000001</v>
      </c>
      <c r="AU9" s="55">
        <v>173.63200000000001</v>
      </c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67" t="s">
        <v>49</v>
      </c>
    </row>
    <row r="10" spans="2:78" ht="15" customHeight="1" x14ac:dyDescent="0.45">
      <c r="B10" s="3" t="s">
        <v>252</v>
      </c>
      <c r="C10" s="55">
        <v>94.445999999999998</v>
      </c>
      <c r="D10" s="55">
        <v>92.456000000000003</v>
      </c>
      <c r="E10" s="55">
        <v>91.245999999999995</v>
      </c>
      <c r="F10" s="55">
        <v>91.245999999999995</v>
      </c>
      <c r="G10" s="55">
        <v>90.463999999999999</v>
      </c>
      <c r="H10" s="55">
        <v>90.463999999999999</v>
      </c>
      <c r="I10" s="55">
        <v>90.463999999999999</v>
      </c>
      <c r="J10" s="55">
        <v>88.483999999999995</v>
      </c>
      <c r="K10" s="55">
        <v>89.647000000000006</v>
      </c>
      <c r="L10" s="55">
        <v>91.667000000000002</v>
      </c>
      <c r="M10" s="55">
        <v>93.668999999999997</v>
      </c>
      <c r="N10" s="55">
        <v>94.67</v>
      </c>
      <c r="O10" s="55">
        <v>94.67</v>
      </c>
      <c r="P10" s="55">
        <v>94.68</v>
      </c>
      <c r="Q10" s="55">
        <v>94.68</v>
      </c>
      <c r="R10" s="55">
        <v>93.147000000000006</v>
      </c>
      <c r="S10" s="55">
        <v>91.447000000000003</v>
      </c>
      <c r="T10" s="55">
        <v>88.436999999999998</v>
      </c>
      <c r="U10" s="55">
        <v>88.436999999999998</v>
      </c>
      <c r="V10" s="55">
        <v>89.456999999999994</v>
      </c>
      <c r="W10" s="55">
        <v>89.503</v>
      </c>
      <c r="X10" s="55">
        <v>88.551000000000002</v>
      </c>
      <c r="Y10" s="55">
        <v>87.051000000000002</v>
      </c>
      <c r="Z10" s="55">
        <v>85.051000000000002</v>
      </c>
      <c r="AA10" s="55">
        <v>85.051000000000002</v>
      </c>
      <c r="AB10" s="55">
        <v>84.027000000000001</v>
      </c>
      <c r="AC10" s="55">
        <v>83.016999999999996</v>
      </c>
      <c r="AD10" s="55">
        <v>82.027000000000001</v>
      </c>
      <c r="AE10" s="55">
        <v>81.046999999999997</v>
      </c>
      <c r="AF10" s="55">
        <v>82.557000000000002</v>
      </c>
      <c r="AG10" s="55">
        <v>82.557000000000002</v>
      </c>
      <c r="AH10" s="55">
        <v>86.606999999999999</v>
      </c>
      <c r="AI10" s="55">
        <v>86.606999999999999</v>
      </c>
      <c r="AJ10" s="55">
        <v>90.566999999999993</v>
      </c>
      <c r="AK10" s="55">
        <f>90.567+6</f>
        <v>96.566999999999993</v>
      </c>
      <c r="AL10" s="55">
        <f t="shared" si="0"/>
        <v>121.56699999999999</v>
      </c>
      <c r="AM10" s="55">
        <f t="shared" si="1"/>
        <v>151.56700000000001</v>
      </c>
      <c r="AN10" s="55">
        <v>160</v>
      </c>
      <c r="AO10" s="55">
        <v>160</v>
      </c>
      <c r="AP10" s="55">
        <v>160</v>
      </c>
      <c r="AQ10" s="55">
        <f>160-7</f>
        <v>153</v>
      </c>
      <c r="AR10" s="55">
        <v>142.494</v>
      </c>
      <c r="AS10" s="55">
        <v>132.54400000000001</v>
      </c>
      <c r="AT10" s="55">
        <v>133.54400000000001</v>
      </c>
      <c r="AU10" s="55">
        <v>134.56399999999999</v>
      </c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67" t="s">
        <v>49</v>
      </c>
    </row>
    <row r="11" spans="2:78" ht="15" customHeight="1" x14ac:dyDescent="0.45">
      <c r="B11" s="3" t="s">
        <v>563</v>
      </c>
      <c r="C11" s="55">
        <v>103.15600000000001</v>
      </c>
      <c r="D11" s="55">
        <v>101.206</v>
      </c>
      <c r="E11" s="55">
        <v>101.246</v>
      </c>
      <c r="F11" s="55">
        <v>101.246</v>
      </c>
      <c r="G11" s="55">
        <v>98.784000000000006</v>
      </c>
      <c r="H11" s="55">
        <v>98.784000000000006</v>
      </c>
      <c r="I11" s="55">
        <v>97.284000000000006</v>
      </c>
      <c r="J11" s="55">
        <v>97.284000000000006</v>
      </c>
      <c r="K11" s="55">
        <v>98.576999999999998</v>
      </c>
      <c r="L11" s="55">
        <v>100.077</v>
      </c>
      <c r="M11" s="55">
        <v>102.15900000000001</v>
      </c>
      <c r="N11" s="55">
        <v>102.15900000000001</v>
      </c>
      <c r="O11" s="55">
        <v>102.15900000000001</v>
      </c>
      <c r="P11" s="55">
        <v>104.289</v>
      </c>
      <c r="Q11" s="55">
        <v>104.289</v>
      </c>
      <c r="R11" s="55">
        <v>105.297</v>
      </c>
      <c r="S11" s="55">
        <v>104.217</v>
      </c>
      <c r="T11" s="55">
        <v>103.687</v>
      </c>
      <c r="U11" s="55">
        <v>103.687</v>
      </c>
      <c r="V11" s="55">
        <v>103.687</v>
      </c>
      <c r="W11" s="55">
        <v>102.863</v>
      </c>
      <c r="X11" s="55">
        <v>104.991</v>
      </c>
      <c r="Y11" s="55">
        <v>104.991</v>
      </c>
      <c r="Z11" s="55">
        <v>102.721</v>
      </c>
      <c r="AA11" s="55">
        <v>102.721</v>
      </c>
      <c r="AB11" s="55">
        <v>100.09699999999999</v>
      </c>
      <c r="AC11" s="55">
        <v>99.936999999999998</v>
      </c>
      <c r="AD11" s="55">
        <v>99.936999999999998</v>
      </c>
      <c r="AE11" s="55">
        <v>97.447000000000003</v>
      </c>
      <c r="AF11" s="55">
        <v>97.736999999999995</v>
      </c>
      <c r="AG11" s="55">
        <v>97.736999999999995</v>
      </c>
      <c r="AH11" s="55">
        <v>100.327</v>
      </c>
      <c r="AI11" s="55">
        <v>100.327</v>
      </c>
      <c r="AJ11" s="55">
        <v>101.367</v>
      </c>
      <c r="AK11" s="55">
        <v>101.367</v>
      </c>
      <c r="AL11" s="55">
        <f t="shared" si="0"/>
        <v>126.367</v>
      </c>
      <c r="AM11" s="55">
        <f t="shared" si="1"/>
        <v>156.36700000000002</v>
      </c>
      <c r="AN11" s="55">
        <v>164</v>
      </c>
      <c r="AO11" s="55">
        <v>169.35400000000001</v>
      </c>
      <c r="AP11" s="55">
        <v>179.20400000000001</v>
      </c>
      <c r="AQ11" s="55">
        <v>179.20400000000001</v>
      </c>
      <c r="AR11" s="55">
        <v>170.20400000000001</v>
      </c>
      <c r="AS11" s="55">
        <v>161.20400000000001</v>
      </c>
      <c r="AT11" s="55">
        <v>161.20400000000001</v>
      </c>
      <c r="AU11" s="55">
        <v>170.88399999999999</v>
      </c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67" t="s">
        <v>49</v>
      </c>
    </row>
    <row r="12" spans="2:78" ht="15" customHeight="1" x14ac:dyDescent="0.45">
      <c r="B12" s="3" t="s">
        <v>254</v>
      </c>
      <c r="C12" s="55">
        <v>60</v>
      </c>
      <c r="D12" s="55">
        <v>60</v>
      </c>
      <c r="E12" s="55">
        <v>60</v>
      </c>
      <c r="F12" s="55">
        <v>60</v>
      </c>
      <c r="G12" s="55">
        <v>60</v>
      </c>
      <c r="H12" s="55">
        <v>60</v>
      </c>
      <c r="I12" s="55">
        <v>60</v>
      </c>
      <c r="J12" s="55">
        <v>60</v>
      </c>
      <c r="K12" s="55">
        <v>60</v>
      </c>
      <c r="L12" s="55">
        <v>60</v>
      </c>
      <c r="M12" s="55">
        <v>60</v>
      </c>
      <c r="N12" s="55">
        <v>60</v>
      </c>
      <c r="O12" s="55">
        <v>60</v>
      </c>
      <c r="P12" s="55">
        <v>60</v>
      </c>
      <c r="Q12" s="55">
        <v>60</v>
      </c>
      <c r="R12" s="55">
        <v>60</v>
      </c>
      <c r="S12" s="55">
        <v>60</v>
      </c>
      <c r="T12" s="55">
        <v>60</v>
      </c>
      <c r="U12" s="55">
        <v>60</v>
      </c>
      <c r="V12" s="55">
        <v>60</v>
      </c>
      <c r="W12" s="55">
        <v>60</v>
      </c>
      <c r="X12" s="55">
        <v>60</v>
      </c>
      <c r="Y12" s="55">
        <v>60</v>
      </c>
      <c r="Z12" s="55">
        <v>60</v>
      </c>
      <c r="AA12" s="55">
        <v>60</v>
      </c>
      <c r="AB12" s="55">
        <v>60</v>
      </c>
      <c r="AC12" s="55">
        <v>60</v>
      </c>
      <c r="AD12" s="55">
        <v>60</v>
      </c>
      <c r="AE12" s="55">
        <v>60</v>
      </c>
      <c r="AF12" s="55">
        <v>60</v>
      </c>
      <c r="AG12" s="55">
        <v>60</v>
      </c>
      <c r="AH12" s="55">
        <v>60</v>
      </c>
      <c r="AI12" s="55">
        <v>60</v>
      </c>
      <c r="AJ12" s="55">
        <v>60</v>
      </c>
      <c r="AK12" s="55">
        <v>60</v>
      </c>
      <c r="AL12" s="55">
        <v>60</v>
      </c>
      <c r="AM12" s="55">
        <v>70</v>
      </c>
      <c r="AN12" s="55">
        <v>70</v>
      </c>
      <c r="AO12" s="55">
        <v>70</v>
      </c>
      <c r="AP12" s="55">
        <v>70</v>
      </c>
      <c r="AQ12" s="55">
        <v>70</v>
      </c>
      <c r="AR12" s="55">
        <v>70</v>
      </c>
      <c r="AS12" s="55">
        <v>70</v>
      </c>
      <c r="AT12" s="55">
        <v>70</v>
      </c>
      <c r="AU12" s="55">
        <v>70</v>
      </c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67" t="s">
        <v>49</v>
      </c>
    </row>
    <row r="13" spans="2:78" ht="15" customHeight="1" x14ac:dyDescent="0.45">
      <c r="B13" s="3" t="s">
        <v>255</v>
      </c>
      <c r="C13" s="55">
        <v>32</v>
      </c>
      <c r="D13" s="55">
        <v>32</v>
      </c>
      <c r="E13" s="55">
        <v>32</v>
      </c>
      <c r="F13" s="55">
        <v>32</v>
      </c>
      <c r="G13" s="55">
        <v>32</v>
      </c>
      <c r="H13" s="55">
        <v>32</v>
      </c>
      <c r="I13" s="55">
        <v>32</v>
      </c>
      <c r="J13" s="55">
        <v>32</v>
      </c>
      <c r="K13" s="55">
        <v>32</v>
      </c>
      <c r="L13" s="55">
        <v>32</v>
      </c>
      <c r="M13" s="55">
        <v>32</v>
      </c>
      <c r="N13" s="55">
        <v>32</v>
      </c>
      <c r="O13" s="55">
        <v>32</v>
      </c>
      <c r="P13" s="55">
        <v>32</v>
      </c>
      <c r="Q13" s="55">
        <v>32</v>
      </c>
      <c r="R13" s="55">
        <v>32</v>
      </c>
      <c r="S13" s="55">
        <v>32</v>
      </c>
      <c r="T13" s="55">
        <v>32</v>
      </c>
      <c r="U13" s="55">
        <v>32</v>
      </c>
      <c r="V13" s="55">
        <v>32</v>
      </c>
      <c r="W13" s="55">
        <v>32</v>
      </c>
      <c r="X13" s="55">
        <v>32</v>
      </c>
      <c r="Y13" s="55">
        <v>32</v>
      </c>
      <c r="Z13" s="55">
        <v>32</v>
      </c>
      <c r="AA13" s="55">
        <v>32</v>
      </c>
      <c r="AB13" s="55">
        <v>32</v>
      </c>
      <c r="AC13" s="55">
        <v>32</v>
      </c>
      <c r="AD13" s="55">
        <v>32</v>
      </c>
      <c r="AE13" s="55">
        <v>32</v>
      </c>
      <c r="AF13" s="55">
        <v>32</v>
      </c>
      <c r="AG13" s="55">
        <v>32</v>
      </c>
      <c r="AH13" s="55">
        <v>32</v>
      </c>
      <c r="AI13" s="55">
        <v>32</v>
      </c>
      <c r="AJ13" s="55">
        <v>32</v>
      </c>
      <c r="AK13" s="55">
        <v>32</v>
      </c>
      <c r="AL13" s="55">
        <v>36</v>
      </c>
      <c r="AM13" s="55">
        <v>41</v>
      </c>
      <c r="AN13" s="55">
        <v>41</v>
      </c>
      <c r="AO13" s="55">
        <v>41</v>
      </c>
      <c r="AP13" s="55">
        <v>41</v>
      </c>
      <c r="AQ13" s="55">
        <v>41</v>
      </c>
      <c r="AR13" s="55">
        <v>40</v>
      </c>
      <c r="AS13" s="55">
        <v>40</v>
      </c>
      <c r="AT13" s="55">
        <v>40</v>
      </c>
      <c r="AU13" s="55">
        <v>40</v>
      </c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67" t="s">
        <v>49</v>
      </c>
    </row>
    <row r="14" spans="2:78" ht="15" customHeight="1" x14ac:dyDescent="0.45">
      <c r="B14" s="3" t="s">
        <v>256</v>
      </c>
      <c r="C14" s="55">
        <v>44</v>
      </c>
      <c r="D14" s="55">
        <v>44</v>
      </c>
      <c r="E14" s="55">
        <v>44</v>
      </c>
      <c r="F14" s="55">
        <v>44</v>
      </c>
      <c r="G14" s="55">
        <v>44</v>
      </c>
      <c r="H14" s="55">
        <v>44</v>
      </c>
      <c r="I14" s="55">
        <v>44</v>
      </c>
      <c r="J14" s="55">
        <v>44</v>
      </c>
      <c r="K14" s="55">
        <v>44</v>
      </c>
      <c r="L14" s="55">
        <v>44</v>
      </c>
      <c r="M14" s="55">
        <v>44</v>
      </c>
      <c r="N14" s="55">
        <v>44</v>
      </c>
      <c r="O14" s="55">
        <v>44</v>
      </c>
      <c r="P14" s="55">
        <v>44</v>
      </c>
      <c r="Q14" s="55">
        <v>44</v>
      </c>
      <c r="R14" s="55">
        <v>44</v>
      </c>
      <c r="S14" s="55">
        <v>44</v>
      </c>
      <c r="T14" s="55">
        <v>44</v>
      </c>
      <c r="U14" s="55">
        <v>44</v>
      </c>
      <c r="V14" s="55">
        <v>44</v>
      </c>
      <c r="W14" s="55">
        <v>44</v>
      </c>
      <c r="X14" s="55">
        <v>44</v>
      </c>
      <c r="Y14" s="55">
        <v>44</v>
      </c>
      <c r="Z14" s="55">
        <v>44</v>
      </c>
      <c r="AA14" s="55">
        <v>44</v>
      </c>
      <c r="AB14" s="55">
        <v>44</v>
      </c>
      <c r="AC14" s="55">
        <v>44</v>
      </c>
      <c r="AD14" s="55">
        <v>44</v>
      </c>
      <c r="AE14" s="55">
        <v>44</v>
      </c>
      <c r="AF14" s="55">
        <v>44</v>
      </c>
      <c r="AG14" s="55">
        <v>44</v>
      </c>
      <c r="AH14" s="55">
        <v>44</v>
      </c>
      <c r="AI14" s="55">
        <v>44</v>
      </c>
      <c r="AJ14" s="55">
        <v>44</v>
      </c>
      <c r="AK14" s="55">
        <v>44</v>
      </c>
      <c r="AL14" s="55">
        <v>52</v>
      </c>
      <c r="AM14" s="55">
        <v>56</v>
      </c>
      <c r="AN14" s="55">
        <v>56</v>
      </c>
      <c r="AO14" s="55">
        <v>56</v>
      </c>
      <c r="AP14" s="55">
        <v>56</v>
      </c>
      <c r="AQ14" s="55">
        <v>56</v>
      </c>
      <c r="AR14" s="55">
        <v>56</v>
      </c>
      <c r="AS14" s="55">
        <v>56</v>
      </c>
      <c r="AT14" s="55">
        <v>56</v>
      </c>
      <c r="AU14" s="55">
        <v>56</v>
      </c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67" t="s">
        <v>49</v>
      </c>
    </row>
    <row r="15" spans="2:78" ht="15" customHeight="1" x14ac:dyDescent="0.45">
      <c r="B15" s="3" t="s">
        <v>257</v>
      </c>
      <c r="C15" s="55">
        <v>220</v>
      </c>
      <c r="D15" s="55">
        <v>220</v>
      </c>
      <c r="E15" s="55">
        <v>220</v>
      </c>
      <c r="F15" s="55">
        <v>220</v>
      </c>
      <c r="G15" s="55">
        <v>220</v>
      </c>
      <c r="H15" s="55">
        <v>220</v>
      </c>
      <c r="I15" s="55">
        <v>220</v>
      </c>
      <c r="J15" s="55">
        <v>220</v>
      </c>
      <c r="K15" s="55">
        <v>220</v>
      </c>
      <c r="L15" s="55">
        <v>220</v>
      </c>
      <c r="M15" s="55">
        <v>220</v>
      </c>
      <c r="N15" s="55">
        <v>220</v>
      </c>
      <c r="O15" s="55">
        <v>220</v>
      </c>
      <c r="P15" s="55">
        <v>220</v>
      </c>
      <c r="Q15" s="55">
        <v>220</v>
      </c>
      <c r="R15" s="55">
        <v>220</v>
      </c>
      <c r="S15" s="55">
        <v>220</v>
      </c>
      <c r="T15" s="55">
        <v>220</v>
      </c>
      <c r="U15" s="55">
        <v>220</v>
      </c>
      <c r="V15" s="55">
        <v>220</v>
      </c>
      <c r="W15" s="55">
        <v>220</v>
      </c>
      <c r="X15" s="55">
        <v>220</v>
      </c>
      <c r="Y15" s="55">
        <v>220</v>
      </c>
      <c r="Z15" s="55">
        <v>220</v>
      </c>
      <c r="AA15" s="55">
        <v>220</v>
      </c>
      <c r="AB15" s="55">
        <v>220</v>
      </c>
      <c r="AC15" s="55">
        <v>220</v>
      </c>
      <c r="AD15" s="55">
        <v>220</v>
      </c>
      <c r="AE15" s="55">
        <v>220</v>
      </c>
      <c r="AF15" s="55">
        <v>220</v>
      </c>
      <c r="AG15" s="55">
        <v>220</v>
      </c>
      <c r="AH15" s="55">
        <v>220</v>
      </c>
      <c r="AI15" s="55">
        <v>220</v>
      </c>
      <c r="AJ15" s="55">
        <v>220</v>
      </c>
      <c r="AK15" s="55">
        <v>220</v>
      </c>
      <c r="AL15" s="55">
        <v>240</v>
      </c>
      <c r="AM15" s="55">
        <v>240</v>
      </c>
      <c r="AN15" s="55">
        <v>240</v>
      </c>
      <c r="AO15" s="55">
        <v>240</v>
      </c>
      <c r="AP15" s="55">
        <v>280</v>
      </c>
      <c r="AQ15" s="55">
        <v>280</v>
      </c>
      <c r="AR15" s="55">
        <v>280</v>
      </c>
      <c r="AS15" s="55">
        <v>280</v>
      </c>
      <c r="AT15" s="55">
        <v>280</v>
      </c>
      <c r="AU15" s="55">
        <v>280</v>
      </c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67" t="s">
        <v>49</v>
      </c>
    </row>
    <row r="16" spans="2:78" ht="15" customHeight="1" x14ac:dyDescent="0.45">
      <c r="B16" s="3" t="s">
        <v>258</v>
      </c>
      <c r="C16" s="55">
        <v>190</v>
      </c>
      <c r="D16" s="55">
        <v>190</v>
      </c>
      <c r="E16" s="55">
        <v>190</v>
      </c>
      <c r="F16" s="55">
        <v>190</v>
      </c>
      <c r="G16" s="55">
        <v>190</v>
      </c>
      <c r="H16" s="55">
        <v>190</v>
      </c>
      <c r="I16" s="55">
        <v>190</v>
      </c>
      <c r="J16" s="55">
        <v>190</v>
      </c>
      <c r="K16" s="55">
        <v>190</v>
      </c>
      <c r="L16" s="55">
        <v>190</v>
      </c>
      <c r="M16" s="55">
        <v>190</v>
      </c>
      <c r="N16" s="55">
        <v>190</v>
      </c>
      <c r="O16" s="55">
        <v>190</v>
      </c>
      <c r="P16" s="55">
        <v>190</v>
      </c>
      <c r="Q16" s="55">
        <v>190</v>
      </c>
      <c r="R16" s="55">
        <v>190</v>
      </c>
      <c r="S16" s="55">
        <v>190</v>
      </c>
      <c r="T16" s="55">
        <v>190</v>
      </c>
      <c r="U16" s="55">
        <v>190</v>
      </c>
      <c r="V16" s="55">
        <v>190</v>
      </c>
      <c r="W16" s="55">
        <v>190</v>
      </c>
      <c r="X16" s="55">
        <v>190</v>
      </c>
      <c r="Y16" s="55">
        <v>190</v>
      </c>
      <c r="Z16" s="55">
        <v>190</v>
      </c>
      <c r="AA16" s="55">
        <v>190</v>
      </c>
      <c r="AB16" s="55">
        <v>190</v>
      </c>
      <c r="AC16" s="55">
        <v>190</v>
      </c>
      <c r="AD16" s="55">
        <v>190</v>
      </c>
      <c r="AE16" s="55">
        <v>190</v>
      </c>
      <c r="AF16" s="55">
        <v>190</v>
      </c>
      <c r="AG16" s="55">
        <v>190</v>
      </c>
      <c r="AH16" s="55">
        <v>190</v>
      </c>
      <c r="AI16" s="55">
        <v>190</v>
      </c>
      <c r="AJ16" s="55">
        <v>190</v>
      </c>
      <c r="AK16" s="55">
        <v>190</v>
      </c>
      <c r="AL16" s="55">
        <v>220</v>
      </c>
      <c r="AM16" s="55">
        <v>230</v>
      </c>
      <c r="AN16" s="55">
        <v>230</v>
      </c>
      <c r="AO16" s="55">
        <v>230</v>
      </c>
      <c r="AP16" s="55">
        <v>250</v>
      </c>
      <c r="AQ16" s="55">
        <v>250</v>
      </c>
      <c r="AR16" s="55">
        <v>250</v>
      </c>
      <c r="AS16" s="55">
        <v>250</v>
      </c>
      <c r="AT16" s="55">
        <v>250</v>
      </c>
      <c r="AU16" s="55">
        <v>250</v>
      </c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67" t="s">
        <v>49</v>
      </c>
    </row>
    <row r="17" spans="2:78" ht="15" customHeight="1" x14ac:dyDescent="0.45">
      <c r="B17" s="3" t="s">
        <v>259</v>
      </c>
      <c r="C17" s="55">
        <v>140</v>
      </c>
      <c r="D17" s="55">
        <v>140</v>
      </c>
      <c r="E17" s="55">
        <v>140</v>
      </c>
      <c r="F17" s="55">
        <v>140</v>
      </c>
      <c r="G17" s="55">
        <v>1800</v>
      </c>
      <c r="H17" s="55">
        <v>140</v>
      </c>
      <c r="I17" s="55">
        <v>140</v>
      </c>
      <c r="J17" s="55">
        <v>140</v>
      </c>
      <c r="K17" s="55">
        <v>140</v>
      </c>
      <c r="L17" s="55">
        <v>140</v>
      </c>
      <c r="M17" s="55">
        <v>140</v>
      </c>
      <c r="N17" s="55">
        <v>140</v>
      </c>
      <c r="O17" s="55">
        <v>140</v>
      </c>
      <c r="P17" s="55">
        <v>140</v>
      </c>
      <c r="Q17" s="55">
        <v>140</v>
      </c>
      <c r="R17" s="55">
        <v>140</v>
      </c>
      <c r="S17" s="55">
        <v>140</v>
      </c>
      <c r="T17" s="55">
        <v>140</v>
      </c>
      <c r="U17" s="55">
        <v>140</v>
      </c>
      <c r="V17" s="55">
        <v>140</v>
      </c>
      <c r="W17" s="55">
        <v>140</v>
      </c>
      <c r="X17" s="55">
        <v>140</v>
      </c>
      <c r="Y17" s="55">
        <v>140</v>
      </c>
      <c r="Z17" s="55">
        <v>140</v>
      </c>
      <c r="AA17" s="55">
        <v>140</v>
      </c>
      <c r="AB17" s="55">
        <v>140</v>
      </c>
      <c r="AC17" s="55">
        <v>140</v>
      </c>
      <c r="AD17" s="55">
        <v>140</v>
      </c>
      <c r="AE17" s="55">
        <v>140</v>
      </c>
      <c r="AF17" s="55">
        <v>140</v>
      </c>
      <c r="AG17" s="55">
        <v>140</v>
      </c>
      <c r="AH17" s="55">
        <v>140</v>
      </c>
      <c r="AI17" s="55">
        <v>140</v>
      </c>
      <c r="AJ17" s="55">
        <v>140</v>
      </c>
      <c r="AK17" s="55">
        <v>140</v>
      </c>
      <c r="AL17" s="55">
        <v>160</v>
      </c>
      <c r="AM17" s="55">
        <v>160</v>
      </c>
      <c r="AN17" s="55">
        <v>160</v>
      </c>
      <c r="AO17" s="55">
        <v>160</v>
      </c>
      <c r="AP17" s="55">
        <v>160</v>
      </c>
      <c r="AQ17" s="55">
        <v>160</v>
      </c>
      <c r="AR17" s="55">
        <v>160</v>
      </c>
      <c r="AS17" s="55">
        <v>160</v>
      </c>
      <c r="AT17" s="55">
        <v>160</v>
      </c>
      <c r="AU17" s="55">
        <v>160</v>
      </c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67" t="s">
        <v>49</v>
      </c>
    </row>
    <row r="18" spans="2:78" ht="15" customHeight="1" x14ac:dyDescent="0.45">
      <c r="B18" s="3" t="s">
        <v>260</v>
      </c>
      <c r="C18" s="55">
        <v>500</v>
      </c>
      <c r="D18" s="55">
        <v>500</v>
      </c>
      <c r="E18" s="55">
        <v>500</v>
      </c>
      <c r="F18" s="55">
        <v>500</v>
      </c>
      <c r="G18" s="55">
        <v>500</v>
      </c>
      <c r="H18" s="55">
        <v>500</v>
      </c>
      <c r="I18" s="55">
        <v>500</v>
      </c>
      <c r="J18" s="55">
        <v>500</v>
      </c>
      <c r="K18" s="55">
        <v>500</v>
      </c>
      <c r="L18" s="55">
        <v>500</v>
      </c>
      <c r="M18" s="55">
        <v>500</v>
      </c>
      <c r="N18" s="55">
        <v>500</v>
      </c>
      <c r="O18" s="55">
        <v>500</v>
      </c>
      <c r="P18" s="55">
        <v>500</v>
      </c>
      <c r="Q18" s="55">
        <v>500</v>
      </c>
      <c r="R18" s="55">
        <v>500</v>
      </c>
      <c r="S18" s="55">
        <v>500</v>
      </c>
      <c r="T18" s="55">
        <v>500</v>
      </c>
      <c r="U18" s="55">
        <v>500</v>
      </c>
      <c r="V18" s="55">
        <v>500</v>
      </c>
      <c r="W18" s="55">
        <v>500</v>
      </c>
      <c r="X18" s="55">
        <v>500</v>
      </c>
      <c r="Y18" s="55">
        <v>500</v>
      </c>
      <c r="Z18" s="55">
        <v>500</v>
      </c>
      <c r="AA18" s="55">
        <v>500</v>
      </c>
      <c r="AB18" s="55">
        <v>500</v>
      </c>
      <c r="AC18" s="55">
        <v>500</v>
      </c>
      <c r="AD18" s="55">
        <v>500</v>
      </c>
      <c r="AE18" s="55">
        <v>500</v>
      </c>
      <c r="AF18" s="55">
        <v>500</v>
      </c>
      <c r="AG18" s="55">
        <v>500</v>
      </c>
      <c r="AH18" s="55">
        <v>500</v>
      </c>
      <c r="AI18" s="55">
        <v>500</v>
      </c>
      <c r="AJ18" s="55">
        <v>500</v>
      </c>
      <c r="AK18" s="55">
        <v>500</v>
      </c>
      <c r="AL18" s="55">
        <v>500</v>
      </c>
      <c r="AM18" s="55">
        <v>600</v>
      </c>
      <c r="AN18" s="55">
        <v>600</v>
      </c>
      <c r="AO18" s="55">
        <v>600</v>
      </c>
      <c r="AP18" s="55">
        <v>600</v>
      </c>
      <c r="AQ18" s="55">
        <v>600</v>
      </c>
      <c r="AR18" s="55">
        <v>600</v>
      </c>
      <c r="AS18" s="55">
        <v>600</v>
      </c>
      <c r="AT18" s="55">
        <v>600</v>
      </c>
      <c r="AU18" s="55">
        <v>600</v>
      </c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67" t="s">
        <v>49</v>
      </c>
    </row>
    <row r="19" spans="2:78" ht="15" customHeight="1" x14ac:dyDescent="0.45">
      <c r="B19" s="3" t="s">
        <v>261</v>
      </c>
      <c r="C19" s="55">
        <f t="shared" ref="C19:D19" si="2">(68*C10+30*C9+2*220)/100</f>
        <v>107.41117999999999</v>
      </c>
      <c r="D19" s="55">
        <f t="shared" si="2"/>
        <v>105.59297999999998</v>
      </c>
      <c r="E19" s="55">
        <f t="shared" ref="E19:R19" si="3">(68*E10+30*E9+2*220)/100</f>
        <v>104.78218000000001</v>
      </c>
      <c r="F19" s="55">
        <f t="shared" si="3"/>
        <v>104.78218000000001</v>
      </c>
      <c r="G19" s="55">
        <f t="shared" si="3"/>
        <v>103.26942</v>
      </c>
      <c r="H19" s="55">
        <f t="shared" si="3"/>
        <v>103.26942</v>
      </c>
      <c r="I19" s="55">
        <f t="shared" si="3"/>
        <v>100.16742000000001</v>
      </c>
      <c r="J19" s="55">
        <f t="shared" si="3"/>
        <v>98.82101999999999</v>
      </c>
      <c r="K19" s="55">
        <f t="shared" si="3"/>
        <v>100.07026</v>
      </c>
      <c r="L19" s="55">
        <f t="shared" si="3"/>
        <v>101.89686</v>
      </c>
      <c r="M19" s="55">
        <f t="shared" si="3"/>
        <v>103.57262</v>
      </c>
      <c r="N19" s="55">
        <f t="shared" si="3"/>
        <v>104.2533</v>
      </c>
      <c r="O19" s="55">
        <f t="shared" si="3"/>
        <v>104.2533</v>
      </c>
      <c r="P19" s="55">
        <f t="shared" si="3"/>
        <v>104.88140000000001</v>
      </c>
      <c r="Q19" s="55">
        <f t="shared" si="3"/>
        <v>104.88140000000001</v>
      </c>
      <c r="R19" s="55">
        <f t="shared" si="3"/>
        <v>104.48756000000002</v>
      </c>
      <c r="S19" s="55">
        <f t="shared" ref="S19:T19" si="4">(68*S10+30*S9+2*220)/100</f>
        <v>102.65056</v>
      </c>
      <c r="T19" s="55">
        <f t="shared" si="4"/>
        <v>100.42075999999999</v>
      </c>
      <c r="U19" s="55">
        <f t="shared" ref="U19:V19" si="5">(68*U10+30*U9+2*220)/100</f>
        <v>100.42075999999999</v>
      </c>
      <c r="V19" s="55">
        <f t="shared" si="5"/>
        <v>99.914359999999974</v>
      </c>
      <c r="W19" s="55">
        <f t="shared" ref="W19:AB19" si="6">(65*W10+30*W9+5*220)/100</f>
        <v>104.18575000000001</v>
      </c>
      <c r="X19" s="55">
        <f t="shared" si="6"/>
        <v>104.10095000000001</v>
      </c>
      <c r="Y19" s="55">
        <f t="shared" si="6"/>
        <v>103.12595000000002</v>
      </c>
      <c r="Z19" s="55">
        <f t="shared" si="6"/>
        <v>100.31095000000001</v>
      </c>
      <c r="AA19" s="55">
        <f t="shared" si="6"/>
        <v>100.31095000000001</v>
      </c>
      <c r="AB19" s="55">
        <f t="shared" si="6"/>
        <v>98.726150000000004</v>
      </c>
      <c r="AC19" s="55">
        <f t="shared" ref="AC19:AN19" si="7">(65*AC10+30*AC9+5*220)/100</f>
        <v>98.015649999999994</v>
      </c>
      <c r="AD19" s="55">
        <f t="shared" si="7"/>
        <v>97.372150000000005</v>
      </c>
      <c r="AE19" s="55">
        <f t="shared" si="7"/>
        <v>95.373149999999981</v>
      </c>
      <c r="AF19" s="55">
        <f t="shared" si="7"/>
        <v>96.459350000000001</v>
      </c>
      <c r="AG19" s="55">
        <f t="shared" si="7"/>
        <v>96.459350000000001</v>
      </c>
      <c r="AH19" s="55">
        <f t="shared" si="7"/>
        <v>99.856849999999994</v>
      </c>
      <c r="AI19" s="55">
        <f t="shared" si="7"/>
        <v>99.856849999999994</v>
      </c>
      <c r="AJ19" s="55">
        <f t="shared" si="7"/>
        <v>102.73985</v>
      </c>
      <c r="AK19" s="55">
        <f t="shared" si="7"/>
        <v>108.73985</v>
      </c>
      <c r="AL19" s="55">
        <f t="shared" si="7"/>
        <v>132.48985000000002</v>
      </c>
      <c r="AM19" s="55">
        <f t="shared" si="7"/>
        <v>160.98985000000002</v>
      </c>
      <c r="AN19" s="55">
        <f t="shared" si="7"/>
        <v>167.5</v>
      </c>
      <c r="AO19" s="55">
        <f t="shared" ref="AO19:AP19" si="8">(65*AO10+30*AO9+5*220)/100</f>
        <v>170.7766</v>
      </c>
      <c r="AP19" s="55">
        <f t="shared" si="8"/>
        <v>173.9896</v>
      </c>
      <c r="AQ19" s="55">
        <f t="shared" ref="AQ19" si="9">(65*AQ10+30*AQ9+5*220)/100</f>
        <v>169.43959999999998</v>
      </c>
      <c r="AR19" s="55">
        <f>(65*AR10+30*AR9+5*220)/100</f>
        <v>158.7107</v>
      </c>
      <c r="AS19" s="55">
        <f>(65*AS10+30*AS9+5*220)/100</f>
        <v>149.2432</v>
      </c>
      <c r="AT19" s="55">
        <f>(65*AT10+30*AT9+5*220)/100</f>
        <v>149.89320000000001</v>
      </c>
      <c r="AU19" s="55">
        <f>(65*AU10+30*AU9+5*220)/100</f>
        <v>150.55619999999999</v>
      </c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67" t="s">
        <v>49</v>
      </c>
    </row>
    <row r="20" spans="2:78" ht="15" customHeight="1" x14ac:dyDescent="0.45">
      <c r="B20" s="3" t="s">
        <v>262</v>
      </c>
      <c r="C20" s="55">
        <v>86</v>
      </c>
      <c r="D20" s="55">
        <v>86</v>
      </c>
      <c r="E20" s="55">
        <v>86</v>
      </c>
      <c r="F20" s="55">
        <v>86</v>
      </c>
      <c r="G20" s="55">
        <v>86</v>
      </c>
      <c r="H20" s="55">
        <v>86</v>
      </c>
      <c r="I20" s="55">
        <v>86</v>
      </c>
      <c r="J20" s="55">
        <v>86</v>
      </c>
      <c r="K20" s="55">
        <v>86</v>
      </c>
      <c r="L20" s="55">
        <v>86</v>
      </c>
      <c r="M20" s="55">
        <v>88</v>
      </c>
      <c r="N20" s="55">
        <v>88</v>
      </c>
      <c r="O20" s="55">
        <v>88</v>
      </c>
      <c r="P20" s="55">
        <v>88</v>
      </c>
      <c r="Q20" s="55">
        <v>88</v>
      </c>
      <c r="R20" s="55">
        <v>88</v>
      </c>
      <c r="S20" s="55">
        <v>88</v>
      </c>
      <c r="T20" s="55">
        <v>88</v>
      </c>
      <c r="U20" s="55">
        <v>88</v>
      </c>
      <c r="V20" s="55">
        <v>88</v>
      </c>
      <c r="W20" s="55">
        <v>88</v>
      </c>
      <c r="X20" s="55">
        <v>88</v>
      </c>
      <c r="Y20" s="55">
        <v>88</v>
      </c>
      <c r="Z20" s="55">
        <v>88</v>
      </c>
      <c r="AA20" s="55">
        <v>88</v>
      </c>
      <c r="AB20" s="55">
        <v>88</v>
      </c>
      <c r="AC20" s="55">
        <v>88</v>
      </c>
      <c r="AD20" s="55">
        <v>88</v>
      </c>
      <c r="AE20" s="55">
        <v>88</v>
      </c>
      <c r="AF20" s="55">
        <v>88</v>
      </c>
      <c r="AG20" s="55">
        <v>88</v>
      </c>
      <c r="AH20" s="55">
        <v>88</v>
      </c>
      <c r="AI20" s="55">
        <v>88</v>
      </c>
      <c r="AJ20" s="55">
        <v>88</v>
      </c>
      <c r="AK20" s="55">
        <v>88</v>
      </c>
      <c r="AL20" s="55">
        <v>88</v>
      </c>
      <c r="AM20" s="55">
        <v>92</v>
      </c>
      <c r="AN20" s="55">
        <v>92</v>
      </c>
      <c r="AO20" s="55">
        <v>92</v>
      </c>
      <c r="AP20" s="55">
        <v>92</v>
      </c>
      <c r="AQ20" s="55">
        <v>92</v>
      </c>
      <c r="AR20" s="55">
        <v>83</v>
      </c>
      <c r="AS20" s="55">
        <v>83</v>
      </c>
      <c r="AT20" s="55">
        <v>83</v>
      </c>
      <c r="AU20" s="55">
        <v>83</v>
      </c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67" t="s">
        <v>49</v>
      </c>
    </row>
    <row r="21" spans="2:78" ht="15" customHeight="1" x14ac:dyDescent="0.45">
      <c r="B21" s="3" t="s">
        <v>263</v>
      </c>
      <c r="C21" s="55">
        <v>76</v>
      </c>
      <c r="D21" s="55">
        <v>76</v>
      </c>
      <c r="E21" s="55">
        <v>76</v>
      </c>
      <c r="F21" s="55">
        <v>84</v>
      </c>
      <c r="G21" s="55">
        <v>84</v>
      </c>
      <c r="H21" s="55">
        <v>84</v>
      </c>
      <c r="I21" s="55">
        <v>84</v>
      </c>
      <c r="J21" s="55">
        <v>84</v>
      </c>
      <c r="K21" s="55">
        <v>84</v>
      </c>
      <c r="L21" s="55">
        <v>84</v>
      </c>
      <c r="M21" s="55">
        <v>84</v>
      </c>
      <c r="N21" s="55">
        <v>76</v>
      </c>
      <c r="O21" s="55">
        <v>84</v>
      </c>
      <c r="P21" s="55">
        <v>84</v>
      </c>
      <c r="Q21" s="55">
        <v>76</v>
      </c>
      <c r="R21" s="55">
        <v>76</v>
      </c>
      <c r="S21" s="55">
        <v>76</v>
      </c>
      <c r="T21" s="55">
        <v>76</v>
      </c>
      <c r="U21" s="55">
        <v>76</v>
      </c>
      <c r="V21" s="55">
        <v>76</v>
      </c>
      <c r="W21" s="55">
        <v>76</v>
      </c>
      <c r="X21" s="55">
        <v>76</v>
      </c>
      <c r="Y21" s="55">
        <v>76</v>
      </c>
      <c r="Z21" s="55">
        <v>76</v>
      </c>
      <c r="AA21" s="55">
        <v>76</v>
      </c>
      <c r="AB21" s="55">
        <v>76</v>
      </c>
      <c r="AC21" s="55">
        <v>76</v>
      </c>
      <c r="AD21" s="55">
        <v>76</v>
      </c>
      <c r="AE21" s="55">
        <v>76</v>
      </c>
      <c r="AF21" s="55">
        <v>76</v>
      </c>
      <c r="AG21" s="55">
        <v>76</v>
      </c>
      <c r="AH21" s="55">
        <v>76</v>
      </c>
      <c r="AI21" s="55">
        <v>76</v>
      </c>
      <c r="AJ21" s="55">
        <v>76</v>
      </c>
      <c r="AK21" s="55">
        <v>76</v>
      </c>
      <c r="AL21" s="55">
        <v>76</v>
      </c>
      <c r="AM21" s="55">
        <v>80</v>
      </c>
      <c r="AN21" s="55">
        <v>80</v>
      </c>
      <c r="AO21" s="55">
        <v>80</v>
      </c>
      <c r="AP21" s="55">
        <v>80</v>
      </c>
      <c r="AQ21" s="55">
        <v>80</v>
      </c>
      <c r="AR21" s="55">
        <v>80</v>
      </c>
      <c r="AS21" s="55">
        <v>80</v>
      </c>
      <c r="AT21" s="55">
        <v>80</v>
      </c>
      <c r="AU21" s="55">
        <v>80</v>
      </c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67" t="s">
        <v>49</v>
      </c>
    </row>
    <row r="22" spans="2:78" ht="15" customHeight="1" x14ac:dyDescent="0.45">
      <c r="B22" s="3" t="s">
        <v>264</v>
      </c>
      <c r="C22" s="55">
        <v>155</v>
      </c>
      <c r="D22" s="55">
        <v>155</v>
      </c>
      <c r="E22" s="55">
        <v>155</v>
      </c>
      <c r="F22" s="55">
        <v>155</v>
      </c>
      <c r="G22" s="55">
        <v>155</v>
      </c>
      <c r="H22" s="55">
        <v>155</v>
      </c>
      <c r="I22" s="55">
        <v>155</v>
      </c>
      <c r="J22" s="55">
        <v>155</v>
      </c>
      <c r="K22" s="55">
        <v>155</v>
      </c>
      <c r="L22" s="55">
        <v>155</v>
      </c>
      <c r="M22" s="55">
        <v>155</v>
      </c>
      <c r="N22" s="55">
        <v>155</v>
      </c>
      <c r="O22" s="55">
        <v>155</v>
      </c>
      <c r="P22" s="55">
        <v>155</v>
      </c>
      <c r="Q22" s="55">
        <v>155</v>
      </c>
      <c r="R22" s="55">
        <v>155</v>
      </c>
      <c r="S22" s="55">
        <v>155</v>
      </c>
      <c r="T22" s="55">
        <v>155</v>
      </c>
      <c r="U22" s="55">
        <v>155</v>
      </c>
      <c r="V22" s="55">
        <v>155</v>
      </c>
      <c r="W22" s="55">
        <v>170</v>
      </c>
      <c r="X22" s="55">
        <v>170</v>
      </c>
      <c r="Y22" s="55">
        <v>170</v>
      </c>
      <c r="Z22" s="55">
        <v>170</v>
      </c>
      <c r="AA22" s="55">
        <v>170</v>
      </c>
      <c r="AB22" s="55">
        <v>170</v>
      </c>
      <c r="AC22" s="55">
        <v>170</v>
      </c>
      <c r="AD22" s="55">
        <v>170</v>
      </c>
      <c r="AE22" s="55">
        <v>170</v>
      </c>
      <c r="AF22" s="55">
        <v>170</v>
      </c>
      <c r="AG22" s="55">
        <v>170</v>
      </c>
      <c r="AH22" s="55">
        <v>170</v>
      </c>
      <c r="AI22" s="55">
        <v>170</v>
      </c>
      <c r="AJ22" s="55">
        <v>170</v>
      </c>
      <c r="AK22" s="55">
        <v>170</v>
      </c>
      <c r="AL22" s="55">
        <v>200</v>
      </c>
      <c r="AM22" s="55">
        <v>230</v>
      </c>
      <c r="AN22" s="55">
        <v>230</v>
      </c>
      <c r="AO22" s="55">
        <v>230</v>
      </c>
      <c r="AP22" s="55">
        <v>230</v>
      </c>
      <c r="AQ22" s="55">
        <v>230</v>
      </c>
      <c r="AR22" s="55">
        <v>230</v>
      </c>
      <c r="AS22" s="55">
        <v>230</v>
      </c>
      <c r="AT22" s="55">
        <v>230</v>
      </c>
      <c r="AU22" s="55">
        <v>230</v>
      </c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67" t="s">
        <v>49</v>
      </c>
    </row>
    <row r="23" spans="2:78" ht="15" customHeight="1" x14ac:dyDescent="0.45">
      <c r="B23" s="3" t="s">
        <v>265</v>
      </c>
      <c r="C23" s="55">
        <v>175</v>
      </c>
      <c r="D23" s="55">
        <v>175</v>
      </c>
      <c r="E23" s="55">
        <v>175</v>
      </c>
      <c r="F23" s="55">
        <v>175</v>
      </c>
      <c r="G23" s="55">
        <v>175</v>
      </c>
      <c r="H23" s="55">
        <v>175</v>
      </c>
      <c r="I23" s="55">
        <v>175</v>
      </c>
      <c r="J23" s="55">
        <v>175</v>
      </c>
      <c r="K23" s="55">
        <v>175</v>
      </c>
      <c r="L23" s="55">
        <v>175</v>
      </c>
      <c r="M23" s="55">
        <v>175</v>
      </c>
      <c r="N23" s="55">
        <v>175</v>
      </c>
      <c r="O23" s="55">
        <v>175</v>
      </c>
      <c r="P23" s="55">
        <v>175</v>
      </c>
      <c r="Q23" s="55">
        <v>175</v>
      </c>
      <c r="R23" s="55">
        <v>175</v>
      </c>
      <c r="S23" s="55">
        <v>175</v>
      </c>
      <c r="T23" s="55">
        <v>175</v>
      </c>
      <c r="U23" s="55">
        <v>175</v>
      </c>
      <c r="V23" s="55">
        <v>175</v>
      </c>
      <c r="W23" s="55">
        <v>190</v>
      </c>
      <c r="X23" s="55">
        <v>190</v>
      </c>
      <c r="Y23" s="55">
        <v>190</v>
      </c>
      <c r="Z23" s="55">
        <v>190</v>
      </c>
      <c r="AA23" s="55">
        <v>190</v>
      </c>
      <c r="AB23" s="55">
        <v>190</v>
      </c>
      <c r="AC23" s="55">
        <v>190</v>
      </c>
      <c r="AD23" s="55">
        <v>190</v>
      </c>
      <c r="AE23" s="55">
        <v>190</v>
      </c>
      <c r="AF23" s="55">
        <v>190</v>
      </c>
      <c r="AG23" s="55">
        <v>190</v>
      </c>
      <c r="AH23" s="55">
        <v>190</v>
      </c>
      <c r="AI23" s="55">
        <v>190</v>
      </c>
      <c r="AJ23" s="55">
        <v>190</v>
      </c>
      <c r="AK23" s="55">
        <v>190</v>
      </c>
      <c r="AL23" s="55">
        <v>220</v>
      </c>
      <c r="AM23" s="55">
        <v>250</v>
      </c>
      <c r="AN23" s="55">
        <v>250</v>
      </c>
      <c r="AO23" s="55">
        <v>250</v>
      </c>
      <c r="AP23" s="55">
        <v>250</v>
      </c>
      <c r="AQ23" s="55">
        <v>250</v>
      </c>
      <c r="AR23" s="55">
        <v>250</v>
      </c>
      <c r="AS23" s="55">
        <v>250</v>
      </c>
      <c r="AT23" s="55">
        <v>250</v>
      </c>
      <c r="AU23" s="55">
        <v>250</v>
      </c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67" t="s">
        <v>49</v>
      </c>
    </row>
    <row r="24" spans="2:78" ht="15" customHeight="1" x14ac:dyDescent="0.45">
      <c r="B24" s="3" t="s">
        <v>266</v>
      </c>
      <c r="C24" s="55">
        <v>175</v>
      </c>
      <c r="D24" s="55">
        <v>175</v>
      </c>
      <c r="E24" s="55">
        <v>175</v>
      </c>
      <c r="F24" s="55">
        <v>175</v>
      </c>
      <c r="G24" s="55">
        <v>175</v>
      </c>
      <c r="H24" s="55">
        <v>175</v>
      </c>
      <c r="I24" s="55">
        <v>175</v>
      </c>
      <c r="J24" s="55">
        <v>175</v>
      </c>
      <c r="K24" s="55">
        <v>175</v>
      </c>
      <c r="L24" s="55">
        <v>175</v>
      </c>
      <c r="M24" s="55">
        <v>175</v>
      </c>
      <c r="N24" s="55">
        <v>175</v>
      </c>
      <c r="O24" s="55">
        <v>175</v>
      </c>
      <c r="P24" s="55">
        <v>175</v>
      </c>
      <c r="Q24" s="55">
        <v>175</v>
      </c>
      <c r="R24" s="55">
        <v>175</v>
      </c>
      <c r="S24" s="55">
        <v>175</v>
      </c>
      <c r="T24" s="55">
        <v>175</v>
      </c>
      <c r="U24" s="55">
        <v>175</v>
      </c>
      <c r="V24" s="55">
        <v>175</v>
      </c>
      <c r="W24" s="55">
        <v>190</v>
      </c>
      <c r="X24" s="55">
        <v>190</v>
      </c>
      <c r="Y24" s="55">
        <v>190</v>
      </c>
      <c r="Z24" s="55">
        <v>190</v>
      </c>
      <c r="AA24" s="55">
        <v>190</v>
      </c>
      <c r="AB24" s="55">
        <v>190</v>
      </c>
      <c r="AC24" s="55">
        <v>190</v>
      </c>
      <c r="AD24" s="55">
        <v>190</v>
      </c>
      <c r="AE24" s="55">
        <v>190</v>
      </c>
      <c r="AF24" s="55">
        <v>190</v>
      </c>
      <c r="AG24" s="55">
        <v>190</v>
      </c>
      <c r="AH24" s="55">
        <v>190</v>
      </c>
      <c r="AI24" s="55">
        <v>190</v>
      </c>
      <c r="AJ24" s="55">
        <v>190</v>
      </c>
      <c r="AK24" s="55">
        <v>190</v>
      </c>
      <c r="AL24" s="55">
        <v>220</v>
      </c>
      <c r="AM24" s="55">
        <v>250</v>
      </c>
      <c r="AN24" s="55">
        <v>250</v>
      </c>
      <c r="AO24" s="55">
        <v>250</v>
      </c>
      <c r="AP24" s="55">
        <v>250</v>
      </c>
      <c r="AQ24" s="55">
        <v>250</v>
      </c>
      <c r="AR24" s="55">
        <v>250</v>
      </c>
      <c r="AS24" s="55">
        <v>250</v>
      </c>
      <c r="AT24" s="55">
        <v>250</v>
      </c>
      <c r="AU24" s="55">
        <v>250</v>
      </c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67" t="s">
        <v>49</v>
      </c>
    </row>
    <row r="25" spans="2:78" ht="15" customHeight="1" x14ac:dyDescent="0.45">
      <c r="B25" s="3" t="s">
        <v>267</v>
      </c>
      <c r="C25" s="55">
        <v>230</v>
      </c>
      <c r="D25" s="55">
        <v>230</v>
      </c>
      <c r="E25" s="55">
        <v>230</v>
      </c>
      <c r="F25" s="55">
        <v>230</v>
      </c>
      <c r="G25" s="55">
        <v>230</v>
      </c>
      <c r="H25" s="55">
        <v>230</v>
      </c>
      <c r="I25" s="55">
        <v>230</v>
      </c>
      <c r="J25" s="55">
        <v>230</v>
      </c>
      <c r="K25" s="55">
        <v>230</v>
      </c>
      <c r="L25" s="55">
        <v>230</v>
      </c>
      <c r="M25" s="55">
        <v>230</v>
      </c>
      <c r="N25" s="55">
        <v>230</v>
      </c>
      <c r="O25" s="55">
        <v>230</v>
      </c>
      <c r="P25" s="55">
        <v>230</v>
      </c>
      <c r="Q25" s="55">
        <v>230</v>
      </c>
      <c r="R25" s="55">
        <v>230</v>
      </c>
      <c r="S25" s="55">
        <v>230</v>
      </c>
      <c r="T25" s="55">
        <v>230</v>
      </c>
      <c r="U25" s="55">
        <v>230</v>
      </c>
      <c r="V25" s="55">
        <v>230</v>
      </c>
      <c r="W25" s="55">
        <v>230</v>
      </c>
      <c r="X25" s="55">
        <v>230</v>
      </c>
      <c r="Y25" s="55">
        <v>230</v>
      </c>
      <c r="Z25" s="55">
        <v>230</v>
      </c>
      <c r="AA25" s="55">
        <v>230</v>
      </c>
      <c r="AB25" s="55">
        <v>230</v>
      </c>
      <c r="AC25" s="55">
        <v>230</v>
      </c>
      <c r="AD25" s="55">
        <v>230</v>
      </c>
      <c r="AE25" s="55">
        <v>230</v>
      </c>
      <c r="AF25" s="55">
        <v>230</v>
      </c>
      <c r="AG25" s="55">
        <v>230</v>
      </c>
      <c r="AH25" s="55">
        <v>230</v>
      </c>
      <c r="AI25" s="55">
        <v>230</v>
      </c>
      <c r="AJ25" s="55">
        <v>230</v>
      </c>
      <c r="AK25" s="55">
        <v>230</v>
      </c>
      <c r="AL25" s="55">
        <v>230</v>
      </c>
      <c r="AM25" s="55">
        <v>260</v>
      </c>
      <c r="AN25" s="55">
        <v>260</v>
      </c>
      <c r="AO25" s="55">
        <v>260</v>
      </c>
      <c r="AP25" s="55">
        <v>320</v>
      </c>
      <c r="AQ25" s="55">
        <v>320</v>
      </c>
      <c r="AR25" s="55">
        <v>320</v>
      </c>
      <c r="AS25" s="55">
        <v>320</v>
      </c>
      <c r="AT25" s="55">
        <v>320</v>
      </c>
      <c r="AU25" s="55">
        <v>320</v>
      </c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67" t="s">
        <v>49</v>
      </c>
    </row>
    <row r="26" spans="2:78" ht="15" customHeight="1" x14ac:dyDescent="0.45">
      <c r="B26" s="3" t="s">
        <v>268</v>
      </c>
      <c r="C26" s="55">
        <v>1400</v>
      </c>
      <c r="D26" s="55">
        <v>1400</v>
      </c>
      <c r="E26" s="55">
        <v>1400</v>
      </c>
      <c r="F26" s="55">
        <v>1400</v>
      </c>
      <c r="G26" s="55">
        <v>1400</v>
      </c>
      <c r="H26" s="55">
        <v>1400</v>
      </c>
      <c r="I26" s="55">
        <v>1400</v>
      </c>
      <c r="J26" s="55">
        <v>1400</v>
      </c>
      <c r="K26" s="55">
        <v>1400</v>
      </c>
      <c r="L26" s="55">
        <v>1400</v>
      </c>
      <c r="M26" s="55">
        <v>1400</v>
      </c>
      <c r="N26" s="55">
        <v>1400</v>
      </c>
      <c r="O26" s="55">
        <v>1400</v>
      </c>
      <c r="P26" s="55">
        <v>1400</v>
      </c>
      <c r="Q26" s="55">
        <v>1400</v>
      </c>
      <c r="R26" s="55">
        <v>1400</v>
      </c>
      <c r="S26" s="55">
        <v>1400</v>
      </c>
      <c r="T26" s="55">
        <v>1400</v>
      </c>
      <c r="U26" s="55">
        <v>1400</v>
      </c>
      <c r="V26" s="55">
        <v>1400</v>
      </c>
      <c r="W26" s="55">
        <v>1400</v>
      </c>
      <c r="X26" s="55">
        <v>1400</v>
      </c>
      <c r="Y26" s="55">
        <v>1400</v>
      </c>
      <c r="Z26" s="55">
        <v>1400</v>
      </c>
      <c r="AA26" s="55">
        <v>1400</v>
      </c>
      <c r="AB26" s="55">
        <v>1400</v>
      </c>
      <c r="AC26" s="55">
        <v>1400</v>
      </c>
      <c r="AD26" s="55">
        <v>1400</v>
      </c>
      <c r="AE26" s="55">
        <v>1400</v>
      </c>
      <c r="AF26" s="55">
        <v>1400</v>
      </c>
      <c r="AG26" s="55">
        <v>1400</v>
      </c>
      <c r="AH26" s="55">
        <v>1400</v>
      </c>
      <c r="AI26" s="55">
        <v>1400</v>
      </c>
      <c r="AJ26" s="55">
        <v>1400</v>
      </c>
      <c r="AK26" s="55">
        <v>1400</v>
      </c>
      <c r="AL26" s="55">
        <v>1500</v>
      </c>
      <c r="AM26" s="55">
        <v>1600</v>
      </c>
      <c r="AN26" s="55">
        <v>1600</v>
      </c>
      <c r="AO26" s="55">
        <v>1600</v>
      </c>
      <c r="AP26" s="55">
        <v>1600</v>
      </c>
      <c r="AQ26" s="55">
        <v>1600</v>
      </c>
      <c r="AR26" s="55">
        <v>1600</v>
      </c>
      <c r="AS26" s="55">
        <v>1600</v>
      </c>
      <c r="AT26" s="55">
        <v>1600</v>
      </c>
      <c r="AU26" s="55">
        <v>1600</v>
      </c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67" t="s">
        <v>49</v>
      </c>
    </row>
    <row r="27" spans="2:78" ht="15" customHeight="1" x14ac:dyDescent="0.45">
      <c r="B27" s="3" t="s">
        <v>269</v>
      </c>
      <c r="C27" s="55">
        <v>140</v>
      </c>
      <c r="D27" s="55">
        <v>140</v>
      </c>
      <c r="E27" s="55">
        <v>140</v>
      </c>
      <c r="F27" s="55">
        <v>140</v>
      </c>
      <c r="G27" s="55">
        <v>140</v>
      </c>
      <c r="H27" s="55">
        <v>140</v>
      </c>
      <c r="I27" s="55">
        <v>140</v>
      </c>
      <c r="J27" s="55">
        <v>140</v>
      </c>
      <c r="K27" s="55">
        <v>140</v>
      </c>
      <c r="L27" s="55">
        <v>140</v>
      </c>
      <c r="M27" s="55">
        <v>140</v>
      </c>
      <c r="N27" s="55">
        <v>140</v>
      </c>
      <c r="O27" s="55">
        <v>140</v>
      </c>
      <c r="P27" s="55">
        <v>140</v>
      </c>
      <c r="Q27" s="55">
        <v>140</v>
      </c>
      <c r="R27" s="55">
        <v>140</v>
      </c>
      <c r="S27" s="55">
        <v>140</v>
      </c>
      <c r="T27" s="55">
        <v>140</v>
      </c>
      <c r="U27" s="55">
        <v>140</v>
      </c>
      <c r="V27" s="55">
        <v>140</v>
      </c>
      <c r="W27" s="55">
        <v>140</v>
      </c>
      <c r="X27" s="55">
        <v>140</v>
      </c>
      <c r="Y27" s="55">
        <v>140</v>
      </c>
      <c r="Z27" s="55">
        <v>140</v>
      </c>
      <c r="AA27" s="55">
        <v>140</v>
      </c>
      <c r="AB27" s="55">
        <v>140</v>
      </c>
      <c r="AC27" s="55">
        <v>140</v>
      </c>
      <c r="AD27" s="55">
        <v>140</v>
      </c>
      <c r="AE27" s="55">
        <v>140</v>
      </c>
      <c r="AF27" s="55">
        <v>140</v>
      </c>
      <c r="AG27" s="55">
        <v>140</v>
      </c>
      <c r="AH27" s="55">
        <v>140</v>
      </c>
      <c r="AI27" s="55">
        <v>140</v>
      </c>
      <c r="AJ27" s="55">
        <v>140</v>
      </c>
      <c r="AK27" s="55">
        <v>140</v>
      </c>
      <c r="AL27" s="55">
        <v>150</v>
      </c>
      <c r="AM27" s="55">
        <v>160</v>
      </c>
      <c r="AN27" s="55">
        <v>160</v>
      </c>
      <c r="AO27" s="55">
        <v>160</v>
      </c>
      <c r="AP27" s="55">
        <v>170</v>
      </c>
      <c r="AQ27" s="55">
        <v>170</v>
      </c>
      <c r="AR27" s="55">
        <v>170</v>
      </c>
      <c r="AS27" s="55">
        <v>170</v>
      </c>
      <c r="AT27" s="55">
        <v>170</v>
      </c>
      <c r="AU27" s="55">
        <v>170</v>
      </c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67" t="s">
        <v>49</v>
      </c>
    </row>
    <row r="30" spans="2:78" ht="14.25" x14ac:dyDescent="0.45">
      <c r="B30" s="63" t="s">
        <v>557</v>
      </c>
      <c r="BZ30" t="s">
        <v>558</v>
      </c>
    </row>
    <row r="31" spans="2:78" ht="14.25" x14ac:dyDescent="0.45">
      <c r="B31" s="1" t="s">
        <v>559</v>
      </c>
      <c r="C31" s="64">
        <v>45474</v>
      </c>
      <c r="D31" s="64">
        <v>45524</v>
      </c>
      <c r="E31" s="64">
        <v>45536</v>
      </c>
      <c r="F31" s="64">
        <v>45605</v>
      </c>
      <c r="G31" s="64">
        <v>45632</v>
      </c>
      <c r="H31" s="64">
        <v>45642</v>
      </c>
      <c r="I31" s="64">
        <v>45659</v>
      </c>
      <c r="J31" s="64">
        <v>45673</v>
      </c>
      <c r="K31" s="64">
        <v>45689</v>
      </c>
      <c r="L31" s="64">
        <v>45717</v>
      </c>
      <c r="M31" s="64">
        <v>45748</v>
      </c>
      <c r="N31" s="64">
        <v>45768</v>
      </c>
      <c r="O31" s="64">
        <v>45778</v>
      </c>
      <c r="P31" s="64">
        <v>45792</v>
      </c>
      <c r="Q31" s="64">
        <v>45825</v>
      </c>
      <c r="R31" s="64">
        <v>45827</v>
      </c>
      <c r="S31" s="64">
        <v>45839</v>
      </c>
      <c r="T31" s="64">
        <v>45870</v>
      </c>
      <c r="U31" s="64">
        <v>45898</v>
      </c>
      <c r="V31" s="64">
        <v>45903</v>
      </c>
      <c r="W31" s="64">
        <v>45906</v>
      </c>
      <c r="X31" s="64">
        <v>45933</v>
      </c>
      <c r="Y31" s="64">
        <v>45968</v>
      </c>
      <c r="Z31" s="64">
        <v>45976</v>
      </c>
      <c r="AA31" s="64">
        <v>46023</v>
      </c>
      <c r="AB31" s="64">
        <v>46039</v>
      </c>
      <c r="AC31" s="64">
        <v>46043</v>
      </c>
      <c r="AD31" s="64">
        <v>46054</v>
      </c>
      <c r="AE31" s="64">
        <v>46066</v>
      </c>
      <c r="AF31" s="64">
        <v>46083</v>
      </c>
      <c r="AG31" s="64">
        <v>46087</v>
      </c>
      <c r="AH31" s="64">
        <v>46091</v>
      </c>
      <c r="AI31" s="64">
        <v>46096</v>
      </c>
      <c r="AJ31" s="64">
        <v>46113</v>
      </c>
      <c r="AK31" s="64">
        <v>46128</v>
      </c>
      <c r="AL31" s="64">
        <v>46133</v>
      </c>
      <c r="AM31" s="64">
        <v>46144</v>
      </c>
      <c r="AN31" s="64">
        <v>46153</v>
      </c>
      <c r="AO31" s="64">
        <v>46161</v>
      </c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7" t="s">
        <v>49</v>
      </c>
    </row>
    <row r="32" spans="2:78" ht="14.25" x14ac:dyDescent="0.45">
      <c r="B32" s="3" t="s">
        <v>560</v>
      </c>
      <c r="C32" s="55">
        <v>102.029</v>
      </c>
      <c r="D32" s="55">
        <v>102.29</v>
      </c>
      <c r="E32" s="55">
        <v>100.029</v>
      </c>
      <c r="F32" s="55">
        <v>100.03400000000001</v>
      </c>
      <c r="G32" s="55">
        <v>100.03400000000001</v>
      </c>
      <c r="H32" s="55">
        <v>98.034000000000006</v>
      </c>
      <c r="I32" s="55">
        <v>99.031000000000006</v>
      </c>
      <c r="J32" s="55">
        <v>100.03100000000001</v>
      </c>
      <c r="K32" s="55">
        <v>101.884</v>
      </c>
      <c r="L32" s="55">
        <v>102.029</v>
      </c>
      <c r="M32" s="55">
        <v>102.03100000000001</v>
      </c>
      <c r="N32" s="55">
        <v>102.03100000000001</v>
      </c>
      <c r="O32" s="55">
        <v>102.03100000000001</v>
      </c>
      <c r="P32" s="55">
        <v>99.983000000000004</v>
      </c>
      <c r="Q32" s="55">
        <v>100.03100000000001</v>
      </c>
      <c r="R32" s="55">
        <v>101.53100000000001</v>
      </c>
      <c r="S32" s="55">
        <v>102.583</v>
      </c>
      <c r="T32" s="55">
        <v>101.081</v>
      </c>
      <c r="U32" s="55">
        <v>101.081</v>
      </c>
      <c r="V32" s="55">
        <v>98.581000000000003</v>
      </c>
      <c r="W32" s="55">
        <v>94.581000000000003</v>
      </c>
      <c r="X32" s="55">
        <v>93.028999999999996</v>
      </c>
      <c r="Y32" s="55">
        <v>92.028999999999996</v>
      </c>
      <c r="Z32" s="55">
        <v>91.028999999999996</v>
      </c>
      <c r="AA32" s="55">
        <v>92.531999999999996</v>
      </c>
      <c r="AB32" s="55">
        <v>93.531999999999996</v>
      </c>
      <c r="AC32" s="55">
        <v>95.031999999999996</v>
      </c>
      <c r="AD32" s="55">
        <v>98.531999999999996</v>
      </c>
      <c r="AE32" s="55">
        <v>100.532</v>
      </c>
      <c r="AF32" s="55">
        <f>100.532+6</f>
        <v>106.532</v>
      </c>
      <c r="AG32" s="55">
        <v>123.532</v>
      </c>
      <c r="AH32" s="55">
        <f>AG32+42</f>
        <v>165.53199999999998</v>
      </c>
      <c r="AI32" s="55">
        <v>165.53199999999998</v>
      </c>
      <c r="AJ32" s="55">
        <v>165.53199999999998</v>
      </c>
      <c r="AK32" s="55">
        <v>145.55699999999999</v>
      </c>
      <c r="AL32" s="55">
        <v>140.55699999999999</v>
      </c>
      <c r="AM32" s="55">
        <v>133.55699999999999</v>
      </c>
      <c r="AN32" s="55">
        <v>134.55699999999999</v>
      </c>
      <c r="AO32" s="55">
        <v>135.55699999999999</v>
      </c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67" t="s">
        <v>49</v>
      </c>
    </row>
    <row r="33" spans="2:78" ht="14.25" x14ac:dyDescent="0.45">
      <c r="B33" s="3" t="s">
        <v>561</v>
      </c>
      <c r="C33" s="55">
        <v>103.309</v>
      </c>
      <c r="D33" s="55">
        <v>103.309</v>
      </c>
      <c r="E33" s="55">
        <v>102.309</v>
      </c>
      <c r="F33" s="55">
        <v>102.307</v>
      </c>
      <c r="G33" s="55">
        <v>100.307</v>
      </c>
      <c r="H33" s="55">
        <v>100.307</v>
      </c>
      <c r="I33" s="55">
        <v>100.31100000000001</v>
      </c>
      <c r="J33" s="55">
        <v>101.31100000000001</v>
      </c>
      <c r="K33" s="55">
        <v>102.30500000000001</v>
      </c>
      <c r="L33" s="55">
        <v>103.30500000000001</v>
      </c>
      <c r="M33" s="55">
        <v>103.31100000000001</v>
      </c>
      <c r="N33" s="55">
        <v>103.31100000000001</v>
      </c>
      <c r="O33" s="55">
        <v>98.811000000000007</v>
      </c>
      <c r="P33" s="55">
        <v>98.641999999999996</v>
      </c>
      <c r="Q33" s="55">
        <v>98.811000000000007</v>
      </c>
      <c r="R33" s="55">
        <v>99.641999999999996</v>
      </c>
      <c r="S33" s="55">
        <v>101.86199999999999</v>
      </c>
      <c r="T33" s="55">
        <v>103.36</v>
      </c>
      <c r="U33" s="55">
        <v>103.36</v>
      </c>
      <c r="V33" s="55">
        <v>103.36</v>
      </c>
      <c r="W33" s="55">
        <v>103.36</v>
      </c>
      <c r="X33" s="55">
        <v>101.142</v>
      </c>
      <c r="Y33" s="55">
        <v>101.142</v>
      </c>
      <c r="Z33" s="55">
        <v>99.808999999999997</v>
      </c>
      <c r="AA33" s="55">
        <v>100.812</v>
      </c>
      <c r="AB33" s="55">
        <v>101.83199999999999</v>
      </c>
      <c r="AC33" s="55">
        <v>102.812</v>
      </c>
      <c r="AD33" s="55">
        <v>105.312</v>
      </c>
      <c r="AE33" s="55">
        <v>107.312</v>
      </c>
      <c r="AF33" s="55">
        <f>107.312+6</f>
        <v>113.312</v>
      </c>
      <c r="AG33" s="55">
        <v>130.81200000000001</v>
      </c>
      <c r="AH33" s="55">
        <f t="shared" ref="AH33:AH38" si="10">AG33+42</f>
        <v>172.81200000000001</v>
      </c>
      <c r="AI33" s="55">
        <v>172.81200000000001</v>
      </c>
      <c r="AJ33" s="55">
        <v>172.81200000000001</v>
      </c>
      <c r="AK33" s="55">
        <v>161.83699999999999</v>
      </c>
      <c r="AL33" s="55">
        <v>157.83699999999999</v>
      </c>
      <c r="AM33" s="55">
        <v>154.83699999999999</v>
      </c>
      <c r="AN33" s="55">
        <v>154.81200000000001</v>
      </c>
      <c r="AO33" s="55">
        <v>156.81200000000001</v>
      </c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67" t="s">
        <v>49</v>
      </c>
    </row>
    <row r="34" spans="2:78" ht="14.25" x14ac:dyDescent="0.45">
      <c r="B34" s="3" t="s">
        <v>249</v>
      </c>
      <c r="C34" s="55">
        <v>95.555999999999997</v>
      </c>
      <c r="D34" s="55">
        <v>95.555999999999997</v>
      </c>
      <c r="E34" s="55">
        <v>95.314999999999998</v>
      </c>
      <c r="F34" s="55">
        <v>96.563999999999993</v>
      </c>
      <c r="G34" s="55">
        <v>96.563999999999993</v>
      </c>
      <c r="H34" s="55">
        <v>96.563999999999993</v>
      </c>
      <c r="I34" s="55">
        <v>96.557000000000002</v>
      </c>
      <c r="J34" s="55">
        <v>98.557000000000002</v>
      </c>
      <c r="K34" s="55">
        <v>100.559</v>
      </c>
      <c r="L34" s="55">
        <v>101.559</v>
      </c>
      <c r="M34" s="55">
        <v>101.557</v>
      </c>
      <c r="N34" s="55">
        <v>99.557000000000002</v>
      </c>
      <c r="O34" s="55">
        <v>99.557000000000002</v>
      </c>
      <c r="P34" s="55">
        <v>99.557000000000002</v>
      </c>
      <c r="Q34" s="55">
        <v>97.557000000000002</v>
      </c>
      <c r="R34" s="55">
        <v>98.557000000000002</v>
      </c>
      <c r="S34" s="55">
        <v>100.113</v>
      </c>
      <c r="T34" s="55">
        <v>100.113</v>
      </c>
      <c r="U34" s="55">
        <v>100.113</v>
      </c>
      <c r="V34" s="55">
        <v>100.113</v>
      </c>
      <c r="W34" s="55">
        <v>100.113</v>
      </c>
      <c r="X34" s="55">
        <v>97.057000000000002</v>
      </c>
      <c r="Y34" s="55">
        <v>97.057000000000002</v>
      </c>
      <c r="Z34" s="55">
        <v>95.557000000000002</v>
      </c>
      <c r="AA34" s="55">
        <v>96.557000000000002</v>
      </c>
      <c r="AB34" s="55">
        <v>98.557000000000002</v>
      </c>
      <c r="AC34" s="55">
        <v>98.557000000000002</v>
      </c>
      <c r="AD34" s="55">
        <v>101.057</v>
      </c>
      <c r="AE34" s="55">
        <v>103.557</v>
      </c>
      <c r="AF34" s="55">
        <f>103.557+6</f>
        <v>109.557</v>
      </c>
      <c r="AG34" s="55">
        <v>127.057</v>
      </c>
      <c r="AH34" s="55">
        <f t="shared" si="10"/>
        <v>169.05700000000002</v>
      </c>
      <c r="AI34" s="55">
        <v>169.05700000000002</v>
      </c>
      <c r="AJ34" s="55">
        <v>169.05700000000002</v>
      </c>
      <c r="AK34" s="55">
        <v>153.084</v>
      </c>
      <c r="AL34" s="55">
        <v>147.084</v>
      </c>
      <c r="AM34" s="55">
        <v>140.084</v>
      </c>
      <c r="AN34" s="55">
        <v>141.084</v>
      </c>
      <c r="AO34" s="55">
        <v>142.084</v>
      </c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67" t="s">
        <v>49</v>
      </c>
    </row>
    <row r="35" spans="2:78" ht="14.25" x14ac:dyDescent="0.45">
      <c r="B35" s="3" t="s">
        <v>250</v>
      </c>
      <c r="C35" s="55">
        <v>122.35599999999999</v>
      </c>
      <c r="D35" s="55">
        <v>117.35599999999999</v>
      </c>
      <c r="E35" s="55">
        <v>117.35599999999999</v>
      </c>
      <c r="F35" s="55">
        <v>114.364</v>
      </c>
      <c r="G35" s="55">
        <v>111.864</v>
      </c>
      <c r="H35" s="55">
        <v>111.864</v>
      </c>
      <c r="I35" s="55">
        <v>111.857</v>
      </c>
      <c r="J35" s="55">
        <v>113.357</v>
      </c>
      <c r="K35" s="55">
        <v>115.35899999999999</v>
      </c>
      <c r="L35" s="55">
        <v>117.35899999999999</v>
      </c>
      <c r="M35" s="55">
        <v>119.357</v>
      </c>
      <c r="N35" s="55">
        <v>119.357</v>
      </c>
      <c r="O35" s="55">
        <v>119.357</v>
      </c>
      <c r="P35" s="55">
        <v>119.357</v>
      </c>
      <c r="Q35" s="55">
        <v>119.357</v>
      </c>
      <c r="R35" s="55">
        <v>119.357</v>
      </c>
      <c r="S35" s="55">
        <v>120.913</v>
      </c>
      <c r="T35" s="55">
        <v>121.911</v>
      </c>
      <c r="U35" s="55">
        <v>121.911</v>
      </c>
      <c r="V35" s="55">
        <v>119.911</v>
      </c>
      <c r="W35" s="55">
        <v>119.911</v>
      </c>
      <c r="X35" s="55">
        <v>117.857</v>
      </c>
      <c r="Y35" s="55">
        <v>117.857</v>
      </c>
      <c r="Z35" s="55">
        <v>115.857</v>
      </c>
      <c r="AA35" s="55">
        <v>115.857</v>
      </c>
      <c r="AB35" s="55">
        <v>115.857</v>
      </c>
      <c r="AC35" s="55">
        <v>116.857</v>
      </c>
      <c r="AD35" s="55">
        <v>118.857</v>
      </c>
      <c r="AE35" s="55">
        <v>118.857</v>
      </c>
      <c r="AF35" s="55">
        <f>118.857+6</f>
        <v>124.857</v>
      </c>
      <c r="AG35" s="55">
        <v>143.857</v>
      </c>
      <c r="AH35" s="55">
        <f t="shared" si="10"/>
        <v>185.857</v>
      </c>
      <c r="AI35" s="55">
        <v>185.857</v>
      </c>
      <c r="AJ35" s="55">
        <v>185.857</v>
      </c>
      <c r="AK35" s="55">
        <v>178.88399999999999</v>
      </c>
      <c r="AL35" s="55">
        <v>175.88399999999999</v>
      </c>
      <c r="AM35" s="55">
        <v>169.88399999999999</v>
      </c>
      <c r="AN35" s="55">
        <v>170.88399999999999</v>
      </c>
      <c r="AO35" s="55">
        <v>171.88399999999999</v>
      </c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67" t="s">
        <v>49</v>
      </c>
    </row>
    <row r="36" spans="2:78" ht="14.25" x14ac:dyDescent="0.45">
      <c r="B36" s="3" t="s">
        <v>562</v>
      </c>
      <c r="C36" s="55">
        <v>139.613</v>
      </c>
      <c r="D36" s="55">
        <v>139.61199999999999</v>
      </c>
      <c r="E36" s="55">
        <v>139.61199999999999</v>
      </c>
      <c r="F36" s="55">
        <v>135.613</v>
      </c>
      <c r="G36" s="55">
        <v>124.613</v>
      </c>
      <c r="H36" s="55">
        <v>124.613</v>
      </c>
      <c r="I36" s="55">
        <v>124.60899999999999</v>
      </c>
      <c r="J36" s="55">
        <v>125.60899999999999</v>
      </c>
      <c r="K36" s="55">
        <v>126.60899999999999</v>
      </c>
      <c r="L36" s="55">
        <v>128.60900000000001</v>
      </c>
      <c r="M36" s="55">
        <v>132.11199999999999</v>
      </c>
      <c r="N36" s="55">
        <v>132.11199999999999</v>
      </c>
      <c r="O36" s="55">
        <v>132.11199999999999</v>
      </c>
      <c r="P36" s="55">
        <v>132.11199999999999</v>
      </c>
      <c r="Q36" s="55">
        <v>130.11199999999999</v>
      </c>
      <c r="R36" s="55">
        <v>130.11199999999999</v>
      </c>
      <c r="S36" s="55">
        <v>130.15600000000001</v>
      </c>
      <c r="T36" s="55">
        <v>130.15600000000001</v>
      </c>
      <c r="U36" s="55">
        <v>130.15600000000001</v>
      </c>
      <c r="V36" s="55">
        <v>128.15700000000001</v>
      </c>
      <c r="W36" s="55">
        <v>128.15700000000001</v>
      </c>
      <c r="X36" s="55">
        <v>126.10599999999999</v>
      </c>
      <c r="Y36" s="55">
        <v>126.11199999999999</v>
      </c>
      <c r="Z36" s="55">
        <v>123.61199999999999</v>
      </c>
      <c r="AA36" s="55">
        <v>123.611</v>
      </c>
      <c r="AB36" s="55">
        <v>123.611</v>
      </c>
      <c r="AC36" s="55">
        <v>123.611</v>
      </c>
      <c r="AD36" s="55">
        <v>125.614</v>
      </c>
      <c r="AE36" s="55">
        <v>125.614</v>
      </c>
      <c r="AF36" s="55">
        <f>125.614+7</f>
        <v>132.614</v>
      </c>
      <c r="AG36" s="55">
        <v>153.61099999999999</v>
      </c>
      <c r="AH36" s="55">
        <f t="shared" si="10"/>
        <v>195.61099999999999</v>
      </c>
      <c r="AI36" s="55">
        <v>195.61099999999999</v>
      </c>
      <c r="AJ36" s="55">
        <v>196.929</v>
      </c>
      <c r="AK36" s="55">
        <v>190.63200000000001</v>
      </c>
      <c r="AL36" s="55">
        <v>184.63200000000001</v>
      </c>
      <c r="AM36" s="55">
        <v>174.63200000000001</v>
      </c>
      <c r="AN36" s="55">
        <v>174.63200000000001</v>
      </c>
      <c r="AO36" s="55">
        <v>174.63200000000001</v>
      </c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67" t="s">
        <v>49</v>
      </c>
    </row>
    <row r="37" spans="2:78" ht="14.25" x14ac:dyDescent="0.45">
      <c r="B37" s="3" t="s">
        <v>252</v>
      </c>
      <c r="C37" s="55">
        <v>108.819</v>
      </c>
      <c r="D37" s="55">
        <v>108.819</v>
      </c>
      <c r="E37" s="55">
        <v>106.819</v>
      </c>
      <c r="F37" s="55">
        <v>106.824</v>
      </c>
      <c r="G37" s="55">
        <v>106.824</v>
      </c>
      <c r="H37" s="55">
        <v>104.824</v>
      </c>
      <c r="I37" s="55">
        <v>105.821</v>
      </c>
      <c r="J37" s="55">
        <v>106.821</v>
      </c>
      <c r="K37" s="55">
        <v>108.819</v>
      </c>
      <c r="L37" s="55">
        <v>108.819</v>
      </c>
      <c r="M37" s="55">
        <v>106.821</v>
      </c>
      <c r="N37" s="55">
        <v>106.821</v>
      </c>
      <c r="O37" s="55">
        <v>106.821</v>
      </c>
      <c r="P37" s="55">
        <v>102.821</v>
      </c>
      <c r="Q37" s="55">
        <v>102.821</v>
      </c>
      <c r="R37" s="55">
        <v>104.321</v>
      </c>
      <c r="S37" s="55">
        <v>105.373</v>
      </c>
      <c r="T37" s="55">
        <v>103.871</v>
      </c>
      <c r="U37" s="55">
        <v>103.871</v>
      </c>
      <c r="V37" s="55">
        <v>101.371</v>
      </c>
      <c r="W37" s="55">
        <v>97.370999999999995</v>
      </c>
      <c r="X37" s="55">
        <v>95.819000000000003</v>
      </c>
      <c r="Y37" s="55">
        <v>94.819000000000003</v>
      </c>
      <c r="Z37" s="55">
        <v>93.819000000000003</v>
      </c>
      <c r="AA37" s="55">
        <v>95.322000000000003</v>
      </c>
      <c r="AB37" s="55">
        <v>96.322000000000003</v>
      </c>
      <c r="AC37" s="55">
        <v>97.322000000000003</v>
      </c>
      <c r="AD37" s="55">
        <v>100.822</v>
      </c>
      <c r="AE37" s="55">
        <v>102.822</v>
      </c>
      <c r="AF37" s="55">
        <f>102.822+6</f>
        <v>108.822</v>
      </c>
      <c r="AG37" s="55">
        <v>125.822</v>
      </c>
      <c r="AH37" s="55">
        <f t="shared" si="10"/>
        <v>167.822</v>
      </c>
      <c r="AI37" s="55">
        <v>167.822</v>
      </c>
      <c r="AJ37" s="55">
        <v>167.822</v>
      </c>
      <c r="AK37" s="55">
        <v>146.84700000000001</v>
      </c>
      <c r="AL37" s="55">
        <v>141.84700000000001</v>
      </c>
      <c r="AM37" s="55">
        <v>134.947</v>
      </c>
      <c r="AN37" s="55">
        <v>135.84700000000001</v>
      </c>
      <c r="AO37" s="55">
        <v>136.84700000000001</v>
      </c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67" t="s">
        <v>49</v>
      </c>
    </row>
    <row r="38" spans="2:78" ht="14.25" x14ac:dyDescent="0.45">
      <c r="B38" s="3" t="s">
        <v>563</v>
      </c>
      <c r="C38" s="55">
        <v>122.35599999999999</v>
      </c>
      <c r="D38" s="55">
        <v>112.176</v>
      </c>
      <c r="E38" s="55">
        <v>112.176</v>
      </c>
      <c r="F38" s="55">
        <v>112.184</v>
      </c>
      <c r="G38" s="55">
        <v>112.184</v>
      </c>
      <c r="H38" s="55">
        <v>112.184</v>
      </c>
      <c r="I38" s="55">
        <v>112.17700000000001</v>
      </c>
      <c r="J38" s="55">
        <v>113.67700000000001</v>
      </c>
      <c r="K38" s="55">
        <v>115.679</v>
      </c>
      <c r="L38" s="55">
        <v>117.679</v>
      </c>
      <c r="M38" s="55">
        <v>119.67700000000001</v>
      </c>
      <c r="N38" s="55">
        <v>119.67700000000001</v>
      </c>
      <c r="O38" s="55">
        <v>119.67700000000001</v>
      </c>
      <c r="P38" s="55">
        <v>119.67700000000001</v>
      </c>
      <c r="Q38" s="55">
        <v>119.67700000000001</v>
      </c>
      <c r="R38" s="55">
        <v>117.67700000000001</v>
      </c>
      <c r="S38" s="55">
        <v>119.21299999999999</v>
      </c>
      <c r="T38" s="55">
        <v>120.23099999999999</v>
      </c>
      <c r="U38" s="55">
        <v>120.23099999999999</v>
      </c>
      <c r="V38" s="55">
        <v>118.23099999999999</v>
      </c>
      <c r="W38" s="55">
        <v>118.23099999999999</v>
      </c>
      <c r="X38" s="55">
        <v>116.17700000000001</v>
      </c>
      <c r="Y38" s="55">
        <v>116.17700000000001</v>
      </c>
      <c r="Z38" s="55">
        <v>114.17700000000001</v>
      </c>
      <c r="AA38" s="55">
        <v>114.17700000000001</v>
      </c>
      <c r="AB38" s="55">
        <v>114.17700000000001</v>
      </c>
      <c r="AC38" s="55">
        <v>115.17700000000001</v>
      </c>
      <c r="AD38" s="55">
        <v>117.117</v>
      </c>
      <c r="AE38" s="55">
        <v>117.17700000000001</v>
      </c>
      <c r="AF38" s="55">
        <f>117.177+6</f>
        <v>123.17700000000001</v>
      </c>
      <c r="AG38" s="55">
        <v>142.17699999999999</v>
      </c>
      <c r="AH38" s="55">
        <f t="shared" si="10"/>
        <v>184.17699999999999</v>
      </c>
      <c r="AI38" s="55">
        <v>184.17699999999999</v>
      </c>
      <c r="AJ38" s="55">
        <v>184.17699999999999</v>
      </c>
      <c r="AK38" s="55">
        <v>173.20400000000001</v>
      </c>
      <c r="AL38" s="55">
        <v>169.20400000000001</v>
      </c>
      <c r="AM38" s="55">
        <v>162.20400000000001</v>
      </c>
      <c r="AN38" s="55">
        <v>162.20400000000001</v>
      </c>
      <c r="AO38" s="55">
        <v>163.20400000000001</v>
      </c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67" t="s">
        <v>49</v>
      </c>
    </row>
    <row r="39" spans="2:78" ht="14.25" x14ac:dyDescent="0.45">
      <c r="B39" s="3" t="s">
        <v>254</v>
      </c>
      <c r="C39" s="55">
        <v>60</v>
      </c>
      <c r="D39" s="55">
        <v>60</v>
      </c>
      <c r="E39" s="55">
        <v>60</v>
      </c>
      <c r="F39" s="55">
        <v>60</v>
      </c>
      <c r="G39" s="55">
        <v>60</v>
      </c>
      <c r="H39" s="55">
        <v>60</v>
      </c>
      <c r="I39" s="55">
        <v>60</v>
      </c>
      <c r="J39" s="55">
        <v>60</v>
      </c>
      <c r="K39" s="55">
        <v>60</v>
      </c>
      <c r="L39" s="55">
        <v>60</v>
      </c>
      <c r="M39" s="55">
        <v>60</v>
      </c>
      <c r="N39" s="55">
        <v>60</v>
      </c>
      <c r="O39" s="55">
        <v>60</v>
      </c>
      <c r="P39" s="55">
        <v>60</v>
      </c>
      <c r="Q39" s="55">
        <v>60</v>
      </c>
      <c r="R39" s="55">
        <v>60</v>
      </c>
      <c r="S39" s="55">
        <v>60</v>
      </c>
      <c r="T39" s="55">
        <v>60</v>
      </c>
      <c r="U39" s="55">
        <v>60</v>
      </c>
      <c r="V39" s="55">
        <v>60</v>
      </c>
      <c r="W39" s="55">
        <v>60</v>
      </c>
      <c r="X39" s="55">
        <v>60</v>
      </c>
      <c r="Y39" s="55">
        <v>60</v>
      </c>
      <c r="Z39" s="55">
        <v>60</v>
      </c>
      <c r="AA39" s="55">
        <v>60</v>
      </c>
      <c r="AB39" s="55">
        <v>60</v>
      </c>
      <c r="AC39" s="55">
        <v>60</v>
      </c>
      <c r="AD39" s="55">
        <v>60</v>
      </c>
      <c r="AE39" s="55">
        <v>60</v>
      </c>
      <c r="AF39" s="55">
        <v>60</v>
      </c>
      <c r="AG39" s="55">
        <v>60</v>
      </c>
      <c r="AH39" s="55">
        <v>75</v>
      </c>
      <c r="AI39" s="55">
        <v>75</v>
      </c>
      <c r="AJ39" s="55">
        <v>75</v>
      </c>
      <c r="AK39" s="55">
        <v>75</v>
      </c>
      <c r="AL39" s="55">
        <v>75</v>
      </c>
      <c r="AM39" s="55">
        <v>75</v>
      </c>
      <c r="AN39" s="55">
        <v>75</v>
      </c>
      <c r="AO39" s="55">
        <v>75</v>
      </c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67" t="s">
        <v>49</v>
      </c>
    </row>
    <row r="40" spans="2:78" ht="14.25" x14ac:dyDescent="0.45">
      <c r="B40" s="3" t="s">
        <v>255</v>
      </c>
      <c r="C40" s="55">
        <v>32</v>
      </c>
      <c r="D40" s="55">
        <v>32</v>
      </c>
      <c r="E40" s="55">
        <v>32</v>
      </c>
      <c r="F40" s="55">
        <v>32</v>
      </c>
      <c r="G40" s="55">
        <v>32</v>
      </c>
      <c r="H40" s="55">
        <v>32</v>
      </c>
      <c r="I40" s="55">
        <v>32</v>
      </c>
      <c r="J40" s="55">
        <v>32</v>
      </c>
      <c r="K40" s="55">
        <v>32</v>
      </c>
      <c r="L40" s="55">
        <v>32</v>
      </c>
      <c r="M40" s="55">
        <v>32</v>
      </c>
      <c r="N40" s="55">
        <v>32</v>
      </c>
      <c r="O40" s="55">
        <v>32</v>
      </c>
      <c r="P40" s="55">
        <v>32</v>
      </c>
      <c r="Q40" s="55">
        <v>32</v>
      </c>
      <c r="R40" s="55">
        <v>32</v>
      </c>
      <c r="S40" s="55">
        <v>32</v>
      </c>
      <c r="T40" s="55">
        <v>32</v>
      </c>
      <c r="U40" s="55">
        <v>32</v>
      </c>
      <c r="V40" s="55">
        <v>32</v>
      </c>
      <c r="W40" s="55">
        <v>32</v>
      </c>
      <c r="X40" s="55">
        <v>32</v>
      </c>
      <c r="Y40" s="55">
        <v>32</v>
      </c>
      <c r="Z40" s="55">
        <v>32</v>
      </c>
      <c r="AA40" s="55">
        <v>32</v>
      </c>
      <c r="AB40" s="55">
        <v>32</v>
      </c>
      <c r="AC40" s="55">
        <v>32</v>
      </c>
      <c r="AD40" s="55">
        <v>32</v>
      </c>
      <c r="AE40" s="55">
        <v>32</v>
      </c>
      <c r="AF40" s="55">
        <v>32</v>
      </c>
      <c r="AG40" s="55">
        <v>32</v>
      </c>
      <c r="AH40" s="55">
        <v>41</v>
      </c>
      <c r="AI40" s="55">
        <v>41</v>
      </c>
      <c r="AJ40" s="55">
        <v>41</v>
      </c>
      <c r="AK40" s="55">
        <v>41</v>
      </c>
      <c r="AL40" s="55">
        <v>41</v>
      </c>
      <c r="AM40" s="55">
        <v>41</v>
      </c>
      <c r="AN40" s="55">
        <v>41</v>
      </c>
      <c r="AO40" s="55">
        <v>41</v>
      </c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67" t="s">
        <v>49</v>
      </c>
    </row>
    <row r="41" spans="2:78" ht="14.25" x14ac:dyDescent="0.45">
      <c r="B41" s="3" t="s">
        <v>256</v>
      </c>
      <c r="C41" s="55">
        <v>44</v>
      </c>
      <c r="D41" s="55">
        <v>44</v>
      </c>
      <c r="E41" s="55">
        <v>44</v>
      </c>
      <c r="F41" s="55">
        <v>44</v>
      </c>
      <c r="G41" s="55">
        <v>44</v>
      </c>
      <c r="H41" s="55">
        <v>44</v>
      </c>
      <c r="I41" s="55">
        <v>44</v>
      </c>
      <c r="J41" s="55">
        <v>44</v>
      </c>
      <c r="K41" s="55">
        <v>44</v>
      </c>
      <c r="L41" s="55">
        <v>44</v>
      </c>
      <c r="M41" s="55">
        <v>44</v>
      </c>
      <c r="N41" s="55">
        <v>44</v>
      </c>
      <c r="O41" s="55">
        <v>44</v>
      </c>
      <c r="P41" s="55">
        <v>44</v>
      </c>
      <c r="Q41" s="55">
        <v>44</v>
      </c>
      <c r="R41" s="55">
        <v>44</v>
      </c>
      <c r="S41" s="55">
        <v>44</v>
      </c>
      <c r="T41" s="55">
        <v>44</v>
      </c>
      <c r="U41" s="55">
        <v>44</v>
      </c>
      <c r="V41" s="55">
        <v>44</v>
      </c>
      <c r="W41" s="55">
        <v>44</v>
      </c>
      <c r="X41" s="55">
        <v>44</v>
      </c>
      <c r="Y41" s="55">
        <v>44</v>
      </c>
      <c r="Z41" s="55">
        <v>44</v>
      </c>
      <c r="AA41" s="55">
        <v>44</v>
      </c>
      <c r="AB41" s="55">
        <v>44</v>
      </c>
      <c r="AC41" s="55">
        <v>44</v>
      </c>
      <c r="AD41" s="55">
        <v>44</v>
      </c>
      <c r="AE41" s="55">
        <v>44</v>
      </c>
      <c r="AF41" s="55">
        <v>44</v>
      </c>
      <c r="AG41" s="55">
        <v>44</v>
      </c>
      <c r="AH41" s="55">
        <v>54</v>
      </c>
      <c r="AI41" s="55">
        <v>54</v>
      </c>
      <c r="AJ41" s="55">
        <v>54</v>
      </c>
      <c r="AK41" s="55">
        <v>54</v>
      </c>
      <c r="AL41" s="55">
        <v>54</v>
      </c>
      <c r="AM41" s="55">
        <v>54</v>
      </c>
      <c r="AN41" s="55">
        <v>54</v>
      </c>
      <c r="AO41" s="55">
        <v>54</v>
      </c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67" t="s">
        <v>49</v>
      </c>
    </row>
    <row r="42" spans="2:78" ht="14.25" x14ac:dyDescent="0.45">
      <c r="B42" s="3" t="s">
        <v>257</v>
      </c>
      <c r="C42" s="55">
        <v>220</v>
      </c>
      <c r="D42" s="55">
        <v>220</v>
      </c>
      <c r="E42" s="55">
        <v>220</v>
      </c>
      <c r="F42" s="55">
        <v>220</v>
      </c>
      <c r="G42" s="55">
        <v>220</v>
      </c>
      <c r="H42" s="55">
        <v>220</v>
      </c>
      <c r="I42" s="55">
        <v>220</v>
      </c>
      <c r="J42" s="55">
        <v>220</v>
      </c>
      <c r="K42" s="55">
        <v>220</v>
      </c>
      <c r="L42" s="55">
        <v>220</v>
      </c>
      <c r="M42" s="55">
        <v>220</v>
      </c>
      <c r="N42" s="55">
        <v>220</v>
      </c>
      <c r="O42" s="55">
        <v>220</v>
      </c>
      <c r="P42" s="55">
        <v>220</v>
      </c>
      <c r="Q42" s="55">
        <v>220</v>
      </c>
      <c r="R42" s="55">
        <v>220</v>
      </c>
      <c r="S42" s="55">
        <v>220</v>
      </c>
      <c r="T42" s="55">
        <v>220</v>
      </c>
      <c r="U42" s="55">
        <v>220</v>
      </c>
      <c r="V42" s="55">
        <v>220</v>
      </c>
      <c r="W42" s="55">
        <v>220</v>
      </c>
      <c r="X42" s="55">
        <v>220</v>
      </c>
      <c r="Y42" s="55">
        <v>220</v>
      </c>
      <c r="Z42" s="55">
        <v>220</v>
      </c>
      <c r="AA42" s="55">
        <v>220</v>
      </c>
      <c r="AB42" s="55">
        <v>220</v>
      </c>
      <c r="AC42" s="55">
        <v>220</v>
      </c>
      <c r="AD42" s="55">
        <v>220</v>
      </c>
      <c r="AE42" s="55">
        <v>220</v>
      </c>
      <c r="AF42" s="55">
        <v>220</v>
      </c>
      <c r="AG42" s="55">
        <v>220</v>
      </c>
      <c r="AH42" s="55">
        <v>230</v>
      </c>
      <c r="AI42" s="55">
        <v>230</v>
      </c>
      <c r="AJ42" s="55">
        <v>230</v>
      </c>
      <c r="AK42" s="55">
        <v>230</v>
      </c>
      <c r="AL42" s="55">
        <v>230</v>
      </c>
      <c r="AM42" s="55">
        <v>230</v>
      </c>
      <c r="AN42" s="55">
        <v>230</v>
      </c>
      <c r="AO42" s="55">
        <v>230</v>
      </c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67" t="s">
        <v>49</v>
      </c>
    </row>
    <row r="43" spans="2:78" ht="14.25" x14ac:dyDescent="0.45">
      <c r="B43" s="3" t="s">
        <v>258</v>
      </c>
      <c r="C43" s="55">
        <v>190</v>
      </c>
      <c r="D43" s="55">
        <v>190</v>
      </c>
      <c r="E43" s="55">
        <v>190</v>
      </c>
      <c r="F43" s="55">
        <v>190</v>
      </c>
      <c r="G43" s="55">
        <v>190</v>
      </c>
      <c r="H43" s="55">
        <v>190</v>
      </c>
      <c r="I43" s="55">
        <v>190</v>
      </c>
      <c r="J43" s="55">
        <v>190</v>
      </c>
      <c r="K43" s="55">
        <v>190</v>
      </c>
      <c r="L43" s="55">
        <v>190</v>
      </c>
      <c r="M43" s="55">
        <v>190</v>
      </c>
      <c r="N43" s="55">
        <v>190</v>
      </c>
      <c r="O43" s="55">
        <v>190</v>
      </c>
      <c r="P43" s="55">
        <v>190</v>
      </c>
      <c r="Q43" s="55">
        <v>190</v>
      </c>
      <c r="R43" s="55">
        <v>190</v>
      </c>
      <c r="S43" s="55">
        <v>190</v>
      </c>
      <c r="T43" s="55">
        <v>190</v>
      </c>
      <c r="U43" s="55">
        <v>190</v>
      </c>
      <c r="V43" s="55">
        <v>190</v>
      </c>
      <c r="W43" s="55">
        <v>190</v>
      </c>
      <c r="X43" s="55">
        <v>190</v>
      </c>
      <c r="Y43" s="55">
        <v>190</v>
      </c>
      <c r="Z43" s="55">
        <v>190</v>
      </c>
      <c r="AA43" s="55">
        <v>190</v>
      </c>
      <c r="AB43" s="55">
        <v>190</v>
      </c>
      <c r="AC43" s="55">
        <v>190</v>
      </c>
      <c r="AD43" s="55">
        <v>190</v>
      </c>
      <c r="AE43" s="55">
        <v>190</v>
      </c>
      <c r="AF43" s="55">
        <v>190</v>
      </c>
      <c r="AG43" s="55">
        <v>190</v>
      </c>
      <c r="AH43" s="55">
        <v>220</v>
      </c>
      <c r="AI43" s="55">
        <v>220</v>
      </c>
      <c r="AJ43" s="55">
        <v>220</v>
      </c>
      <c r="AK43" s="55">
        <v>220</v>
      </c>
      <c r="AL43" s="55">
        <v>220</v>
      </c>
      <c r="AM43" s="55">
        <v>220</v>
      </c>
      <c r="AN43" s="55">
        <v>220</v>
      </c>
      <c r="AO43" s="55">
        <v>220</v>
      </c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67" t="s">
        <v>49</v>
      </c>
    </row>
    <row r="44" spans="2:78" ht="14.25" x14ac:dyDescent="0.45">
      <c r="B44" s="3" t="s">
        <v>259</v>
      </c>
      <c r="C44" s="55">
        <v>140</v>
      </c>
      <c r="D44" s="55">
        <v>140</v>
      </c>
      <c r="E44" s="55">
        <v>140</v>
      </c>
      <c r="F44" s="55">
        <v>140</v>
      </c>
      <c r="G44" s="55">
        <v>140</v>
      </c>
      <c r="H44" s="55">
        <v>140</v>
      </c>
      <c r="I44" s="55">
        <v>140</v>
      </c>
      <c r="J44" s="55">
        <v>140</v>
      </c>
      <c r="K44" s="55">
        <v>140</v>
      </c>
      <c r="L44" s="55">
        <v>140</v>
      </c>
      <c r="M44" s="55">
        <v>140</v>
      </c>
      <c r="N44" s="55">
        <v>140</v>
      </c>
      <c r="O44" s="55">
        <v>140</v>
      </c>
      <c r="P44" s="55">
        <v>140</v>
      </c>
      <c r="Q44" s="55">
        <v>140</v>
      </c>
      <c r="R44" s="55">
        <v>140</v>
      </c>
      <c r="S44" s="55">
        <v>140</v>
      </c>
      <c r="T44" s="55">
        <v>140</v>
      </c>
      <c r="U44" s="55">
        <v>140</v>
      </c>
      <c r="V44" s="55">
        <v>140</v>
      </c>
      <c r="W44" s="55">
        <v>140</v>
      </c>
      <c r="X44" s="55">
        <v>140</v>
      </c>
      <c r="Y44" s="55">
        <v>140</v>
      </c>
      <c r="Z44" s="55">
        <v>140</v>
      </c>
      <c r="AA44" s="55">
        <v>140</v>
      </c>
      <c r="AB44" s="55">
        <v>140</v>
      </c>
      <c r="AC44" s="55">
        <v>140</v>
      </c>
      <c r="AD44" s="55">
        <v>140</v>
      </c>
      <c r="AE44" s="55">
        <v>140</v>
      </c>
      <c r="AF44" s="55">
        <v>140</v>
      </c>
      <c r="AG44" s="55">
        <v>140</v>
      </c>
      <c r="AH44" s="55">
        <v>155</v>
      </c>
      <c r="AI44" s="55">
        <v>155</v>
      </c>
      <c r="AJ44" s="55">
        <v>155</v>
      </c>
      <c r="AK44" s="55">
        <v>155</v>
      </c>
      <c r="AL44" s="55">
        <v>155</v>
      </c>
      <c r="AM44" s="55">
        <v>155</v>
      </c>
      <c r="AN44" s="55">
        <v>155</v>
      </c>
      <c r="AO44" s="55">
        <v>155</v>
      </c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67" t="s">
        <v>49</v>
      </c>
    </row>
    <row r="45" spans="2:78" ht="14.25" x14ac:dyDescent="0.45">
      <c r="B45" s="3" t="s">
        <v>260</v>
      </c>
      <c r="C45" s="55">
        <v>500</v>
      </c>
      <c r="D45" s="55">
        <v>500</v>
      </c>
      <c r="E45" s="55">
        <v>500</v>
      </c>
      <c r="F45" s="55">
        <v>500</v>
      </c>
      <c r="G45" s="55">
        <v>500</v>
      </c>
      <c r="H45" s="55">
        <v>500</v>
      </c>
      <c r="I45" s="55">
        <v>500</v>
      </c>
      <c r="J45" s="55">
        <v>500</v>
      </c>
      <c r="K45" s="55">
        <v>500</v>
      </c>
      <c r="L45" s="55">
        <v>500</v>
      </c>
      <c r="M45" s="55">
        <v>500</v>
      </c>
      <c r="N45" s="55">
        <v>500</v>
      </c>
      <c r="O45" s="55">
        <v>500</v>
      </c>
      <c r="P45" s="55">
        <v>500</v>
      </c>
      <c r="Q45" s="55">
        <v>500</v>
      </c>
      <c r="R45" s="55">
        <v>500</v>
      </c>
      <c r="S45" s="55">
        <v>500</v>
      </c>
      <c r="T45" s="55">
        <v>500</v>
      </c>
      <c r="U45" s="55">
        <v>500</v>
      </c>
      <c r="V45" s="55">
        <v>500</v>
      </c>
      <c r="W45" s="55">
        <v>500</v>
      </c>
      <c r="X45" s="55">
        <v>500</v>
      </c>
      <c r="Y45" s="55">
        <v>500</v>
      </c>
      <c r="Z45" s="55">
        <v>500</v>
      </c>
      <c r="AA45" s="55">
        <v>500</v>
      </c>
      <c r="AB45" s="55">
        <v>500</v>
      </c>
      <c r="AC45" s="55">
        <v>500</v>
      </c>
      <c r="AD45" s="55">
        <v>500</v>
      </c>
      <c r="AE45" s="55">
        <v>500</v>
      </c>
      <c r="AF45" s="55">
        <v>500</v>
      </c>
      <c r="AG45" s="55">
        <v>500</v>
      </c>
      <c r="AH45" s="55">
        <v>500</v>
      </c>
      <c r="AI45" s="55">
        <v>500</v>
      </c>
      <c r="AJ45" s="55">
        <v>500</v>
      </c>
      <c r="AK45" s="55">
        <v>500</v>
      </c>
      <c r="AL45" s="55">
        <v>500</v>
      </c>
      <c r="AM45" s="55">
        <v>500</v>
      </c>
      <c r="AN45" s="55">
        <v>500</v>
      </c>
      <c r="AO45" s="55">
        <v>500</v>
      </c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67" t="s">
        <v>49</v>
      </c>
    </row>
    <row r="46" spans="2:78" ht="14.25" x14ac:dyDescent="0.45">
      <c r="B46" s="3" t="s">
        <v>261</v>
      </c>
      <c r="C46" s="55">
        <f t="shared" ref="C46:D46" si="11">(68*C37+30*C36+2*220)/100</f>
        <v>120.28082000000001</v>
      </c>
      <c r="D46" s="55">
        <f t="shared" si="11"/>
        <v>120.28052</v>
      </c>
      <c r="E46" s="55">
        <f t="shared" ref="E46:M46" si="12">(68*E37+30*E36+2*220)/100</f>
        <v>118.92052</v>
      </c>
      <c r="F46" s="55">
        <f t="shared" si="12"/>
        <v>117.72422</v>
      </c>
      <c r="G46" s="55">
        <f t="shared" si="12"/>
        <v>114.42422000000001</v>
      </c>
      <c r="H46" s="55">
        <f t="shared" si="12"/>
        <v>113.06422000000001</v>
      </c>
      <c r="I46" s="55">
        <f t="shared" si="12"/>
        <v>113.74097999999999</v>
      </c>
      <c r="J46" s="55">
        <f t="shared" si="12"/>
        <v>114.72098</v>
      </c>
      <c r="K46" s="55">
        <f t="shared" si="12"/>
        <v>116.37961999999999</v>
      </c>
      <c r="L46" s="55">
        <f t="shared" si="12"/>
        <v>116.97962</v>
      </c>
      <c r="M46" s="55">
        <f t="shared" si="12"/>
        <v>116.67187999999999</v>
      </c>
      <c r="N46" s="55">
        <f t="shared" ref="N46:O46" si="13">(68*N37+30*N36+2*220)/100</f>
        <v>116.67187999999999</v>
      </c>
      <c r="O46" s="55">
        <f t="shared" si="13"/>
        <v>116.67187999999999</v>
      </c>
      <c r="P46" s="55">
        <f t="shared" ref="P46:Q46" si="14">(68*P37+30*P36+2*220)/100</f>
        <v>113.95187999999999</v>
      </c>
      <c r="Q46" s="55">
        <f t="shared" si="14"/>
        <v>113.35187999999998</v>
      </c>
      <c r="R46" s="55">
        <f t="shared" ref="R46" si="15">(68*R37+30*R36+2*220)/100</f>
        <v>114.37187999999998</v>
      </c>
      <c r="S46" s="55">
        <f t="shared" ref="S46:X46" si="16">(68*S37+30*S36+2*220)/100</f>
        <v>115.10044000000002</v>
      </c>
      <c r="T46" s="55">
        <f t="shared" si="16"/>
        <v>114.07907999999999</v>
      </c>
      <c r="U46" s="55">
        <f t="shared" si="16"/>
        <v>114.07907999999999</v>
      </c>
      <c r="V46" s="55">
        <f t="shared" si="16"/>
        <v>111.77938</v>
      </c>
      <c r="W46" s="55">
        <f t="shared" si="16"/>
        <v>109.05938</v>
      </c>
      <c r="X46" s="55">
        <f t="shared" si="16"/>
        <v>107.38871999999999</v>
      </c>
      <c r="Y46" s="55">
        <f t="shared" ref="Y46:AH46" si="17">(68*Y37+30*Y36+2*220)/100</f>
        <v>106.71052</v>
      </c>
      <c r="Z46" s="55">
        <f t="shared" si="17"/>
        <v>105.28052</v>
      </c>
      <c r="AA46" s="55">
        <f t="shared" si="17"/>
        <v>106.30226</v>
      </c>
      <c r="AB46" s="55">
        <f t="shared" si="17"/>
        <v>106.98226000000001</v>
      </c>
      <c r="AC46" s="55">
        <f t="shared" si="17"/>
        <v>107.66226</v>
      </c>
      <c r="AD46" s="55">
        <f t="shared" si="17"/>
        <v>110.64316000000001</v>
      </c>
      <c r="AE46" s="55">
        <f t="shared" si="17"/>
        <v>112.00316000000001</v>
      </c>
      <c r="AF46" s="55">
        <f t="shared" si="17"/>
        <v>118.18316</v>
      </c>
      <c r="AG46" s="55">
        <f t="shared" si="17"/>
        <v>136.04226</v>
      </c>
      <c r="AH46" s="55">
        <f t="shared" si="17"/>
        <v>177.20226000000002</v>
      </c>
      <c r="AI46" s="55">
        <v>177.20226000000002</v>
      </c>
      <c r="AJ46" s="55">
        <v>177.20226000000002</v>
      </c>
      <c r="AK46" s="55">
        <v>177.20226000000002</v>
      </c>
      <c r="AL46" s="55">
        <v>177.20226000000002</v>
      </c>
      <c r="AM46" s="55">
        <v>177.20226000000002</v>
      </c>
      <c r="AN46" s="55">
        <v>177.20226000000002</v>
      </c>
      <c r="AO46" s="55">
        <v>177.20226000000002</v>
      </c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67" t="s">
        <v>49</v>
      </c>
    </row>
    <row r="47" spans="2:78" ht="14.25" x14ac:dyDescent="0.45">
      <c r="B47" s="3" t="s">
        <v>262</v>
      </c>
      <c r="C47" s="55">
        <v>84</v>
      </c>
      <c r="D47" s="55">
        <v>84</v>
      </c>
      <c r="E47" s="55">
        <v>84</v>
      </c>
      <c r="F47" s="55">
        <v>84</v>
      </c>
      <c r="G47" s="55">
        <v>84</v>
      </c>
      <c r="H47" s="55">
        <v>84</v>
      </c>
      <c r="I47" s="55">
        <v>84</v>
      </c>
      <c r="J47" s="55">
        <v>84</v>
      </c>
      <c r="K47" s="55">
        <v>84</v>
      </c>
      <c r="L47" s="55">
        <v>84</v>
      </c>
      <c r="M47" s="55">
        <v>84</v>
      </c>
      <c r="N47" s="55">
        <v>84</v>
      </c>
      <c r="O47" s="55">
        <v>84</v>
      </c>
      <c r="P47" s="55">
        <v>84</v>
      </c>
      <c r="Q47" s="55">
        <v>84</v>
      </c>
      <c r="R47" s="55">
        <v>84</v>
      </c>
      <c r="S47" s="55">
        <v>84</v>
      </c>
      <c r="T47" s="55">
        <v>84</v>
      </c>
      <c r="U47" s="55">
        <v>84</v>
      </c>
      <c r="V47" s="55">
        <v>84</v>
      </c>
      <c r="W47" s="55">
        <v>84</v>
      </c>
      <c r="X47" s="55">
        <v>84</v>
      </c>
      <c r="Y47" s="55">
        <v>84</v>
      </c>
      <c r="Z47" s="55">
        <v>84</v>
      </c>
      <c r="AA47" s="55">
        <v>84</v>
      </c>
      <c r="AB47" s="55">
        <v>84</v>
      </c>
      <c r="AC47" s="55">
        <v>84</v>
      </c>
      <c r="AD47" s="55">
        <v>84</v>
      </c>
      <c r="AE47" s="55">
        <v>84</v>
      </c>
      <c r="AF47" s="55">
        <v>84</v>
      </c>
      <c r="AG47" s="55">
        <v>84</v>
      </c>
      <c r="AH47" s="55">
        <v>84</v>
      </c>
      <c r="AI47" s="55">
        <v>84</v>
      </c>
      <c r="AJ47" s="55">
        <v>84</v>
      </c>
      <c r="AK47" s="55">
        <v>84</v>
      </c>
      <c r="AL47" s="55">
        <v>84</v>
      </c>
      <c r="AM47" s="55">
        <v>84</v>
      </c>
      <c r="AN47" s="55">
        <v>84</v>
      </c>
      <c r="AO47" s="55">
        <v>84</v>
      </c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67" t="s">
        <v>49</v>
      </c>
    </row>
    <row r="48" spans="2:78" ht="14.25" x14ac:dyDescent="0.45">
      <c r="B48" s="3" t="s">
        <v>263</v>
      </c>
      <c r="C48" s="55">
        <v>76</v>
      </c>
      <c r="D48" s="55">
        <v>76</v>
      </c>
      <c r="E48" s="55">
        <v>76</v>
      </c>
      <c r="F48" s="55">
        <v>76</v>
      </c>
      <c r="G48" s="55">
        <v>76</v>
      </c>
      <c r="H48" s="55">
        <v>76</v>
      </c>
      <c r="I48" s="55">
        <v>76</v>
      </c>
      <c r="J48" s="55">
        <v>76</v>
      </c>
      <c r="K48" s="55">
        <v>76</v>
      </c>
      <c r="L48" s="55">
        <v>76</v>
      </c>
      <c r="M48" s="55">
        <v>76</v>
      </c>
      <c r="N48" s="55">
        <v>76</v>
      </c>
      <c r="O48" s="55">
        <v>76</v>
      </c>
      <c r="P48" s="55">
        <v>76</v>
      </c>
      <c r="Q48" s="55">
        <v>76</v>
      </c>
      <c r="R48" s="55">
        <v>76</v>
      </c>
      <c r="S48" s="55">
        <v>76</v>
      </c>
      <c r="T48" s="55">
        <v>76</v>
      </c>
      <c r="U48" s="55">
        <v>76</v>
      </c>
      <c r="V48" s="55">
        <v>76</v>
      </c>
      <c r="W48" s="55">
        <v>76</v>
      </c>
      <c r="X48" s="55">
        <v>76</v>
      </c>
      <c r="Y48" s="55">
        <v>76</v>
      </c>
      <c r="Z48" s="55">
        <v>76</v>
      </c>
      <c r="AA48" s="55">
        <v>76</v>
      </c>
      <c r="AB48" s="55">
        <v>76</v>
      </c>
      <c r="AC48" s="55">
        <v>76</v>
      </c>
      <c r="AD48" s="55">
        <v>76</v>
      </c>
      <c r="AE48" s="55">
        <v>76</v>
      </c>
      <c r="AF48" s="55">
        <v>76</v>
      </c>
      <c r="AG48" s="55">
        <v>76</v>
      </c>
      <c r="AH48" s="55">
        <v>76</v>
      </c>
      <c r="AI48" s="55">
        <v>76</v>
      </c>
      <c r="AJ48" s="55">
        <v>76</v>
      </c>
      <c r="AK48" s="55">
        <v>76</v>
      </c>
      <c r="AL48" s="55">
        <v>76</v>
      </c>
      <c r="AM48" s="55">
        <v>76</v>
      </c>
      <c r="AN48" s="55">
        <v>76</v>
      </c>
      <c r="AO48" s="55">
        <v>76</v>
      </c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67"/>
    </row>
    <row r="49" spans="2:78" ht="14.25" x14ac:dyDescent="0.45">
      <c r="B49" s="3" t="s">
        <v>564</v>
      </c>
      <c r="C49" s="55">
        <v>160</v>
      </c>
      <c r="D49" s="55">
        <v>160</v>
      </c>
      <c r="E49" s="55">
        <v>160</v>
      </c>
      <c r="F49" s="55">
        <v>160</v>
      </c>
      <c r="G49" s="55">
        <v>160</v>
      </c>
      <c r="H49" s="55">
        <v>160</v>
      </c>
      <c r="I49" s="55">
        <v>160</v>
      </c>
      <c r="J49" s="55">
        <v>160</v>
      </c>
      <c r="K49" s="55">
        <v>160</v>
      </c>
      <c r="L49" s="55">
        <v>160</v>
      </c>
      <c r="M49" s="55">
        <v>160</v>
      </c>
      <c r="N49" s="55">
        <v>160</v>
      </c>
      <c r="O49" s="55">
        <v>160</v>
      </c>
      <c r="P49" s="55">
        <v>160</v>
      </c>
      <c r="Q49" s="55">
        <v>160</v>
      </c>
      <c r="R49" s="55">
        <v>160</v>
      </c>
      <c r="S49" s="55">
        <v>160</v>
      </c>
      <c r="T49" s="55">
        <v>160</v>
      </c>
      <c r="U49" s="55">
        <v>160</v>
      </c>
      <c r="V49" s="55">
        <v>160</v>
      </c>
      <c r="W49" s="55">
        <v>160</v>
      </c>
      <c r="X49" s="55">
        <v>160</v>
      </c>
      <c r="Y49" s="55">
        <v>160</v>
      </c>
      <c r="Z49" s="55">
        <v>150</v>
      </c>
      <c r="AA49" s="55">
        <v>150</v>
      </c>
      <c r="AB49" s="55">
        <v>150</v>
      </c>
      <c r="AC49" s="55">
        <v>150</v>
      </c>
      <c r="AD49" s="55">
        <v>150</v>
      </c>
      <c r="AE49" s="55">
        <v>150</v>
      </c>
      <c r="AF49" s="55">
        <v>150</v>
      </c>
      <c r="AG49" s="55">
        <v>150</v>
      </c>
      <c r="AH49" s="55">
        <v>150</v>
      </c>
      <c r="AI49" s="55">
        <v>150</v>
      </c>
      <c r="AJ49" s="55">
        <v>150</v>
      </c>
      <c r="AK49" s="55">
        <v>150</v>
      </c>
      <c r="AL49" s="55">
        <v>150</v>
      </c>
      <c r="AM49" s="55">
        <v>150</v>
      </c>
      <c r="AN49" s="55">
        <v>150</v>
      </c>
      <c r="AO49" s="55">
        <v>150</v>
      </c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67" t="s">
        <v>49</v>
      </c>
    </row>
    <row r="50" spans="2:78" ht="14.25" x14ac:dyDescent="0.45">
      <c r="B50" s="3" t="s">
        <v>265</v>
      </c>
      <c r="C50" s="55">
        <v>180</v>
      </c>
      <c r="D50" s="55">
        <v>180</v>
      </c>
      <c r="E50" s="55">
        <v>180</v>
      </c>
      <c r="F50" s="55">
        <v>180</v>
      </c>
      <c r="G50" s="55">
        <v>180</v>
      </c>
      <c r="H50" s="55">
        <v>180</v>
      </c>
      <c r="I50" s="55">
        <v>180</v>
      </c>
      <c r="J50" s="55">
        <v>180</v>
      </c>
      <c r="K50" s="55">
        <v>180</v>
      </c>
      <c r="L50" s="55">
        <v>180</v>
      </c>
      <c r="M50" s="55">
        <v>180</v>
      </c>
      <c r="N50" s="55">
        <v>180</v>
      </c>
      <c r="O50" s="55">
        <v>180</v>
      </c>
      <c r="P50" s="55">
        <v>180</v>
      </c>
      <c r="Q50" s="55">
        <v>180</v>
      </c>
      <c r="R50" s="55">
        <v>180</v>
      </c>
      <c r="S50" s="55">
        <v>180</v>
      </c>
      <c r="T50" s="55">
        <v>180</v>
      </c>
      <c r="U50" s="55">
        <v>180</v>
      </c>
      <c r="V50" s="55">
        <v>180</v>
      </c>
      <c r="W50" s="55">
        <v>180</v>
      </c>
      <c r="X50" s="55">
        <v>180</v>
      </c>
      <c r="Y50" s="55">
        <v>180</v>
      </c>
      <c r="Z50" s="55">
        <v>170</v>
      </c>
      <c r="AA50" s="55">
        <v>170</v>
      </c>
      <c r="AB50" s="55">
        <v>170</v>
      </c>
      <c r="AC50" s="55">
        <v>170</v>
      </c>
      <c r="AD50" s="55">
        <v>170</v>
      </c>
      <c r="AE50" s="55">
        <v>170</v>
      </c>
      <c r="AF50" s="55">
        <v>170</v>
      </c>
      <c r="AG50" s="55">
        <v>170</v>
      </c>
      <c r="AH50" s="55">
        <v>170</v>
      </c>
      <c r="AI50" s="55">
        <v>170</v>
      </c>
      <c r="AJ50" s="55">
        <v>170</v>
      </c>
      <c r="AK50" s="55">
        <v>170</v>
      </c>
      <c r="AL50" s="55">
        <v>170</v>
      </c>
      <c r="AM50" s="55">
        <v>170</v>
      </c>
      <c r="AN50" s="55">
        <v>170</v>
      </c>
      <c r="AO50" s="55">
        <v>170</v>
      </c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67" t="s">
        <v>49</v>
      </c>
    </row>
    <row r="51" spans="2:78" ht="14.25" x14ac:dyDescent="0.45">
      <c r="B51" s="3" t="s">
        <v>266</v>
      </c>
      <c r="C51" s="55">
        <v>180</v>
      </c>
      <c r="D51" s="55">
        <v>180</v>
      </c>
      <c r="E51" s="55">
        <v>180</v>
      </c>
      <c r="F51" s="55">
        <v>180</v>
      </c>
      <c r="G51" s="55">
        <v>180</v>
      </c>
      <c r="H51" s="55">
        <v>180</v>
      </c>
      <c r="I51" s="55">
        <v>180</v>
      </c>
      <c r="J51" s="55">
        <v>180</v>
      </c>
      <c r="K51" s="55">
        <v>180</v>
      </c>
      <c r="L51" s="55">
        <v>180</v>
      </c>
      <c r="M51" s="55">
        <v>180</v>
      </c>
      <c r="N51" s="55">
        <v>180</v>
      </c>
      <c r="O51" s="55">
        <v>180</v>
      </c>
      <c r="P51" s="55">
        <v>180</v>
      </c>
      <c r="Q51" s="55">
        <v>180</v>
      </c>
      <c r="R51" s="55">
        <v>180</v>
      </c>
      <c r="S51" s="55">
        <v>180</v>
      </c>
      <c r="T51" s="55">
        <v>180</v>
      </c>
      <c r="U51" s="55">
        <v>180</v>
      </c>
      <c r="V51" s="55">
        <v>180</v>
      </c>
      <c r="W51" s="55">
        <v>180</v>
      </c>
      <c r="X51" s="55">
        <v>180</v>
      </c>
      <c r="Y51" s="55">
        <v>180</v>
      </c>
      <c r="Z51" s="55">
        <v>180</v>
      </c>
      <c r="AA51" s="55">
        <v>180</v>
      </c>
      <c r="AB51" s="55">
        <v>180</v>
      </c>
      <c r="AC51" s="55">
        <v>180</v>
      </c>
      <c r="AD51" s="55">
        <v>180</v>
      </c>
      <c r="AE51" s="55">
        <v>180</v>
      </c>
      <c r="AF51" s="55">
        <v>180</v>
      </c>
      <c r="AG51" s="55">
        <v>180</v>
      </c>
      <c r="AH51" s="55">
        <v>180</v>
      </c>
      <c r="AI51" s="55">
        <v>180</v>
      </c>
      <c r="AJ51" s="55">
        <v>180</v>
      </c>
      <c r="AK51" s="55">
        <v>180</v>
      </c>
      <c r="AL51" s="55">
        <v>180</v>
      </c>
      <c r="AM51" s="55">
        <v>180</v>
      </c>
      <c r="AN51" s="55">
        <v>180</v>
      </c>
      <c r="AO51" s="55">
        <v>180</v>
      </c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67" t="s">
        <v>49</v>
      </c>
    </row>
    <row r="52" spans="2:78" ht="14.25" x14ac:dyDescent="0.45">
      <c r="B52" s="3" t="s">
        <v>267</v>
      </c>
      <c r="C52" s="55">
        <v>230</v>
      </c>
      <c r="D52" s="55">
        <v>230</v>
      </c>
      <c r="E52" s="55">
        <v>230</v>
      </c>
      <c r="F52" s="55">
        <v>230</v>
      </c>
      <c r="G52" s="55">
        <v>230</v>
      </c>
      <c r="H52" s="55">
        <v>230</v>
      </c>
      <c r="I52" s="55">
        <v>230</v>
      </c>
      <c r="J52" s="55">
        <v>230</v>
      </c>
      <c r="K52" s="55">
        <v>230</v>
      </c>
      <c r="L52" s="55">
        <v>230</v>
      </c>
      <c r="M52" s="55">
        <v>230</v>
      </c>
      <c r="N52" s="55">
        <v>230</v>
      </c>
      <c r="O52" s="55">
        <v>230</v>
      </c>
      <c r="P52" s="55">
        <v>230</v>
      </c>
      <c r="Q52" s="55">
        <v>230</v>
      </c>
      <c r="R52" s="55">
        <v>230</v>
      </c>
      <c r="S52" s="55">
        <v>230</v>
      </c>
      <c r="T52" s="55">
        <v>230</v>
      </c>
      <c r="U52" s="55">
        <v>230</v>
      </c>
      <c r="V52" s="55">
        <v>230</v>
      </c>
      <c r="W52" s="55">
        <v>230</v>
      </c>
      <c r="X52" s="55">
        <v>230</v>
      </c>
      <c r="Y52" s="55">
        <v>230</v>
      </c>
      <c r="Z52" s="55">
        <v>230</v>
      </c>
      <c r="AA52" s="55">
        <v>230</v>
      </c>
      <c r="AB52" s="55">
        <v>230</v>
      </c>
      <c r="AC52" s="55">
        <v>230</v>
      </c>
      <c r="AD52" s="55">
        <v>230</v>
      </c>
      <c r="AE52" s="55">
        <v>230</v>
      </c>
      <c r="AF52" s="55">
        <v>230</v>
      </c>
      <c r="AG52" s="55">
        <v>230</v>
      </c>
      <c r="AH52" s="55">
        <v>230</v>
      </c>
      <c r="AI52" s="55">
        <v>230</v>
      </c>
      <c r="AJ52" s="55">
        <v>230</v>
      </c>
      <c r="AK52" s="55">
        <v>230</v>
      </c>
      <c r="AL52" s="55">
        <v>230</v>
      </c>
      <c r="AM52" s="55">
        <v>230</v>
      </c>
      <c r="AN52" s="55">
        <v>230</v>
      </c>
      <c r="AO52" s="55">
        <v>230</v>
      </c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67" t="s">
        <v>49</v>
      </c>
    </row>
    <row r="53" spans="2:78" ht="14.25" x14ac:dyDescent="0.45">
      <c r="B53" s="3" t="s">
        <v>268</v>
      </c>
      <c r="C53" s="55">
        <v>1400</v>
      </c>
      <c r="D53" s="55">
        <v>1400</v>
      </c>
      <c r="E53" s="55">
        <v>1400</v>
      </c>
      <c r="F53" s="55">
        <v>1400</v>
      </c>
      <c r="G53" s="55">
        <v>1400</v>
      </c>
      <c r="H53" s="55">
        <v>1400</v>
      </c>
      <c r="I53" s="55">
        <v>1400</v>
      </c>
      <c r="J53" s="55">
        <v>1400</v>
      </c>
      <c r="K53" s="55">
        <v>1400</v>
      </c>
      <c r="L53" s="55">
        <v>1400</v>
      </c>
      <c r="M53" s="55">
        <v>1400</v>
      </c>
      <c r="N53" s="55">
        <v>1400</v>
      </c>
      <c r="O53" s="55">
        <v>1400</v>
      </c>
      <c r="P53" s="55">
        <v>1400</v>
      </c>
      <c r="Q53" s="55">
        <v>1400</v>
      </c>
      <c r="R53" s="55">
        <v>1400</v>
      </c>
      <c r="S53" s="55">
        <v>1400</v>
      </c>
      <c r="T53" s="55">
        <v>1400</v>
      </c>
      <c r="U53" s="55">
        <v>1400</v>
      </c>
      <c r="V53" s="55">
        <v>1400</v>
      </c>
      <c r="W53" s="55">
        <v>1400</v>
      </c>
      <c r="X53" s="55">
        <v>1400</v>
      </c>
      <c r="Y53" s="55">
        <v>1400</v>
      </c>
      <c r="Z53" s="55">
        <v>1400</v>
      </c>
      <c r="AA53" s="55">
        <v>1400</v>
      </c>
      <c r="AB53" s="55">
        <v>1400</v>
      </c>
      <c r="AC53" s="55">
        <v>1400</v>
      </c>
      <c r="AD53" s="55">
        <v>1400</v>
      </c>
      <c r="AE53" s="55">
        <v>1400</v>
      </c>
      <c r="AF53" s="55">
        <v>1400</v>
      </c>
      <c r="AG53" s="55">
        <v>1400</v>
      </c>
      <c r="AH53" s="55">
        <v>1400</v>
      </c>
      <c r="AI53" s="55">
        <v>1400</v>
      </c>
      <c r="AJ53" s="55">
        <v>1400</v>
      </c>
      <c r="AK53" s="55">
        <v>1400</v>
      </c>
      <c r="AL53" s="55">
        <v>1400</v>
      </c>
      <c r="AM53" s="55">
        <v>1400</v>
      </c>
      <c r="AN53" s="55">
        <v>1400</v>
      </c>
      <c r="AO53" s="55">
        <v>1400</v>
      </c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67" t="s">
        <v>49</v>
      </c>
    </row>
    <row r="54" spans="2:78" ht="14.25" x14ac:dyDescent="0.45">
      <c r="B54" s="3" t="s">
        <v>269</v>
      </c>
      <c r="C54" s="55">
        <v>140</v>
      </c>
      <c r="D54" s="55">
        <v>140</v>
      </c>
      <c r="E54" s="55">
        <v>140</v>
      </c>
      <c r="F54" s="55">
        <v>140</v>
      </c>
      <c r="G54" s="55">
        <v>140</v>
      </c>
      <c r="H54" s="55">
        <v>140</v>
      </c>
      <c r="I54" s="55">
        <v>140</v>
      </c>
      <c r="J54" s="55">
        <v>140</v>
      </c>
      <c r="K54" s="55">
        <v>140</v>
      </c>
      <c r="L54" s="55">
        <v>140</v>
      </c>
      <c r="M54" s="55">
        <v>140</v>
      </c>
      <c r="N54" s="55">
        <v>140</v>
      </c>
      <c r="O54" s="55">
        <v>140</v>
      </c>
      <c r="P54" s="55">
        <v>140</v>
      </c>
      <c r="Q54" s="55">
        <v>140</v>
      </c>
      <c r="R54" s="55">
        <v>140</v>
      </c>
      <c r="S54" s="55">
        <v>140</v>
      </c>
      <c r="T54" s="55">
        <v>140</v>
      </c>
      <c r="U54" s="55">
        <v>140</v>
      </c>
      <c r="V54" s="55">
        <v>140</v>
      </c>
      <c r="W54" s="55">
        <v>140</v>
      </c>
      <c r="X54" s="55">
        <v>140</v>
      </c>
      <c r="Y54" s="55">
        <v>140</v>
      </c>
      <c r="Z54" s="55">
        <v>140</v>
      </c>
      <c r="AA54" s="55">
        <v>140</v>
      </c>
      <c r="AB54" s="55">
        <v>140</v>
      </c>
      <c r="AC54" s="55">
        <v>140</v>
      </c>
      <c r="AD54" s="55">
        <v>140</v>
      </c>
      <c r="AE54" s="55">
        <v>140</v>
      </c>
      <c r="AF54" s="55">
        <v>140</v>
      </c>
      <c r="AG54" s="55">
        <v>140</v>
      </c>
      <c r="AH54" s="55">
        <v>140</v>
      </c>
      <c r="AI54" s="55">
        <v>140</v>
      </c>
      <c r="AJ54" s="55">
        <v>140</v>
      </c>
      <c r="AK54" s="55">
        <v>140</v>
      </c>
      <c r="AL54" s="55">
        <v>140</v>
      </c>
      <c r="AM54" s="55">
        <v>140</v>
      </c>
      <c r="AN54" s="55">
        <v>140</v>
      </c>
      <c r="AO54" s="55">
        <v>140</v>
      </c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67" t="s">
        <v>49</v>
      </c>
    </row>
  </sheetData>
  <protectedRanges>
    <protectedRange algorithmName="SHA-512" hashValue="PRZSteFpmfxieq6q3HGjWLpTQ56lsxyI5KwoKr2hqNsenCKsC5LtCCCI4D83xhlDhIJxWiJemMC63jg3Rk8etw==" saltValue="/iAEg71XhPZQjmhuj8DvLg==" spinCount="100000" sqref="C20:Q21" name="Range1"/>
    <protectedRange algorithmName="SHA-512" hashValue="PRZSteFpmfxieq6q3HGjWLpTQ56lsxyI5KwoKr2hqNsenCKsC5LtCCCI4D83xhlDhIJxWiJemMC63jg3Rk8etw==" saltValue="/iAEg71XhPZQjmhuj8DvLg==" spinCount="100000" sqref="C22:Q27 C5:Q19 AV12:BY27 V5:BY11 C32:BY54" name="Range1_1"/>
    <protectedRange algorithmName="SHA-512" hashValue="PRZSteFpmfxieq6q3HGjWLpTQ56lsxyI5KwoKr2hqNsenCKsC5LtCCCI4D83xhlDhIJxWiJemMC63jg3Rk8etw==" saltValue="/iAEg71XhPZQjmhuj8DvLg==" spinCount="100000" sqref="R20:AU21" name="Range1_2"/>
    <protectedRange algorithmName="SHA-512" hashValue="PRZSteFpmfxieq6q3HGjWLpTQ56lsxyI5KwoKr2hqNsenCKsC5LtCCCI4D83xhlDhIJxWiJemMC63jg3Rk8etw==" saltValue="/iAEg71XhPZQjmhuj8DvLg==" spinCount="100000" sqref="R5:U19 R22:AU27 V12:AU19" name="Range1_1_1"/>
  </protectedRange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D4D5-6404-485F-99A1-B0824760D433}">
  <dimension ref="B1:F528"/>
  <sheetViews>
    <sheetView topLeftCell="B16" workbookViewId="0">
      <selection activeCell="C33" sqref="C33"/>
    </sheetView>
  </sheetViews>
  <sheetFormatPr defaultRowHeight="14.25" x14ac:dyDescent="0.45"/>
  <cols>
    <col min="3" max="3" width="26" customWidth="1"/>
    <col min="4" max="4" width="18" customWidth="1"/>
  </cols>
  <sheetData>
    <row r="1" spans="2:4" x14ac:dyDescent="0.45">
      <c r="B1" t="s">
        <v>565</v>
      </c>
    </row>
    <row r="2" spans="2:4" x14ac:dyDescent="0.45">
      <c r="B2" s="7" t="s">
        <v>566</v>
      </c>
      <c r="C2" s="8" t="s">
        <v>567</v>
      </c>
      <c r="D2" s="9" t="s">
        <v>53</v>
      </c>
    </row>
    <row r="3" spans="2:4" x14ac:dyDescent="0.45">
      <c r="B3" s="5">
        <f t="shared" ref="B3" si="0">ROW(B3)-2</f>
        <v>1</v>
      </c>
      <c r="C3" s="1" t="s">
        <v>568</v>
      </c>
      <c r="D3" s="6" t="s">
        <v>100</v>
      </c>
    </row>
    <row r="4" spans="2:4" x14ac:dyDescent="0.45">
      <c r="B4" s="10">
        <f t="shared" ref="B4:B45" si="1">ROW(B4)-2</f>
        <v>2</v>
      </c>
      <c r="C4" s="11" t="s">
        <v>569</v>
      </c>
      <c r="D4" s="12" t="s">
        <v>569</v>
      </c>
    </row>
    <row r="5" spans="2:4" x14ac:dyDescent="0.45">
      <c r="B5" s="10">
        <f t="shared" si="1"/>
        <v>3</v>
      </c>
      <c r="C5" s="11" t="s">
        <v>570</v>
      </c>
      <c r="D5" s="12" t="s">
        <v>570</v>
      </c>
    </row>
    <row r="6" spans="2:4" x14ac:dyDescent="0.45">
      <c r="B6" s="10">
        <f t="shared" si="1"/>
        <v>4</v>
      </c>
      <c r="C6" s="11" t="s">
        <v>571</v>
      </c>
      <c r="D6" s="12" t="s">
        <v>571</v>
      </c>
    </row>
    <row r="7" spans="2:4" x14ac:dyDescent="0.45">
      <c r="B7" s="5">
        <f>ROW(B7)-2</f>
        <v>5</v>
      </c>
      <c r="C7" s="1" t="s">
        <v>165</v>
      </c>
      <c r="D7" s="6" t="s">
        <v>165</v>
      </c>
    </row>
    <row r="8" spans="2:4" x14ac:dyDescent="0.45">
      <c r="B8" s="10">
        <f t="shared" si="1"/>
        <v>6</v>
      </c>
      <c r="C8" s="11" t="s">
        <v>572</v>
      </c>
      <c r="D8" s="12" t="s">
        <v>573</v>
      </c>
    </row>
    <row r="9" spans="2:4" x14ac:dyDescent="0.45">
      <c r="B9" s="10">
        <f t="shared" si="1"/>
        <v>7</v>
      </c>
      <c r="C9" s="11" t="s">
        <v>574</v>
      </c>
      <c r="D9" s="12" t="s">
        <v>575</v>
      </c>
    </row>
    <row r="10" spans="2:4" x14ac:dyDescent="0.45">
      <c r="B10" s="5">
        <f>ROW(B10)-2</f>
        <v>8</v>
      </c>
      <c r="C10" s="1" t="s">
        <v>576</v>
      </c>
      <c r="D10" s="6" t="s">
        <v>111</v>
      </c>
    </row>
    <row r="11" spans="2:4" x14ac:dyDescent="0.45">
      <c r="B11" s="10">
        <f t="shared" si="1"/>
        <v>9</v>
      </c>
      <c r="C11" s="11" t="s">
        <v>577</v>
      </c>
      <c r="D11" s="12" t="s">
        <v>578</v>
      </c>
    </row>
    <row r="12" spans="2:4" x14ac:dyDescent="0.45">
      <c r="B12" s="10">
        <f t="shared" si="1"/>
        <v>10</v>
      </c>
      <c r="C12" s="11" t="s">
        <v>579</v>
      </c>
      <c r="D12" s="12" t="s">
        <v>580</v>
      </c>
    </row>
    <row r="13" spans="2:4" x14ac:dyDescent="0.45">
      <c r="B13" s="10">
        <f t="shared" si="1"/>
        <v>11</v>
      </c>
      <c r="C13" s="11" t="s">
        <v>581</v>
      </c>
      <c r="D13" s="12" t="s">
        <v>582</v>
      </c>
    </row>
    <row r="14" spans="2:4" x14ac:dyDescent="0.45">
      <c r="B14" s="10">
        <f t="shared" si="1"/>
        <v>12</v>
      </c>
      <c r="C14" s="11" t="s">
        <v>583</v>
      </c>
      <c r="D14" s="12" t="s">
        <v>584</v>
      </c>
    </row>
    <row r="15" spans="2:4" x14ac:dyDescent="0.45">
      <c r="B15" s="10">
        <f t="shared" si="1"/>
        <v>13</v>
      </c>
      <c r="C15" s="11" t="s">
        <v>585</v>
      </c>
      <c r="D15" s="12" t="s">
        <v>586</v>
      </c>
    </row>
    <row r="16" spans="2:4" x14ac:dyDescent="0.45">
      <c r="B16" s="5">
        <f>ROW(B16)-2</f>
        <v>14</v>
      </c>
      <c r="C16" s="1" t="s">
        <v>587</v>
      </c>
      <c r="D16" s="1" t="s">
        <v>129</v>
      </c>
    </row>
    <row r="17" spans="2:4" x14ac:dyDescent="0.45">
      <c r="B17" s="10">
        <f t="shared" si="1"/>
        <v>15</v>
      </c>
      <c r="C17" s="11" t="s">
        <v>588</v>
      </c>
      <c r="D17" s="12" t="s">
        <v>90</v>
      </c>
    </row>
    <row r="18" spans="2:4" x14ac:dyDescent="0.45">
      <c r="B18" s="10">
        <f t="shared" si="1"/>
        <v>16</v>
      </c>
      <c r="C18" s="11" t="s">
        <v>589</v>
      </c>
      <c r="D18" s="12" t="s">
        <v>590</v>
      </c>
    </row>
    <row r="19" spans="2:4" x14ac:dyDescent="0.45">
      <c r="B19" s="10">
        <f t="shared" si="1"/>
        <v>17</v>
      </c>
      <c r="C19" s="11" t="s">
        <v>591</v>
      </c>
      <c r="D19" s="12" t="s">
        <v>76</v>
      </c>
    </row>
    <row r="20" spans="2:4" x14ac:dyDescent="0.45">
      <c r="B20" s="10">
        <f t="shared" si="1"/>
        <v>18</v>
      </c>
      <c r="C20" s="11" t="s">
        <v>592</v>
      </c>
      <c r="D20" s="12" t="s">
        <v>593</v>
      </c>
    </row>
    <row r="21" spans="2:4" x14ac:dyDescent="0.45">
      <c r="B21" s="10">
        <f t="shared" si="1"/>
        <v>19</v>
      </c>
      <c r="C21" s="11" t="s">
        <v>594</v>
      </c>
      <c r="D21" s="12" t="s">
        <v>595</v>
      </c>
    </row>
    <row r="22" spans="2:4" x14ac:dyDescent="0.45">
      <c r="B22" s="10">
        <f t="shared" si="1"/>
        <v>20</v>
      </c>
      <c r="C22" s="11" t="s">
        <v>72</v>
      </c>
      <c r="D22" s="12" t="s">
        <v>72</v>
      </c>
    </row>
    <row r="23" spans="2:4" x14ac:dyDescent="0.45">
      <c r="B23" s="10">
        <f t="shared" si="1"/>
        <v>21</v>
      </c>
      <c r="C23" s="11" t="s">
        <v>596</v>
      </c>
      <c r="D23" s="12" t="s">
        <v>131</v>
      </c>
    </row>
    <row r="24" spans="2:4" x14ac:dyDescent="0.45">
      <c r="B24" s="10">
        <f t="shared" si="1"/>
        <v>22</v>
      </c>
      <c r="C24" s="11" t="s">
        <v>597</v>
      </c>
      <c r="D24" s="12" t="s">
        <v>597</v>
      </c>
    </row>
    <row r="25" spans="2:4" x14ac:dyDescent="0.45">
      <c r="B25" s="10">
        <f t="shared" si="1"/>
        <v>23</v>
      </c>
      <c r="C25" s="11" t="s">
        <v>598</v>
      </c>
      <c r="D25" s="12" t="s">
        <v>123</v>
      </c>
    </row>
    <row r="26" spans="2:4" x14ac:dyDescent="0.45">
      <c r="B26" s="10">
        <f t="shared" si="1"/>
        <v>24</v>
      </c>
      <c r="C26" s="11" t="s">
        <v>599</v>
      </c>
      <c r="D26" s="12" t="s">
        <v>600</v>
      </c>
    </row>
    <row r="27" spans="2:4" x14ac:dyDescent="0.45">
      <c r="B27" s="10">
        <f t="shared" si="1"/>
        <v>25</v>
      </c>
      <c r="C27" s="11" t="s">
        <v>601</v>
      </c>
      <c r="D27" s="12" t="s">
        <v>602</v>
      </c>
    </row>
    <row r="28" spans="2:4" x14ac:dyDescent="0.45">
      <c r="B28" s="10">
        <f t="shared" si="1"/>
        <v>26</v>
      </c>
      <c r="C28" s="11" t="s">
        <v>97</v>
      </c>
      <c r="D28" s="12" t="s">
        <v>97</v>
      </c>
    </row>
    <row r="29" spans="2:4" x14ac:dyDescent="0.45">
      <c r="B29" s="10">
        <f t="shared" si="1"/>
        <v>27</v>
      </c>
      <c r="C29" s="11" t="s">
        <v>603</v>
      </c>
      <c r="D29" s="12" t="s">
        <v>604</v>
      </c>
    </row>
    <row r="30" spans="2:4" x14ac:dyDescent="0.45">
      <c r="B30" s="5">
        <f>ROW(B30)-2</f>
        <v>28</v>
      </c>
      <c r="C30" s="1" t="s">
        <v>157</v>
      </c>
      <c r="D30" s="6" t="s">
        <v>157</v>
      </c>
    </row>
    <row r="31" spans="2:4" x14ac:dyDescent="0.45">
      <c r="B31" s="10">
        <f t="shared" si="1"/>
        <v>29</v>
      </c>
      <c r="C31" s="11" t="s">
        <v>605</v>
      </c>
      <c r="D31" s="12" t="s">
        <v>605</v>
      </c>
    </row>
    <row r="32" spans="2:4" x14ac:dyDescent="0.45">
      <c r="B32" s="10">
        <f t="shared" si="1"/>
        <v>30</v>
      </c>
      <c r="C32" s="11" t="s">
        <v>606</v>
      </c>
      <c r="D32" s="12" t="s">
        <v>606</v>
      </c>
    </row>
    <row r="33" spans="2:4" x14ac:dyDescent="0.45">
      <c r="B33" s="5">
        <f>ROW(B33)-2</f>
        <v>31</v>
      </c>
      <c r="C33" s="1" t="s">
        <v>175</v>
      </c>
      <c r="D33" s="1" t="s">
        <v>175</v>
      </c>
    </row>
    <row r="34" spans="2:4" x14ac:dyDescent="0.45">
      <c r="B34" s="5">
        <f>ROW(B34)-2</f>
        <v>32</v>
      </c>
      <c r="C34" s="1" t="s">
        <v>607</v>
      </c>
      <c r="D34" s="6" t="s">
        <v>140</v>
      </c>
    </row>
    <row r="35" spans="2:4" x14ac:dyDescent="0.45">
      <c r="B35" s="10">
        <f t="shared" si="1"/>
        <v>33</v>
      </c>
      <c r="C35" s="11" t="s">
        <v>608</v>
      </c>
      <c r="D35" s="12" t="s">
        <v>609</v>
      </c>
    </row>
    <row r="36" spans="2:4" x14ac:dyDescent="0.45">
      <c r="B36" s="5">
        <f>ROW(B36)-2</f>
        <v>34</v>
      </c>
      <c r="C36" s="1" t="s">
        <v>127</v>
      </c>
      <c r="D36" s="6" t="s">
        <v>127</v>
      </c>
    </row>
    <row r="37" spans="2:4" x14ac:dyDescent="0.45">
      <c r="B37" s="10">
        <f t="shared" si="1"/>
        <v>35</v>
      </c>
      <c r="C37" s="11" t="s">
        <v>610</v>
      </c>
      <c r="D37" s="12" t="s">
        <v>611</v>
      </c>
    </row>
    <row r="38" spans="2:4" x14ac:dyDescent="0.45">
      <c r="B38" s="10">
        <f t="shared" si="1"/>
        <v>36</v>
      </c>
      <c r="C38" s="11" t="s">
        <v>612</v>
      </c>
      <c r="D38" s="12" t="s">
        <v>613</v>
      </c>
    </row>
    <row r="39" spans="2:4" x14ac:dyDescent="0.45">
      <c r="B39" s="5">
        <f>ROW(B39)-2</f>
        <v>37</v>
      </c>
      <c r="C39" s="1" t="s">
        <v>614</v>
      </c>
      <c r="D39" s="6" t="s">
        <v>173</v>
      </c>
    </row>
    <row r="40" spans="2:4" x14ac:dyDescent="0.45">
      <c r="B40" s="10">
        <f t="shared" si="1"/>
        <v>38</v>
      </c>
      <c r="C40" s="11" t="s">
        <v>615</v>
      </c>
      <c r="D40" s="12" t="s">
        <v>616</v>
      </c>
    </row>
    <row r="41" spans="2:4" x14ac:dyDescent="0.45">
      <c r="B41" s="10">
        <f t="shared" si="1"/>
        <v>39</v>
      </c>
      <c r="C41" s="11" t="s">
        <v>617</v>
      </c>
      <c r="D41" s="12" t="s">
        <v>618</v>
      </c>
    </row>
    <row r="42" spans="2:4" x14ac:dyDescent="0.45">
      <c r="B42" s="5">
        <f>ROW(B42)-2</f>
        <v>40</v>
      </c>
      <c r="C42" s="1" t="s">
        <v>96</v>
      </c>
      <c r="D42" s="6" t="s">
        <v>96</v>
      </c>
    </row>
    <row r="43" spans="2:4" x14ac:dyDescent="0.45">
      <c r="B43" s="10">
        <f t="shared" si="1"/>
        <v>41</v>
      </c>
      <c r="C43" s="11" t="s">
        <v>619</v>
      </c>
      <c r="D43" s="12" t="s">
        <v>448</v>
      </c>
    </row>
    <row r="44" spans="2:4" x14ac:dyDescent="0.45">
      <c r="B44" s="5">
        <f>ROW(B44)-2</f>
        <v>42</v>
      </c>
      <c r="C44" s="1" t="s">
        <v>620</v>
      </c>
      <c r="D44" s="6" t="s">
        <v>118</v>
      </c>
    </row>
    <row r="45" spans="2:4" x14ac:dyDescent="0.45">
      <c r="B45" s="10">
        <f t="shared" si="1"/>
        <v>43</v>
      </c>
      <c r="C45" s="11" t="s">
        <v>621</v>
      </c>
      <c r="D45" s="12" t="s">
        <v>622</v>
      </c>
    </row>
    <row r="46" spans="2:4" x14ac:dyDescent="0.45">
      <c r="B46" s="10">
        <f t="shared" ref="B46:B80" si="2">ROW(B46)-2</f>
        <v>44</v>
      </c>
      <c r="C46" s="11" t="s">
        <v>623</v>
      </c>
      <c r="D46" s="12" t="s">
        <v>624</v>
      </c>
    </row>
    <row r="47" spans="2:4" x14ac:dyDescent="0.45">
      <c r="B47" s="5">
        <f>ROW(B47)-2</f>
        <v>45</v>
      </c>
      <c r="C47" s="1" t="s">
        <v>625</v>
      </c>
      <c r="D47" s="6" t="s">
        <v>151</v>
      </c>
    </row>
    <row r="48" spans="2:4" x14ac:dyDescent="0.45">
      <c r="B48" s="10">
        <f t="shared" si="2"/>
        <v>46</v>
      </c>
      <c r="C48" s="11" t="s">
        <v>626</v>
      </c>
      <c r="D48" s="12" t="s">
        <v>70</v>
      </c>
    </row>
    <row r="49" spans="2:4" x14ac:dyDescent="0.45">
      <c r="B49" s="10">
        <f t="shared" si="2"/>
        <v>47</v>
      </c>
      <c r="C49" s="11" t="s">
        <v>627</v>
      </c>
      <c r="D49" s="12" t="s">
        <v>137</v>
      </c>
    </row>
    <row r="50" spans="2:4" x14ac:dyDescent="0.45">
      <c r="B50" s="10">
        <f t="shared" si="2"/>
        <v>48</v>
      </c>
      <c r="C50" s="11" t="s">
        <v>628</v>
      </c>
      <c r="D50" s="12" t="s">
        <v>629</v>
      </c>
    </row>
    <row r="51" spans="2:4" x14ac:dyDescent="0.45">
      <c r="B51" s="10">
        <f t="shared" si="2"/>
        <v>49</v>
      </c>
      <c r="C51" s="11" t="s">
        <v>630</v>
      </c>
      <c r="D51" s="12" t="s">
        <v>631</v>
      </c>
    </row>
    <row r="52" spans="2:4" x14ac:dyDescent="0.45">
      <c r="B52" s="10">
        <f t="shared" si="2"/>
        <v>50</v>
      </c>
      <c r="C52" s="11" t="s">
        <v>632</v>
      </c>
      <c r="D52" s="12" t="s">
        <v>633</v>
      </c>
    </row>
    <row r="53" spans="2:4" x14ac:dyDescent="0.45">
      <c r="B53" s="10">
        <f t="shared" si="2"/>
        <v>51</v>
      </c>
      <c r="C53" s="11" t="s">
        <v>634</v>
      </c>
      <c r="D53" s="12" t="s">
        <v>635</v>
      </c>
    </row>
    <row r="54" spans="2:4" x14ac:dyDescent="0.45">
      <c r="B54" s="10">
        <f t="shared" si="2"/>
        <v>52</v>
      </c>
      <c r="C54" s="11" t="s">
        <v>636</v>
      </c>
      <c r="D54" s="12" t="s">
        <v>637</v>
      </c>
    </row>
    <row r="55" spans="2:4" x14ac:dyDescent="0.45">
      <c r="B55" s="5">
        <f>ROW(B55)-2</f>
        <v>53</v>
      </c>
      <c r="C55" s="1" t="s">
        <v>638</v>
      </c>
      <c r="D55" s="6" t="s">
        <v>161</v>
      </c>
    </row>
    <row r="56" spans="2:4" x14ac:dyDescent="0.45">
      <c r="B56" s="10">
        <f t="shared" si="2"/>
        <v>54</v>
      </c>
      <c r="C56" s="11" t="s">
        <v>639</v>
      </c>
      <c r="D56" s="12" t="s">
        <v>640</v>
      </c>
    </row>
    <row r="57" spans="2:4" x14ac:dyDescent="0.45">
      <c r="B57" s="10">
        <f t="shared" si="2"/>
        <v>55</v>
      </c>
      <c r="C57" s="11" t="s">
        <v>641</v>
      </c>
      <c r="D57" s="12" t="s">
        <v>95</v>
      </c>
    </row>
    <row r="58" spans="2:4" x14ac:dyDescent="0.45">
      <c r="B58" s="10">
        <f t="shared" si="2"/>
        <v>56</v>
      </c>
      <c r="C58" s="11" t="s">
        <v>642</v>
      </c>
      <c r="D58" s="12" t="s">
        <v>643</v>
      </c>
    </row>
    <row r="59" spans="2:4" x14ac:dyDescent="0.45">
      <c r="B59" s="10">
        <f t="shared" si="2"/>
        <v>57</v>
      </c>
      <c r="C59" s="11" t="s">
        <v>644</v>
      </c>
      <c r="D59" s="12" t="s">
        <v>645</v>
      </c>
    </row>
    <row r="60" spans="2:4" x14ac:dyDescent="0.45">
      <c r="B60" s="10">
        <f t="shared" si="2"/>
        <v>58</v>
      </c>
      <c r="C60" s="11" t="s">
        <v>646</v>
      </c>
      <c r="D60" s="12" t="s">
        <v>115</v>
      </c>
    </row>
    <row r="61" spans="2:4" x14ac:dyDescent="0.45">
      <c r="B61" s="10">
        <f t="shared" si="2"/>
        <v>59</v>
      </c>
      <c r="C61" s="11" t="s">
        <v>647</v>
      </c>
      <c r="D61" s="12" t="s">
        <v>144</v>
      </c>
    </row>
    <row r="62" spans="2:4" x14ac:dyDescent="0.45">
      <c r="B62" s="10">
        <f t="shared" si="2"/>
        <v>60</v>
      </c>
      <c r="C62" s="11" t="s">
        <v>648</v>
      </c>
      <c r="D62" s="12" t="s">
        <v>649</v>
      </c>
    </row>
    <row r="63" spans="2:4" x14ac:dyDescent="0.45">
      <c r="B63" s="10">
        <f t="shared" si="2"/>
        <v>61</v>
      </c>
      <c r="C63" s="11" t="s">
        <v>650</v>
      </c>
      <c r="D63" s="12" t="s">
        <v>651</v>
      </c>
    </row>
    <row r="64" spans="2:4" x14ac:dyDescent="0.45">
      <c r="B64" s="10">
        <f t="shared" si="2"/>
        <v>62</v>
      </c>
      <c r="C64" s="11" t="s">
        <v>652</v>
      </c>
      <c r="D64" s="12" t="s">
        <v>653</v>
      </c>
    </row>
    <row r="65" spans="2:4" x14ac:dyDescent="0.45">
      <c r="B65" s="10">
        <f t="shared" si="2"/>
        <v>63</v>
      </c>
      <c r="C65" s="11" t="s">
        <v>654</v>
      </c>
      <c r="D65" s="12" t="s">
        <v>655</v>
      </c>
    </row>
    <row r="66" spans="2:4" x14ac:dyDescent="0.45">
      <c r="B66" s="10">
        <f t="shared" si="2"/>
        <v>64</v>
      </c>
      <c r="C66" s="11" t="s">
        <v>656</v>
      </c>
      <c r="D66" s="12" t="s">
        <v>657</v>
      </c>
    </row>
    <row r="67" spans="2:4" x14ac:dyDescent="0.45">
      <c r="B67" s="10">
        <f t="shared" si="2"/>
        <v>65</v>
      </c>
      <c r="C67" s="11" t="s">
        <v>658</v>
      </c>
      <c r="D67" s="12" t="s">
        <v>659</v>
      </c>
    </row>
    <row r="68" spans="2:4" x14ac:dyDescent="0.45">
      <c r="B68" s="10">
        <f t="shared" si="2"/>
        <v>66</v>
      </c>
      <c r="C68" s="11" t="s">
        <v>660</v>
      </c>
      <c r="D68" s="12" t="s">
        <v>661</v>
      </c>
    </row>
    <row r="69" spans="2:4" x14ac:dyDescent="0.45">
      <c r="B69" s="10">
        <f t="shared" si="2"/>
        <v>67</v>
      </c>
      <c r="C69" s="11" t="s">
        <v>662</v>
      </c>
      <c r="D69" s="12" t="s">
        <v>105</v>
      </c>
    </row>
    <row r="70" spans="2:4" x14ac:dyDescent="0.45">
      <c r="B70" s="5">
        <f>ROW(B70)-2</f>
        <v>68</v>
      </c>
      <c r="C70" s="1" t="s">
        <v>163</v>
      </c>
      <c r="D70" s="6" t="s">
        <v>163</v>
      </c>
    </row>
    <row r="71" spans="2:4" x14ac:dyDescent="0.45">
      <c r="B71" s="10">
        <f t="shared" si="2"/>
        <v>69</v>
      </c>
      <c r="C71" s="11" t="s">
        <v>663</v>
      </c>
      <c r="D71" s="12" t="s">
        <v>664</v>
      </c>
    </row>
    <row r="72" spans="2:4" x14ac:dyDescent="0.45">
      <c r="B72" s="10">
        <f t="shared" si="2"/>
        <v>70</v>
      </c>
      <c r="C72" s="11" t="s">
        <v>665</v>
      </c>
      <c r="D72" s="12" t="s">
        <v>91</v>
      </c>
    </row>
    <row r="73" spans="2:4" x14ac:dyDescent="0.45">
      <c r="B73" s="10">
        <f t="shared" si="2"/>
        <v>71</v>
      </c>
      <c r="C73" s="11" t="s">
        <v>666</v>
      </c>
      <c r="D73" s="12" t="s">
        <v>667</v>
      </c>
    </row>
    <row r="74" spans="2:4" x14ac:dyDescent="0.45">
      <c r="B74" s="10">
        <f t="shared" si="2"/>
        <v>72</v>
      </c>
      <c r="C74" s="11" t="s">
        <v>668</v>
      </c>
      <c r="D74" s="12" t="s">
        <v>120</v>
      </c>
    </row>
    <row r="75" spans="2:4" x14ac:dyDescent="0.45">
      <c r="B75" s="10">
        <f t="shared" si="2"/>
        <v>73</v>
      </c>
      <c r="C75" s="11" t="s">
        <v>669</v>
      </c>
      <c r="D75" s="12" t="s">
        <v>670</v>
      </c>
    </row>
    <row r="76" spans="2:4" x14ac:dyDescent="0.45">
      <c r="B76" s="10">
        <f t="shared" si="2"/>
        <v>74</v>
      </c>
      <c r="C76" s="11" t="s">
        <v>671</v>
      </c>
      <c r="D76" s="12" t="s">
        <v>671</v>
      </c>
    </row>
    <row r="77" spans="2:4" x14ac:dyDescent="0.45">
      <c r="B77" s="10">
        <f t="shared" si="2"/>
        <v>75</v>
      </c>
      <c r="C77" s="11" t="s">
        <v>672</v>
      </c>
      <c r="D77" s="12" t="s">
        <v>673</v>
      </c>
    </row>
    <row r="78" spans="2:4" x14ac:dyDescent="0.45">
      <c r="B78" s="10">
        <f t="shared" si="2"/>
        <v>76</v>
      </c>
      <c r="C78" s="11" t="s">
        <v>674</v>
      </c>
      <c r="D78" s="12" t="s">
        <v>110</v>
      </c>
    </row>
    <row r="79" spans="2:4" x14ac:dyDescent="0.45">
      <c r="B79" s="10">
        <f t="shared" si="2"/>
        <v>77</v>
      </c>
      <c r="C79" s="11" t="s">
        <v>675</v>
      </c>
      <c r="D79" s="12" t="s">
        <v>676</v>
      </c>
    </row>
    <row r="80" spans="2:4" x14ac:dyDescent="0.45">
      <c r="B80" s="10">
        <f t="shared" si="2"/>
        <v>78</v>
      </c>
      <c r="C80" s="11" t="s">
        <v>677</v>
      </c>
      <c r="D80" s="12" t="s">
        <v>678</v>
      </c>
    </row>
    <row r="81" spans="2:4" x14ac:dyDescent="0.45">
      <c r="B81" s="10">
        <f t="shared" ref="B81:B113" si="3">ROW(B81)-2</f>
        <v>79</v>
      </c>
      <c r="C81" s="11" t="s">
        <v>679</v>
      </c>
      <c r="D81" s="12" t="s">
        <v>680</v>
      </c>
    </row>
    <row r="82" spans="2:4" x14ac:dyDescent="0.45">
      <c r="B82" s="10">
        <f t="shared" si="3"/>
        <v>80</v>
      </c>
      <c r="C82" s="11" t="s">
        <v>681</v>
      </c>
      <c r="D82" s="12" t="s">
        <v>682</v>
      </c>
    </row>
    <row r="83" spans="2:4" x14ac:dyDescent="0.45">
      <c r="B83" s="10">
        <f t="shared" si="3"/>
        <v>81</v>
      </c>
      <c r="C83" s="11" t="s">
        <v>683</v>
      </c>
      <c r="D83" s="12" t="s">
        <v>684</v>
      </c>
    </row>
    <row r="84" spans="2:4" x14ac:dyDescent="0.45">
      <c r="B84" s="10">
        <f t="shared" si="3"/>
        <v>82</v>
      </c>
      <c r="C84" s="11" t="s">
        <v>685</v>
      </c>
      <c r="D84" s="12" t="s">
        <v>686</v>
      </c>
    </row>
    <row r="85" spans="2:4" x14ac:dyDescent="0.45">
      <c r="B85" s="10">
        <f t="shared" si="3"/>
        <v>83</v>
      </c>
      <c r="C85" s="11" t="s">
        <v>687</v>
      </c>
      <c r="D85" s="12" t="s">
        <v>84</v>
      </c>
    </row>
    <row r="86" spans="2:4" x14ac:dyDescent="0.45">
      <c r="B86" s="10">
        <f t="shared" si="3"/>
        <v>84</v>
      </c>
      <c r="C86" s="11" t="s">
        <v>688</v>
      </c>
      <c r="D86" s="12" t="s">
        <v>79</v>
      </c>
    </row>
    <row r="87" spans="2:4" x14ac:dyDescent="0.45">
      <c r="B87" s="10">
        <f t="shared" si="3"/>
        <v>85</v>
      </c>
      <c r="C87" s="11" t="s">
        <v>689</v>
      </c>
      <c r="D87" s="12" t="s">
        <v>690</v>
      </c>
    </row>
    <row r="88" spans="2:4" x14ac:dyDescent="0.45">
      <c r="B88" s="10">
        <f t="shared" si="3"/>
        <v>86</v>
      </c>
      <c r="C88" s="11" t="s">
        <v>691</v>
      </c>
      <c r="D88" s="12" t="s">
        <v>692</v>
      </c>
    </row>
    <row r="89" spans="2:4" x14ac:dyDescent="0.45">
      <c r="B89" s="10">
        <f t="shared" si="3"/>
        <v>87</v>
      </c>
      <c r="C89" s="11" t="s">
        <v>693</v>
      </c>
      <c r="D89" s="12" t="s">
        <v>694</v>
      </c>
    </row>
    <row r="90" spans="2:4" x14ac:dyDescent="0.45">
      <c r="B90" s="10">
        <f t="shared" si="3"/>
        <v>88</v>
      </c>
      <c r="C90" s="11" t="s">
        <v>695</v>
      </c>
      <c r="D90" s="12" t="s">
        <v>99</v>
      </c>
    </row>
    <row r="91" spans="2:4" x14ac:dyDescent="0.45">
      <c r="B91" s="10">
        <f t="shared" si="3"/>
        <v>89</v>
      </c>
      <c r="C91" s="11" t="s">
        <v>696</v>
      </c>
      <c r="D91" s="12" t="s">
        <v>697</v>
      </c>
    </row>
    <row r="92" spans="2:4" x14ac:dyDescent="0.45">
      <c r="B92" s="10">
        <f t="shared" si="3"/>
        <v>90</v>
      </c>
      <c r="C92" s="11" t="s">
        <v>698</v>
      </c>
      <c r="D92" s="12" t="s">
        <v>143</v>
      </c>
    </row>
    <row r="93" spans="2:4" x14ac:dyDescent="0.45">
      <c r="B93" s="10">
        <f t="shared" si="3"/>
        <v>91</v>
      </c>
      <c r="C93" s="11" t="s">
        <v>699</v>
      </c>
      <c r="D93" s="12" t="s">
        <v>699</v>
      </c>
    </row>
    <row r="94" spans="2:4" x14ac:dyDescent="0.45">
      <c r="B94" s="10">
        <f t="shared" si="3"/>
        <v>92</v>
      </c>
      <c r="C94" s="11" t="s">
        <v>700</v>
      </c>
      <c r="D94" s="12" t="s">
        <v>701</v>
      </c>
    </row>
    <row r="95" spans="2:4" x14ac:dyDescent="0.45">
      <c r="B95" s="10">
        <f t="shared" si="3"/>
        <v>93</v>
      </c>
      <c r="C95" s="11" t="s">
        <v>702</v>
      </c>
      <c r="D95" s="12" t="s">
        <v>703</v>
      </c>
    </row>
    <row r="96" spans="2:4" x14ac:dyDescent="0.45">
      <c r="B96" s="10">
        <f t="shared" si="3"/>
        <v>94</v>
      </c>
      <c r="C96" s="11" t="s">
        <v>704</v>
      </c>
      <c r="D96" s="12" t="s">
        <v>704</v>
      </c>
    </row>
    <row r="97" spans="2:4" x14ac:dyDescent="0.45">
      <c r="B97" s="10">
        <f t="shared" si="3"/>
        <v>95</v>
      </c>
      <c r="C97" s="11" t="s">
        <v>171</v>
      </c>
      <c r="D97" s="12" t="s">
        <v>171</v>
      </c>
    </row>
    <row r="98" spans="2:4" x14ac:dyDescent="0.45">
      <c r="B98" s="10">
        <f t="shared" si="3"/>
        <v>96</v>
      </c>
      <c r="C98" s="11" t="s">
        <v>705</v>
      </c>
      <c r="D98" s="12" t="s">
        <v>705</v>
      </c>
    </row>
    <row r="99" spans="2:4" x14ac:dyDescent="0.45">
      <c r="B99" s="10">
        <f t="shared" si="3"/>
        <v>97</v>
      </c>
      <c r="C99" s="11" t="s">
        <v>706</v>
      </c>
      <c r="D99" s="12" t="s">
        <v>706</v>
      </c>
    </row>
    <row r="100" spans="2:4" x14ac:dyDescent="0.45">
      <c r="B100" s="10">
        <f t="shared" si="3"/>
        <v>98</v>
      </c>
      <c r="C100" s="11" t="s">
        <v>707</v>
      </c>
      <c r="D100" s="12" t="s">
        <v>708</v>
      </c>
    </row>
    <row r="101" spans="2:4" x14ac:dyDescent="0.45">
      <c r="B101" s="10">
        <f t="shared" si="3"/>
        <v>99</v>
      </c>
      <c r="C101" s="11" t="s">
        <v>709</v>
      </c>
      <c r="D101" s="12" t="s">
        <v>710</v>
      </c>
    </row>
    <row r="102" spans="2:4" x14ac:dyDescent="0.45">
      <c r="B102" s="10">
        <f t="shared" si="3"/>
        <v>100</v>
      </c>
      <c r="C102" s="11" t="s">
        <v>711</v>
      </c>
      <c r="D102" s="12" t="s">
        <v>712</v>
      </c>
    </row>
    <row r="103" spans="2:4" x14ac:dyDescent="0.45">
      <c r="B103" s="10">
        <f t="shared" si="3"/>
        <v>101</v>
      </c>
      <c r="C103" s="11" t="s">
        <v>713</v>
      </c>
      <c r="D103" s="12" t="s">
        <v>714</v>
      </c>
    </row>
    <row r="104" spans="2:4" x14ac:dyDescent="0.45">
      <c r="B104" s="10">
        <f t="shared" si="3"/>
        <v>102</v>
      </c>
      <c r="C104" s="11" t="s">
        <v>715</v>
      </c>
      <c r="D104" s="12" t="s">
        <v>716</v>
      </c>
    </row>
    <row r="105" spans="2:4" x14ac:dyDescent="0.45">
      <c r="B105" s="10">
        <f t="shared" si="3"/>
        <v>103</v>
      </c>
      <c r="C105" s="11" t="s">
        <v>74</v>
      </c>
      <c r="D105" s="12" t="s">
        <v>74</v>
      </c>
    </row>
    <row r="106" spans="2:4" x14ac:dyDescent="0.45">
      <c r="B106" s="10">
        <f t="shared" si="3"/>
        <v>104</v>
      </c>
      <c r="C106" s="11" t="s">
        <v>717</v>
      </c>
      <c r="D106" s="12" t="s">
        <v>718</v>
      </c>
    </row>
    <row r="107" spans="2:4" x14ac:dyDescent="0.45">
      <c r="B107" s="10">
        <f t="shared" si="3"/>
        <v>105</v>
      </c>
      <c r="C107" s="11" t="s">
        <v>719</v>
      </c>
      <c r="D107" s="12" t="s">
        <v>720</v>
      </c>
    </row>
    <row r="108" spans="2:4" x14ac:dyDescent="0.45">
      <c r="B108" s="10">
        <f t="shared" si="3"/>
        <v>106</v>
      </c>
      <c r="C108" s="11" t="s">
        <v>721</v>
      </c>
      <c r="D108" s="12" t="s">
        <v>722</v>
      </c>
    </row>
    <row r="109" spans="2:4" x14ac:dyDescent="0.45">
      <c r="B109" s="10">
        <f t="shared" si="3"/>
        <v>107</v>
      </c>
      <c r="C109" s="11" t="s">
        <v>723</v>
      </c>
      <c r="D109" s="12" t="s">
        <v>724</v>
      </c>
    </row>
    <row r="110" spans="2:4" x14ac:dyDescent="0.45">
      <c r="B110" s="10">
        <f t="shared" si="3"/>
        <v>108</v>
      </c>
      <c r="C110" s="11" t="s">
        <v>725</v>
      </c>
      <c r="D110" s="12" t="s">
        <v>726</v>
      </c>
    </row>
    <row r="111" spans="2:4" x14ac:dyDescent="0.45">
      <c r="B111" s="10">
        <f t="shared" si="3"/>
        <v>109</v>
      </c>
      <c r="C111" s="11" t="s">
        <v>727</v>
      </c>
      <c r="D111" s="12" t="s">
        <v>728</v>
      </c>
    </row>
    <row r="112" spans="2:4" x14ac:dyDescent="0.45">
      <c r="B112" s="5">
        <f>ROW(B112)-2</f>
        <v>110</v>
      </c>
      <c r="C112" s="1" t="s">
        <v>729</v>
      </c>
      <c r="D112" s="6" t="s">
        <v>68</v>
      </c>
    </row>
    <row r="113" spans="2:4" x14ac:dyDescent="0.45">
      <c r="B113" s="10">
        <f t="shared" si="3"/>
        <v>111</v>
      </c>
      <c r="C113" s="11" t="s">
        <v>730</v>
      </c>
      <c r="D113" s="12" t="s">
        <v>731</v>
      </c>
    </row>
    <row r="114" spans="2:4" x14ac:dyDescent="0.45">
      <c r="B114" s="10">
        <f t="shared" ref="B114:B149" si="4">ROW(B114)-2</f>
        <v>112</v>
      </c>
      <c r="C114" s="11" t="s">
        <v>732</v>
      </c>
      <c r="D114" s="12" t="s">
        <v>101</v>
      </c>
    </row>
    <row r="115" spans="2:4" x14ac:dyDescent="0.45">
      <c r="B115" s="10">
        <f t="shared" si="4"/>
        <v>113</v>
      </c>
      <c r="C115" s="11" t="s">
        <v>733</v>
      </c>
      <c r="D115" s="12" t="s">
        <v>734</v>
      </c>
    </row>
    <row r="116" spans="2:4" x14ac:dyDescent="0.45">
      <c r="B116" s="10">
        <f t="shared" si="4"/>
        <v>114</v>
      </c>
      <c r="C116" s="11" t="s">
        <v>735</v>
      </c>
      <c r="D116" s="12" t="s">
        <v>735</v>
      </c>
    </row>
    <row r="117" spans="2:4" x14ac:dyDescent="0.45">
      <c r="B117" s="10">
        <f t="shared" si="4"/>
        <v>115</v>
      </c>
      <c r="C117" s="11" t="s">
        <v>736</v>
      </c>
      <c r="D117" s="12" t="s">
        <v>737</v>
      </c>
    </row>
    <row r="118" spans="2:4" x14ac:dyDescent="0.45">
      <c r="B118" s="5">
        <f>ROW(B118)-2</f>
        <v>116</v>
      </c>
      <c r="C118" s="1" t="s">
        <v>738</v>
      </c>
      <c r="D118" s="6" t="s">
        <v>170</v>
      </c>
    </row>
    <row r="119" spans="2:4" x14ac:dyDescent="0.45">
      <c r="B119" s="10">
        <f t="shared" si="4"/>
        <v>117</v>
      </c>
      <c r="C119" s="11" t="s">
        <v>739</v>
      </c>
      <c r="D119" s="12" t="s">
        <v>740</v>
      </c>
    </row>
    <row r="120" spans="2:4" x14ac:dyDescent="0.45">
      <c r="B120" s="10">
        <f t="shared" si="4"/>
        <v>118</v>
      </c>
      <c r="C120" s="11" t="s">
        <v>741</v>
      </c>
      <c r="D120" s="12" t="s">
        <v>742</v>
      </c>
    </row>
    <row r="121" spans="2:4" x14ac:dyDescent="0.45">
      <c r="B121" s="10">
        <f t="shared" si="4"/>
        <v>119</v>
      </c>
      <c r="C121" s="11" t="s">
        <v>743</v>
      </c>
      <c r="D121" s="12" t="s">
        <v>86</v>
      </c>
    </row>
    <row r="122" spans="2:4" x14ac:dyDescent="0.45">
      <c r="B122" s="10">
        <f t="shared" si="4"/>
        <v>120</v>
      </c>
      <c r="C122" s="11" t="s">
        <v>744</v>
      </c>
      <c r="D122" s="12" t="s">
        <v>61</v>
      </c>
    </row>
    <row r="123" spans="2:4" x14ac:dyDescent="0.45">
      <c r="B123" s="10">
        <f t="shared" si="4"/>
        <v>121</v>
      </c>
      <c r="C123" s="11" t="s">
        <v>745</v>
      </c>
      <c r="D123" s="12" t="s">
        <v>746</v>
      </c>
    </row>
    <row r="124" spans="2:4" x14ac:dyDescent="0.45">
      <c r="B124" s="10">
        <f t="shared" si="4"/>
        <v>122</v>
      </c>
      <c r="C124" s="11" t="s">
        <v>747</v>
      </c>
      <c r="D124" s="12" t="s">
        <v>748</v>
      </c>
    </row>
    <row r="125" spans="2:4" x14ac:dyDescent="0.45">
      <c r="B125" s="10">
        <f t="shared" si="4"/>
        <v>123</v>
      </c>
      <c r="C125" s="11" t="s">
        <v>749</v>
      </c>
      <c r="D125" s="12" t="s">
        <v>750</v>
      </c>
    </row>
    <row r="126" spans="2:4" x14ac:dyDescent="0.45">
      <c r="B126" s="10">
        <f t="shared" si="4"/>
        <v>124</v>
      </c>
      <c r="C126" s="11" t="s">
        <v>751</v>
      </c>
      <c r="D126" s="12" t="s">
        <v>752</v>
      </c>
    </row>
    <row r="127" spans="2:4" x14ac:dyDescent="0.45">
      <c r="B127" s="10">
        <f t="shared" si="4"/>
        <v>125</v>
      </c>
      <c r="C127" s="11" t="s">
        <v>753</v>
      </c>
      <c r="D127" s="12" t="s">
        <v>754</v>
      </c>
    </row>
    <row r="128" spans="2:4" x14ac:dyDescent="0.45">
      <c r="B128" s="10">
        <f t="shared" si="4"/>
        <v>126</v>
      </c>
      <c r="C128" s="11" t="s">
        <v>755</v>
      </c>
      <c r="D128" s="12" t="s">
        <v>756</v>
      </c>
    </row>
    <row r="129" spans="2:4" x14ac:dyDescent="0.45">
      <c r="B129" s="10">
        <f t="shared" si="4"/>
        <v>127</v>
      </c>
      <c r="C129" s="11" t="s">
        <v>85</v>
      </c>
      <c r="D129" s="12" t="s">
        <v>85</v>
      </c>
    </row>
    <row r="130" spans="2:4" x14ac:dyDescent="0.45">
      <c r="B130" s="10">
        <f t="shared" si="4"/>
        <v>128</v>
      </c>
      <c r="C130" s="11" t="s">
        <v>757</v>
      </c>
      <c r="D130" s="12" t="s">
        <v>758</v>
      </c>
    </row>
    <row r="131" spans="2:4" x14ac:dyDescent="0.45">
      <c r="B131" s="10">
        <f t="shared" si="4"/>
        <v>129</v>
      </c>
      <c r="C131" s="11" t="s">
        <v>759</v>
      </c>
      <c r="D131" s="12" t="s">
        <v>103</v>
      </c>
    </row>
    <row r="132" spans="2:4" x14ac:dyDescent="0.45">
      <c r="B132" s="10">
        <f t="shared" si="4"/>
        <v>130</v>
      </c>
      <c r="C132" s="11" t="s">
        <v>760</v>
      </c>
      <c r="D132" s="12" t="s">
        <v>71</v>
      </c>
    </row>
    <row r="133" spans="2:4" x14ac:dyDescent="0.45">
      <c r="B133" s="10">
        <f t="shared" si="4"/>
        <v>131</v>
      </c>
      <c r="C133" s="11" t="s">
        <v>761</v>
      </c>
      <c r="D133" s="12" t="s">
        <v>762</v>
      </c>
    </row>
    <row r="134" spans="2:4" x14ac:dyDescent="0.45">
      <c r="B134" s="5">
        <f>ROW(B134)-2</f>
        <v>132</v>
      </c>
      <c r="C134" s="1" t="s">
        <v>164</v>
      </c>
      <c r="D134" s="6" t="s">
        <v>164</v>
      </c>
    </row>
    <row r="135" spans="2:4" x14ac:dyDescent="0.45">
      <c r="B135" s="10">
        <f t="shared" si="4"/>
        <v>133</v>
      </c>
      <c r="C135" s="11" t="s">
        <v>763</v>
      </c>
      <c r="D135" s="12" t="s">
        <v>764</v>
      </c>
    </row>
    <row r="136" spans="2:4" x14ac:dyDescent="0.45">
      <c r="B136" s="10">
        <f t="shared" si="4"/>
        <v>134</v>
      </c>
      <c r="C136" s="11" t="s">
        <v>765</v>
      </c>
      <c r="D136" s="12" t="s">
        <v>766</v>
      </c>
    </row>
    <row r="137" spans="2:4" x14ac:dyDescent="0.45">
      <c r="B137" s="5">
        <f>ROW(B137)-2</f>
        <v>135</v>
      </c>
      <c r="C137" s="1" t="s">
        <v>767</v>
      </c>
      <c r="D137" s="149" t="s">
        <v>107</v>
      </c>
    </row>
    <row r="138" spans="2:4" x14ac:dyDescent="0.45">
      <c r="B138" s="10">
        <f t="shared" si="4"/>
        <v>136</v>
      </c>
      <c r="C138" s="11" t="s">
        <v>768</v>
      </c>
      <c r="D138" s="12" t="s">
        <v>769</v>
      </c>
    </row>
    <row r="139" spans="2:4" x14ac:dyDescent="0.45">
      <c r="B139" s="10">
        <f t="shared" si="4"/>
        <v>137</v>
      </c>
      <c r="C139" s="11" t="s">
        <v>770</v>
      </c>
      <c r="D139" s="12" t="s">
        <v>93</v>
      </c>
    </row>
    <row r="140" spans="2:4" x14ac:dyDescent="0.45">
      <c r="B140" s="10">
        <f t="shared" si="4"/>
        <v>138</v>
      </c>
      <c r="C140" s="11" t="s">
        <v>771</v>
      </c>
      <c r="D140" s="12" t="s">
        <v>771</v>
      </c>
    </row>
    <row r="141" spans="2:4" x14ac:dyDescent="0.45">
      <c r="B141" s="10">
        <f t="shared" si="4"/>
        <v>139</v>
      </c>
      <c r="C141" s="11" t="s">
        <v>772</v>
      </c>
      <c r="D141" s="12" t="s">
        <v>773</v>
      </c>
    </row>
    <row r="142" spans="2:4" x14ac:dyDescent="0.45">
      <c r="B142" s="10">
        <f t="shared" si="4"/>
        <v>140</v>
      </c>
      <c r="C142" s="11" t="s">
        <v>774</v>
      </c>
      <c r="D142" s="12" t="s">
        <v>117</v>
      </c>
    </row>
    <row r="143" spans="2:4" x14ac:dyDescent="0.45">
      <c r="B143" s="5">
        <f>ROW(B143)-2</f>
        <v>141</v>
      </c>
      <c r="C143" s="1" t="s">
        <v>104</v>
      </c>
      <c r="D143" s="6" t="s">
        <v>104</v>
      </c>
    </row>
    <row r="144" spans="2:4" x14ac:dyDescent="0.45">
      <c r="B144" s="10">
        <f t="shared" si="4"/>
        <v>142</v>
      </c>
      <c r="C144" s="11" t="s">
        <v>775</v>
      </c>
      <c r="D144" s="12" t="s">
        <v>775</v>
      </c>
    </row>
    <row r="145" spans="2:4" x14ac:dyDescent="0.45">
      <c r="B145" s="10">
        <f t="shared" si="4"/>
        <v>143</v>
      </c>
      <c r="C145" s="11" t="s">
        <v>776</v>
      </c>
      <c r="D145" s="12" t="s">
        <v>777</v>
      </c>
    </row>
    <row r="146" spans="2:4" x14ac:dyDescent="0.45">
      <c r="B146" s="10">
        <f t="shared" si="4"/>
        <v>144</v>
      </c>
      <c r="C146" s="11" t="s">
        <v>778</v>
      </c>
      <c r="D146" s="12" t="s">
        <v>779</v>
      </c>
    </row>
    <row r="147" spans="2:4" x14ac:dyDescent="0.45">
      <c r="B147" s="10">
        <f t="shared" si="4"/>
        <v>145</v>
      </c>
      <c r="C147" s="11" t="s">
        <v>780</v>
      </c>
      <c r="D147" s="12" t="s">
        <v>780</v>
      </c>
    </row>
    <row r="148" spans="2:4" x14ac:dyDescent="0.45">
      <c r="B148" s="10">
        <f t="shared" si="4"/>
        <v>146</v>
      </c>
      <c r="C148" s="11" t="s">
        <v>781</v>
      </c>
      <c r="D148" s="12" t="s">
        <v>59</v>
      </c>
    </row>
    <row r="149" spans="2:4" x14ac:dyDescent="0.45">
      <c r="B149" s="10">
        <f t="shared" si="4"/>
        <v>147</v>
      </c>
      <c r="C149" s="11" t="s">
        <v>782</v>
      </c>
      <c r="D149" s="12" t="s">
        <v>783</v>
      </c>
    </row>
    <row r="150" spans="2:4" x14ac:dyDescent="0.45">
      <c r="B150" s="10">
        <f t="shared" ref="B150:B162" si="5">ROW(B150)-2</f>
        <v>148</v>
      </c>
      <c r="C150" s="11" t="s">
        <v>784</v>
      </c>
      <c r="D150" s="12" t="s">
        <v>785</v>
      </c>
    </row>
    <row r="151" spans="2:4" x14ac:dyDescent="0.45">
      <c r="B151" s="5">
        <f>ROW(B151)-2</f>
        <v>149</v>
      </c>
      <c r="C151" s="1" t="s">
        <v>154</v>
      </c>
      <c r="D151" s="6" t="s">
        <v>154</v>
      </c>
    </row>
    <row r="152" spans="2:4" x14ac:dyDescent="0.45">
      <c r="B152" s="10">
        <f t="shared" si="5"/>
        <v>150</v>
      </c>
      <c r="C152" s="11" t="s">
        <v>786</v>
      </c>
      <c r="D152" s="12" t="s">
        <v>787</v>
      </c>
    </row>
    <row r="153" spans="2:4" x14ac:dyDescent="0.45">
      <c r="B153" s="10">
        <f t="shared" si="5"/>
        <v>151</v>
      </c>
      <c r="C153" s="11" t="s">
        <v>788</v>
      </c>
      <c r="D153" s="12" t="s">
        <v>789</v>
      </c>
    </row>
    <row r="154" spans="2:4" x14ac:dyDescent="0.45">
      <c r="B154" s="10">
        <f t="shared" si="5"/>
        <v>152</v>
      </c>
      <c r="C154" s="11" t="s">
        <v>790</v>
      </c>
      <c r="D154" s="12" t="s">
        <v>791</v>
      </c>
    </row>
    <row r="155" spans="2:4" x14ac:dyDescent="0.45">
      <c r="B155" s="10">
        <f t="shared" si="5"/>
        <v>153</v>
      </c>
      <c r="C155" s="11" t="s">
        <v>792</v>
      </c>
      <c r="D155" s="12" t="s">
        <v>793</v>
      </c>
    </row>
    <row r="156" spans="2:4" x14ac:dyDescent="0.45">
      <c r="B156" s="10">
        <f t="shared" si="5"/>
        <v>154</v>
      </c>
      <c r="C156" s="11" t="s">
        <v>794</v>
      </c>
      <c r="D156" s="12" t="s">
        <v>795</v>
      </c>
    </row>
    <row r="157" spans="2:4" x14ac:dyDescent="0.45">
      <c r="B157" s="10">
        <f t="shared" si="5"/>
        <v>155</v>
      </c>
      <c r="C157" s="11" t="s">
        <v>796</v>
      </c>
      <c r="D157" s="12" t="s">
        <v>797</v>
      </c>
    </row>
    <row r="158" spans="2:4" x14ac:dyDescent="0.45">
      <c r="B158" s="10">
        <f t="shared" si="5"/>
        <v>156</v>
      </c>
      <c r="C158" s="11" t="s">
        <v>798</v>
      </c>
      <c r="D158" s="12" t="s">
        <v>798</v>
      </c>
    </row>
    <row r="159" spans="2:4" x14ac:dyDescent="0.45">
      <c r="B159" s="10">
        <f t="shared" si="5"/>
        <v>157</v>
      </c>
      <c r="C159" s="11" t="s">
        <v>799</v>
      </c>
      <c r="D159" s="12" t="s">
        <v>800</v>
      </c>
    </row>
    <row r="160" spans="2:4" x14ac:dyDescent="0.45">
      <c r="B160" s="10">
        <f t="shared" si="5"/>
        <v>158</v>
      </c>
      <c r="C160" s="11" t="s">
        <v>801</v>
      </c>
      <c r="D160" s="12" t="s">
        <v>801</v>
      </c>
    </row>
    <row r="161" spans="2:4" x14ac:dyDescent="0.45">
      <c r="B161" s="10">
        <f t="shared" si="5"/>
        <v>159</v>
      </c>
      <c r="C161" s="11" t="s">
        <v>802</v>
      </c>
      <c r="D161" s="12" t="s">
        <v>803</v>
      </c>
    </row>
    <row r="162" spans="2:4" x14ac:dyDescent="0.45">
      <c r="B162" s="10">
        <f t="shared" si="5"/>
        <v>160</v>
      </c>
      <c r="C162" s="11" t="s">
        <v>804</v>
      </c>
      <c r="D162" s="12" t="s">
        <v>805</v>
      </c>
    </row>
    <row r="163" spans="2:4" x14ac:dyDescent="0.45">
      <c r="B163" s="10">
        <f t="shared" ref="B163:B196" si="6">ROW(B163)-2</f>
        <v>161</v>
      </c>
      <c r="C163" s="11" t="s">
        <v>806</v>
      </c>
      <c r="D163" s="12" t="s">
        <v>807</v>
      </c>
    </row>
    <row r="164" spans="2:4" x14ac:dyDescent="0.45">
      <c r="B164" s="10">
        <f t="shared" si="6"/>
        <v>162</v>
      </c>
      <c r="C164" s="11" t="s">
        <v>808</v>
      </c>
      <c r="D164" s="12" t="s">
        <v>809</v>
      </c>
    </row>
    <row r="165" spans="2:4" x14ac:dyDescent="0.45">
      <c r="B165" s="5">
        <f>ROW(B165)-2</f>
        <v>163</v>
      </c>
      <c r="C165" s="1" t="s">
        <v>174</v>
      </c>
      <c r="D165" s="6" t="s">
        <v>174</v>
      </c>
    </row>
    <row r="166" spans="2:4" x14ac:dyDescent="0.45">
      <c r="B166" s="5">
        <f>ROW(B166)-2</f>
        <v>164</v>
      </c>
      <c r="C166" s="1" t="s">
        <v>73</v>
      </c>
      <c r="D166" s="6" t="s">
        <v>73</v>
      </c>
    </row>
    <row r="167" spans="2:4" x14ac:dyDescent="0.45">
      <c r="B167" s="10">
        <f t="shared" si="6"/>
        <v>165</v>
      </c>
      <c r="C167" s="11" t="s">
        <v>810</v>
      </c>
      <c r="D167" s="12" t="s">
        <v>811</v>
      </c>
    </row>
    <row r="168" spans="2:4" x14ac:dyDescent="0.45">
      <c r="B168" s="10">
        <f t="shared" si="6"/>
        <v>166</v>
      </c>
      <c r="C168" s="11" t="s">
        <v>812</v>
      </c>
      <c r="D168" s="12" t="s">
        <v>813</v>
      </c>
    </row>
    <row r="169" spans="2:4" x14ac:dyDescent="0.45">
      <c r="B169" s="10">
        <f t="shared" si="6"/>
        <v>167</v>
      </c>
      <c r="C169" s="11" t="s">
        <v>814</v>
      </c>
      <c r="D169" s="12" t="s">
        <v>815</v>
      </c>
    </row>
    <row r="170" spans="2:4" x14ac:dyDescent="0.45">
      <c r="B170" s="10">
        <f t="shared" si="6"/>
        <v>168</v>
      </c>
      <c r="C170" s="11" t="s">
        <v>816</v>
      </c>
      <c r="D170" s="12" t="s">
        <v>817</v>
      </c>
    </row>
    <row r="171" spans="2:4" x14ac:dyDescent="0.45">
      <c r="B171" s="10">
        <f t="shared" si="6"/>
        <v>169</v>
      </c>
      <c r="C171" s="11" t="s">
        <v>818</v>
      </c>
      <c r="D171" s="12" t="s">
        <v>819</v>
      </c>
    </row>
    <row r="172" spans="2:4" x14ac:dyDescent="0.45">
      <c r="B172" s="10">
        <f t="shared" si="6"/>
        <v>170</v>
      </c>
      <c r="C172" s="11" t="s">
        <v>113</v>
      </c>
      <c r="D172" s="12" t="s">
        <v>113</v>
      </c>
    </row>
    <row r="173" spans="2:4" x14ac:dyDescent="0.45">
      <c r="B173" s="10">
        <f t="shared" si="6"/>
        <v>171</v>
      </c>
      <c r="C173" s="11" t="s">
        <v>820</v>
      </c>
      <c r="D173" s="12" t="s">
        <v>821</v>
      </c>
    </row>
    <row r="174" spans="2:4" x14ac:dyDescent="0.45">
      <c r="B174" s="10">
        <f t="shared" si="6"/>
        <v>172</v>
      </c>
      <c r="C174" s="11" t="s">
        <v>822</v>
      </c>
      <c r="D174" s="12" t="s">
        <v>823</v>
      </c>
    </row>
    <row r="175" spans="2:4" x14ac:dyDescent="0.45">
      <c r="B175" s="10">
        <f t="shared" si="6"/>
        <v>173</v>
      </c>
      <c r="C175" s="11" t="s">
        <v>824</v>
      </c>
      <c r="D175" s="12" t="s">
        <v>825</v>
      </c>
    </row>
    <row r="176" spans="2:4" x14ac:dyDescent="0.45">
      <c r="B176" s="10">
        <f t="shared" si="6"/>
        <v>174</v>
      </c>
      <c r="C176" s="11" t="s">
        <v>826</v>
      </c>
      <c r="D176" s="12" t="s">
        <v>827</v>
      </c>
    </row>
    <row r="177" spans="2:4" x14ac:dyDescent="0.45">
      <c r="B177" s="10">
        <f t="shared" si="6"/>
        <v>175</v>
      </c>
      <c r="C177" s="11" t="s">
        <v>828</v>
      </c>
      <c r="D177" s="12" t="s">
        <v>149</v>
      </c>
    </row>
    <row r="178" spans="2:4" x14ac:dyDescent="0.45">
      <c r="B178" s="10">
        <f t="shared" si="6"/>
        <v>176</v>
      </c>
      <c r="C178" s="11" t="s">
        <v>829</v>
      </c>
      <c r="D178" s="12" t="s">
        <v>153</v>
      </c>
    </row>
    <row r="179" spans="2:4" x14ac:dyDescent="0.45">
      <c r="B179" s="10">
        <f t="shared" si="6"/>
        <v>177</v>
      </c>
      <c r="C179" s="11" t="s">
        <v>830</v>
      </c>
      <c r="D179" s="12" t="s">
        <v>831</v>
      </c>
    </row>
    <row r="180" spans="2:4" x14ac:dyDescent="0.45">
      <c r="B180" s="10">
        <f t="shared" si="6"/>
        <v>178</v>
      </c>
      <c r="C180" s="11" t="s">
        <v>832</v>
      </c>
      <c r="D180" s="12" t="s">
        <v>833</v>
      </c>
    </row>
    <row r="181" spans="2:4" x14ac:dyDescent="0.45">
      <c r="B181" s="10">
        <f t="shared" si="6"/>
        <v>179</v>
      </c>
      <c r="C181" s="11" t="s">
        <v>834</v>
      </c>
      <c r="D181" s="12" t="s">
        <v>60</v>
      </c>
    </row>
    <row r="182" spans="2:4" x14ac:dyDescent="0.45">
      <c r="B182" s="10">
        <f t="shared" si="6"/>
        <v>180</v>
      </c>
      <c r="C182" s="11" t="s">
        <v>835</v>
      </c>
      <c r="D182" s="12" t="s">
        <v>836</v>
      </c>
    </row>
    <row r="183" spans="2:4" x14ac:dyDescent="0.45">
      <c r="B183" s="10">
        <f t="shared" si="6"/>
        <v>181</v>
      </c>
      <c r="C183" s="11" t="s">
        <v>837</v>
      </c>
      <c r="D183" s="12" t="s">
        <v>837</v>
      </c>
    </row>
    <row r="184" spans="2:4" x14ac:dyDescent="0.45">
      <c r="B184" s="10">
        <f t="shared" si="6"/>
        <v>182</v>
      </c>
      <c r="C184" s="11" t="s">
        <v>838</v>
      </c>
      <c r="D184" s="12" t="s">
        <v>65</v>
      </c>
    </row>
    <row r="185" spans="2:4" x14ac:dyDescent="0.45">
      <c r="B185" s="10">
        <f t="shared" si="6"/>
        <v>183</v>
      </c>
      <c r="C185" s="11" t="s">
        <v>839</v>
      </c>
      <c r="D185" s="12" t="s">
        <v>840</v>
      </c>
    </row>
    <row r="186" spans="2:4" x14ac:dyDescent="0.45">
      <c r="B186" s="10">
        <f t="shared" si="6"/>
        <v>184</v>
      </c>
      <c r="C186" s="11" t="s">
        <v>841</v>
      </c>
      <c r="D186" s="12" t="s">
        <v>106</v>
      </c>
    </row>
    <row r="187" spans="2:4" x14ac:dyDescent="0.45">
      <c r="B187" s="10">
        <f t="shared" si="6"/>
        <v>185</v>
      </c>
      <c r="C187" s="11" t="s">
        <v>842</v>
      </c>
      <c r="D187" s="12" t="s">
        <v>843</v>
      </c>
    </row>
    <row r="188" spans="2:4" x14ac:dyDescent="0.45">
      <c r="B188" s="10">
        <f t="shared" si="6"/>
        <v>186</v>
      </c>
      <c r="C188" s="11" t="s">
        <v>844</v>
      </c>
      <c r="D188" s="12" t="s">
        <v>844</v>
      </c>
    </row>
    <row r="189" spans="2:4" x14ac:dyDescent="0.45">
      <c r="B189" s="10">
        <f t="shared" si="6"/>
        <v>187</v>
      </c>
      <c r="C189" s="11" t="s">
        <v>845</v>
      </c>
      <c r="D189" s="12" t="s">
        <v>846</v>
      </c>
    </row>
    <row r="190" spans="2:4" x14ac:dyDescent="0.45">
      <c r="B190" s="10">
        <f t="shared" si="6"/>
        <v>188</v>
      </c>
      <c r="C190" s="11" t="s">
        <v>847</v>
      </c>
      <c r="D190" s="12" t="s">
        <v>848</v>
      </c>
    </row>
    <row r="191" spans="2:4" x14ac:dyDescent="0.45">
      <c r="B191" s="10">
        <f t="shared" si="6"/>
        <v>189</v>
      </c>
      <c r="C191" s="11" t="s">
        <v>849</v>
      </c>
      <c r="D191" s="12" t="s">
        <v>850</v>
      </c>
    </row>
    <row r="192" spans="2:4" x14ac:dyDescent="0.45">
      <c r="B192" s="10">
        <f t="shared" si="6"/>
        <v>190</v>
      </c>
      <c r="C192" s="11" t="s">
        <v>851</v>
      </c>
      <c r="D192" s="12" t="s">
        <v>852</v>
      </c>
    </row>
    <row r="193" spans="2:4" x14ac:dyDescent="0.45">
      <c r="B193" s="10">
        <f t="shared" si="6"/>
        <v>191</v>
      </c>
      <c r="C193" s="11" t="s">
        <v>853</v>
      </c>
      <c r="D193" s="12" t="s">
        <v>854</v>
      </c>
    </row>
    <row r="194" spans="2:4" x14ac:dyDescent="0.45">
      <c r="B194" s="10">
        <f t="shared" si="6"/>
        <v>192</v>
      </c>
      <c r="C194" s="11" t="s">
        <v>855</v>
      </c>
      <c r="D194" s="12" t="s">
        <v>856</v>
      </c>
    </row>
    <row r="195" spans="2:4" x14ac:dyDescent="0.45">
      <c r="B195" s="10">
        <f t="shared" si="6"/>
        <v>193</v>
      </c>
      <c r="C195" s="11" t="s">
        <v>857</v>
      </c>
      <c r="D195" s="12" t="s">
        <v>858</v>
      </c>
    </row>
    <row r="196" spans="2:4" x14ac:dyDescent="0.45">
      <c r="B196" s="10">
        <f t="shared" si="6"/>
        <v>194</v>
      </c>
      <c r="C196" s="11" t="s">
        <v>859</v>
      </c>
      <c r="D196" s="12" t="s">
        <v>860</v>
      </c>
    </row>
    <row r="197" spans="2:4" x14ac:dyDescent="0.45">
      <c r="B197" s="10">
        <f t="shared" ref="B197:B232" si="7">ROW(B197)-2</f>
        <v>195</v>
      </c>
      <c r="C197" s="11" t="s">
        <v>861</v>
      </c>
      <c r="D197" s="12" t="s">
        <v>862</v>
      </c>
    </row>
    <row r="198" spans="2:4" x14ac:dyDescent="0.45">
      <c r="B198" s="10">
        <f t="shared" si="7"/>
        <v>196</v>
      </c>
      <c r="C198" s="11" t="s">
        <v>863</v>
      </c>
      <c r="D198" s="12" t="s">
        <v>864</v>
      </c>
    </row>
    <row r="199" spans="2:4" x14ac:dyDescent="0.45">
      <c r="B199" s="10">
        <f t="shared" si="7"/>
        <v>197</v>
      </c>
      <c r="C199" s="11" t="s">
        <v>865</v>
      </c>
      <c r="D199" s="12" t="s">
        <v>866</v>
      </c>
    </row>
    <row r="200" spans="2:4" x14ac:dyDescent="0.45">
      <c r="B200" s="10">
        <f t="shared" si="7"/>
        <v>198</v>
      </c>
      <c r="C200" s="11" t="s">
        <v>867</v>
      </c>
      <c r="D200" s="12" t="s">
        <v>868</v>
      </c>
    </row>
    <row r="201" spans="2:4" x14ac:dyDescent="0.45">
      <c r="B201" s="10">
        <f t="shared" si="7"/>
        <v>199</v>
      </c>
      <c r="C201" s="11" t="s">
        <v>869</v>
      </c>
      <c r="D201" s="12" t="s">
        <v>870</v>
      </c>
    </row>
    <row r="202" spans="2:4" x14ac:dyDescent="0.45">
      <c r="B202" s="10">
        <f t="shared" si="7"/>
        <v>200</v>
      </c>
      <c r="C202" s="11" t="s">
        <v>871</v>
      </c>
      <c r="D202" s="12" t="s">
        <v>872</v>
      </c>
    </row>
    <row r="203" spans="2:4" x14ac:dyDescent="0.45">
      <c r="B203" s="10">
        <f t="shared" si="7"/>
        <v>201</v>
      </c>
      <c r="C203" s="11" t="s">
        <v>873</v>
      </c>
      <c r="D203" s="12" t="s">
        <v>874</v>
      </c>
    </row>
    <row r="204" spans="2:4" x14ac:dyDescent="0.45">
      <c r="B204" s="10">
        <f t="shared" si="7"/>
        <v>202</v>
      </c>
      <c r="C204" s="11" t="s">
        <v>875</v>
      </c>
      <c r="D204" s="12" t="s">
        <v>876</v>
      </c>
    </row>
    <row r="205" spans="2:4" x14ac:dyDescent="0.45">
      <c r="B205" s="10">
        <f t="shared" si="7"/>
        <v>203</v>
      </c>
      <c r="C205" s="11" t="s">
        <v>877</v>
      </c>
      <c r="D205" s="12" t="s">
        <v>878</v>
      </c>
    </row>
    <row r="206" spans="2:4" x14ac:dyDescent="0.45">
      <c r="B206" s="10">
        <f t="shared" si="7"/>
        <v>204</v>
      </c>
      <c r="C206" s="11" t="s">
        <v>879</v>
      </c>
      <c r="D206" s="12" t="s">
        <v>880</v>
      </c>
    </row>
    <row r="207" spans="2:4" x14ac:dyDescent="0.45">
      <c r="B207" s="10">
        <f t="shared" si="7"/>
        <v>205</v>
      </c>
      <c r="C207" s="11" t="s">
        <v>881</v>
      </c>
      <c r="D207" s="12" t="s">
        <v>882</v>
      </c>
    </row>
    <row r="208" spans="2:4" x14ac:dyDescent="0.45">
      <c r="B208" s="10">
        <f t="shared" si="7"/>
        <v>206</v>
      </c>
      <c r="C208" s="11" t="s">
        <v>883</v>
      </c>
      <c r="D208" s="12" t="s">
        <v>884</v>
      </c>
    </row>
    <row r="209" spans="2:4" x14ac:dyDescent="0.45">
      <c r="B209" s="10">
        <f t="shared" si="7"/>
        <v>207</v>
      </c>
      <c r="C209" s="11" t="s">
        <v>885</v>
      </c>
      <c r="D209" s="12" t="s">
        <v>886</v>
      </c>
    </row>
    <row r="210" spans="2:4" x14ac:dyDescent="0.45">
      <c r="B210" s="5">
        <f>ROW(B210)-2</f>
        <v>208</v>
      </c>
      <c r="C210" s="1" t="s">
        <v>108</v>
      </c>
      <c r="D210" s="6" t="s">
        <v>108</v>
      </c>
    </row>
    <row r="211" spans="2:4" x14ac:dyDescent="0.45">
      <c r="B211" s="10">
        <f t="shared" si="7"/>
        <v>209</v>
      </c>
      <c r="C211" s="11" t="s">
        <v>887</v>
      </c>
      <c r="D211" s="12" t="s">
        <v>888</v>
      </c>
    </row>
    <row r="212" spans="2:4" x14ac:dyDescent="0.45">
      <c r="B212" s="10">
        <f t="shared" si="7"/>
        <v>210</v>
      </c>
      <c r="C212" s="11" t="s">
        <v>889</v>
      </c>
      <c r="D212" s="12" t="s">
        <v>890</v>
      </c>
    </row>
    <row r="213" spans="2:4" x14ac:dyDescent="0.45">
      <c r="B213" s="10">
        <f t="shared" si="7"/>
        <v>211</v>
      </c>
      <c r="C213" s="11" t="s">
        <v>891</v>
      </c>
      <c r="D213" s="12" t="s">
        <v>892</v>
      </c>
    </row>
    <row r="214" spans="2:4" x14ac:dyDescent="0.45">
      <c r="B214" s="10">
        <f t="shared" si="7"/>
        <v>212</v>
      </c>
      <c r="C214" s="11" t="s">
        <v>893</v>
      </c>
      <c r="D214" s="12" t="s">
        <v>894</v>
      </c>
    </row>
    <row r="215" spans="2:4" x14ac:dyDescent="0.45">
      <c r="B215" s="10">
        <f t="shared" si="7"/>
        <v>213</v>
      </c>
      <c r="C215" s="11" t="s">
        <v>895</v>
      </c>
      <c r="D215" s="12" t="s">
        <v>82</v>
      </c>
    </row>
    <row r="216" spans="2:4" x14ac:dyDescent="0.45">
      <c r="B216" s="10">
        <f t="shared" si="7"/>
        <v>214</v>
      </c>
      <c r="C216" s="11" t="s">
        <v>896</v>
      </c>
      <c r="D216" s="12" t="s">
        <v>897</v>
      </c>
    </row>
    <row r="217" spans="2:4" x14ac:dyDescent="0.45">
      <c r="B217" s="10">
        <f t="shared" si="7"/>
        <v>215</v>
      </c>
      <c r="C217" s="11" t="s">
        <v>898</v>
      </c>
      <c r="D217" s="12" t="s">
        <v>898</v>
      </c>
    </row>
    <row r="218" spans="2:4" x14ac:dyDescent="0.45">
      <c r="B218" s="10">
        <f t="shared" si="7"/>
        <v>216</v>
      </c>
      <c r="C218" s="11" t="s">
        <v>122</v>
      </c>
      <c r="D218" s="12" t="s">
        <v>122</v>
      </c>
    </row>
    <row r="219" spans="2:4" x14ac:dyDescent="0.45">
      <c r="B219" s="10">
        <f t="shared" si="7"/>
        <v>217</v>
      </c>
      <c r="C219" s="11" t="s">
        <v>899</v>
      </c>
      <c r="D219" s="12" t="s">
        <v>900</v>
      </c>
    </row>
    <row r="220" spans="2:4" x14ac:dyDescent="0.45">
      <c r="B220" s="5">
        <f>ROW(B220)-2</f>
        <v>218</v>
      </c>
      <c r="C220" s="1" t="s">
        <v>130</v>
      </c>
      <c r="D220" s="1" t="s">
        <v>130</v>
      </c>
    </row>
    <row r="221" spans="2:4" x14ac:dyDescent="0.45">
      <c r="B221" s="10">
        <f t="shared" si="7"/>
        <v>219</v>
      </c>
      <c r="C221" s="11" t="s">
        <v>901</v>
      </c>
      <c r="D221" s="12" t="s">
        <v>902</v>
      </c>
    </row>
    <row r="222" spans="2:4" x14ac:dyDescent="0.45">
      <c r="B222" s="10">
        <f t="shared" si="7"/>
        <v>220</v>
      </c>
      <c r="C222" s="11" t="s">
        <v>903</v>
      </c>
      <c r="D222" s="12" t="s">
        <v>69</v>
      </c>
    </row>
    <row r="223" spans="2:4" x14ac:dyDescent="0.45">
      <c r="B223" s="10">
        <f t="shared" si="7"/>
        <v>221</v>
      </c>
      <c r="C223" s="11" t="s">
        <v>904</v>
      </c>
      <c r="D223" s="12" t="s">
        <v>905</v>
      </c>
    </row>
    <row r="224" spans="2:4" x14ac:dyDescent="0.45">
      <c r="B224" s="10">
        <f t="shared" si="7"/>
        <v>222</v>
      </c>
      <c r="C224" s="11" t="s">
        <v>906</v>
      </c>
      <c r="D224" s="12" t="s">
        <v>907</v>
      </c>
    </row>
    <row r="225" spans="2:4" x14ac:dyDescent="0.45">
      <c r="B225" s="10">
        <f t="shared" si="7"/>
        <v>223</v>
      </c>
      <c r="C225" s="11" t="s">
        <v>908</v>
      </c>
      <c r="D225" s="12" t="s">
        <v>909</v>
      </c>
    </row>
    <row r="226" spans="2:4" x14ac:dyDescent="0.45">
      <c r="B226" s="5">
        <f>ROW(B226)-2</f>
        <v>224</v>
      </c>
      <c r="C226" s="1" t="s">
        <v>910</v>
      </c>
      <c r="D226" s="149" t="s">
        <v>80</v>
      </c>
    </row>
    <row r="227" spans="2:4" x14ac:dyDescent="0.45">
      <c r="B227" s="5">
        <f>ROW(B227)-2</f>
        <v>225</v>
      </c>
      <c r="C227" s="1" t="s">
        <v>911</v>
      </c>
      <c r="D227" s="159" t="s">
        <v>159</v>
      </c>
    </row>
    <row r="228" spans="2:4" x14ac:dyDescent="0.45">
      <c r="B228" s="10">
        <f t="shared" si="7"/>
        <v>226</v>
      </c>
      <c r="C228" s="11" t="s">
        <v>912</v>
      </c>
      <c r="D228" s="12" t="s">
        <v>913</v>
      </c>
    </row>
    <row r="229" spans="2:4" x14ac:dyDescent="0.45">
      <c r="B229" s="10">
        <f t="shared" si="7"/>
        <v>227</v>
      </c>
      <c r="C229" s="11" t="s">
        <v>914</v>
      </c>
      <c r="D229" s="12" t="s">
        <v>94</v>
      </c>
    </row>
    <row r="230" spans="2:4" x14ac:dyDescent="0.45">
      <c r="B230" s="10">
        <f t="shared" si="7"/>
        <v>228</v>
      </c>
      <c r="C230" s="11" t="s">
        <v>915</v>
      </c>
      <c r="D230" s="12" t="s">
        <v>916</v>
      </c>
    </row>
    <row r="231" spans="2:4" x14ac:dyDescent="0.45">
      <c r="B231" s="10">
        <f t="shared" si="7"/>
        <v>229</v>
      </c>
      <c r="C231" s="11" t="s">
        <v>917</v>
      </c>
      <c r="D231" s="12" t="s">
        <v>918</v>
      </c>
    </row>
    <row r="232" spans="2:4" x14ac:dyDescent="0.45">
      <c r="B232" s="10">
        <f t="shared" si="7"/>
        <v>230</v>
      </c>
      <c r="C232" s="11" t="s">
        <v>919</v>
      </c>
      <c r="D232" s="12" t="s">
        <v>920</v>
      </c>
    </row>
    <row r="233" spans="2:4" x14ac:dyDescent="0.45">
      <c r="B233" s="10">
        <f t="shared" ref="B233:B270" si="8">ROW(B233)-2</f>
        <v>231</v>
      </c>
      <c r="C233" s="11" t="s">
        <v>921</v>
      </c>
      <c r="D233" s="12" t="s">
        <v>922</v>
      </c>
    </row>
    <row r="234" spans="2:4" x14ac:dyDescent="0.45">
      <c r="B234" s="10">
        <f t="shared" si="8"/>
        <v>232</v>
      </c>
      <c r="C234" s="11" t="s">
        <v>923</v>
      </c>
      <c r="D234" s="12" t="s">
        <v>924</v>
      </c>
    </row>
    <row r="235" spans="2:4" x14ac:dyDescent="0.45">
      <c r="B235" s="10">
        <f t="shared" si="8"/>
        <v>233</v>
      </c>
      <c r="C235" s="11" t="s">
        <v>925</v>
      </c>
      <c r="D235" s="12" t="s">
        <v>77</v>
      </c>
    </row>
    <row r="236" spans="2:4" x14ac:dyDescent="0.45">
      <c r="B236" s="10">
        <f t="shared" si="8"/>
        <v>234</v>
      </c>
      <c r="C236" s="11" t="s">
        <v>926</v>
      </c>
      <c r="D236" s="12" t="s">
        <v>926</v>
      </c>
    </row>
    <row r="237" spans="2:4" x14ac:dyDescent="0.45">
      <c r="B237" s="10">
        <f t="shared" si="8"/>
        <v>235</v>
      </c>
      <c r="C237" s="11" t="s">
        <v>927</v>
      </c>
      <c r="D237" s="12" t="s">
        <v>928</v>
      </c>
    </row>
    <row r="238" spans="2:4" x14ac:dyDescent="0.45">
      <c r="B238" s="10">
        <f t="shared" si="8"/>
        <v>236</v>
      </c>
      <c r="C238" s="11" t="s">
        <v>929</v>
      </c>
      <c r="D238" s="12" t="s">
        <v>930</v>
      </c>
    </row>
    <row r="239" spans="2:4" x14ac:dyDescent="0.45">
      <c r="B239" s="10">
        <f t="shared" si="8"/>
        <v>237</v>
      </c>
      <c r="C239" s="11" t="s">
        <v>931</v>
      </c>
      <c r="D239" s="12" t="s">
        <v>932</v>
      </c>
    </row>
    <row r="240" spans="2:4" x14ac:dyDescent="0.45">
      <c r="B240" s="10">
        <f t="shared" si="8"/>
        <v>238</v>
      </c>
      <c r="C240" s="11" t="s">
        <v>933</v>
      </c>
      <c r="D240" s="12" t="s">
        <v>138</v>
      </c>
    </row>
    <row r="241" spans="2:4" x14ac:dyDescent="0.45">
      <c r="B241" s="10">
        <f t="shared" si="8"/>
        <v>239</v>
      </c>
      <c r="C241" s="11" t="s">
        <v>934</v>
      </c>
      <c r="D241" s="12" t="s">
        <v>935</v>
      </c>
    </row>
    <row r="242" spans="2:4" x14ac:dyDescent="0.45">
      <c r="B242" s="5">
        <f>ROW(B242)-2</f>
        <v>240</v>
      </c>
      <c r="C242" s="1" t="s">
        <v>936</v>
      </c>
      <c r="D242" s="6" t="s">
        <v>126</v>
      </c>
    </row>
    <row r="243" spans="2:4" x14ac:dyDescent="0.45">
      <c r="B243" s="10">
        <f t="shared" si="8"/>
        <v>241</v>
      </c>
      <c r="C243" s="11" t="s">
        <v>937</v>
      </c>
      <c r="D243" s="12" t="s">
        <v>938</v>
      </c>
    </row>
    <row r="244" spans="2:4" x14ac:dyDescent="0.45">
      <c r="B244" s="10">
        <f t="shared" si="8"/>
        <v>242</v>
      </c>
      <c r="C244" s="11" t="s">
        <v>939</v>
      </c>
      <c r="D244" s="12" t="s">
        <v>939</v>
      </c>
    </row>
    <row r="245" spans="2:4" x14ac:dyDescent="0.45">
      <c r="B245" s="10">
        <f t="shared" si="8"/>
        <v>243</v>
      </c>
      <c r="C245" s="11" t="s">
        <v>940</v>
      </c>
      <c r="D245" s="12" t="s">
        <v>941</v>
      </c>
    </row>
    <row r="246" spans="2:4" x14ac:dyDescent="0.45">
      <c r="B246" s="5">
        <f>ROW(B246)-2</f>
        <v>244</v>
      </c>
      <c r="C246" s="1" t="s">
        <v>942</v>
      </c>
      <c r="D246" s="6" t="s">
        <v>112</v>
      </c>
    </row>
    <row r="247" spans="2:4" x14ac:dyDescent="0.45">
      <c r="B247" s="10">
        <f t="shared" si="8"/>
        <v>245</v>
      </c>
      <c r="C247" s="11" t="s">
        <v>943</v>
      </c>
      <c r="D247" s="12" t="s">
        <v>944</v>
      </c>
    </row>
    <row r="248" spans="2:4" x14ac:dyDescent="0.45">
      <c r="B248" s="5">
        <f>ROW(B248)-2</f>
        <v>246</v>
      </c>
      <c r="C248" s="1" t="s">
        <v>945</v>
      </c>
      <c r="D248" s="6" t="s">
        <v>162</v>
      </c>
    </row>
    <row r="249" spans="2:4" x14ac:dyDescent="0.45">
      <c r="B249" s="10">
        <f t="shared" si="8"/>
        <v>247</v>
      </c>
      <c r="C249" s="11" t="s">
        <v>946</v>
      </c>
      <c r="D249" s="12" t="s">
        <v>947</v>
      </c>
    </row>
    <row r="250" spans="2:4" x14ac:dyDescent="0.45">
      <c r="B250" s="10">
        <f t="shared" si="8"/>
        <v>248</v>
      </c>
      <c r="C250" s="11" t="s">
        <v>948</v>
      </c>
      <c r="D250" s="12" t="s">
        <v>56</v>
      </c>
    </row>
    <row r="251" spans="2:4" x14ac:dyDescent="0.45">
      <c r="B251" s="10">
        <f t="shared" si="8"/>
        <v>249</v>
      </c>
      <c r="C251" s="11" t="s">
        <v>949</v>
      </c>
      <c r="D251" s="12" t="s">
        <v>950</v>
      </c>
    </row>
    <row r="252" spans="2:4" x14ac:dyDescent="0.45">
      <c r="B252" s="10">
        <f t="shared" si="8"/>
        <v>250</v>
      </c>
      <c r="C252" s="11" t="s">
        <v>951</v>
      </c>
      <c r="D252" s="12" t="s">
        <v>83</v>
      </c>
    </row>
    <row r="253" spans="2:4" x14ac:dyDescent="0.45">
      <c r="B253" s="10">
        <f t="shared" si="8"/>
        <v>251</v>
      </c>
      <c r="C253" s="11" t="s">
        <v>952</v>
      </c>
      <c r="D253" s="12" t="s">
        <v>953</v>
      </c>
    </row>
    <row r="254" spans="2:4" x14ac:dyDescent="0.45">
      <c r="B254" s="10">
        <f t="shared" si="8"/>
        <v>252</v>
      </c>
      <c r="C254" s="11" t="s">
        <v>954</v>
      </c>
      <c r="D254" s="12" t="s">
        <v>955</v>
      </c>
    </row>
    <row r="255" spans="2:4" x14ac:dyDescent="0.45">
      <c r="B255" s="10">
        <f t="shared" si="8"/>
        <v>253</v>
      </c>
      <c r="C255" s="11" t="s">
        <v>956</v>
      </c>
      <c r="D255" s="12" t="s">
        <v>957</v>
      </c>
    </row>
    <row r="256" spans="2:4" x14ac:dyDescent="0.45">
      <c r="B256" s="10">
        <f t="shared" si="8"/>
        <v>254</v>
      </c>
      <c r="C256" s="11" t="s">
        <v>958</v>
      </c>
      <c r="D256" s="12" t="s">
        <v>959</v>
      </c>
    </row>
    <row r="257" spans="2:4" x14ac:dyDescent="0.45">
      <c r="B257" s="10">
        <f t="shared" si="8"/>
        <v>255</v>
      </c>
      <c r="C257" s="11" t="s">
        <v>960</v>
      </c>
      <c r="D257" s="12" t="s">
        <v>66</v>
      </c>
    </row>
    <row r="258" spans="2:4" x14ac:dyDescent="0.45">
      <c r="B258" s="5">
        <f>ROW(B258)-2</f>
        <v>256</v>
      </c>
      <c r="C258" s="1" t="s">
        <v>87</v>
      </c>
      <c r="D258" s="6" t="s">
        <v>87</v>
      </c>
    </row>
    <row r="259" spans="2:4" x14ac:dyDescent="0.45">
      <c r="B259" s="10">
        <f t="shared" si="8"/>
        <v>257</v>
      </c>
      <c r="C259" s="11" t="s">
        <v>961</v>
      </c>
      <c r="D259" s="12" t="s">
        <v>962</v>
      </c>
    </row>
    <row r="260" spans="2:4" x14ac:dyDescent="0.45">
      <c r="B260" s="10">
        <f t="shared" si="8"/>
        <v>258</v>
      </c>
      <c r="C260" s="11" t="s">
        <v>963</v>
      </c>
      <c r="D260" s="12" t="s">
        <v>964</v>
      </c>
    </row>
    <row r="261" spans="2:4" x14ac:dyDescent="0.45">
      <c r="B261" s="10">
        <f t="shared" si="8"/>
        <v>259</v>
      </c>
      <c r="C261" s="11" t="s">
        <v>965</v>
      </c>
      <c r="D261" s="12" t="s">
        <v>966</v>
      </c>
    </row>
    <row r="262" spans="2:4" x14ac:dyDescent="0.45">
      <c r="B262" s="10">
        <f t="shared" si="8"/>
        <v>260</v>
      </c>
      <c r="C262" s="11" t="s">
        <v>967</v>
      </c>
      <c r="D262" s="12" t="s">
        <v>968</v>
      </c>
    </row>
    <row r="263" spans="2:4" x14ac:dyDescent="0.45">
      <c r="B263" s="5">
        <f>ROW(B263)-2</f>
        <v>261</v>
      </c>
      <c r="C263" t="s">
        <v>75</v>
      </c>
      <c r="D263" t="s">
        <v>75</v>
      </c>
    </row>
    <row r="264" spans="2:4" x14ac:dyDescent="0.45">
      <c r="B264" s="10">
        <f t="shared" si="8"/>
        <v>262</v>
      </c>
      <c r="C264" s="11" t="s">
        <v>969</v>
      </c>
      <c r="D264" s="12" t="s">
        <v>67</v>
      </c>
    </row>
    <row r="265" spans="2:4" x14ac:dyDescent="0.45">
      <c r="B265" s="10">
        <f t="shared" si="8"/>
        <v>263</v>
      </c>
      <c r="C265" s="11" t="s">
        <v>970</v>
      </c>
      <c r="D265" s="12" t="s">
        <v>971</v>
      </c>
    </row>
    <row r="266" spans="2:4" x14ac:dyDescent="0.45">
      <c r="B266" s="5">
        <f>ROW(B266)-2</f>
        <v>264</v>
      </c>
      <c r="C266" s="1" t="s">
        <v>972</v>
      </c>
      <c r="D266" s="6" t="s">
        <v>156</v>
      </c>
    </row>
    <row r="267" spans="2:4" x14ac:dyDescent="0.45">
      <c r="B267" s="10">
        <f t="shared" si="8"/>
        <v>265</v>
      </c>
      <c r="C267" s="11" t="s">
        <v>973</v>
      </c>
      <c r="D267" s="12" t="s">
        <v>974</v>
      </c>
    </row>
    <row r="268" spans="2:4" x14ac:dyDescent="0.45">
      <c r="B268" s="10">
        <f t="shared" si="8"/>
        <v>266</v>
      </c>
      <c r="C268" s="11" t="s">
        <v>975</v>
      </c>
      <c r="D268" s="12" t="s">
        <v>976</v>
      </c>
    </row>
    <row r="269" spans="2:4" x14ac:dyDescent="0.45">
      <c r="B269" s="10">
        <f t="shared" si="8"/>
        <v>267</v>
      </c>
      <c r="C269" s="11" t="s">
        <v>977</v>
      </c>
      <c r="D269" s="12" t="s">
        <v>978</v>
      </c>
    </row>
    <row r="270" spans="2:4" x14ac:dyDescent="0.45">
      <c r="B270" s="10">
        <f t="shared" si="8"/>
        <v>268</v>
      </c>
      <c r="C270" s="11" t="s">
        <v>979</v>
      </c>
      <c r="D270" s="12" t="s">
        <v>980</v>
      </c>
    </row>
    <row r="271" spans="2:4" x14ac:dyDescent="0.45">
      <c r="B271" s="10">
        <f t="shared" ref="B271:B321" si="9">ROW(B271)-2</f>
        <v>269</v>
      </c>
      <c r="C271" s="11" t="s">
        <v>981</v>
      </c>
      <c r="D271" s="12" t="s">
        <v>982</v>
      </c>
    </row>
    <row r="272" spans="2:4" x14ac:dyDescent="0.45">
      <c r="B272" s="10">
        <f t="shared" si="9"/>
        <v>270</v>
      </c>
      <c r="C272" s="11" t="s">
        <v>983</v>
      </c>
      <c r="D272" s="12" t="s">
        <v>102</v>
      </c>
    </row>
    <row r="273" spans="2:4" x14ac:dyDescent="0.45">
      <c r="B273" s="10">
        <f t="shared" si="9"/>
        <v>271</v>
      </c>
      <c r="C273" s="11" t="s">
        <v>984</v>
      </c>
      <c r="D273" s="12" t="s">
        <v>985</v>
      </c>
    </row>
    <row r="274" spans="2:4" x14ac:dyDescent="0.45">
      <c r="B274" s="10">
        <f t="shared" si="9"/>
        <v>272</v>
      </c>
      <c r="C274" s="11" t="s">
        <v>986</v>
      </c>
      <c r="D274" s="12" t="s">
        <v>63</v>
      </c>
    </row>
    <row r="275" spans="2:4" x14ac:dyDescent="0.45">
      <c r="B275" s="10">
        <f t="shared" si="9"/>
        <v>273</v>
      </c>
      <c r="C275" s="11" t="s">
        <v>987</v>
      </c>
      <c r="D275" s="12" t="s">
        <v>987</v>
      </c>
    </row>
    <row r="276" spans="2:4" x14ac:dyDescent="0.45">
      <c r="B276" s="10">
        <f t="shared" si="9"/>
        <v>274</v>
      </c>
      <c r="C276" s="11" t="s">
        <v>988</v>
      </c>
      <c r="D276" s="12" t="s">
        <v>989</v>
      </c>
    </row>
    <row r="277" spans="2:4" x14ac:dyDescent="0.45">
      <c r="B277" s="10">
        <f t="shared" si="9"/>
        <v>275</v>
      </c>
      <c r="C277" s="11" t="s">
        <v>990</v>
      </c>
      <c r="D277" s="12" t="s">
        <v>57</v>
      </c>
    </row>
    <row r="278" spans="2:4" x14ac:dyDescent="0.45">
      <c r="B278" s="10">
        <f t="shared" si="9"/>
        <v>276</v>
      </c>
      <c r="C278" s="11" t="s">
        <v>991</v>
      </c>
      <c r="D278" s="12" t="s">
        <v>992</v>
      </c>
    </row>
    <row r="279" spans="2:4" x14ac:dyDescent="0.45">
      <c r="B279" s="10">
        <f t="shared" si="9"/>
        <v>277</v>
      </c>
      <c r="C279" s="11" t="s">
        <v>993</v>
      </c>
      <c r="D279" s="12" t="s">
        <v>994</v>
      </c>
    </row>
    <row r="280" spans="2:4" x14ac:dyDescent="0.45">
      <c r="B280" s="5">
        <f>ROW(B280)-2</f>
        <v>278</v>
      </c>
      <c r="C280" s="1" t="s">
        <v>995</v>
      </c>
      <c r="D280" s="6" t="s">
        <v>136</v>
      </c>
    </row>
    <row r="281" spans="2:4" x14ac:dyDescent="0.45">
      <c r="B281" s="10">
        <f t="shared" si="9"/>
        <v>279</v>
      </c>
      <c r="C281" s="11" t="s">
        <v>996</v>
      </c>
      <c r="D281" s="12" t="s">
        <v>997</v>
      </c>
    </row>
    <row r="282" spans="2:4" x14ac:dyDescent="0.45">
      <c r="B282" s="10">
        <f t="shared" si="9"/>
        <v>280</v>
      </c>
      <c r="C282" s="11" t="s">
        <v>998</v>
      </c>
      <c r="D282" s="12" t="s">
        <v>133</v>
      </c>
    </row>
    <row r="283" spans="2:4" x14ac:dyDescent="0.45">
      <c r="B283" s="10">
        <f t="shared" si="9"/>
        <v>281</v>
      </c>
      <c r="C283" s="11" t="s">
        <v>139</v>
      </c>
      <c r="D283" s="12" t="s">
        <v>139</v>
      </c>
    </row>
    <row r="284" spans="2:4" x14ac:dyDescent="0.45">
      <c r="B284" s="10">
        <f t="shared" si="9"/>
        <v>282</v>
      </c>
      <c r="C284" s="11" t="s">
        <v>999</v>
      </c>
      <c r="D284" s="12" t="s">
        <v>1000</v>
      </c>
    </row>
    <row r="285" spans="2:4" x14ac:dyDescent="0.45">
      <c r="B285" s="10">
        <f t="shared" si="9"/>
        <v>283</v>
      </c>
      <c r="C285" s="11" t="s">
        <v>1001</v>
      </c>
      <c r="D285" s="12" t="s">
        <v>1002</v>
      </c>
    </row>
    <row r="286" spans="2:4" x14ac:dyDescent="0.45">
      <c r="B286" s="10">
        <f t="shared" si="9"/>
        <v>284</v>
      </c>
      <c r="C286" s="11" t="s">
        <v>1003</v>
      </c>
      <c r="D286" s="12" t="s">
        <v>1004</v>
      </c>
    </row>
    <row r="287" spans="2:4" x14ac:dyDescent="0.45">
      <c r="B287" s="10">
        <f t="shared" si="9"/>
        <v>285</v>
      </c>
      <c r="C287" s="11" t="s">
        <v>1005</v>
      </c>
      <c r="D287" s="12" t="s">
        <v>1006</v>
      </c>
    </row>
    <row r="288" spans="2:4" x14ac:dyDescent="0.45">
      <c r="B288" s="5">
        <f>ROW(B288)-2</f>
        <v>286</v>
      </c>
      <c r="C288" s="1" t="s">
        <v>1007</v>
      </c>
      <c r="D288" s="6" t="s">
        <v>128</v>
      </c>
    </row>
    <row r="289" spans="2:4" x14ac:dyDescent="0.45">
      <c r="B289" s="10">
        <f t="shared" si="9"/>
        <v>287</v>
      </c>
      <c r="C289" s="11" t="s">
        <v>1008</v>
      </c>
      <c r="D289" s="12" t="s">
        <v>1008</v>
      </c>
    </row>
    <row r="290" spans="2:4" x14ac:dyDescent="0.45">
      <c r="B290" s="10">
        <f t="shared" si="9"/>
        <v>288</v>
      </c>
      <c r="C290" s="11" t="s">
        <v>1009</v>
      </c>
      <c r="D290" s="12" t="s">
        <v>1010</v>
      </c>
    </row>
    <row r="291" spans="2:4" x14ac:dyDescent="0.45">
      <c r="B291" s="10">
        <f t="shared" si="9"/>
        <v>289</v>
      </c>
      <c r="C291" s="11" t="s">
        <v>1011</v>
      </c>
      <c r="D291" s="12" t="s">
        <v>132</v>
      </c>
    </row>
    <row r="292" spans="2:4" x14ac:dyDescent="0.45">
      <c r="B292" s="10">
        <f t="shared" si="9"/>
        <v>290</v>
      </c>
      <c r="C292" s="11" t="s">
        <v>1012</v>
      </c>
      <c r="D292" s="12" t="s">
        <v>1013</v>
      </c>
    </row>
    <row r="293" spans="2:4" x14ac:dyDescent="0.45">
      <c r="B293" s="10">
        <f t="shared" si="9"/>
        <v>291</v>
      </c>
      <c r="C293" s="11" t="s">
        <v>1014</v>
      </c>
      <c r="D293" s="12" t="s">
        <v>1015</v>
      </c>
    </row>
    <row r="294" spans="2:4" x14ac:dyDescent="0.45">
      <c r="B294" s="10">
        <f t="shared" si="9"/>
        <v>292</v>
      </c>
      <c r="C294" s="11" t="s">
        <v>1016</v>
      </c>
      <c r="D294" s="12" t="s">
        <v>1017</v>
      </c>
    </row>
    <row r="295" spans="2:4" x14ac:dyDescent="0.45">
      <c r="B295" s="10">
        <f t="shared" si="9"/>
        <v>293</v>
      </c>
      <c r="C295" s="11" t="s">
        <v>1018</v>
      </c>
      <c r="D295" s="12" t="s">
        <v>1019</v>
      </c>
    </row>
    <row r="296" spans="2:4" x14ac:dyDescent="0.45">
      <c r="B296" s="5">
        <f>ROW(B296)-2</f>
        <v>294</v>
      </c>
      <c r="C296" s="1" t="s">
        <v>172</v>
      </c>
      <c r="D296" s="6" t="s">
        <v>172</v>
      </c>
    </row>
    <row r="297" spans="2:4" x14ac:dyDescent="0.45">
      <c r="B297" s="10">
        <f t="shared" si="9"/>
        <v>295</v>
      </c>
      <c r="C297" s="11" t="s">
        <v>1020</v>
      </c>
      <c r="D297" s="12" t="s">
        <v>1021</v>
      </c>
    </row>
    <row r="298" spans="2:4" x14ac:dyDescent="0.45">
      <c r="B298" s="10">
        <f t="shared" si="9"/>
        <v>296</v>
      </c>
      <c r="C298" s="11" t="s">
        <v>1022</v>
      </c>
      <c r="D298" s="12" t="s">
        <v>1023</v>
      </c>
    </row>
    <row r="299" spans="2:4" x14ac:dyDescent="0.45">
      <c r="B299" s="10">
        <f t="shared" si="9"/>
        <v>297</v>
      </c>
      <c r="C299" s="11" t="s">
        <v>1024</v>
      </c>
      <c r="D299" s="12" t="s">
        <v>1025</v>
      </c>
    </row>
    <row r="300" spans="2:4" x14ac:dyDescent="0.45">
      <c r="B300" s="10">
        <f t="shared" si="9"/>
        <v>298</v>
      </c>
      <c r="C300" s="11" t="s">
        <v>1026</v>
      </c>
      <c r="D300" s="12" t="s">
        <v>169</v>
      </c>
    </row>
    <row r="301" spans="2:4" x14ac:dyDescent="0.45">
      <c r="B301" s="10">
        <f t="shared" si="9"/>
        <v>299</v>
      </c>
      <c r="C301" s="11" t="s">
        <v>1027</v>
      </c>
      <c r="D301" s="12" t="s">
        <v>81</v>
      </c>
    </row>
    <row r="302" spans="2:4" x14ac:dyDescent="0.45">
      <c r="B302" s="10">
        <f t="shared" si="9"/>
        <v>300</v>
      </c>
      <c r="C302" s="11" t="s">
        <v>1028</v>
      </c>
      <c r="D302" s="12" t="s">
        <v>160</v>
      </c>
    </row>
    <row r="303" spans="2:4" x14ac:dyDescent="0.45">
      <c r="B303" s="10">
        <f t="shared" si="9"/>
        <v>301</v>
      </c>
      <c r="C303" s="11" t="s">
        <v>1029</v>
      </c>
      <c r="D303" s="12" t="s">
        <v>78</v>
      </c>
    </row>
    <row r="304" spans="2:4" x14ac:dyDescent="0.45">
      <c r="B304" s="10">
        <f t="shared" si="9"/>
        <v>302</v>
      </c>
      <c r="C304" s="11" t="s">
        <v>1030</v>
      </c>
      <c r="D304" s="12" t="s">
        <v>1031</v>
      </c>
    </row>
    <row r="305" spans="2:4" x14ac:dyDescent="0.45">
      <c r="B305" s="10">
        <f t="shared" ref="B305:B319" si="10">ROW(B305)-2</f>
        <v>303</v>
      </c>
      <c r="C305" s="11" t="s">
        <v>1032</v>
      </c>
      <c r="D305" s="12" t="s">
        <v>158</v>
      </c>
    </row>
    <row r="306" spans="2:4" x14ac:dyDescent="0.45">
      <c r="B306" s="10">
        <f t="shared" si="10"/>
        <v>304</v>
      </c>
      <c r="C306" s="11" t="s">
        <v>1033</v>
      </c>
      <c r="D306" s="12" t="s">
        <v>1034</v>
      </c>
    </row>
    <row r="307" spans="2:4" x14ac:dyDescent="0.45">
      <c r="B307" s="10">
        <f t="shared" si="10"/>
        <v>305</v>
      </c>
      <c r="C307" s="11" t="s">
        <v>1035</v>
      </c>
      <c r="D307" s="12" t="s">
        <v>1035</v>
      </c>
    </row>
    <row r="308" spans="2:4" x14ac:dyDescent="0.45">
      <c r="B308" s="10">
        <f t="shared" si="10"/>
        <v>306</v>
      </c>
      <c r="C308" s="11" t="s">
        <v>1036</v>
      </c>
      <c r="D308" s="12" t="s">
        <v>1037</v>
      </c>
    </row>
    <row r="309" spans="2:4" x14ac:dyDescent="0.45">
      <c r="B309" s="10">
        <f t="shared" si="10"/>
        <v>307</v>
      </c>
      <c r="C309" s="11" t="s">
        <v>1038</v>
      </c>
      <c r="D309" s="12" t="s">
        <v>1039</v>
      </c>
    </row>
    <row r="310" spans="2:4" x14ac:dyDescent="0.45">
      <c r="B310" s="5">
        <f>ROW(B310)-2</f>
        <v>308</v>
      </c>
      <c r="C310" s="1" t="s">
        <v>109</v>
      </c>
      <c r="D310" s="1" t="s">
        <v>109</v>
      </c>
    </row>
    <row r="311" spans="2:4" x14ac:dyDescent="0.45">
      <c r="B311" s="10">
        <f t="shared" si="10"/>
        <v>309</v>
      </c>
      <c r="C311" s="11" t="s">
        <v>1040</v>
      </c>
      <c r="D311" s="12" t="s">
        <v>1041</v>
      </c>
    </row>
    <row r="312" spans="2:4" x14ac:dyDescent="0.45">
      <c r="B312" s="5">
        <f>ROW(B312)-2</f>
        <v>310</v>
      </c>
      <c r="C312" s="1" t="s">
        <v>1042</v>
      </c>
      <c r="D312" s="6" t="s">
        <v>58</v>
      </c>
    </row>
    <row r="313" spans="2:4" x14ac:dyDescent="0.45">
      <c r="B313" s="10">
        <f t="shared" si="10"/>
        <v>311</v>
      </c>
      <c r="C313" s="11" t="s">
        <v>1043</v>
      </c>
      <c r="D313" s="12" t="s">
        <v>1044</v>
      </c>
    </row>
    <row r="314" spans="2:4" x14ac:dyDescent="0.45">
      <c r="B314" s="10">
        <f t="shared" si="10"/>
        <v>312</v>
      </c>
      <c r="C314" s="11" t="s">
        <v>1045</v>
      </c>
      <c r="D314" s="12" t="s">
        <v>1046</v>
      </c>
    </row>
    <row r="315" spans="2:4" x14ac:dyDescent="0.45">
      <c r="B315" s="10">
        <f t="shared" si="10"/>
        <v>313</v>
      </c>
      <c r="C315" s="11" t="s">
        <v>1047</v>
      </c>
      <c r="D315" s="12" t="s">
        <v>135</v>
      </c>
    </row>
    <row r="316" spans="2:4" x14ac:dyDescent="0.45">
      <c r="B316" s="5">
        <f>ROW(B316)-2</f>
        <v>314</v>
      </c>
      <c r="C316" s="1" t="s">
        <v>1048</v>
      </c>
      <c r="D316" s="6" t="s">
        <v>88</v>
      </c>
    </row>
    <row r="317" spans="2:4" x14ac:dyDescent="0.45">
      <c r="B317" s="10">
        <f t="shared" si="10"/>
        <v>315</v>
      </c>
      <c r="C317" s="11" t="s">
        <v>1049</v>
      </c>
      <c r="D317" s="12" t="s">
        <v>125</v>
      </c>
    </row>
    <row r="318" spans="2:4" x14ac:dyDescent="0.45">
      <c r="B318" s="10">
        <f t="shared" si="10"/>
        <v>316</v>
      </c>
      <c r="C318" s="11" t="s">
        <v>1050</v>
      </c>
      <c r="D318" s="12" t="s">
        <v>98</v>
      </c>
    </row>
    <row r="319" spans="2:4" x14ac:dyDescent="0.45">
      <c r="B319" s="10">
        <f t="shared" si="10"/>
        <v>317</v>
      </c>
      <c r="C319" s="11" t="s">
        <v>1051</v>
      </c>
      <c r="D319" s="12" t="s">
        <v>1052</v>
      </c>
    </row>
    <row r="320" spans="2:4" x14ac:dyDescent="0.45">
      <c r="B320" s="5">
        <f>ROW(B320)-2</f>
        <v>318</v>
      </c>
      <c r="C320" s="1" t="s">
        <v>1053</v>
      </c>
      <c r="D320" s="6" t="s">
        <v>155</v>
      </c>
    </row>
    <row r="321" spans="2:6" x14ac:dyDescent="0.45">
      <c r="B321" s="10">
        <f t="shared" si="9"/>
        <v>319</v>
      </c>
      <c r="C321" s="11" t="s">
        <v>1054</v>
      </c>
      <c r="D321" s="12" t="s">
        <v>1055</v>
      </c>
    </row>
    <row r="322" spans="2:6" x14ac:dyDescent="0.45">
      <c r="B322" s="10">
        <f t="shared" ref="B322:B339" si="11">ROW(B322)-2</f>
        <v>320</v>
      </c>
      <c r="C322" s="11" t="s">
        <v>1056</v>
      </c>
      <c r="D322" s="12" t="s">
        <v>1057</v>
      </c>
    </row>
    <row r="323" spans="2:6" x14ac:dyDescent="0.45">
      <c r="B323" s="10">
        <f t="shared" si="11"/>
        <v>321</v>
      </c>
      <c r="C323" s="11" t="s">
        <v>1058</v>
      </c>
      <c r="D323" s="12" t="s">
        <v>1059</v>
      </c>
    </row>
    <row r="324" spans="2:6" x14ac:dyDescent="0.45">
      <c r="B324" s="10">
        <f t="shared" si="11"/>
        <v>322</v>
      </c>
      <c r="C324" s="11" t="s">
        <v>1060</v>
      </c>
      <c r="D324" s="12" t="s">
        <v>1061</v>
      </c>
    </row>
    <row r="325" spans="2:6" ht="14.25" customHeight="1" x14ac:dyDescent="0.6">
      <c r="B325" s="10">
        <f t="shared" si="11"/>
        <v>323</v>
      </c>
      <c r="C325" s="11" t="s">
        <v>1062</v>
      </c>
      <c r="D325" s="12" t="s">
        <v>1063</v>
      </c>
      <c r="F325" s="70"/>
    </row>
    <row r="326" spans="2:6" ht="14.25" customHeight="1" x14ac:dyDescent="0.6">
      <c r="B326" s="10">
        <f t="shared" ref="B326:B331" si="12">ROW(B326)-2</f>
        <v>324</v>
      </c>
      <c r="C326" s="11" t="s">
        <v>1064</v>
      </c>
      <c r="D326" s="12" t="s">
        <v>1065</v>
      </c>
      <c r="F326" s="70"/>
    </row>
    <row r="327" spans="2:6" x14ac:dyDescent="0.45">
      <c r="B327" s="10">
        <f t="shared" si="12"/>
        <v>325</v>
      </c>
      <c r="C327" s="11" t="s">
        <v>1066</v>
      </c>
      <c r="D327" s="12" t="s">
        <v>1067</v>
      </c>
    </row>
    <row r="328" spans="2:6" x14ac:dyDescent="0.45">
      <c r="B328" s="10">
        <f t="shared" si="12"/>
        <v>326</v>
      </c>
      <c r="C328" s="11" t="s">
        <v>1068</v>
      </c>
      <c r="D328" s="12" t="s">
        <v>1069</v>
      </c>
    </row>
    <row r="329" spans="2:6" x14ac:dyDescent="0.45">
      <c r="B329" s="10">
        <f t="shared" si="12"/>
        <v>327</v>
      </c>
      <c r="C329" s="11" t="s">
        <v>1070</v>
      </c>
      <c r="D329" s="12" t="s">
        <v>1071</v>
      </c>
    </row>
    <row r="330" spans="2:6" x14ac:dyDescent="0.45">
      <c r="B330" s="10">
        <f t="shared" si="12"/>
        <v>328</v>
      </c>
      <c r="C330" s="11" t="s">
        <v>1072</v>
      </c>
      <c r="D330" s="12" t="s">
        <v>62</v>
      </c>
    </row>
    <row r="331" spans="2:6" x14ac:dyDescent="0.45">
      <c r="B331" s="10">
        <f t="shared" si="12"/>
        <v>329</v>
      </c>
      <c r="C331" s="11" t="s">
        <v>1073</v>
      </c>
      <c r="D331" s="12" t="s">
        <v>89</v>
      </c>
    </row>
    <row r="332" spans="2:6" x14ac:dyDescent="0.45">
      <c r="B332" s="10">
        <f t="shared" si="11"/>
        <v>330</v>
      </c>
      <c r="C332" s="11" t="s">
        <v>1074</v>
      </c>
      <c r="D332" s="12" t="s">
        <v>1075</v>
      </c>
    </row>
    <row r="333" spans="2:6" x14ac:dyDescent="0.45">
      <c r="B333" s="10">
        <f t="shared" si="11"/>
        <v>331</v>
      </c>
      <c r="C333" s="11" t="s">
        <v>1076</v>
      </c>
      <c r="D333" s="12" t="s">
        <v>1077</v>
      </c>
    </row>
    <row r="334" spans="2:6" x14ac:dyDescent="0.45">
      <c r="B334" s="10">
        <f t="shared" si="11"/>
        <v>332</v>
      </c>
      <c r="C334" s="11" t="s">
        <v>1078</v>
      </c>
      <c r="D334" s="12" t="s">
        <v>1078</v>
      </c>
    </row>
    <row r="335" spans="2:6" x14ac:dyDescent="0.45">
      <c r="B335" s="10">
        <f t="shared" si="11"/>
        <v>333</v>
      </c>
      <c r="C335" s="11" t="s">
        <v>121</v>
      </c>
      <c r="D335" s="11" t="s">
        <v>121</v>
      </c>
    </row>
    <row r="336" spans="2:6" x14ac:dyDescent="0.45">
      <c r="B336" s="10">
        <f t="shared" si="11"/>
        <v>334</v>
      </c>
      <c r="C336" s="11" t="s">
        <v>1079</v>
      </c>
      <c r="D336" s="12" t="s">
        <v>142</v>
      </c>
    </row>
    <row r="337" spans="2:4" x14ac:dyDescent="0.45">
      <c r="B337" s="10">
        <f t="shared" si="11"/>
        <v>335</v>
      </c>
      <c r="C337" s="11"/>
      <c r="D337" s="12"/>
    </row>
    <row r="338" spans="2:4" x14ac:dyDescent="0.45">
      <c r="B338" s="10">
        <f t="shared" si="11"/>
        <v>336</v>
      </c>
      <c r="C338" s="11"/>
      <c r="D338" s="12"/>
    </row>
    <row r="339" spans="2:4" x14ac:dyDescent="0.45">
      <c r="B339" s="10">
        <f t="shared" si="11"/>
        <v>337</v>
      </c>
      <c r="C339" s="11"/>
      <c r="D339" s="12"/>
    </row>
    <row r="340" spans="2:4" x14ac:dyDescent="0.45">
      <c r="B340" s="10">
        <f t="shared" ref="B340" si="13">ROW(B340)-2</f>
        <v>338</v>
      </c>
      <c r="C340" s="11"/>
      <c r="D340" s="12"/>
    </row>
    <row r="346" spans="2:4" x14ac:dyDescent="0.45">
      <c r="B346" s="143" t="s">
        <v>566</v>
      </c>
      <c r="C346" s="143" t="s">
        <v>1080</v>
      </c>
      <c r="D346" s="143" t="s">
        <v>54</v>
      </c>
    </row>
    <row r="347" spans="2:4" x14ac:dyDescent="0.45">
      <c r="B347" s="147">
        <f>ROW(B347)-330</f>
        <v>17</v>
      </c>
      <c r="C347" s="145" t="s">
        <v>1081</v>
      </c>
      <c r="D347" s="145" t="s">
        <v>64</v>
      </c>
    </row>
    <row r="348" spans="2:4" x14ac:dyDescent="0.45">
      <c r="B348" s="147">
        <f t="shared" ref="B348:B383" si="14">ROW(B348)-330</f>
        <v>18</v>
      </c>
      <c r="C348" s="145" t="s">
        <v>167</v>
      </c>
      <c r="D348" s="145" t="s">
        <v>167</v>
      </c>
    </row>
    <row r="349" spans="2:4" x14ac:dyDescent="0.45">
      <c r="B349" s="147">
        <f t="shared" si="14"/>
        <v>19</v>
      </c>
      <c r="C349" s="145" t="s">
        <v>1082</v>
      </c>
      <c r="D349" s="145" t="s">
        <v>124</v>
      </c>
    </row>
    <row r="350" spans="2:4" x14ac:dyDescent="0.45">
      <c r="B350" s="147">
        <f t="shared" si="14"/>
        <v>20</v>
      </c>
      <c r="C350" s="146" t="s">
        <v>1083</v>
      </c>
      <c r="D350" s="146" t="s">
        <v>605</v>
      </c>
    </row>
    <row r="351" spans="2:4" x14ac:dyDescent="0.45">
      <c r="B351" s="147">
        <f t="shared" si="14"/>
        <v>21</v>
      </c>
      <c r="C351" s="146" t="s">
        <v>134</v>
      </c>
      <c r="D351" s="146" t="s">
        <v>134</v>
      </c>
    </row>
    <row r="352" spans="2:4" x14ac:dyDescent="0.45">
      <c r="B352" s="147">
        <f t="shared" si="14"/>
        <v>22</v>
      </c>
      <c r="C352" s="145" t="s">
        <v>1084</v>
      </c>
      <c r="D352" s="145" t="s">
        <v>1084</v>
      </c>
    </row>
    <row r="353" spans="2:4" x14ac:dyDescent="0.45">
      <c r="B353" s="147">
        <f t="shared" si="14"/>
        <v>23</v>
      </c>
      <c r="C353" s="146" t="s">
        <v>1085</v>
      </c>
      <c r="D353" s="146" t="s">
        <v>1086</v>
      </c>
    </row>
    <row r="354" spans="2:4" x14ac:dyDescent="0.45">
      <c r="B354" s="147">
        <f t="shared" si="14"/>
        <v>24</v>
      </c>
      <c r="C354" s="145" t="s">
        <v>1087</v>
      </c>
      <c r="D354" s="145" t="s">
        <v>1088</v>
      </c>
    </row>
    <row r="355" spans="2:4" x14ac:dyDescent="0.45">
      <c r="B355" s="147"/>
      <c r="C355" s="145" t="s">
        <v>166</v>
      </c>
      <c r="D355" s="145" t="s">
        <v>166</v>
      </c>
    </row>
    <row r="356" spans="2:4" x14ac:dyDescent="0.45">
      <c r="B356" s="147">
        <f t="shared" si="14"/>
        <v>26</v>
      </c>
      <c r="C356" s="146" t="s">
        <v>1089</v>
      </c>
      <c r="D356" s="146" t="s">
        <v>1089</v>
      </c>
    </row>
    <row r="357" spans="2:4" x14ac:dyDescent="0.45">
      <c r="B357" s="147">
        <f t="shared" si="14"/>
        <v>27</v>
      </c>
      <c r="C357" s="145" t="s">
        <v>1090</v>
      </c>
      <c r="D357" s="145" t="s">
        <v>1091</v>
      </c>
    </row>
    <row r="358" spans="2:4" x14ac:dyDescent="0.45">
      <c r="B358" s="147">
        <f t="shared" si="14"/>
        <v>28</v>
      </c>
      <c r="C358" s="146" t="s">
        <v>1092</v>
      </c>
      <c r="D358" s="146" t="s">
        <v>1093</v>
      </c>
    </row>
    <row r="359" spans="2:4" x14ac:dyDescent="0.45">
      <c r="B359" s="147">
        <f t="shared" si="14"/>
        <v>29</v>
      </c>
      <c r="C359" s="145" t="s">
        <v>1094</v>
      </c>
      <c r="D359" s="145" t="s">
        <v>116</v>
      </c>
    </row>
    <row r="360" spans="2:4" x14ac:dyDescent="0.45">
      <c r="B360" s="147">
        <f t="shared" si="14"/>
        <v>30</v>
      </c>
      <c r="C360" s="146" t="s">
        <v>1095</v>
      </c>
      <c r="D360" s="146" t="s">
        <v>168</v>
      </c>
    </row>
    <row r="361" spans="2:4" x14ac:dyDescent="0.45">
      <c r="B361" s="147">
        <f t="shared" si="14"/>
        <v>31</v>
      </c>
      <c r="C361" s="145" t="s">
        <v>1096</v>
      </c>
      <c r="D361" s="145" t="s">
        <v>1097</v>
      </c>
    </row>
    <row r="362" spans="2:4" x14ac:dyDescent="0.45">
      <c r="B362" s="147">
        <f t="shared" si="14"/>
        <v>32</v>
      </c>
      <c r="C362" s="146" t="s">
        <v>1098</v>
      </c>
      <c r="D362" s="146" t="s">
        <v>1098</v>
      </c>
    </row>
    <row r="363" spans="2:4" x14ac:dyDescent="0.45">
      <c r="B363" s="147">
        <f t="shared" si="14"/>
        <v>33</v>
      </c>
      <c r="C363" s="145" t="s">
        <v>1099</v>
      </c>
      <c r="D363" s="145" t="s">
        <v>1100</v>
      </c>
    </row>
    <row r="364" spans="2:4" x14ac:dyDescent="0.45">
      <c r="B364" s="147">
        <f t="shared" si="14"/>
        <v>34</v>
      </c>
      <c r="C364" s="146" t="s">
        <v>927</v>
      </c>
      <c r="D364" s="146" t="s">
        <v>928</v>
      </c>
    </row>
    <row r="365" spans="2:4" x14ac:dyDescent="0.45">
      <c r="B365" s="147">
        <f t="shared" si="14"/>
        <v>35</v>
      </c>
      <c r="C365" s="145" t="s">
        <v>1101</v>
      </c>
      <c r="D365" s="145" t="s">
        <v>1102</v>
      </c>
    </row>
    <row r="366" spans="2:4" x14ac:dyDescent="0.45">
      <c r="B366" s="147">
        <f t="shared" si="14"/>
        <v>36</v>
      </c>
      <c r="C366" s="146" t="s">
        <v>1103</v>
      </c>
      <c r="D366" s="146" t="s">
        <v>1104</v>
      </c>
    </row>
    <row r="367" spans="2:4" x14ac:dyDescent="0.45">
      <c r="B367" s="147">
        <f t="shared" si="14"/>
        <v>37</v>
      </c>
      <c r="C367" s="145" t="s">
        <v>1105</v>
      </c>
      <c r="D367" s="145" t="s">
        <v>1106</v>
      </c>
    </row>
    <row r="368" spans="2:4" x14ac:dyDescent="0.45">
      <c r="B368" s="147">
        <f t="shared" si="14"/>
        <v>38</v>
      </c>
      <c r="C368" s="146" t="s">
        <v>1107</v>
      </c>
      <c r="D368" s="146" t="s">
        <v>1108</v>
      </c>
    </row>
    <row r="369" spans="2:4" x14ac:dyDescent="0.45">
      <c r="B369" s="147">
        <f t="shared" si="14"/>
        <v>39</v>
      </c>
      <c r="C369" s="145" t="s">
        <v>1109</v>
      </c>
      <c r="D369" s="145" t="s">
        <v>1110</v>
      </c>
    </row>
    <row r="370" spans="2:4" x14ac:dyDescent="0.45">
      <c r="B370" s="147">
        <f t="shared" si="14"/>
        <v>40</v>
      </c>
      <c r="C370" s="146" t="s">
        <v>1111</v>
      </c>
      <c r="D370" s="146" t="s">
        <v>1112</v>
      </c>
    </row>
    <row r="371" spans="2:4" x14ac:dyDescent="0.45">
      <c r="B371" s="147">
        <f t="shared" si="14"/>
        <v>41</v>
      </c>
      <c r="C371" s="146" t="s">
        <v>1113</v>
      </c>
      <c r="D371" s="146" t="s">
        <v>92</v>
      </c>
    </row>
    <row r="372" spans="2:4" x14ac:dyDescent="0.45">
      <c r="B372" s="147"/>
      <c r="C372" s="146" t="s">
        <v>1114</v>
      </c>
      <c r="D372" s="146" t="s">
        <v>148</v>
      </c>
    </row>
    <row r="373" spans="2:4" x14ac:dyDescent="0.45">
      <c r="B373" s="147">
        <f t="shared" si="14"/>
        <v>43</v>
      </c>
      <c r="C373" s="145" t="s">
        <v>1115</v>
      </c>
      <c r="D373" s="145" t="s">
        <v>1116</v>
      </c>
    </row>
    <row r="374" spans="2:4" x14ac:dyDescent="0.45">
      <c r="B374" s="147">
        <f t="shared" si="14"/>
        <v>44</v>
      </c>
      <c r="C374" s="146" t="s">
        <v>1117</v>
      </c>
      <c r="D374" s="146" t="s">
        <v>1118</v>
      </c>
    </row>
    <row r="375" spans="2:4" x14ac:dyDescent="0.45">
      <c r="B375" s="147"/>
      <c r="C375" s="156" t="s">
        <v>1119</v>
      </c>
      <c r="D375" s="156" t="s">
        <v>150</v>
      </c>
    </row>
    <row r="376" spans="2:4" x14ac:dyDescent="0.45">
      <c r="B376" s="147">
        <f t="shared" si="14"/>
        <v>46</v>
      </c>
      <c r="C376" s="156" t="s">
        <v>141</v>
      </c>
      <c r="D376" s="156" t="s">
        <v>141</v>
      </c>
    </row>
    <row r="377" spans="2:4" x14ac:dyDescent="0.45">
      <c r="B377" s="147">
        <f t="shared" si="14"/>
        <v>47</v>
      </c>
      <c r="C377" s="144" t="s">
        <v>1120</v>
      </c>
      <c r="D377" s="144" t="s">
        <v>1121</v>
      </c>
    </row>
    <row r="378" spans="2:4" x14ac:dyDescent="0.45">
      <c r="B378" s="147">
        <f t="shared" si="14"/>
        <v>48</v>
      </c>
      <c r="C378" s="144" t="s">
        <v>1122</v>
      </c>
      <c r="D378" s="144" t="s">
        <v>146</v>
      </c>
    </row>
    <row r="379" spans="2:4" x14ac:dyDescent="0.45">
      <c r="B379" s="147">
        <f t="shared" si="14"/>
        <v>49</v>
      </c>
      <c r="C379" s="144" t="s">
        <v>145</v>
      </c>
      <c r="D379" s="144" t="s">
        <v>145</v>
      </c>
    </row>
    <row r="380" spans="2:4" x14ac:dyDescent="0.45">
      <c r="B380" s="147">
        <f t="shared" si="14"/>
        <v>50</v>
      </c>
      <c r="C380" s="144" t="s">
        <v>119</v>
      </c>
      <c r="D380" s="154" t="s">
        <v>119</v>
      </c>
    </row>
    <row r="381" spans="2:4" x14ac:dyDescent="0.45">
      <c r="B381" s="147">
        <f t="shared" si="14"/>
        <v>51</v>
      </c>
      <c r="C381" s="154" t="s">
        <v>147</v>
      </c>
      <c r="D381" s="154" t="s">
        <v>147</v>
      </c>
    </row>
    <row r="382" spans="2:4" x14ac:dyDescent="0.45">
      <c r="B382" s="147">
        <f t="shared" si="14"/>
        <v>52</v>
      </c>
      <c r="C382" s="154" t="s">
        <v>1123</v>
      </c>
      <c r="D382" s="154" t="s">
        <v>152</v>
      </c>
    </row>
    <row r="383" spans="2:4" x14ac:dyDescent="0.45">
      <c r="B383" s="147">
        <f t="shared" si="14"/>
        <v>53</v>
      </c>
      <c r="C383" s="146" t="s">
        <v>1124</v>
      </c>
      <c r="D383" s="146" t="s">
        <v>1125</v>
      </c>
    </row>
    <row r="384" spans="2:4" x14ac:dyDescent="0.45">
      <c r="B384" s="153"/>
      <c r="C384" s="153"/>
      <c r="D384" s="153"/>
    </row>
    <row r="528" spans="6:6" x14ac:dyDescent="0.45">
      <c r="F528" s="75"/>
    </row>
  </sheetData>
  <conditionalFormatting sqref="D336:D340 D311:D334 D264:D309 D2:D15 D228:D262 D138:D219 D17:D32 D221:D225 D34:D136">
    <cfRule type="duplicateValues" dxfId="0" priority="7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23971-1286-4BC0-AF86-53D4B491B593}">
  <dimension ref="B2:B9"/>
  <sheetViews>
    <sheetView workbookViewId="0">
      <selection activeCell="B3" sqref="B3"/>
    </sheetView>
  </sheetViews>
  <sheetFormatPr defaultRowHeight="14.25" x14ac:dyDescent="0.45"/>
  <cols>
    <col min="1" max="1" width="2.3984375" customWidth="1"/>
    <col min="2" max="2" width="22" customWidth="1"/>
  </cols>
  <sheetData>
    <row r="2" spans="2:2" x14ac:dyDescent="0.45">
      <c r="B2" s="63" t="s">
        <v>1126</v>
      </c>
    </row>
    <row r="3" spans="2:2" x14ac:dyDescent="0.45">
      <c r="B3" s="69" t="str" cm="1">
        <f t="array" ref="B3:B9">_xlfn.UNIQUE(_xlfn._xlws.SORT((TRANSPOSE('Quote Exports'!E7:AW7))))</f>
        <v>ATEA Turkey</v>
      </c>
    </row>
    <row r="4" spans="2:2" x14ac:dyDescent="0.45">
      <c r="B4" t="str">
        <v>Condepols</v>
      </c>
    </row>
    <row r="5" spans="2:2" x14ac:dyDescent="0.45">
      <c r="B5" t="str">
        <v>Desabag</v>
      </c>
    </row>
    <row r="6" spans="2:2" x14ac:dyDescent="0.45">
      <c r="B6" t="str">
        <v>ISP Korea</v>
      </c>
    </row>
    <row r="7" spans="2:2" x14ac:dyDescent="0.45">
      <c r="B7" t="str">
        <v>Procon</v>
      </c>
    </row>
    <row r="8" spans="2:2" x14ac:dyDescent="0.45">
      <c r="B8" t="str">
        <v>Safesack Scand</v>
      </c>
    </row>
    <row r="9" spans="2:2" x14ac:dyDescent="0.45">
      <c r="B9">
        <v>0</v>
      </c>
    </row>
  </sheetData>
  <sheetProtection algorithmName="SHA-512" hashValue="N1kHLoWaCdW0LXrTYssrrUaeBCSMalINkGQFygDnBqcbU/QQhHtTUel/zrs5ColDTysaiNKnEWlMo7MdoTlEGA==" saltValue="W8KQi8W+CjcwZr4LyzK3B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Quote Exports</vt:lpstr>
      <vt:lpstr>Filter CstWs DtWs</vt:lpstr>
      <vt:lpstr>Z Ad Star Bag</vt:lpstr>
      <vt:lpstr>Working</vt:lpstr>
      <vt:lpstr>Master</vt:lpstr>
      <vt:lpstr>RM Prices</vt:lpstr>
      <vt:lpstr>Cust Master</vt:lpstr>
      <vt:lpstr>Master1</vt:lpstr>
      <vt:lpstr>Domestic</vt:lpstr>
      <vt:lpstr>Export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Anil Goyal</dc:creator>
  <cp:keywords/>
  <dc:description/>
  <cp:lastModifiedBy>Anil  Goyal</cp:lastModifiedBy>
  <cp:revision/>
  <dcterms:created xsi:type="dcterms:W3CDTF">2023-01-23T20:55:41Z</dcterms:created>
  <dcterms:modified xsi:type="dcterms:W3CDTF">2026-05-25T05:51:11Z</dcterms:modified>
  <cp:category/>
  <cp:contentStatus/>
</cp:coreProperties>
</file>