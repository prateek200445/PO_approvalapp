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IMPAL DATA\HPBL WORK 24-25\INTER CO RECO\HPBL TO ALL INTER CO RECO 30.09.2026\HPBL TO KPW\"/>
    </mc:Choice>
  </mc:AlternateContent>
  <xr:revisionPtr revIDLastSave="0" documentId="13_ncr:1_{6086FF10-33BF-415B-A974-EC13028F3FDD}" xr6:coauthVersionLast="47" xr6:coauthVersionMax="47" xr10:uidLastSave="{00000000-0000-0000-0000-000000000000}"/>
  <bookViews>
    <workbookView xWindow="-110" yWindow="-110" windowWidth="19420" windowHeight="10300" xr2:uid="{CFE41A2C-2304-47D9-AEC8-6DAB31C73CF3}"/>
  </bookViews>
  <sheets>
    <sheet name="TB" sheetId="2" r:id="rId1"/>
    <sheet name="RECONCILIATION 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1" i="2" l="1"/>
  <c r="H47" i="1"/>
  <c r="G47" i="1"/>
  <c r="F21" i="2"/>
  <c r="E21" i="2"/>
  <c r="E20" i="2"/>
  <c r="E10" i="2"/>
  <c r="H1" i="1"/>
  <c r="G1" i="1"/>
  <c r="I37" i="1"/>
  <c r="J37" i="1" s="1"/>
  <c r="I47" i="1" l="1"/>
  <c r="I1" i="1"/>
</calcChain>
</file>

<file path=xl/sharedStrings.xml><?xml version="1.0" encoding="utf-8"?>
<sst xmlns="http://schemas.openxmlformats.org/spreadsheetml/2006/main" count="273" uniqueCount="91">
  <si>
    <t>Company</t>
  </si>
  <si>
    <t>Date</t>
  </si>
  <si>
    <t>Particulars</t>
  </si>
  <si>
    <t>Voucher Type</t>
  </si>
  <si>
    <t>Voucher No</t>
  </si>
  <si>
    <t>Voucher Ref</t>
  </si>
  <si>
    <t>Debit (INR)</t>
  </si>
  <si>
    <t>Credit (INR)</t>
  </si>
  <si>
    <t>Closing</t>
  </si>
  <si>
    <t>HPBL CR</t>
  </si>
  <si>
    <t>DIFF</t>
  </si>
  <si>
    <t>K.P. WOVEN PRIVATE LIMITED</t>
  </si>
  <si>
    <t>Sales - Within State  Manufactured Goods</t>
  </si>
  <si>
    <t>Sales</t>
  </si>
  <si>
    <t>Sales - Within State - Traded Goods</t>
  </si>
  <si>
    <t>KPW1 TO HPBL VADODARA SALES</t>
  </si>
  <si>
    <t>ENTRY PENDING IN HPBL VADODARA</t>
  </si>
  <si>
    <t>HCP Plastene Bulkpack ltd (Vadodara)</t>
  </si>
  <si>
    <t>HPBL VADODARA TO KPW1 SALES</t>
  </si>
  <si>
    <t>Bank Payment</t>
  </si>
  <si>
    <t>Purchase Withinstate - Raw Material</t>
  </si>
  <si>
    <t>R.M.P.</t>
  </si>
  <si>
    <t>RM 357</t>
  </si>
  <si>
    <t>HPBLV/D/42</t>
  </si>
  <si>
    <t>RM 371</t>
  </si>
  <si>
    <t>HPBLV/D/43</t>
  </si>
  <si>
    <t>RM 401</t>
  </si>
  <si>
    <t>HPBLV/D/45</t>
  </si>
  <si>
    <t>General Purchase</t>
  </si>
  <si>
    <t>RM 434</t>
  </si>
  <si>
    <t>HPBLV/D/51</t>
  </si>
  <si>
    <t>RM 439</t>
  </si>
  <si>
    <t>HPBLV/D/52</t>
  </si>
  <si>
    <t>RM 447</t>
  </si>
  <si>
    <t>HPBLV/D/57</t>
  </si>
  <si>
    <t>RM 473</t>
  </si>
  <si>
    <t>HPBLV/D/58</t>
  </si>
  <si>
    <t>RM 541</t>
  </si>
  <si>
    <t>HPBLV/D/65</t>
  </si>
  <si>
    <t>KPW1 TO HPBL VADODARA PURCHASE</t>
  </si>
  <si>
    <t>AMOUNT MISMATCH</t>
  </si>
  <si>
    <t>KPW DR</t>
  </si>
  <si>
    <t>RM 384</t>
  </si>
  <si>
    <t>KPV/D/765</t>
  </si>
  <si>
    <t>ENTRY PENDING IN KPW1</t>
  </si>
  <si>
    <t>HPBL1 TO KPW1 PURCHASE</t>
  </si>
  <si>
    <t>RM 405</t>
  </si>
  <si>
    <t>KPV/D/800</t>
  </si>
  <si>
    <t>HCP Plastene Bulkpack Ltd</t>
  </si>
  <si>
    <t>ENTRY PENDING IN HPBL1</t>
  </si>
  <si>
    <t>Internal Transfer</t>
  </si>
  <si>
    <t>KPW1 TO HPBL1 SALES</t>
  </si>
  <si>
    <t>KPW CR</t>
  </si>
  <si>
    <t>HPBL1 TO KPW1 SALES</t>
  </si>
  <si>
    <t>ENTRY PENDING IN HPBL4</t>
  </si>
  <si>
    <t>KPW1 TO HPBL4 SALES</t>
  </si>
  <si>
    <t>Bank Cash Credit BOM 60461173925</t>
  </si>
  <si>
    <t>MAHBR52026092525167561</t>
  </si>
  <si>
    <t>MAHBR52026092525167563</t>
  </si>
  <si>
    <t>HPBL1 TO KPW3 PURCHASE</t>
  </si>
  <si>
    <t>REMARKS</t>
  </si>
  <si>
    <t>KPW AMT</t>
  </si>
  <si>
    <t>HPBL AMT</t>
  </si>
  <si>
    <t>Particular</t>
  </si>
  <si>
    <t>Opening</t>
  </si>
  <si>
    <t>Debit</t>
  </si>
  <si>
    <t>Credit</t>
  </si>
  <si>
    <t>KPW1</t>
  </si>
  <si>
    <t>KPW2 NANICHIRAIL</t>
  </si>
  <si>
    <t>KPW2</t>
  </si>
  <si>
    <t>KPW3</t>
  </si>
  <si>
    <t>HCP Plastene Bulkpack Limited - Sales</t>
  </si>
  <si>
    <t>Hcp Plastene Bulkpack Ltd (Unit Iv) - Sales</t>
  </si>
  <si>
    <t>HCP Plastene Bulkpack Ltd (Unit-III) - Sales</t>
  </si>
  <si>
    <t>Hcp Plastene Bulkpack Ltd Vadodara-Sales</t>
  </si>
  <si>
    <t>HCP Plastene Bulkpack Limited - Purchase</t>
  </si>
  <si>
    <t>HCP Plastene Bulkpack Ltd (Unit-III) - Purchase</t>
  </si>
  <si>
    <t>Hcp Plastene Bulkpack Ltd (Unit-Iv) - Purchase</t>
  </si>
  <si>
    <t>Hcp Plastene Bulkpack Ltd Vadodara Purchase</t>
  </si>
  <si>
    <t>HPBL1</t>
  </si>
  <si>
    <t>HPBL2</t>
  </si>
  <si>
    <t>HPBL3</t>
  </si>
  <si>
    <t>HPBL4</t>
  </si>
  <si>
    <t>HPBL VADODARA</t>
  </si>
  <si>
    <t>K.P. Woven Pvt Ltd - Unit 2 -Sales</t>
  </si>
  <si>
    <t>K.P. Woven Pvt Ltd - Unit 3 -Sales</t>
  </si>
  <si>
    <t>K.P. Woven Pvt Ltd-Sales</t>
  </si>
  <si>
    <t>K.P. Woven Pvt Ltd - Unit 2 -Purchase</t>
  </si>
  <si>
    <t>K.P. Woven Pvt Ltd - Unit 3 -Purchase</t>
  </si>
  <si>
    <t>K.P. Woven Pvt Ltd-Purchase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</si>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</sst>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0" xfId="0" applyAlignment="1">
      <alignment horizontal="left"/>
    </xf>
    <xf numFmtId="0" fontId="2" fillId="3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DIMPAL%20DATA\HPBL%20WORK%2024-25\INTER%20CO%20RECO\HPBL%20TO%20ALL%20INTER%20CO%20RECO%2030.09.2026\HPBL%20TO%20KPW\KPW1%20TO%20HPBL1\KPW1%20TO%20HPBL1%20SALES.xlsx" TargetMode="External"/><Relationship Id="rId1" Type="http://schemas.openxmlformats.org/officeDocument/2006/relationships/externalLinkPath" Target="KPW1%20TO%20HPBL1/KPW1%20TO%20HPBL1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E1" t="str">
            <v>Voucher No</v>
          </cell>
          <cell r="F1" t="str">
            <v>Voucher Ref</v>
          </cell>
          <cell r="G1" t="str">
            <v>Debit (INR)</v>
          </cell>
        </row>
        <row r="2">
          <cell r="G2">
            <v>42723370.759999998</v>
          </cell>
        </row>
        <row r="3">
          <cell r="E3">
            <v>2</v>
          </cell>
          <cell r="G3">
            <v>53301.36</v>
          </cell>
        </row>
        <row r="4">
          <cell r="E4">
            <v>3</v>
          </cell>
          <cell r="G4">
            <v>40746.239999999998</v>
          </cell>
        </row>
        <row r="5">
          <cell r="E5">
            <v>1354</v>
          </cell>
          <cell r="G5">
            <v>0</v>
          </cell>
        </row>
        <row r="6">
          <cell r="E6">
            <v>29</v>
          </cell>
          <cell r="G6">
            <v>4457438.24</v>
          </cell>
        </row>
        <row r="7">
          <cell r="E7">
            <v>35</v>
          </cell>
          <cell r="G7">
            <v>5407746.79</v>
          </cell>
        </row>
        <row r="8">
          <cell r="E8">
            <v>40</v>
          </cell>
          <cell r="G8">
            <v>24900.48</v>
          </cell>
        </row>
        <row r="9">
          <cell r="E9">
            <v>52</v>
          </cell>
          <cell r="G9">
            <v>5409254.7800000003</v>
          </cell>
        </row>
        <row r="10">
          <cell r="E10">
            <v>53</v>
          </cell>
          <cell r="G10">
            <v>5296139.9400000004</v>
          </cell>
        </row>
        <row r="11">
          <cell r="E11">
            <v>72</v>
          </cell>
          <cell r="G11">
            <v>3894296.39</v>
          </cell>
        </row>
        <row r="12">
          <cell r="E12">
            <v>95</v>
          </cell>
          <cell r="G12">
            <v>58289.760000000002</v>
          </cell>
        </row>
        <row r="13">
          <cell r="E13">
            <v>102</v>
          </cell>
          <cell r="G13">
            <v>333436.03000000003</v>
          </cell>
        </row>
        <row r="14">
          <cell r="E14">
            <v>108</v>
          </cell>
          <cell r="G14">
            <v>5371934.9699999997</v>
          </cell>
        </row>
        <row r="15">
          <cell r="E15">
            <v>129</v>
          </cell>
          <cell r="F15" t="str">
            <v>MAHBR52026042723750853</v>
          </cell>
          <cell r="G15">
            <v>0</v>
          </cell>
        </row>
        <row r="16">
          <cell r="E16">
            <v>130</v>
          </cell>
          <cell r="F16" t="str">
            <v>MAHBR52026042723744730</v>
          </cell>
          <cell r="G16">
            <v>0</v>
          </cell>
        </row>
        <row r="17">
          <cell r="E17">
            <v>131</v>
          </cell>
          <cell r="F17" t="str">
            <v>MAHBR52026042723744731</v>
          </cell>
          <cell r="G17">
            <v>0</v>
          </cell>
        </row>
        <row r="18">
          <cell r="E18">
            <v>132</v>
          </cell>
          <cell r="F18" t="str">
            <v>MAHBR52026042723744729</v>
          </cell>
          <cell r="G18">
            <v>0</v>
          </cell>
        </row>
        <row r="19">
          <cell r="E19">
            <v>133</v>
          </cell>
          <cell r="F19" t="str">
            <v>MAHBR52026042723744728</v>
          </cell>
          <cell r="G19">
            <v>0</v>
          </cell>
        </row>
        <row r="20">
          <cell r="E20">
            <v>134</v>
          </cell>
          <cell r="F20" t="str">
            <v>MAHBR52026042723744680</v>
          </cell>
          <cell r="G20">
            <v>0</v>
          </cell>
        </row>
        <row r="21">
          <cell r="E21">
            <v>117</v>
          </cell>
          <cell r="G21">
            <v>683333.72</v>
          </cell>
        </row>
        <row r="22">
          <cell r="E22">
            <v>118</v>
          </cell>
          <cell r="G22">
            <v>53196.480000000003</v>
          </cell>
        </row>
        <row r="23">
          <cell r="E23">
            <v>141</v>
          </cell>
          <cell r="F23" t="str">
            <v>MAHBR52026042923768429</v>
          </cell>
          <cell r="G23">
            <v>0</v>
          </cell>
        </row>
        <row r="24">
          <cell r="E24">
            <v>142</v>
          </cell>
          <cell r="F24" t="str">
            <v>MAHBR52026042923768428</v>
          </cell>
          <cell r="G24">
            <v>0</v>
          </cell>
        </row>
        <row r="25">
          <cell r="E25">
            <v>169</v>
          </cell>
          <cell r="G25">
            <v>114881.76</v>
          </cell>
        </row>
        <row r="26">
          <cell r="E26">
            <v>177</v>
          </cell>
          <cell r="G26">
            <v>424630.08</v>
          </cell>
        </row>
        <row r="27">
          <cell r="E27">
            <v>199</v>
          </cell>
          <cell r="G27">
            <v>21646.44</v>
          </cell>
        </row>
        <row r="28">
          <cell r="E28" t="str">
            <v>KPV/D/198</v>
          </cell>
          <cell r="G28">
            <v>5179975.37</v>
          </cell>
        </row>
        <row r="29">
          <cell r="E29">
            <v>218</v>
          </cell>
          <cell r="G29">
            <v>74100.320000000007</v>
          </cell>
        </row>
        <row r="30">
          <cell r="E30">
            <v>219</v>
          </cell>
          <cell r="G30">
            <v>9054.7199999999993</v>
          </cell>
        </row>
        <row r="31">
          <cell r="E31">
            <v>283</v>
          </cell>
          <cell r="F31" t="str">
            <v>MAHBR52026052824047147</v>
          </cell>
          <cell r="G31">
            <v>0</v>
          </cell>
        </row>
        <row r="32">
          <cell r="E32">
            <v>284</v>
          </cell>
          <cell r="F32" t="str">
            <v>MAHBR52026052824047149</v>
          </cell>
          <cell r="G32">
            <v>0</v>
          </cell>
        </row>
        <row r="33">
          <cell r="E33">
            <v>285</v>
          </cell>
          <cell r="F33" t="str">
            <v>MAHBR52026052824047148</v>
          </cell>
          <cell r="G33">
            <v>0</v>
          </cell>
        </row>
        <row r="34">
          <cell r="E34">
            <v>300</v>
          </cell>
          <cell r="F34" t="str">
            <v>RTGS-HCP PLASTENE BULKPACK L-MAHB-MAHBH26148045951</v>
          </cell>
          <cell r="G34">
            <v>0</v>
          </cell>
        </row>
        <row r="35">
          <cell r="E35">
            <v>301</v>
          </cell>
          <cell r="F35" t="str">
            <v>RTGS-HCP PLASTENE BULKPACK L-MAHB-MAHBH26148045975</v>
          </cell>
          <cell r="G35">
            <v>0</v>
          </cell>
        </row>
        <row r="36">
          <cell r="E36">
            <v>302</v>
          </cell>
          <cell r="F36" t="str">
            <v>RTGS-HCP PLASTENE BULKPACK L-MAHB-MAHBH26148045948</v>
          </cell>
          <cell r="G36">
            <v>0</v>
          </cell>
        </row>
        <row r="37">
          <cell r="E37">
            <v>303</v>
          </cell>
          <cell r="F37" t="str">
            <v>RTGS-HCP PLASTENE BULKPACK L-MAHB-MAHBH26148045954</v>
          </cell>
          <cell r="G37">
            <v>0</v>
          </cell>
        </row>
        <row r="38">
          <cell r="E38">
            <v>304</v>
          </cell>
          <cell r="F38" t="str">
            <v>RTGS-HCP PLASTENE BULKPACK L-MAHB-MAHBH26148045950</v>
          </cell>
          <cell r="G38">
            <v>0</v>
          </cell>
        </row>
        <row r="39">
          <cell r="E39">
            <v>305</v>
          </cell>
          <cell r="F39" t="str">
            <v>RTGS-HCP PLASTENE BULKPACK L-MAHB-MAHBH26148045949</v>
          </cell>
          <cell r="G39">
            <v>0</v>
          </cell>
        </row>
        <row r="40">
          <cell r="E40">
            <v>306</v>
          </cell>
          <cell r="F40" t="str">
            <v>RTGS-HCP PLASTENE BULKPACK L-MAHB-MAHBH26148045953</v>
          </cell>
          <cell r="G40">
            <v>0</v>
          </cell>
        </row>
        <row r="41">
          <cell r="E41">
            <v>307</v>
          </cell>
          <cell r="F41" t="str">
            <v>RTGS-HCP PLASTENE BULKPACK L-MAHB-MAHBH26148045947</v>
          </cell>
          <cell r="G41">
            <v>0</v>
          </cell>
        </row>
        <row r="42">
          <cell r="E42">
            <v>308</v>
          </cell>
          <cell r="F42" t="str">
            <v>RTGS-HCP PLASTENE BULKPACK L-MAHB-MAHBH26148045914</v>
          </cell>
          <cell r="G42">
            <v>0</v>
          </cell>
        </row>
        <row r="43">
          <cell r="E43">
            <v>309</v>
          </cell>
          <cell r="F43" t="str">
            <v>RTGS-HCP PLASTENE BULKPACK L-MAHB-MAHBH26148045952</v>
          </cell>
          <cell r="G43">
            <v>0</v>
          </cell>
        </row>
        <row r="44">
          <cell r="E44">
            <v>310</v>
          </cell>
          <cell r="F44" t="str">
            <v>RTGS-HCP PLASTENE BULKPACK L-MAHB-MAHBH26148045955</v>
          </cell>
          <cell r="G44">
            <v>0</v>
          </cell>
        </row>
        <row r="45">
          <cell r="E45">
            <v>311</v>
          </cell>
          <cell r="F45" t="str">
            <v>RTGS:HCP PLASTENE BULKPACK  MAHBR52026052824046266</v>
          </cell>
          <cell r="G45">
            <v>0</v>
          </cell>
        </row>
        <row r="46">
          <cell r="E46">
            <v>324</v>
          </cell>
          <cell r="F46" t="str">
            <v>MAHBR52026052824046270</v>
          </cell>
          <cell r="G46">
            <v>0</v>
          </cell>
        </row>
        <row r="47">
          <cell r="E47">
            <v>325</v>
          </cell>
          <cell r="F47" t="str">
            <v>MAHBR52026052824046269</v>
          </cell>
          <cell r="G47">
            <v>0</v>
          </cell>
        </row>
        <row r="48">
          <cell r="E48">
            <v>326</v>
          </cell>
          <cell r="F48" t="str">
            <v>MAHBR52026052824046244</v>
          </cell>
          <cell r="G48">
            <v>0</v>
          </cell>
        </row>
        <row r="49">
          <cell r="E49">
            <v>327</v>
          </cell>
          <cell r="F49" t="str">
            <v>MAHBR52026052824046272</v>
          </cell>
          <cell r="G49">
            <v>0</v>
          </cell>
        </row>
        <row r="50">
          <cell r="E50">
            <v>328</v>
          </cell>
          <cell r="F50" t="str">
            <v>MAHBR52026052824046267</v>
          </cell>
          <cell r="G50">
            <v>0</v>
          </cell>
        </row>
        <row r="51">
          <cell r="E51">
            <v>329</v>
          </cell>
          <cell r="F51" t="str">
            <v>MAHBR52026052824046268</v>
          </cell>
          <cell r="G51">
            <v>0</v>
          </cell>
        </row>
        <row r="52">
          <cell r="E52">
            <v>330</v>
          </cell>
          <cell r="F52" t="str">
            <v>MAHBR52026052824046271</v>
          </cell>
          <cell r="G52">
            <v>0</v>
          </cell>
        </row>
        <row r="53">
          <cell r="E53">
            <v>331</v>
          </cell>
          <cell r="F53" t="str">
            <v>MAHBR52026052824046247</v>
          </cell>
          <cell r="G53">
            <v>0</v>
          </cell>
        </row>
        <row r="54">
          <cell r="E54">
            <v>332</v>
          </cell>
          <cell r="F54" t="str">
            <v>MAHBR52026052824046246</v>
          </cell>
          <cell r="G54">
            <v>0</v>
          </cell>
        </row>
        <row r="55">
          <cell r="E55">
            <v>333</v>
          </cell>
          <cell r="F55" t="str">
            <v>MAHBR52026052824046245</v>
          </cell>
          <cell r="G55">
            <v>0</v>
          </cell>
        </row>
        <row r="56">
          <cell r="E56">
            <v>245</v>
          </cell>
          <cell r="G56">
            <v>7779463.5099999998</v>
          </cell>
        </row>
        <row r="57">
          <cell r="E57" t="str">
            <v>kpv/cr/26-27/4</v>
          </cell>
          <cell r="G57">
            <v>0</v>
          </cell>
        </row>
        <row r="58">
          <cell r="E58" t="str">
            <v>KPV/CR/26-27/6</v>
          </cell>
          <cell r="G58">
            <v>0</v>
          </cell>
        </row>
        <row r="59">
          <cell r="E59" t="str">
            <v>KPV/CR/26-27/7</v>
          </cell>
          <cell r="G59">
            <v>0</v>
          </cell>
        </row>
        <row r="60">
          <cell r="E60" t="str">
            <v>KPV/CR/26-27/8</v>
          </cell>
          <cell r="G60">
            <v>0</v>
          </cell>
        </row>
        <row r="61">
          <cell r="E61">
            <v>254</v>
          </cell>
          <cell r="G61">
            <v>75855.14</v>
          </cell>
        </row>
        <row r="62">
          <cell r="E62">
            <v>255</v>
          </cell>
          <cell r="G62">
            <v>509.33</v>
          </cell>
        </row>
        <row r="63">
          <cell r="E63" t="str">
            <v>KPV/D/251</v>
          </cell>
          <cell r="G63">
            <v>5539025.4800000004</v>
          </cell>
        </row>
        <row r="64">
          <cell r="E64">
            <v>256</v>
          </cell>
          <cell r="G64">
            <v>26915.87</v>
          </cell>
        </row>
        <row r="65">
          <cell r="E65">
            <v>257</v>
          </cell>
          <cell r="G65">
            <v>20939.04</v>
          </cell>
        </row>
        <row r="66">
          <cell r="E66">
            <v>1324</v>
          </cell>
          <cell r="F66">
            <v>262</v>
          </cell>
          <cell r="G66">
            <v>177000</v>
          </cell>
        </row>
        <row r="67">
          <cell r="E67">
            <v>349</v>
          </cell>
          <cell r="F67" t="str">
            <v>CHQ NO 243562</v>
          </cell>
          <cell r="G67">
            <v>0</v>
          </cell>
        </row>
        <row r="68">
          <cell r="E68">
            <v>350</v>
          </cell>
          <cell r="F68" t="str">
            <v>CHQ NO 243563</v>
          </cell>
          <cell r="G68">
            <v>0</v>
          </cell>
        </row>
        <row r="69">
          <cell r="E69">
            <v>351</v>
          </cell>
          <cell r="F69" t="str">
            <v>CHQ NO 243564</v>
          </cell>
          <cell r="G69">
            <v>0</v>
          </cell>
        </row>
        <row r="70">
          <cell r="E70">
            <v>352</v>
          </cell>
          <cell r="F70" t="str">
            <v>CHQ NO 243565</v>
          </cell>
          <cell r="G70">
            <v>0</v>
          </cell>
        </row>
        <row r="71">
          <cell r="E71">
            <v>353</v>
          </cell>
          <cell r="F71" t="str">
            <v>CHQ NO 243566</v>
          </cell>
          <cell r="G71">
            <v>0</v>
          </cell>
        </row>
        <row r="72">
          <cell r="E72">
            <v>278</v>
          </cell>
          <cell r="G72">
            <v>68436.56</v>
          </cell>
        </row>
        <row r="73">
          <cell r="E73">
            <v>279</v>
          </cell>
          <cell r="G73">
            <v>26598.240000000002</v>
          </cell>
        </row>
        <row r="74">
          <cell r="E74">
            <v>313</v>
          </cell>
          <cell r="G74">
            <v>595782</v>
          </cell>
        </row>
        <row r="75">
          <cell r="E75" t="str">
            <v>KPV/D/310</v>
          </cell>
          <cell r="G75">
            <v>5015609.8</v>
          </cell>
        </row>
        <row r="76">
          <cell r="E76" t="str">
            <v>KPV/D/318</v>
          </cell>
          <cell r="G76">
            <v>4767382.25</v>
          </cell>
        </row>
        <row r="77">
          <cell r="E77">
            <v>322</v>
          </cell>
          <cell r="G77">
            <v>458210.52</v>
          </cell>
        </row>
        <row r="78">
          <cell r="E78">
            <v>324</v>
          </cell>
          <cell r="G78">
            <v>281856.46000000002</v>
          </cell>
        </row>
        <row r="79">
          <cell r="E79">
            <v>340</v>
          </cell>
          <cell r="G79">
            <v>827186.4</v>
          </cell>
        </row>
        <row r="80">
          <cell r="E80">
            <v>341</v>
          </cell>
          <cell r="G80">
            <v>100846.94</v>
          </cell>
        </row>
        <row r="81">
          <cell r="E81">
            <v>344</v>
          </cell>
          <cell r="G81">
            <v>8400.3799999999992</v>
          </cell>
        </row>
        <row r="82">
          <cell r="E82">
            <v>352</v>
          </cell>
          <cell r="G82">
            <v>73654.490000000005</v>
          </cell>
        </row>
        <row r="83">
          <cell r="E83">
            <v>353</v>
          </cell>
          <cell r="G83">
            <v>452.74</v>
          </cell>
        </row>
        <row r="84">
          <cell r="E84">
            <v>363</v>
          </cell>
          <cell r="G84">
            <v>1264359.6000000001</v>
          </cell>
        </row>
        <row r="85">
          <cell r="E85" t="str">
            <v>KPV/D/369</v>
          </cell>
          <cell r="G85">
            <v>4809289.8499999996</v>
          </cell>
        </row>
        <row r="86">
          <cell r="E86">
            <v>385</v>
          </cell>
          <cell r="G86">
            <v>64373.4</v>
          </cell>
        </row>
        <row r="87">
          <cell r="E87" t="str">
            <v>KPV/D/388</v>
          </cell>
          <cell r="G87">
            <v>4585006.13</v>
          </cell>
        </row>
        <row r="88">
          <cell r="E88">
            <v>391</v>
          </cell>
          <cell r="G88">
            <v>2065797.39</v>
          </cell>
        </row>
        <row r="89">
          <cell r="E89">
            <v>394</v>
          </cell>
          <cell r="G89">
            <v>92369.76</v>
          </cell>
        </row>
        <row r="90">
          <cell r="E90">
            <v>395</v>
          </cell>
          <cell r="G90">
            <v>452.74</v>
          </cell>
        </row>
        <row r="91">
          <cell r="E91">
            <v>396</v>
          </cell>
          <cell r="G91">
            <v>483032.58</v>
          </cell>
        </row>
        <row r="92">
          <cell r="E92">
            <v>397</v>
          </cell>
          <cell r="G92">
            <v>1584.58</v>
          </cell>
        </row>
        <row r="93">
          <cell r="E93" t="str">
            <v>KPV/D/390</v>
          </cell>
          <cell r="G93">
            <v>5126424.53</v>
          </cell>
        </row>
        <row r="94">
          <cell r="E94">
            <v>405</v>
          </cell>
          <cell r="G94">
            <v>496051.52</v>
          </cell>
        </row>
        <row r="95">
          <cell r="E95">
            <v>406</v>
          </cell>
          <cell r="G95">
            <v>57837.02</v>
          </cell>
        </row>
        <row r="96">
          <cell r="E96">
            <v>409</v>
          </cell>
          <cell r="G96">
            <v>6186574.75</v>
          </cell>
        </row>
        <row r="97">
          <cell r="E97">
            <v>415</v>
          </cell>
          <cell r="G97">
            <v>75456</v>
          </cell>
        </row>
        <row r="98">
          <cell r="E98" t="str">
            <v>KPV/D/416</v>
          </cell>
          <cell r="G98">
            <v>5152198.76</v>
          </cell>
        </row>
        <row r="99">
          <cell r="E99">
            <v>426</v>
          </cell>
          <cell r="G99">
            <v>506821.7</v>
          </cell>
        </row>
        <row r="100">
          <cell r="E100">
            <v>453</v>
          </cell>
          <cell r="G100">
            <v>304742.55</v>
          </cell>
        </row>
        <row r="101">
          <cell r="E101">
            <v>454</v>
          </cell>
          <cell r="G101">
            <v>37916.639999999999</v>
          </cell>
        </row>
        <row r="102">
          <cell r="E102">
            <v>477</v>
          </cell>
          <cell r="G102">
            <v>53632.69</v>
          </cell>
        </row>
        <row r="103">
          <cell r="E103">
            <v>478</v>
          </cell>
          <cell r="G103">
            <v>369561.45</v>
          </cell>
        </row>
        <row r="104">
          <cell r="E104">
            <v>479</v>
          </cell>
          <cell r="G104">
            <v>22636.799999999999</v>
          </cell>
        </row>
        <row r="105">
          <cell r="E105">
            <v>480</v>
          </cell>
          <cell r="G105">
            <v>8128026</v>
          </cell>
        </row>
        <row r="106">
          <cell r="E106">
            <v>486</v>
          </cell>
          <cell r="G106">
            <v>316004.02</v>
          </cell>
        </row>
        <row r="107">
          <cell r="E107">
            <v>492</v>
          </cell>
          <cell r="G107">
            <v>152778.12</v>
          </cell>
        </row>
        <row r="108">
          <cell r="E108">
            <v>493</v>
          </cell>
          <cell r="G108">
            <v>242274.89</v>
          </cell>
        </row>
        <row r="109">
          <cell r="E109">
            <v>497</v>
          </cell>
          <cell r="G109">
            <v>4539.1499999999996</v>
          </cell>
        </row>
        <row r="110">
          <cell r="E110">
            <v>513</v>
          </cell>
          <cell r="G110">
            <v>138530.57999999999</v>
          </cell>
        </row>
        <row r="111">
          <cell r="E111">
            <v>514</v>
          </cell>
          <cell r="G111">
            <v>55663.35</v>
          </cell>
        </row>
        <row r="112">
          <cell r="E112">
            <v>532</v>
          </cell>
          <cell r="G112">
            <v>274074.02</v>
          </cell>
        </row>
        <row r="113">
          <cell r="E113">
            <v>533</v>
          </cell>
          <cell r="G113">
            <v>905.47</v>
          </cell>
        </row>
        <row r="114">
          <cell r="E114">
            <v>538</v>
          </cell>
          <cell r="G114">
            <v>58855.68</v>
          </cell>
        </row>
        <row r="115">
          <cell r="E115">
            <v>546</v>
          </cell>
          <cell r="G115">
            <v>4431997.0599999996</v>
          </cell>
        </row>
        <row r="116">
          <cell r="E116">
            <v>581</v>
          </cell>
          <cell r="G116">
            <v>24897.54</v>
          </cell>
        </row>
        <row r="117">
          <cell r="E117" t="str">
            <v>KPV/D/580</v>
          </cell>
          <cell r="G117">
            <v>6989773.6399999997</v>
          </cell>
        </row>
        <row r="118">
          <cell r="E118">
            <v>582</v>
          </cell>
          <cell r="G118">
            <v>19099.8</v>
          </cell>
        </row>
        <row r="119">
          <cell r="E119">
            <v>591</v>
          </cell>
          <cell r="G119">
            <v>11848.95</v>
          </cell>
        </row>
        <row r="120">
          <cell r="E120" t="str">
            <v>KPV/D/595</v>
          </cell>
          <cell r="G120">
            <v>4190737.69</v>
          </cell>
        </row>
        <row r="121">
          <cell r="E121" t="str">
            <v>KPV/D/596</v>
          </cell>
          <cell r="G121">
            <v>5477129.3499999996</v>
          </cell>
        </row>
        <row r="122">
          <cell r="E122">
            <v>601</v>
          </cell>
          <cell r="G122">
            <v>106063.49</v>
          </cell>
        </row>
        <row r="123">
          <cell r="E123">
            <v>602</v>
          </cell>
          <cell r="G123">
            <v>1444275</v>
          </cell>
        </row>
        <row r="124">
          <cell r="E124">
            <v>611</v>
          </cell>
          <cell r="G124">
            <v>169187.96</v>
          </cell>
        </row>
        <row r="125">
          <cell r="E125">
            <v>612</v>
          </cell>
          <cell r="G125">
            <v>50366.879999999997</v>
          </cell>
        </row>
        <row r="126">
          <cell r="E126" t="str">
            <v>KPV/D/615</v>
          </cell>
          <cell r="G126">
            <v>2084612.38</v>
          </cell>
        </row>
        <row r="127">
          <cell r="E127" t="str">
            <v>KPV/D/616</v>
          </cell>
          <cell r="G127">
            <v>1743133.32</v>
          </cell>
        </row>
        <row r="128">
          <cell r="E128" t="str">
            <v>KPV/D/617</v>
          </cell>
          <cell r="G128">
            <v>2113891.3199999998</v>
          </cell>
        </row>
        <row r="129">
          <cell r="E129">
            <v>627</v>
          </cell>
          <cell r="G129">
            <v>4772928.59</v>
          </cell>
        </row>
        <row r="130">
          <cell r="E130">
            <v>631</v>
          </cell>
          <cell r="G130">
            <v>100054.66</v>
          </cell>
        </row>
        <row r="131">
          <cell r="E131">
            <v>632</v>
          </cell>
          <cell r="G131">
            <v>565.91999999999996</v>
          </cell>
        </row>
        <row r="132">
          <cell r="E132">
            <v>635</v>
          </cell>
          <cell r="G132">
            <v>4903017.34</v>
          </cell>
        </row>
        <row r="133">
          <cell r="E133">
            <v>658</v>
          </cell>
          <cell r="G133">
            <v>5831852.9400000004</v>
          </cell>
        </row>
        <row r="134">
          <cell r="E134">
            <v>664</v>
          </cell>
          <cell r="G134">
            <v>4356969.2699999996</v>
          </cell>
        </row>
        <row r="135">
          <cell r="E135">
            <v>665</v>
          </cell>
          <cell r="G135">
            <v>4858251.8099999996</v>
          </cell>
        </row>
        <row r="136">
          <cell r="E136">
            <v>666</v>
          </cell>
          <cell r="G136">
            <v>11966.85</v>
          </cell>
        </row>
        <row r="137">
          <cell r="E137">
            <v>675</v>
          </cell>
          <cell r="G137">
            <v>136172.79</v>
          </cell>
        </row>
        <row r="138">
          <cell r="E138">
            <v>676</v>
          </cell>
          <cell r="G138">
            <v>44707.68</v>
          </cell>
        </row>
        <row r="139">
          <cell r="E139">
            <v>680</v>
          </cell>
          <cell r="G139">
            <v>139204.4</v>
          </cell>
        </row>
        <row r="140">
          <cell r="E140">
            <v>682</v>
          </cell>
          <cell r="G140">
            <v>302413.5</v>
          </cell>
        </row>
        <row r="141">
          <cell r="E141">
            <v>683</v>
          </cell>
          <cell r="G141">
            <v>4621556.29</v>
          </cell>
        </row>
        <row r="142">
          <cell r="E142">
            <v>688</v>
          </cell>
          <cell r="G142">
            <v>1284815.25</v>
          </cell>
        </row>
        <row r="143">
          <cell r="E143">
            <v>699</v>
          </cell>
          <cell r="G143">
            <v>4869457.74</v>
          </cell>
        </row>
        <row r="144">
          <cell r="E144">
            <v>719</v>
          </cell>
          <cell r="G144">
            <v>4274411.3099999996</v>
          </cell>
        </row>
        <row r="145">
          <cell r="E145">
            <v>722</v>
          </cell>
          <cell r="G145">
            <v>65454.98</v>
          </cell>
        </row>
        <row r="146">
          <cell r="E146">
            <v>731</v>
          </cell>
          <cell r="G146">
            <v>135036.78</v>
          </cell>
        </row>
        <row r="147">
          <cell r="E147">
            <v>734</v>
          </cell>
          <cell r="G147">
            <v>89481.63</v>
          </cell>
        </row>
        <row r="148">
          <cell r="E148">
            <v>742</v>
          </cell>
          <cell r="G148">
            <v>250173.61</v>
          </cell>
        </row>
        <row r="149">
          <cell r="E149">
            <v>743</v>
          </cell>
          <cell r="G149">
            <v>45273.599999999999</v>
          </cell>
        </row>
        <row r="150">
          <cell r="E150">
            <v>770</v>
          </cell>
          <cell r="G150">
            <v>7015.05</v>
          </cell>
        </row>
        <row r="151">
          <cell r="E151">
            <v>777</v>
          </cell>
          <cell r="G151">
            <v>5647694.5</v>
          </cell>
        </row>
        <row r="152">
          <cell r="E152">
            <v>790</v>
          </cell>
          <cell r="G152">
            <v>5353409.1100000003</v>
          </cell>
        </row>
        <row r="153">
          <cell r="E153">
            <v>791</v>
          </cell>
          <cell r="G153">
            <v>2139879.62</v>
          </cell>
        </row>
        <row r="154">
          <cell r="E154">
            <v>798</v>
          </cell>
          <cell r="G154">
            <v>4642266.2300000004</v>
          </cell>
        </row>
        <row r="155">
          <cell r="E155">
            <v>800</v>
          </cell>
          <cell r="G155">
            <v>309427.20000000001</v>
          </cell>
        </row>
        <row r="156">
          <cell r="E156" t="str">
            <v>KPV/D/801</v>
          </cell>
          <cell r="G156">
            <v>2439921.59</v>
          </cell>
        </row>
        <row r="157">
          <cell r="E157">
            <v>805</v>
          </cell>
          <cell r="G157">
            <v>236.02</v>
          </cell>
        </row>
        <row r="158">
          <cell r="E158" t="str">
            <v>KPV/D/814</v>
          </cell>
          <cell r="G158">
            <v>2115592.83</v>
          </cell>
        </row>
        <row r="159">
          <cell r="E159">
            <v>820</v>
          </cell>
          <cell r="G159">
            <v>5890939.1900000004</v>
          </cell>
        </row>
        <row r="160">
          <cell r="E160">
            <v>821</v>
          </cell>
          <cell r="G160">
            <v>4839364.75</v>
          </cell>
        </row>
        <row r="161">
          <cell r="E161">
            <v>823</v>
          </cell>
          <cell r="G161">
            <v>142360.01</v>
          </cell>
        </row>
        <row r="162">
          <cell r="E162">
            <v>830</v>
          </cell>
          <cell r="G162">
            <v>5341026.8</v>
          </cell>
        </row>
        <row r="163">
          <cell r="E163">
            <v>836</v>
          </cell>
          <cell r="G163">
            <v>4504404.45</v>
          </cell>
        </row>
        <row r="164">
          <cell r="E164">
            <v>846</v>
          </cell>
          <cell r="G164">
            <v>80533.63</v>
          </cell>
        </row>
        <row r="165">
          <cell r="E165">
            <v>853</v>
          </cell>
          <cell r="G165">
            <v>5033699.4800000004</v>
          </cell>
        </row>
        <row r="166">
          <cell r="E166">
            <v>857</v>
          </cell>
          <cell r="G166">
            <v>4287635</v>
          </cell>
        </row>
        <row r="167">
          <cell r="E167">
            <v>864</v>
          </cell>
          <cell r="G167">
            <v>4713541.05</v>
          </cell>
        </row>
        <row r="168">
          <cell r="E168">
            <v>866</v>
          </cell>
          <cell r="G168">
            <v>4645996.6399999997</v>
          </cell>
        </row>
        <row r="169">
          <cell r="E169">
            <v>873</v>
          </cell>
          <cell r="G169">
            <v>5085080.22</v>
          </cell>
        </row>
        <row r="170">
          <cell r="E170">
            <v>782</v>
          </cell>
          <cell r="F170" t="str">
            <v>Internal Transfer</v>
          </cell>
          <cell r="G170">
            <v>0</v>
          </cell>
        </row>
        <row r="171">
          <cell r="E171">
            <v>877</v>
          </cell>
          <cell r="G171">
            <v>5754919.6500000004</v>
          </cell>
        </row>
        <row r="172">
          <cell r="E172">
            <v>882</v>
          </cell>
          <cell r="G172">
            <v>90179.22</v>
          </cell>
        </row>
        <row r="173">
          <cell r="E173">
            <v>783</v>
          </cell>
          <cell r="F173" t="str">
            <v>Internal Transfer</v>
          </cell>
          <cell r="G173">
            <v>0</v>
          </cell>
        </row>
        <row r="174">
          <cell r="E174">
            <v>896</v>
          </cell>
          <cell r="G174">
            <v>5328913.2</v>
          </cell>
        </row>
        <row r="175">
          <cell r="E175">
            <v>897</v>
          </cell>
          <cell r="G175">
            <v>201146.31</v>
          </cell>
        </row>
        <row r="176">
          <cell r="E176">
            <v>898</v>
          </cell>
          <cell r="G176">
            <v>396.14</v>
          </cell>
        </row>
        <row r="179">
          <cell r="G179">
            <v>570061.35</v>
          </cell>
        </row>
        <row r="180">
          <cell r="G180">
            <v>6017820.25</v>
          </cell>
        </row>
        <row r="181">
          <cell r="G181">
            <v>-5447758.9000000004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66E6-41F9-45B6-8514-4F0208215058}">
  <dimension ref="A1:J21"/>
  <sheetViews>
    <sheetView tabSelected="1" topLeftCell="A7" workbookViewId="0">
      <selection activeCell="J2" sqref="J2"/>
    </sheetView>
  </sheetViews>
  <sheetFormatPr defaultRowHeight="14.5" x14ac:dyDescent="0.35"/>
  <cols>
    <col min="1" max="1" width="39.1796875" bestFit="1" customWidth="1"/>
    <col min="2" max="2" width="12.453125" bestFit="1" customWidth="1"/>
    <col min="3" max="4" width="11.81640625" bestFit="1" customWidth="1"/>
    <col min="5" max="6" width="12.453125" bestFit="1" customWidth="1"/>
    <col min="7" max="7" width="17.1796875" bestFit="1" customWidth="1"/>
    <col min="8" max="8" width="6.1796875" bestFit="1" customWidth="1"/>
    <col min="9" max="9" width="12.453125" bestFit="1" customWidth="1"/>
    <col min="10" max="10" width="15" bestFit="1" customWidth="1"/>
  </cols>
  <sheetData>
    <row r="1" spans="1:10" x14ac:dyDescent="0.35">
      <c r="A1" s="6" t="s">
        <v>63</v>
      </c>
      <c r="B1" s="2" t="s">
        <v>64</v>
      </c>
      <c r="C1" s="2" t="s">
        <v>65</v>
      </c>
      <c r="D1" s="2" t="s">
        <v>66</v>
      </c>
      <c r="E1" s="2" t="s">
        <v>8</v>
      </c>
      <c r="F1" s="2" t="s">
        <v>67</v>
      </c>
      <c r="G1" s="2" t="s">
        <v>68</v>
      </c>
      <c r="H1" s="2" t="s">
        <v>69</v>
      </c>
      <c r="I1" s="2" t="s">
        <v>70</v>
      </c>
    </row>
    <row r="2" spans="1:10" x14ac:dyDescent="0.35">
      <c r="A2" s="7" t="s">
        <v>71</v>
      </c>
      <c r="B2" s="8">
        <v>38784261.859999999</v>
      </c>
      <c r="C2" s="8">
        <v>441278362.74000001</v>
      </c>
      <c r="D2" s="8">
        <v>286736196</v>
      </c>
      <c r="E2" s="8">
        <v>193326428.59999999</v>
      </c>
      <c r="F2" s="10">
        <v>146818254.71000001</v>
      </c>
      <c r="G2" s="8">
        <v>0</v>
      </c>
      <c r="H2" s="8">
        <v>0</v>
      </c>
      <c r="I2" s="8">
        <v>46508173.890000001</v>
      </c>
    </row>
    <row r="3" spans="1:10" x14ac:dyDescent="0.35">
      <c r="A3" s="7" t="s">
        <v>72</v>
      </c>
      <c r="B3" s="8">
        <v>-6977160</v>
      </c>
      <c r="C3" s="8">
        <v>14952531.16</v>
      </c>
      <c r="D3" s="8">
        <v>0</v>
      </c>
      <c r="E3" s="8">
        <v>7975371.1600000001</v>
      </c>
      <c r="F3" s="8">
        <v>7975371.1600000001</v>
      </c>
      <c r="G3" s="8">
        <v>0</v>
      </c>
      <c r="H3" s="8">
        <v>0</v>
      </c>
      <c r="I3" s="8">
        <v>0</v>
      </c>
    </row>
    <row r="4" spans="1:10" x14ac:dyDescent="0.35">
      <c r="A4" s="7" t="s">
        <v>73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</row>
    <row r="5" spans="1:10" x14ac:dyDescent="0.35">
      <c r="A5" s="7" t="s">
        <v>74</v>
      </c>
      <c r="B5" s="8">
        <v>19769297.699999999</v>
      </c>
      <c r="C5" s="8">
        <v>46255628.259999998</v>
      </c>
      <c r="D5" s="8">
        <v>9814008.6099999994</v>
      </c>
      <c r="E5" s="8">
        <v>56210917.350000001</v>
      </c>
      <c r="F5" s="8">
        <v>56210917.350000001</v>
      </c>
      <c r="G5" s="8">
        <v>0</v>
      </c>
      <c r="H5" s="8">
        <v>0</v>
      </c>
      <c r="I5" s="8">
        <v>0</v>
      </c>
    </row>
    <row r="6" spans="1:10" x14ac:dyDescent="0.35">
      <c r="A6" s="7" t="s">
        <v>75</v>
      </c>
      <c r="B6" s="8">
        <v>1092151.3400000001</v>
      </c>
      <c r="C6" s="8">
        <v>490859.8</v>
      </c>
      <c r="D6" s="8">
        <v>112670913.47</v>
      </c>
      <c r="E6" s="8">
        <v>-111087902.33</v>
      </c>
      <c r="F6" s="11">
        <v>-111087902.33</v>
      </c>
      <c r="G6" s="8">
        <v>0</v>
      </c>
      <c r="H6" s="8">
        <v>0</v>
      </c>
      <c r="I6" s="8">
        <v>0</v>
      </c>
    </row>
    <row r="7" spans="1:10" x14ac:dyDescent="0.35">
      <c r="A7" s="7" t="s">
        <v>76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</row>
    <row r="8" spans="1:10" x14ac:dyDescent="0.35">
      <c r="A8" s="7" t="s">
        <v>77</v>
      </c>
      <c r="B8" s="8">
        <v>-135285657.31999999</v>
      </c>
      <c r="C8" s="8">
        <v>20203716.109999999</v>
      </c>
      <c r="D8" s="8">
        <v>97417289.099999994</v>
      </c>
      <c r="E8" s="8">
        <v>-212499230.31</v>
      </c>
      <c r="F8" s="8">
        <v>-186698218.34999999</v>
      </c>
      <c r="G8" s="8">
        <v>0</v>
      </c>
      <c r="H8" s="8">
        <v>0</v>
      </c>
      <c r="I8" s="8">
        <v>-25801011.960000001</v>
      </c>
    </row>
    <row r="9" spans="1:10" x14ac:dyDescent="0.35">
      <c r="A9" s="7" t="s">
        <v>78</v>
      </c>
      <c r="B9" s="8">
        <v>0</v>
      </c>
      <c r="C9" s="8">
        <v>87823</v>
      </c>
      <c r="D9" s="8">
        <v>6984189.5700000003</v>
      </c>
      <c r="E9" s="8">
        <v>-6896366.5700000003</v>
      </c>
      <c r="F9" s="8">
        <v>-6896366.5700000003</v>
      </c>
      <c r="G9" s="8">
        <v>0</v>
      </c>
      <c r="H9" s="8">
        <v>0</v>
      </c>
      <c r="I9" s="8">
        <v>0</v>
      </c>
    </row>
    <row r="10" spans="1:10" x14ac:dyDescent="0.35">
      <c r="A10" s="9"/>
      <c r="E10">
        <f>SUM(E2:E9)</f>
        <v>-72970782.100000024</v>
      </c>
    </row>
    <row r="11" spans="1:10" x14ac:dyDescent="0.35">
      <c r="A11" s="9"/>
    </row>
    <row r="12" spans="1:10" x14ac:dyDescent="0.35">
      <c r="A12" s="9"/>
    </row>
    <row r="13" spans="1:10" x14ac:dyDescent="0.3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8</v>
      </c>
      <c r="F13" s="2" t="s">
        <v>79</v>
      </c>
      <c r="G13" s="2" t="s">
        <v>80</v>
      </c>
      <c r="H13" s="2" t="s">
        <v>81</v>
      </c>
      <c r="I13" s="2" t="s">
        <v>82</v>
      </c>
      <c r="J13" s="2" t="s">
        <v>83</v>
      </c>
    </row>
    <row r="14" spans="1:10" x14ac:dyDescent="0.35">
      <c r="A14" s="7" t="s">
        <v>84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</row>
    <row r="15" spans="1:10" x14ac:dyDescent="0.35">
      <c r="A15" s="7" t="s">
        <v>85</v>
      </c>
      <c r="B15" s="8">
        <v>21584484.449999999</v>
      </c>
      <c r="C15" s="8">
        <v>9823820.8800000008</v>
      </c>
      <c r="D15" s="8">
        <v>5607296.21</v>
      </c>
      <c r="E15" s="8">
        <v>25801009.120000001</v>
      </c>
      <c r="F15" s="8">
        <v>0</v>
      </c>
      <c r="G15" s="8">
        <v>0</v>
      </c>
      <c r="H15" s="8">
        <v>0</v>
      </c>
      <c r="I15" s="8">
        <v>25801009.120000001</v>
      </c>
      <c r="J15" s="8">
        <v>0</v>
      </c>
    </row>
    <row r="16" spans="1:10" x14ac:dyDescent="0.35">
      <c r="A16" s="7" t="s">
        <v>86</v>
      </c>
      <c r="B16" s="8">
        <v>119611736.95999999</v>
      </c>
      <c r="C16" s="8">
        <v>217096140.47999999</v>
      </c>
      <c r="D16" s="8">
        <v>30300362.140000001</v>
      </c>
      <c r="E16" s="8">
        <v>306407515.30000001</v>
      </c>
      <c r="F16" s="11">
        <v>111138892.17</v>
      </c>
      <c r="G16" s="8">
        <v>0</v>
      </c>
      <c r="H16" s="8">
        <v>0</v>
      </c>
      <c r="I16" s="8">
        <v>186698217.58000001</v>
      </c>
      <c r="J16" s="8">
        <v>8570405.5500000007</v>
      </c>
    </row>
    <row r="17" spans="1:10" x14ac:dyDescent="0.35">
      <c r="A17" s="7" t="s">
        <v>87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x14ac:dyDescent="0.35">
      <c r="A18" s="7" t="s">
        <v>88</v>
      </c>
      <c r="B18" s="8">
        <v>3939106.63</v>
      </c>
      <c r="C18" s="8">
        <v>138404520</v>
      </c>
      <c r="D18" s="8">
        <v>188851797.25999999</v>
      </c>
      <c r="E18" s="8">
        <v>-46508170.630000003</v>
      </c>
      <c r="F18" s="8">
        <v>-46508170.630000003</v>
      </c>
      <c r="G18" s="8">
        <v>0</v>
      </c>
      <c r="H18" s="8">
        <v>0</v>
      </c>
      <c r="I18" s="8">
        <v>0</v>
      </c>
      <c r="J18" s="8">
        <v>0</v>
      </c>
    </row>
    <row r="19" spans="1:10" x14ac:dyDescent="0.35">
      <c r="A19" s="7" t="s">
        <v>89</v>
      </c>
      <c r="B19" s="8">
        <v>-62168221.270000003</v>
      </c>
      <c r="C19" s="8">
        <v>164652729.84</v>
      </c>
      <c r="D19" s="8">
        <v>319510542.24000001</v>
      </c>
      <c r="E19" s="8">
        <v>-217026033.66999999</v>
      </c>
      <c r="F19" s="10">
        <v>-152266012.99000001</v>
      </c>
      <c r="G19" s="8">
        <v>0</v>
      </c>
      <c r="H19" s="8">
        <v>0</v>
      </c>
      <c r="I19" s="8">
        <v>-7893228.4199999999</v>
      </c>
      <c r="J19" s="8">
        <v>-56866792.259999998</v>
      </c>
    </row>
    <row r="20" spans="1:10" x14ac:dyDescent="0.35">
      <c r="A20" s="9"/>
      <c r="E20">
        <f>SUM(E14:E19)</f>
        <v>68674320.120000035</v>
      </c>
    </row>
    <row r="21" spans="1:10" x14ac:dyDescent="0.35">
      <c r="A21" s="9"/>
      <c r="E21">
        <f>E10+E20</f>
        <v>-4296461.9799999893</v>
      </c>
      <c r="F21">
        <f>F2+F19</f>
        <v>-5447758.2800000012</v>
      </c>
      <c r="G21" s="12">
        <f>F6+F16</f>
        <v>50989.840000003576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BF04-6636-4613-81BD-E4FD2D491D52}">
  <dimension ref="A1:K65"/>
  <sheetViews>
    <sheetView topLeftCell="A58" workbookViewId="0">
      <selection activeCell="K63" sqref="K63:K65"/>
    </sheetView>
  </sheetViews>
  <sheetFormatPr defaultRowHeight="14.5" x14ac:dyDescent="0.35"/>
  <cols>
    <col min="1" max="1" width="32.7265625" bestFit="1" customWidth="1"/>
    <col min="2" max="2" width="9.08984375" bestFit="1" customWidth="1"/>
    <col min="6" max="6" width="10.453125" customWidth="1"/>
    <col min="7" max="7" width="10.81640625" bestFit="1" customWidth="1"/>
    <col min="9" max="9" width="11.453125" bestFit="1" customWidth="1"/>
    <col min="11" max="11" width="31.08984375" bestFit="1" customWidth="1"/>
  </cols>
  <sheetData>
    <row r="1" spans="1:11" x14ac:dyDescent="0.35">
      <c r="A1" s="1" t="s">
        <v>15</v>
      </c>
      <c r="G1">
        <f>SUM(G4:G998)</f>
        <v>74275608.549999997</v>
      </c>
      <c r="H1">
        <f>SUM(H4:H998)</f>
        <v>19019830.07</v>
      </c>
      <c r="I1">
        <f>G1-H1</f>
        <v>55255778.479999997</v>
      </c>
    </row>
    <row r="3" spans="1:1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9</v>
      </c>
      <c r="J3" s="2" t="s">
        <v>10</v>
      </c>
      <c r="K3" s="3" t="s">
        <v>60</v>
      </c>
    </row>
    <row r="4" spans="1:11" x14ac:dyDescent="0.35">
      <c r="A4" s="3" t="s">
        <v>11</v>
      </c>
      <c r="B4" s="4">
        <v>46290</v>
      </c>
      <c r="C4" s="3" t="s">
        <v>12</v>
      </c>
      <c r="D4" s="3" t="s">
        <v>13</v>
      </c>
      <c r="E4" s="3">
        <v>872</v>
      </c>
      <c r="F4" s="3"/>
      <c r="G4" s="3">
        <v>226188.87</v>
      </c>
      <c r="H4" s="3">
        <v>0</v>
      </c>
      <c r="I4" s="3" t="e">
        <v>#N/A</v>
      </c>
      <c r="J4" s="3" t="e">
        <v>#N/A</v>
      </c>
      <c r="K4" s="3" t="s">
        <v>16</v>
      </c>
    </row>
    <row r="5" spans="1:11" x14ac:dyDescent="0.35">
      <c r="A5" s="3" t="s">
        <v>11</v>
      </c>
      <c r="B5" s="4">
        <v>46295</v>
      </c>
      <c r="C5" s="3" t="s">
        <v>12</v>
      </c>
      <c r="D5" s="3" t="s">
        <v>13</v>
      </c>
      <c r="E5" s="3">
        <v>909</v>
      </c>
      <c r="F5" s="3"/>
      <c r="G5" s="3">
        <v>785372.33</v>
      </c>
      <c r="H5" s="3">
        <v>0</v>
      </c>
      <c r="I5" s="3" t="e">
        <v>#N/A</v>
      </c>
      <c r="J5" s="3" t="e">
        <v>#N/A</v>
      </c>
      <c r="K5" s="3" t="s">
        <v>16</v>
      </c>
    </row>
    <row r="6" spans="1:11" x14ac:dyDescent="0.35">
      <c r="A6" s="3" t="s">
        <v>11</v>
      </c>
      <c r="B6" s="4">
        <v>46295</v>
      </c>
      <c r="C6" s="3" t="s">
        <v>14</v>
      </c>
      <c r="D6" s="3" t="s">
        <v>13</v>
      </c>
      <c r="E6" s="3">
        <v>910</v>
      </c>
      <c r="F6" s="3"/>
      <c r="G6" s="3">
        <v>679.1</v>
      </c>
      <c r="H6" s="3">
        <v>0</v>
      </c>
      <c r="I6" s="3" t="e">
        <v>#N/A</v>
      </c>
      <c r="J6" s="3" t="e">
        <v>#N/A</v>
      </c>
      <c r="K6" s="3" t="s">
        <v>16</v>
      </c>
    </row>
    <row r="9" spans="1:11" x14ac:dyDescent="0.35">
      <c r="A9" s="1" t="s">
        <v>18</v>
      </c>
    </row>
    <row r="10" spans="1:11" x14ac:dyDescent="0.35">
      <c r="I10" s="1"/>
      <c r="J10" s="1"/>
    </row>
    <row r="11" spans="1:11" x14ac:dyDescent="0.3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61</v>
      </c>
      <c r="J11" s="2" t="s">
        <v>10</v>
      </c>
      <c r="K11" s="3"/>
    </row>
    <row r="12" spans="1:11" x14ac:dyDescent="0.35">
      <c r="A12" s="3" t="s">
        <v>17</v>
      </c>
      <c r="B12" s="4">
        <v>46233</v>
      </c>
      <c r="C12" s="3" t="s">
        <v>12</v>
      </c>
      <c r="D12" s="3" t="s">
        <v>13</v>
      </c>
      <c r="E12" s="3">
        <v>42</v>
      </c>
      <c r="F12" s="3"/>
      <c r="G12" s="5">
        <v>283841.21000000002</v>
      </c>
      <c r="H12" s="5">
        <v>0</v>
      </c>
      <c r="I12" s="3">
        <v>283600.67</v>
      </c>
      <c r="J12" s="3">
        <v>240.54000000003725</v>
      </c>
      <c r="K12" s="3" t="s">
        <v>40</v>
      </c>
    </row>
    <row r="13" spans="1:11" x14ac:dyDescent="0.35">
      <c r="A13" s="3" t="s">
        <v>17</v>
      </c>
      <c r="B13" s="4">
        <v>46238</v>
      </c>
      <c r="C13" s="3" t="s">
        <v>12</v>
      </c>
      <c r="D13" s="3" t="s">
        <v>13</v>
      </c>
      <c r="E13" s="3">
        <v>43</v>
      </c>
      <c r="F13" s="3"/>
      <c r="G13" s="5">
        <v>108067.27</v>
      </c>
      <c r="H13" s="5">
        <v>0</v>
      </c>
      <c r="I13" s="3">
        <v>107975.69</v>
      </c>
      <c r="J13" s="3">
        <v>91.580000000001746</v>
      </c>
      <c r="K13" s="3" t="s">
        <v>40</v>
      </c>
    </row>
    <row r="14" spans="1:11" x14ac:dyDescent="0.35">
      <c r="A14" s="3" t="s">
        <v>17</v>
      </c>
      <c r="B14" s="4">
        <v>46245</v>
      </c>
      <c r="C14" s="3" t="s">
        <v>12</v>
      </c>
      <c r="D14" s="3" t="s">
        <v>13</v>
      </c>
      <c r="E14" s="3">
        <v>45</v>
      </c>
      <c r="F14" s="3"/>
      <c r="G14" s="5">
        <v>498455.1</v>
      </c>
      <c r="H14" s="5">
        <v>0</v>
      </c>
      <c r="I14" s="3">
        <v>498032.68</v>
      </c>
      <c r="J14" s="3">
        <v>422.4199999999837</v>
      </c>
      <c r="K14" s="3" t="s">
        <v>40</v>
      </c>
    </row>
    <row r="15" spans="1:11" x14ac:dyDescent="0.35">
      <c r="A15" s="3" t="s">
        <v>17</v>
      </c>
      <c r="B15" s="4">
        <v>46253</v>
      </c>
      <c r="C15" s="3" t="s">
        <v>12</v>
      </c>
      <c r="D15" s="3" t="s">
        <v>13</v>
      </c>
      <c r="E15" s="3">
        <v>51</v>
      </c>
      <c r="F15" s="3"/>
      <c r="G15" s="5">
        <v>157057.62</v>
      </c>
      <c r="H15" s="5">
        <v>0</v>
      </c>
      <c r="I15" s="3">
        <v>156924.51999999999</v>
      </c>
      <c r="J15" s="3">
        <v>133.10000000000582</v>
      </c>
      <c r="K15" s="3" t="s">
        <v>40</v>
      </c>
    </row>
    <row r="16" spans="1:11" x14ac:dyDescent="0.35">
      <c r="A16" s="3" t="s">
        <v>17</v>
      </c>
      <c r="B16" s="4">
        <v>46253</v>
      </c>
      <c r="C16" s="3" t="s">
        <v>12</v>
      </c>
      <c r="D16" s="3" t="s">
        <v>13</v>
      </c>
      <c r="E16" s="3">
        <v>52</v>
      </c>
      <c r="F16" s="3"/>
      <c r="G16" s="5">
        <v>3485419.75</v>
      </c>
      <c r="H16" s="5">
        <v>0</v>
      </c>
      <c r="I16" s="3">
        <v>3482466</v>
      </c>
      <c r="J16" s="3">
        <v>2953.75</v>
      </c>
      <c r="K16" s="3" t="s">
        <v>40</v>
      </c>
    </row>
    <row r="17" spans="1:11" x14ac:dyDescent="0.35">
      <c r="A17" s="3" t="s">
        <v>17</v>
      </c>
      <c r="B17" s="4">
        <v>46256</v>
      </c>
      <c r="C17" s="3" t="s">
        <v>12</v>
      </c>
      <c r="D17" s="3" t="s">
        <v>13</v>
      </c>
      <c r="E17" s="3">
        <v>57</v>
      </c>
      <c r="F17" s="3"/>
      <c r="G17" s="5">
        <v>113508.05</v>
      </c>
      <c r="H17" s="5">
        <v>0</v>
      </c>
      <c r="I17" s="3">
        <v>113411.86</v>
      </c>
      <c r="J17" s="3">
        <v>96.190000000002328</v>
      </c>
      <c r="K17" s="3" t="s">
        <v>40</v>
      </c>
    </row>
    <row r="18" spans="1:11" x14ac:dyDescent="0.35">
      <c r="A18" s="3" t="s">
        <v>17</v>
      </c>
      <c r="B18" s="4">
        <v>46261</v>
      </c>
      <c r="C18" s="3" t="s">
        <v>12</v>
      </c>
      <c r="D18" s="3" t="s">
        <v>13</v>
      </c>
      <c r="E18" s="3">
        <v>58</v>
      </c>
      <c r="F18" s="3"/>
      <c r="G18" s="5">
        <v>1645271.86</v>
      </c>
      <c r="H18" s="5">
        <v>0</v>
      </c>
      <c r="I18" s="3">
        <v>1643877.56</v>
      </c>
      <c r="J18" s="3">
        <v>1394.3000000000466</v>
      </c>
      <c r="K18" s="3" t="s">
        <v>40</v>
      </c>
    </row>
    <row r="19" spans="1:11" x14ac:dyDescent="0.35">
      <c r="A19" s="3" t="s">
        <v>17</v>
      </c>
      <c r="B19" s="4">
        <v>46276</v>
      </c>
      <c r="C19" s="3" t="s">
        <v>12</v>
      </c>
      <c r="D19" s="3" t="s">
        <v>13</v>
      </c>
      <c r="E19" s="3">
        <v>65</v>
      </c>
      <c r="F19" s="3"/>
      <c r="G19" s="5">
        <v>698492.53</v>
      </c>
      <c r="H19" s="5">
        <v>0</v>
      </c>
      <c r="I19" s="3">
        <v>697900.59</v>
      </c>
      <c r="J19" s="3">
        <v>591.94000000006054</v>
      </c>
      <c r="K19" s="3" t="s">
        <v>40</v>
      </c>
    </row>
    <row r="21" spans="1:11" x14ac:dyDescent="0.35">
      <c r="A21" s="1" t="s">
        <v>39</v>
      </c>
    </row>
    <row r="23" spans="1:11" x14ac:dyDescent="0.35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62</v>
      </c>
      <c r="J23" s="2" t="s">
        <v>10</v>
      </c>
      <c r="K23" s="3"/>
    </row>
    <row r="24" spans="1:11" x14ac:dyDescent="0.35">
      <c r="A24" s="3" t="s">
        <v>11</v>
      </c>
      <c r="B24" s="4">
        <v>46234</v>
      </c>
      <c r="C24" s="3" t="s">
        <v>20</v>
      </c>
      <c r="D24" s="3" t="s">
        <v>21</v>
      </c>
      <c r="E24" s="3" t="s">
        <v>22</v>
      </c>
      <c r="F24" s="3" t="s">
        <v>23</v>
      </c>
      <c r="G24" s="5">
        <v>0</v>
      </c>
      <c r="H24" s="5">
        <v>283600.67</v>
      </c>
      <c r="I24" s="3">
        <v>283841.21000000002</v>
      </c>
      <c r="J24" s="3">
        <v>-240.54000000003725</v>
      </c>
      <c r="K24" s="3" t="s">
        <v>40</v>
      </c>
    </row>
    <row r="25" spans="1:11" x14ac:dyDescent="0.35">
      <c r="A25" s="3" t="s">
        <v>11</v>
      </c>
      <c r="B25" s="4">
        <v>46238</v>
      </c>
      <c r="C25" s="3" t="s">
        <v>20</v>
      </c>
      <c r="D25" s="3" t="s">
        <v>21</v>
      </c>
      <c r="E25" s="3" t="s">
        <v>24</v>
      </c>
      <c r="F25" s="3" t="s">
        <v>25</v>
      </c>
      <c r="G25" s="5">
        <v>0</v>
      </c>
      <c r="H25" s="5">
        <v>107975.69</v>
      </c>
      <c r="I25" s="3">
        <v>108067.27</v>
      </c>
      <c r="J25" s="3">
        <v>-91.580000000001746</v>
      </c>
      <c r="K25" s="3" t="s">
        <v>40</v>
      </c>
    </row>
    <row r="26" spans="1:11" x14ac:dyDescent="0.35">
      <c r="A26" s="3" t="s">
        <v>11</v>
      </c>
      <c r="B26" s="4">
        <v>46245</v>
      </c>
      <c r="C26" s="3" t="s">
        <v>20</v>
      </c>
      <c r="D26" s="3" t="s">
        <v>21</v>
      </c>
      <c r="E26" s="3" t="s">
        <v>26</v>
      </c>
      <c r="F26" s="3" t="s">
        <v>27</v>
      </c>
      <c r="G26" s="5">
        <v>0</v>
      </c>
      <c r="H26" s="5">
        <v>498032.68</v>
      </c>
      <c r="I26" s="3">
        <v>498455.1</v>
      </c>
      <c r="J26" s="3">
        <v>-422.4199999999837</v>
      </c>
      <c r="K26" s="3" t="s">
        <v>40</v>
      </c>
    </row>
    <row r="27" spans="1:11" x14ac:dyDescent="0.35">
      <c r="A27" s="3" t="s">
        <v>11</v>
      </c>
      <c r="B27" s="4">
        <v>46253</v>
      </c>
      <c r="C27" s="3" t="s">
        <v>20</v>
      </c>
      <c r="D27" s="3" t="s">
        <v>28</v>
      </c>
      <c r="E27" s="3" t="s">
        <v>29</v>
      </c>
      <c r="F27" s="3" t="s">
        <v>30</v>
      </c>
      <c r="G27" s="5">
        <v>0</v>
      </c>
      <c r="H27" s="5">
        <v>156924.51999999999</v>
      </c>
      <c r="I27" s="3">
        <v>157057.62</v>
      </c>
      <c r="J27" s="3">
        <v>-133.10000000000582</v>
      </c>
      <c r="K27" s="3" t="s">
        <v>40</v>
      </c>
    </row>
    <row r="28" spans="1:11" x14ac:dyDescent="0.35">
      <c r="A28" s="3" t="s">
        <v>11</v>
      </c>
      <c r="B28" s="4">
        <v>46254</v>
      </c>
      <c r="C28" s="3" t="s">
        <v>20</v>
      </c>
      <c r="D28" s="3" t="s">
        <v>21</v>
      </c>
      <c r="E28" s="3" t="s">
        <v>31</v>
      </c>
      <c r="F28" s="3" t="s">
        <v>32</v>
      </c>
      <c r="G28" s="5">
        <v>0</v>
      </c>
      <c r="H28" s="5">
        <v>3482466</v>
      </c>
      <c r="I28" s="3">
        <v>3485419.75</v>
      </c>
      <c r="J28" s="3">
        <v>-2953.75</v>
      </c>
      <c r="K28" s="3" t="s">
        <v>40</v>
      </c>
    </row>
    <row r="29" spans="1:11" x14ac:dyDescent="0.35">
      <c r="A29" s="3" t="s">
        <v>11</v>
      </c>
      <c r="B29" s="4">
        <v>46256</v>
      </c>
      <c r="C29" s="3" t="s">
        <v>20</v>
      </c>
      <c r="D29" s="3" t="s">
        <v>21</v>
      </c>
      <c r="E29" s="3" t="s">
        <v>33</v>
      </c>
      <c r="F29" s="3" t="s">
        <v>34</v>
      </c>
      <c r="G29" s="5">
        <v>0</v>
      </c>
      <c r="H29" s="5">
        <v>113411.86</v>
      </c>
      <c r="I29" s="3">
        <v>113508.05</v>
      </c>
      <c r="J29" s="3">
        <v>-96.190000000002328</v>
      </c>
      <c r="K29" s="3" t="s">
        <v>40</v>
      </c>
    </row>
    <row r="30" spans="1:11" x14ac:dyDescent="0.35">
      <c r="A30" s="3" t="s">
        <v>11</v>
      </c>
      <c r="B30" s="4">
        <v>46262</v>
      </c>
      <c r="C30" s="3" t="s">
        <v>20</v>
      </c>
      <c r="D30" s="3" t="s">
        <v>21</v>
      </c>
      <c r="E30" s="3" t="s">
        <v>35</v>
      </c>
      <c r="F30" s="3" t="s">
        <v>36</v>
      </c>
      <c r="G30" s="5">
        <v>0</v>
      </c>
      <c r="H30" s="5">
        <v>1643877.56</v>
      </c>
      <c r="I30" s="3">
        <v>1645271.86</v>
      </c>
      <c r="J30" s="3">
        <v>-1394.3000000000466</v>
      </c>
      <c r="K30" s="3" t="s">
        <v>40</v>
      </c>
    </row>
    <row r="31" spans="1:11" x14ac:dyDescent="0.35">
      <c r="A31" s="3" t="s">
        <v>11</v>
      </c>
      <c r="B31" s="4">
        <v>46276</v>
      </c>
      <c r="C31" s="3" t="s">
        <v>20</v>
      </c>
      <c r="D31" s="3" t="s">
        <v>21</v>
      </c>
      <c r="E31" s="3" t="s">
        <v>37</v>
      </c>
      <c r="F31" s="3" t="s">
        <v>38</v>
      </c>
      <c r="G31" s="5">
        <v>0</v>
      </c>
      <c r="H31" s="5">
        <v>697900.59</v>
      </c>
      <c r="I31" s="3">
        <v>698492.53</v>
      </c>
      <c r="J31" s="3">
        <v>-591.94000000006054</v>
      </c>
      <c r="K31" s="3" t="s">
        <v>40</v>
      </c>
    </row>
    <row r="33" spans="1:11" s="14" customFormat="1" x14ac:dyDescent="0.35">
      <c r="A33" s="13" t="s">
        <v>45</v>
      </c>
    </row>
    <row r="35" spans="1:11" x14ac:dyDescent="0.35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41</v>
      </c>
      <c r="J35" s="2" t="s">
        <v>10</v>
      </c>
      <c r="K35" s="3"/>
    </row>
    <row r="36" spans="1:11" x14ac:dyDescent="0.35">
      <c r="A36" s="3" t="s">
        <v>48</v>
      </c>
      <c r="B36" s="4">
        <v>46274</v>
      </c>
      <c r="C36" s="3" t="s">
        <v>20</v>
      </c>
      <c r="D36" s="3" t="s">
        <v>21</v>
      </c>
      <c r="E36" s="3" t="s">
        <v>42</v>
      </c>
      <c r="F36" s="3" t="s">
        <v>43</v>
      </c>
      <c r="G36" s="3">
        <v>0</v>
      </c>
      <c r="H36" s="3">
        <v>5708130.3799999999</v>
      </c>
      <c r="I36" s="3" t="e">
        <v>#N/A</v>
      </c>
      <c r="J36" s="3" t="e">
        <v>#N/A</v>
      </c>
      <c r="K36" s="3" t="s">
        <v>44</v>
      </c>
    </row>
    <row r="37" spans="1:11" x14ac:dyDescent="0.35">
      <c r="A37" s="3" t="s">
        <v>48</v>
      </c>
      <c r="B37" s="4">
        <v>46279</v>
      </c>
      <c r="C37" s="3" t="s">
        <v>20</v>
      </c>
      <c r="D37" s="3" t="s">
        <v>21</v>
      </c>
      <c r="E37" s="3" t="s">
        <v>46</v>
      </c>
      <c r="F37" s="3" t="s">
        <v>47</v>
      </c>
      <c r="G37" s="5">
        <v>0</v>
      </c>
      <c r="H37" s="5">
        <v>309689.87</v>
      </c>
      <c r="I37" s="3" t="e">
        <f>VLOOKUP(F:F,[1]Sheet1!$E:$G,3,0)</f>
        <v>#N/A</v>
      </c>
      <c r="J37" s="3" t="e">
        <f>H37-I37</f>
        <v>#N/A</v>
      </c>
      <c r="K37" s="3" t="s">
        <v>40</v>
      </c>
    </row>
    <row r="39" spans="1:11" x14ac:dyDescent="0.35">
      <c r="A39" s="1" t="s">
        <v>51</v>
      </c>
    </row>
    <row r="41" spans="1:11" x14ac:dyDescent="0.35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9</v>
      </c>
      <c r="J41" s="2" t="s">
        <v>10</v>
      </c>
      <c r="K41" s="3"/>
    </row>
    <row r="42" spans="1:11" x14ac:dyDescent="0.35">
      <c r="A42" s="3" t="s">
        <v>11</v>
      </c>
      <c r="B42" s="4">
        <v>46234</v>
      </c>
      <c r="C42" s="3" t="s">
        <v>14</v>
      </c>
      <c r="D42" s="3" t="s">
        <v>13</v>
      </c>
      <c r="E42" s="3">
        <v>538</v>
      </c>
      <c r="F42" s="3"/>
      <c r="G42" s="3">
        <v>58855.68</v>
      </c>
      <c r="H42" s="3">
        <v>0</v>
      </c>
      <c r="I42" s="3" t="e">
        <v>#N/A</v>
      </c>
      <c r="J42" s="3" t="e">
        <v>#N/A</v>
      </c>
      <c r="K42" s="3" t="s">
        <v>49</v>
      </c>
    </row>
    <row r="43" spans="1:11" x14ac:dyDescent="0.35">
      <c r="A43" s="3" t="s">
        <v>11</v>
      </c>
      <c r="B43" s="4">
        <v>46279</v>
      </c>
      <c r="C43" s="3" t="s">
        <v>12</v>
      </c>
      <c r="D43" s="3" t="s">
        <v>13</v>
      </c>
      <c r="E43" s="3">
        <v>800</v>
      </c>
      <c r="F43" s="3"/>
      <c r="G43" s="5">
        <v>309427.20000000001</v>
      </c>
      <c r="H43" s="5">
        <v>0</v>
      </c>
      <c r="I43" s="3">
        <v>309689.87</v>
      </c>
      <c r="J43" s="3">
        <v>-262.6699999999837</v>
      </c>
      <c r="K43" s="3" t="s">
        <v>40</v>
      </c>
    </row>
    <row r="44" spans="1:11" x14ac:dyDescent="0.35">
      <c r="A44" s="3" t="s">
        <v>11</v>
      </c>
      <c r="B44" s="4">
        <v>46280</v>
      </c>
      <c r="C44" s="3" t="s">
        <v>14</v>
      </c>
      <c r="D44" s="3" t="s">
        <v>13</v>
      </c>
      <c r="E44" s="3">
        <v>805</v>
      </c>
      <c r="F44" s="3"/>
      <c r="G44" s="3">
        <v>236.02</v>
      </c>
      <c r="H44" s="3">
        <v>0</v>
      </c>
      <c r="I44" s="3" t="e">
        <v>#N/A</v>
      </c>
      <c r="J44" s="3" t="e">
        <v>#N/A</v>
      </c>
      <c r="K44" s="3" t="s">
        <v>49</v>
      </c>
    </row>
    <row r="45" spans="1:11" x14ac:dyDescent="0.35">
      <c r="A45" s="3" t="s">
        <v>11</v>
      </c>
      <c r="B45" s="4">
        <v>46294</v>
      </c>
      <c r="C45" s="3" t="s">
        <v>12</v>
      </c>
      <c r="D45" s="3" t="s">
        <v>13</v>
      </c>
      <c r="E45" s="3">
        <v>897</v>
      </c>
      <c r="F45" s="3"/>
      <c r="G45" s="3">
        <v>201146.31</v>
      </c>
      <c r="H45" s="3">
        <v>0</v>
      </c>
      <c r="I45" s="3" t="e">
        <v>#N/A</v>
      </c>
      <c r="J45" s="3" t="e">
        <v>#N/A</v>
      </c>
      <c r="K45" s="3" t="s">
        <v>49</v>
      </c>
    </row>
    <row r="46" spans="1:11" x14ac:dyDescent="0.35">
      <c r="A46" s="3" t="s">
        <v>11</v>
      </c>
      <c r="B46" s="4">
        <v>46294</v>
      </c>
      <c r="C46" s="3" t="s">
        <v>14</v>
      </c>
      <c r="D46" s="3" t="s">
        <v>13</v>
      </c>
      <c r="E46" s="3">
        <v>898</v>
      </c>
      <c r="F46" s="3"/>
      <c r="G46" s="3">
        <v>396.14</v>
      </c>
      <c r="H46" s="3">
        <v>0</v>
      </c>
      <c r="I46" s="3" t="e">
        <v>#N/A</v>
      </c>
      <c r="J46" s="3" t="e">
        <v>#N/A</v>
      </c>
      <c r="K46" s="3" t="s">
        <v>49</v>
      </c>
    </row>
    <row r="47" spans="1:11" x14ac:dyDescent="0.35">
      <c r="G47">
        <f>SUM(G36:G46)</f>
        <v>570061.35</v>
      </c>
      <c r="H47">
        <f>SUM(H36:H46)</f>
        <v>6017820.25</v>
      </c>
      <c r="I47">
        <f>G47-H47</f>
        <v>-5447758.9000000004</v>
      </c>
    </row>
    <row r="48" spans="1:11" x14ac:dyDescent="0.35">
      <c r="A48" s="1" t="s">
        <v>53</v>
      </c>
    </row>
    <row r="50" spans="1:11" x14ac:dyDescent="0.35">
      <c r="A50" s="2" t="s">
        <v>0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  <c r="I50" s="2" t="s">
        <v>52</v>
      </c>
      <c r="J50" s="2" t="s">
        <v>10</v>
      </c>
      <c r="K50" s="3"/>
    </row>
    <row r="51" spans="1:11" x14ac:dyDescent="0.35">
      <c r="A51" s="3" t="s">
        <v>48</v>
      </c>
      <c r="B51" s="4">
        <v>46274</v>
      </c>
      <c r="C51" s="3" t="s">
        <v>14</v>
      </c>
      <c r="D51" s="3" t="s">
        <v>13</v>
      </c>
      <c r="E51" s="3">
        <v>577</v>
      </c>
      <c r="F51" s="3"/>
      <c r="G51" s="3">
        <v>39388.03</v>
      </c>
      <c r="H51" s="3">
        <v>0</v>
      </c>
      <c r="I51" s="3" t="e">
        <v>#N/A</v>
      </c>
      <c r="J51" s="3" t="e">
        <v>#N/A</v>
      </c>
      <c r="K51" s="3" t="s">
        <v>44</v>
      </c>
    </row>
    <row r="52" spans="1:11" x14ac:dyDescent="0.35">
      <c r="A52" s="3" t="s">
        <v>48</v>
      </c>
      <c r="B52" s="4">
        <v>46283</v>
      </c>
      <c r="C52" s="3" t="s">
        <v>14</v>
      </c>
      <c r="D52" s="3" t="s">
        <v>13</v>
      </c>
      <c r="E52" s="3">
        <v>623</v>
      </c>
      <c r="F52" s="3"/>
      <c r="G52" s="3">
        <v>6564.67</v>
      </c>
      <c r="H52" s="3">
        <v>0</v>
      </c>
      <c r="I52" s="3" t="e">
        <v>#N/A</v>
      </c>
      <c r="J52" s="3" t="e">
        <v>#N/A</v>
      </c>
      <c r="K52" s="3" t="s">
        <v>44</v>
      </c>
    </row>
    <row r="53" spans="1:11" x14ac:dyDescent="0.35">
      <c r="A53" s="3" t="s">
        <v>48</v>
      </c>
      <c r="B53" s="4">
        <v>46284</v>
      </c>
      <c r="C53" s="3" t="s">
        <v>14</v>
      </c>
      <c r="D53" s="3" t="s">
        <v>13</v>
      </c>
      <c r="E53" s="3">
        <v>628</v>
      </c>
      <c r="F53" s="3"/>
      <c r="G53" s="3">
        <v>5036.6899999999996</v>
      </c>
      <c r="H53" s="3">
        <v>0</v>
      </c>
      <c r="I53" s="3" t="e">
        <v>#N/A</v>
      </c>
      <c r="J53" s="3" t="e">
        <v>#N/A</v>
      </c>
      <c r="K53" s="3" t="s">
        <v>44</v>
      </c>
    </row>
    <row r="55" spans="1:11" x14ac:dyDescent="0.35">
      <c r="A55" s="1" t="s">
        <v>55</v>
      </c>
    </row>
    <row r="57" spans="1:11" x14ac:dyDescent="0.35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3"/>
      <c r="J57" s="3"/>
      <c r="K57" s="3"/>
    </row>
    <row r="58" spans="1:11" x14ac:dyDescent="0.35">
      <c r="A58" s="3" t="s">
        <v>11</v>
      </c>
      <c r="B58" s="4">
        <v>46295</v>
      </c>
      <c r="C58" s="3" t="s">
        <v>12</v>
      </c>
      <c r="D58" s="3" t="s">
        <v>13</v>
      </c>
      <c r="E58" s="3">
        <v>913</v>
      </c>
      <c r="F58" s="3"/>
      <c r="G58" s="3">
        <v>82142.77</v>
      </c>
      <c r="H58" s="3">
        <v>0</v>
      </c>
      <c r="I58" s="3"/>
      <c r="J58" s="3"/>
      <c r="K58" s="3" t="s">
        <v>54</v>
      </c>
    </row>
    <row r="60" spans="1:11" x14ac:dyDescent="0.35">
      <c r="A60" s="1" t="s">
        <v>59</v>
      </c>
    </row>
    <row r="62" spans="1:11" x14ac:dyDescent="0.35">
      <c r="A62" s="2" t="s">
        <v>0</v>
      </c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3"/>
      <c r="J62" s="3"/>
      <c r="K62" s="3"/>
    </row>
    <row r="63" spans="1:11" x14ac:dyDescent="0.35">
      <c r="A63" s="3" t="s">
        <v>48</v>
      </c>
      <c r="B63" s="4">
        <v>46290</v>
      </c>
      <c r="C63" s="3" t="s">
        <v>56</v>
      </c>
      <c r="D63" s="3" t="s">
        <v>19</v>
      </c>
      <c r="E63" s="3">
        <v>2757</v>
      </c>
      <c r="F63" s="3" t="s">
        <v>57</v>
      </c>
      <c r="G63" s="3">
        <v>12000000</v>
      </c>
      <c r="H63" s="3">
        <v>0</v>
      </c>
      <c r="I63" s="3"/>
      <c r="J63" s="3"/>
      <c r="K63" s="3" t="s">
        <v>90</v>
      </c>
    </row>
    <row r="64" spans="1:11" x14ac:dyDescent="0.35">
      <c r="A64" s="3" t="s">
        <v>48</v>
      </c>
      <c r="B64" s="4">
        <v>46290</v>
      </c>
      <c r="C64" s="3" t="s">
        <v>56</v>
      </c>
      <c r="D64" s="3" t="s">
        <v>19</v>
      </c>
      <c r="E64" s="3">
        <v>2760</v>
      </c>
      <c r="F64" s="3" t="s">
        <v>58</v>
      </c>
      <c r="G64" s="3">
        <v>28000000</v>
      </c>
      <c r="H64" s="3">
        <v>0</v>
      </c>
      <c r="I64" s="3"/>
      <c r="J64" s="3"/>
      <c r="K64" s="3" t="s">
        <v>90</v>
      </c>
    </row>
    <row r="65" spans="1:11" x14ac:dyDescent="0.35">
      <c r="A65" s="3" t="s">
        <v>48</v>
      </c>
      <c r="B65" s="4">
        <v>46291</v>
      </c>
      <c r="C65" s="3" t="s">
        <v>56</v>
      </c>
      <c r="D65" s="3" t="s">
        <v>19</v>
      </c>
      <c r="E65" s="3">
        <v>2778</v>
      </c>
      <c r="F65" s="3" t="s">
        <v>50</v>
      </c>
      <c r="G65" s="3">
        <v>25000000</v>
      </c>
      <c r="H65" s="3">
        <v>0</v>
      </c>
      <c r="I65" s="3"/>
      <c r="J65" s="3"/>
      <c r="K65" s="3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</vt:lpstr>
      <vt:lpstr>RECONCILIATION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Jigar Mehta</dc:creator>
  <cp:lastModifiedBy>Jigar Mehta</cp:lastModifiedBy>
  <dcterms:created xsi:type="dcterms:W3CDTF">2026-10-08T11:02:33Z</dcterms:created>
  <dcterms:modified xsi:type="dcterms:W3CDTF">2026-10-17T12:00:44Z</dcterms:modified>
</cp:coreProperties>
</file>